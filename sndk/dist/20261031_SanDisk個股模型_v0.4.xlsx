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In!$E$47</definedName>
    <definedName function="false" hidden="false" name="a25_ni" vbProcedure="false">In!$E$46</definedName>
    <definedName function="false" hidden="false" name="a25_rev" vbProcedure="false">In!$E$45</definedName>
    <definedName function="false" hidden="false" name="a26_cs" vbProcedure="false">In!$E$39</definedName>
    <definedName function="false" hidden="false" name="a26_dc" vbProcedure="false">In!$E$37</definedName>
    <definedName function="false" hidden="false" name="a26_ed" vbProcedure="false">In!$E$38</definedName>
    <definedName function="false" hidden="false" name="a26_eps" vbProcedure="false">In!$E$42</definedName>
    <definedName function="false" hidden="false" name="a26_gm" vbProcedure="false">In!$E$44</definedName>
    <definedName function="false" hidden="false" name="a26_ni" vbProcedure="false">In!$E$41</definedName>
    <definedName function="false" hidden="false" name="a26_op" vbProcedure="false">In!$E$43</definedName>
    <definedName function="false" hidden="false" name="a26_rev" vbProcedure="false">In!$E$40</definedName>
    <definedName function="false" hidden="false" name="bb_px" vbProcedure="false">In!$E$77</definedName>
    <definedName function="false" hidden="false" name="cap_r" vbProcedure="false">In!$E$74</definedName>
    <definedName function="false" hidden="false" name="cap_r_hi" vbProcedure="false">In!$F$74</definedName>
    <definedName function="false" hidden="false" name="cap_r_lo" vbProcedure="false">In!$D$74</definedName>
    <definedName function="false" hidden="false" name="cd_A" vbProcedure="false">In!$E$54</definedName>
    <definedName function="false" hidden="false" name="cd_A_hi" vbProcedure="false">In!$F$54</definedName>
    <definedName function="false" hidden="false" name="cd_A_lo" vbProcedure="false">In!$D$54</definedName>
    <definedName function="false" hidden="false" name="cd_B" vbProcedure="false">In!$E$55</definedName>
    <definedName function="false" hidden="false" name="cd_B_hi" vbProcedure="false">In!$F$55</definedName>
    <definedName function="false" hidden="false" name="cd_B_lo" vbProcedure="false">In!$D$55</definedName>
    <definedName function="false" hidden="false" name="cd_C" vbProcedure="false">In!$E$56</definedName>
    <definedName function="false" hidden="false" name="cd_C_hi" vbProcedure="false">In!$F$56</definedName>
    <definedName function="false" hidden="false" name="cd_C_lo" vbProcedure="false">In!$D$56</definedName>
    <definedName function="false" hidden="false" name="cons_bv27" vbProcedure="false">In!$E$84</definedName>
    <definedName function="false" hidden="false" name="cons_bv28" vbProcedure="false">In!$E$85</definedName>
    <definedName function="false" hidden="false" name="cons_bv29" vbProcedure="false">In!$E$86</definedName>
    <definedName function="false" hidden="false" name="cons_eps27" vbProcedure="false">In!$E$81</definedName>
    <definedName function="false" hidden="false" name="cons_eps27_hi" vbProcedure="false">In!$F$81</definedName>
    <definedName function="false" hidden="false" name="cons_eps27_lo" vbProcedure="false">In!$D$81</definedName>
    <definedName function="false" hidden="false" name="cons_eps28" vbProcedure="false">In!$E$82</definedName>
    <definedName function="false" hidden="false" name="cons_eps29" vbProcedure="false">In!$E$83</definedName>
    <definedName function="false" hidden="false" name="cons_ni27" vbProcedure="false">In!$E$87</definedName>
    <definedName function="false" hidden="false" name="cons_ni28" vbProcedure="false">In!$E$88</definedName>
    <definedName function="false" hidden="false" name="cons_rev27" vbProcedure="false">In!$E$79</definedName>
    <definedName function="false" hidden="false" name="cons_rev27_hi" vbProcedure="false">In!$F$79</definedName>
    <definedName function="false" hidden="false" name="cons_rev27_lo" vbProcedure="false">In!$D$79</definedName>
    <definedName function="false" hidden="false" name="cons_rev28" vbProcedure="false">In!$E$80</definedName>
    <definedName function="false" hidden="false" name="cons_tp" vbProcedure="false">In!$E$106</definedName>
    <definedName function="false" hidden="false" name="cons_tp_hi" vbProcedure="false">In!$F$106</definedName>
    <definedName function="false" hidden="false" name="cons_tp_lo" vbProcedure="false">In!$D$106</definedName>
    <definedName function="false" hidden="false" name="cssh_27" vbProcedure="false">In!$E$62</definedName>
    <definedName function="false" hidden="false" name="cssh_27_hi" vbProcedure="false">In!$F$62</definedName>
    <definedName function="false" hidden="false" name="cssh_27_lo" vbProcedure="false">In!$D$62</definedName>
    <definedName function="false" hidden="false" name="cssh_28" vbProcedure="false">In!$E$64</definedName>
    <definedName function="false" hidden="false" name="cssh_28_hi" vbProcedure="false">In!$F$64</definedName>
    <definedName function="false" hidden="false" name="cssh_28_lo" vbProcedure="false">In!$D$64</definedName>
    <definedName function="false" hidden="false" name="cssh_29" vbProcedure="false">In!$E$66</definedName>
    <definedName function="false" hidden="false" name="cssh_29_hi" vbProcedure="false">In!$F$66</definedName>
    <definedName function="false" hidden="false" name="cssh_29_lo" vbProcedure="false">In!$D$66</definedName>
    <definedName function="false" hidden="false" name="cyc_mA" vbProcedure="false">In!$E$98</definedName>
    <definedName function="false" hidden="false" name="cyc_mC" vbProcedure="false">In!$E$99</definedName>
    <definedName function="false" hidden="false" name="da_y" vbProcedure="false">In!$E$73</definedName>
    <definedName function="false" hidden="false" name="da_y_hi" vbProcedure="false">In!$F$73</definedName>
    <definedName function="false" hidden="false" name="da_y_lo" vbProcedure="false">In!$D$73</definedName>
    <definedName function="false" hidden="false" name="dcsh_27" vbProcedure="false">In!$E$61</definedName>
    <definedName function="false" hidden="false" name="dcsh_27_hi" vbProcedure="false">In!$F$61</definedName>
    <definedName function="false" hidden="false" name="dcsh_27_lo" vbProcedure="false">In!$D$61</definedName>
    <definedName function="false" hidden="false" name="dcsh_28" vbProcedure="false">In!$E$63</definedName>
    <definedName function="false" hidden="false" name="dcsh_28_hi" vbProcedure="false">In!$F$63</definedName>
    <definedName function="false" hidden="false" name="dcsh_28_lo" vbProcedure="false">In!$D$63</definedName>
    <definedName function="false" hidden="false" name="dcsh_29" vbProcedure="false">In!$E$65</definedName>
    <definedName function="false" hidden="false" name="dcsh_29_hi" vbProcedure="false">In!$F$65</definedName>
    <definedName function="false" hidden="false" name="dcsh_29_lo" vbProcedure="false">In!$D$65</definedName>
    <definedName function="false" hidden="false" name="dil" vbProcedure="false">In!$E$72</definedName>
    <definedName function="false" hidden="false" name="eq0" vbProcedure="false">In!$E$69</definedName>
    <definedName function="false" hidden="false" name="fade_gA" vbProcedure="false">In!$E$103</definedName>
    <definedName function="false" hidden="false" name="fade_gB" vbProcedure="false">In!$E$104</definedName>
    <definedName function="false" hidden="false" name="fade_gC" vbProcedure="false">In!$E$105</definedName>
    <definedName function="false" hidden="false" name="fade_mA" vbProcedure="false">In!$E$100</definedName>
    <definedName function="false" hidden="false" name="fade_mB" vbProcedure="false">In!$E$101</definedName>
    <definedName function="false" hidden="false" name="fade_mC" vbProcedure="false">In!$E$102</definedName>
    <definedName function="false" hidden="false" name="g_eps" vbProcedure="false">In!$E$51</definedName>
    <definedName function="false" hidden="false" name="g_gm" vbProcedure="false">In!$E$49</definedName>
    <definedName function="false" hidden="false" name="g_gm_hi" vbProcedure="false">In!$F$49</definedName>
    <definedName function="false" hidden="false" name="g_gm_lo" vbProcedure="false">In!$D$49</definedName>
    <definedName function="false" hidden="false" name="g_ox" vbProcedure="false">In!$E$50</definedName>
    <definedName function="false" hidden="false" name="g_ox_hi" vbProcedure="false">In!$F$50</definedName>
    <definedName function="false" hidden="false" name="g_ox_lo" vbProcedure="false">In!$D$50</definedName>
    <definedName function="false" hidden="false" name="g_rev" vbProcedure="false">In!$E$48</definedName>
    <definedName function="false" hidden="false" name="g_sh" vbProcedure="false">In!$E$52</definedName>
    <definedName function="false" hidden="false" name="nc0" vbProcedure="false">In!$E$70</definedName>
    <definedName function="false" hidden="false" name="nim10" vbProcedure="false">In!$E$97</definedName>
    <definedName function="false" hidden="false" name="ox_g" vbProcedure="false">In!$E$58</definedName>
    <definedName function="false" hidden="false" name="ox_g_hi" vbProcedure="false">In!$F$58</definedName>
    <definedName function="false" hidden="false" name="ox_g_lo" vbProcedure="false">In!$D$58</definedName>
    <definedName function="false" hidden="false" name="ox_var" vbProcedure="false">In!$E$57</definedName>
    <definedName function="false" hidden="false" name="ox_var_hi" vbProcedure="false">In!$F$57</definedName>
    <definedName function="false" hidden="false" name="ox_var_lo" vbProcedure="false">In!$D$57</definedName>
    <definedName function="false" hidden="false" name="payout" vbProcedure="false">In!$E$75</definedName>
    <definedName function="false" hidden="false" name="payout_hi" vbProcedure="false">In!$F$75</definedName>
    <definedName function="false" hidden="false" name="payout_lo" vbProcedure="false">In!$D$75</definedName>
    <definedName function="false" hidden="false" name="px" vbProcedure="false">In!$E$76</definedName>
    <definedName function="false" hidden="false" name="q1_cs" vbProcedure="false">In!$E$27</definedName>
    <definedName function="false" hidden="false" name="q1_dc" vbProcedure="false">In!$E$25</definedName>
    <definedName function="false" hidden="false" name="q1_ed" vbProcedure="false">In!$E$26</definedName>
    <definedName function="false" hidden="false" name="q1_eps" vbProcedure="false">In!$E$9</definedName>
    <definedName function="false" hidden="false" name="q1_gm" vbProcedure="false">In!$E$6</definedName>
    <definedName function="false" hidden="false" name="q1_ni" vbProcedure="false">In!$E$8</definedName>
    <definedName function="false" hidden="false" name="q1_op" vbProcedure="false">In!$E$7</definedName>
    <definedName function="false" hidden="false" name="q1_rev" vbProcedure="false">In!$E$5</definedName>
    <definedName function="false" hidden="false" name="q2_cs" vbProcedure="false">In!$E$30</definedName>
    <definedName function="false" hidden="false" name="q2_dc" vbProcedure="false">In!$E$28</definedName>
    <definedName function="false" hidden="false" name="q2_ed" vbProcedure="false">In!$E$29</definedName>
    <definedName function="false" hidden="false" name="q2_eps" vbProcedure="false">In!$E$14</definedName>
    <definedName function="false" hidden="false" name="q2_gm" vbProcedure="false">In!$E$11</definedName>
    <definedName function="false" hidden="false" name="q2_ni" vbProcedure="false">In!$E$13</definedName>
    <definedName function="false" hidden="false" name="q2_op" vbProcedure="false">In!$E$12</definedName>
    <definedName function="false" hidden="false" name="q2_rev" vbProcedure="false">In!$E$10</definedName>
    <definedName function="false" hidden="false" name="q3_cs" vbProcedure="false">In!$E$33</definedName>
    <definedName function="false" hidden="false" name="q3_dc" vbProcedure="false">In!$E$31</definedName>
    <definedName function="false" hidden="false" name="q3_ed" vbProcedure="false">In!$E$32</definedName>
    <definedName function="false" hidden="false" name="q3_eps" vbProcedure="false">In!$E$19</definedName>
    <definedName function="false" hidden="false" name="q3_gm" vbProcedure="false">In!$E$16</definedName>
    <definedName function="false" hidden="false" name="q3_ni" vbProcedure="false">In!$E$18</definedName>
    <definedName function="false" hidden="false" name="q3_op" vbProcedure="false">In!$E$17</definedName>
    <definedName function="false" hidden="false" name="q3_rev" vbProcedure="false">In!$E$15</definedName>
    <definedName function="false" hidden="false" name="q4_cs" vbProcedure="false">In!$E$36</definedName>
    <definedName function="false" hidden="false" name="q4_dc" vbProcedure="false">In!$E$34</definedName>
    <definedName function="false" hidden="false" name="q4_ed" vbProcedure="false">In!$E$35</definedName>
    <definedName function="false" hidden="false" name="q4_eps" vbProcedure="false">In!$E$24</definedName>
    <definedName function="false" hidden="false" name="q4_gm" vbProcedure="false">In!$E$21</definedName>
    <definedName function="false" hidden="false" name="q4_ni" vbProcedure="false">In!$E$23</definedName>
    <definedName function="false" hidden="false" name="q4_op" vbProcedure="false">In!$E$22</definedName>
    <definedName function="false" hidden="false" name="q4_rev" vbProcedure="false">In!$E$20</definedName>
    <definedName function="false" hidden="false" name="rf" vbProcedure="false">In!$E$60</definedName>
    <definedName function="false" hidden="false" name="rf_hi" vbProcedure="false">In!$F$60</definedName>
    <definedName function="false" hidden="false" name="rf_lo" vbProcedure="false">In!$D$60</definedName>
    <definedName function="false" hidden="false" name="rm_factor" vbProcedure="false">Val!$B$179</definedName>
    <definedName function="false" hidden="false" name="sd_k" vbProcedure="false">In!$E$67</definedName>
    <definedName function="false" hidden="false" name="sh0" vbProcedure="false">In!$E$71</definedName>
    <definedName function="false" hidden="false" name="tax" vbProcedure="false">In!$E$59</definedName>
    <definedName function="false" hidden="false" name="tax_hi" vbProcedure="false">In!$F$59</definedName>
    <definedName function="false" hidden="false" name="tax_lo" vbProcedure="false">In!$D$59</definedName>
    <definedName function="false" hidden="false" name="tp_comp_adj" vbProcedure="false">Val!$B$180</definedName>
    <definedName function="false" hidden="false" name="tp_g" vbProcedure="false">In!$E$94</definedName>
    <definedName function="false" hidden="false" name="tp_r" vbProcedure="false">In!$E$93</definedName>
    <definedName function="false" hidden="false" name="tp_roe" vbProcedure="false">In!$E$95</definedName>
    <definedName function="false" hidden="false" name="tp_wA" vbProcedure="false">In!$E$90</definedName>
    <definedName function="false" hidden="false" name="tp_wB" vbProcedure="false">In!$E$91</definedName>
    <definedName function="false" hidden="false" name="tp_wC" vbProcedure="false">In!$E$92</definedName>
    <definedName function="false" hidden="false" name="tp_w_dcf" vbProcedure="false">In!$E$96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<sst xmlns="http://schemas.openxmlformats.org/spreadsheetml/2006/main" count="3174" uniqueCount="847">
  <si>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SNDK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</si>
  <si>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是純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公司，盈餘由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位元決定，產能與 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合資（</t>
    </r>
    <r>
      <rPr>
        <sz val="11"/>
        <rFont val="Cambria"/>
        <family val="0"/>
        <charset val="1"/>
      </rPr>
      <t xml:space="preserve">Flash Ventures 49.9%</t>
    </r>
    <r>
      <rPr>
        <sz val="11"/>
        <rFont val="Noto Sans CJK SC"/>
        <family val="2"/>
      </rPr>
      <t xml:space="preserve">）；問題是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起三情境分歧），以及現價隱含的倍數是否已反映循環見頂。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</si>
  <si>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</si>
  <si>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</si>
  <si>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</si>
  <si>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FQ1 FY27 </t>
    </r>
    <r>
      <rPr>
        <sz val="11"/>
        <rFont val="Noto Sans CJK SC"/>
        <family val="2"/>
      </rPr>
      <t xml:space="preserve">以實績毛利率校準，之後每年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）；營業費用＝固定（</t>
    </r>
    <r>
      <rPr>
        <sz val="11"/>
        <rFont val="Cambria"/>
        <family val="0"/>
        <charset val="1"/>
      </rPr>
      <t xml:space="preserve">FQ1 FY27 </t>
    </r>
    <r>
      <rPr>
        <sz val="11"/>
        <rFont val="Noto Sans CJK SC"/>
        <family val="2"/>
      </rPr>
      <t xml:space="preserve">實績校準）＋變動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</si>
  <si>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資本支出（含合資群分攤）；買回＝回饋比例 </t>
    </r>
    <r>
      <rPr>
        <sz val="11"/>
        <rFont val="Cambria"/>
        <family val="0"/>
        <charset val="1"/>
      </rPr>
      <t xml:space="preserve">× FCF → </t>
    </r>
    <r>
      <rPr>
        <sz val="11"/>
        <rFont val="Noto Sans CJK SC"/>
        <family val="2"/>
      </rPr>
      <t xml:space="preserve">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</si>
  <si>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</si>
  <si>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 ≈ CY2026Q3–CY2027Q2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FY2029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</si>
  <si>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EPS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上半年漲幅較大、下半年才回落（行業情境，不在公司層調整）。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</si>
  <si>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2025-02 </t>
    </r>
    <r>
      <rPr>
        <sz val="11"/>
        <rFont val="Noto Sans CJK SC"/>
        <family val="2"/>
      </rPr>
      <t xml:space="preserve">自 </t>
    </r>
    <r>
      <rPr>
        <sz val="11"/>
        <rFont val="Cambria"/>
        <family val="0"/>
        <charset val="1"/>
      </rPr>
      <t xml:space="preserve">WDC </t>
    </r>
    <r>
      <rPr>
        <sz val="11"/>
        <rFont val="Noto Sans CJK SC"/>
        <family val="2"/>
      </rPr>
      <t xml:space="preserve">分拆上市，十年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</si>
  <si>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</si>
  <si>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</si>
  <si>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）；每股：美元；股數：百萬股。每個輸入附標記與來源；找不到者寫「未找到」。【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</si>
  <si>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</si>
  <si>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</si>
  <si>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</si>
  <si>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</si>
  <si>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</si>
  <si>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</si>
  <si>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</si>
  <si>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</si>
  <si>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</si>
  <si>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</si>
  <si>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美元）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</si>
  <si>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</si>
  <si>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</si>
  <si>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</si>
  <si>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</si>
  <si>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</si>
  <si>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20.248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新聞稿）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</si>
  <si>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</si>
  <si>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毛利率</t>
    </r>
  </si>
  <si>
    <t xml:space="preserve">%</t>
  </si>
  <si>
    <t xml:space="preserve">q1_op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</si>
  <si>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營業利益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</si>
  <si>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</si>
  <si>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淨利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</si>
  <si>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</si>
  <si>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</si>
  <si>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USD</t>
  </si>
  <si>
    <t xml:space="preserve">q2_rev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</si>
  <si>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</t>
    </r>
  </si>
  <si>
    <t xml:space="preserve">q2_gm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</si>
  <si>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毛利率</t>
    </r>
  </si>
  <si>
    <t xml:space="preserve">q2_op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</si>
  <si>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營業利益</t>
    </r>
  </si>
  <si>
    <t xml:space="preserve">q2_ni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</si>
  <si>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淨利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</si>
  <si>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</si>
  <si>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</si>
  <si>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</si>
  <si>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</si>
  <si>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</si>
  <si>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</si>
  <si>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毛利率</t>
    </r>
  </si>
  <si>
    <t xml:space="preserve">q3_op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</si>
  <si>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營業利益</t>
    </r>
  </si>
  <si>
    <t xml:space="preserve">q3_ni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</si>
  <si>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淨利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</si>
  <si>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</si>
  <si>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</si>
  <si>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</si>
  <si>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</t>
    </r>
  </si>
  <si>
    <t xml:space="preserve">q4_gm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</si>
  <si>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毛利率</t>
    </r>
  </si>
  <si>
    <t xml:space="preserve">q4_op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</si>
  <si>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營業利益</t>
    </r>
  </si>
  <si>
    <t xml:space="preserve">q4_ni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</si>
  <si>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淨利</t>
    </r>
  </si>
  <si>
    <t xml:space="preserve">q4_eps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</si>
  <si>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</si>
  <si>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q1_dc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</si>
  <si>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營收：資料中心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</si>
  <si>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</si>
  <si>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止）營收依終端市場表：六個月 − </t>
    </r>
    <r>
      <rPr>
        <sz val="11"/>
        <color theme="1"/>
        <rFont val="Calibri"/>
        <family val="2"/>
        <charset val="1"/>
      </rPr>
      <t xml:space="preserve">FQ2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</si>
  <si>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Datacenter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（依終端市場）</t>
    </r>
  </si>
  <si>
    <t xml:space="preserve">q1_ed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</si>
  <si>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營收：邊緣</t>
    </r>
  </si>
  <si>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、手機、車用等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client SSD </t>
    </r>
    <r>
      <rPr>
        <sz val="11"/>
        <color theme="1"/>
        <rFont val="Noto Sans CJK SC"/>
        <family val="2"/>
      </rPr>
      <t xml:space="preserve">與嵌入式</t>
    </r>
  </si>
  <si>
    <t xml:space="preserve">q1_cs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</si>
  <si>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營收：消費</t>
    </r>
  </si>
  <si>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＝記憶卡、隨身碟、零售 </t>
    </r>
    <r>
      <rPr>
        <sz val="11"/>
        <color theme="1"/>
        <rFont val="Calibri"/>
        <family val="2"/>
        <charset val="1"/>
      </rPr>
      <t xml:space="preserve">SSD</t>
    </r>
  </si>
  <si>
    <t xml:space="preserve">q2_dc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</si>
  <si>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</si>
  <si>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</t>
    </r>
  </si>
  <si>
    <t xml:space="preserve">q2_ed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</si>
  <si>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營收：邊緣</t>
    </r>
  </si>
  <si>
    <t xml:space="preserve">q2_cs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</si>
  <si>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營收：消費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</si>
  <si>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</si>
  <si>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營收：資料中心</t>
    </r>
  </si>
  <si>
    <t xml:space="preserve">q3_ed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</si>
  <si>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營收：邊緣</t>
    </r>
  </si>
  <si>
    <t xml:space="preserve">q3_cs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</si>
  <si>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營收：消費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</si>
  <si>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</si>
  <si>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</si>
  <si>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 全年 −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九個月</t>
    </r>
  </si>
  <si>
    <t xml:space="preserve">q4_ed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</si>
  <si>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營收：邊緣</t>
    </r>
  </si>
  <si>
    <t xml:space="preserve">q4_cs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</si>
  <si>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營收：消費</t>
    </r>
  </si>
  <si>
    <t xml:space="preserve">a26_dc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</si>
  <si>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</si>
  <si>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</si>
  <si>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a26_ed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</si>
  <si>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營收：邊緣</t>
    </r>
  </si>
  <si>
    <t xml:space="preserve">a26_cs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</si>
  <si>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營收：消費</t>
    </r>
  </si>
  <si>
    <t xml:space="preserve">a26_rev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</si>
  <si>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</si>
  <si>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）：資料中心 </t>
    </r>
    <r>
      <rPr>
        <sz val="11"/>
        <color theme="1"/>
        <rFont val="Calibri"/>
        <family val="2"/>
        <charset val="1"/>
      </rPr>
      <t xml:space="preserve">5.153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12.160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2.935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</si>
  <si>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同值</t>
    </r>
  </si>
  <si>
    <t xml:space="preserve">a26_ni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</si>
  <si>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淨利</t>
    </r>
  </si>
  <si>
    <t xml:space="preserve">a26_eps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</si>
  <si>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</si>
  <si>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non-GAAP 70.88</t>
    </r>
    <r>
      <rPr>
        <sz val="11"/>
        <color theme="1"/>
        <rFont val="Noto Sans CJK SC"/>
        <family val="2"/>
      </rPr>
      <t xml:space="preserve">）</t>
    </r>
  </si>
  <si>
    <t xml:space="preserve">MarketScreener 73.76</t>
  </si>
  <si>
    <t xml:space="preserve">a26_op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</si>
  <si>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營業利益</t>
    </r>
  </si>
  <si>
    <t xml:space="preserve">a26_gm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</si>
  <si>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毛利率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</si>
  <si>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</si>
  <si>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</si>
  <si>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）（前期欄）</t>
    </r>
  </si>
  <si>
    <t xml:space="preserve">MarketScreener 7,355</t>
  </si>
  <si>
    <t xml:space="preserve">a25_ni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</si>
  <si>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</si>
  <si>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）（含商譽減損）</t>
    </r>
  </si>
  <si>
    <t xml:space="preserve">MarketScreener −1,641</t>
  </si>
  <si>
    <t xml:space="preserve">a25_eps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</si>
  <si>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</si>
  <si>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g_rev</t>
  </si>
  <si>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</si>
  <si>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$11.031B</t>
    </r>
    <r>
      <rPr>
        <sz val="11"/>
        <color theme="1"/>
        <rFont val="Noto Sans CJK SC"/>
        <family val="2"/>
      </rPr>
      <t xml:space="preserve">（資料中心 </t>
    </r>
    <r>
      <rPr>
        <sz val="11"/>
        <color theme="1"/>
        <rFont val="Calibri"/>
        <family val="2"/>
        <charset val="1"/>
      </rPr>
      <t xml:space="preserve">4.802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5.832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0.397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</si>
  <si>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 </t>
    </r>
    <r>
      <rPr>
        <sz val="11"/>
        <color theme="1"/>
        <rFont val="Calibri"/>
        <family val="2"/>
        <charset val="1"/>
      </rPr>
      <t xml:space="preserve">$10.3–10.8B</t>
    </r>
    <r>
      <rPr>
        <sz val="11"/>
        <color theme="1"/>
        <rFont val="Noto Sans CJK SC"/>
        <family val="2"/>
      </rPr>
      <t xml:space="preserve">；市場層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以此推 </t>
    </r>
    <r>
      <rPr>
        <sz val="11"/>
        <color theme="1"/>
        <rFont val="Calibri"/>
        <family val="2"/>
        <charset val="1"/>
      </rPr>
      <t xml:space="preserve">SanDisk 2026Q3 </t>
    </r>
    <r>
      <rPr>
        <sz val="11"/>
        <color theme="1"/>
        <rFont val="Noto Sans CJK SC"/>
        <family val="2"/>
      </rPr>
      <t xml:space="preserve">份額</t>
    </r>
  </si>
  <si>
    <t xml:space="preserve">g_gm</t>
  </si>
  <si>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毛利率實績（校準單位成本）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</si>
  <si>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$9.38B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11.031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85.1%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</si>
  <si>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±0.5pt </t>
    </r>
    <r>
      <rPr>
        <sz val="11"/>
        <color theme="1"/>
        <rFont val="Noto Sans CJK SC"/>
        <family val="2"/>
      </rPr>
      <t xml:space="preserve">只供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GAAP 84.4–85.4%</t>
    </r>
  </si>
  <si>
    <t xml:space="preserve">g_ox</t>
  </si>
  <si>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營業費用（推估；校準固定費用）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</si>
  <si>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營業費用＝（毛利率 </t>
    </r>
    <r>
      <rPr>
        <sz val="11"/>
        <color theme="1"/>
        <rFont val="Calibri"/>
        <family val="2"/>
        <charset val="1"/>
      </rPr>
      <t xml:space="preserve">85.1% −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80.4%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11.031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0.518</t>
    </r>
    <r>
      <rPr>
        <sz val="11"/>
        <color theme="1"/>
        <rFont val="Noto Sans CJK SC"/>
        <family val="2"/>
      </rPr>
      <t xml:space="preserve">；加股份報酬約 </t>
    </r>
    <r>
      <rPr>
        <sz val="11"/>
        <color theme="1"/>
        <rFont val="Calibri"/>
        <family val="2"/>
        <charset val="1"/>
      </rPr>
      <t xml:space="preserve">0.064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指引附註 </t>
    </r>
    <r>
      <rPr>
        <sz val="11"/>
        <color theme="1"/>
        <rFont val="Calibri"/>
        <family val="2"/>
        <charset val="1"/>
      </rPr>
      <t xml:space="preserve">54–74M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</si>
  <si>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營業費用原文未取得（新聞稿頁面未能開啟）</t>
    </r>
  </si>
  <si>
    <t xml:space="preserve">g_eps</t>
  </si>
  <si>
    <r>
      <rPr>
        <sz val="11"/>
        <color theme="1"/>
        <rFont val="Calibri"/>
        <family val="2"/>
        <charset val="1"/>
      </rPr>
      <t xml:space="preserve">FQ1 FY27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實績（分割前）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</si>
  <si>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non-GAAP 49.51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52.60</t>
    </r>
  </si>
  <si>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non-GAAP 55–57</t>
    </r>
    <r>
      <rPr>
        <sz val="11"/>
        <color theme="1"/>
        <rFont val="Noto Sans CJK SC"/>
        <family val="2"/>
      </rPr>
      <t xml:space="preserve">（分割前）</t>
    </r>
  </si>
  <si>
    <t xml:space="preserve">g_sh</t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</si>
  <si>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指引，分割前）</t>
    </r>
  </si>
  <si>
    <t xml:space="preserve">百萬股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</si>
  <si>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</si>
  <si>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指引假設完全稀釋 </t>
    </r>
    <r>
      <rPr>
        <sz val="11"/>
        <color theme="1"/>
        <rFont val="Calibri"/>
        <family val="2"/>
        <charset val="1"/>
      </rPr>
      <t xml:space="preserve">151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</si>
  <si>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回購約 </t>
    </r>
    <r>
      <rPr>
        <sz val="11"/>
        <color theme="1"/>
        <rFont val="Calibri"/>
        <family val="2"/>
        <charset val="1"/>
      </rPr>
      <t xml:space="preserve">3.2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$5.0B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</si>
  <si>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</si>
  <si>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</si>
  <si>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</si>
  <si>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</si>
  <si>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BiCS8→BiCS10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層，密度約 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）如期量產，每位元成本年降約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</si>
  <si>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指引毛利率校準的單位成本為起點；歷史每位元成本年降約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：產業製程轉換）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</si>
  <si>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</si>
  <si>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</si>
  <si>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</si>
  <si>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</si>
  <si>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</si>
  <si>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</si>
  <si>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：需求轉弱、稼動率下降，固定成本攤提使年降縮小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</si>
  <si>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</si>
  <si>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</si>
  <si>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FY26 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2.083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20.248 ≈ 10%</t>
    </r>
    <r>
      <rPr>
        <sz val="11"/>
        <color theme="1"/>
        <rFont val="Noto Sans CJK SC"/>
        <family val="2"/>
      </rPr>
      <t xml:space="preserve">，但多為固定；</t>
    </r>
    <r>
      <rPr>
        <sz val="11"/>
        <color theme="1"/>
        <rFont val="Calibri"/>
        <family val="2"/>
        <charset val="1"/>
      </rPr>
      <t xml:space="preserve">FQ4 0.545 ÷ 8.965 ≈ 6%</t>
    </r>
  </si>
  <si>
    <r>
      <rPr>
        <sz val="11"/>
        <color theme="1"/>
        <rFont val="Noto Sans CJK SC"/>
        <family val="2"/>
      </rPr>
      <t xml:space="preserve">固定部分＝指引營業費用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</si>
  <si>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</si>
  <si>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</si>
  <si>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控制晶片）與獎金</t>
    </r>
  </si>
  <si>
    <t xml:space="preserve">tax</t>
  </si>
  <si>
    <t xml:space="preserve">有效稅率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</si>
  <si>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</si>
  <si>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稅率未指引</t>
    </r>
  </si>
  <si>
    <t xml:space="preserve">rf</t>
  </si>
  <si>
    <t xml:space="preserve">淨現金收益率</t>
  </si>
  <si>
    <t xml:space="preserve">美元短期利率</t>
  </si>
  <si>
    <t xml:space="preserve">dcsh_27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</si>
  <si>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</si>
  <si>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位元占產業需求由 </t>
    </r>
    <r>
      <rPr>
        <sz val="11"/>
        <color theme="1"/>
        <rFont val="Calibri"/>
        <family val="2"/>
        <charset val="1"/>
      </rPr>
      <t xml:space="preserve">CY2025 30%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CY2027 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</si>
  <si>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低＝停在 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</si>
  <si>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cssh_27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</si>
  <si>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</si>
  <si>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6.2%</t>
    </r>
    <r>
      <rPr>
        <sz val="11"/>
        <color theme="1"/>
        <rFont val="Noto Sans CJK SC"/>
        <family val="2"/>
      </rPr>
      <t xml:space="preserve">（零售通路價格調整落後合約價）</t>
    </r>
  </si>
  <si>
    <r>
      <rPr>
        <sz val="11"/>
        <color theme="1"/>
        <rFont val="Noto Sans CJK SC"/>
        <family val="2"/>
      </rPr>
      <t xml:space="preserve">邊緣＝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資料中心 − 消費（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</si>
  <si>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dcsh_28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</si>
  <si>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資料中心占營收</t>
    </r>
  </si>
  <si>
    <t xml:space="preserve">cssh_28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</si>
  <si>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消費占營收</t>
    </r>
  </si>
  <si>
    <t xml:space="preserve">dcsh_29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</si>
  <si>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資料中心占營收</t>
    </r>
  </si>
  <si>
    <t xml:space="preserve">cssh_29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</si>
  <si>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消費占營收</t>
    </r>
  </si>
  <si>
    <t xml:space="preserve">sd_k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</si>
  <si>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</si>
  <si>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</si>
  <si>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2025Q3–2026Q2 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</si>
  <si>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以公司財報為準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</si>
  <si>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2026-07-03</t>
    </r>
    <r>
      <rPr>
        <b val="true"/>
        <sz val="11"/>
        <rFont val="Noto Sans CJK SC"/>
        <family val="2"/>
      </rPr>
      <t xml:space="preserve">）</t>
    </r>
  </si>
  <si>
    <t xml:space="preserve">eq0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</si>
  <si>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年底股東權益</t>
    </r>
  </si>
  <si>
    <t xml:space="preserve">nc0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</si>
  <si>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年底淨現金（現金 − 負債）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</si>
  <si>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）：現金 </t>
    </r>
    <r>
      <rPr>
        <sz val="11"/>
        <color theme="1"/>
        <rFont val="Calibri"/>
        <family val="2"/>
        <charset val="1"/>
      </rPr>
      <t xml:space="preserve">4.762</t>
    </r>
    <r>
      <rPr>
        <sz val="11"/>
        <color theme="1"/>
        <rFont val="Noto Sans CJK SC"/>
        <family val="2"/>
      </rPr>
      <t xml:space="preserve">、負債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（已全數清償）</t>
    </r>
  </si>
  <si>
    <t xml:space="preserve">sh0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</si>
  <si>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年底後）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</si>
  <si>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146.42M</t>
    </r>
  </si>
  <si>
    <r>
      <rPr>
        <sz val="11"/>
        <color theme="1"/>
        <rFont val="Calibri"/>
        <family val="2"/>
        <charset val="1"/>
      </rPr>
      <t xml:space="preserve">MarketScreener FY2027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146.419M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已買回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</si>
  <si>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dil</t>
  </si>
  <si>
    <t xml:space="preserve">稀釋股數 − 流通股數</t>
  </si>
  <si>
    <r>
      <rPr>
        <sz val="11"/>
        <color theme="1"/>
        <rFont val="Noto Sans CJK SC"/>
        <family val="2"/>
      </rPr>
      <t xml:space="preserve">公司指引稀釋約 </t>
    </r>
    <r>
      <rPr>
        <sz val="11"/>
        <color theme="1"/>
        <rFont val="Calibri"/>
        <family val="2"/>
        <charset val="1"/>
      </rPr>
      <t xml:space="preserve">155 − </t>
    </r>
    <r>
      <rPr>
        <sz val="11"/>
        <color theme="1"/>
        <rFont val="Noto Sans CJK SC"/>
        <family val="2"/>
      </rPr>
      <t xml:space="preserve">流通 </t>
    </r>
    <r>
      <rPr>
        <sz val="11"/>
        <color theme="1"/>
        <rFont val="Calibri"/>
        <family val="2"/>
        <charset val="1"/>
      </rPr>
      <t xml:space="preserve">146.42</t>
    </r>
  </si>
  <si>
    <t xml:space="preserve">各年固定</t>
  </si>
  <si>
    <t xml:space="preserve">da_y</t>
  </si>
  <si>
    <t xml:space="preserve">折舊攤銷（公司本身；年）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</si>
  <si>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</si>
  <si>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0.149</t>
    </r>
  </si>
  <si>
    <t xml:space="preserve">合資廠折舊在晶圓成本（營業成本）內</t>
  </si>
  <si>
    <t xml:space="preserve">cap_r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</si>
  <si>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營收（含合資群分攤；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</si>
  <si>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Motley Fool 2026-08-29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合資的分攤）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</si>
  <si>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（其中合資分攤 </t>
    </r>
    <r>
      <rPr>
        <sz val="11"/>
        <color theme="1"/>
        <rFont val="Calibri"/>
        <family val="2"/>
        <charset val="1"/>
      </rPr>
      <t xml:space="preserve">0.519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簡報，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</si>
  <si>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payout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</si>
  <si>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</si>
  <si>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）：新增 </t>
    </r>
    <r>
      <rPr>
        <sz val="11"/>
        <color theme="1"/>
        <rFont val="Calibri"/>
        <family val="2"/>
        <charset val="1"/>
      </rPr>
      <t xml:space="preserve">$14B </t>
    </r>
    <r>
      <rPr>
        <sz val="11"/>
        <color theme="1"/>
        <rFont val="Noto Sans CJK SC"/>
        <family val="2"/>
      </rPr>
      <t xml:space="preserve">授權（合計剩餘 </t>
    </r>
    <r>
      <rPr>
        <sz val="11"/>
        <color theme="1"/>
        <rFont val="Calibri"/>
        <family val="2"/>
        <charset val="1"/>
      </rPr>
      <t xml:space="preserve">$15.5B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</si>
  <si>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無現金股利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</si>
  <si>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</si>
  <si>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</si>
  <si>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</si>
  <si>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參考價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（同日）；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1,581.82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</si>
  <si>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</si>
  <si>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</si>
  <si>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</si>
  <si>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</si>
  <si>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</si>
  <si>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</si>
  <si>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49,135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49.1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43.4–53.2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</si>
  <si>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</si>
  <si>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</si>
  <si>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</si>
  <si>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</si>
  <si>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</si>
  <si>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217.4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  <r>
      <rPr>
        <sz val="11"/>
        <color theme="1"/>
        <rFont val="Calibri"/>
        <family val="2"/>
        <charset val="1"/>
      </rPr>
      <t xml:space="preserve">non-GAAP 214.82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186.97–238.36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</si>
  <si>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</si>
  <si>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</si>
  <si>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</si>
  <si>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</si>
  <si>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</si>
  <si>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</si>
  <si>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</si>
  <si>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</t>
    </r>
  </si>
  <si>
    <t xml:space="preserve">cons_bv29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</si>
  <si>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</si>
  <si>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</si>
  <si>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</si>
  <si>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cons_ni28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</si>
  <si>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</si>
  <si>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</si>
  <si>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</si>
  <si>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</si>
  <si>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</si>
  <si>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</si>
  <si>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</si>
  <si>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</si>
  <si>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</si>
  <si>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</si>
  <si>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</si>
  <si>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</si>
  <si>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</si>
  <si>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記憶體循環股的盈餘波動大於一般大型股；依工作單不改值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</si>
  <si>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</si>
  <si>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</si>
  <si>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</si>
  <si>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</si>
  <si>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FY2025–FY2026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</si>
  <si>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−</t>
    </r>
    <r>
      <rPr>
        <sz val="11"/>
        <color theme="1"/>
        <rFont val="Calibri"/>
        <family val="2"/>
        <charset val="1"/>
      </rPr>
      <t xml:space="preserve">1.641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9.216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11.433 ÷ 15.736</t>
    </r>
  </si>
  <si>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以前為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快閃記憶體事業（無獨立權益）；只用兩年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</si>
  <si>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</si>
  <si>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</si>
  <si>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</si>
  <si>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</si>
  <si>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</si>
  <si>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</si>
  <si>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</si>
  <si>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獨立上市不足十年（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分拆），以同為記憶體循環股的美光十年平均代替；差異：美光含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純度低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</si>
  <si>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</si>
  <si>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</si>
  <si>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（循環股收斂到循環中段，不延續高峰利潤率）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</si>
  <si>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</si>
  <si>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</si>
  <si>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</si>
  <si>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</si>
  <si>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</si>
  <si>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</si>
  <si>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</si>
  <si>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</si>
  <si>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</si>
  <si>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</si>
  <si>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</si>
  <si>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</si>
  <si>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</si>
  <si>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</si>
  <si>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</si>
  <si>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</si>
  <si>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</si>
  <si>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</si>
  <si>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</si>
  <si>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</si>
  <si>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</si>
  <si>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</si>
  <si>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1,000–3,600</t>
    </r>
  </si>
  <si>
    <r>
      <rPr>
        <sz val="11"/>
        <color theme="1"/>
        <rFont val="Calibri"/>
        <family val="2"/>
        <charset val="1"/>
      </rPr>
      <t xml:space="preserve">MarketScreener 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收盤時）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</si>
  <si>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</si>
  <si>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</si>
  <si>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</si>
  <si>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</si>
  <si>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</si>
  <si>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scn_cd</t>
  </si>
  <si>
    <t xml:space="preserve">每位元成本年降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</si>
  <si>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</si>
  <si>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</si>
  <si>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</si>
  <si>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</si>
  <si>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</si>
  <si>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</si>
  <si>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</si>
  <si>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</si>
  <si>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</si>
  <si>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</si>
  <si>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</si>
  <si>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</si>
  <si>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美元）與公司指引。會計年度約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</t>
    </r>
  </si>
  <si>
    <t xml:space="preserve">FQ1 FY26</t>
  </si>
  <si>
    <t xml:space="preserve">FQ2 FY26</t>
  </si>
  <si>
    <t xml:space="preserve">FQ3 FY26</t>
  </si>
  <si>
    <t xml:space="preserve">FQ4 FY26</t>
  </si>
  <si>
    <t xml:space="preserve">FY2026</t>
  </si>
  <si>
    <r>
      <rPr>
        <b val="true"/>
        <sz val="11"/>
        <rFont val="Cambria"/>
        <family val="0"/>
        <charset val="1"/>
      </rPr>
      <t xml:space="preserve">FQ1 FY27 </t>
    </r>
    <r>
      <rPr>
        <b val="true"/>
        <sz val="11"/>
        <rFont val="Noto Sans CJK SC"/>
        <family val="2"/>
      </rPr>
      <t xml:space="preserve">實績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</si>
  <si>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</si>
  <si>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</si>
  <si>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</si>
  <si>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</si>
  <si>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</si>
  <si>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</si>
  <si>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</si>
  <si>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檢查：四季營收、淨利合計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</si>
  <si>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季增：營收</t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</si>
  <si>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）實績已滾入（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公布：營收 </t>
    </r>
    <r>
      <rPr>
        <sz val="11"/>
        <color theme="1"/>
        <rFont val="Calibri"/>
        <family val="2"/>
        <charset val="1"/>
      </rPr>
      <t xml:space="preserve">11.031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4.802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5.832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0.397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85.0%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第一季＝市場層推導（營收等於實績，為恆等式）。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指引：營收 </t>
    </r>
    <r>
      <rPr>
        <sz val="11"/>
        <color theme="1"/>
        <rFont val="Calibri"/>
        <family val="2"/>
        <charset val="1"/>
      </rPr>
      <t xml:space="preserve">12.2–12.6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84.5–85.5%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EPS 55–57</t>
    </r>
    <r>
      <rPr>
        <sz val="11"/>
        <color theme="1"/>
        <rFont val="Noto Sans CJK SC"/>
        <family val="2"/>
      </rPr>
      <t xml:space="preserve">（分割前）、稀釋股數 </t>
    </r>
    <r>
      <rPr>
        <sz val="11"/>
        <color theme="1"/>
        <rFont val="Calibri"/>
        <family val="2"/>
        <charset val="1"/>
      </rPr>
      <t xml:space="preserve">151</t>
    </r>
    <r>
      <rPr>
        <sz val="11"/>
        <color theme="1"/>
        <rFont val="Noto Sans CJK SC"/>
        <family val="2"/>
      </rPr>
      <t xml:space="preserve">。董事會核准一股分八股（</t>
    </r>
    <r>
      <rPr>
        <sz val="11"/>
        <color theme="1"/>
        <rFont val="Calibri"/>
        <family val="2"/>
        <charset val="1"/>
      </rPr>
      <t xml:space="preserve">2026-11-20 </t>
    </r>
    <r>
      <rPr>
        <sz val="11"/>
        <color theme="1"/>
        <rFont val="Noto Sans CJK SC"/>
        <family val="2"/>
      </rPr>
      <t xml:space="preserve">起分割後交易），本版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與股價仍為分割前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</si>
  <si>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</si>
  <si>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</si>
  <si>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</si>
  <si>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</si>
  <si>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</si>
  <si>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</si>
  <si>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</si>
  <si>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</si>
  <si>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</si>
  <si>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</si>
  <si>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</si>
  <si>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</si>
  <si>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</si>
  <si>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</si>
  <si>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</si>
  <si>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</si>
  <si>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</si>
  <si>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</si>
  <si>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</si>
  <si>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</si>
  <si>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</si>
  <si>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</si>
  <si>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</si>
  <si>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</si>
  <si>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</si>
  <si>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</si>
  <si>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</si>
  <si>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Mkt!C44:Z44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</si>
  <si>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</si>
  <si>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Mkt!C92:Z92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</si>
  <si>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</si>
  <si>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Mkt!C140:Z140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</si>
  <si>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</si>
  <si>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</si>
  <si>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Mkt!C48:Z48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</si>
  <si>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</si>
  <si>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Mkt!C96:Z96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</si>
  <si>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</si>
  <si>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Mkt!C144:Z144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</si>
  <si>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</si>
  <si>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</si>
  <si>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</si>
  <si>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</si>
  <si>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</si>
  <si>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</si>
  <si>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</si>
  <si>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</si>
  <si>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</si>
  <si>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</si>
  <si>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</si>
  <si>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</si>
  <si>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</si>
  <si>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</si>
  <si>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</si>
  <si>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</si>
  <si>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</si>
  <si>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</si>
  <si>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</si>
  <si>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PL — SanDisk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收斂法見底部）。頂端摘要，下方三情境各一個完整推導區塊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</si>
  <si>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</si>
  <si>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</si>
  <si>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</si>
  <si>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</si>
  <si>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</si>
  <si>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</si>
  <si>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</si>
  <si>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資料中心</t>
  </si>
  <si>
    <r>
      <rPr>
        <sz val="11"/>
        <color theme="1"/>
        <rFont val="Noto Sans CJK SC"/>
        <family val="2"/>
      </rPr>
      <t xml:space="preserve">  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</si>
  <si>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邊緣</t>
  </si>
  <si>
    <t xml:space="preserve">  消費</t>
  </si>
  <si>
    <t xml:space="preserve">毛利率</t>
  </si>
  <si>
    <t xml:space="preserve">營業利益</t>
  </si>
  <si>
    <t xml:space="preserve">營業利益率</t>
  </si>
  <si>
    <t xml:space="preserve">淨利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</si>
  <si>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</si>
  <si>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</si>
  <si>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</si>
  <si>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</si>
  <si>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</si>
  <si>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</si>
  <si>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</si>
  <si>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</si>
  <si>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FQ1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</si>
  <si>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</si>
  <si>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</si>
  <si>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</si>
  <si>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</si>
  <si>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</si>
  <si>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</si>
  <si>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</si>
  <si>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</si>
  <si>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</si>
  <si>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</si>
  <si>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</si>
  <si>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</si>
  <si>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</si>
  <si>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</si>
  <si>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</si>
  <si>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</si>
  <si>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</si>
  <si>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</si>
  <si>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實績季＝公司財報；之後＝市場層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</t>
    </r>
  </si>
  <si>
    <t xml:space="preserve">資料中心</t>
  </si>
  <si>
    <r>
      <rPr>
        <sz val="11"/>
        <color theme="1"/>
        <rFont val="Noto Sans CJK SC"/>
        <family val="2"/>
      </rPr>
      <t xml:space="preserve">官方分部；實績季＝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資料中心占比（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</si>
  <si>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相關（＝資料中心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</si>
  <si>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 ≈ 前後兩個日曆年平均；假設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資料中心組合與產業企業級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相同</t>
    </r>
  </si>
  <si>
    <r>
      <rPr>
        <sz val="11"/>
        <color theme="1"/>
        <rFont val="Noto Sans CJK SC"/>
        <family val="2"/>
      </rPr>
      <t xml:space="preserve">  資料中心：非 </t>
    </r>
    <r>
      <rPr>
        <sz val="11"/>
        <color theme="1"/>
        <rFont val="Calibri"/>
        <family val="2"/>
        <charset val="1"/>
      </rPr>
      <t xml:space="preserve">AI</t>
    </r>
  </si>
  <si>
    <t xml:space="preserve">消費</t>
  </si>
  <si>
    <t xml:space="preserve">官方分部</t>
  </si>
  <si>
    <t xml:space="preserve">邊緣</t>
  </si>
  <si>
    <t xml:space="preserve">官方分部；預測季＝營收 − 資料中心 − 消費</t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</si>
  <si>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</si>
  <si>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以實績毛利率校準，之後每年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</si>
  <si>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$B/EB</t>
  </si>
  <si>
    <t xml:space="preserve">營業成本</t>
  </si>
  <si>
    <t xml:space="preserve">營業費用</t>
  </si>
  <si>
    <r>
      <rPr>
        <sz val="11"/>
        <color theme="1"/>
        <rFont val="Noto Sans CJK SC"/>
        <family val="2"/>
      </rPr>
      <t xml:space="preserve">固定部分以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營業費用（實績推估）校準（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</si>
  <si>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（營業利益＋上一年底淨現金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</si>
  <si>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</si>
  <si>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</si>
  <si>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t xml:space="preserve">營收：資料中心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</si>
  <si>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</si>
  <si>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營收：邊緣</t>
  </si>
  <si>
    <t xml:space="preserve">營收：消費</t>
  </si>
  <si>
    <r>
      <rPr>
        <sz val="11"/>
        <color theme="1"/>
        <rFont val="Noto Sans CJK SC"/>
        <family val="2"/>
      </rPr>
      <t xml:space="preserve">檢查：分部合計 − 合併營收（年；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另比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分部）</t>
    </r>
  </si>
  <si>
    <t xml:space="preserve">折舊攤銷（公司本身）</t>
  </si>
  <si>
    <t xml:space="preserve">資本支出（含合資群分攤）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</si>
  <si>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（公司簡報；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</si>
  <si>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自由現金流（淨利＋折舊 − 資本支出）</t>
  </si>
  <si>
    <t xml:space="preserve">買回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</si>
  <si>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4.524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</t>
    </r>
    <r>
      <rPr>
        <sz val="11"/>
        <color theme="1"/>
        <rFont val="Noto Sans CJK SC"/>
        <family val="2"/>
      </rPr>
      <t xml:space="preserve">）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</si>
  <si>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</si>
  <si>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</si>
  <si>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</si>
  <si>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</si>
  <si>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</si>
  <si>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</si>
  <si>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</si>
  <si>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營收、淨利 − 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</si>
  <si>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</si>
  <si>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</si>
  <si>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FY2026–FY2029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</si>
  <si>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</si>
  <si>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</si>
  <si>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</si>
  <si>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</si>
  <si>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</si>
  <si>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</si>
  <si>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</si>
  <si>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</si>
  <si>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</si>
  <si>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</si>
  <si>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</si>
  <si>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SanDisk 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分拆上市，無十年自身倍數歷史：十年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</si>
  <si>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</si>
  <si>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</si>
  <si>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</si>
  <si>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</si>
  <si>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</si>
  <si>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</si>
  <si>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</si>
  <si>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</si>
  <si>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</si>
  <si>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</si>
  <si>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</si>
  <si>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</si>
  <si>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</si>
  <si>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</si>
  <si>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區塊每股自由現金流（資本支出含合資群分攤）；收斂期（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</si>
  <si>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</si>
  <si>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</si>
  <si>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</si>
  <si>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</si>
  <si>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</si>
  <si>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</si>
  <si>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</si>
  <si>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</si>
  <si>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</si>
  <si>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</si>
  <si>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</si>
  <si>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</si>
  <si>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</si>
  <si>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</si>
  <si>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</si>
  <si>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</si>
  <si>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</si>
  <si>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</si>
  <si>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</si>
  <si>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</si>
  <si>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</si>
  <si>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</si>
  <si>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</si>
  <si>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</si>
  <si>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</si>
  <si>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</si>
  <si>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</si>
  <si>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</si>
  <si>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Kioxia</t>
  </si>
  <si>
    <t xml:space="preserve">285A.T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</si>
  <si>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，分割後）</t>
    </r>
    <r>
      <rPr>
        <sz val="11"/>
        <color theme="1"/>
        <rFont val="Calibri"/>
        <family val="2"/>
        <charset val="1"/>
      </rPr>
      <t xml:space="preserve">÷ MarketScreener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 </t>
    </r>
    <r>
      <rPr>
        <sz val="11"/>
        <color theme="1"/>
        <rFont val="Calibri"/>
        <family val="2"/>
        <charset val="1"/>
      </rPr>
      <t xml:space="preserve">¥7,808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</si>
  <si>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</si>
  <si>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：僅有落後 </t>
    </r>
    <r>
      <rPr>
        <sz val="11"/>
        <color theme="1"/>
        <rFont val="Calibri"/>
        <family val="2"/>
        <charset val="1"/>
      </rPr>
      <t xml:space="preserve">P/B 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），與記憶體不可比；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共識平均）約 </t>
    </r>
    <r>
      <rPr>
        <sz val="11"/>
        <color theme="1"/>
        <rFont val="Calibri"/>
        <family val="2"/>
        <charset val="1"/>
      </rPr>
      <t xml:space="preserve">2.9x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</si>
  <si>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</si>
  <si>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</si>
  <si>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</si>
  <si>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</si>
  <si>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</si>
  <si>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</si>
  <si>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</si>
  <si>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</si>
  <si>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</si>
  <si>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</si>
  <si>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</si>
  <si>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</si>
  <si>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¥3,486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</si>
  <si>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</si>
  <si>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</si>
  <si>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</si>
  <si>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</si>
  <si>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</si>
  <si>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</si>
  <si>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</si>
  <si>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</si>
  <si>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</si>
  <si>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</si>
  <si>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</si>
  <si>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</si>
  <si>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</si>
  <si>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1,000–3,600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</si>
  <si>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</si>
  <si>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</si>
  <si>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</si>
  <si>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</si>
  <si>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</si>
  <si>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</si>
  <si>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</si>
  <si>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</si>
  <si>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</si>
  <si>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</si>
  <si>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年底平均 </t>
    </r>
    <r>
      <rPr>
        <sz val="11"/>
        <color theme="1"/>
        <rFont val="Calibri"/>
        <family val="2"/>
        <charset val="1"/>
      </rPr>
      <t xml:space="preserve">601.9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</si>
  <si>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</si>
  <si>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267.6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 281.7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</si>
  <si>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</si>
  <si>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</si>
  <si>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</si>
  <si>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</si>
  <si>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</si>
  <si>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</si>
  <si>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用每股（淨利＋折舊－資本支出；資本支出含合資群分攤，約營收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為高峰期盈餘、收斂期淨利率以美光十年平均代替（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無自身歷史）；大量買回壓低帳面淨值，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法偏低估。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</si>
  <si>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</si>
  <si>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</si>
  <si>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</si>
  <si>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</si>
  <si>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</si>
  <si>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</si>
  <si>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</si>
  <si>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EPS 73.76</t>
    </r>
  </si>
  <si>
    <t xml:space="preserve">落後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</si>
  <si>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年底每股淨值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</si>
  <si>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年底權益 </t>
    </r>
    <r>
      <rPr>
        <sz val="11"/>
        <color theme="1"/>
        <rFont val="Calibri"/>
        <family val="2"/>
        <charset val="1"/>
      </rPr>
      <t xml:space="preserve">15.736 ÷ 146.42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</si>
  <si>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</si>
  <si>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</si>
  <si>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</si>
  <si>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</si>
  <si>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</si>
  <si>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</si>
  <si>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</si>
  <si>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</si>
  <si>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</si>
  <si>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</si>
  <si>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</si>
  <si>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</si>
  <si>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</si>
  <si>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</si>
  <si>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自身上市不足十年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</si>
  <si>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</si>
  <si>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</si>
  <si>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</si>
  <si>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</si>
  <si>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</si>
  <si>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</si>
  <si>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</si>
  <si>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</si>
  <si>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</si>
  <si>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</si>
  <si>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</si>
  <si>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</si>
  <si>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</si>
  <si>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</si>
  <si>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</si>
  <si>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</si>
  <si>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</si>
  <si>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</si>
  <si>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</si>
  <si>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</si>
  <si>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</si>
  <si>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</si>
  <si>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</si>
  <si>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</si>
  <si>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</si>
  <si>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</si>
  <si>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</si>
  <si>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</si>
  <si>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</si>
  <si>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</si>
  <si>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</si>
  <si>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</si>
  <si>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</si>
  <si>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</si>
  <si>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</si>
  <si>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</si>
  <si>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</si>
  <si>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</si>
  <si>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</si>
  <si>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</si>
  <si>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</si>
  <si>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</si>
  <si>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</si>
  <si>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</si>
  <si>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</si>
  <si>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</si>
  <si>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</si>
  <si>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</si>
  <si>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</si>
  <si>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</si>
  <si>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</si>
  <si>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</si>
  <si>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</si>
  <si>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</si>
  <si>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</si>
  <si>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</si>
  <si>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</si>
  <si>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</si>
  <si>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</si>
  <si>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</si>
  <si>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</si>
  <si>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</si>
  <si>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</si>
  <si>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</si>
  <si>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</si>
  <si>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</si>
  <si>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</si>
  <si>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</si>
  <si>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</si>
  <si>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</si>
  <si>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</si>
  <si>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</si>
  <si>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</si>
  <si>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</si>
  <si>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</si>
  <si>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SanDisk</t>
  </si>
  <si>
    <t xml:space="preserve">SNDK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</si>
  <si>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</si>
  <si>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SNDK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</si>
  <si>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</si>
  <si>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</si>
  <si>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</si>
  <si>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</si>
  <si>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</si>
  <si>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WDC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</si>
  <si>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</si>
  <si>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</si>
  <si>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</si>
  <si>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</si>
  <si>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</si>
  <si>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</si>
  <si>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</si>
  <si>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</si>
  <si>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</si>
  <si>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</si>
  <si>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</si>
  <si>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</si>
  <si>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</si>
  <si>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</si>
  <si>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</si>
  <si>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</si>
  <si>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</si>
  <si>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</si>
  <si>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</si>
  <si>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</si>
  <si>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</si>
  <si>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</si>
  <si>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</si>
  <si>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</si>
  <si>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</si>
  <si>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</si>
  <si>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</t>
    </r>
  </si>
  <si>
    <t xml:space="preserve">恆等式（市場層份額由指引推得）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</si>
  <si>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實績（百分點）</t>
    </r>
  </si>
  <si>
    <t xml:space="preserve">恆等式（單位成本以此校準）</t>
  </si>
  <si>
    <r>
      <rPr>
        <sz val="11"/>
        <color theme="1"/>
        <rFont val="Calibri"/>
        <family val="2"/>
        <charset val="1"/>
      </rPr>
      <t xml:space="preserve">FQ1 FY27 EPS vs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non-GAAP 49.51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</si>
  <si>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營業費用＋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稅率，近似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（差約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</si>
  <si>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2026-10-23</t>
    </r>
    <r>
      <rPr>
        <b val="true"/>
        <sz val="11"/>
        <rFont val="Noto Sans CJK SC"/>
        <family val="2"/>
      </rPr>
      <t xml:space="preserve">；只作參考）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</si>
  <si>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</si>
  <si>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</si>
  <si>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</si>
  <si>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</si>
  <si>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</si>
  <si>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</si>
  <si>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</si>
  <si>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sd_k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</si>
  <si>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</si>
  <si>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</si>
  <si>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</si>
  <si>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</si>
  <si>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</si>
  <si>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</si>
  <si>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</si>
  <si>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</si>
  <si>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</si>
  <si>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</si>
  <si>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</si>
  <si>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</si>
  <si>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</si>
  <si>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</si>
  <si>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</si>
  <si>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</si>
  <si>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</si>
  <si>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</si>
  <si>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</si>
  <si>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</si>
  <si>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</si>
  <si>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</si>
  <si>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</si>
  <si>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</si>
  <si>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</si>
  <si>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校準毛利率 </t>
    </r>
    <r>
      <rPr>
        <sz val="11"/>
        <color theme="1"/>
        <rFont val="Calibri"/>
        <family val="2"/>
        <charset val="1"/>
      </rPr>
      <t xml:space="preserve">84.5%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</si>
  <si>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</si>
  <si>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校準毛利率 </t>
    </r>
    <r>
      <rPr>
        <sz val="11"/>
        <color theme="1"/>
        <rFont val="Calibri"/>
        <family val="2"/>
        <charset val="1"/>
      </rPr>
      <t xml:space="preserve">85.5%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</si>
  <si>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</si>
  <si>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</si>
  <si>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</si>
  <si>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</si>
  <si>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</si>
  <si>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</si>
  <si>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</si>
  <si>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80%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</si>
  <si>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</si>
  <si>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30%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</si>
  <si>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</si>
  <si>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</si>
  <si>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</si>
  <si>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</si>
  <si>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</si>
  <si>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營收由市場層等於公司指引（恆等式），價格係數只作用在 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起；毛利率校準改變單位成本起點，之後每年依成本年降。</t>
    </r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</si>
  <si>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</t>
    </r>
    <r>
      <rPr>
        <b val="true"/>
        <sz val="11"/>
        <rFont val="Cambria"/>
        <family val="0"/>
        <charset val="1"/>
      </rPr>
      <t xml:space="preserve">FQ2 FY27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</si>
  <si>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</si>
  <si>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</si>
  <si>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</si>
  <si>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</si>
  <si>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</si>
  <si>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案例區塊：校準毛利率 </t>
    </r>
    <r>
      <rPr>
        <b val="true"/>
        <sz val="11"/>
        <rFont val="Cambria"/>
        <family val="0"/>
        <charset val="1"/>
      </rPr>
      <t xml:space="preserve">84.5%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</si>
  <si>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案例區塊：校準毛利率 </t>
    </r>
    <r>
      <rPr>
        <b val="true"/>
        <sz val="11"/>
        <rFont val="Cambria"/>
        <family val="0"/>
        <charset val="1"/>
      </rPr>
      <t xml:space="preserve">85.5%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</si>
  <si>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</si>
  <si>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</si>
  <si>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</si>
  <si>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80%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</si>
  <si>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</si>
  <si>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</si>
  <si>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</si>
  <si>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</si>
  <si>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</si>
  <si>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</si>
  <si>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</si>
  <si>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</si>
  <si>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</si>
  <si>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</si>
  <si>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</si>
  <si>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</si>
  <si>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</si>
  <si>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</si>
  <si>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</si>
  <si>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</si>
  <si>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</si>
  <si>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</si>
  <si>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</si>
  <si>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t xml:space="preserve">https://www.sec.gov/Archives/edgar/data/2023554/000162828026004121/sndkq2fy26ex991-pressrelea.htm</t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</si>
  <si>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財報日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</t>
    </r>
  </si>
  <si>
    <t xml:space="preserve">https://investor.sandisk.com/news-releases/news-release-details/sandisk-report-first-quarter-fiscal-year-2027-results-october-29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</si>
  <si>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：歷史股價、統計、共識目標價</t>
    </r>
  </si>
  <si>
    <t xml:space="preserve">https://stockanalysis.com/stocks/sndk/forecast/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</si>
  <si>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、每股淨值、股數）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</si>
  <si>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</si>
  <si>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</si>
  <si>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</si>
  <si>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</si>
  <si>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</si>
  <si>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日本投資、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2026-08-29</t>
    </r>
    <r>
      <rPr>
        <sz val="11"/>
        <color theme="1"/>
        <rFont val="Noto Sans CJK SC"/>
        <family val="2"/>
      </rPr>
      <t xml:space="preserve">）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</si>
  <si>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</si>
  <si>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markets/nand/dist/20261031_NAND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</si>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</sst>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%"/>
    <numFmt numFmtId="167" formatCode="#,##0.00"/>
    <numFmt numFmtId="168" formatCode="0.000"/>
    <numFmt numFmtId="169" formatCode="0.0000"/>
    <numFmt numFmtId="170" formatCode="#,##0.0"/>
    <numFmt numFmtId="171" formatCode="0%"/>
    <numFmt numFmtId="172" formatCode="#,##0"/>
    <numFmt numFmtId="173" formatCode="0.00"/>
    <numFmt numFmtId="174" formatCode="@"/>
    <numFmt numFmtId="175" formatCode="0.00\x"/>
    <numFmt numFmtId="176" formatCode="0.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"&amp;TEXT(Val!B49,"#,##0")&amp;" 美元，相對現價 "&amp;TEXT(px,"#,##0.00")&amp;"（2026-10-23 收盤）"&amp;TEXT(Val!B52,"+0.0%;−0.0%")&amp;"，主因是 Comparable 偏低：同業前瞻 P/B 中位數 "&amp;TEXT(Val!B32,"0.00")&amp;"x，而共識目標價隱含約 "&amp;TEXT(cons_tp/((cons_bv28+cons_bv29)/2),"0.00")&amp;"x（倍數因素 "&amp;TEXT(Val!B59,"+0%;−0%")&amp;"）；DCF 目標價 "&amp;TEXT(Val!B24,"#,##0")&amp;" 高於 Comparable "&amp;TEXT(Val!B34,"#,##0")&amp;"。"</f>
        <v>1. 加權目標價 930 美元，相對現價 1,238.03（2026-10-23 收盤）−24.9%，主因是 Comparable 偏低：同業前瞻 P/B 中位數 1.49x，而共識目標價隱含約 3.56x（倍數因素 +139%）；DCF 目標價 1,122 高於 Comparable 739。</v>
      </c>
    </row>
    <row r="5" customFormat="false" ht="17.15" hidden="false" customHeight="false" outlineLevel="0" collapsed="false">
      <c r="A5" s="2" t="str">
        <f aca="false">"2. 本模型 FY2027 EPS（A）"&amp;TEXT(PL!E14,"0")&amp;" 美元，比共識 217.4 "&amp;TEXT(PL!E14/cons_eps27-1,"+0%;−0%")&amp;"；B、C 到 FY2028 才分歧（"&amp;TEXT(PL!F28,"0")&amp;"／"&amp;TEXT(PL!F42,"0")&amp;"），因為 2026Q3–2027Q2 的價格與位元三情境幾乎相同（markets/nand）。v0.3 已滾入 FQ1 FY27 實績（營收 11.031）；v0.4 對帳：模型 FQ2 FY27 營收 "&amp;TEXT(PL!H60,"0.00")&amp;"，在指引 12.2–12.6 內（v0.3 為 13.59、高 9.6%）。原因是市場層把合約價當實現價：2026Q3 實現 +25%、2026Q4 改 +8.1%（兩季累計不變），SanDisk 2026Q3 份額由 11.6% 降為 10.7%（2026Q4 起取兩季平均 10.65%）；公司稱約一半位元在長約（底價＋浮動），同品項價格溫和上升。"</f>
        <v>2. 本模型 FY2027 EPS（A）264 美元，比共識 217.4 +21%；B、C 到 FY2028 才分歧（215／190），因為 2026Q3–2027Q2 的價格與位元三情境幾乎相同（markets/nand）。v0.3 已滾入 FQ1 FY27 實績（營收 11.031）；v0.4 對帳：模型 FQ2 FY27 營收 12.45，在指引 12.2–12.6 內（v0.3 為 13.59、高 9.6%）。原因是市場層把合約價當實現價：2026Q3 實現 +25%、2026Q4 改 +8.1%（兩季累計不變），SanDisk 2026Q3 份額由 11.6% 降為 10.7%（2026Q4 起取兩季平均 10.65%）；公司稱約一半位元在長約（底價＋浮動），同品項價格溫和上升。</v>
      </c>
    </row>
    <row r="6" customFormat="false" ht="17.15" hidden="false" customHeight="false" outlineLevel="0" collapsed="false">
      <c r="A6" s="2" t="str">
        <f aca="false">"3. 最敏感的是價格而非成本：2027 起季價 ±20% 使 FY2028 EPS（A）變動 "&amp;TEXT(Sens!H5,"+0%;−0%")&amp;"／"&amp;TEXT(Sens!H6,"+0%;−0%")&amp;"，成本年降 ±4pt 只有約 ±1%；情境 C 的 FY2029 毛利率降到 "&amp;TEXT(PL!G38,"0%")&amp;"（CY2028 NAND 價格跌回約 2025 年水準）。追蹤：TrendForce 每季初的 NAND 合約價與 Kioxia 2026-10-30 財報（合資群位元與價格）。"</f>
        <v>3. 最敏感的是價格而非成本：2027 起季價 ±20% 使 FY2028 EPS（A）變動 −28%／+30%，成本年降 ±4pt 只有約 ±1%；情境 C 的 FY2029 毛利率降到 49%（CY2028 NAND 價格跌回約 2025 年水準）。追蹤：TrendForce 每季初的 NAND 合約價與 Kioxia 2026-10-30 財報（合資群位元與價格）。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投資建議：中立（依上檔空間固定規則；上檔空間：−24.9%，級距：0%～−25%）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  <row r="19" customFormat="false" ht="17.15" hidden="false" customHeight="false" outlineLevel="0" collapsed="false">
      <c r="A19" s="0" t="s">
        <v>11</v>
      </c>
    </row>
    <row r="21" customFormat="false" ht="17.15" hidden="false" customHeight="false" outlineLevel="0" collapsed="false">
      <c r="A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2.308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33</v>
      </c>
      <c r="E6" s="7" t="n">
        <v>0.298</v>
      </c>
      <c r="G6" s="8" t="s">
        <v>28</v>
      </c>
      <c r="H6" s="8" t="s">
        <v>29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0.176</v>
      </c>
      <c r="G7" s="8" t="s">
        <v>28</v>
      </c>
      <c r="H7" s="8" t="s">
        <v>29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0.112</v>
      </c>
      <c r="G8" s="8" t="s">
        <v>28</v>
      </c>
      <c r="H8" s="8" t="s">
        <v>29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40</v>
      </c>
      <c r="E9" s="7" t="n">
        <v>0.75</v>
      </c>
      <c r="G9" s="8" t="s">
        <v>28</v>
      </c>
      <c r="H9" s="8" t="s">
        <v>29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27</v>
      </c>
      <c r="E10" s="7" t="n">
        <v>3.025</v>
      </c>
      <c r="G10" s="8" t="s">
        <v>28</v>
      </c>
      <c r="H10" s="8" t="s">
        <v>29</v>
      </c>
      <c r="I10" s="8" t="s">
        <v>30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33</v>
      </c>
      <c r="E11" s="7" t="n">
        <v>0.509</v>
      </c>
      <c r="G11" s="8" t="s">
        <v>28</v>
      </c>
      <c r="H11" s="8" t="s">
        <v>29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27</v>
      </c>
      <c r="E12" s="7" t="n">
        <v>1.065</v>
      </c>
      <c r="G12" s="8" t="s">
        <v>28</v>
      </c>
      <c r="H12" s="8" t="s">
        <v>29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27</v>
      </c>
      <c r="E13" s="7" t="n">
        <v>0.803</v>
      </c>
      <c r="G13" s="8" t="s">
        <v>28</v>
      </c>
      <c r="H13" s="8" t="s">
        <v>29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0" t="s">
        <v>40</v>
      </c>
      <c r="E14" s="7" t="n">
        <v>5.15</v>
      </c>
      <c r="G14" s="8" t="s">
        <v>28</v>
      </c>
      <c r="H14" s="8" t="s">
        <v>29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27</v>
      </c>
      <c r="E15" s="7" t="n">
        <v>5.95</v>
      </c>
      <c r="G15" s="8" t="s">
        <v>28</v>
      </c>
      <c r="H15" s="8" t="s">
        <v>53</v>
      </c>
      <c r="I15" s="8" t="s">
        <v>30</v>
      </c>
    </row>
    <row r="16" customFormat="false" ht="17.15" hidden="false" customHeight="false" outlineLevel="0" collapsed="false">
      <c r="A16" s="0" t="s">
        <v>54</v>
      </c>
      <c r="B16" s="0" t="s">
        <v>55</v>
      </c>
      <c r="C16" s="0" t="s">
        <v>33</v>
      </c>
      <c r="E16" s="7" t="n">
        <v>0.784</v>
      </c>
      <c r="G16" s="8" t="s">
        <v>28</v>
      </c>
      <c r="H16" s="8" t="s">
        <v>53</v>
      </c>
    </row>
    <row r="17" customFormat="false" ht="17.15" hidden="false" customHeight="false" outlineLevel="0" collapsed="false">
      <c r="A17" s="0" t="s">
        <v>56</v>
      </c>
      <c r="B17" s="0" t="s">
        <v>57</v>
      </c>
      <c r="C17" s="0" t="s">
        <v>27</v>
      </c>
      <c r="E17" s="7" t="n">
        <v>4.111</v>
      </c>
      <c r="G17" s="8" t="s">
        <v>28</v>
      </c>
      <c r="H17" s="8" t="s">
        <v>53</v>
      </c>
    </row>
    <row r="18" customFormat="false" ht="17.15" hidden="false" customHeight="false" outlineLevel="0" collapsed="false">
      <c r="A18" s="0" t="s">
        <v>58</v>
      </c>
      <c r="B18" s="0" t="s">
        <v>59</v>
      </c>
      <c r="C18" s="0" t="s">
        <v>27</v>
      </c>
      <c r="E18" s="7" t="n">
        <v>3.615</v>
      </c>
      <c r="G18" s="8" t="s">
        <v>28</v>
      </c>
      <c r="H18" s="8" t="s">
        <v>53</v>
      </c>
    </row>
    <row r="19" customFormat="false" ht="17.15" hidden="false" customHeight="false" outlineLevel="0" collapsed="false">
      <c r="A19" s="0" t="s">
        <v>60</v>
      </c>
      <c r="B19" s="0" t="s">
        <v>61</v>
      </c>
      <c r="C19" s="0" t="s">
        <v>40</v>
      </c>
      <c r="E19" s="7" t="n">
        <v>23.03</v>
      </c>
      <c r="G19" s="8" t="s">
        <v>28</v>
      </c>
      <c r="H19" s="8" t="s">
        <v>53</v>
      </c>
    </row>
    <row r="20" customFormat="false" ht="17.15" hidden="false" customHeight="false" outlineLevel="0" collapsed="false">
      <c r="A20" s="0" t="s">
        <v>62</v>
      </c>
      <c r="B20" s="0" t="s">
        <v>63</v>
      </c>
      <c r="C20" s="0" t="s">
        <v>27</v>
      </c>
      <c r="E20" s="7" t="n">
        <v>8.965</v>
      </c>
      <c r="G20" s="8" t="s">
        <v>28</v>
      </c>
      <c r="H20" s="8" t="s">
        <v>53</v>
      </c>
      <c r="I20" s="8" t="s">
        <v>30</v>
      </c>
    </row>
    <row r="21" customFormat="false" ht="17.15" hidden="false" customHeight="false" outlineLevel="0" collapsed="false">
      <c r="A21" s="0" t="s">
        <v>64</v>
      </c>
      <c r="B21" s="0" t="s">
        <v>65</v>
      </c>
      <c r="C21" s="0" t="s">
        <v>33</v>
      </c>
      <c r="E21" s="7" t="n">
        <v>0.846</v>
      </c>
      <c r="G21" s="8" t="s">
        <v>28</v>
      </c>
      <c r="H21" s="8" t="s">
        <v>53</v>
      </c>
    </row>
    <row r="22" customFormat="false" ht="17.15" hidden="false" customHeight="false" outlineLevel="0" collapsed="false">
      <c r="A22" s="0" t="s">
        <v>66</v>
      </c>
      <c r="B22" s="0" t="s">
        <v>67</v>
      </c>
      <c r="C22" s="0" t="s">
        <v>27</v>
      </c>
      <c r="E22" s="7" t="n">
        <v>7.037</v>
      </c>
      <c r="G22" s="8" t="s">
        <v>28</v>
      </c>
      <c r="H22" s="8" t="s">
        <v>53</v>
      </c>
    </row>
    <row r="23" customFormat="false" ht="17.15" hidden="false" customHeight="false" outlineLevel="0" collapsed="false">
      <c r="A23" s="0" t="s">
        <v>68</v>
      </c>
      <c r="B23" s="0" t="s">
        <v>69</v>
      </c>
      <c r="C23" s="0" t="s">
        <v>27</v>
      </c>
      <c r="E23" s="7" t="n">
        <v>6.903</v>
      </c>
      <c r="G23" s="8" t="s">
        <v>28</v>
      </c>
      <c r="H23" s="8" t="s">
        <v>53</v>
      </c>
    </row>
    <row r="24" customFormat="false" ht="17.15" hidden="false" customHeight="false" outlineLevel="0" collapsed="false">
      <c r="A24" s="0" t="s">
        <v>70</v>
      </c>
      <c r="B24" s="0" t="s">
        <v>71</v>
      </c>
      <c r="C24" s="0" t="s">
        <v>40</v>
      </c>
      <c r="E24" s="7" t="n">
        <v>43.97</v>
      </c>
      <c r="G24" s="8" t="s">
        <v>28</v>
      </c>
      <c r="H24" s="8" t="s">
        <v>53</v>
      </c>
    </row>
    <row r="25" customFormat="false" ht="17.15" hidden="false" customHeight="false" outlineLevel="0" collapsed="false">
      <c r="A25" s="0" t="s">
        <v>72</v>
      </c>
      <c r="B25" s="0" t="s">
        <v>73</v>
      </c>
      <c r="C25" s="0" t="s">
        <v>27</v>
      </c>
      <c r="E25" s="7" t="n">
        <v>0.269</v>
      </c>
      <c r="G25" s="8" t="s">
        <v>74</v>
      </c>
      <c r="H25" s="8" t="s">
        <v>75</v>
      </c>
      <c r="I25" s="5" t="s">
        <v>76</v>
      </c>
    </row>
    <row r="26" customFormat="false" ht="17.15" hidden="false" customHeight="false" outlineLevel="0" collapsed="false">
      <c r="A26" s="0" t="s">
        <v>77</v>
      </c>
      <c r="B26" s="0" t="s">
        <v>78</v>
      </c>
      <c r="C26" s="0" t="s">
        <v>27</v>
      </c>
      <c r="E26" s="7" t="n">
        <v>1.387</v>
      </c>
      <c r="G26" s="8" t="s">
        <v>74</v>
      </c>
      <c r="H26" s="8" t="s">
        <v>75</v>
      </c>
      <c r="I26" s="8" t="s">
        <v>79</v>
      </c>
    </row>
    <row r="27" customFormat="false" ht="17.15" hidden="false" customHeight="false" outlineLevel="0" collapsed="false">
      <c r="A27" s="0" t="s">
        <v>80</v>
      </c>
      <c r="B27" s="0" t="s">
        <v>81</v>
      </c>
      <c r="C27" s="0" t="s">
        <v>27</v>
      </c>
      <c r="E27" s="7" t="n">
        <v>0.652</v>
      </c>
      <c r="G27" s="8" t="s">
        <v>74</v>
      </c>
      <c r="H27" s="8" t="s">
        <v>75</v>
      </c>
      <c r="I27" s="8" t="s">
        <v>82</v>
      </c>
    </row>
    <row r="28" customFormat="false" ht="17.15" hidden="false" customHeight="false" outlineLevel="0" collapsed="false">
      <c r="A28" s="0" t="s">
        <v>83</v>
      </c>
      <c r="B28" s="0" t="s">
        <v>84</v>
      </c>
      <c r="C28" s="0" t="s">
        <v>27</v>
      </c>
      <c r="E28" s="7" t="n">
        <v>0.44</v>
      </c>
      <c r="G28" s="8" t="s">
        <v>28</v>
      </c>
      <c r="H28" s="8" t="s">
        <v>85</v>
      </c>
      <c r="I28" s="5" t="s">
        <v>76</v>
      </c>
    </row>
    <row r="29" customFormat="false" ht="17.15" hidden="false" customHeight="false" outlineLevel="0" collapsed="false">
      <c r="A29" s="0" t="s">
        <v>86</v>
      </c>
      <c r="B29" s="0" t="s">
        <v>87</v>
      </c>
      <c r="C29" s="0" t="s">
        <v>27</v>
      </c>
      <c r="E29" s="7" t="n">
        <v>1.678</v>
      </c>
      <c r="G29" s="8" t="s">
        <v>28</v>
      </c>
      <c r="H29" s="8" t="s">
        <v>85</v>
      </c>
      <c r="I29" s="8" t="s">
        <v>79</v>
      </c>
    </row>
    <row r="30" customFormat="false" ht="17.15" hidden="false" customHeight="false" outlineLevel="0" collapsed="false">
      <c r="A30" s="0" t="s">
        <v>88</v>
      </c>
      <c r="B30" s="0" t="s">
        <v>89</v>
      </c>
      <c r="C30" s="0" t="s">
        <v>27</v>
      </c>
      <c r="E30" s="7" t="n">
        <v>0.907</v>
      </c>
      <c r="G30" s="8" t="s">
        <v>28</v>
      </c>
      <c r="H30" s="8" t="s">
        <v>85</v>
      </c>
      <c r="I30" s="8" t="s">
        <v>82</v>
      </c>
    </row>
    <row r="31" customFormat="false" ht="17.15" hidden="false" customHeight="false" outlineLevel="0" collapsed="false">
      <c r="A31" s="0" t="s">
        <v>90</v>
      </c>
      <c r="B31" s="0" t="s">
        <v>91</v>
      </c>
      <c r="C31" s="0" t="s">
        <v>27</v>
      </c>
      <c r="E31" s="7" t="n">
        <v>1.467</v>
      </c>
      <c r="G31" s="8" t="s">
        <v>28</v>
      </c>
      <c r="H31" s="8" t="s">
        <v>85</v>
      </c>
      <c r="I31" s="5" t="s">
        <v>76</v>
      </c>
    </row>
    <row r="32" customFormat="false" ht="17.15" hidden="false" customHeight="false" outlineLevel="0" collapsed="false">
      <c r="A32" s="0" t="s">
        <v>92</v>
      </c>
      <c r="B32" s="0" t="s">
        <v>93</v>
      </c>
      <c r="C32" s="0" t="s">
        <v>27</v>
      </c>
      <c r="E32" s="7" t="n">
        <v>3.663</v>
      </c>
      <c r="G32" s="8" t="s">
        <v>28</v>
      </c>
      <c r="H32" s="8" t="s">
        <v>85</v>
      </c>
      <c r="I32" s="8" t="s">
        <v>79</v>
      </c>
    </row>
    <row r="33" customFormat="false" ht="17.15" hidden="false" customHeight="false" outlineLevel="0" collapsed="false">
      <c r="A33" s="0" t="s">
        <v>94</v>
      </c>
      <c r="B33" s="0" t="s">
        <v>95</v>
      </c>
      <c r="C33" s="0" t="s">
        <v>27</v>
      </c>
      <c r="E33" s="7" t="n">
        <v>0.82</v>
      </c>
      <c r="G33" s="8" t="s">
        <v>28</v>
      </c>
      <c r="H33" s="8" t="s">
        <v>85</v>
      </c>
      <c r="I33" s="8" t="s">
        <v>82</v>
      </c>
    </row>
    <row r="34" customFormat="false" ht="17.15" hidden="false" customHeight="false" outlineLevel="0" collapsed="false">
      <c r="A34" s="0" t="s">
        <v>96</v>
      </c>
      <c r="B34" s="0" t="s">
        <v>97</v>
      </c>
      <c r="C34" s="0" t="s">
        <v>27</v>
      </c>
      <c r="E34" s="7" t="n">
        <v>2.977</v>
      </c>
      <c r="G34" s="8" t="s">
        <v>74</v>
      </c>
      <c r="H34" s="8" t="s">
        <v>98</v>
      </c>
      <c r="I34" s="5" t="s">
        <v>76</v>
      </c>
    </row>
    <row r="35" customFormat="false" ht="17.15" hidden="false" customHeight="false" outlineLevel="0" collapsed="false">
      <c r="A35" s="0" t="s">
        <v>99</v>
      </c>
      <c r="B35" s="0" t="s">
        <v>100</v>
      </c>
      <c r="C35" s="0" t="s">
        <v>27</v>
      </c>
      <c r="E35" s="7" t="n">
        <v>5.432</v>
      </c>
      <c r="G35" s="8" t="s">
        <v>74</v>
      </c>
      <c r="H35" s="8" t="s">
        <v>98</v>
      </c>
      <c r="I35" s="8" t="s">
        <v>79</v>
      </c>
    </row>
    <row r="36" customFormat="false" ht="17.15" hidden="false" customHeight="false" outlineLevel="0" collapsed="false">
      <c r="A36" s="0" t="s">
        <v>101</v>
      </c>
      <c r="B36" s="0" t="s">
        <v>102</v>
      </c>
      <c r="C36" s="0" t="s">
        <v>27</v>
      </c>
      <c r="E36" s="7" t="n">
        <v>0.556</v>
      </c>
      <c r="G36" s="8" t="s">
        <v>74</v>
      </c>
      <c r="H36" s="8" t="s">
        <v>98</v>
      </c>
      <c r="I36" s="8" t="s">
        <v>82</v>
      </c>
    </row>
    <row r="37" customFormat="false" ht="17.15" hidden="false" customHeight="false" outlineLevel="0" collapsed="false">
      <c r="A37" s="0" t="s">
        <v>103</v>
      </c>
      <c r="B37" s="0" t="s">
        <v>104</v>
      </c>
      <c r="C37" s="0" t="s">
        <v>27</v>
      </c>
      <c r="E37" s="7" t="n">
        <v>5.153</v>
      </c>
      <c r="G37" s="8" t="s">
        <v>28</v>
      </c>
      <c r="H37" s="8" t="s">
        <v>105</v>
      </c>
    </row>
    <row r="38" customFormat="false" ht="17.15" hidden="false" customHeight="false" outlineLevel="0" collapsed="false">
      <c r="A38" s="0" t="s">
        <v>106</v>
      </c>
      <c r="B38" s="0" t="s">
        <v>107</v>
      </c>
      <c r="C38" s="0" t="s">
        <v>27</v>
      </c>
      <c r="E38" s="7" t="n">
        <v>12.16</v>
      </c>
      <c r="G38" s="8" t="s">
        <v>28</v>
      </c>
      <c r="H38" s="8" t="s">
        <v>105</v>
      </c>
    </row>
    <row r="39" customFormat="false" ht="17.15" hidden="false" customHeight="false" outlineLevel="0" collapsed="false">
      <c r="A39" s="0" t="s">
        <v>108</v>
      </c>
      <c r="B39" s="0" t="s">
        <v>109</v>
      </c>
      <c r="C39" s="0" t="s">
        <v>27</v>
      </c>
      <c r="E39" s="7" t="n">
        <v>2.935</v>
      </c>
      <c r="G39" s="8" t="s">
        <v>28</v>
      </c>
      <c r="H39" s="8" t="s">
        <v>105</v>
      </c>
    </row>
    <row r="40" customFormat="false" ht="17.15" hidden="false" customHeight="false" outlineLevel="0" collapsed="false">
      <c r="A40" s="0" t="s">
        <v>110</v>
      </c>
      <c r="B40" s="0" t="s">
        <v>111</v>
      </c>
      <c r="C40" s="0" t="s">
        <v>27</v>
      </c>
      <c r="E40" s="7" t="n">
        <v>20.248</v>
      </c>
      <c r="G40" s="8" t="s">
        <v>28</v>
      </c>
      <c r="H40" s="8" t="s">
        <v>112</v>
      </c>
      <c r="I40" s="8" t="s">
        <v>113</v>
      </c>
    </row>
    <row r="41" customFormat="false" ht="17.15" hidden="false" customHeight="false" outlineLevel="0" collapsed="false">
      <c r="A41" s="0" t="s">
        <v>114</v>
      </c>
      <c r="B41" s="0" t="s">
        <v>115</v>
      </c>
      <c r="C41" s="0" t="s">
        <v>27</v>
      </c>
      <c r="E41" s="7" t="n">
        <v>11.433</v>
      </c>
      <c r="G41" s="8" t="s">
        <v>28</v>
      </c>
      <c r="H41" s="8" t="s">
        <v>53</v>
      </c>
      <c r="I41" s="8" t="s">
        <v>113</v>
      </c>
    </row>
    <row r="42" customFormat="false" ht="17.15" hidden="false" customHeight="false" outlineLevel="0" collapsed="false">
      <c r="A42" s="0" t="s">
        <v>116</v>
      </c>
      <c r="B42" s="0" t="s">
        <v>117</v>
      </c>
      <c r="C42" s="0" t="s">
        <v>40</v>
      </c>
      <c r="E42" s="7" t="n">
        <v>73.76</v>
      </c>
      <c r="G42" s="8" t="s">
        <v>28</v>
      </c>
      <c r="H42" s="8" t="s">
        <v>118</v>
      </c>
      <c r="I42" s="8" t="s">
        <v>119</v>
      </c>
    </row>
    <row r="43" customFormat="false" ht="17.15" hidden="false" customHeight="false" outlineLevel="0" collapsed="false">
      <c r="A43" s="0" t="s">
        <v>120</v>
      </c>
      <c r="B43" s="0" t="s">
        <v>121</v>
      </c>
      <c r="C43" s="0" t="s">
        <v>27</v>
      </c>
      <c r="E43" s="7" t="n">
        <v>12.389</v>
      </c>
      <c r="G43" s="8" t="s">
        <v>28</v>
      </c>
      <c r="H43" s="8" t="s">
        <v>53</v>
      </c>
    </row>
    <row r="44" customFormat="false" ht="17.15" hidden="false" customHeight="false" outlineLevel="0" collapsed="false">
      <c r="A44" s="0" t="s">
        <v>122</v>
      </c>
      <c r="B44" s="0" t="s">
        <v>123</v>
      </c>
      <c r="C44" s="0" t="s">
        <v>33</v>
      </c>
      <c r="E44" s="7" t="n">
        <v>0.715</v>
      </c>
      <c r="G44" s="8" t="s">
        <v>28</v>
      </c>
      <c r="H44" s="8" t="s">
        <v>53</v>
      </c>
    </row>
    <row r="45" customFormat="false" ht="17.15" hidden="false" customHeight="false" outlineLevel="0" collapsed="false">
      <c r="A45" s="0" t="s">
        <v>124</v>
      </c>
      <c r="B45" s="0" t="s">
        <v>125</v>
      </c>
      <c r="C45" s="0" t="s">
        <v>27</v>
      </c>
      <c r="E45" s="7" t="n">
        <v>7.355</v>
      </c>
      <c r="G45" s="8" t="s">
        <v>28</v>
      </c>
      <c r="H45" s="8" t="s">
        <v>126</v>
      </c>
      <c r="I45" s="8" t="s">
        <v>127</v>
      </c>
    </row>
    <row r="46" customFormat="false" ht="17.15" hidden="false" customHeight="false" outlineLevel="0" collapsed="false">
      <c r="A46" s="0" t="s">
        <v>128</v>
      </c>
      <c r="B46" s="0" t="s">
        <v>129</v>
      </c>
      <c r="C46" s="0" t="s">
        <v>27</v>
      </c>
      <c r="E46" s="7" t="n">
        <v>-1.641</v>
      </c>
      <c r="G46" s="8" t="s">
        <v>28</v>
      </c>
      <c r="H46" s="8" t="s">
        <v>130</v>
      </c>
      <c r="I46" s="8" t="s">
        <v>131</v>
      </c>
    </row>
    <row r="47" customFormat="false" ht="17.15" hidden="false" customHeight="false" outlineLevel="0" collapsed="false">
      <c r="A47" s="0" t="s">
        <v>132</v>
      </c>
      <c r="B47" s="0" t="s">
        <v>133</v>
      </c>
      <c r="C47" s="0" t="s">
        <v>40</v>
      </c>
      <c r="E47" s="7" t="n">
        <v>-11.32</v>
      </c>
      <c r="G47" s="8" t="s">
        <v>28</v>
      </c>
      <c r="H47" s="8" t="s">
        <v>53</v>
      </c>
    </row>
    <row r="48" customFormat="false" ht="17.15" hidden="false" customHeight="false" outlineLevel="0" collapsed="false">
      <c r="A48" s="0" t="s">
        <v>134</v>
      </c>
      <c r="B48" s="0" t="s">
        <v>135</v>
      </c>
      <c r="C48" s="0" t="s">
        <v>27</v>
      </c>
      <c r="E48" s="7" t="n">
        <v>11.031</v>
      </c>
      <c r="G48" s="8" t="s">
        <v>28</v>
      </c>
      <c r="H48" s="8" t="s">
        <v>136</v>
      </c>
      <c r="I48" s="8" t="s">
        <v>137</v>
      </c>
    </row>
    <row r="49" customFormat="false" ht="17.15" hidden="false" customHeight="false" outlineLevel="0" collapsed="false">
      <c r="A49" s="0" t="s">
        <v>138</v>
      </c>
      <c r="B49" s="0" t="s">
        <v>139</v>
      </c>
      <c r="C49" s="0" t="s">
        <v>33</v>
      </c>
      <c r="D49" s="7" t="n">
        <v>0.845</v>
      </c>
      <c r="E49" s="7" t="n">
        <v>0.8503</v>
      </c>
      <c r="F49" s="7" t="n">
        <v>0.855</v>
      </c>
      <c r="G49" s="8" t="s">
        <v>28</v>
      </c>
      <c r="H49" s="8" t="s">
        <v>140</v>
      </c>
      <c r="I49" s="5" t="s">
        <v>141</v>
      </c>
    </row>
    <row r="50" customFormat="false" ht="17.15" hidden="false" customHeight="false" outlineLevel="0" collapsed="false">
      <c r="A50" s="0" t="s">
        <v>142</v>
      </c>
      <c r="B50" s="0" t="s">
        <v>143</v>
      </c>
      <c r="C50" s="0" t="s">
        <v>27</v>
      </c>
      <c r="D50" s="7" t="n">
        <v>0.57</v>
      </c>
      <c r="E50" s="7" t="n">
        <v>0.582</v>
      </c>
      <c r="F50" s="7" t="n">
        <v>0.6</v>
      </c>
      <c r="G50" s="8" t="s">
        <v>74</v>
      </c>
      <c r="H50" s="8" t="s">
        <v>144</v>
      </c>
      <c r="I50" s="5" t="s">
        <v>145</v>
      </c>
    </row>
    <row r="51" customFormat="false" ht="17.15" hidden="false" customHeight="false" outlineLevel="0" collapsed="false">
      <c r="A51" s="0" t="s">
        <v>146</v>
      </c>
      <c r="B51" s="0" t="s">
        <v>147</v>
      </c>
      <c r="C51" s="0" t="s">
        <v>40</v>
      </c>
      <c r="E51" s="7" t="n">
        <v>49.51</v>
      </c>
      <c r="G51" s="8" t="s">
        <v>28</v>
      </c>
      <c r="H51" s="8" t="s">
        <v>148</v>
      </c>
      <c r="I51" s="8" t="s">
        <v>149</v>
      </c>
    </row>
    <row r="52" customFormat="false" ht="17.15" hidden="false" customHeight="false" outlineLevel="0" collapsed="false">
      <c r="A52" s="0" t="s">
        <v>150</v>
      </c>
      <c r="B52" s="5" t="s">
        <v>151</v>
      </c>
      <c r="C52" s="5" t="s">
        <v>152</v>
      </c>
      <c r="E52" s="7" t="n">
        <v>151</v>
      </c>
      <c r="G52" s="8" t="s">
        <v>153</v>
      </c>
      <c r="H52" s="8" t="s">
        <v>154</v>
      </c>
      <c r="I52" s="8" t="s">
        <v>155</v>
      </c>
    </row>
    <row r="53" customFormat="false" ht="17.15" hidden="false" customHeight="false" outlineLevel="0" collapsed="false">
      <c r="A53" s="1" t="s">
        <v>156</v>
      </c>
    </row>
    <row r="54" customFormat="false" ht="17.15" hidden="false" customHeight="false" outlineLevel="0" collapsed="false">
      <c r="A54" s="0" t="s">
        <v>157</v>
      </c>
      <c r="B54" s="5" t="s">
        <v>158</v>
      </c>
      <c r="C54" s="0" t="s">
        <v>33</v>
      </c>
      <c r="D54" s="7" t="n">
        <v>0.1</v>
      </c>
      <c r="E54" s="7" t="n">
        <v>0.14</v>
      </c>
      <c r="F54" s="7" t="n">
        <v>0.18</v>
      </c>
      <c r="G54" s="8" t="s">
        <v>159</v>
      </c>
      <c r="H54" s="8" t="s">
        <v>160</v>
      </c>
      <c r="I54" s="5" t="s">
        <v>161</v>
      </c>
    </row>
    <row r="55" customFormat="false" ht="17.15" hidden="false" customHeight="false" outlineLevel="0" collapsed="false">
      <c r="A55" s="0" t="s">
        <v>162</v>
      </c>
      <c r="B55" s="5" t="s">
        <v>163</v>
      </c>
      <c r="C55" s="0" t="s">
        <v>33</v>
      </c>
      <c r="D55" s="7" t="n">
        <v>0.08</v>
      </c>
      <c r="E55" s="7" t="n">
        <v>0.12</v>
      </c>
      <c r="F55" s="7" t="n">
        <v>0.16</v>
      </c>
      <c r="G55" s="8" t="s">
        <v>159</v>
      </c>
      <c r="H55" s="8" t="s">
        <v>164</v>
      </c>
      <c r="I55" s="5" t="s">
        <v>165</v>
      </c>
    </row>
    <row r="56" customFormat="false" ht="17.15" hidden="false" customHeight="false" outlineLevel="0" collapsed="false">
      <c r="A56" s="0" t="s">
        <v>166</v>
      </c>
      <c r="B56" s="5" t="s">
        <v>167</v>
      </c>
      <c r="C56" s="0" t="s">
        <v>33</v>
      </c>
      <c r="D56" s="7" t="n">
        <v>0.06</v>
      </c>
      <c r="E56" s="7" t="n">
        <v>0.1</v>
      </c>
      <c r="F56" s="7" t="n">
        <v>0.14</v>
      </c>
      <c r="G56" s="8" t="s">
        <v>159</v>
      </c>
      <c r="H56" s="8" t="s">
        <v>168</v>
      </c>
      <c r="I56" s="5" t="s">
        <v>165</v>
      </c>
    </row>
    <row r="57" customFormat="false" ht="17.15" hidden="false" customHeight="false" outlineLevel="0" collapsed="false">
      <c r="A57" s="0" t="s">
        <v>169</v>
      </c>
      <c r="B57" s="5" t="s">
        <v>170</v>
      </c>
      <c r="C57" s="0" t="s">
        <v>33</v>
      </c>
      <c r="D57" s="7" t="n">
        <v>0.005</v>
      </c>
      <c r="E57" s="7" t="n">
        <v>0.01</v>
      </c>
      <c r="F57" s="7" t="n">
        <v>0.02</v>
      </c>
      <c r="G57" s="8" t="s">
        <v>159</v>
      </c>
      <c r="H57" s="8" t="s">
        <v>171</v>
      </c>
      <c r="I57" s="5" t="s">
        <v>172</v>
      </c>
    </row>
    <row r="58" customFormat="false" ht="17.15" hidden="false" customHeight="false" outlineLevel="0" collapsed="false">
      <c r="A58" s="0" t="s">
        <v>173</v>
      </c>
      <c r="B58" s="5" t="s">
        <v>174</v>
      </c>
      <c r="C58" s="0" t="s">
        <v>33</v>
      </c>
      <c r="D58" s="7" t="n">
        <v>0.05</v>
      </c>
      <c r="E58" s="7" t="n">
        <v>0.1</v>
      </c>
      <c r="F58" s="7" t="n">
        <v>0.15</v>
      </c>
      <c r="G58" s="8" t="s">
        <v>159</v>
      </c>
      <c r="H58" s="5" t="s">
        <v>175</v>
      </c>
    </row>
    <row r="59" customFormat="false" ht="17.15" hidden="false" customHeight="false" outlineLevel="0" collapsed="false">
      <c r="A59" s="0" t="s">
        <v>176</v>
      </c>
      <c r="B59" s="5" t="s">
        <v>177</v>
      </c>
      <c r="C59" s="0" t="s">
        <v>33</v>
      </c>
      <c r="D59" s="7" t="n">
        <v>0.12</v>
      </c>
      <c r="E59" s="7" t="n">
        <v>0.15</v>
      </c>
      <c r="F59" s="7" t="n">
        <v>0.2</v>
      </c>
      <c r="G59" s="8" t="s">
        <v>153</v>
      </c>
      <c r="H59" s="5" t="s">
        <v>178</v>
      </c>
      <c r="I59" s="8" t="s">
        <v>179</v>
      </c>
    </row>
    <row r="60" customFormat="false" ht="15" hidden="false" customHeight="false" outlineLevel="0" collapsed="false">
      <c r="A60" s="0" t="s">
        <v>180</v>
      </c>
      <c r="B60" s="5" t="s">
        <v>181</v>
      </c>
      <c r="C60" s="0" t="s">
        <v>33</v>
      </c>
      <c r="D60" s="7" t="n">
        <v>0.03</v>
      </c>
      <c r="E60" s="7" t="n">
        <v>0.04</v>
      </c>
      <c r="F60" s="7" t="n">
        <v>0.05</v>
      </c>
      <c r="G60" s="8" t="s">
        <v>159</v>
      </c>
      <c r="H60" s="5" t="s">
        <v>182</v>
      </c>
    </row>
    <row r="61" customFormat="false" ht="17.15" hidden="false" customHeight="false" outlineLevel="0" collapsed="false">
      <c r="A61" s="0" t="s">
        <v>183</v>
      </c>
      <c r="B61" s="0" t="s">
        <v>184</v>
      </c>
      <c r="C61" s="0" t="s">
        <v>33</v>
      </c>
      <c r="D61" s="7" t="n">
        <v>0.33</v>
      </c>
      <c r="E61" s="7" t="n">
        <v>0.38</v>
      </c>
      <c r="F61" s="7" t="n">
        <v>0.45</v>
      </c>
      <c r="G61" s="8" t="s">
        <v>159</v>
      </c>
      <c r="H61" s="8" t="s">
        <v>185</v>
      </c>
      <c r="I61" s="5" t="s">
        <v>186</v>
      </c>
    </row>
    <row r="62" customFormat="false" ht="17.15" hidden="false" customHeight="false" outlineLevel="0" collapsed="false">
      <c r="A62" s="0" t="s">
        <v>187</v>
      </c>
      <c r="B62" s="0" t="s">
        <v>188</v>
      </c>
      <c r="C62" s="0" t="s">
        <v>33</v>
      </c>
      <c r="D62" s="7" t="n">
        <v>0.04</v>
      </c>
      <c r="E62" s="7" t="n">
        <v>0.06</v>
      </c>
      <c r="F62" s="7" t="n">
        <v>0.09</v>
      </c>
      <c r="G62" s="8" t="s">
        <v>159</v>
      </c>
      <c r="H62" s="8" t="s">
        <v>189</v>
      </c>
      <c r="I62" s="5" t="s">
        <v>190</v>
      </c>
    </row>
    <row r="63" customFormat="false" ht="17.15" hidden="false" customHeight="false" outlineLevel="0" collapsed="false">
      <c r="A63" s="0" t="s">
        <v>191</v>
      </c>
      <c r="B63" s="0" t="s">
        <v>192</v>
      </c>
      <c r="C63" s="0" t="s">
        <v>33</v>
      </c>
      <c r="D63" s="7" t="n">
        <v>0.33</v>
      </c>
      <c r="E63" s="7" t="n">
        <v>0.42</v>
      </c>
      <c r="F63" s="7" t="n">
        <v>0.5</v>
      </c>
      <c r="G63" s="8" t="s">
        <v>159</v>
      </c>
      <c r="H63" s="8" t="s">
        <v>185</v>
      </c>
      <c r="I63" s="5" t="s">
        <v>186</v>
      </c>
    </row>
    <row r="64" customFormat="false" ht="17.15" hidden="false" customHeight="false" outlineLevel="0" collapsed="false">
      <c r="A64" s="0" t="s">
        <v>193</v>
      </c>
      <c r="B64" s="0" t="s">
        <v>194</v>
      </c>
      <c r="C64" s="0" t="s">
        <v>33</v>
      </c>
      <c r="D64" s="7" t="n">
        <v>0.04</v>
      </c>
      <c r="E64" s="7" t="n">
        <v>0.06</v>
      </c>
      <c r="F64" s="7" t="n">
        <v>0.09</v>
      </c>
      <c r="G64" s="8" t="s">
        <v>159</v>
      </c>
      <c r="H64" s="8" t="s">
        <v>189</v>
      </c>
      <c r="I64" s="5" t="s">
        <v>190</v>
      </c>
    </row>
    <row r="65" customFormat="false" ht="17.15" hidden="false" customHeight="false" outlineLevel="0" collapsed="false">
      <c r="A65" s="0" t="s">
        <v>195</v>
      </c>
      <c r="B65" s="0" t="s">
        <v>196</v>
      </c>
      <c r="C65" s="0" t="s">
        <v>33</v>
      </c>
      <c r="D65" s="7" t="n">
        <v>0.33</v>
      </c>
      <c r="E65" s="7" t="n">
        <v>0.45</v>
      </c>
      <c r="F65" s="7" t="n">
        <v>0.55</v>
      </c>
      <c r="G65" s="8" t="s">
        <v>159</v>
      </c>
      <c r="H65" s="8" t="s">
        <v>185</v>
      </c>
      <c r="I65" s="5" t="s">
        <v>186</v>
      </c>
    </row>
    <row r="66" customFormat="false" ht="17.15" hidden="false" customHeight="false" outlineLevel="0" collapsed="false">
      <c r="A66" s="0" t="s">
        <v>197</v>
      </c>
      <c r="B66" s="0" t="s">
        <v>198</v>
      </c>
      <c r="C66" s="0" t="s">
        <v>33</v>
      </c>
      <c r="D66" s="7" t="n">
        <v>0.04</v>
      </c>
      <c r="E66" s="7" t="n">
        <v>0.06</v>
      </c>
      <c r="F66" s="7" t="n">
        <v>0.09</v>
      </c>
      <c r="G66" s="8" t="s">
        <v>159</v>
      </c>
      <c r="H66" s="8" t="s">
        <v>189</v>
      </c>
      <c r="I66" s="5" t="s">
        <v>190</v>
      </c>
    </row>
    <row r="67" customFormat="false" ht="17.15" hidden="false" customHeight="false" outlineLevel="0" collapsed="false">
      <c r="A67" s="0" t="s">
        <v>199</v>
      </c>
      <c r="B67" s="5" t="s">
        <v>200</v>
      </c>
      <c r="C67" s="0" t="s">
        <v>201</v>
      </c>
      <c r="E67" s="0" t="n">
        <f aca="false">a26_rev/SUM(Units!E4:H4)</f>
        <v>0.999407699901283</v>
      </c>
      <c r="G67" s="0" t="s">
        <v>74</v>
      </c>
      <c r="H67" s="0" t="s">
        <v>202</v>
      </c>
      <c r="I67" s="5" t="s">
        <v>203</v>
      </c>
    </row>
    <row r="68" customFormat="false" ht="17.15" hidden="false" customHeight="false" outlineLevel="0" collapsed="false">
      <c r="A68" s="1" t="s">
        <v>204</v>
      </c>
    </row>
    <row r="69" customFormat="false" ht="17.15" hidden="false" customHeight="false" outlineLevel="0" collapsed="false">
      <c r="A69" s="0" t="s">
        <v>205</v>
      </c>
      <c r="B69" s="0" t="s">
        <v>206</v>
      </c>
      <c r="C69" s="0" t="s">
        <v>27</v>
      </c>
      <c r="E69" s="7" t="n">
        <v>15.736</v>
      </c>
      <c r="G69" s="8" t="s">
        <v>28</v>
      </c>
      <c r="H69" s="8" t="s">
        <v>53</v>
      </c>
    </row>
    <row r="70" customFormat="false" ht="17.15" hidden="false" customHeight="false" outlineLevel="0" collapsed="false">
      <c r="A70" s="0" t="s">
        <v>207</v>
      </c>
      <c r="B70" s="0" t="s">
        <v>208</v>
      </c>
      <c r="C70" s="0" t="s">
        <v>27</v>
      </c>
      <c r="E70" s="7" t="n">
        <v>4.762</v>
      </c>
      <c r="G70" s="8" t="s">
        <v>28</v>
      </c>
      <c r="H70" s="8" t="s">
        <v>209</v>
      </c>
    </row>
    <row r="71" customFormat="false" ht="17.15" hidden="false" customHeight="false" outlineLevel="0" collapsed="false">
      <c r="A71" s="0" t="s">
        <v>210</v>
      </c>
      <c r="B71" s="5" t="s">
        <v>211</v>
      </c>
      <c r="C71" s="5" t="s">
        <v>152</v>
      </c>
      <c r="E71" s="7" t="n">
        <v>146.42</v>
      </c>
      <c r="G71" s="8" t="s">
        <v>28</v>
      </c>
      <c r="H71" s="8" t="s">
        <v>212</v>
      </c>
      <c r="I71" s="8" t="s">
        <v>213</v>
      </c>
    </row>
    <row r="72" customFormat="false" ht="17.15" hidden="false" customHeight="false" outlineLevel="0" collapsed="false">
      <c r="A72" s="0" t="s">
        <v>214</v>
      </c>
      <c r="B72" s="5" t="s">
        <v>215</v>
      </c>
      <c r="C72" s="5" t="s">
        <v>152</v>
      </c>
      <c r="E72" s="0" t="n">
        <f aca="false">g_sh-sh0</f>
        <v>4.58000000000001</v>
      </c>
      <c r="G72" s="0" t="s">
        <v>74</v>
      </c>
      <c r="H72" s="5" t="s">
        <v>216</v>
      </c>
      <c r="I72" s="5" t="s">
        <v>217</v>
      </c>
    </row>
    <row r="73" customFormat="false" ht="17.15" hidden="false" customHeight="false" outlineLevel="0" collapsed="false">
      <c r="A73" s="0" t="s">
        <v>218</v>
      </c>
      <c r="B73" s="5" t="s">
        <v>219</v>
      </c>
      <c r="C73" s="0" t="s">
        <v>27</v>
      </c>
      <c r="D73" s="7" t="n">
        <v>0.12</v>
      </c>
      <c r="E73" s="7" t="n">
        <v>0.16</v>
      </c>
      <c r="F73" s="7" t="n">
        <v>0.25</v>
      </c>
      <c r="G73" s="8" t="s">
        <v>220</v>
      </c>
      <c r="H73" s="8" t="s">
        <v>221</v>
      </c>
      <c r="I73" s="5" t="s">
        <v>222</v>
      </c>
    </row>
    <row r="74" customFormat="false" ht="17.15" hidden="false" customHeight="false" outlineLevel="0" collapsed="false">
      <c r="A74" s="0" t="s">
        <v>223</v>
      </c>
      <c r="B74" s="5" t="s">
        <v>224</v>
      </c>
      <c r="C74" s="0" t="s">
        <v>33</v>
      </c>
      <c r="D74" s="7" t="n">
        <v>0.03</v>
      </c>
      <c r="E74" s="7" t="n">
        <v>0.06</v>
      </c>
      <c r="F74" s="7" t="n">
        <v>0.09</v>
      </c>
      <c r="G74" s="8" t="s">
        <v>153</v>
      </c>
      <c r="H74" s="8" t="s">
        <v>225</v>
      </c>
      <c r="I74" s="8" t="s">
        <v>226</v>
      </c>
    </row>
    <row r="75" customFormat="false" ht="17.15" hidden="false" customHeight="false" outlineLevel="0" collapsed="false">
      <c r="A75" s="0" t="s">
        <v>227</v>
      </c>
      <c r="B75" s="5" t="s">
        <v>228</v>
      </c>
      <c r="C75" s="0" t="s">
        <v>33</v>
      </c>
      <c r="D75" s="7" t="n">
        <v>0.3</v>
      </c>
      <c r="E75" s="7" t="n">
        <v>0.5</v>
      </c>
      <c r="F75" s="7" t="n">
        <v>0.8</v>
      </c>
      <c r="G75" s="8" t="s">
        <v>159</v>
      </c>
      <c r="H75" s="8" t="s">
        <v>229</v>
      </c>
      <c r="I75" s="5" t="s">
        <v>230</v>
      </c>
    </row>
    <row r="76" customFormat="false" ht="17.15" hidden="false" customHeight="false" outlineLevel="0" collapsed="false">
      <c r="A76" s="0" t="s">
        <v>231</v>
      </c>
      <c r="B76" s="5" t="s">
        <v>232</v>
      </c>
      <c r="C76" s="0" t="s">
        <v>40</v>
      </c>
      <c r="E76" s="7" t="n">
        <v>1238.03</v>
      </c>
      <c r="G76" s="8" t="s">
        <v>28</v>
      </c>
      <c r="H76" s="8" t="s">
        <v>233</v>
      </c>
      <c r="I76" s="8" t="s">
        <v>234</v>
      </c>
    </row>
    <row r="77" customFormat="false" ht="15" hidden="false" customHeight="false" outlineLevel="0" collapsed="false">
      <c r="A77" s="0" t="s">
        <v>235</v>
      </c>
      <c r="B77" s="5" t="s">
        <v>236</v>
      </c>
      <c r="C77" s="0" t="s">
        <v>40</v>
      </c>
      <c r="E77" s="0" t="n">
        <f aca="false">px</f>
        <v>1238.03</v>
      </c>
      <c r="G77" s="0" t="s">
        <v>159</v>
      </c>
      <c r="H77" s="5" t="s">
        <v>237</v>
      </c>
    </row>
    <row r="78" customFormat="false" ht="17.15" hidden="false" customHeight="false" outlineLevel="0" collapsed="false">
      <c r="A78" s="1" t="s">
        <v>238</v>
      </c>
    </row>
    <row r="79" customFormat="false" ht="17.15" hidden="false" customHeight="false" outlineLevel="0" collapsed="false">
      <c r="A79" s="0" t="s">
        <v>239</v>
      </c>
      <c r="B79" s="5" t="s">
        <v>240</v>
      </c>
      <c r="C79" s="0" t="s">
        <v>27</v>
      </c>
      <c r="D79" s="7" t="n">
        <v>43.4</v>
      </c>
      <c r="E79" s="7" t="n">
        <v>49.135</v>
      </c>
      <c r="F79" s="7" t="n">
        <v>53.2</v>
      </c>
      <c r="G79" s="8" t="s">
        <v>153</v>
      </c>
      <c r="H79" s="8" t="s">
        <v>241</v>
      </c>
    </row>
    <row r="80" customFormat="false" ht="17.15" hidden="false" customHeight="false" outlineLevel="0" collapsed="false">
      <c r="A80" s="0" t="s">
        <v>242</v>
      </c>
      <c r="B80" s="5" t="s">
        <v>243</v>
      </c>
      <c r="C80" s="0" t="s">
        <v>27</v>
      </c>
      <c r="E80" s="7" t="n">
        <v>58.436</v>
      </c>
      <c r="G80" s="8" t="s">
        <v>153</v>
      </c>
      <c r="H80" s="8" t="s">
        <v>244</v>
      </c>
    </row>
    <row r="81" customFormat="false" ht="17.15" hidden="false" customHeight="false" outlineLevel="0" collapsed="false">
      <c r="A81" s="0" t="s">
        <v>245</v>
      </c>
      <c r="B81" s="5" t="s">
        <v>246</v>
      </c>
      <c r="C81" s="0" t="s">
        <v>40</v>
      </c>
      <c r="D81" s="7" t="n">
        <v>186.97</v>
      </c>
      <c r="E81" s="7" t="n">
        <v>217.4</v>
      </c>
      <c r="F81" s="7" t="n">
        <v>238.36</v>
      </c>
      <c r="G81" s="8" t="s">
        <v>153</v>
      </c>
      <c r="H81" s="8" t="s">
        <v>247</v>
      </c>
    </row>
    <row r="82" customFormat="false" ht="17.15" hidden="false" customHeight="false" outlineLevel="0" collapsed="false">
      <c r="A82" s="0" t="s">
        <v>248</v>
      </c>
      <c r="B82" s="5" t="s">
        <v>249</v>
      </c>
      <c r="C82" s="0" t="s">
        <v>40</v>
      </c>
      <c r="E82" s="7" t="n">
        <v>267.6</v>
      </c>
      <c r="G82" s="8" t="s">
        <v>153</v>
      </c>
      <c r="H82" s="8" t="s">
        <v>244</v>
      </c>
    </row>
    <row r="83" customFormat="false" ht="17.15" hidden="false" customHeight="false" outlineLevel="0" collapsed="false">
      <c r="A83" s="0" t="s">
        <v>250</v>
      </c>
      <c r="B83" s="5" t="s">
        <v>251</v>
      </c>
      <c r="C83" s="0" t="s">
        <v>40</v>
      </c>
      <c r="E83" s="7" t="n">
        <v>281.7</v>
      </c>
      <c r="G83" s="8" t="s">
        <v>153</v>
      </c>
      <c r="H83" s="8" t="s">
        <v>244</v>
      </c>
    </row>
    <row r="84" customFormat="false" ht="17.15" hidden="false" customHeight="false" outlineLevel="0" collapsed="false">
      <c r="A84" s="0" t="s">
        <v>252</v>
      </c>
      <c r="B84" s="5" t="s">
        <v>253</v>
      </c>
      <c r="C84" s="0" t="s">
        <v>40</v>
      </c>
      <c r="E84" s="7" t="n">
        <v>313.8</v>
      </c>
      <c r="G84" s="8" t="s">
        <v>153</v>
      </c>
      <c r="H84" s="8" t="s">
        <v>244</v>
      </c>
    </row>
    <row r="85" customFormat="false" ht="17.15" hidden="false" customHeight="false" outlineLevel="0" collapsed="false">
      <c r="A85" s="0" t="s">
        <v>254</v>
      </c>
      <c r="B85" s="5" t="s">
        <v>255</v>
      </c>
      <c r="C85" s="0" t="s">
        <v>40</v>
      </c>
      <c r="E85" s="7" t="n">
        <v>553.1</v>
      </c>
      <c r="G85" s="8" t="s">
        <v>153</v>
      </c>
      <c r="H85" s="8" t="s">
        <v>244</v>
      </c>
    </row>
    <row r="86" customFormat="false" ht="17.15" hidden="false" customHeight="false" outlineLevel="0" collapsed="false">
      <c r="A86" s="0" t="s">
        <v>256</v>
      </c>
      <c r="B86" s="5" t="s">
        <v>257</v>
      </c>
      <c r="C86" s="0" t="s">
        <v>40</v>
      </c>
      <c r="E86" s="7" t="n">
        <v>650.6</v>
      </c>
      <c r="G86" s="8" t="s">
        <v>153</v>
      </c>
      <c r="H86" s="8" t="s">
        <v>244</v>
      </c>
    </row>
    <row r="87" customFormat="false" ht="17.15" hidden="false" customHeight="false" outlineLevel="0" collapsed="false">
      <c r="A87" s="0" t="s">
        <v>258</v>
      </c>
      <c r="B87" s="5" t="s">
        <v>259</v>
      </c>
      <c r="C87" s="0" t="s">
        <v>27</v>
      </c>
      <c r="E87" s="7" t="n">
        <v>33.336</v>
      </c>
      <c r="G87" s="8" t="s">
        <v>153</v>
      </c>
      <c r="H87" s="8" t="s">
        <v>244</v>
      </c>
    </row>
    <row r="88" customFormat="false" ht="17.15" hidden="false" customHeight="false" outlineLevel="0" collapsed="false">
      <c r="A88" s="0" t="s">
        <v>260</v>
      </c>
      <c r="B88" s="5" t="s">
        <v>261</v>
      </c>
      <c r="C88" s="0" t="s">
        <v>27</v>
      </c>
      <c r="E88" s="7" t="n">
        <v>38.384</v>
      </c>
      <c r="G88" s="8" t="s">
        <v>153</v>
      </c>
      <c r="H88" s="8" t="s">
        <v>244</v>
      </c>
    </row>
    <row r="89" customFormat="false" ht="17.15" hidden="false" customHeight="false" outlineLevel="0" collapsed="false">
      <c r="A89" s="1" t="s">
        <v>262</v>
      </c>
    </row>
    <row r="90" customFormat="false" ht="17.15" hidden="false" customHeight="false" outlineLevel="0" collapsed="false">
      <c r="A90" s="9" t="s">
        <v>263</v>
      </c>
      <c r="B90" s="10" t="s">
        <v>264</v>
      </c>
      <c r="C90" s="9" t="s">
        <v>33</v>
      </c>
      <c r="D90" s="9"/>
      <c r="E90" s="11" t="n">
        <v>0.3</v>
      </c>
      <c r="F90" s="9"/>
      <c r="G90" s="9" t="s">
        <v>159</v>
      </c>
      <c r="H90" s="9" t="s">
        <v>265</v>
      </c>
      <c r="I90" s="10" t="s">
        <v>266</v>
      </c>
    </row>
    <row r="91" customFormat="false" ht="17.15" hidden="false" customHeight="false" outlineLevel="0" collapsed="false">
      <c r="A91" s="9" t="s">
        <v>267</v>
      </c>
      <c r="B91" s="10" t="s">
        <v>268</v>
      </c>
      <c r="C91" s="9" t="s">
        <v>33</v>
      </c>
      <c r="D91" s="9"/>
      <c r="E91" s="11" t="n">
        <v>0.5</v>
      </c>
      <c r="F91" s="9"/>
      <c r="G91" s="9" t="s">
        <v>159</v>
      </c>
      <c r="H91" s="9" t="s">
        <v>265</v>
      </c>
      <c r="I91" s="10" t="s">
        <v>266</v>
      </c>
    </row>
    <row r="92" customFormat="false" ht="17.15" hidden="false" customHeight="false" outlineLevel="0" collapsed="false">
      <c r="A92" s="9" t="s">
        <v>269</v>
      </c>
      <c r="B92" s="10" t="s">
        <v>270</v>
      </c>
      <c r="C92" s="9" t="s">
        <v>33</v>
      </c>
      <c r="D92" s="9"/>
      <c r="E92" s="11" t="n">
        <v>0.2</v>
      </c>
      <c r="F92" s="9"/>
      <c r="G92" s="9" t="s">
        <v>159</v>
      </c>
      <c r="H92" s="9" t="s">
        <v>265</v>
      </c>
      <c r="I92" s="10" t="s">
        <v>266</v>
      </c>
    </row>
    <row r="93" customFormat="false" ht="17.15" hidden="false" customHeight="false" outlineLevel="0" collapsed="false">
      <c r="A93" s="9" t="s">
        <v>271</v>
      </c>
      <c r="B93" s="10" t="s">
        <v>272</v>
      </c>
      <c r="C93" s="9" t="s">
        <v>33</v>
      </c>
      <c r="D93" s="9"/>
      <c r="E93" s="11" t="n">
        <v>0.1</v>
      </c>
      <c r="F93" s="9"/>
      <c r="G93" s="9" t="s">
        <v>159</v>
      </c>
      <c r="H93" s="9" t="s">
        <v>273</v>
      </c>
      <c r="I93" s="10" t="s">
        <v>274</v>
      </c>
    </row>
    <row r="94" customFormat="false" ht="17.15" hidden="false" customHeight="false" outlineLevel="0" collapsed="false">
      <c r="A94" s="9" t="s">
        <v>275</v>
      </c>
      <c r="B94" s="10" t="s">
        <v>276</v>
      </c>
      <c r="C94" s="9" t="s">
        <v>33</v>
      </c>
      <c r="D94" s="9"/>
      <c r="E94" s="11" t="n">
        <v>0.04</v>
      </c>
      <c r="F94" s="9"/>
      <c r="G94" s="9" t="s">
        <v>159</v>
      </c>
      <c r="H94" s="9" t="s">
        <v>277</v>
      </c>
      <c r="I94" s="9"/>
    </row>
    <row r="95" customFormat="false" ht="17.15" hidden="false" customHeight="false" outlineLevel="0" collapsed="false">
      <c r="A95" s="9" t="s">
        <v>278</v>
      </c>
      <c r="B95" s="9" t="s">
        <v>279</v>
      </c>
      <c r="C95" s="9" t="s">
        <v>33</v>
      </c>
      <c r="D95" s="9"/>
      <c r="E95" s="9" t="n">
        <f aca="false">AVERAGE(-1.641/9.216,11.433/15.736)</f>
        <v>0.274245344406668</v>
      </c>
      <c r="F95" s="9"/>
      <c r="G95" s="9" t="s">
        <v>74</v>
      </c>
      <c r="H95" s="9" t="s">
        <v>280</v>
      </c>
      <c r="I95" s="9" t="s">
        <v>281</v>
      </c>
    </row>
    <row r="96" customFormat="false" ht="17.15" hidden="false" customHeight="false" outlineLevel="0" collapsed="false">
      <c r="A96" s="9" t="s">
        <v>282</v>
      </c>
      <c r="B96" s="10" t="s">
        <v>283</v>
      </c>
      <c r="C96" s="9" t="s">
        <v>33</v>
      </c>
      <c r="D96" s="9"/>
      <c r="E96" s="11" t="n">
        <v>0.5</v>
      </c>
      <c r="F96" s="9"/>
      <c r="G96" s="9" t="s">
        <v>159</v>
      </c>
      <c r="H96" s="9" t="s">
        <v>284</v>
      </c>
      <c r="I96" s="9"/>
    </row>
    <row r="97" customFormat="false" ht="17.15" hidden="false" customHeight="false" outlineLevel="0" collapsed="false">
      <c r="A97" s="9" t="s">
        <v>285</v>
      </c>
      <c r="B97" s="10" t="s">
        <v>286</v>
      </c>
      <c r="C97" s="9" t="s">
        <v>33</v>
      </c>
      <c r="D97" s="9"/>
      <c r="E97" s="11" t="n">
        <v>0.146628636185545</v>
      </c>
      <c r="F97" s="9"/>
      <c r="G97" s="9" t="s">
        <v>287</v>
      </c>
      <c r="H97" s="9" t="s">
        <v>288</v>
      </c>
      <c r="I97" s="9" t="s">
        <v>289</v>
      </c>
    </row>
    <row r="98" customFormat="false" ht="17.15" hidden="false" customHeight="false" outlineLevel="0" collapsed="false">
      <c r="A98" s="9" t="s">
        <v>290</v>
      </c>
      <c r="B98" s="10" t="s">
        <v>291</v>
      </c>
      <c r="C98" s="9" t="s">
        <v>201</v>
      </c>
      <c r="D98" s="9"/>
      <c r="E98" s="11" t="n">
        <v>1.2</v>
      </c>
      <c r="F98" s="9"/>
      <c r="G98" s="9" t="s">
        <v>159</v>
      </c>
      <c r="H98" s="10" t="s">
        <v>292</v>
      </c>
      <c r="I98" s="9" t="s">
        <v>293</v>
      </c>
    </row>
    <row r="99" customFormat="false" ht="17.15" hidden="false" customHeight="false" outlineLevel="0" collapsed="false">
      <c r="A99" s="9" t="s">
        <v>294</v>
      </c>
      <c r="B99" s="10" t="s">
        <v>295</v>
      </c>
      <c r="C99" s="9" t="s">
        <v>201</v>
      </c>
      <c r="D99" s="9"/>
      <c r="E99" s="11" t="n">
        <v>0.8</v>
      </c>
      <c r="F99" s="9"/>
      <c r="G99" s="9" t="s">
        <v>159</v>
      </c>
      <c r="H99" s="10" t="s">
        <v>296</v>
      </c>
      <c r="I99" s="9" t="s">
        <v>293</v>
      </c>
    </row>
    <row r="100" customFormat="false" ht="17.15" hidden="false" customHeight="false" outlineLevel="0" collapsed="false">
      <c r="A100" s="9" t="s">
        <v>297</v>
      </c>
      <c r="B100" s="10" t="s">
        <v>298</v>
      </c>
      <c r="C100" s="9" t="s">
        <v>33</v>
      </c>
      <c r="D100" s="9"/>
      <c r="E100" s="9" t="n">
        <f aca="false">nim10*cyc_mA</f>
        <v>0.175954363422654</v>
      </c>
      <c r="F100" s="9"/>
      <c r="G100" s="9" t="s">
        <v>74</v>
      </c>
      <c r="H100" s="10" t="s">
        <v>299</v>
      </c>
      <c r="I100" s="9" t="s">
        <v>300</v>
      </c>
    </row>
    <row r="101" customFormat="false" ht="17.15" hidden="false" customHeight="false" outlineLevel="0" collapsed="false">
      <c r="A101" s="9" t="s">
        <v>301</v>
      </c>
      <c r="B101" s="10" t="s">
        <v>302</v>
      </c>
      <c r="C101" s="9" t="s">
        <v>33</v>
      </c>
      <c r="D101" s="9"/>
      <c r="E101" s="9" t="n">
        <f aca="false">nim10</f>
        <v>0.146628636185545</v>
      </c>
      <c r="F101" s="9"/>
      <c r="G101" s="9" t="s">
        <v>74</v>
      </c>
      <c r="H101" s="10" t="s">
        <v>299</v>
      </c>
      <c r="I101" s="9" t="s">
        <v>300</v>
      </c>
    </row>
    <row r="102" customFormat="false" ht="17.15" hidden="false" customHeight="false" outlineLevel="0" collapsed="false">
      <c r="A102" s="9" t="s">
        <v>303</v>
      </c>
      <c r="B102" s="10" t="s">
        <v>304</v>
      </c>
      <c r="C102" s="9" t="s">
        <v>33</v>
      </c>
      <c r="D102" s="9"/>
      <c r="E102" s="9" t="n">
        <f aca="false">nim10*cyc_mC</f>
        <v>0.117302908948436</v>
      </c>
      <c r="F102" s="9"/>
      <c r="G102" s="9" t="s">
        <v>74</v>
      </c>
      <c r="H102" s="10" t="s">
        <v>299</v>
      </c>
      <c r="I102" s="9" t="s">
        <v>300</v>
      </c>
    </row>
    <row r="103" customFormat="false" ht="17.15" hidden="false" customHeight="false" outlineLevel="0" collapsed="false">
      <c r="A103" s="9" t="s">
        <v>305</v>
      </c>
      <c r="B103" s="10" t="s">
        <v>306</v>
      </c>
      <c r="C103" s="9" t="s">
        <v>33</v>
      </c>
      <c r="D103" s="9"/>
      <c r="E103" s="9" t="n">
        <f aca="false">tp_g+0.02</f>
        <v>0.06</v>
      </c>
      <c r="F103" s="9"/>
      <c r="G103" s="9" t="s">
        <v>159</v>
      </c>
      <c r="H103" s="10" t="s">
        <v>307</v>
      </c>
      <c r="I103" s="9" t="s">
        <v>308</v>
      </c>
    </row>
    <row r="104" customFormat="false" ht="17.15" hidden="false" customHeight="false" outlineLevel="0" collapsed="false">
      <c r="A104" s="9" t="s">
        <v>309</v>
      </c>
      <c r="B104" s="10" t="s">
        <v>310</v>
      </c>
      <c r="C104" s="9" t="s">
        <v>33</v>
      </c>
      <c r="D104" s="9"/>
      <c r="E104" s="9" t="n">
        <f aca="false">tp_g</f>
        <v>0.04</v>
      </c>
      <c r="F104" s="9"/>
      <c r="G104" s="9" t="s">
        <v>159</v>
      </c>
      <c r="H104" s="10" t="s">
        <v>307</v>
      </c>
      <c r="I104" s="9" t="s">
        <v>308</v>
      </c>
    </row>
    <row r="105" customFormat="false" ht="17.15" hidden="false" customHeight="false" outlineLevel="0" collapsed="false">
      <c r="A105" s="9" t="s">
        <v>311</v>
      </c>
      <c r="B105" s="10" t="s">
        <v>312</v>
      </c>
      <c r="C105" s="9" t="s">
        <v>33</v>
      </c>
      <c r="D105" s="9"/>
      <c r="E105" s="9" t="n">
        <f aca="false">tp_g-0.02</f>
        <v>0.02</v>
      </c>
      <c r="F105" s="9"/>
      <c r="G105" s="9" t="s">
        <v>159</v>
      </c>
      <c r="H105" s="10" t="s">
        <v>307</v>
      </c>
      <c r="I105" s="9" t="s">
        <v>308</v>
      </c>
    </row>
    <row r="106" customFormat="false" ht="17.15" hidden="false" customHeight="false" outlineLevel="0" collapsed="false">
      <c r="A106" s="9" t="s">
        <v>313</v>
      </c>
      <c r="B106" s="10" t="s">
        <v>314</v>
      </c>
      <c r="C106" s="9" t="s">
        <v>40</v>
      </c>
      <c r="D106" s="11" t="n">
        <v>1000</v>
      </c>
      <c r="E106" s="11" t="n">
        <v>2144</v>
      </c>
      <c r="F106" s="11" t="n">
        <v>3600</v>
      </c>
      <c r="G106" s="9" t="s">
        <v>153</v>
      </c>
      <c r="H106" s="9" t="s">
        <v>315</v>
      </c>
      <c r="I106" s="9" t="s">
        <v>316</v>
      </c>
    </row>
    <row r="108" customFormat="false" ht="17.15" hidden="false" customHeight="false" outlineLevel="0" collapsed="false">
      <c r="A108" s="3" t="s">
        <v>317</v>
      </c>
    </row>
    <row r="109" customFormat="false" ht="17.15" hidden="false" customHeight="false" outlineLevel="0" collapsed="false">
      <c r="A109" s="3" t="s">
        <v>15</v>
      </c>
      <c r="B109" s="3" t="s">
        <v>16</v>
      </c>
      <c r="C109" s="3" t="s">
        <v>17</v>
      </c>
      <c r="D109" s="3" t="s">
        <v>318</v>
      </c>
      <c r="E109" s="3" t="s">
        <v>319</v>
      </c>
      <c r="F109" s="3" t="s">
        <v>320</v>
      </c>
      <c r="G109" s="3" t="s">
        <v>21</v>
      </c>
      <c r="H109" s="3" t="s">
        <v>321</v>
      </c>
    </row>
    <row r="110" customFormat="false" ht="17.15" hidden="false" customHeight="false" outlineLevel="0" collapsed="false">
      <c r="A110" s="0" t="s">
        <v>322</v>
      </c>
      <c r="B110" s="5" t="s">
        <v>323</v>
      </c>
      <c r="C110" s="0" t="s">
        <v>33</v>
      </c>
      <c r="D110" s="0" t="n">
        <f aca="false">E54</f>
        <v>0.14</v>
      </c>
      <c r="E110" s="0" t="n">
        <f aca="false">E55</f>
        <v>0.12</v>
      </c>
      <c r="F110" s="0" t="n">
        <f aca="false">E56</f>
        <v>0.1</v>
      </c>
      <c r="G110" s="0" t="s">
        <v>74</v>
      </c>
      <c r="H110" s="5" t="s">
        <v>324</v>
      </c>
    </row>
    <row r="111" customFormat="false" ht="17.15" hidden="false" customHeight="false" outlineLevel="0" collapsed="false">
      <c r="A111" s="0" t="s">
        <v>325</v>
      </c>
      <c r="B111" s="5" t="s">
        <v>295</v>
      </c>
      <c r="C111" s="0" t="s">
        <v>201</v>
      </c>
      <c r="D111" s="0" t="n">
        <f aca="false">E98</f>
        <v>1.2</v>
      </c>
      <c r="E111" s="0" t="n">
        <v>0</v>
      </c>
      <c r="F111" s="0" t="n">
        <f aca="false">E99</f>
        <v>0.8</v>
      </c>
      <c r="G111" s="0" t="s">
        <v>74</v>
      </c>
      <c r="H111" s="5" t="s">
        <v>326</v>
      </c>
    </row>
    <row r="112" customFormat="false" ht="17.15" hidden="false" customHeight="false" outlineLevel="0" collapsed="false">
      <c r="A112" s="0" t="s">
        <v>327</v>
      </c>
      <c r="B112" s="0" t="s">
        <v>328</v>
      </c>
      <c r="C112" s="0" t="s">
        <v>33</v>
      </c>
      <c r="D112" s="0" t="n">
        <f aca="false">E100</f>
        <v>0.175954363422654</v>
      </c>
      <c r="E112" s="0" t="n">
        <f aca="false">E101</f>
        <v>0.146628636185545</v>
      </c>
      <c r="F112" s="0" t="n">
        <f aca="false">E102</f>
        <v>0.117302908948436</v>
      </c>
      <c r="G112" s="0" t="s">
        <v>74</v>
      </c>
      <c r="H112" s="5" t="s">
        <v>329</v>
      </c>
    </row>
    <row r="113" customFormat="false" ht="17.15" hidden="false" customHeight="false" outlineLevel="0" collapsed="false">
      <c r="A113" s="0" t="s">
        <v>330</v>
      </c>
      <c r="B113" s="0" t="s">
        <v>331</v>
      </c>
      <c r="C113" s="0" t="s">
        <v>33</v>
      </c>
      <c r="D113" s="0" t="n">
        <f aca="false">E103</f>
        <v>0.06</v>
      </c>
      <c r="E113" s="0" t="n">
        <f aca="false">E104</f>
        <v>0.04</v>
      </c>
      <c r="F113" s="0" t="n">
        <f aca="false">E105</f>
        <v>0.02</v>
      </c>
      <c r="G113" s="0" t="s">
        <v>74</v>
      </c>
      <c r="H113" s="5" t="s">
        <v>332</v>
      </c>
    </row>
    <row r="114" customFormat="false" ht="17.15" hidden="false" customHeight="false" outlineLevel="0" collapsed="false">
      <c r="A114" s="0" t="s">
        <v>333</v>
      </c>
      <c r="B114" s="5" t="s">
        <v>334</v>
      </c>
      <c r="C114" s="0" t="s">
        <v>33</v>
      </c>
      <c r="D114" s="0" t="n">
        <f aca="false">E90</f>
        <v>0.3</v>
      </c>
      <c r="E114" s="0" t="n">
        <f aca="false">E91</f>
        <v>0.5</v>
      </c>
      <c r="F114" s="0" t="n">
        <f aca="false">E92</f>
        <v>0.2</v>
      </c>
      <c r="G114" s="0" t="s">
        <v>74</v>
      </c>
      <c r="H114" s="5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336</v>
      </c>
    </row>
    <row r="3" customFormat="false" ht="17.15" hidden="false" customHeight="false" outlineLevel="0" collapsed="false">
      <c r="A3" s="6" t="s">
        <v>16</v>
      </c>
      <c r="B3" s="12" t="s">
        <v>337</v>
      </c>
      <c r="C3" s="12" t="s">
        <v>338</v>
      </c>
      <c r="D3" s="12" t="s">
        <v>339</v>
      </c>
      <c r="E3" s="12" t="s">
        <v>340</v>
      </c>
      <c r="F3" s="12" t="s">
        <v>341</v>
      </c>
      <c r="G3" s="12" t="s">
        <v>342</v>
      </c>
      <c r="H3" s="6" t="s">
        <v>21</v>
      </c>
      <c r="I3" s="6" t="s">
        <v>343</v>
      </c>
    </row>
    <row r="4" customFormat="false" ht="17.15" hidden="false" customHeight="false" outlineLevel="0" collapsed="false">
      <c r="A4" s="5" t="s">
        <v>344</v>
      </c>
      <c r="B4" s="13" t="n">
        <f aca="false">q1_rev</f>
        <v>2.308</v>
      </c>
      <c r="C4" s="13" t="n">
        <f aca="false">q2_rev</f>
        <v>3.025</v>
      </c>
      <c r="D4" s="13" t="n">
        <f aca="false">q3_rev</f>
        <v>5.95</v>
      </c>
      <c r="E4" s="13" t="n">
        <f aca="false">q4_rev</f>
        <v>8.965</v>
      </c>
      <c r="F4" s="13" t="n">
        <f aca="false">SUM(B4:E4)</f>
        <v>20.248</v>
      </c>
      <c r="G4" s="13" t="n">
        <f aca="false">g_rev</f>
        <v>11.031</v>
      </c>
      <c r="H4" s="8" t="s">
        <v>28</v>
      </c>
      <c r="I4" s="8" t="s">
        <v>345</v>
      </c>
    </row>
    <row r="5" customFormat="false" ht="17.15" hidden="false" customHeight="false" outlineLevel="0" collapsed="false">
      <c r="A5" s="0" t="s">
        <v>346</v>
      </c>
      <c r="B5" s="14" t="n">
        <f aca="false">q1_gm</f>
        <v>0.298</v>
      </c>
      <c r="C5" s="14" t="n">
        <f aca="false">q2_gm</f>
        <v>0.509</v>
      </c>
      <c r="D5" s="14" t="n">
        <f aca="false">q3_gm</f>
        <v>0.784</v>
      </c>
      <c r="E5" s="14" t="n">
        <f aca="false">q4_gm</f>
        <v>0.846</v>
      </c>
      <c r="F5" s="14" t="n">
        <f aca="false">SUMPRODUCT(B4:E4,B5:E5)/F4</f>
        <v>0.714969330304228</v>
      </c>
      <c r="G5" s="14" t="n">
        <f aca="false">g_gm</f>
        <v>0.8503</v>
      </c>
      <c r="H5" s="8" t="s">
        <v>28</v>
      </c>
      <c r="I5" s="8" t="s">
        <v>345</v>
      </c>
    </row>
    <row r="6" customFormat="false" ht="17.15" hidden="false" customHeight="false" outlineLevel="0" collapsed="false">
      <c r="A6" s="0" t="s">
        <v>347</v>
      </c>
      <c r="B6" s="13" t="n">
        <f aca="false">q1_op</f>
        <v>0.176</v>
      </c>
      <c r="C6" s="13" t="n">
        <f aca="false">q2_op</f>
        <v>1.065</v>
      </c>
      <c r="D6" s="13" t="n">
        <f aca="false">q3_op</f>
        <v>4.111</v>
      </c>
      <c r="E6" s="13" t="n">
        <f aca="false">q4_op</f>
        <v>7.037</v>
      </c>
      <c r="F6" s="13" t="n">
        <f aca="false">SUM(B6:E6)</f>
        <v>12.389</v>
      </c>
      <c r="H6" s="8" t="s">
        <v>28</v>
      </c>
      <c r="I6" s="8" t="s">
        <v>345</v>
      </c>
    </row>
    <row r="7" customFormat="false" ht="17.15" hidden="false" customHeight="false" outlineLevel="0" collapsed="false">
      <c r="A7" s="0" t="s">
        <v>348</v>
      </c>
      <c r="B7" s="13" t="n">
        <f aca="false">q1_ni</f>
        <v>0.112</v>
      </c>
      <c r="C7" s="13" t="n">
        <f aca="false">q2_ni</f>
        <v>0.803</v>
      </c>
      <c r="D7" s="13" t="n">
        <f aca="false">q3_ni</f>
        <v>3.615</v>
      </c>
      <c r="E7" s="13" t="n">
        <f aca="false">q4_ni</f>
        <v>6.903</v>
      </c>
      <c r="F7" s="13" t="n">
        <f aca="false">SUM(B7:E7)</f>
        <v>11.433</v>
      </c>
      <c r="H7" s="8" t="s">
        <v>28</v>
      </c>
      <c r="I7" s="8" t="s">
        <v>345</v>
      </c>
    </row>
    <row r="8" customFormat="false" ht="17.15" hidden="false" customHeight="false" outlineLevel="0" collapsed="false">
      <c r="A8" s="0" t="s">
        <v>349</v>
      </c>
      <c r="B8" s="15" t="n">
        <f aca="false">q1_eps</f>
        <v>0.75</v>
      </c>
      <c r="C8" s="15" t="n">
        <f aca="false">q2_eps</f>
        <v>5.15</v>
      </c>
      <c r="D8" s="15" t="n">
        <f aca="false">q3_eps</f>
        <v>23.03</v>
      </c>
      <c r="E8" s="15" t="n">
        <f aca="false">q4_eps</f>
        <v>43.97</v>
      </c>
      <c r="F8" s="15" t="n">
        <f aca="false">a26_eps</f>
        <v>73.76</v>
      </c>
      <c r="G8" s="15" t="n">
        <f aca="false">g_eps</f>
        <v>49.51</v>
      </c>
      <c r="H8" s="8" t="s">
        <v>28</v>
      </c>
      <c r="I8" s="8" t="s">
        <v>345</v>
      </c>
    </row>
    <row r="9" customFormat="false" ht="17.15" hidden="false" customHeight="false" outlineLevel="0" collapsed="false">
      <c r="A9" s="5" t="s">
        <v>350</v>
      </c>
      <c r="B9" s="0" t="n">
        <f aca="false">F4-a26_rev</f>
        <v>0</v>
      </c>
      <c r="C9" s="0" t="n">
        <f aca="false">F7-a26_ni</f>
        <v>0</v>
      </c>
    </row>
    <row r="10" customFormat="false" ht="15" hidden="false" customHeight="false" outlineLevel="0" collapsed="false">
      <c r="A10" s="5" t="s">
        <v>351</v>
      </c>
      <c r="C10" s="14" t="n">
        <f aca="false">C4/B4-1</f>
        <v>0.310658578856153</v>
      </c>
      <c r="D10" s="14" t="n">
        <f aca="false">D4/C4-1</f>
        <v>0.966942148760331</v>
      </c>
      <c r="E10" s="14" t="n">
        <f aca="false">E4/D4-1</f>
        <v>0.50672268907563</v>
      </c>
    </row>
    <row r="12" customFormat="false" ht="17.15" hidden="false" customHeight="false" outlineLevel="0" collapsed="false">
      <c r="A12" s="0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353</v>
      </c>
    </row>
    <row r="2" customFormat="false" ht="17.15" hidden="false" customHeight="false" outlineLevel="0" collapsed="false">
      <c r="A2" s="0" t="s">
        <v>354</v>
      </c>
    </row>
    <row r="3" customFormat="false" ht="15" hidden="false" customHeight="false" outlineLevel="0" collapsed="false">
      <c r="A3" s="6" t="s">
        <v>16</v>
      </c>
      <c r="B3" s="6" t="s">
        <v>17</v>
      </c>
      <c r="C3" s="12" t="s">
        <v>355</v>
      </c>
      <c r="D3" s="12" t="s">
        <v>356</v>
      </c>
      <c r="E3" s="12" t="s">
        <v>357</v>
      </c>
      <c r="F3" s="12" t="s">
        <v>358</v>
      </c>
      <c r="G3" s="12" t="s">
        <v>359</v>
      </c>
      <c r="H3" s="12" t="s">
        <v>360</v>
      </c>
      <c r="I3" s="12" t="s">
        <v>361</v>
      </c>
      <c r="J3" s="12" t="s">
        <v>362</v>
      </c>
      <c r="K3" s="12" t="s">
        <v>363</v>
      </c>
      <c r="L3" s="12" t="s">
        <v>364</v>
      </c>
      <c r="M3" s="12" t="s">
        <v>365</v>
      </c>
      <c r="N3" s="12" t="s">
        <v>366</v>
      </c>
      <c r="O3" s="12" t="s">
        <v>367</v>
      </c>
      <c r="P3" s="12" t="s">
        <v>368</v>
      </c>
      <c r="Q3" s="12" t="s">
        <v>369</v>
      </c>
      <c r="R3" s="12" t="s">
        <v>370</v>
      </c>
      <c r="S3" s="12" t="s">
        <v>371</v>
      </c>
      <c r="T3" s="12" t="s">
        <v>372</v>
      </c>
      <c r="U3" s="12" t="s">
        <v>373</v>
      </c>
      <c r="V3" s="12" t="s">
        <v>374</v>
      </c>
      <c r="W3" s="12" t="s">
        <v>375</v>
      </c>
      <c r="X3" s="12" t="s">
        <v>376</v>
      </c>
      <c r="Y3" s="12" t="s">
        <v>377</v>
      </c>
      <c r="Z3" s="12" t="s">
        <v>378</v>
      </c>
      <c r="AA3" s="6" t="s">
        <v>343</v>
      </c>
    </row>
    <row r="4" customFormat="false" ht="17.15" hidden="false" customHeight="false" outlineLevel="0" collapsed="false">
      <c r="A4" s="0" t="s">
        <v>379</v>
      </c>
      <c r="B4" s="0" t="s">
        <v>27</v>
      </c>
      <c r="C4" s="16" t="n">
        <v>1.69</v>
      </c>
      <c r="D4" s="16" t="n">
        <v>1.9</v>
      </c>
      <c r="E4" s="16" t="n">
        <v>2.31</v>
      </c>
      <c r="F4" s="16" t="n">
        <v>3.03</v>
      </c>
      <c r="G4" s="16" t="n">
        <v>5.95</v>
      </c>
      <c r="H4" s="16" t="n">
        <v>8.97</v>
      </c>
      <c r="I4" s="16" t="n">
        <v>11.0371522587842</v>
      </c>
      <c r="J4" s="16" t="n">
        <v>12.4602118149868</v>
      </c>
      <c r="K4" s="16" t="n">
        <v>13.7296281882931</v>
      </c>
      <c r="L4" s="16" t="n">
        <v>14.5173143040247</v>
      </c>
      <c r="M4" s="16" t="n">
        <v>14.5826814190399</v>
      </c>
      <c r="N4" s="16" t="n">
        <v>14.3399566970533</v>
      </c>
      <c r="O4" s="16" t="n">
        <v>14.4045252239239</v>
      </c>
      <c r="P4" s="16" t="n">
        <v>14.4693844835178</v>
      </c>
      <c r="Q4" s="16" t="n">
        <v>14.5345357849173</v>
      </c>
      <c r="R4" s="16" t="n">
        <v>14.5999804430991</v>
      </c>
      <c r="S4" s="16" t="n">
        <v>14.7547352450932</v>
      </c>
      <c r="T4" s="16" t="n">
        <v>15.0415680545433</v>
      </c>
      <c r="U4" s="16" t="n">
        <v>15.3339769085113</v>
      </c>
      <c r="V4" s="16" t="n">
        <v>15.6320702055885</v>
      </c>
      <c r="W4" s="16" t="n">
        <v>15.4252147654602</v>
      </c>
      <c r="X4" s="16" t="n">
        <v>15.5032917677174</v>
      </c>
      <c r="Y4" s="16" t="n">
        <v>15.5817639682505</v>
      </c>
      <c r="Z4" s="16" t="n">
        <v>15.660633367414</v>
      </c>
      <c r="AA4" s="8" t="s">
        <v>380</v>
      </c>
    </row>
    <row r="5" customFormat="false" ht="17.15" hidden="false" customHeight="false" outlineLevel="0" collapsed="false">
      <c r="A5" s="0" t="s">
        <v>381</v>
      </c>
      <c r="B5" s="0" t="s">
        <v>27</v>
      </c>
      <c r="C5" s="16" t="n">
        <v>1.69</v>
      </c>
      <c r="D5" s="16" t="n">
        <v>1.9</v>
      </c>
      <c r="E5" s="16" t="n">
        <v>2.31</v>
      </c>
      <c r="F5" s="16" t="n">
        <v>3.03</v>
      </c>
      <c r="G5" s="16" t="n">
        <v>5.95</v>
      </c>
      <c r="H5" s="16" t="n">
        <v>8.97</v>
      </c>
      <c r="I5" s="16" t="n">
        <v>11.0371522587842</v>
      </c>
      <c r="J5" s="16" t="n">
        <v>12.4602118149868</v>
      </c>
      <c r="K5" s="16" t="n">
        <v>13.8288045475019</v>
      </c>
      <c r="L5" s="16" t="n">
        <v>14.91462414699</v>
      </c>
      <c r="M5" s="16" t="n">
        <v>14.1932654802395</v>
      </c>
      <c r="N5" s="16" t="n">
        <v>12.0060408425506</v>
      </c>
      <c r="O5" s="16" t="n">
        <v>8.34240587631358</v>
      </c>
      <c r="P5" s="16" t="n">
        <v>6.47913495574367</v>
      </c>
      <c r="Q5" s="16" t="n">
        <v>5.36749267420871</v>
      </c>
      <c r="R5" s="16" t="n">
        <v>5.00240001636523</v>
      </c>
      <c r="S5" s="16" t="n">
        <v>5.59334148070003</v>
      </c>
      <c r="T5" s="16" t="n">
        <v>6.18268345731728</v>
      </c>
      <c r="U5" s="16" t="n">
        <v>6.70394766301557</v>
      </c>
      <c r="V5" s="16" t="n">
        <v>7.26915983629429</v>
      </c>
      <c r="W5" s="16" t="n">
        <v>6.98032090193984</v>
      </c>
      <c r="X5" s="16" t="n">
        <v>6.98051324161275</v>
      </c>
      <c r="Y5" s="16" t="n">
        <v>6.98070558658549</v>
      </c>
      <c r="Z5" s="16" t="n">
        <v>6.98089793685821</v>
      </c>
      <c r="AA5" s="8" t="s">
        <v>382</v>
      </c>
    </row>
    <row r="6" customFormat="false" ht="17.15" hidden="false" customHeight="false" outlineLevel="0" collapsed="false">
      <c r="A6" s="0" t="s">
        <v>383</v>
      </c>
      <c r="B6" s="0" t="s">
        <v>27</v>
      </c>
      <c r="C6" s="16" t="n">
        <v>1.69</v>
      </c>
      <c r="D6" s="16" t="n">
        <v>1.9</v>
      </c>
      <c r="E6" s="16" t="n">
        <v>2.31</v>
      </c>
      <c r="F6" s="16" t="n">
        <v>3.03</v>
      </c>
      <c r="G6" s="16" t="n">
        <v>5.95</v>
      </c>
      <c r="H6" s="16" t="n">
        <v>8.97</v>
      </c>
      <c r="I6" s="16" t="n">
        <v>11.0371522587842</v>
      </c>
      <c r="J6" s="16" t="n">
        <v>12.4602118149868</v>
      </c>
      <c r="K6" s="16" t="n">
        <v>13.6613861846078</v>
      </c>
      <c r="L6" s="16" t="n">
        <v>14.7340603137756</v>
      </c>
      <c r="M6" s="16" t="n">
        <v>14.0214347726278</v>
      </c>
      <c r="N6" s="16" t="n">
        <v>11.8606897606263</v>
      </c>
      <c r="O6" s="16" t="n">
        <v>6.97229382502909</v>
      </c>
      <c r="P6" s="16" t="n">
        <v>4.54297355113296</v>
      </c>
      <c r="Q6" s="16" t="n">
        <v>3.41548704788217</v>
      </c>
      <c r="R6" s="16" t="n">
        <v>2.73901115333688</v>
      </c>
      <c r="S6" s="16" t="n">
        <v>2.9345421631125</v>
      </c>
      <c r="T6" s="16" t="n">
        <v>3.20574603533714</v>
      </c>
      <c r="U6" s="16" t="n">
        <v>3.60207150930313</v>
      </c>
      <c r="V6" s="16" t="n">
        <v>4.12234634096637</v>
      </c>
      <c r="W6" s="16" t="n">
        <v>3.95087060528909</v>
      </c>
      <c r="X6" s="16" t="n">
        <v>3.94245267282507</v>
      </c>
      <c r="Y6" s="16" t="n">
        <v>3.93405267605018</v>
      </c>
      <c r="Z6" s="16" t="n">
        <v>3.9256705767497</v>
      </c>
      <c r="AA6" s="8" t="s">
        <v>384</v>
      </c>
    </row>
    <row r="7" customFormat="false" ht="17.15" hidden="false" customHeight="false" outlineLevel="0" collapsed="false">
      <c r="A7" s="0" t="s">
        <v>385</v>
      </c>
      <c r="B7" s="0" t="s">
        <v>386</v>
      </c>
      <c r="C7" s="16" t="n">
        <v>31.2873958850745</v>
      </c>
      <c r="D7" s="16" t="n">
        <v>29.6152942833619</v>
      </c>
      <c r="E7" s="16" t="n">
        <v>31.1552804325753</v>
      </c>
      <c r="F7" s="16" t="n">
        <v>33.5147228924475</v>
      </c>
      <c r="G7" s="16" t="n">
        <v>38.0693331650007</v>
      </c>
      <c r="H7" s="16" t="n">
        <v>33.6172154529341</v>
      </c>
      <c r="I7" s="16" t="n">
        <v>33.0914894510934</v>
      </c>
      <c r="J7" s="16" t="n">
        <v>34.5588285485368</v>
      </c>
      <c r="K7" s="16" t="n">
        <v>36.9704842497676</v>
      </c>
      <c r="L7" s="16" t="n">
        <v>39.0915276411862</v>
      </c>
      <c r="M7" s="16" t="n">
        <v>41.3342579717828</v>
      </c>
      <c r="N7" s="16" t="n">
        <v>43.7056565750022</v>
      </c>
      <c r="O7" s="16" t="n">
        <v>46.2131053122095</v>
      </c>
      <c r="P7" s="16" t="n">
        <v>48.8644095514828</v>
      </c>
      <c r="Q7" s="16" t="n">
        <v>51.6678224647285</v>
      </c>
      <c r="R7" s="16" t="n">
        <v>54.6320707187528</v>
      </c>
      <c r="S7" s="16" t="n">
        <v>56.9187133953845</v>
      </c>
      <c r="T7" s="16" t="n">
        <v>59.8198104136917</v>
      </c>
      <c r="U7" s="16" t="n">
        <v>62.8687738085834</v>
      </c>
      <c r="V7" s="16" t="n">
        <v>66.0731401998922</v>
      </c>
      <c r="W7" s="16" t="n">
        <v>67.316108566081</v>
      </c>
      <c r="X7" s="16" t="n">
        <v>69.8539606348013</v>
      </c>
      <c r="Y7" s="16" t="n">
        <v>72.4874910375772</v>
      </c>
      <c r="Z7" s="16" t="n">
        <v>75.2203068970304</v>
      </c>
      <c r="AA7" s="8" t="s">
        <v>387</v>
      </c>
    </row>
    <row r="8" customFormat="false" ht="17.15" hidden="false" customHeight="false" outlineLevel="0" collapsed="false">
      <c r="A8" s="0" t="s">
        <v>388</v>
      </c>
      <c r="B8" s="0" t="s">
        <v>386</v>
      </c>
      <c r="C8" s="16" t="n">
        <v>31.2873958850745</v>
      </c>
      <c r="D8" s="16" t="n">
        <v>29.6152942833619</v>
      </c>
      <c r="E8" s="16" t="n">
        <v>31.1552804325753</v>
      </c>
      <c r="F8" s="16" t="n">
        <v>33.5147228924475</v>
      </c>
      <c r="G8" s="16" t="n">
        <v>38.0693331650007</v>
      </c>
      <c r="H8" s="16" t="n">
        <v>33.6172154529341</v>
      </c>
      <c r="I8" s="16" t="n">
        <v>33.0914894510934</v>
      </c>
      <c r="J8" s="16" t="n">
        <v>34.5588285485368</v>
      </c>
      <c r="K8" s="16" t="n">
        <v>36.5282550863624</v>
      </c>
      <c r="L8" s="16" t="n">
        <v>38.6239272319463</v>
      </c>
      <c r="M8" s="16" t="n">
        <v>40.8398307362794</v>
      </c>
      <c r="N8" s="16" t="n">
        <v>43.1828634243186</v>
      </c>
      <c r="O8" s="16" t="n">
        <v>42.8652040741648</v>
      </c>
      <c r="P8" s="16" t="n">
        <v>44.3883848727713</v>
      </c>
      <c r="Q8" s="16" t="n">
        <v>45.9656906847857</v>
      </c>
      <c r="R8" s="16" t="n">
        <v>47.5990447993401</v>
      </c>
      <c r="S8" s="16" t="n">
        <v>50.6876148680743</v>
      </c>
      <c r="T8" s="16" t="n">
        <v>53.3602965183917</v>
      </c>
      <c r="U8" s="16" t="n">
        <v>56.1739046499125</v>
      </c>
      <c r="V8" s="16" t="n">
        <v>59.1358701039048</v>
      </c>
      <c r="W8" s="16" t="n">
        <v>58.6302159076985</v>
      </c>
      <c r="X8" s="16" t="n">
        <v>60.5358705246329</v>
      </c>
      <c r="Y8" s="16" t="n">
        <v>62.5034645266236</v>
      </c>
      <c r="Z8" s="16" t="n">
        <v>64.5350111260266</v>
      </c>
      <c r="AA8" s="8" t="s">
        <v>389</v>
      </c>
    </row>
    <row r="9" customFormat="false" ht="17.15" hidden="false" customHeight="false" outlineLevel="0" collapsed="false">
      <c r="A9" s="0" t="s">
        <v>390</v>
      </c>
      <c r="B9" s="0" t="s">
        <v>386</v>
      </c>
      <c r="C9" s="16" t="n">
        <v>31.2873958850745</v>
      </c>
      <c r="D9" s="16" t="n">
        <v>29.6152942833619</v>
      </c>
      <c r="E9" s="16" t="n">
        <v>31.1552804325753</v>
      </c>
      <c r="F9" s="16" t="n">
        <v>33.5147228924475</v>
      </c>
      <c r="G9" s="16" t="n">
        <v>38.0693331650007</v>
      </c>
      <c r="H9" s="16" t="n">
        <v>33.6172154529341</v>
      </c>
      <c r="I9" s="16" t="n">
        <v>33.0914894510934</v>
      </c>
      <c r="J9" s="16" t="n">
        <v>34.5588285485368</v>
      </c>
      <c r="K9" s="16" t="n">
        <v>36.0860259229573</v>
      </c>
      <c r="L9" s="16" t="n">
        <v>38.1563268227063</v>
      </c>
      <c r="M9" s="16" t="n">
        <v>40.3454035007761</v>
      </c>
      <c r="N9" s="16" t="n">
        <v>42.660070273635</v>
      </c>
      <c r="O9" s="16" t="n">
        <v>38.5810412440148</v>
      </c>
      <c r="P9" s="16" t="n">
        <v>38.6745363081641</v>
      </c>
      <c r="Q9" s="16" t="n">
        <v>38.7682579428448</v>
      </c>
      <c r="R9" s="16" t="n">
        <v>38.862206697115</v>
      </c>
      <c r="S9" s="16" t="n">
        <v>41.6364803645802</v>
      </c>
      <c r="T9" s="16" t="n">
        <v>43.3185061425067</v>
      </c>
      <c r="U9" s="16" t="n">
        <v>45.0684822056838</v>
      </c>
      <c r="V9" s="16" t="n">
        <v>46.8891536019738</v>
      </c>
      <c r="W9" s="16" t="n">
        <v>46.3980848983602</v>
      </c>
      <c r="X9" s="16" t="n">
        <v>47.8027706837573</v>
      </c>
      <c r="Y9" s="16" t="n">
        <v>49.2499828398014</v>
      </c>
      <c r="Z9" s="16" t="n">
        <v>50.7410088374835</v>
      </c>
      <c r="AA9" s="8" t="s">
        <v>391</v>
      </c>
    </row>
    <row r="10" customFormat="false" ht="17.15" hidden="false" customHeight="false" outlineLevel="0" collapsed="false">
      <c r="A10" s="0" t="s">
        <v>392</v>
      </c>
      <c r="B10" s="0" t="s">
        <v>33</v>
      </c>
      <c r="C10" s="17" t="n">
        <v>0.279077306733167</v>
      </c>
      <c r="D10" s="17" t="n">
        <v>0.255607692307692</v>
      </c>
      <c r="E10" s="17" t="n">
        <v>0.27406432748538</v>
      </c>
      <c r="F10" s="17" t="n">
        <v>0.268969696969697</v>
      </c>
      <c r="G10" s="17" t="n">
        <v>0.270960154241645</v>
      </c>
      <c r="H10" s="17" t="n">
        <v>0.250180832610581</v>
      </c>
      <c r="I10" s="17" t="n">
        <v>0.251873605888391</v>
      </c>
      <c r="J10" s="17" t="n">
        <v>0.245026657759283</v>
      </c>
      <c r="K10" s="17" t="n">
        <v>0.245026657759283</v>
      </c>
      <c r="L10" s="17" t="n">
        <v>0.245026657759283</v>
      </c>
      <c r="M10" s="17" t="n">
        <v>0.245026657759283</v>
      </c>
      <c r="N10" s="17" t="n">
        <v>0.245026657759283</v>
      </c>
      <c r="O10" s="17" t="n">
        <v>0.245026657759283</v>
      </c>
      <c r="P10" s="17" t="n">
        <v>0.245026657759283</v>
      </c>
      <c r="Q10" s="17" t="n">
        <v>0.245026657759283</v>
      </c>
      <c r="R10" s="17" t="n">
        <v>0.245026657759283</v>
      </c>
      <c r="S10" s="17" t="n">
        <v>0.245026657759283</v>
      </c>
      <c r="T10" s="17" t="n">
        <v>0.245026657759283</v>
      </c>
      <c r="U10" s="17" t="n">
        <v>0.245026657759283</v>
      </c>
      <c r="V10" s="17" t="n">
        <v>0.245026657759283</v>
      </c>
      <c r="W10" s="17" t="n">
        <v>0.245026657759283</v>
      </c>
      <c r="X10" s="17" t="n">
        <v>0.245026657759283</v>
      </c>
      <c r="Y10" s="17" t="n">
        <v>0.245026657759283</v>
      </c>
      <c r="Z10" s="17" t="n">
        <v>0.245026657759283</v>
      </c>
      <c r="AA10" s="8" t="s">
        <v>393</v>
      </c>
    </row>
    <row r="11" customFormat="false" ht="17.15" hidden="false" customHeight="false" outlineLevel="0" collapsed="false">
      <c r="A11" s="0" t="s">
        <v>394</v>
      </c>
      <c r="B11" s="0" t="s">
        <v>33</v>
      </c>
      <c r="C11" s="17" t="n">
        <v>0.279077306733167</v>
      </c>
      <c r="D11" s="17" t="n">
        <v>0.255607692307692</v>
      </c>
      <c r="E11" s="17" t="n">
        <v>0.27406432748538</v>
      </c>
      <c r="F11" s="17" t="n">
        <v>0.268969696969697</v>
      </c>
      <c r="G11" s="17" t="n">
        <v>0.270960154241645</v>
      </c>
      <c r="H11" s="17" t="n">
        <v>0.250180832610581</v>
      </c>
      <c r="I11" s="17" t="n">
        <v>0.251873605888391</v>
      </c>
      <c r="J11" s="17" t="n">
        <v>0.245026657759283</v>
      </c>
      <c r="K11" s="17" t="n">
        <v>0.242026657759283</v>
      </c>
      <c r="L11" s="17" t="n">
        <v>0.242026657759283</v>
      </c>
      <c r="M11" s="17" t="n">
        <v>0.242026657759283</v>
      </c>
      <c r="N11" s="17" t="n">
        <v>0.242026657759283</v>
      </c>
      <c r="O11" s="17" t="n">
        <v>0.239026657759283</v>
      </c>
      <c r="P11" s="17" t="n">
        <v>0.239026657759283</v>
      </c>
      <c r="Q11" s="17" t="n">
        <v>0.239026657759283</v>
      </c>
      <c r="R11" s="17" t="n">
        <v>0.239026657759283</v>
      </c>
      <c r="S11" s="17" t="n">
        <v>0.236026657759283</v>
      </c>
      <c r="T11" s="17" t="n">
        <v>0.236026657759283</v>
      </c>
      <c r="U11" s="17" t="n">
        <v>0.236026657759283</v>
      </c>
      <c r="V11" s="17" t="n">
        <v>0.236026657759283</v>
      </c>
      <c r="W11" s="17" t="n">
        <v>0.233026657759283</v>
      </c>
      <c r="X11" s="17" t="n">
        <v>0.233026657759283</v>
      </c>
      <c r="Y11" s="17" t="n">
        <v>0.233026657759283</v>
      </c>
      <c r="Z11" s="17" t="n">
        <v>0.233026657759283</v>
      </c>
      <c r="AA11" s="8" t="s">
        <v>395</v>
      </c>
    </row>
    <row r="12" customFormat="false" ht="17.15" hidden="false" customHeight="false" outlineLevel="0" collapsed="false">
      <c r="A12" s="0" t="s">
        <v>396</v>
      </c>
      <c r="B12" s="0" t="s">
        <v>33</v>
      </c>
      <c r="C12" s="17" t="n">
        <v>0.279077306733167</v>
      </c>
      <c r="D12" s="17" t="n">
        <v>0.255607692307692</v>
      </c>
      <c r="E12" s="17" t="n">
        <v>0.27406432748538</v>
      </c>
      <c r="F12" s="17" t="n">
        <v>0.268969696969697</v>
      </c>
      <c r="G12" s="17" t="n">
        <v>0.270960154241645</v>
      </c>
      <c r="H12" s="17" t="n">
        <v>0.250180832610581</v>
      </c>
      <c r="I12" s="17" t="n">
        <v>0.251873605888391</v>
      </c>
      <c r="J12" s="17" t="n">
        <v>0.245026657759283</v>
      </c>
      <c r="K12" s="17" t="n">
        <v>0.239026657759283</v>
      </c>
      <c r="L12" s="17" t="n">
        <v>0.239026657759283</v>
      </c>
      <c r="M12" s="17" t="n">
        <v>0.239026657759283</v>
      </c>
      <c r="N12" s="17" t="n">
        <v>0.239026657759283</v>
      </c>
      <c r="O12" s="17" t="n">
        <v>0.233026657759283</v>
      </c>
      <c r="P12" s="17" t="n">
        <v>0.233026657759283</v>
      </c>
      <c r="Q12" s="17" t="n">
        <v>0.233026657759283</v>
      </c>
      <c r="R12" s="17" t="n">
        <v>0.233026657759283</v>
      </c>
      <c r="S12" s="17" t="n">
        <v>0.227026657759283</v>
      </c>
      <c r="T12" s="17" t="n">
        <v>0.227026657759283</v>
      </c>
      <c r="U12" s="17" t="n">
        <v>0.227026657759283</v>
      </c>
      <c r="V12" s="17" t="n">
        <v>0.227026657759283</v>
      </c>
      <c r="W12" s="17" t="n">
        <v>0.221026657759283</v>
      </c>
      <c r="X12" s="17" t="n">
        <v>0.221026657759283</v>
      </c>
      <c r="Y12" s="17" t="n">
        <v>0.221026657759283</v>
      </c>
      <c r="Z12" s="17" t="n">
        <v>0.221026657759283</v>
      </c>
      <c r="AA12" s="8" t="s">
        <v>397</v>
      </c>
    </row>
    <row r="14" customFormat="false" ht="17.15" hidden="false" customHeight="false" outlineLevel="0" collapsed="false">
      <c r="A14" s="1" t="s">
        <v>398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12" t="s">
        <v>399</v>
      </c>
      <c r="D15" s="12" t="s">
        <v>400</v>
      </c>
      <c r="E15" s="12" t="s">
        <v>401</v>
      </c>
      <c r="F15" s="12" t="s">
        <v>402</v>
      </c>
      <c r="G15" s="12" t="s">
        <v>403</v>
      </c>
      <c r="H15" s="12" t="s">
        <v>404</v>
      </c>
      <c r="I15" s="6" t="s">
        <v>343</v>
      </c>
    </row>
    <row r="16" customFormat="false" ht="17.15" hidden="false" customHeight="false" outlineLevel="0" collapsed="false">
      <c r="A16" s="0" t="s">
        <v>405</v>
      </c>
      <c r="B16" s="0" t="s">
        <v>33</v>
      </c>
      <c r="C16" s="17" t="n">
        <v>0.55</v>
      </c>
      <c r="D16" s="17" t="n">
        <v>0.754342431761787</v>
      </c>
      <c r="E16" s="17" t="n">
        <v>0.831450239900944</v>
      </c>
      <c r="F16" s="17" t="n">
        <v>0.85505592146392</v>
      </c>
      <c r="G16" s="17" t="n">
        <v>0.87526233730827</v>
      </c>
      <c r="H16" s="17" t="n">
        <v>0.883334504448184</v>
      </c>
      <c r="I16" s="8" t="s">
        <v>406</v>
      </c>
    </row>
    <row r="17" customFormat="false" ht="17.15" hidden="false" customHeight="false" outlineLevel="0" collapsed="false">
      <c r="A17" s="0" t="s">
        <v>407</v>
      </c>
      <c r="B17" s="0" t="s">
        <v>33</v>
      </c>
      <c r="C17" s="17" t="n">
        <v>0.55</v>
      </c>
      <c r="D17" s="17" t="n">
        <v>0.754342431761787</v>
      </c>
      <c r="E17" s="17" t="n">
        <v>0.831450239900944</v>
      </c>
      <c r="F17" s="17" t="n">
        <v>0.825155568097228</v>
      </c>
      <c r="G17" s="17" t="n">
        <v>0.856410574939603</v>
      </c>
      <c r="H17" s="17" t="n">
        <v>0.86551525166988</v>
      </c>
      <c r="I17" s="8" t="s">
        <v>408</v>
      </c>
    </row>
    <row r="18" customFormat="false" ht="17.15" hidden="false" customHeight="false" outlineLevel="0" collapsed="false">
      <c r="A18" s="0" t="s">
        <v>409</v>
      </c>
      <c r="B18" s="0" t="s">
        <v>33</v>
      </c>
      <c r="C18" s="17" t="n">
        <v>0.55</v>
      </c>
      <c r="D18" s="17" t="n">
        <v>0.754342431761787</v>
      </c>
      <c r="E18" s="17" t="n">
        <v>0.831450239900944</v>
      </c>
      <c r="F18" s="17" t="n">
        <v>0.779712756762721</v>
      </c>
      <c r="G18" s="17" t="n">
        <v>0.808064917869456</v>
      </c>
      <c r="H18" s="17" t="n">
        <v>0.819589309178652</v>
      </c>
      <c r="I18" s="8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411</v>
      </c>
    </row>
    <row r="3" customFormat="false" ht="15" hidden="false" customHeight="false" outlineLevel="0" collapsed="false">
      <c r="A3" s="6" t="s">
        <v>412</v>
      </c>
      <c r="B3" s="6" t="s">
        <v>17</v>
      </c>
      <c r="C3" s="12" t="s">
        <v>413</v>
      </c>
      <c r="D3" s="12" t="s">
        <v>414</v>
      </c>
      <c r="E3" s="12" t="s">
        <v>415</v>
      </c>
      <c r="F3" s="12" t="s">
        <v>416</v>
      </c>
      <c r="G3" s="12" t="s">
        <v>417</v>
      </c>
      <c r="H3" s="6" t="s">
        <v>321</v>
      </c>
    </row>
    <row r="4" customFormat="false" ht="17.15" hidden="false" customHeight="false" outlineLevel="0" collapsed="false">
      <c r="A4" s="3" t="s">
        <v>418</v>
      </c>
    </row>
    <row r="5" customFormat="false" ht="15" hidden="false" customHeight="false" outlineLevel="0" collapsed="false">
      <c r="A5" s="5" t="s">
        <v>344</v>
      </c>
      <c r="B5" s="0" t="s">
        <v>27</v>
      </c>
      <c r="C5" s="15" t="n">
        <f aca="false">C77</f>
        <v>7.355</v>
      </c>
      <c r="D5" s="15" t="n">
        <f aca="false">D77</f>
        <v>20.248</v>
      </c>
      <c r="E5" s="15" t="n">
        <f aca="false">E77</f>
        <v>51.7136584082017</v>
      </c>
      <c r="F5" s="15" t="n">
        <f aca="false">F77</f>
        <v>57.7623149225535</v>
      </c>
      <c r="G5" s="15" t="n">
        <f aca="false">G77</f>
        <v>58.8959147974292</v>
      </c>
    </row>
    <row r="6" customFormat="false" ht="15" hidden="false" customHeight="false" outlineLevel="0" collapsed="false">
      <c r="A6" s="5" t="s">
        <v>419</v>
      </c>
      <c r="B6" s="0" t="s">
        <v>27</v>
      </c>
      <c r="D6" s="15" t="n">
        <f aca="false">D78</f>
        <v>5.153</v>
      </c>
      <c r="E6" s="15" t="n">
        <f aca="false">E78</f>
        <v>19.6511901951166</v>
      </c>
      <c r="F6" s="15" t="n">
        <f aca="false">F78</f>
        <v>24.2601722674725</v>
      </c>
      <c r="G6" s="15" t="n">
        <f aca="false">G78</f>
        <v>26.5031616588432</v>
      </c>
    </row>
    <row r="7" customFormat="false" ht="17.15" hidden="false" customHeight="false" outlineLevel="0" collapsed="false">
      <c r="A7" s="5" t="s">
        <v>420</v>
      </c>
      <c r="B7" s="0" t="s">
        <v>27</v>
      </c>
      <c r="D7" s="15" t="n">
        <f aca="false">D79</f>
        <v>3.36063827543424</v>
      </c>
      <c r="E7" s="15" t="n">
        <f aca="false">E79</f>
        <v>15.5813567004332</v>
      </c>
      <c r="F7" s="15" t="n">
        <f aca="false">F79</f>
        <v>20.4574650024327</v>
      </c>
      <c r="G7" s="15" t="n">
        <f aca="false">G79</f>
        <v>22.9294522667437</v>
      </c>
    </row>
    <row r="8" customFormat="false" ht="15" hidden="false" customHeight="false" outlineLevel="0" collapsed="false">
      <c r="A8" s="5" t="s">
        <v>421</v>
      </c>
      <c r="B8" s="0" t="s">
        <v>27</v>
      </c>
      <c r="D8" s="15" t="n">
        <f aca="false">D80</f>
        <v>12.16</v>
      </c>
      <c r="E8" s="15" t="n">
        <f aca="false">E80</f>
        <v>28.9596487085929</v>
      </c>
      <c r="F8" s="15" t="n">
        <f aca="false">F80</f>
        <v>30.0364037597278</v>
      </c>
      <c r="G8" s="15" t="n">
        <f aca="false">G80</f>
        <v>28.8589982507403</v>
      </c>
    </row>
    <row r="9" customFormat="false" ht="15" hidden="false" customHeight="false" outlineLevel="0" collapsed="false">
      <c r="A9" s="5" t="s">
        <v>422</v>
      </c>
      <c r="B9" s="0" t="s">
        <v>27</v>
      </c>
      <c r="D9" s="15" t="n">
        <f aca="false">D81</f>
        <v>2.935</v>
      </c>
      <c r="E9" s="15" t="n">
        <f aca="false">E81</f>
        <v>3.1028195044921</v>
      </c>
      <c r="F9" s="15" t="n">
        <f aca="false">F81</f>
        <v>3.46573889535321</v>
      </c>
      <c r="G9" s="15" t="n">
        <f aca="false">G81</f>
        <v>3.53375488784575</v>
      </c>
    </row>
    <row r="10" customFormat="false" ht="15" hidden="false" customHeight="false" outlineLevel="0" collapsed="false">
      <c r="A10" s="5" t="s">
        <v>423</v>
      </c>
      <c r="B10" s="0" t="s">
        <v>33</v>
      </c>
      <c r="D10" s="14" t="n">
        <f aca="false">D84</f>
        <v>0.714969330304228</v>
      </c>
      <c r="E10" s="14" t="n">
        <f aca="false">E84</f>
        <v>0.869186027512121</v>
      </c>
      <c r="F10" s="14" t="n">
        <f aca="false">F84</f>
        <v>0.873760255212132</v>
      </c>
      <c r="G10" s="14" t="n">
        <f aca="false">G84</f>
        <v>0.868102417712899</v>
      </c>
    </row>
    <row r="11" customFormat="false" ht="15" hidden="false" customHeight="false" outlineLevel="0" collapsed="false">
      <c r="A11" s="5" t="s">
        <v>424</v>
      </c>
      <c r="B11" s="0" t="s">
        <v>27</v>
      </c>
      <c r="D11" s="15" t="n">
        <f aca="false">D86</f>
        <v>12.389</v>
      </c>
      <c r="E11" s="15" t="n">
        <f aca="false">E86</f>
        <v>42.4755439117486</v>
      </c>
      <c r="F11" s="15" t="n">
        <f aca="false">F86</f>
        <v>47.7410721726241</v>
      </c>
      <c r="G11" s="15" t="n">
        <f aca="false">G86</f>
        <v>48.1718352039102</v>
      </c>
    </row>
    <row r="12" customFormat="false" ht="15" hidden="false" customHeight="false" outlineLevel="0" collapsed="false">
      <c r="A12" s="5" t="s">
        <v>425</v>
      </c>
      <c r="B12" s="0" t="s">
        <v>33</v>
      </c>
      <c r="D12" s="14" t="n">
        <f aca="false">D87</f>
        <v>0.61186290003951</v>
      </c>
      <c r="E12" s="14" t="n">
        <f aca="false">E87</f>
        <v>0.821360259923365</v>
      </c>
      <c r="F12" s="14" t="n">
        <f aca="false">F87</f>
        <v>0.826508983177601</v>
      </c>
      <c r="G12" s="14" t="n">
        <f aca="false">G87</f>
        <v>0.817914712244403</v>
      </c>
    </row>
    <row r="13" customFormat="false" ht="15" hidden="false" customHeight="false" outlineLevel="0" collapsed="false">
      <c r="A13" s="5" t="s">
        <v>426</v>
      </c>
      <c r="B13" s="0" t="s">
        <v>27</v>
      </c>
      <c r="C13" s="15" t="n">
        <f aca="false">C88</f>
        <v>-1.641</v>
      </c>
      <c r="D13" s="15" t="n">
        <f aca="false">D88</f>
        <v>11.433</v>
      </c>
      <c r="E13" s="15" t="n">
        <f aca="false">E88</f>
        <v>36.2661203249863</v>
      </c>
      <c r="F13" s="15" t="n">
        <f aca="false">F88</f>
        <v>41.3083154606789</v>
      </c>
      <c r="G13" s="15" t="n">
        <f aca="false">G88</f>
        <v>42.3205078388826</v>
      </c>
    </row>
    <row r="14" customFormat="false" ht="15" hidden="false" customHeight="false" outlineLevel="0" collapsed="false">
      <c r="A14" s="0" t="s">
        <v>427</v>
      </c>
      <c r="B14" s="0" t="s">
        <v>40</v>
      </c>
      <c r="C14" s="15" t="n">
        <f aca="false">C96</f>
        <v>-11.32</v>
      </c>
      <c r="D14" s="15" t="n">
        <f aca="false">D96</f>
        <v>73.76</v>
      </c>
      <c r="E14" s="15" t="n">
        <f aca="false">E96</f>
        <v>263.673437993239</v>
      </c>
      <c r="F14" s="15" t="n">
        <f aca="false">F96</f>
        <v>338.055737379477</v>
      </c>
      <c r="G14" s="15" t="n">
        <f aca="false">G96</f>
        <v>397.508253967565</v>
      </c>
    </row>
    <row r="15" customFormat="false" ht="15" hidden="false" customHeight="false" outlineLevel="0" collapsed="false">
      <c r="A15" s="5" t="s">
        <v>428</v>
      </c>
      <c r="B15" s="0" t="s">
        <v>40</v>
      </c>
      <c r="D15" s="15" t="n">
        <f aca="false">D97</f>
        <v>107.471656877476</v>
      </c>
      <c r="E15" s="15" t="n">
        <f aca="false">E97</f>
        <v>265.794151817112</v>
      </c>
      <c r="F15" s="15" t="n">
        <f aca="false">F97</f>
        <v>490.142284833884</v>
      </c>
      <c r="G15" s="15" t="n">
        <f aca="false">G97</f>
        <v>790.057836735136</v>
      </c>
    </row>
    <row r="16" customFormat="false" ht="15" hidden="false" customHeight="false" outlineLevel="0" collapsed="false">
      <c r="A16" s="5" t="s">
        <v>429</v>
      </c>
      <c r="B16" s="0" t="s">
        <v>27</v>
      </c>
      <c r="D16" s="15" t="n">
        <f aca="false">D91</f>
        <v>11.031</v>
      </c>
      <c r="E16" s="15" t="n">
        <f aca="false">E91</f>
        <v>33.3233008204942</v>
      </c>
      <c r="F16" s="15" t="n">
        <f aca="false">F91</f>
        <v>38.0025765653257</v>
      </c>
      <c r="G16" s="15" t="n">
        <f aca="false">G91</f>
        <v>38.9467529510369</v>
      </c>
    </row>
    <row r="18" customFormat="false" ht="17.15" hidden="false" customHeight="false" outlineLevel="0" collapsed="false">
      <c r="A18" s="3" t="s">
        <v>430</v>
      </c>
    </row>
    <row r="19" customFormat="false" ht="15" hidden="false" customHeight="false" outlineLevel="0" collapsed="false">
      <c r="A19" s="5" t="s">
        <v>344</v>
      </c>
      <c r="B19" s="0" t="s">
        <v>27</v>
      </c>
      <c r="C19" s="15" t="n">
        <f aca="false">C124</f>
        <v>7.355</v>
      </c>
      <c r="D19" s="15" t="n">
        <f aca="false">D124</f>
        <v>20.248</v>
      </c>
      <c r="E19" s="15" t="n">
        <f aca="false">E124</f>
        <v>52.2098505415492</v>
      </c>
      <c r="F19" s="15" t="n">
        <f aca="false">F124</f>
        <v>40.9965505030281</v>
      </c>
      <c r="G19" s="15" t="n">
        <f aca="false">G124</f>
        <v>22.1328005993937</v>
      </c>
    </row>
    <row r="20" customFormat="false" ht="15" hidden="false" customHeight="false" outlineLevel="0" collapsed="false">
      <c r="A20" s="5" t="s">
        <v>419</v>
      </c>
      <c r="B20" s="0" t="s">
        <v>27</v>
      </c>
      <c r="D20" s="15" t="n">
        <f aca="false">D125</f>
        <v>5.153</v>
      </c>
      <c r="E20" s="15" t="n">
        <f aca="false">E125</f>
        <v>19.8397432057887</v>
      </c>
      <c r="F20" s="15" t="n">
        <f aca="false">F125</f>
        <v>17.2185512112718</v>
      </c>
      <c r="G20" s="15" t="n">
        <f aca="false">G125</f>
        <v>9.95976026972715</v>
      </c>
    </row>
    <row r="21" customFormat="false" ht="17.15" hidden="false" customHeight="false" outlineLevel="0" collapsed="false">
      <c r="A21" s="5" t="s">
        <v>420</v>
      </c>
      <c r="B21" s="0" t="s">
        <v>27</v>
      </c>
      <c r="D21" s="15" t="n">
        <f aca="false">D126</f>
        <v>3.36063827543424</v>
      </c>
      <c r="E21" s="15" t="n">
        <f aca="false">E126</f>
        <v>15.7308596917051</v>
      </c>
      <c r="F21" s="15" t="n">
        <f aca="false">F126</f>
        <v>14.2621759709534</v>
      </c>
      <c r="G21" s="15" t="n">
        <f aca="false">G126</f>
        <v>8.37399783116828</v>
      </c>
    </row>
    <row r="22" customFormat="false" ht="15" hidden="false" customHeight="false" outlineLevel="0" collapsed="false">
      <c r="A22" s="5" t="s">
        <v>421</v>
      </c>
      <c r="B22" s="0" t="s">
        <v>27</v>
      </c>
      <c r="D22" s="15" t="n">
        <f aca="false">D127</f>
        <v>12.16</v>
      </c>
      <c r="E22" s="15" t="n">
        <f aca="false">E127</f>
        <v>29.2375163032676</v>
      </c>
      <c r="F22" s="15" t="n">
        <f aca="false">F127</f>
        <v>21.3182062615746</v>
      </c>
      <c r="G22" s="15" t="n">
        <f aca="false">G127</f>
        <v>10.8450722937029</v>
      </c>
    </row>
    <row r="23" customFormat="false" ht="15" hidden="false" customHeight="false" outlineLevel="0" collapsed="false">
      <c r="A23" s="5" t="s">
        <v>422</v>
      </c>
      <c r="B23" s="0" t="s">
        <v>27</v>
      </c>
      <c r="D23" s="15" t="n">
        <f aca="false">D128</f>
        <v>2.935</v>
      </c>
      <c r="E23" s="15" t="n">
        <f aca="false">E128</f>
        <v>3.13259103249295</v>
      </c>
      <c r="F23" s="15" t="n">
        <f aca="false">F128</f>
        <v>2.45979303018169</v>
      </c>
      <c r="G23" s="15" t="n">
        <f aca="false">G128</f>
        <v>1.32796803596362</v>
      </c>
    </row>
    <row r="24" customFormat="false" ht="15" hidden="false" customHeight="false" outlineLevel="0" collapsed="false">
      <c r="A24" s="5" t="s">
        <v>423</v>
      </c>
      <c r="B24" s="0" t="s">
        <v>33</v>
      </c>
      <c r="D24" s="14" t="n">
        <f aca="false">D131</f>
        <v>0.714969330304228</v>
      </c>
      <c r="E24" s="14" t="n">
        <f aca="false">E131</f>
        <v>0.870089340613472</v>
      </c>
      <c r="F24" s="14" t="n">
        <f aca="false">F131</f>
        <v>0.825185940576105</v>
      </c>
      <c r="G24" s="14" t="n">
        <f aca="false">G131</f>
        <v>0.671587161809111</v>
      </c>
    </row>
    <row r="25" customFormat="false" ht="15" hidden="false" customHeight="false" outlineLevel="0" collapsed="false">
      <c r="A25" s="5" t="s">
        <v>424</v>
      </c>
      <c r="B25" s="0" t="s">
        <v>27</v>
      </c>
      <c r="D25" s="15" t="n">
        <f aca="false">D133</f>
        <v>12.389</v>
      </c>
      <c r="E25" s="15" t="n">
        <f aca="false">E133</f>
        <v>42.949027101696</v>
      </c>
      <c r="F25" s="15" t="n">
        <f aca="false">F133</f>
        <v>31.2680918756625</v>
      </c>
      <c r="G25" s="15" t="n">
        <f aca="false">G133</f>
        <v>12.2758850542631</v>
      </c>
    </row>
    <row r="26" customFormat="false" ht="15" hidden="false" customHeight="false" outlineLevel="0" collapsed="false">
      <c r="A26" s="5" t="s">
        <v>425</v>
      </c>
      <c r="B26" s="0" t="s">
        <v>33</v>
      </c>
      <c r="D26" s="14" t="n">
        <f aca="false">D134</f>
        <v>0.61186290003951</v>
      </c>
      <c r="E26" s="14" t="n">
        <f aca="false">E134</f>
        <v>0.82262306166758</v>
      </c>
      <c r="F26" s="14" t="n">
        <f aca="false">F134</f>
        <v>0.762700556315169</v>
      </c>
      <c r="G26" s="14" t="n">
        <f aca="false">G134</f>
        <v>0.554646710845958</v>
      </c>
    </row>
    <row r="27" customFormat="false" ht="15" hidden="false" customHeight="false" outlineLevel="0" collapsed="false">
      <c r="A27" s="5" t="s">
        <v>426</v>
      </c>
      <c r="B27" s="0" t="s">
        <v>27</v>
      </c>
      <c r="C27" s="15" t="n">
        <f aca="false">C135</f>
        <v>-1.641</v>
      </c>
      <c r="D27" s="15" t="n">
        <f aca="false">D135</f>
        <v>11.433</v>
      </c>
      <c r="E27" s="15" t="n">
        <f aca="false">E135</f>
        <v>36.6685810364416</v>
      </c>
      <c r="F27" s="15" t="n">
        <f aca="false">F135</f>
        <v>27.3126179243802</v>
      </c>
      <c r="G27" s="15" t="n">
        <f aca="false">G135</f>
        <v>11.5944601493922</v>
      </c>
    </row>
    <row r="28" customFormat="false" ht="15" hidden="false" customHeight="false" outlineLevel="0" collapsed="false">
      <c r="A28" s="0" t="s">
        <v>427</v>
      </c>
      <c r="B28" s="0" t="s">
        <v>40</v>
      </c>
      <c r="C28" s="15" t="n">
        <f aca="false">C143</f>
        <v>-11.32</v>
      </c>
      <c r="D28" s="15" t="n">
        <f aca="false">D143</f>
        <v>73.76</v>
      </c>
      <c r="E28" s="15" t="n">
        <f aca="false">E143</f>
        <v>266.891604607242</v>
      </c>
      <c r="F28" s="15" t="n">
        <f aca="false">F143</f>
        <v>214.570995716972</v>
      </c>
      <c r="G28" s="15" t="n">
        <f aca="false">G143</f>
        <v>94.203781023555</v>
      </c>
    </row>
    <row r="29" customFormat="false" ht="15" hidden="false" customHeight="false" outlineLevel="0" collapsed="false">
      <c r="A29" s="5" t="s">
        <v>428</v>
      </c>
      <c r="B29" s="0" t="s">
        <v>40</v>
      </c>
      <c r="D29" s="15" t="n">
        <f aca="false">D144</f>
        <v>107.471656877476</v>
      </c>
      <c r="E29" s="15" t="n">
        <f aca="false">E144</f>
        <v>267.722622434501</v>
      </c>
      <c r="F29" s="15" t="n">
        <f aca="false">F144</f>
        <v>410.423184129735</v>
      </c>
      <c r="G29" s="15" t="n">
        <f aca="false">G144</f>
        <v>478.858425750449</v>
      </c>
    </row>
    <row r="30" customFormat="false" ht="15" hidden="false" customHeight="false" outlineLevel="0" collapsed="false">
      <c r="A30" s="5" t="s">
        <v>429</v>
      </c>
      <c r="B30" s="0" t="s">
        <v>27</v>
      </c>
      <c r="D30" s="15" t="n">
        <f aca="false">D138</f>
        <v>11.031</v>
      </c>
      <c r="E30" s="15" t="n">
        <f aca="false">E138</f>
        <v>33.6959900039486</v>
      </c>
      <c r="F30" s="15" t="n">
        <f aca="false">F138</f>
        <v>25.0128248941985</v>
      </c>
      <c r="G30" s="15" t="n">
        <f aca="false">G138</f>
        <v>10.4264921134286</v>
      </c>
    </row>
    <row r="32" customFormat="false" ht="17.15" hidden="false" customHeight="false" outlineLevel="0" collapsed="false">
      <c r="A32" s="3" t="s">
        <v>431</v>
      </c>
    </row>
    <row r="33" customFormat="false" ht="15" hidden="false" customHeight="false" outlineLevel="0" collapsed="false">
      <c r="A33" s="5" t="s">
        <v>344</v>
      </c>
      <c r="B33" s="0" t="s">
        <v>27</v>
      </c>
      <c r="C33" s="15" t="n">
        <f aca="false">C171</f>
        <v>7.355</v>
      </c>
      <c r="D33" s="15" t="n">
        <f aca="false">D171</f>
        <v>20.248</v>
      </c>
      <c r="E33" s="15" t="n">
        <f aca="false">E171</f>
        <v>51.8620744553298</v>
      </c>
      <c r="F33" s="15" t="n">
        <f aca="false">F171</f>
        <v>37.3752414304965</v>
      </c>
      <c r="G33" s="15" t="n">
        <f aca="false">G171</f>
        <v>12.2875041964705</v>
      </c>
    </row>
    <row r="34" customFormat="false" ht="15" hidden="false" customHeight="false" outlineLevel="0" collapsed="false">
      <c r="A34" s="5" t="s">
        <v>419</v>
      </c>
      <c r="B34" s="0" t="s">
        <v>27</v>
      </c>
      <c r="D34" s="15" t="n">
        <f aca="false">D172</f>
        <v>5.153</v>
      </c>
      <c r="E34" s="15" t="n">
        <f aca="false">E172</f>
        <v>19.7075882930253</v>
      </c>
      <c r="F34" s="15" t="n">
        <f aca="false">F172</f>
        <v>15.6976014008085</v>
      </c>
      <c r="G34" s="15" t="n">
        <f aca="false">G172</f>
        <v>5.52937688841171</v>
      </c>
    </row>
    <row r="35" customFormat="false" ht="17.15" hidden="false" customHeight="false" outlineLevel="0" collapsed="false">
      <c r="A35" s="5" t="s">
        <v>420</v>
      </c>
      <c r="B35" s="0" t="s">
        <v>27</v>
      </c>
      <c r="D35" s="15" t="n">
        <f aca="false">D173</f>
        <v>3.36063827543424</v>
      </c>
      <c r="E35" s="15" t="n">
        <f aca="false">E173</f>
        <v>15.6260745456129</v>
      </c>
      <c r="F35" s="15" t="n">
        <f aca="false">F173</f>
        <v>12.6456972566792</v>
      </c>
      <c r="G35" s="15" t="n">
        <f aca="false">G173</f>
        <v>4.38971058902362</v>
      </c>
    </row>
    <row r="36" customFormat="false" ht="15" hidden="false" customHeight="false" outlineLevel="0" collapsed="false">
      <c r="A36" s="5" t="s">
        <v>421</v>
      </c>
      <c r="B36" s="0" t="s">
        <v>27</v>
      </c>
      <c r="D36" s="15" t="n">
        <f aca="false">D174</f>
        <v>12.16</v>
      </c>
      <c r="E36" s="15" t="n">
        <f aca="false">E174</f>
        <v>29.0427616949847</v>
      </c>
      <c r="F36" s="15" t="n">
        <f aca="false">F174</f>
        <v>19.4351255438582</v>
      </c>
      <c r="G36" s="15" t="n">
        <f aca="false">G174</f>
        <v>6.02087705627053</v>
      </c>
    </row>
    <row r="37" customFormat="false" ht="15" hidden="false" customHeight="false" outlineLevel="0" collapsed="false">
      <c r="A37" s="5" t="s">
        <v>422</v>
      </c>
      <c r="B37" s="0" t="s">
        <v>27</v>
      </c>
      <c r="D37" s="15" t="n">
        <f aca="false">D175</f>
        <v>2.935</v>
      </c>
      <c r="E37" s="15" t="n">
        <f aca="false">E175</f>
        <v>3.11172446731979</v>
      </c>
      <c r="F37" s="15" t="n">
        <f aca="false">F175</f>
        <v>2.24251448582979</v>
      </c>
      <c r="G37" s="15" t="n">
        <f aca="false">G175</f>
        <v>0.737250251788228</v>
      </c>
    </row>
    <row r="38" customFormat="false" ht="15" hidden="false" customHeight="false" outlineLevel="0" collapsed="false">
      <c r="A38" s="5" t="s">
        <v>423</v>
      </c>
      <c r="B38" s="0" t="s">
        <v>33</v>
      </c>
      <c r="D38" s="14" t="n">
        <f aca="false">D178</f>
        <v>0.714969330304228</v>
      </c>
      <c r="E38" s="14" t="n">
        <f aca="false">E178</f>
        <v>0.868909647758139</v>
      </c>
      <c r="F38" s="14" t="n">
        <f aca="false">F178</f>
        <v>0.814671109459625</v>
      </c>
      <c r="G38" s="14" t="n">
        <f aca="false">G178</f>
        <v>0.486357607216019</v>
      </c>
    </row>
    <row r="39" customFormat="false" ht="15" hidden="false" customHeight="false" outlineLevel="0" collapsed="false">
      <c r="A39" s="5" t="s">
        <v>424</v>
      </c>
      <c r="B39" s="0" t="s">
        <v>27</v>
      </c>
      <c r="D39" s="15" t="n">
        <f aca="false">D180</f>
        <v>12.389</v>
      </c>
      <c r="E39" s="15" t="n">
        <f aca="false">E180</f>
        <v>42.5887272783208</v>
      </c>
      <c r="F39" s="15" t="n">
        <f aca="false">F180</f>
        <v>27.9230572816746</v>
      </c>
      <c r="G39" s="15" t="n">
        <f aca="false">G180</f>
        <v>3.48635442051075</v>
      </c>
    </row>
    <row r="40" customFormat="false" ht="15" hidden="false" customHeight="false" outlineLevel="0" collapsed="false">
      <c r="A40" s="5" t="s">
        <v>425</v>
      </c>
      <c r="B40" s="0" t="s">
        <v>33</v>
      </c>
      <c r="D40" s="14" t="n">
        <f aca="false">D181</f>
        <v>0.61186290003951</v>
      </c>
      <c r="E40" s="14" t="n">
        <f aca="false">E181</f>
        <v>0.821192127881494</v>
      </c>
      <c r="F40" s="14" t="n">
        <f aca="false">F181</f>
        <v>0.747100385521275</v>
      </c>
      <c r="G40" s="14" t="n">
        <f aca="false">G181</f>
        <v>0.283731697240209</v>
      </c>
    </row>
    <row r="41" customFormat="false" ht="15" hidden="false" customHeight="false" outlineLevel="0" collapsed="false">
      <c r="A41" s="5" t="s">
        <v>426</v>
      </c>
      <c r="B41" s="0" t="s">
        <v>27</v>
      </c>
      <c r="C41" s="15" t="n">
        <f aca="false">C182</f>
        <v>-1.641</v>
      </c>
      <c r="D41" s="15" t="n">
        <f aca="false">D182</f>
        <v>11.433</v>
      </c>
      <c r="E41" s="15" t="n">
        <f aca="false">E182</f>
        <v>36.3623261865726</v>
      </c>
      <c r="F41" s="15" t="n">
        <f aca="false">F182</f>
        <v>24.4644869186507</v>
      </c>
      <c r="G41" s="15" t="n">
        <f aca="false">G182</f>
        <v>4.07378301801939</v>
      </c>
    </row>
    <row r="42" customFormat="false" ht="15" hidden="false" customHeight="false" outlineLevel="0" collapsed="false">
      <c r="A42" s="0" t="s">
        <v>427</v>
      </c>
      <c r="B42" s="0" t="s">
        <v>40</v>
      </c>
      <c r="C42" s="15" t="n">
        <f aca="false">C190</f>
        <v>-11.32</v>
      </c>
      <c r="D42" s="15" t="n">
        <f aca="false">D190</f>
        <v>73.76</v>
      </c>
      <c r="E42" s="15" t="n">
        <f aca="false">E190</f>
        <v>264.440692062969</v>
      </c>
      <c r="F42" s="15" t="n">
        <f aca="false">F190</f>
        <v>190.433726588418</v>
      </c>
      <c r="G42" s="15" t="n">
        <f aca="false">G190</f>
        <v>32.0631307580034</v>
      </c>
    </row>
    <row r="43" customFormat="false" ht="15" hidden="false" customHeight="false" outlineLevel="0" collapsed="false">
      <c r="A43" s="5" t="s">
        <v>428</v>
      </c>
      <c r="B43" s="0" t="s">
        <v>40</v>
      </c>
      <c r="D43" s="15" t="n">
        <f aca="false">D191</f>
        <v>107.471656877476</v>
      </c>
      <c r="E43" s="15" t="n">
        <f aca="false">E191</f>
        <v>266.260023997072</v>
      </c>
      <c r="F43" s="15" t="n">
        <f aca="false">F191</f>
        <v>392.829344096719</v>
      </c>
      <c r="G43" s="15" t="n">
        <f aca="false">G191</f>
        <v>416.3463358113</v>
      </c>
    </row>
    <row r="44" customFormat="false" ht="15" hidden="false" customHeight="false" outlineLevel="0" collapsed="false">
      <c r="A44" s="5" t="s">
        <v>429</v>
      </c>
      <c r="B44" s="0" t="s">
        <v>27</v>
      </c>
      <c r="D44" s="15" t="n">
        <f aca="false">D185</f>
        <v>11.031</v>
      </c>
      <c r="E44" s="15" t="n">
        <f aca="false">E185</f>
        <v>33.4106017192529</v>
      </c>
      <c r="F44" s="15" t="n">
        <f aca="false">F185</f>
        <v>22.381972432821</v>
      </c>
      <c r="G44" s="15" t="n">
        <f aca="false">G185</f>
        <v>3.49653276623116</v>
      </c>
    </row>
    <row r="46" customFormat="false" ht="17.15" hidden="false" customHeight="false" outlineLevel="0" collapsed="false">
      <c r="A46" s="5" t="s">
        <v>432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433</v>
      </c>
    </row>
    <row r="57" customFormat="false" ht="17.15" hidden="false" customHeight="false" outlineLevel="0" collapsed="false">
      <c r="A57" s="12" t="s">
        <v>434</v>
      </c>
      <c r="B57" s="6" t="s">
        <v>17</v>
      </c>
      <c r="C57" s="12" t="s">
        <v>435</v>
      </c>
      <c r="D57" s="12" t="s">
        <v>436</v>
      </c>
      <c r="E57" s="12" t="s">
        <v>437</v>
      </c>
      <c r="F57" s="12" t="s">
        <v>438</v>
      </c>
      <c r="G57" s="12" t="s">
        <v>439</v>
      </c>
      <c r="H57" s="12" t="s">
        <v>440</v>
      </c>
      <c r="I57" s="12" t="s">
        <v>441</v>
      </c>
      <c r="J57" s="12" t="s">
        <v>442</v>
      </c>
      <c r="K57" s="12" t="s">
        <v>443</v>
      </c>
      <c r="L57" s="12" t="s">
        <v>444</v>
      </c>
      <c r="M57" s="12" t="s">
        <v>445</v>
      </c>
      <c r="N57" s="12" t="s">
        <v>446</v>
      </c>
      <c r="O57" s="12" t="s">
        <v>447</v>
      </c>
      <c r="P57" s="12" t="s">
        <v>448</v>
      </c>
      <c r="Q57" s="12" t="s">
        <v>449</v>
      </c>
      <c r="R57" s="12" t="s">
        <v>450</v>
      </c>
      <c r="S57" s="12"/>
      <c r="T57" s="6" t="s">
        <v>321</v>
      </c>
    </row>
    <row r="58" customFormat="false" ht="17.15" hidden="false" customHeight="false" outlineLevel="0" collapsed="false">
      <c r="A58" s="5" t="s">
        <v>451</v>
      </c>
      <c r="B58" s="0" t="s">
        <v>27</v>
      </c>
      <c r="C58" s="13" t="n">
        <f aca="false">Units!E4*1</f>
        <v>2.31</v>
      </c>
      <c r="D58" s="13" t="n">
        <f aca="false">Units!F4*1</f>
        <v>3.03</v>
      </c>
      <c r="E58" s="13" t="n">
        <f aca="false">Units!G4*1</f>
        <v>5.95</v>
      </c>
      <c r="F58" s="13" t="n">
        <f aca="false">Units!H4*1</f>
        <v>8.97</v>
      </c>
      <c r="G58" s="13" t="n">
        <f aca="false">Units!I4*1</f>
        <v>11.0371522587842</v>
      </c>
      <c r="H58" s="13" t="n">
        <f aca="false">Units!J4*1*1</f>
        <v>12.4602118149868</v>
      </c>
      <c r="I58" s="13" t="n">
        <f aca="false">Units!K4*1*1</f>
        <v>13.7296281882931</v>
      </c>
      <c r="J58" s="13" t="n">
        <f aca="false">Units!L4*1*1</f>
        <v>14.5173143040247</v>
      </c>
      <c r="K58" s="13" t="n">
        <f aca="false">Units!M4*1*1</f>
        <v>14.5826814190399</v>
      </c>
      <c r="L58" s="13" t="n">
        <f aca="false">Units!N4*1*1</f>
        <v>14.3399566970533</v>
      </c>
      <c r="M58" s="13" t="n">
        <f aca="false">Units!O4*1*1</f>
        <v>14.4045252239239</v>
      </c>
      <c r="N58" s="13" t="n">
        <f aca="false">Units!P4*1*1</f>
        <v>14.4693844835178</v>
      </c>
      <c r="O58" s="13" t="n">
        <f aca="false">Units!Q4*1*1</f>
        <v>14.5345357849173</v>
      </c>
      <c r="P58" s="13" t="n">
        <f aca="false">Units!R4*1*1</f>
        <v>14.5999804430991</v>
      </c>
      <c r="Q58" s="13" t="n">
        <f aca="false">Units!S4*1*1</f>
        <v>14.7547352450932</v>
      </c>
      <c r="R58" s="13" t="n">
        <f aca="false">Units!T4*1*1</f>
        <v>15.0415680545433</v>
      </c>
      <c r="T58" s="8" t="s">
        <v>452</v>
      </c>
    </row>
    <row r="59" customFormat="false" ht="15" hidden="false" customHeight="false" outlineLevel="0" collapsed="false">
      <c r="A59" s="5" t="s">
        <v>453</v>
      </c>
      <c r="B59" s="0" t="s">
        <v>386</v>
      </c>
      <c r="C59" s="13" t="n">
        <f aca="false">Units!E7*1</f>
        <v>31.1552804325753</v>
      </c>
      <c r="D59" s="13" t="n">
        <f aca="false">Units!F7*1</f>
        <v>33.5147228924475</v>
      </c>
      <c r="E59" s="13" t="n">
        <f aca="false">Units!G7*1</f>
        <v>38.0693331650007</v>
      </c>
      <c r="F59" s="13" t="n">
        <f aca="false">Units!H7*1</f>
        <v>33.6172154529341</v>
      </c>
      <c r="G59" s="13" t="n">
        <f aca="false">Units!I7*1</f>
        <v>33.0914894510934</v>
      </c>
      <c r="H59" s="13" t="n">
        <f aca="false">Units!J7*1</f>
        <v>34.5588285485368</v>
      </c>
      <c r="I59" s="13" t="n">
        <f aca="false">Units!K7*1</f>
        <v>36.9704842497676</v>
      </c>
      <c r="J59" s="13" t="n">
        <f aca="false">Units!L7*1</f>
        <v>39.0915276411862</v>
      </c>
      <c r="K59" s="13" t="n">
        <f aca="false">Units!M7*1</f>
        <v>41.3342579717828</v>
      </c>
      <c r="L59" s="13" t="n">
        <f aca="false">Units!N7*1</f>
        <v>43.7056565750022</v>
      </c>
      <c r="M59" s="13" t="n">
        <f aca="false">Units!O7*1</f>
        <v>46.2131053122095</v>
      </c>
      <c r="N59" s="13" t="n">
        <f aca="false">Units!P7*1</f>
        <v>48.8644095514828</v>
      </c>
      <c r="O59" s="13" t="n">
        <f aca="false">Units!Q7*1</f>
        <v>51.6678224647285</v>
      </c>
      <c r="P59" s="13" t="n">
        <f aca="false">Units!R7*1</f>
        <v>54.6320707187528</v>
      </c>
      <c r="Q59" s="13" t="n">
        <f aca="false">Units!S7*1</f>
        <v>56.9187133953845</v>
      </c>
      <c r="R59" s="13" t="n">
        <f aca="false">Units!T7*1</f>
        <v>59.8198104136917</v>
      </c>
    </row>
    <row r="60" customFormat="false" ht="17.15" hidden="false" customHeight="false" outlineLevel="0" collapsed="false">
      <c r="A60" s="5" t="s">
        <v>344</v>
      </c>
      <c r="B60" s="0" t="s">
        <v>27</v>
      </c>
      <c r="C60" s="13" t="n">
        <f aca="false">q1_rev</f>
        <v>2.308</v>
      </c>
      <c r="D60" s="13" t="n">
        <f aca="false">q2_rev</f>
        <v>3.025</v>
      </c>
      <c r="E60" s="13" t="n">
        <f aca="false">q3_rev</f>
        <v>5.95</v>
      </c>
      <c r="F60" s="13" t="n">
        <f aca="false">q4_rev</f>
        <v>8.965</v>
      </c>
      <c r="G60" s="13" t="n">
        <f aca="false">G58*sd_k</f>
        <v>11.0306149524118</v>
      </c>
      <c r="H60" s="13" t="n">
        <f aca="false">H58*sd_k</f>
        <v>12.4528316302988</v>
      </c>
      <c r="I60" s="13" t="n">
        <f aca="false">I58*sd_k</f>
        <v>13.7214961281618</v>
      </c>
      <c r="J60" s="13" t="n">
        <f aca="false">J58*sd_k</f>
        <v>14.5087156973293</v>
      </c>
      <c r="K60" s="13" t="n">
        <f aca="false">K58*sd_k</f>
        <v>14.5740440953959</v>
      </c>
      <c r="L60" s="13" t="n">
        <f aca="false">L58*sd_k</f>
        <v>14.331463139286</v>
      </c>
      <c r="M60" s="13" t="n">
        <f aca="false">M58*sd_k</f>
        <v>14.3959934222118</v>
      </c>
      <c r="N60" s="13" t="n">
        <f aca="false">N58*sd_k</f>
        <v>14.4608142656598</v>
      </c>
      <c r="O60" s="13" t="n">
        <f aca="false">O58*sd_k</f>
        <v>14.5259269779371</v>
      </c>
      <c r="P60" s="13" t="n">
        <f aca="false">P58*sd_k</f>
        <v>14.5913328732414</v>
      </c>
      <c r="Q60" s="13" t="n">
        <f aca="false">Q58*sd_k</f>
        <v>14.745996013951</v>
      </c>
      <c r="R60" s="13" t="n">
        <f aca="false">R58*sd_k</f>
        <v>15.0326589322997</v>
      </c>
      <c r="T60" s="5" t="s">
        <v>454</v>
      </c>
    </row>
    <row r="61" customFormat="false" ht="17.15" hidden="false" customHeight="false" outlineLevel="0" collapsed="false">
      <c r="A61" s="5" t="s">
        <v>455</v>
      </c>
      <c r="B61" s="0" t="s">
        <v>27</v>
      </c>
      <c r="C61" s="13" t="n">
        <f aca="false">q1_dc</f>
        <v>0.269</v>
      </c>
      <c r="D61" s="13" t="n">
        <f aca="false">q2_dc</f>
        <v>0.44</v>
      </c>
      <c r="E61" s="13" t="n">
        <f aca="false">q3_dc</f>
        <v>1.467</v>
      </c>
      <c r="F61" s="13" t="n">
        <f aca="false">q4_dc</f>
        <v>2.977</v>
      </c>
      <c r="G61" s="13" t="n">
        <f aca="false">G60*dcsh_27</f>
        <v>4.19163368191647</v>
      </c>
      <c r="H61" s="13" t="n">
        <f aca="false">H60*dcsh_27</f>
        <v>4.73207601951353</v>
      </c>
      <c r="I61" s="13" t="n">
        <f aca="false">I60*dcsh_27</f>
        <v>5.2141685287015</v>
      </c>
      <c r="J61" s="13" t="n">
        <f aca="false">J60*dcsh_27</f>
        <v>5.51331196498514</v>
      </c>
      <c r="K61" s="13" t="n">
        <f aca="false">K60*dcsh_28</f>
        <v>6.12109852006626</v>
      </c>
      <c r="L61" s="13" t="n">
        <f aca="false">L60*dcsh_28</f>
        <v>6.01921451850014</v>
      </c>
      <c r="M61" s="13" t="n">
        <f aca="false">M60*dcsh_28</f>
        <v>6.04631723732896</v>
      </c>
      <c r="N61" s="13" t="n">
        <f aca="false">N60*dcsh_28</f>
        <v>6.07354199157713</v>
      </c>
      <c r="O61" s="13" t="n">
        <f aca="false">O60*dcsh_29</f>
        <v>6.53666714007169</v>
      </c>
      <c r="P61" s="13" t="n">
        <f aca="false">P60*dcsh_29</f>
        <v>6.56609979295863</v>
      </c>
      <c r="Q61" s="13" t="n">
        <f aca="false">Q60*dcsh_29</f>
        <v>6.63569820627795</v>
      </c>
      <c r="R61" s="13" t="n">
        <f aca="false">R60*dcsh_29</f>
        <v>6.76469651953488</v>
      </c>
      <c r="T61" s="5" t="s">
        <v>456</v>
      </c>
    </row>
    <row r="62" customFormat="false" ht="17.15" hidden="false" customHeight="false" outlineLevel="0" collapsed="false">
      <c r="A62" s="5" t="s">
        <v>457</v>
      </c>
      <c r="B62" s="0" t="s">
        <v>27</v>
      </c>
      <c r="C62" s="13" t="n">
        <f aca="false">C61*(Units!C16+Units!D16)/2</f>
        <v>0.17543405707196</v>
      </c>
      <c r="D62" s="13" t="n">
        <f aca="false">D61*(Units!C16+Units!D16)/2</f>
        <v>0.286955334987593</v>
      </c>
      <c r="E62" s="13" t="n">
        <f aca="false">E61*(Units!C16+Units!D16)/2</f>
        <v>0.956735173697271</v>
      </c>
      <c r="F62" s="13" t="n">
        <f aca="false">F61*(Units!C16+Units!D16)/2</f>
        <v>1.94151370967742</v>
      </c>
      <c r="G62" s="13" t="n">
        <f aca="false">G61*(Units!D16+Units!E16)/2</f>
        <v>3.32353098753891</v>
      </c>
      <c r="H62" s="13" t="n">
        <f aca="false">H61*(Units!D16+Units!E16)/2</f>
        <v>3.75204573674775</v>
      </c>
      <c r="I62" s="13" t="n">
        <f aca="false">I61*(Units!D16+Units!E16)/2</f>
        <v>4.13429512081464</v>
      </c>
      <c r="J62" s="13" t="n">
        <f aca="false">J61*(Units!D16+Units!E16)/2</f>
        <v>4.37148485533195</v>
      </c>
      <c r="K62" s="13" t="n">
        <f aca="false">K61*(Units!E16+Units!F16)/2</f>
        <v>5.16163518420655</v>
      </c>
      <c r="L62" s="13" t="n">
        <f aca="false">L61*(Units!E16+Units!F16)/2</f>
        <v>5.07572118601366</v>
      </c>
      <c r="M62" s="13" t="n">
        <f aca="false">M61*(Units!E16+Units!F16)/2</f>
        <v>5.09857563716094</v>
      </c>
      <c r="N62" s="13" t="n">
        <f aca="false">N61*(Units!E16+Units!F16)/2</f>
        <v>5.12153299505153</v>
      </c>
      <c r="O62" s="13" t="n">
        <f aca="false">O61*(Units!F16+Units!G16)/2</f>
        <v>5.65525725199112</v>
      </c>
      <c r="P62" s="13" t="n">
        <f aca="false">P61*(Units!F16+Units!G16)/2</f>
        <v>5.68072118033831</v>
      </c>
      <c r="Q62" s="13" t="n">
        <f aca="false">Q61*(Units!F16+Units!G16)/2</f>
        <v>5.7409348830123</v>
      </c>
      <c r="R62" s="13" t="n">
        <f aca="false">R61*(Units!F16+Units!G16)/2</f>
        <v>5.85253895140195</v>
      </c>
      <c r="T62" s="5" t="s">
        <v>458</v>
      </c>
    </row>
    <row r="63" customFormat="false" ht="17.15" hidden="false" customHeight="false" outlineLevel="0" collapsed="false">
      <c r="A63" s="5" t="s">
        <v>459</v>
      </c>
      <c r="B63" s="0" t="s">
        <v>27</v>
      </c>
      <c r="C63" s="13" t="n">
        <f aca="false">C61-C62</f>
        <v>0.0935659429280397</v>
      </c>
      <c r="D63" s="13" t="n">
        <f aca="false">D61-D62</f>
        <v>0.153044665012407</v>
      </c>
      <c r="E63" s="13" t="n">
        <f aca="false">E61-E62</f>
        <v>0.51026482630273</v>
      </c>
      <c r="F63" s="13" t="n">
        <f aca="false">F61-F62</f>
        <v>1.03548629032258</v>
      </c>
      <c r="G63" s="13" t="n">
        <f aca="false">G61-G62</f>
        <v>0.868102694377567</v>
      </c>
      <c r="H63" s="13" t="n">
        <f aca="false">H61-H62</f>
        <v>0.980030282765779</v>
      </c>
      <c r="I63" s="13" t="n">
        <f aca="false">I61-I62</f>
        <v>1.07987340788686</v>
      </c>
      <c r="J63" s="13" t="n">
        <f aca="false">J61-J62</f>
        <v>1.1418271096532</v>
      </c>
      <c r="K63" s="13" t="n">
        <f aca="false">K61-K62</f>
        <v>0.959463335859709</v>
      </c>
      <c r="L63" s="13" t="n">
        <f aca="false">L61-L62</f>
        <v>0.943493332486474</v>
      </c>
      <c r="M63" s="13" t="n">
        <f aca="false">M61-M62</f>
        <v>0.947741600168022</v>
      </c>
      <c r="N63" s="13" t="n">
        <f aca="false">N61-N62</f>
        <v>0.952008996525601</v>
      </c>
      <c r="O63" s="13" t="n">
        <f aca="false">O61-O62</f>
        <v>0.881409888080571</v>
      </c>
      <c r="P63" s="13" t="n">
        <f aca="false">P61-P62</f>
        <v>0.885378612620321</v>
      </c>
      <c r="Q63" s="13" t="n">
        <f aca="false">Q61-Q62</f>
        <v>0.894763323265645</v>
      </c>
      <c r="R63" s="13" t="n">
        <f aca="false">R61-R62</f>
        <v>0.912157568132935</v>
      </c>
    </row>
    <row r="64" customFormat="false" ht="15" hidden="false" customHeight="false" outlineLevel="0" collapsed="false">
      <c r="A64" s="5" t="s">
        <v>460</v>
      </c>
      <c r="B64" s="0" t="s">
        <v>27</v>
      </c>
      <c r="C64" s="13" t="n">
        <f aca="false">q1_cs</f>
        <v>0.652</v>
      </c>
      <c r="D64" s="13" t="n">
        <f aca="false">q2_cs</f>
        <v>0.907</v>
      </c>
      <c r="E64" s="13" t="n">
        <f aca="false">q3_cs</f>
        <v>0.82</v>
      </c>
      <c r="F64" s="13" t="n">
        <f aca="false">q4_cs</f>
        <v>0.556</v>
      </c>
      <c r="G64" s="13" t="n">
        <f aca="false">G60*cssh_27</f>
        <v>0.661836897144706</v>
      </c>
      <c r="H64" s="13" t="n">
        <f aca="false">H60*cssh_27</f>
        <v>0.747169897817925</v>
      </c>
      <c r="I64" s="13" t="n">
        <f aca="false">I60*cssh_27</f>
        <v>0.82328976768971</v>
      </c>
      <c r="J64" s="13" t="n">
        <f aca="false">J60*cssh_27</f>
        <v>0.87052294183976</v>
      </c>
      <c r="K64" s="13" t="n">
        <f aca="false">K60*cssh_28</f>
        <v>0.874442645723751</v>
      </c>
      <c r="L64" s="13" t="n">
        <f aca="false">L60*cssh_28</f>
        <v>0.859887788357163</v>
      </c>
      <c r="M64" s="13" t="n">
        <f aca="false">M60*cssh_28</f>
        <v>0.863759605332708</v>
      </c>
      <c r="N64" s="13" t="n">
        <f aca="false">N60*cssh_28</f>
        <v>0.867648855939591</v>
      </c>
      <c r="O64" s="13" t="n">
        <f aca="false">O60*cssh_29</f>
        <v>0.871555618676226</v>
      </c>
      <c r="P64" s="13" t="n">
        <f aca="false">P60*cssh_29</f>
        <v>0.875479972394484</v>
      </c>
      <c r="Q64" s="13" t="n">
        <f aca="false">Q60*cssh_29</f>
        <v>0.88475976083706</v>
      </c>
      <c r="R64" s="13" t="n">
        <f aca="false">R60*cssh_29</f>
        <v>0.901959535937984</v>
      </c>
      <c r="T64" s="5" t="s">
        <v>461</v>
      </c>
    </row>
    <row r="65" customFormat="false" ht="15" hidden="false" customHeight="false" outlineLevel="0" collapsed="false">
      <c r="A65" s="5" t="s">
        <v>462</v>
      </c>
      <c r="B65" s="0" t="s">
        <v>27</v>
      </c>
      <c r="C65" s="13" t="n">
        <f aca="false">q1_ed</f>
        <v>1.387</v>
      </c>
      <c r="D65" s="13" t="n">
        <f aca="false">q2_ed</f>
        <v>1.678</v>
      </c>
      <c r="E65" s="13" t="n">
        <f aca="false">q3_ed</f>
        <v>3.663</v>
      </c>
      <c r="F65" s="13" t="n">
        <f aca="false">q4_ed</f>
        <v>5.432</v>
      </c>
      <c r="G65" s="13" t="n">
        <f aca="false">G60-G61-G64</f>
        <v>6.17714437335059</v>
      </c>
      <c r="H65" s="13" t="n">
        <f aca="false">H60-H61-H64</f>
        <v>6.9735857129673</v>
      </c>
      <c r="I65" s="13" t="n">
        <f aca="false">I60-I61-I64</f>
        <v>7.68403783177063</v>
      </c>
      <c r="J65" s="13" t="n">
        <f aca="false">J60-J61-J64</f>
        <v>8.12488079050442</v>
      </c>
      <c r="K65" s="13" t="n">
        <f aca="false">K60-K61-K64</f>
        <v>7.57850292960584</v>
      </c>
      <c r="L65" s="13" t="n">
        <f aca="false">L60-L61-L64</f>
        <v>7.45236083242874</v>
      </c>
      <c r="M65" s="13" t="n">
        <f aca="false">M60-M61-M64</f>
        <v>7.48591657955014</v>
      </c>
      <c r="N65" s="13" t="n">
        <f aca="false">N60-N61-N64</f>
        <v>7.51962341814312</v>
      </c>
      <c r="O65" s="13" t="n">
        <f aca="false">O60-O61-O64</f>
        <v>7.11770421918918</v>
      </c>
      <c r="P65" s="13" t="n">
        <f aca="false">P60-P61-P64</f>
        <v>7.14975310788828</v>
      </c>
      <c r="Q65" s="13" t="n">
        <f aca="false">Q60-Q61-Q64</f>
        <v>7.22553804683599</v>
      </c>
      <c r="R65" s="13" t="n">
        <f aca="false">R60-R61-R64</f>
        <v>7.36600287682687</v>
      </c>
      <c r="T65" s="5" t="s">
        <v>463</v>
      </c>
    </row>
    <row r="66" customFormat="false" ht="15" hidden="false" customHeight="false" outlineLevel="0" collapsed="false">
      <c r="A66" s="5" t="s">
        <v>464</v>
      </c>
      <c r="B66" s="0" t="s">
        <v>27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465</v>
      </c>
      <c r="B67" s="0" t="s">
        <v>466</v>
      </c>
      <c r="C67" s="19" t="n">
        <f aca="false">C68/C59</f>
        <v>0.0520045391183812</v>
      </c>
      <c r="D67" s="19" t="n">
        <f aca="false">D68/D59</f>
        <v>0.0443170902760084</v>
      </c>
      <c r="E67" s="19" t="n">
        <f aca="false">E68/E59</f>
        <v>0.0337594565796481</v>
      </c>
      <c r="F67" s="19" t="n">
        <f aca="false">F68/F59</f>
        <v>0.0410685412637144</v>
      </c>
      <c r="G67" s="19" t="n">
        <f aca="false">(1-g_gm)*G60/G59</f>
        <v>0.049900535931346</v>
      </c>
      <c r="H67" s="19" t="n">
        <f aca="false">$G67*(1-cd_A)^(1/4)</f>
        <v>0.0480540308412442</v>
      </c>
      <c r="I67" s="19" t="n">
        <f aca="false">$G67*(1-cd_A)^(2/4)</f>
        <v>0.0462758532948078</v>
      </c>
      <c r="J67" s="19" t="n">
        <f aca="false">$G67*(1-cd_A)^(3/4)</f>
        <v>0.0445634749192484</v>
      </c>
      <c r="K67" s="19" t="n">
        <f aca="false">$G67*(1-cd_A)^(4/4)</f>
        <v>0.0429144609009575</v>
      </c>
      <c r="L67" s="19" t="n">
        <f aca="false">$G67*(1-cd_A)^(5/4)</f>
        <v>0.04132646652347</v>
      </c>
      <c r="M67" s="19" t="n">
        <f aca="false">$G67*(1-cd_A)^(6/4)</f>
        <v>0.0397972338335347</v>
      </c>
      <c r="N67" s="19" t="n">
        <f aca="false">$G67*(1-cd_A)^(7/4)</f>
        <v>0.0383245884305536</v>
      </c>
      <c r="O67" s="19" t="n">
        <f aca="false">$G67*(1-cd_A)^(8/4)</f>
        <v>0.0369064363748235</v>
      </c>
      <c r="P67" s="19" t="n">
        <f aca="false">$G67*(1-cd_A)^(9/4)</f>
        <v>0.0355407612101842</v>
      </c>
      <c r="Q67" s="19" t="n">
        <f aca="false">$G67*(1-cd_A)^(10/4)</f>
        <v>0.0342256210968399</v>
      </c>
      <c r="R67" s="19" t="n">
        <f aca="false">$G67*(1-cd_A)^(11/4)</f>
        <v>0.0329591460502761</v>
      </c>
    </row>
    <row r="68" customFormat="false" ht="15" hidden="false" customHeight="false" outlineLevel="0" collapsed="false">
      <c r="A68" s="5" t="s">
        <v>467</v>
      </c>
      <c r="B68" s="0" t="s">
        <v>27</v>
      </c>
      <c r="C68" s="13" t="n">
        <f aca="false">q1_rev*(1-q1_gm)</f>
        <v>1.620216</v>
      </c>
      <c r="D68" s="13" t="n">
        <f aca="false">q2_rev*(1-q2_gm)</f>
        <v>1.485275</v>
      </c>
      <c r="E68" s="13" t="n">
        <f aca="false">q3_rev*(1-q3_gm)</f>
        <v>1.2852</v>
      </c>
      <c r="F68" s="13" t="n">
        <f aca="false">q4_rev*(1-q4_gm)</f>
        <v>1.38061</v>
      </c>
      <c r="G68" s="13" t="n">
        <f aca="false">G59*G67</f>
        <v>1.65128305837604</v>
      </c>
      <c r="H68" s="13" t="n">
        <f aca="false">H59*H67</f>
        <v>1.66069101290866</v>
      </c>
      <c r="I68" s="13" t="n">
        <f aca="false">I59*I67</f>
        <v>1.71084070538025</v>
      </c>
      <c r="J68" s="13" t="n">
        <f aca="false">J59*J67</f>
        <v>1.7420543115931</v>
      </c>
      <c r="K68" s="13" t="n">
        <f aca="false">K59*K67</f>
        <v>1.77383739760017</v>
      </c>
      <c r="L68" s="13" t="n">
        <f aca="false">L59*L67</f>
        <v>1.80620035333311</v>
      </c>
      <c r="M68" s="13" t="n">
        <f aca="false">M59*M67</f>
        <v>1.83915375828377</v>
      </c>
      <c r="N68" s="13" t="n">
        <f aca="false">N59*N67</f>
        <v>1.87270838496259</v>
      </c>
      <c r="O68" s="13" t="n">
        <f aca="false">O59*O67</f>
        <v>1.90687520242018</v>
      </c>
      <c r="P68" s="13" t="n">
        <f aca="false">P59*P67</f>
        <v>1.94166537983309</v>
      </c>
      <c r="Q68" s="13" t="n">
        <f aca="false">Q59*Q67</f>
        <v>1.94807831799005</v>
      </c>
      <c r="R68" s="13" t="n">
        <f aca="false">R59*R67</f>
        <v>1.97160986812469</v>
      </c>
    </row>
    <row r="69" customFormat="false" ht="15" hidden="false" customHeight="false" outlineLevel="0" collapsed="false">
      <c r="A69" s="5" t="s">
        <v>423</v>
      </c>
      <c r="B69" s="0" t="s">
        <v>33</v>
      </c>
      <c r="C69" s="14" t="n">
        <f aca="false">1-C68/C60</f>
        <v>0.298</v>
      </c>
      <c r="D69" s="14" t="n">
        <f aca="false">1-D68/D60</f>
        <v>0.509</v>
      </c>
      <c r="E69" s="14" t="n">
        <f aca="false">1-E68/E60</f>
        <v>0.784</v>
      </c>
      <c r="F69" s="14" t="n">
        <f aca="false">1-F68/F60</f>
        <v>0.846</v>
      </c>
      <c r="G69" s="14" t="n">
        <f aca="false">1-G68/G60</f>
        <v>0.8503</v>
      </c>
      <c r="H69" s="14" t="n">
        <f aca="false">1-H68/H60</f>
        <v>0.866641494704862</v>
      </c>
      <c r="I69" s="14" t="n">
        <f aca="false">1-I68/I60</f>
        <v>0.875316751948868</v>
      </c>
      <c r="J69" s="14" t="n">
        <f aca="false">1-J68/J60</f>
        <v>0.879930495025568</v>
      </c>
      <c r="K69" s="14" t="n">
        <f aca="false">1-K68/K60</f>
        <v>0.878287907873111</v>
      </c>
      <c r="L69" s="14" t="n">
        <f aca="false">1-L68/L60</f>
        <v>0.873969577580542</v>
      </c>
      <c r="M69" s="14" t="n">
        <f aca="false">1-M68/M60</f>
        <v>0.872245443274091</v>
      </c>
      <c r="N69" s="14" t="n">
        <f aca="false">1-N68/N60</f>
        <v>0.870497722288729</v>
      </c>
      <c r="O69" s="14" t="n">
        <f aca="false">1-O68/O60</f>
        <v>0.868726091951553</v>
      </c>
      <c r="P69" s="14" t="n">
        <f aca="false">1-P68/P60</f>
        <v>0.866930225175395</v>
      </c>
      <c r="Q69" s="14" t="n">
        <f aca="false">1-Q68/Q60</f>
        <v>0.867891031833523</v>
      </c>
      <c r="R69" s="14" t="n">
        <f aca="false">1-R68/R60</f>
        <v>0.868844901157944</v>
      </c>
    </row>
    <row r="70" customFormat="false" ht="17.15" hidden="false" customHeight="false" outlineLevel="0" collapsed="false">
      <c r="A70" s="5" t="s">
        <v>468</v>
      </c>
      <c r="B70" s="0" t="s">
        <v>27</v>
      </c>
      <c r="C70" s="13" t="n">
        <f aca="false">q1_rev-q1_rev*(1-q1_gm)-q1_op</f>
        <v>0.511784</v>
      </c>
      <c r="D70" s="13" t="n">
        <f aca="false">q2_rev-q2_rev*(1-q2_gm)-q2_op</f>
        <v>0.474725</v>
      </c>
      <c r="E70" s="13" t="n">
        <f aca="false">q3_rev-q3_rev*(1-q3_gm)-q3_op</f>
        <v>0.553800000000001</v>
      </c>
      <c r="F70" s="13" t="n">
        <f aca="false">q4_rev-q4_rev*(1-q4_gm)-q4_op</f>
        <v>0.54739</v>
      </c>
      <c r="G70" s="13" t="n">
        <f aca="false">(g_ox-ox_var*g_rev)*(1+ox_g)^(0/4)+ox_var*G60</f>
        <v>0.581996149524118</v>
      </c>
      <c r="H70" s="13" t="n">
        <f aca="false">(g_ox-ox_var*g_rev)*(1+ox_g)^(1/4)+ox_var*H60</f>
        <v>0.607592502307229</v>
      </c>
      <c r="I70" s="13" t="n">
        <f aca="false">(g_ox-ox_var*g_rev)*(1+ox_g)^(2/4)+ox_var*I60</f>
        <v>0.631927606874997</v>
      </c>
      <c r="J70" s="13" t="n">
        <f aca="false">(g_ox-ox_var*g_rev)*(1+ox_g)^(3/4)+ox_var*J60</f>
        <v>0.651729149488654</v>
      </c>
      <c r="K70" s="13" t="n">
        <f aca="false">(g_ox-ox_var*g_rev)*(1+ox_g)^(4/4)+ox_var*K60</f>
        <v>0.664599440953958</v>
      </c>
      <c r="L70" s="13" t="n">
        <f aca="false">(g_ox-ox_var*g_rev)*(1+ox_g)^(5/4)+ox_var*L60</f>
        <v>0.674685235997527</v>
      </c>
      <c r="M70" s="13" t="n">
        <f aca="false">(g_ox-ox_var*g_rev)*(1+ox_g)^(6/4)+ox_var*M60</f>
        <v>0.688143844374835</v>
      </c>
      <c r="N70" s="13" t="n">
        <f aca="false">(g_ox-ox_var*g_rev)*(1+ox_g)^(7/4)+ox_var*N60</f>
        <v>0.701914334423495</v>
      </c>
      <c r="O70" s="13" t="n">
        <f aca="false">(g_ox-ox_var*g_rev)*(1+ox_g)^(8/4)+ox_var*O60</f>
        <v>0.716004169779371</v>
      </c>
      <c r="P70" s="13" t="n">
        <f aca="false">(g_ox-ox_var*g_rev)*(1+ox_g)^(9/4)+ox_var*P60</f>
        <v>0.730420993797547</v>
      </c>
      <c r="Q70" s="13" t="n">
        <f aca="false">(g_ox-ox_var*g_rev)*(1+ox_g)^(10/4)+ox_var*Q60</f>
        <v>0.746062261307498</v>
      </c>
      <c r="R70" s="13" t="n">
        <f aca="false">(g_ox-ox_var*g_rev)*(1+ox_g)^(11/4)+ox_var*R60</f>
        <v>0.763363400266584</v>
      </c>
      <c r="T70" s="5" t="s">
        <v>469</v>
      </c>
    </row>
    <row r="71" customFormat="false" ht="15" hidden="false" customHeight="false" outlineLevel="0" collapsed="false">
      <c r="A71" s="5" t="s">
        <v>424</v>
      </c>
      <c r="B71" s="0" t="s">
        <v>27</v>
      </c>
      <c r="C71" s="13" t="n">
        <f aca="false">C60-C68-C70</f>
        <v>0.176</v>
      </c>
      <c r="D71" s="13" t="n">
        <f aca="false">D60-D68-D70</f>
        <v>1.065</v>
      </c>
      <c r="E71" s="13" t="n">
        <f aca="false">E60-E68-E70</f>
        <v>4.111</v>
      </c>
      <c r="F71" s="13" t="n">
        <f aca="false">F60-F68-F70</f>
        <v>7.037</v>
      </c>
      <c r="G71" s="13" t="n">
        <f aca="false">G60-G68-G70</f>
        <v>8.79733574451161</v>
      </c>
      <c r="H71" s="13" t="n">
        <f aca="false">H60-H68-H70</f>
        <v>10.1845481150829</v>
      </c>
      <c r="I71" s="13" t="n">
        <f aca="false">I60-I68-I70</f>
        <v>11.3787278159066</v>
      </c>
      <c r="J71" s="13" t="n">
        <f aca="false">J60-J68-J70</f>
        <v>12.1149322362476</v>
      </c>
      <c r="K71" s="13" t="n">
        <f aca="false">K60-K68-K70</f>
        <v>12.1356072568417</v>
      </c>
      <c r="L71" s="13" t="n">
        <f aca="false">L60-L68-L70</f>
        <v>11.8505775499554</v>
      </c>
      <c r="M71" s="13" t="n">
        <f aca="false">M60-M68-M70</f>
        <v>11.8686958195532</v>
      </c>
      <c r="N71" s="13" t="n">
        <f aca="false">N60-N68-N70</f>
        <v>11.8861915462738</v>
      </c>
      <c r="O71" s="13" t="n">
        <f aca="false">O60-O68-O70</f>
        <v>11.9030476057375</v>
      </c>
      <c r="P71" s="13" t="n">
        <f aca="false">P60-P68-P70</f>
        <v>11.9192464996108</v>
      </c>
      <c r="Q71" s="13" t="n">
        <f aca="false">Q60-Q68-Q70</f>
        <v>12.0518554346534</v>
      </c>
      <c r="R71" s="13" t="n">
        <f aca="false">R60-R68-R70</f>
        <v>12.2976856639085</v>
      </c>
    </row>
    <row r="73" customFormat="false" ht="17.15" hidden="false" customHeight="false" outlineLevel="0" collapsed="false">
      <c r="A73" s="5" t="s">
        <v>426</v>
      </c>
      <c r="B73" s="0" t="s">
        <v>27</v>
      </c>
      <c r="C73" s="13" t="n">
        <f aca="false">q1_ni</f>
        <v>0.112</v>
      </c>
      <c r="D73" s="13" t="n">
        <f aca="false">q2_ni</f>
        <v>0.803</v>
      </c>
      <c r="E73" s="13" t="n">
        <f aca="false">q3_ni</f>
        <v>3.615</v>
      </c>
      <c r="F73" s="13" t="n">
        <f aca="false">q4_ni</f>
        <v>6.903</v>
      </c>
      <c r="G73" s="13" t="n">
        <f aca="false">(G71+rf*$D94/4)*(1-tax)</f>
        <v>7.51821238283487</v>
      </c>
      <c r="H73" s="13" t="n">
        <f aca="false">(H71+rf*$D94/4)*(1-tax)</f>
        <v>8.69734289782044</v>
      </c>
      <c r="I73" s="13" t="n">
        <f aca="false">(I71+rf*$D94/4)*(1-tax)</f>
        <v>9.7123956435206</v>
      </c>
      <c r="J73" s="13" t="n">
        <f aca="false">(J71+rf*$D94/4)*(1-tax)</f>
        <v>10.3381694008104</v>
      </c>
      <c r="K73" s="13" t="n">
        <f aca="false">(K71+rf*$E94/4)*(1-tax)</f>
        <v>10.4973671968026</v>
      </c>
      <c r="L73" s="13" t="n">
        <f aca="false">(L71+rf*$E94/4)*(1-tax)</f>
        <v>10.2550919459492</v>
      </c>
      <c r="M73" s="13" t="n">
        <f aca="false">(M71+rf*$E94/4)*(1-tax)</f>
        <v>10.2704924751073</v>
      </c>
      <c r="N73" s="13" t="n">
        <f aca="false">(N71+rf*$E94/4)*(1-tax)</f>
        <v>10.2853638428198</v>
      </c>
      <c r="O73" s="13" t="n">
        <f aca="false">(O71+rf*$F94/4)*(1-tax)</f>
        <v>10.4612024437666</v>
      </c>
      <c r="P73" s="13" t="n">
        <f aca="false">(P71+rf*$F94/4)*(1-tax)</f>
        <v>10.4749715035589</v>
      </c>
      <c r="Q73" s="13" t="n">
        <f aca="false">(Q71+rf*$F94/4)*(1-tax)</f>
        <v>10.5876890983452</v>
      </c>
      <c r="R73" s="13" t="n">
        <f aca="false">(R71+rf*$F94/4)*(1-tax)</f>
        <v>10.7966447932119</v>
      </c>
      <c r="T73" s="5" t="s">
        <v>470</v>
      </c>
    </row>
    <row r="74" customFormat="false" ht="17.15" hidden="false" customHeight="false" outlineLevel="0" collapsed="false">
      <c r="A74" s="5" t="s">
        <v>471</v>
      </c>
      <c r="B74" s="0" t="s">
        <v>40</v>
      </c>
      <c r="G74" s="15" t="n">
        <f aca="false">G73/(sh0+dil)*1000</f>
        <v>49.7894859790389</v>
      </c>
      <c r="H74" s="15" t="n">
        <f aca="false">H73/(sh0+dil)*1000</f>
        <v>57.5982973365592</v>
      </c>
      <c r="I74" s="15" t="n">
        <f aca="false">I73/(sh0+dil)*1000</f>
        <v>64.3205009504675</v>
      </c>
      <c r="J74" s="15" t="n">
        <f aca="false">J73/(sh0+dil)*1000</f>
        <v>68.4646980186121</v>
      </c>
      <c r="K74" s="15" t="n">
        <f aca="false">K73/(sh0+dil)*1000</f>
        <v>69.5189880582951</v>
      </c>
      <c r="L74" s="15" t="n">
        <f aca="false">L73/(sh0+dil)*1000</f>
        <v>67.9145161983391</v>
      </c>
      <c r="M74" s="15" t="n">
        <f aca="false">M73/(sh0+dil)*1000</f>
        <v>68.0165064576644</v>
      </c>
      <c r="N74" s="15" t="n">
        <f aca="false">N73/(sh0+dil)*1000</f>
        <v>68.1149923365549</v>
      </c>
      <c r="O74" s="15" t="n">
        <f aca="false">O73/(sh0+dil)*1000</f>
        <v>69.2794863825606</v>
      </c>
      <c r="P74" s="15" t="n">
        <f aca="false">P73/(sh0+dil)*1000</f>
        <v>69.3706722089992</v>
      </c>
      <c r="Q74" s="15" t="n">
        <f aca="false">Q73/(sh0+dil)*1000</f>
        <v>70.1171463466567</v>
      </c>
      <c r="R74" s="15" t="n">
        <f aca="false">R73/(sh0+dil)*1000</f>
        <v>71.5009588954433</v>
      </c>
    </row>
    <row r="76" customFormat="false" ht="17.15" hidden="false" customHeight="false" outlineLevel="0" collapsed="false">
      <c r="A76" s="12" t="s">
        <v>472</v>
      </c>
      <c r="B76" s="6" t="s">
        <v>17</v>
      </c>
      <c r="C76" s="12" t="s">
        <v>413</v>
      </c>
      <c r="D76" s="12" t="s">
        <v>414</v>
      </c>
      <c r="E76" s="12" t="s">
        <v>415</v>
      </c>
      <c r="F76" s="12" t="s">
        <v>416</v>
      </c>
      <c r="G76" s="12" t="s">
        <v>417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321</v>
      </c>
    </row>
    <row r="77" customFormat="false" ht="15" hidden="false" customHeight="false" outlineLevel="0" collapsed="false">
      <c r="A77" s="5" t="s">
        <v>344</v>
      </c>
      <c r="B77" s="0" t="s">
        <v>27</v>
      </c>
      <c r="C77" s="13" t="n">
        <f aca="false">a25_rev</f>
        <v>7.355</v>
      </c>
      <c r="D77" s="13" t="n">
        <f aca="false">SUM(C60:F60)</f>
        <v>20.248</v>
      </c>
      <c r="E77" s="13" t="n">
        <f aca="false">SUM(G60:J60)</f>
        <v>51.7136584082017</v>
      </c>
      <c r="F77" s="13" t="n">
        <f aca="false">SUM(K60:N60)</f>
        <v>57.7623149225535</v>
      </c>
      <c r="G77" s="13" t="n">
        <f aca="false">SUM(O60:R60)</f>
        <v>58.8959147974292</v>
      </c>
    </row>
    <row r="78" customFormat="false" ht="15" hidden="false" customHeight="false" outlineLevel="0" collapsed="false">
      <c r="A78" s="5" t="s">
        <v>473</v>
      </c>
      <c r="B78" s="0" t="s">
        <v>27</v>
      </c>
      <c r="D78" s="13" t="n">
        <f aca="false">SUM(C61:F61)</f>
        <v>5.153</v>
      </c>
      <c r="E78" s="13" t="n">
        <f aca="false">SUM(G61:J61)</f>
        <v>19.6511901951166</v>
      </c>
      <c r="F78" s="13" t="n">
        <f aca="false">SUM(K61:N61)</f>
        <v>24.2601722674725</v>
      </c>
      <c r="G78" s="13" t="n">
        <f aca="false">SUM(O61:R61)</f>
        <v>26.5031616588432</v>
      </c>
    </row>
    <row r="79" customFormat="false" ht="17.15" hidden="false" customHeight="false" outlineLevel="0" collapsed="false">
      <c r="A79" s="5" t="s">
        <v>474</v>
      </c>
      <c r="B79" s="0" t="s">
        <v>27</v>
      </c>
      <c r="D79" s="13" t="n">
        <f aca="false">SUM(C62:F62)</f>
        <v>3.36063827543424</v>
      </c>
      <c r="E79" s="13" t="n">
        <f aca="false">SUM(G62:J62)</f>
        <v>15.5813567004332</v>
      </c>
      <c r="F79" s="13" t="n">
        <f aca="false">SUM(K62:N62)</f>
        <v>20.4574650024327</v>
      </c>
      <c r="G79" s="13" t="n">
        <f aca="false">SUM(O62:R62)</f>
        <v>22.9294522667437</v>
      </c>
    </row>
    <row r="80" customFormat="false" ht="15" hidden="false" customHeight="false" outlineLevel="0" collapsed="false">
      <c r="A80" s="5" t="s">
        <v>475</v>
      </c>
      <c r="B80" s="0" t="s">
        <v>27</v>
      </c>
      <c r="D80" s="13" t="n">
        <f aca="false">SUM(C65:F65)</f>
        <v>12.16</v>
      </c>
      <c r="E80" s="13" t="n">
        <f aca="false">SUM(G65:J65)</f>
        <v>28.9596487085929</v>
      </c>
      <c r="F80" s="13" t="n">
        <f aca="false">SUM(K65:N65)</f>
        <v>30.0364037597278</v>
      </c>
      <c r="G80" s="13" t="n">
        <f aca="false">SUM(O65:R65)</f>
        <v>28.8589982507403</v>
      </c>
    </row>
    <row r="81" customFormat="false" ht="15" hidden="false" customHeight="false" outlineLevel="0" collapsed="false">
      <c r="A81" s="5" t="s">
        <v>476</v>
      </c>
      <c r="B81" s="0" t="s">
        <v>27</v>
      </c>
      <c r="D81" s="13" t="n">
        <f aca="false">SUM(C64:F64)</f>
        <v>2.935</v>
      </c>
      <c r="E81" s="13" t="n">
        <f aca="false">SUM(G64:J64)</f>
        <v>3.1028195044921</v>
      </c>
      <c r="F81" s="13" t="n">
        <f aca="false">SUM(K64:N64)</f>
        <v>3.46573889535321</v>
      </c>
      <c r="G81" s="13" t="n">
        <f aca="false">SUM(O64:R64)</f>
        <v>3.53375488784575</v>
      </c>
    </row>
    <row r="82" customFormat="false" ht="17.15" hidden="false" customHeight="false" outlineLevel="0" collapsed="false">
      <c r="A82" s="5" t="s">
        <v>477</v>
      </c>
      <c r="B82" s="0" t="s">
        <v>27</v>
      </c>
      <c r="D82" s="18" t="n">
        <f aca="false">D78+D80+D81-D77+ABS(D78-a26_dc)+ABS(D80-a26_ed)+ABS(D81-a26_cs)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467</v>
      </c>
      <c r="B83" s="0" t="s">
        <v>27</v>
      </c>
      <c r="D83" s="13" t="n">
        <f aca="false">SUM(C68:F68)</f>
        <v>5.771301</v>
      </c>
      <c r="E83" s="13" t="n">
        <f aca="false">SUM(G68:J68)</f>
        <v>6.76486908825806</v>
      </c>
      <c r="F83" s="13" t="n">
        <f aca="false">SUM(K68:N68)</f>
        <v>7.29189989417963</v>
      </c>
      <c r="G83" s="13" t="n">
        <f aca="false">SUM(O68:R68)</f>
        <v>7.76822876836801</v>
      </c>
    </row>
    <row r="84" customFormat="false" ht="15" hidden="false" customHeight="false" outlineLevel="0" collapsed="false">
      <c r="A84" s="5" t="s">
        <v>423</v>
      </c>
      <c r="B84" s="0" t="s">
        <v>33</v>
      </c>
      <c r="D84" s="14" t="n">
        <f aca="false">1-D83/D77</f>
        <v>0.714969330304228</v>
      </c>
      <c r="E84" s="14" t="n">
        <f aca="false">1-E83/E77</f>
        <v>0.869186027512121</v>
      </c>
      <c r="F84" s="14" t="n">
        <f aca="false">1-F83/F77</f>
        <v>0.873760255212132</v>
      </c>
      <c r="G84" s="14" t="n">
        <f aca="false">1-G83/G77</f>
        <v>0.868102417712899</v>
      </c>
    </row>
    <row r="85" customFormat="false" ht="15" hidden="false" customHeight="false" outlineLevel="0" collapsed="false">
      <c r="A85" s="5" t="s">
        <v>468</v>
      </c>
      <c r="B85" s="0" t="s">
        <v>27</v>
      </c>
      <c r="D85" s="13" t="n">
        <f aca="false">SUM(C70:F70)</f>
        <v>2.087699</v>
      </c>
      <c r="E85" s="13" t="n">
        <f aca="false">SUM(G70:J70)</f>
        <v>2.473245408195</v>
      </c>
      <c r="F85" s="13" t="n">
        <f aca="false">SUM(K70:N70)</f>
        <v>2.72934285574982</v>
      </c>
      <c r="G85" s="13" t="n">
        <f aca="false">SUM(O70:R70)</f>
        <v>2.955850825151</v>
      </c>
    </row>
    <row r="86" customFormat="false" ht="15" hidden="false" customHeight="false" outlineLevel="0" collapsed="false">
      <c r="A86" s="5" t="s">
        <v>424</v>
      </c>
      <c r="B86" s="0" t="s">
        <v>27</v>
      </c>
      <c r="D86" s="13" t="n">
        <f aca="false">SUM(C71:F71)</f>
        <v>12.389</v>
      </c>
      <c r="E86" s="13" t="n">
        <f aca="false">SUM(G71:J71)</f>
        <v>42.4755439117486</v>
      </c>
      <c r="F86" s="13" t="n">
        <f aca="false">SUM(K71:N71)</f>
        <v>47.7410721726241</v>
      </c>
      <c r="G86" s="13" t="n">
        <f aca="false">SUM(O71:R71)</f>
        <v>48.1718352039102</v>
      </c>
    </row>
    <row r="87" customFormat="false" ht="15" hidden="false" customHeight="false" outlineLevel="0" collapsed="false">
      <c r="A87" s="5" t="s">
        <v>425</v>
      </c>
      <c r="B87" s="0" t="s">
        <v>33</v>
      </c>
      <c r="D87" s="14" t="n">
        <f aca="false">D86/D77</f>
        <v>0.61186290003951</v>
      </c>
      <c r="E87" s="14" t="n">
        <f aca="false">E86/E77</f>
        <v>0.821360259923365</v>
      </c>
      <c r="F87" s="14" t="n">
        <f aca="false">F86/F77</f>
        <v>0.826508983177601</v>
      </c>
      <c r="G87" s="14" t="n">
        <f aca="false">G86/G77</f>
        <v>0.817914712244403</v>
      </c>
    </row>
    <row r="88" customFormat="false" ht="15" hidden="false" customHeight="false" outlineLevel="0" collapsed="false">
      <c r="A88" s="5" t="s">
        <v>426</v>
      </c>
      <c r="B88" s="0" t="s">
        <v>27</v>
      </c>
      <c r="C88" s="13" t="n">
        <f aca="false">a25_ni</f>
        <v>-1.641</v>
      </c>
      <c r="D88" s="13" t="n">
        <f aca="false">SUM(C73:F73)</f>
        <v>11.433</v>
      </c>
      <c r="E88" s="13" t="n">
        <f aca="false">SUM(G73:J73)</f>
        <v>36.2661203249863</v>
      </c>
      <c r="F88" s="13" t="n">
        <f aca="false">SUM(K73:N73)</f>
        <v>41.3083154606789</v>
      </c>
      <c r="G88" s="13" t="n">
        <f aca="false">SUM(O73:R73)</f>
        <v>42.3205078388826</v>
      </c>
    </row>
    <row r="89" customFormat="false" ht="15" hidden="false" customHeight="false" outlineLevel="0" collapsed="false">
      <c r="A89" s="5" t="s">
        <v>478</v>
      </c>
      <c r="B89" s="0" t="s">
        <v>27</v>
      </c>
      <c r="D89" s="13" t="n">
        <f aca="false">da_y</f>
        <v>0.16</v>
      </c>
      <c r="E89" s="13" t="n">
        <f aca="false">da_y</f>
        <v>0.16</v>
      </c>
      <c r="F89" s="13" t="n">
        <f aca="false">da_y</f>
        <v>0.16</v>
      </c>
      <c r="G89" s="13" t="n">
        <f aca="false">da_y</f>
        <v>0.16</v>
      </c>
    </row>
    <row r="90" customFormat="false" ht="17.15" hidden="false" customHeight="false" outlineLevel="0" collapsed="false">
      <c r="A90" s="5" t="s">
        <v>479</v>
      </c>
      <c r="B90" s="0" t="s">
        <v>27</v>
      </c>
      <c r="D90" s="13" t="n">
        <v>0.562</v>
      </c>
      <c r="E90" s="13" t="n">
        <f aca="false">cap_r*E77</f>
        <v>3.1028195044921</v>
      </c>
      <c r="F90" s="13" t="n">
        <f aca="false">cap_r*F77</f>
        <v>3.46573889535321</v>
      </c>
      <c r="G90" s="13" t="n">
        <f aca="false">cap_r*G77</f>
        <v>3.53375488784575</v>
      </c>
      <c r="T90" s="8" t="s">
        <v>480</v>
      </c>
    </row>
    <row r="91" customFormat="false" ht="15" hidden="false" customHeight="false" outlineLevel="0" collapsed="false">
      <c r="A91" s="5" t="s">
        <v>481</v>
      </c>
      <c r="B91" s="0" t="s">
        <v>27</v>
      </c>
      <c r="D91" s="13" t="n">
        <f aca="false">D88+D89-D90</f>
        <v>11.031</v>
      </c>
      <c r="E91" s="13" t="n">
        <f aca="false">E88+E89-E90</f>
        <v>33.3233008204942</v>
      </c>
      <c r="F91" s="13" t="n">
        <f aca="false">F88+F89-F90</f>
        <v>38.0025765653257</v>
      </c>
      <c r="G91" s="13" t="n">
        <f aca="false">G88+G89-G90</f>
        <v>38.9467529510369</v>
      </c>
    </row>
    <row r="92" customFormat="false" ht="17.15" hidden="false" customHeight="false" outlineLevel="0" collapsed="false">
      <c r="A92" s="5" t="s">
        <v>482</v>
      </c>
      <c r="B92" s="0" t="s">
        <v>27</v>
      </c>
      <c r="D92" s="13" t="n">
        <v>4.524</v>
      </c>
      <c r="E92" s="13" t="n">
        <f aca="false">MAX(0,payout*E91)</f>
        <v>16.6616504102471</v>
      </c>
      <c r="F92" s="13" t="n">
        <f aca="false">MAX(0,payout*F91)</f>
        <v>19.0012882826628</v>
      </c>
      <c r="G92" s="13" t="n">
        <f aca="false">MAX(0,payout*G91)</f>
        <v>19.4733764755184</v>
      </c>
      <c r="T92" s="8" t="s">
        <v>483</v>
      </c>
    </row>
    <row r="93" customFormat="false" ht="15" hidden="false" customHeight="false" outlineLevel="0" collapsed="false">
      <c r="A93" s="5" t="s">
        <v>484</v>
      </c>
      <c r="B93" s="0" t="s">
        <v>27</v>
      </c>
      <c r="D93" s="13" t="n">
        <f aca="false">eq0</f>
        <v>15.736</v>
      </c>
      <c r="E93" s="13" t="n">
        <f aca="false">D93+E88-E92</f>
        <v>35.3404699147392</v>
      </c>
      <c r="F93" s="13" t="n">
        <f aca="false">E93+F88-F92</f>
        <v>57.6474970927553</v>
      </c>
      <c r="G93" s="13" t="n">
        <f aca="false">F93+G88-G92</f>
        <v>80.4946284561194</v>
      </c>
    </row>
    <row r="94" customFormat="false" ht="15" hidden="false" customHeight="false" outlineLevel="0" collapsed="false">
      <c r="A94" s="5" t="s">
        <v>485</v>
      </c>
      <c r="B94" s="0" t="s">
        <v>27</v>
      </c>
      <c r="D94" s="13" t="n">
        <f aca="false">nc0</f>
        <v>4.762</v>
      </c>
      <c r="E94" s="13" t="n">
        <f aca="false">D94+E91-E92</f>
        <v>21.4236504102471</v>
      </c>
      <c r="F94" s="13" t="n">
        <f aca="false">E94+F91-F92</f>
        <v>40.42493869291</v>
      </c>
      <c r="G94" s="13" t="n">
        <f aca="false">F94+G91-G92</f>
        <v>59.8983151684284</v>
      </c>
    </row>
    <row r="95" customFormat="false" ht="15" hidden="false" customHeight="false" outlineLevel="0" collapsed="false">
      <c r="A95" s="5" t="s">
        <v>486</v>
      </c>
      <c r="B95" s="5" t="s">
        <v>152</v>
      </c>
      <c r="D95" s="20" t="n">
        <f aca="false">sh0</f>
        <v>146.42</v>
      </c>
      <c r="E95" s="20" t="n">
        <f aca="false">D95-E92/bb_px*1000</f>
        <v>132.96180398678</v>
      </c>
      <c r="F95" s="20" t="n">
        <f aca="false">E95-F92/bb_px*1000</f>
        <v>117.613800882927</v>
      </c>
      <c r="G95" s="20" t="n">
        <f aca="false">F95-G92/bb_px*1000</f>
        <v>101.884475684411</v>
      </c>
    </row>
    <row r="96" customFormat="false" ht="17.15" hidden="false" customHeight="false" outlineLevel="0" collapsed="false">
      <c r="A96" s="0" t="s">
        <v>487</v>
      </c>
      <c r="B96" s="0" t="s">
        <v>40</v>
      </c>
      <c r="C96" s="15" t="n">
        <f aca="false">a25_eps</f>
        <v>-11.32</v>
      </c>
      <c r="D96" s="15" t="n">
        <f aca="false">a26_eps</f>
        <v>73.76</v>
      </c>
      <c r="E96" s="15" t="n">
        <f aca="false">E88/(E95+dil)*1000</f>
        <v>263.673437993239</v>
      </c>
      <c r="F96" s="15" t="n">
        <f aca="false">F88/(F95+dil)*1000</f>
        <v>338.055737379477</v>
      </c>
      <c r="G96" s="15" t="n">
        <f aca="false">G88/(G95+dil)*1000</f>
        <v>397.508253967565</v>
      </c>
    </row>
    <row r="97" customFormat="false" ht="17.15" hidden="false" customHeight="false" outlineLevel="0" collapsed="false">
      <c r="A97" s="5" t="s">
        <v>488</v>
      </c>
      <c r="B97" s="0" t="s">
        <v>40</v>
      </c>
      <c r="D97" s="15" t="n">
        <f aca="false">D93/D95*1000</f>
        <v>107.471656877476</v>
      </c>
      <c r="E97" s="15" t="n">
        <f aca="false">E93/E95*1000</f>
        <v>265.794151817112</v>
      </c>
      <c r="F97" s="15" t="n">
        <f aca="false">F93/F95*1000</f>
        <v>490.142284833884</v>
      </c>
      <c r="G97" s="15" t="n">
        <f aca="false">G93/G95*1000</f>
        <v>790.057836735136</v>
      </c>
    </row>
    <row r="98" customFormat="false" ht="17.15" hidden="false" customHeight="false" outlineLevel="0" collapsed="false">
      <c r="A98" s="0" t="s">
        <v>489</v>
      </c>
      <c r="B98" s="0" t="s">
        <v>33</v>
      </c>
      <c r="D98" s="21" t="n">
        <f aca="false">D88/D93</f>
        <v>0.72655058464667</v>
      </c>
      <c r="E98" s="21" t="n">
        <f aca="false">E88/E93</f>
        <v>1.02619236282031</v>
      </c>
      <c r="F98" s="21" t="n">
        <f aca="false">F88/F93</f>
        <v>0.716567371419673</v>
      </c>
      <c r="G98" s="21" t="n">
        <f aca="false">G88/G93</f>
        <v>0.525755676503968</v>
      </c>
    </row>
    <row r="99" customFormat="false" ht="15" hidden="false" customHeight="false" outlineLevel="0" collapsed="false">
      <c r="A99" s="5" t="s">
        <v>490</v>
      </c>
      <c r="B99" s="0" t="s">
        <v>40</v>
      </c>
      <c r="E99" s="15" t="n">
        <f aca="false">E91/(E95+dil)*1000</f>
        <v>242.277619273463</v>
      </c>
      <c r="F99" s="15" t="n">
        <f aca="false">F91/(F95+dil)*1000</f>
        <v>311.002491867289</v>
      </c>
      <c r="G99" s="15" t="n">
        <f aca="false">G91/(G95+dil)*1000</f>
        <v>365.81923407471</v>
      </c>
    </row>
    <row r="100" customFormat="false" ht="17.15" hidden="false" customHeight="false" outlineLevel="0" collapsed="false">
      <c r="A100" s="5" t="s">
        <v>491</v>
      </c>
      <c r="B100" s="0" t="s">
        <v>27</v>
      </c>
      <c r="D100" s="18" t="n">
        <f aca="false">ABS(D77-a26_rev)+ABS(D88-a26_ni)</f>
        <v>0</v>
      </c>
    </row>
    <row r="103" customFormat="false" ht="17.15" hidden="false" customHeight="false" outlineLevel="0" collapsed="false">
      <c r="A103" s="3" t="s">
        <v>492</v>
      </c>
    </row>
    <row r="104" customFormat="false" ht="17.15" hidden="false" customHeight="false" outlineLevel="0" collapsed="false">
      <c r="A104" s="12" t="s">
        <v>434</v>
      </c>
      <c r="B104" s="6" t="s">
        <v>17</v>
      </c>
      <c r="C104" s="12" t="s">
        <v>435</v>
      </c>
      <c r="D104" s="12" t="s">
        <v>436</v>
      </c>
      <c r="E104" s="12" t="s">
        <v>437</v>
      </c>
      <c r="F104" s="12" t="s">
        <v>438</v>
      </c>
      <c r="G104" s="12" t="s">
        <v>439</v>
      </c>
      <c r="H104" s="12" t="s">
        <v>440</v>
      </c>
      <c r="I104" s="12" t="s">
        <v>441</v>
      </c>
      <c r="J104" s="12" t="s">
        <v>442</v>
      </c>
      <c r="K104" s="12" t="s">
        <v>443</v>
      </c>
      <c r="L104" s="12" t="s">
        <v>444</v>
      </c>
      <c r="M104" s="12" t="s">
        <v>445</v>
      </c>
      <c r="N104" s="12" t="s">
        <v>446</v>
      </c>
      <c r="O104" s="12" t="s">
        <v>447</v>
      </c>
      <c r="P104" s="12" t="s">
        <v>448</v>
      </c>
      <c r="Q104" s="12" t="s">
        <v>449</v>
      </c>
      <c r="R104" s="12" t="s">
        <v>450</v>
      </c>
      <c r="S104" s="12"/>
      <c r="T104" s="6" t="s">
        <v>321</v>
      </c>
    </row>
    <row r="105" customFormat="false" ht="17.15" hidden="false" customHeight="false" outlineLevel="0" collapsed="false">
      <c r="A105" s="5" t="s">
        <v>451</v>
      </c>
      <c r="B105" s="0" t="s">
        <v>27</v>
      </c>
      <c r="C105" s="13" t="n">
        <f aca="false">Units!E5*1</f>
        <v>2.31</v>
      </c>
      <c r="D105" s="13" t="n">
        <f aca="false">Units!F5*1</f>
        <v>3.03</v>
      </c>
      <c r="E105" s="13" t="n">
        <f aca="false">Units!G5*1</f>
        <v>5.95</v>
      </c>
      <c r="F105" s="13" t="n">
        <f aca="false">Units!H5*1</f>
        <v>8.97</v>
      </c>
      <c r="G105" s="13" t="n">
        <f aca="false">Units!I5*1</f>
        <v>11.0371522587842</v>
      </c>
      <c r="H105" s="13" t="n">
        <f aca="false">Units!J5*1*1</f>
        <v>12.4602118149868</v>
      </c>
      <c r="I105" s="13" t="n">
        <f aca="false">Units!K5*1*1</f>
        <v>13.8288045475019</v>
      </c>
      <c r="J105" s="13" t="n">
        <f aca="false">Units!L5*1*1</f>
        <v>14.91462414699</v>
      </c>
      <c r="K105" s="13" t="n">
        <f aca="false">Units!M5*1*1</f>
        <v>14.1932654802395</v>
      </c>
      <c r="L105" s="13" t="n">
        <f aca="false">Units!N5*1*1</f>
        <v>12.0060408425506</v>
      </c>
      <c r="M105" s="13" t="n">
        <f aca="false">Units!O5*1*1</f>
        <v>8.34240587631358</v>
      </c>
      <c r="N105" s="13" t="n">
        <f aca="false">Units!P5*1*1</f>
        <v>6.47913495574367</v>
      </c>
      <c r="O105" s="13" t="n">
        <f aca="false">Units!Q5*1*1</f>
        <v>5.36749267420871</v>
      </c>
      <c r="P105" s="13" t="n">
        <f aca="false">Units!R5*1*1</f>
        <v>5.00240001636523</v>
      </c>
      <c r="Q105" s="13" t="n">
        <f aca="false">Units!S5*1*1</f>
        <v>5.59334148070003</v>
      </c>
      <c r="R105" s="13" t="n">
        <f aca="false">Units!T5*1*1</f>
        <v>6.18268345731728</v>
      </c>
      <c r="T105" s="8" t="s">
        <v>452</v>
      </c>
    </row>
    <row r="106" customFormat="false" ht="15" hidden="false" customHeight="false" outlineLevel="0" collapsed="false">
      <c r="A106" s="5" t="s">
        <v>453</v>
      </c>
      <c r="B106" s="0" t="s">
        <v>386</v>
      </c>
      <c r="C106" s="13" t="n">
        <f aca="false">Units!E8*1</f>
        <v>31.1552804325753</v>
      </c>
      <c r="D106" s="13" t="n">
        <f aca="false">Units!F8*1</f>
        <v>33.5147228924475</v>
      </c>
      <c r="E106" s="13" t="n">
        <f aca="false">Units!G8*1</f>
        <v>38.0693331650007</v>
      </c>
      <c r="F106" s="13" t="n">
        <f aca="false">Units!H8*1</f>
        <v>33.6172154529341</v>
      </c>
      <c r="G106" s="13" t="n">
        <f aca="false">Units!I8*1</f>
        <v>33.0914894510934</v>
      </c>
      <c r="H106" s="13" t="n">
        <f aca="false">Units!J8*1</f>
        <v>34.5588285485368</v>
      </c>
      <c r="I106" s="13" t="n">
        <f aca="false">Units!K8*1</f>
        <v>36.5282550863624</v>
      </c>
      <c r="J106" s="13" t="n">
        <f aca="false">Units!L8*1</f>
        <v>38.6239272319463</v>
      </c>
      <c r="K106" s="13" t="n">
        <f aca="false">Units!M8*1</f>
        <v>40.8398307362794</v>
      </c>
      <c r="L106" s="13" t="n">
        <f aca="false">Units!N8*1</f>
        <v>43.1828634243186</v>
      </c>
      <c r="M106" s="13" t="n">
        <f aca="false">Units!O8*1</f>
        <v>42.8652040741648</v>
      </c>
      <c r="N106" s="13" t="n">
        <f aca="false">Units!P8*1</f>
        <v>44.3883848727713</v>
      </c>
      <c r="O106" s="13" t="n">
        <f aca="false">Units!Q8*1</f>
        <v>45.9656906847857</v>
      </c>
      <c r="P106" s="13" t="n">
        <f aca="false">Units!R8*1</f>
        <v>47.5990447993401</v>
      </c>
      <c r="Q106" s="13" t="n">
        <f aca="false">Units!S8*1</f>
        <v>50.6876148680743</v>
      </c>
      <c r="R106" s="13" t="n">
        <f aca="false">Units!T8*1</f>
        <v>53.3602965183917</v>
      </c>
    </row>
    <row r="107" customFormat="false" ht="17.15" hidden="false" customHeight="false" outlineLevel="0" collapsed="false">
      <c r="A107" s="5" t="s">
        <v>344</v>
      </c>
      <c r="B107" s="0" t="s">
        <v>27</v>
      </c>
      <c r="C107" s="13" t="n">
        <f aca="false">q1_rev</f>
        <v>2.308</v>
      </c>
      <c r="D107" s="13" t="n">
        <f aca="false">q2_rev</f>
        <v>3.025</v>
      </c>
      <c r="E107" s="13" t="n">
        <f aca="false">q3_rev</f>
        <v>5.95</v>
      </c>
      <c r="F107" s="13" t="n">
        <f aca="false">q4_rev</f>
        <v>8.965</v>
      </c>
      <c r="G107" s="13" t="n">
        <f aca="false">G105*sd_k</f>
        <v>11.0306149524118</v>
      </c>
      <c r="H107" s="13" t="n">
        <f aca="false">H105*sd_k</f>
        <v>12.4528316302988</v>
      </c>
      <c r="I107" s="13" t="n">
        <f aca="false">I105*sd_k</f>
        <v>13.8206137452033</v>
      </c>
      <c r="J107" s="13" t="n">
        <f aca="false">J105*sd_k</f>
        <v>14.9057902136354</v>
      </c>
      <c r="K107" s="13" t="n">
        <f aca="false">K105*sd_k</f>
        <v>14.1848588076944</v>
      </c>
      <c r="L107" s="13" t="n">
        <f aca="false">L105*sd_k</f>
        <v>11.9989296633744</v>
      </c>
      <c r="M107" s="13" t="n">
        <f aca="false">M105*sd_k</f>
        <v>8.3374646684895</v>
      </c>
      <c r="N107" s="13" t="n">
        <f aca="false">N105*sd_k</f>
        <v>6.47529736346979</v>
      </c>
      <c r="O107" s="13" t="n">
        <f aca="false">O105*sd_k</f>
        <v>5.36431350776792</v>
      </c>
      <c r="P107" s="13" t="n">
        <f aca="false">P105*sd_k</f>
        <v>4.99943709434172</v>
      </c>
      <c r="Q107" s="13" t="n">
        <f aca="false">Q105*sd_k</f>
        <v>5.59002854398886</v>
      </c>
      <c r="R107" s="13" t="n">
        <f aca="false">R105*sd_k</f>
        <v>6.17902145329518</v>
      </c>
      <c r="T107" s="5" t="s">
        <v>454</v>
      </c>
    </row>
    <row r="108" customFormat="false" ht="17.15" hidden="false" customHeight="false" outlineLevel="0" collapsed="false">
      <c r="A108" s="5" t="s">
        <v>455</v>
      </c>
      <c r="B108" s="0" t="s">
        <v>27</v>
      </c>
      <c r="C108" s="13" t="n">
        <f aca="false">q1_dc</f>
        <v>0.269</v>
      </c>
      <c r="D108" s="13" t="n">
        <f aca="false">q2_dc</f>
        <v>0.44</v>
      </c>
      <c r="E108" s="13" t="n">
        <f aca="false">q3_dc</f>
        <v>1.467</v>
      </c>
      <c r="F108" s="13" t="n">
        <f aca="false">q4_dc</f>
        <v>2.977</v>
      </c>
      <c r="G108" s="13" t="n">
        <f aca="false">G107*dcsh_27</f>
        <v>4.19163368191647</v>
      </c>
      <c r="H108" s="13" t="n">
        <f aca="false">H107*dcsh_27</f>
        <v>4.73207601951353</v>
      </c>
      <c r="I108" s="13" t="n">
        <f aca="false">I107*dcsh_27</f>
        <v>5.25183322317725</v>
      </c>
      <c r="J108" s="13" t="n">
        <f aca="false">J107*dcsh_27</f>
        <v>5.66420028118146</v>
      </c>
      <c r="K108" s="13" t="n">
        <f aca="false">K107*dcsh_28</f>
        <v>5.95764069923167</v>
      </c>
      <c r="L108" s="13" t="n">
        <f aca="false">L107*dcsh_28</f>
        <v>5.03955045861723</v>
      </c>
      <c r="M108" s="13" t="n">
        <f aca="false">M107*dcsh_28</f>
        <v>3.50173516076559</v>
      </c>
      <c r="N108" s="13" t="n">
        <f aca="false">N107*dcsh_28</f>
        <v>2.71962489265731</v>
      </c>
      <c r="O108" s="13" t="n">
        <f aca="false">O107*dcsh_29</f>
        <v>2.41394107849556</v>
      </c>
      <c r="P108" s="13" t="n">
        <f aca="false">P107*dcsh_29</f>
        <v>2.24974669245377</v>
      </c>
      <c r="Q108" s="13" t="n">
        <f aca="false">Q107*dcsh_29</f>
        <v>2.51551284479499</v>
      </c>
      <c r="R108" s="13" t="n">
        <f aca="false">R107*dcsh_29</f>
        <v>2.78055965398283</v>
      </c>
      <c r="T108" s="5" t="s">
        <v>456</v>
      </c>
    </row>
    <row r="109" customFormat="false" ht="17.15" hidden="false" customHeight="false" outlineLevel="0" collapsed="false">
      <c r="A109" s="5" t="s">
        <v>457</v>
      </c>
      <c r="B109" s="0" t="s">
        <v>27</v>
      </c>
      <c r="C109" s="13" t="n">
        <f aca="false">C108*(Units!C17+Units!D17)/2</f>
        <v>0.17543405707196</v>
      </c>
      <c r="D109" s="13" t="n">
        <f aca="false">D108*(Units!C17+Units!D17)/2</f>
        <v>0.286955334987593</v>
      </c>
      <c r="E109" s="13" t="n">
        <f aca="false">E108*(Units!C17+Units!D17)/2</f>
        <v>0.956735173697271</v>
      </c>
      <c r="F109" s="13" t="n">
        <f aca="false">F108*(Units!C17+Units!D17)/2</f>
        <v>1.94151370967742</v>
      </c>
      <c r="G109" s="13" t="n">
        <f aca="false">G108*(Units!D17+Units!E17)/2</f>
        <v>3.32353098753891</v>
      </c>
      <c r="H109" s="13" t="n">
        <f aca="false">H108*(Units!D17+Units!E17)/2</f>
        <v>3.75204573674775</v>
      </c>
      <c r="I109" s="13" t="n">
        <f aca="false">I108*(Units!D17+Units!E17)/2</f>
        <v>4.16415931905467</v>
      </c>
      <c r="J109" s="13" t="n">
        <f aca="false">J108*(Units!D17+Units!E17)/2</f>
        <v>4.49112364836377</v>
      </c>
      <c r="K109" s="13" t="n">
        <f aca="false">K108*(Units!E17+Units!F17)/2</f>
        <v>4.93473109215674</v>
      </c>
      <c r="L109" s="13" t="n">
        <f aca="false">L108*(Units!E17+Units!F17)/2</f>
        <v>4.17427427972258</v>
      </c>
      <c r="M109" s="13" t="n">
        <f aca="false">M108*(Units!E17+Units!F17)/2</f>
        <v>2.90049740269785</v>
      </c>
      <c r="N109" s="13" t="n">
        <f aca="false">N108*(Units!E17+Units!F17)/2</f>
        <v>2.25267319637625</v>
      </c>
      <c r="O109" s="13" t="n">
        <f aca="false">O108*(Units!F17+Units!G17)/2</f>
        <v>2.02960079444198</v>
      </c>
      <c r="P109" s="13" t="n">
        <f aca="false">P108*(Units!F17+Units!G17)/2</f>
        <v>1.89154893421968</v>
      </c>
      <c r="Q109" s="13" t="n">
        <f aca="false">Q108*(Units!F17+Units!G17)/2</f>
        <v>2.11500061609076</v>
      </c>
      <c r="R109" s="13" t="n">
        <f aca="false">R108*(Units!F17+Units!G17)/2</f>
        <v>2.33784748641587</v>
      </c>
      <c r="T109" s="5" t="s">
        <v>458</v>
      </c>
    </row>
    <row r="110" customFormat="false" ht="17.15" hidden="false" customHeight="false" outlineLevel="0" collapsed="false">
      <c r="A110" s="5" t="s">
        <v>459</v>
      </c>
      <c r="B110" s="0" t="s">
        <v>27</v>
      </c>
      <c r="C110" s="13" t="n">
        <f aca="false">C108-C109</f>
        <v>0.0935659429280397</v>
      </c>
      <c r="D110" s="13" t="n">
        <f aca="false">D108-D109</f>
        <v>0.153044665012407</v>
      </c>
      <c r="E110" s="13" t="n">
        <f aca="false">E108-E109</f>
        <v>0.51026482630273</v>
      </c>
      <c r="F110" s="13" t="n">
        <f aca="false">F108-F109</f>
        <v>1.03548629032258</v>
      </c>
      <c r="G110" s="13" t="n">
        <f aca="false">G108-G109</f>
        <v>0.868102694377567</v>
      </c>
      <c r="H110" s="13" t="n">
        <f aca="false">H108-H109</f>
        <v>0.980030282765779</v>
      </c>
      <c r="I110" s="13" t="n">
        <f aca="false">I108-I109</f>
        <v>1.08767390412258</v>
      </c>
      <c r="J110" s="13" t="n">
        <f aca="false">J108-J109</f>
        <v>1.17307663281769</v>
      </c>
      <c r="K110" s="13" t="n">
        <f aca="false">K108-K109</f>
        <v>1.02290960707493</v>
      </c>
      <c r="L110" s="13" t="n">
        <f aca="false">L108-L109</f>
        <v>0.865276178894653</v>
      </c>
      <c r="M110" s="13" t="n">
        <f aca="false">M108-M109</f>
        <v>0.601237758067745</v>
      </c>
      <c r="N110" s="13" t="n">
        <f aca="false">N108-N109</f>
        <v>0.466951696281057</v>
      </c>
      <c r="O110" s="13" t="n">
        <f aca="false">O108-O109</f>
        <v>0.384340284053586</v>
      </c>
      <c r="P110" s="13" t="n">
        <f aca="false">P108-P109</f>
        <v>0.358197758234093</v>
      </c>
      <c r="Q110" s="13" t="n">
        <f aca="false">Q108-Q109</f>
        <v>0.40051222870423</v>
      </c>
      <c r="R110" s="13" t="n">
        <f aca="false">R108-R109</f>
        <v>0.442712167566963</v>
      </c>
    </row>
    <row r="111" customFormat="false" ht="15" hidden="false" customHeight="false" outlineLevel="0" collapsed="false">
      <c r="A111" s="5" t="s">
        <v>460</v>
      </c>
      <c r="B111" s="0" t="s">
        <v>27</v>
      </c>
      <c r="C111" s="13" t="n">
        <f aca="false">q1_cs</f>
        <v>0.652</v>
      </c>
      <c r="D111" s="13" t="n">
        <f aca="false">q2_cs</f>
        <v>0.907</v>
      </c>
      <c r="E111" s="13" t="n">
        <f aca="false">q3_cs</f>
        <v>0.82</v>
      </c>
      <c r="F111" s="13" t="n">
        <f aca="false">q4_cs</f>
        <v>0.556</v>
      </c>
      <c r="G111" s="13" t="n">
        <f aca="false">G107*cssh_27</f>
        <v>0.661836897144706</v>
      </c>
      <c r="H111" s="13" t="n">
        <f aca="false">H107*cssh_27</f>
        <v>0.747169897817925</v>
      </c>
      <c r="I111" s="13" t="n">
        <f aca="false">I107*cssh_27</f>
        <v>0.829236824712197</v>
      </c>
      <c r="J111" s="13" t="n">
        <f aca="false">J107*cssh_27</f>
        <v>0.894347412818125</v>
      </c>
      <c r="K111" s="13" t="n">
        <f aca="false">K107*cssh_28</f>
        <v>0.851091528461667</v>
      </c>
      <c r="L111" s="13" t="n">
        <f aca="false">L107*cssh_28</f>
        <v>0.719935779802462</v>
      </c>
      <c r="M111" s="13" t="n">
        <f aca="false">M107*cssh_28</f>
        <v>0.50024788010937</v>
      </c>
      <c r="N111" s="13" t="n">
        <f aca="false">N107*cssh_28</f>
        <v>0.388517841808187</v>
      </c>
      <c r="O111" s="13" t="n">
        <f aca="false">O107*cssh_29</f>
        <v>0.321858810466075</v>
      </c>
      <c r="P111" s="13" t="n">
        <f aca="false">P107*cssh_29</f>
        <v>0.299966225660503</v>
      </c>
      <c r="Q111" s="13" t="n">
        <f aca="false">Q107*cssh_29</f>
        <v>0.335401712639331</v>
      </c>
      <c r="R111" s="13" t="n">
        <f aca="false">R107*cssh_29</f>
        <v>0.370741287197711</v>
      </c>
      <c r="T111" s="5" t="s">
        <v>461</v>
      </c>
    </row>
    <row r="112" customFormat="false" ht="15" hidden="false" customHeight="false" outlineLevel="0" collapsed="false">
      <c r="A112" s="5" t="s">
        <v>462</v>
      </c>
      <c r="B112" s="0" t="s">
        <v>27</v>
      </c>
      <c r="C112" s="13" t="n">
        <f aca="false">q1_ed</f>
        <v>1.387</v>
      </c>
      <c r="D112" s="13" t="n">
        <f aca="false">q2_ed</f>
        <v>1.678</v>
      </c>
      <c r="E112" s="13" t="n">
        <f aca="false">q3_ed</f>
        <v>3.663</v>
      </c>
      <c r="F112" s="13" t="n">
        <f aca="false">q4_ed</f>
        <v>5.432</v>
      </c>
      <c r="G112" s="13" t="n">
        <f aca="false">G107-G108-G111</f>
        <v>6.17714437335059</v>
      </c>
      <c r="H112" s="13" t="n">
        <f aca="false">H107-H108-H111</f>
        <v>6.9735857129673</v>
      </c>
      <c r="I112" s="13" t="n">
        <f aca="false">I107-I108-I111</f>
        <v>7.73954369731384</v>
      </c>
      <c r="J112" s="13" t="n">
        <f aca="false">J107-J108-J111</f>
        <v>8.34724251963583</v>
      </c>
      <c r="K112" s="13" t="n">
        <f aca="false">K107-K108-K111</f>
        <v>7.37612658000111</v>
      </c>
      <c r="L112" s="13" t="n">
        <f aca="false">L107-L108-L111</f>
        <v>6.23944342495467</v>
      </c>
      <c r="M112" s="13" t="n">
        <f aca="false">M107-M108-M111</f>
        <v>4.33548162761454</v>
      </c>
      <c r="N112" s="13" t="n">
        <f aca="false">N107-N108-N111</f>
        <v>3.36715462900429</v>
      </c>
      <c r="O112" s="13" t="n">
        <f aca="false">O107-O108-O111</f>
        <v>2.62851361880628</v>
      </c>
      <c r="P112" s="13" t="n">
        <f aca="false">P107-P108-P111</f>
        <v>2.44972417622744</v>
      </c>
      <c r="Q112" s="13" t="n">
        <f aca="false">Q107-Q108-Q111</f>
        <v>2.73911398655454</v>
      </c>
      <c r="R112" s="13" t="n">
        <f aca="false">R107-R108-R111</f>
        <v>3.02772051211464</v>
      </c>
      <c r="T112" s="5" t="s">
        <v>463</v>
      </c>
    </row>
    <row r="113" customFormat="false" ht="15" hidden="false" customHeight="false" outlineLevel="0" collapsed="false">
      <c r="A113" s="5" t="s">
        <v>464</v>
      </c>
      <c r="B113" s="0" t="s">
        <v>27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465</v>
      </c>
      <c r="B114" s="0" t="s">
        <v>466</v>
      </c>
      <c r="C114" s="19" t="n">
        <f aca="false">C115/C106</f>
        <v>0.0520045391183812</v>
      </c>
      <c r="D114" s="19" t="n">
        <f aca="false">D115/D106</f>
        <v>0.0443170902760084</v>
      </c>
      <c r="E114" s="19" t="n">
        <f aca="false">E115/E106</f>
        <v>0.0337594565796481</v>
      </c>
      <c r="F114" s="19" t="n">
        <f aca="false">F115/F106</f>
        <v>0.0410685412637144</v>
      </c>
      <c r="G114" s="19" t="n">
        <f aca="false">(1-g_gm)*G107/G106</f>
        <v>0.049900535931346</v>
      </c>
      <c r="H114" s="19" t="n">
        <f aca="false">$G114*(1-cd_B)^(1/4)</f>
        <v>0.0483310107876922</v>
      </c>
      <c r="I114" s="19" t="n">
        <f aca="false">$G114*(1-cd_B)^(2/4)</f>
        <v>0.0468108520312041</v>
      </c>
      <c r="J114" s="19" t="n">
        <f aca="false">$G114*(1-cd_B)^(3/4)</f>
        <v>0.0453385069373575</v>
      </c>
      <c r="K114" s="19" t="n">
        <f aca="false">$G114*(1-cd_B)^(4/4)</f>
        <v>0.0439124716195845</v>
      </c>
      <c r="L114" s="19" t="n">
        <f aca="false">$G114*(1-cd_B)^(5/4)</f>
        <v>0.0425312894931691</v>
      </c>
      <c r="M114" s="19" t="n">
        <f aca="false">$G114*(1-cd_B)^(6/4)</f>
        <v>0.0411935497874596</v>
      </c>
      <c r="N114" s="19" t="n">
        <f aca="false">$G114*(1-cd_B)^(7/4)</f>
        <v>0.0398978861048746</v>
      </c>
      <c r="O114" s="19" t="n">
        <f aca="false">$G114*(1-cd_B)^(8/4)</f>
        <v>0.0386429750252343</v>
      </c>
      <c r="P114" s="19" t="n">
        <f aca="false">$G114*(1-cd_B)^(9/4)</f>
        <v>0.0374275347539889</v>
      </c>
      <c r="Q114" s="19" t="n">
        <f aca="false">$G114*(1-cd_B)^(10/4)</f>
        <v>0.0362503238129645</v>
      </c>
      <c r="R114" s="19" t="n">
        <f aca="false">$G114*(1-cd_B)^(11/4)</f>
        <v>0.0351101397722897</v>
      </c>
    </row>
    <row r="115" customFormat="false" ht="15" hidden="false" customHeight="false" outlineLevel="0" collapsed="false">
      <c r="A115" s="5" t="s">
        <v>467</v>
      </c>
      <c r="B115" s="0" t="s">
        <v>27</v>
      </c>
      <c r="C115" s="13" t="n">
        <f aca="false">q1_rev*(1-q1_gm)</f>
        <v>1.620216</v>
      </c>
      <c r="D115" s="13" t="n">
        <f aca="false">q2_rev*(1-q2_gm)</f>
        <v>1.485275</v>
      </c>
      <c r="E115" s="13" t="n">
        <f aca="false">q3_rev*(1-q3_gm)</f>
        <v>1.2852</v>
      </c>
      <c r="F115" s="13" t="n">
        <f aca="false">q4_rev*(1-q4_gm)</f>
        <v>1.38061</v>
      </c>
      <c r="G115" s="13" t="n">
        <f aca="false">G106*G114</f>
        <v>1.65128305837604</v>
      </c>
      <c r="H115" s="13" t="n">
        <f aca="false">H106*H114</f>
        <v>1.67026311538934</v>
      </c>
      <c r="I115" s="13" t="n">
        <f aca="false">I106*I114</f>
        <v>1.70991874380579</v>
      </c>
      <c r="J115" s="13" t="n">
        <f aca="false">J106*J114</f>
        <v>1.75115119275359</v>
      </c>
      <c r="K115" s="13" t="n">
        <f aca="false">K106*K114</f>
        <v>1.7933779081555</v>
      </c>
      <c r="L115" s="13" t="n">
        <f aca="false">L106*L114</f>
        <v>1.83662286544368</v>
      </c>
      <c r="M115" s="13" t="n">
        <f aca="false">M106*M114</f>
        <v>1.76576991817872</v>
      </c>
      <c r="N115" s="13" t="n">
        <f aca="false">N106*N114</f>
        <v>1.77100272403317</v>
      </c>
      <c r="O115" s="13" t="n">
        <f aca="false">O106*O114</f>
        <v>1.77625103714982</v>
      </c>
      <c r="P115" s="13" t="n">
        <f aca="false">P106*P114</f>
        <v>1.78151490348397</v>
      </c>
      <c r="Q115" s="13" t="n">
        <f aca="false">Q106*Q114</f>
        <v>1.83744245227453</v>
      </c>
      <c r="R115" s="13" t="n">
        <f aca="false">R106*R114</f>
        <v>1.87348746905156</v>
      </c>
    </row>
    <row r="116" customFormat="false" ht="15" hidden="false" customHeight="false" outlineLevel="0" collapsed="false">
      <c r="A116" s="5" t="s">
        <v>423</v>
      </c>
      <c r="B116" s="0" t="s">
        <v>33</v>
      </c>
      <c r="C116" s="14" t="n">
        <f aca="false">1-C115/C107</f>
        <v>0.298</v>
      </c>
      <c r="D116" s="14" t="n">
        <f aca="false">1-D115/D107</f>
        <v>0.509</v>
      </c>
      <c r="E116" s="14" t="n">
        <f aca="false">1-E115/E107</f>
        <v>0.784</v>
      </c>
      <c r="F116" s="14" t="n">
        <f aca="false">1-F115/F107</f>
        <v>0.846</v>
      </c>
      <c r="G116" s="14" t="n">
        <f aca="false">1-G115/G107</f>
        <v>0.8503</v>
      </c>
      <c r="H116" s="14" t="n">
        <f aca="false">1-H115/H107</f>
        <v>0.865872825958278</v>
      </c>
      <c r="I116" s="14" t="n">
        <f aca="false">1-I115/I107</f>
        <v>0.8762776548618</v>
      </c>
      <c r="J116" s="14" t="n">
        <f aca="false">1-J115/J107</f>
        <v>0.882518728114684</v>
      </c>
      <c r="K116" s="14" t="n">
        <f aca="false">1-K115/K107</f>
        <v>0.8735709722269</v>
      </c>
      <c r="L116" s="14" t="n">
        <f aca="false">1-L115/L107</f>
        <v>0.846934441906947</v>
      </c>
      <c r="M116" s="14" t="n">
        <f aca="false">1-M115/M107</f>
        <v>0.788212605583536</v>
      </c>
      <c r="N116" s="14" t="n">
        <f aca="false">1-N115/N107</f>
        <v>0.726498626298734</v>
      </c>
      <c r="O116" s="14" t="n">
        <f aca="false">1-O115/O107</f>
        <v>0.668876355832358</v>
      </c>
      <c r="P116" s="14" t="n">
        <f aca="false">1-P115/P107</f>
        <v>0.643656901793951</v>
      </c>
      <c r="Q116" s="14" t="n">
        <f aca="false">1-Q115/Q107</f>
        <v>0.671299987501783</v>
      </c>
      <c r="R116" s="14" t="n">
        <f aca="false">1-R115/R107</f>
        <v>0.696798678688443</v>
      </c>
    </row>
    <row r="117" customFormat="false" ht="17.15" hidden="false" customHeight="false" outlineLevel="0" collapsed="false">
      <c r="A117" s="5" t="s">
        <v>468</v>
      </c>
      <c r="B117" s="0" t="s">
        <v>27</v>
      </c>
      <c r="C117" s="13" t="n">
        <f aca="false">q1_rev-q1_rev*(1-q1_gm)-q1_op</f>
        <v>0.511784</v>
      </c>
      <c r="D117" s="13" t="n">
        <f aca="false">q2_rev-q2_rev*(1-q2_gm)-q2_op</f>
        <v>0.474725</v>
      </c>
      <c r="E117" s="13" t="n">
        <f aca="false">q3_rev-q3_rev*(1-q3_gm)-q3_op</f>
        <v>0.553800000000001</v>
      </c>
      <c r="F117" s="13" t="n">
        <f aca="false">q4_rev-q4_rev*(1-q4_gm)-q4_op</f>
        <v>0.54739</v>
      </c>
      <c r="G117" s="13" t="n">
        <f aca="false">(g_ox-ox_var*g_rev)*(1+ox_g)^(0/4)+ox_var*G107</f>
        <v>0.581996149524118</v>
      </c>
      <c r="H117" s="13" t="n">
        <f aca="false">(g_ox-ox_var*g_rev)*(1+ox_g)^(1/4)+ox_var*H107</f>
        <v>0.607592502307229</v>
      </c>
      <c r="I117" s="13" t="n">
        <f aca="false">(g_ox-ox_var*g_rev)*(1+ox_g)^(2/4)+ox_var*I107</f>
        <v>0.632918783045412</v>
      </c>
      <c r="J117" s="13" t="n">
        <f aca="false">(g_ox-ox_var*g_rev)*(1+ox_g)^(3/4)+ox_var*J107</f>
        <v>0.655699894651715</v>
      </c>
      <c r="K117" s="13" t="n">
        <f aca="false">(g_ox-ox_var*g_rev)*(1+ox_g)^(4/4)+ox_var*K107</f>
        <v>0.660707588076944</v>
      </c>
      <c r="L117" s="13" t="n">
        <f aca="false">(g_ox-ox_var*g_rev)*(1+ox_g)^(5/4)+ox_var*L107</f>
        <v>0.65135990123841</v>
      </c>
      <c r="M117" s="13" t="n">
        <f aca="false">(g_ox-ox_var*g_rev)*(1+ox_g)^(6/4)+ox_var*M107</f>
        <v>0.627558556837612</v>
      </c>
      <c r="N117" s="13" t="n">
        <f aca="false">(g_ox-ox_var*g_rev)*(1+ox_g)^(7/4)+ox_var*N107</f>
        <v>0.622059165401595</v>
      </c>
      <c r="O117" s="13" t="n">
        <f aca="false">(g_ox-ox_var*g_rev)*(1+ox_g)^(8/4)+ox_var*O107</f>
        <v>0.624388035077679</v>
      </c>
      <c r="P117" s="13" t="n">
        <f aca="false">(g_ox-ox_var*g_rev)*(1+ox_g)^(9/4)+ox_var*P107</f>
        <v>0.63450203600855</v>
      </c>
      <c r="Q117" s="13" t="n">
        <f aca="false">(g_ox-ox_var*g_rev)*(1+ox_g)^(10/4)+ox_var*Q107</f>
        <v>0.654502586607877</v>
      </c>
      <c r="R117" s="13" t="n">
        <f aca="false">(g_ox-ox_var*g_rev)*(1+ox_g)^(11/4)+ox_var*R107</f>
        <v>0.674827025476538</v>
      </c>
      <c r="T117" s="5" t="s">
        <v>469</v>
      </c>
    </row>
    <row r="118" customFormat="false" ht="15" hidden="false" customHeight="false" outlineLevel="0" collapsed="false">
      <c r="A118" s="5" t="s">
        <v>424</v>
      </c>
      <c r="B118" s="0" t="s">
        <v>27</v>
      </c>
      <c r="C118" s="13" t="n">
        <f aca="false">C107-C115-C117</f>
        <v>0.176</v>
      </c>
      <c r="D118" s="13" t="n">
        <f aca="false">D107-D115-D117</f>
        <v>1.065</v>
      </c>
      <c r="E118" s="13" t="n">
        <f aca="false">E107-E115-E117</f>
        <v>4.111</v>
      </c>
      <c r="F118" s="13" t="n">
        <f aca="false">F107-F115-F117</f>
        <v>7.037</v>
      </c>
      <c r="G118" s="13" t="n">
        <f aca="false">G107-G115-G117</f>
        <v>8.79733574451161</v>
      </c>
      <c r="H118" s="13" t="n">
        <f aca="false">H107-H115-H117</f>
        <v>10.1749760126022</v>
      </c>
      <c r="I118" s="13" t="n">
        <f aca="false">I107-I115-I117</f>
        <v>11.4777762183521</v>
      </c>
      <c r="J118" s="13" t="n">
        <f aca="false">J107-J115-J117</f>
        <v>12.4989391262301</v>
      </c>
      <c r="K118" s="13" t="n">
        <f aca="false">K107-K115-K117</f>
        <v>11.730773311462</v>
      </c>
      <c r="L118" s="13" t="n">
        <f aca="false">L107-L115-L117</f>
        <v>9.51094689669227</v>
      </c>
      <c r="M118" s="13" t="n">
        <f aca="false">M107-M115-M117</f>
        <v>5.94413619347317</v>
      </c>
      <c r="N118" s="13" t="n">
        <f aca="false">N107-N115-N117</f>
        <v>4.08223547403502</v>
      </c>
      <c r="O118" s="13" t="n">
        <f aca="false">O107-O115-O117</f>
        <v>2.96367443554042</v>
      </c>
      <c r="P118" s="13" t="n">
        <f aca="false">P107-P115-P117</f>
        <v>2.58342015484919</v>
      </c>
      <c r="Q118" s="13" t="n">
        <f aca="false">Q107-Q115-Q117</f>
        <v>3.09808350510645</v>
      </c>
      <c r="R118" s="13" t="n">
        <f aca="false">R107-R115-R117</f>
        <v>3.63070695876709</v>
      </c>
    </row>
    <row r="120" customFormat="false" ht="17.15" hidden="false" customHeight="false" outlineLevel="0" collapsed="false">
      <c r="A120" s="5" t="s">
        <v>426</v>
      </c>
      <c r="B120" s="0" t="s">
        <v>27</v>
      </c>
      <c r="C120" s="13" t="n">
        <f aca="false">q1_ni</f>
        <v>0.112</v>
      </c>
      <c r="D120" s="13" t="n">
        <f aca="false">q2_ni</f>
        <v>0.803</v>
      </c>
      <c r="E120" s="13" t="n">
        <f aca="false">q3_ni</f>
        <v>3.615</v>
      </c>
      <c r="F120" s="13" t="n">
        <f aca="false">q4_ni</f>
        <v>6.903</v>
      </c>
      <c r="G120" s="13" t="n">
        <f aca="false">(G118+rf*$D141/4)*(1-tax)</f>
        <v>7.51821238283487</v>
      </c>
      <c r="H120" s="13" t="n">
        <f aca="false">(H118+rf*$D141/4)*(1-tax)</f>
        <v>8.68920661071186</v>
      </c>
      <c r="I120" s="13" t="n">
        <f aca="false">(I118+rf*$D141/4)*(1-tax)</f>
        <v>9.79658678559927</v>
      </c>
      <c r="J120" s="13" t="n">
        <f aca="false">(J118+rf*$D141/4)*(1-tax)</f>
        <v>10.6645752572956</v>
      </c>
      <c r="K120" s="13" t="n">
        <f aca="false">(K118+rf*$E141/4)*(1-tax)</f>
        <v>10.1548422722595</v>
      </c>
      <c r="L120" s="13" t="n">
        <f aca="false">(L118+rf*$E141/4)*(1-tax)</f>
        <v>8.26798981970521</v>
      </c>
      <c r="M120" s="13" t="n">
        <f aca="false">(M118+rf*$E141/4)*(1-tax)</f>
        <v>5.23620072196898</v>
      </c>
      <c r="N120" s="13" t="n">
        <f aca="false">(N118+rf*$E141/4)*(1-tax)</f>
        <v>3.65358511044655</v>
      </c>
      <c r="O120" s="13" t="n">
        <f aca="false">(O118+rf*$F141/4)*(1-tax)</f>
        <v>2.80911273352648</v>
      </c>
      <c r="P120" s="13" t="n">
        <f aca="false">(P118+rf*$F141/4)*(1-tax)</f>
        <v>2.48589659493894</v>
      </c>
      <c r="Q120" s="13" t="n">
        <f aca="false">(Q118+rf*$F141/4)*(1-tax)</f>
        <v>2.92336044265761</v>
      </c>
      <c r="R120" s="13" t="n">
        <f aca="false">(R118+rf*$F141/4)*(1-tax)</f>
        <v>3.37609037826915</v>
      </c>
      <c r="T120" s="5" t="s">
        <v>470</v>
      </c>
    </row>
    <row r="121" customFormat="false" ht="17.15" hidden="false" customHeight="false" outlineLevel="0" collapsed="false">
      <c r="A121" s="5" t="s">
        <v>471</v>
      </c>
      <c r="B121" s="0" t="s">
        <v>40</v>
      </c>
      <c r="G121" s="15" t="n">
        <f aca="false">G120/(sh0+dil)*1000</f>
        <v>49.7894859790389</v>
      </c>
      <c r="H121" s="15" t="n">
        <f aca="false">H120/(sh0+dil)*1000</f>
        <v>57.5444146404759</v>
      </c>
      <c r="I121" s="15" t="n">
        <f aca="false">I120/(sh0+dil)*1000</f>
        <v>64.8780581827766</v>
      </c>
      <c r="J121" s="15" t="n">
        <f aca="false">J120/(sh0+dil)*1000</f>
        <v>70.6263262072556</v>
      </c>
      <c r="K121" s="15" t="n">
        <f aca="false">K120/(sh0+dil)*1000</f>
        <v>67.2506110745661</v>
      </c>
      <c r="L121" s="15" t="n">
        <f aca="false">L120/(sh0+dil)*1000</f>
        <v>54.7548994682465</v>
      </c>
      <c r="M121" s="15" t="n">
        <f aca="false">M120/(sh0+dil)*1000</f>
        <v>34.6768259733045</v>
      </c>
      <c r="N121" s="15" t="n">
        <f aca="false">N120/(sh0+dil)*1000</f>
        <v>24.195927883752</v>
      </c>
      <c r="O121" s="15" t="n">
        <f aca="false">O120/(sh0+dil)*1000</f>
        <v>18.6033955862681</v>
      </c>
      <c r="P121" s="15" t="n">
        <f aca="false">P120/(sh0+dil)*1000</f>
        <v>16.4628913572115</v>
      </c>
      <c r="Q121" s="15" t="n">
        <f aca="false">Q120/(sh0+dil)*1000</f>
        <v>19.3600029315074</v>
      </c>
      <c r="R121" s="15" t="n">
        <f aca="false">R120/(sh0+dil)*1000</f>
        <v>22.3582144256235</v>
      </c>
    </row>
    <row r="123" customFormat="false" ht="17.15" hidden="false" customHeight="false" outlineLevel="0" collapsed="false">
      <c r="A123" s="12" t="s">
        <v>472</v>
      </c>
      <c r="B123" s="6" t="s">
        <v>17</v>
      </c>
      <c r="C123" s="12" t="s">
        <v>413</v>
      </c>
      <c r="D123" s="12" t="s">
        <v>414</v>
      </c>
      <c r="E123" s="12" t="s">
        <v>415</v>
      </c>
      <c r="F123" s="12" t="s">
        <v>416</v>
      </c>
      <c r="G123" s="12" t="s">
        <v>417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321</v>
      </c>
    </row>
    <row r="124" customFormat="false" ht="15" hidden="false" customHeight="false" outlineLevel="0" collapsed="false">
      <c r="A124" s="5" t="s">
        <v>344</v>
      </c>
      <c r="B124" s="0" t="s">
        <v>27</v>
      </c>
      <c r="C124" s="13" t="n">
        <f aca="false">a25_rev</f>
        <v>7.355</v>
      </c>
      <c r="D124" s="13" t="n">
        <f aca="false">SUM(C107:F107)</f>
        <v>20.248</v>
      </c>
      <c r="E124" s="13" t="n">
        <f aca="false">SUM(G107:J107)</f>
        <v>52.2098505415492</v>
      </c>
      <c r="F124" s="13" t="n">
        <f aca="false">SUM(K107:N107)</f>
        <v>40.9965505030281</v>
      </c>
      <c r="G124" s="13" t="n">
        <f aca="false">SUM(O107:R107)</f>
        <v>22.1328005993937</v>
      </c>
    </row>
    <row r="125" customFormat="false" ht="15" hidden="false" customHeight="false" outlineLevel="0" collapsed="false">
      <c r="A125" s="5" t="s">
        <v>473</v>
      </c>
      <c r="B125" s="0" t="s">
        <v>27</v>
      </c>
      <c r="D125" s="13" t="n">
        <f aca="false">SUM(C108:F108)</f>
        <v>5.153</v>
      </c>
      <c r="E125" s="13" t="n">
        <f aca="false">SUM(G108:J108)</f>
        <v>19.8397432057887</v>
      </c>
      <c r="F125" s="13" t="n">
        <f aca="false">SUM(K108:N108)</f>
        <v>17.2185512112718</v>
      </c>
      <c r="G125" s="13" t="n">
        <f aca="false">SUM(O108:R108)</f>
        <v>9.95976026972715</v>
      </c>
    </row>
    <row r="126" customFormat="false" ht="17.15" hidden="false" customHeight="false" outlineLevel="0" collapsed="false">
      <c r="A126" s="5" t="s">
        <v>474</v>
      </c>
      <c r="B126" s="0" t="s">
        <v>27</v>
      </c>
      <c r="D126" s="13" t="n">
        <f aca="false">SUM(C109:F109)</f>
        <v>3.36063827543424</v>
      </c>
      <c r="E126" s="13" t="n">
        <f aca="false">SUM(G109:J109)</f>
        <v>15.7308596917051</v>
      </c>
      <c r="F126" s="13" t="n">
        <f aca="false">SUM(K109:N109)</f>
        <v>14.2621759709534</v>
      </c>
      <c r="G126" s="13" t="n">
        <f aca="false">SUM(O109:R109)</f>
        <v>8.37399783116828</v>
      </c>
    </row>
    <row r="127" customFormat="false" ht="15" hidden="false" customHeight="false" outlineLevel="0" collapsed="false">
      <c r="A127" s="5" t="s">
        <v>475</v>
      </c>
      <c r="B127" s="0" t="s">
        <v>27</v>
      </c>
      <c r="D127" s="13" t="n">
        <f aca="false">SUM(C112:F112)</f>
        <v>12.16</v>
      </c>
      <c r="E127" s="13" t="n">
        <f aca="false">SUM(G112:J112)</f>
        <v>29.2375163032676</v>
      </c>
      <c r="F127" s="13" t="n">
        <f aca="false">SUM(K112:N112)</f>
        <v>21.3182062615746</v>
      </c>
      <c r="G127" s="13" t="n">
        <f aca="false">SUM(O112:R112)</f>
        <v>10.8450722937029</v>
      </c>
    </row>
    <row r="128" customFormat="false" ht="15" hidden="false" customHeight="false" outlineLevel="0" collapsed="false">
      <c r="A128" s="5" t="s">
        <v>476</v>
      </c>
      <c r="B128" s="0" t="s">
        <v>27</v>
      </c>
      <c r="D128" s="13" t="n">
        <f aca="false">SUM(C111:F111)</f>
        <v>2.935</v>
      </c>
      <c r="E128" s="13" t="n">
        <f aca="false">SUM(G111:J111)</f>
        <v>3.13259103249295</v>
      </c>
      <c r="F128" s="13" t="n">
        <f aca="false">SUM(K111:N111)</f>
        <v>2.45979303018169</v>
      </c>
      <c r="G128" s="13" t="n">
        <f aca="false">SUM(O111:R111)</f>
        <v>1.32796803596362</v>
      </c>
    </row>
    <row r="129" customFormat="false" ht="17.15" hidden="false" customHeight="false" outlineLevel="0" collapsed="false">
      <c r="A129" s="5" t="s">
        <v>477</v>
      </c>
      <c r="B129" s="0" t="s">
        <v>27</v>
      </c>
      <c r="D129" s="18" t="n">
        <f aca="false">D125+D127+D128-D124+ABS(D125-a26_dc)+ABS(D127-a26_ed)+ABS(D128-a26_cs)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467</v>
      </c>
      <c r="B130" s="0" t="s">
        <v>27</v>
      </c>
      <c r="D130" s="13" t="n">
        <f aca="false">SUM(C115:F115)</f>
        <v>5.771301</v>
      </c>
      <c r="E130" s="13" t="n">
        <f aca="false">SUM(G115:J115)</f>
        <v>6.78261611032476</v>
      </c>
      <c r="F130" s="13" t="n">
        <f aca="false">SUM(K115:N115)</f>
        <v>7.16677341581108</v>
      </c>
      <c r="G130" s="13" t="n">
        <f aca="false">SUM(O115:R115)</f>
        <v>7.26869586195987</v>
      </c>
    </row>
    <row r="131" customFormat="false" ht="15" hidden="false" customHeight="false" outlineLevel="0" collapsed="false">
      <c r="A131" s="5" t="s">
        <v>423</v>
      </c>
      <c r="B131" s="0" t="s">
        <v>33</v>
      </c>
      <c r="D131" s="14" t="n">
        <f aca="false">1-D130/D124</f>
        <v>0.714969330304228</v>
      </c>
      <c r="E131" s="14" t="n">
        <f aca="false">1-E130/E124</f>
        <v>0.870089340613472</v>
      </c>
      <c r="F131" s="14" t="n">
        <f aca="false">1-F130/F124</f>
        <v>0.825185940576105</v>
      </c>
      <c r="G131" s="14" t="n">
        <f aca="false">1-G130/G124</f>
        <v>0.671587161809111</v>
      </c>
    </row>
    <row r="132" customFormat="false" ht="15" hidden="false" customHeight="false" outlineLevel="0" collapsed="false">
      <c r="A132" s="5" t="s">
        <v>468</v>
      </c>
      <c r="B132" s="0" t="s">
        <v>27</v>
      </c>
      <c r="D132" s="13" t="n">
        <f aca="false">SUM(C117:F117)</f>
        <v>2.087699</v>
      </c>
      <c r="E132" s="13" t="n">
        <f aca="false">SUM(G117:J117)</f>
        <v>2.47820732952847</v>
      </c>
      <c r="F132" s="13" t="n">
        <f aca="false">SUM(K117:N117)</f>
        <v>2.56168521155456</v>
      </c>
      <c r="G132" s="13" t="n">
        <f aca="false">SUM(O117:R117)</f>
        <v>2.58821968317064</v>
      </c>
    </row>
    <row r="133" customFormat="false" ht="15" hidden="false" customHeight="false" outlineLevel="0" collapsed="false">
      <c r="A133" s="5" t="s">
        <v>424</v>
      </c>
      <c r="B133" s="0" t="s">
        <v>27</v>
      </c>
      <c r="D133" s="13" t="n">
        <f aca="false">SUM(C118:F118)</f>
        <v>12.389</v>
      </c>
      <c r="E133" s="13" t="n">
        <f aca="false">SUM(G118:J118)</f>
        <v>42.949027101696</v>
      </c>
      <c r="F133" s="13" t="n">
        <f aca="false">SUM(K118:N118)</f>
        <v>31.2680918756625</v>
      </c>
      <c r="G133" s="13" t="n">
        <f aca="false">SUM(O118:R118)</f>
        <v>12.2758850542631</v>
      </c>
    </row>
    <row r="134" customFormat="false" ht="15" hidden="false" customHeight="false" outlineLevel="0" collapsed="false">
      <c r="A134" s="5" t="s">
        <v>425</v>
      </c>
      <c r="B134" s="0" t="s">
        <v>33</v>
      </c>
      <c r="D134" s="14" t="n">
        <f aca="false">D133/D124</f>
        <v>0.61186290003951</v>
      </c>
      <c r="E134" s="14" t="n">
        <f aca="false">E133/E124</f>
        <v>0.82262306166758</v>
      </c>
      <c r="F134" s="14" t="n">
        <f aca="false">F133/F124</f>
        <v>0.762700556315169</v>
      </c>
      <c r="G134" s="14" t="n">
        <f aca="false">G133/G124</f>
        <v>0.554646710845958</v>
      </c>
    </row>
    <row r="135" customFormat="false" ht="15" hidden="false" customHeight="false" outlineLevel="0" collapsed="false">
      <c r="A135" s="5" t="s">
        <v>426</v>
      </c>
      <c r="B135" s="0" t="s">
        <v>27</v>
      </c>
      <c r="C135" s="13" t="n">
        <f aca="false">a25_ni</f>
        <v>-1.641</v>
      </c>
      <c r="D135" s="13" t="n">
        <f aca="false">SUM(C120:F120)</f>
        <v>11.433</v>
      </c>
      <c r="E135" s="13" t="n">
        <f aca="false">SUM(G120:J120)</f>
        <v>36.6685810364416</v>
      </c>
      <c r="F135" s="13" t="n">
        <f aca="false">SUM(K120:N120)</f>
        <v>27.3126179243802</v>
      </c>
      <c r="G135" s="13" t="n">
        <f aca="false">SUM(O120:R120)</f>
        <v>11.5944601493922</v>
      </c>
    </row>
    <row r="136" customFormat="false" ht="15" hidden="false" customHeight="false" outlineLevel="0" collapsed="false">
      <c r="A136" s="5" t="s">
        <v>478</v>
      </c>
      <c r="B136" s="0" t="s">
        <v>27</v>
      </c>
      <c r="D136" s="13" t="n">
        <f aca="false">da_y</f>
        <v>0.16</v>
      </c>
      <c r="E136" s="13" t="n">
        <f aca="false">da_y</f>
        <v>0.16</v>
      </c>
      <c r="F136" s="13" t="n">
        <f aca="false">da_y</f>
        <v>0.16</v>
      </c>
      <c r="G136" s="13" t="n">
        <f aca="false">da_y</f>
        <v>0.16</v>
      </c>
    </row>
    <row r="137" customFormat="false" ht="17.15" hidden="false" customHeight="false" outlineLevel="0" collapsed="false">
      <c r="A137" s="5" t="s">
        <v>479</v>
      </c>
      <c r="B137" s="0" t="s">
        <v>27</v>
      </c>
      <c r="D137" s="13" t="n">
        <v>0.562</v>
      </c>
      <c r="E137" s="13" t="n">
        <f aca="false">cap_r*E124</f>
        <v>3.13259103249295</v>
      </c>
      <c r="F137" s="13" t="n">
        <f aca="false">cap_r*F124</f>
        <v>2.45979303018169</v>
      </c>
      <c r="G137" s="13" t="n">
        <f aca="false">cap_r*G124</f>
        <v>1.32796803596362</v>
      </c>
      <c r="T137" s="8" t="s">
        <v>480</v>
      </c>
    </row>
    <row r="138" customFormat="false" ht="15" hidden="false" customHeight="false" outlineLevel="0" collapsed="false">
      <c r="A138" s="5" t="s">
        <v>481</v>
      </c>
      <c r="B138" s="0" t="s">
        <v>27</v>
      </c>
      <c r="D138" s="13" t="n">
        <f aca="false">D135+D136-D137</f>
        <v>11.031</v>
      </c>
      <c r="E138" s="13" t="n">
        <f aca="false">E135+E136-E137</f>
        <v>33.6959900039486</v>
      </c>
      <c r="F138" s="13" t="n">
        <f aca="false">F135+F136-F137</f>
        <v>25.0128248941985</v>
      </c>
      <c r="G138" s="13" t="n">
        <f aca="false">G135+G136-G137</f>
        <v>10.4264921134286</v>
      </c>
    </row>
    <row r="139" customFormat="false" ht="17.15" hidden="false" customHeight="false" outlineLevel="0" collapsed="false">
      <c r="A139" s="5" t="s">
        <v>482</v>
      </c>
      <c r="B139" s="0" t="s">
        <v>27</v>
      </c>
      <c r="D139" s="13" t="n">
        <v>4.524</v>
      </c>
      <c r="E139" s="13" t="n">
        <f aca="false">MAX(0,payout*E138)</f>
        <v>16.8479950019743</v>
      </c>
      <c r="F139" s="13" t="n">
        <f aca="false">MAX(0,payout*F138)</f>
        <v>12.5064124470993</v>
      </c>
      <c r="G139" s="13" t="n">
        <f aca="false">MAX(0,payout*G138)</f>
        <v>5.21324605671428</v>
      </c>
      <c r="T139" s="8" t="s">
        <v>483</v>
      </c>
    </row>
    <row r="140" customFormat="false" ht="15" hidden="false" customHeight="false" outlineLevel="0" collapsed="false">
      <c r="A140" s="5" t="s">
        <v>484</v>
      </c>
      <c r="B140" s="0" t="s">
        <v>27</v>
      </c>
      <c r="D140" s="13" t="n">
        <f aca="false">eq0</f>
        <v>15.736</v>
      </c>
      <c r="E140" s="13" t="n">
        <f aca="false">D140+E135-E139</f>
        <v>35.5565860344673</v>
      </c>
      <c r="F140" s="13" t="n">
        <f aca="false">E140+F135-F139</f>
        <v>50.3627915117482</v>
      </c>
      <c r="G140" s="13" t="n">
        <f aca="false">F140+G135-G139</f>
        <v>56.7440056044261</v>
      </c>
    </row>
    <row r="141" customFormat="false" ht="15" hidden="false" customHeight="false" outlineLevel="0" collapsed="false">
      <c r="A141" s="5" t="s">
        <v>485</v>
      </c>
      <c r="B141" s="0" t="s">
        <v>27</v>
      </c>
      <c r="D141" s="13" t="n">
        <f aca="false">nc0</f>
        <v>4.762</v>
      </c>
      <c r="E141" s="13" t="n">
        <f aca="false">D141+E138-E139</f>
        <v>21.6099950019743</v>
      </c>
      <c r="F141" s="13" t="n">
        <f aca="false">E141+F138-F139</f>
        <v>34.1164074490736</v>
      </c>
      <c r="G141" s="13" t="n">
        <f aca="false">F141+G138-G139</f>
        <v>39.3296535057879</v>
      </c>
    </row>
    <row r="142" customFormat="false" ht="15" hidden="false" customHeight="false" outlineLevel="0" collapsed="false">
      <c r="A142" s="5" t="s">
        <v>486</v>
      </c>
      <c r="B142" s="5" t="s">
        <v>152</v>
      </c>
      <c r="D142" s="20" t="n">
        <f aca="false">sh0</f>
        <v>146.42</v>
      </c>
      <c r="E142" s="20" t="n">
        <f aca="false">D142-E139/bb_px*1000</f>
        <v>132.811286962372</v>
      </c>
      <c r="F142" s="20" t="n">
        <f aca="false">E142-F139/bb_px*1000</f>
        <v>122.709421541422</v>
      </c>
      <c r="G142" s="20" t="n">
        <f aca="false">F142-G139/bb_px*1000</f>
        <v>118.498500920181</v>
      </c>
    </row>
    <row r="143" customFormat="false" ht="17.15" hidden="false" customHeight="false" outlineLevel="0" collapsed="false">
      <c r="A143" s="0" t="s">
        <v>487</v>
      </c>
      <c r="B143" s="0" t="s">
        <v>40</v>
      </c>
      <c r="C143" s="15" t="n">
        <f aca="false">a25_eps</f>
        <v>-11.32</v>
      </c>
      <c r="D143" s="15" t="n">
        <f aca="false">a26_eps</f>
        <v>73.76</v>
      </c>
      <c r="E143" s="15" t="n">
        <f aca="false">E135/(E142+dil)*1000</f>
        <v>266.891604607242</v>
      </c>
      <c r="F143" s="15" t="n">
        <f aca="false">F135/(F142+dil)*1000</f>
        <v>214.570995716972</v>
      </c>
      <c r="G143" s="15" t="n">
        <f aca="false">G135/(G142+dil)*1000</f>
        <v>94.203781023555</v>
      </c>
    </row>
    <row r="144" customFormat="false" ht="17.15" hidden="false" customHeight="false" outlineLevel="0" collapsed="false">
      <c r="A144" s="5" t="s">
        <v>488</v>
      </c>
      <c r="B144" s="0" t="s">
        <v>40</v>
      </c>
      <c r="D144" s="15" t="n">
        <f aca="false">D140/D142*1000</f>
        <v>107.471656877476</v>
      </c>
      <c r="E144" s="15" t="n">
        <f aca="false">E140/E142*1000</f>
        <v>267.722622434501</v>
      </c>
      <c r="F144" s="15" t="n">
        <f aca="false">F140/F142*1000</f>
        <v>410.423184129735</v>
      </c>
      <c r="G144" s="15" t="n">
        <f aca="false">G140/G142*1000</f>
        <v>478.858425750449</v>
      </c>
    </row>
    <row r="145" customFormat="false" ht="17.15" hidden="false" customHeight="false" outlineLevel="0" collapsed="false">
      <c r="A145" s="0" t="s">
        <v>489</v>
      </c>
      <c r="B145" s="0" t="s">
        <v>33</v>
      </c>
      <c r="D145" s="21" t="n">
        <f aca="false">D135/D140</f>
        <v>0.72655058464667</v>
      </c>
      <c r="E145" s="21" t="n">
        <f aca="false">E135/E140</f>
        <v>1.03127395304196</v>
      </c>
      <c r="F145" s="21" t="n">
        <f aca="false">F135/F140</f>
        <v>0.542317395532155</v>
      </c>
      <c r="G145" s="21" t="n">
        <f aca="false">G135/G140</f>
        <v>0.204329250744466</v>
      </c>
    </row>
    <row r="146" customFormat="false" ht="15" hidden="false" customHeight="false" outlineLevel="0" collapsed="false">
      <c r="A146" s="5" t="s">
        <v>490</v>
      </c>
      <c r="B146" s="0" t="s">
        <v>40</v>
      </c>
      <c r="E146" s="15" t="n">
        <f aca="false">E138/(E142+dil)*1000</f>
        <v>245.255654481038</v>
      </c>
      <c r="F146" s="15" t="n">
        <f aca="false">F138/(F142+dil)*1000</f>
        <v>196.503563228614</v>
      </c>
      <c r="G146" s="15" t="n">
        <f aca="false">G138/(G142+dil)*1000</f>
        <v>84.7141623880382</v>
      </c>
    </row>
    <row r="147" customFormat="false" ht="17.15" hidden="false" customHeight="false" outlineLevel="0" collapsed="false">
      <c r="A147" s="5" t="s">
        <v>491</v>
      </c>
      <c r="B147" s="0" t="s">
        <v>27</v>
      </c>
      <c r="D147" s="18" t="n">
        <f aca="false">ABS(D124-a26_rev)+ABS(D135-a26_ni)</f>
        <v>0</v>
      </c>
    </row>
    <row r="150" customFormat="false" ht="17.15" hidden="false" customHeight="false" outlineLevel="0" collapsed="false">
      <c r="A150" s="3" t="s">
        <v>493</v>
      </c>
    </row>
    <row r="151" customFormat="false" ht="17.15" hidden="false" customHeight="false" outlineLevel="0" collapsed="false">
      <c r="A151" s="12" t="s">
        <v>434</v>
      </c>
      <c r="B151" s="6" t="s">
        <v>17</v>
      </c>
      <c r="C151" s="12" t="s">
        <v>435</v>
      </c>
      <c r="D151" s="12" t="s">
        <v>436</v>
      </c>
      <c r="E151" s="12" t="s">
        <v>437</v>
      </c>
      <c r="F151" s="12" t="s">
        <v>438</v>
      </c>
      <c r="G151" s="12" t="s">
        <v>439</v>
      </c>
      <c r="H151" s="12" t="s">
        <v>440</v>
      </c>
      <c r="I151" s="12" t="s">
        <v>441</v>
      </c>
      <c r="J151" s="12" t="s">
        <v>442</v>
      </c>
      <c r="K151" s="12" t="s">
        <v>443</v>
      </c>
      <c r="L151" s="12" t="s">
        <v>444</v>
      </c>
      <c r="M151" s="12" t="s">
        <v>445</v>
      </c>
      <c r="N151" s="12" t="s">
        <v>446</v>
      </c>
      <c r="O151" s="12" t="s">
        <v>447</v>
      </c>
      <c r="P151" s="12" t="s">
        <v>448</v>
      </c>
      <c r="Q151" s="12" t="s">
        <v>449</v>
      </c>
      <c r="R151" s="12" t="s">
        <v>450</v>
      </c>
      <c r="S151" s="12"/>
      <c r="T151" s="6" t="s">
        <v>321</v>
      </c>
    </row>
    <row r="152" customFormat="false" ht="17.15" hidden="false" customHeight="false" outlineLevel="0" collapsed="false">
      <c r="A152" s="5" t="s">
        <v>451</v>
      </c>
      <c r="B152" s="0" t="s">
        <v>27</v>
      </c>
      <c r="C152" s="13" t="n">
        <f aca="false">Units!E6*1</f>
        <v>2.31</v>
      </c>
      <c r="D152" s="13" t="n">
        <f aca="false">Units!F6*1</f>
        <v>3.03</v>
      </c>
      <c r="E152" s="13" t="n">
        <f aca="false">Units!G6*1</f>
        <v>5.95</v>
      </c>
      <c r="F152" s="13" t="n">
        <f aca="false">Units!H6*1</f>
        <v>8.97</v>
      </c>
      <c r="G152" s="13" t="n">
        <f aca="false">Units!I6*1</f>
        <v>11.0371522587842</v>
      </c>
      <c r="H152" s="13" t="n">
        <f aca="false">Units!J6*1*1</f>
        <v>12.4602118149868</v>
      </c>
      <c r="I152" s="13" t="n">
        <f aca="false">Units!K6*1*1</f>
        <v>13.6613861846078</v>
      </c>
      <c r="J152" s="13" t="n">
        <f aca="false">Units!L6*1*1</f>
        <v>14.7340603137756</v>
      </c>
      <c r="K152" s="13" t="n">
        <f aca="false">Units!M6*1*1</f>
        <v>14.0214347726278</v>
      </c>
      <c r="L152" s="13" t="n">
        <f aca="false">Units!N6*1*1</f>
        <v>11.8606897606263</v>
      </c>
      <c r="M152" s="13" t="n">
        <f aca="false">Units!O6*1*1</f>
        <v>6.97229382502909</v>
      </c>
      <c r="N152" s="13" t="n">
        <f aca="false">Units!P6*1*1</f>
        <v>4.54297355113296</v>
      </c>
      <c r="O152" s="13" t="n">
        <f aca="false">Units!Q6*1*1</f>
        <v>3.41548704788217</v>
      </c>
      <c r="P152" s="13" t="n">
        <f aca="false">Units!R6*1*1</f>
        <v>2.73901115333688</v>
      </c>
      <c r="Q152" s="13" t="n">
        <f aca="false">Units!S6*1*1</f>
        <v>2.9345421631125</v>
      </c>
      <c r="R152" s="13" t="n">
        <f aca="false">Units!T6*1*1</f>
        <v>3.20574603533714</v>
      </c>
      <c r="T152" s="8" t="s">
        <v>452</v>
      </c>
    </row>
    <row r="153" customFormat="false" ht="15" hidden="false" customHeight="false" outlineLevel="0" collapsed="false">
      <c r="A153" s="5" t="s">
        <v>453</v>
      </c>
      <c r="B153" s="0" t="s">
        <v>386</v>
      </c>
      <c r="C153" s="13" t="n">
        <f aca="false">Units!E9*1</f>
        <v>31.1552804325753</v>
      </c>
      <c r="D153" s="13" t="n">
        <f aca="false">Units!F9*1</f>
        <v>33.5147228924475</v>
      </c>
      <c r="E153" s="13" t="n">
        <f aca="false">Units!G9*1</f>
        <v>38.0693331650007</v>
      </c>
      <c r="F153" s="13" t="n">
        <f aca="false">Units!H9*1</f>
        <v>33.6172154529341</v>
      </c>
      <c r="G153" s="13" t="n">
        <f aca="false">Units!I9*1</f>
        <v>33.0914894510934</v>
      </c>
      <c r="H153" s="13" t="n">
        <f aca="false">Units!J9*1</f>
        <v>34.5588285485368</v>
      </c>
      <c r="I153" s="13" t="n">
        <f aca="false">Units!K9*1</f>
        <v>36.0860259229573</v>
      </c>
      <c r="J153" s="13" t="n">
        <f aca="false">Units!L9*1</f>
        <v>38.1563268227063</v>
      </c>
      <c r="K153" s="13" t="n">
        <f aca="false">Units!M9*1</f>
        <v>40.3454035007761</v>
      </c>
      <c r="L153" s="13" t="n">
        <f aca="false">Units!N9*1</f>
        <v>42.660070273635</v>
      </c>
      <c r="M153" s="13" t="n">
        <f aca="false">Units!O9*1</f>
        <v>38.5810412440148</v>
      </c>
      <c r="N153" s="13" t="n">
        <f aca="false">Units!P9*1</f>
        <v>38.6745363081641</v>
      </c>
      <c r="O153" s="13" t="n">
        <f aca="false">Units!Q9*1</f>
        <v>38.7682579428448</v>
      </c>
      <c r="P153" s="13" t="n">
        <f aca="false">Units!R9*1</f>
        <v>38.862206697115</v>
      </c>
      <c r="Q153" s="13" t="n">
        <f aca="false">Units!S9*1</f>
        <v>41.6364803645802</v>
      </c>
      <c r="R153" s="13" t="n">
        <f aca="false">Units!T9*1</f>
        <v>43.3185061425067</v>
      </c>
    </row>
    <row r="154" customFormat="false" ht="17.15" hidden="false" customHeight="false" outlineLevel="0" collapsed="false">
      <c r="A154" s="5" t="s">
        <v>344</v>
      </c>
      <c r="B154" s="0" t="s">
        <v>27</v>
      </c>
      <c r="C154" s="13" t="n">
        <f aca="false">q1_rev</f>
        <v>2.308</v>
      </c>
      <c r="D154" s="13" t="n">
        <f aca="false">q2_rev</f>
        <v>3.025</v>
      </c>
      <c r="E154" s="13" t="n">
        <f aca="false">q3_rev</f>
        <v>5.95</v>
      </c>
      <c r="F154" s="13" t="n">
        <f aca="false">q4_rev</f>
        <v>8.965</v>
      </c>
      <c r="G154" s="13" t="n">
        <f aca="false">G152*sd_k</f>
        <v>11.0306149524118</v>
      </c>
      <c r="H154" s="13" t="n">
        <f aca="false">H152*sd_k</f>
        <v>12.4528316302988</v>
      </c>
      <c r="I154" s="13" t="n">
        <f aca="false">I152*sd_k</f>
        <v>13.6532945442221</v>
      </c>
      <c r="J154" s="13" t="n">
        <f aca="false">J152*sd_k</f>
        <v>14.7253333283973</v>
      </c>
      <c r="K154" s="13" t="n">
        <f aca="false">K152*sd_k</f>
        <v>14.0131298754278</v>
      </c>
      <c r="L154" s="13" t="n">
        <f aca="false">L152*sd_k</f>
        <v>11.8536646729102</v>
      </c>
      <c r="M154" s="13" t="n">
        <f aca="false">M152*sd_k</f>
        <v>6.96816413470824</v>
      </c>
      <c r="N154" s="13" t="n">
        <f aca="false">N152*sd_k</f>
        <v>4.54028274745016</v>
      </c>
      <c r="O154" s="13" t="n">
        <f aca="false">O152*sd_k</f>
        <v>3.41346405456654</v>
      </c>
      <c r="P154" s="13" t="n">
        <f aca="false">P152*sd_k</f>
        <v>2.73738883676037</v>
      </c>
      <c r="Q154" s="13" t="n">
        <f aca="false">Q152*sd_k</f>
        <v>2.9328040334996</v>
      </c>
      <c r="R154" s="13" t="n">
        <f aca="false">R152*sd_k</f>
        <v>3.20384727164395</v>
      </c>
      <c r="T154" s="5" t="s">
        <v>454</v>
      </c>
    </row>
    <row r="155" customFormat="false" ht="17.15" hidden="false" customHeight="false" outlineLevel="0" collapsed="false">
      <c r="A155" s="5" t="s">
        <v>455</v>
      </c>
      <c r="B155" s="0" t="s">
        <v>27</v>
      </c>
      <c r="C155" s="13" t="n">
        <f aca="false">q1_dc</f>
        <v>0.269</v>
      </c>
      <c r="D155" s="13" t="n">
        <f aca="false">q2_dc</f>
        <v>0.44</v>
      </c>
      <c r="E155" s="13" t="n">
        <f aca="false">q3_dc</f>
        <v>1.467</v>
      </c>
      <c r="F155" s="13" t="n">
        <f aca="false">q4_dc</f>
        <v>2.977</v>
      </c>
      <c r="G155" s="13" t="n">
        <f aca="false">G154*dcsh_27</f>
        <v>4.19163368191647</v>
      </c>
      <c r="H155" s="13" t="n">
        <f aca="false">H154*dcsh_27</f>
        <v>4.73207601951353</v>
      </c>
      <c r="I155" s="13" t="n">
        <f aca="false">I154*dcsh_27</f>
        <v>5.18825192680438</v>
      </c>
      <c r="J155" s="13" t="n">
        <f aca="false">J154*dcsh_27</f>
        <v>5.59562666479096</v>
      </c>
      <c r="K155" s="13" t="n">
        <f aca="false">K154*dcsh_28</f>
        <v>5.88551454767969</v>
      </c>
      <c r="L155" s="13" t="n">
        <f aca="false">L154*dcsh_28</f>
        <v>4.9785391626223</v>
      </c>
      <c r="M155" s="13" t="n">
        <f aca="false">M154*dcsh_28</f>
        <v>2.92662893657746</v>
      </c>
      <c r="N155" s="13" t="n">
        <f aca="false">N154*dcsh_28</f>
        <v>1.90691875392907</v>
      </c>
      <c r="O155" s="13" t="n">
        <f aca="false">O154*dcsh_29</f>
        <v>1.53605882455495</v>
      </c>
      <c r="P155" s="13" t="n">
        <f aca="false">P154*dcsh_29</f>
        <v>1.23182497654217</v>
      </c>
      <c r="Q155" s="13" t="n">
        <f aca="false">Q154*dcsh_29</f>
        <v>1.31976181507482</v>
      </c>
      <c r="R155" s="13" t="n">
        <f aca="false">R154*dcsh_29</f>
        <v>1.44173127223978</v>
      </c>
      <c r="T155" s="5" t="s">
        <v>456</v>
      </c>
    </row>
    <row r="156" customFormat="false" ht="17.15" hidden="false" customHeight="false" outlineLevel="0" collapsed="false">
      <c r="A156" s="5" t="s">
        <v>457</v>
      </c>
      <c r="B156" s="0" t="s">
        <v>27</v>
      </c>
      <c r="C156" s="13" t="n">
        <f aca="false">C155*(Units!C18+Units!D18)/2</f>
        <v>0.17543405707196</v>
      </c>
      <c r="D156" s="13" t="n">
        <f aca="false">D155*(Units!C18+Units!D18)/2</f>
        <v>0.286955334987593</v>
      </c>
      <c r="E156" s="13" t="n">
        <f aca="false">E155*(Units!C18+Units!D18)/2</f>
        <v>0.956735173697271</v>
      </c>
      <c r="F156" s="13" t="n">
        <f aca="false">F155*(Units!C18+Units!D18)/2</f>
        <v>1.94151370967742</v>
      </c>
      <c r="G156" s="13" t="n">
        <f aca="false">G155*(Units!D18+Units!E18)/2</f>
        <v>3.32353098753891</v>
      </c>
      <c r="H156" s="13" t="n">
        <f aca="false">H155*(Units!D18+Units!E18)/2</f>
        <v>3.75204573674775</v>
      </c>
      <c r="I156" s="13" t="n">
        <f aca="false">I155*(Units!D18+Units!E18)/2</f>
        <v>4.11374594213321</v>
      </c>
      <c r="J156" s="13" t="n">
        <f aca="false">J155*(Units!D18+Units!E18)/2</f>
        <v>4.43675187919303</v>
      </c>
      <c r="K156" s="13" t="n">
        <f aca="false">K155*(Units!E18+Units!F18)/2</f>
        <v>4.7412616277736</v>
      </c>
      <c r="L156" s="13" t="n">
        <f aca="false">L155*(Units!E18+Units!F18)/2</f>
        <v>4.01061903812898</v>
      </c>
      <c r="M156" s="13" t="n">
        <f aca="false">M155*(Units!E18+Units!F18)/2</f>
        <v>2.35763812378937</v>
      </c>
      <c r="N156" s="13" t="n">
        <f aca="false">N155*(Units!E18+Units!F18)/2</f>
        <v>1.53617846698725</v>
      </c>
      <c r="O156" s="13" t="n">
        <f aca="false">O155*(Units!F18+Units!G18)/2</f>
        <v>1.21945995427504</v>
      </c>
      <c r="P156" s="13" t="n">
        <f aca="false">P155*(Units!F18+Units!G18)/2</f>
        <v>0.97793209840398</v>
      </c>
      <c r="Q156" s="13" t="n">
        <f aca="false">Q155*(Units!F18+Units!G18)/2</f>
        <v>1.04774417290392</v>
      </c>
      <c r="R156" s="13" t="n">
        <f aca="false">R155*(Units!F18+Units!G18)/2</f>
        <v>1.14457436344068</v>
      </c>
      <c r="T156" s="5" t="s">
        <v>458</v>
      </c>
    </row>
    <row r="157" customFormat="false" ht="17.15" hidden="false" customHeight="false" outlineLevel="0" collapsed="false">
      <c r="A157" s="5" t="s">
        <v>459</v>
      </c>
      <c r="B157" s="0" t="s">
        <v>27</v>
      </c>
      <c r="C157" s="13" t="n">
        <f aca="false">C155-C156</f>
        <v>0.0935659429280397</v>
      </c>
      <c r="D157" s="13" t="n">
        <f aca="false">D155-D156</f>
        <v>0.153044665012407</v>
      </c>
      <c r="E157" s="13" t="n">
        <f aca="false">E155-E156</f>
        <v>0.51026482630273</v>
      </c>
      <c r="F157" s="13" t="n">
        <f aca="false">F155-F156</f>
        <v>1.03548629032258</v>
      </c>
      <c r="G157" s="13" t="n">
        <f aca="false">G155-G156</f>
        <v>0.868102694377567</v>
      </c>
      <c r="H157" s="13" t="n">
        <f aca="false">H155-H156</f>
        <v>0.980030282765779</v>
      </c>
      <c r="I157" s="13" t="n">
        <f aca="false">I155-I156</f>
        <v>1.07450598467117</v>
      </c>
      <c r="J157" s="13" t="n">
        <f aca="false">J155-J156</f>
        <v>1.15887478559792</v>
      </c>
      <c r="K157" s="13" t="n">
        <f aca="false">K155-K156</f>
        <v>1.14425291990609</v>
      </c>
      <c r="L157" s="13" t="n">
        <f aca="false">L155-L156</f>
        <v>0.96792012449332</v>
      </c>
      <c r="M157" s="13" t="n">
        <f aca="false">M155-M156</f>
        <v>0.568990812788093</v>
      </c>
      <c r="N157" s="13" t="n">
        <f aca="false">N155-N156</f>
        <v>0.370740286941818</v>
      </c>
      <c r="O157" s="13" t="n">
        <f aca="false">O155-O156</f>
        <v>0.316598870279902</v>
      </c>
      <c r="P157" s="13" t="n">
        <f aca="false">P155-P156</f>
        <v>0.253892878138188</v>
      </c>
      <c r="Q157" s="13" t="n">
        <f aca="false">Q155-Q156</f>
        <v>0.2720176421709</v>
      </c>
      <c r="R157" s="13" t="n">
        <f aca="false">R155-R156</f>
        <v>0.297156908799095</v>
      </c>
    </row>
    <row r="158" customFormat="false" ht="15" hidden="false" customHeight="false" outlineLevel="0" collapsed="false">
      <c r="A158" s="5" t="s">
        <v>460</v>
      </c>
      <c r="B158" s="0" t="s">
        <v>27</v>
      </c>
      <c r="C158" s="13" t="n">
        <f aca="false">q1_cs</f>
        <v>0.652</v>
      </c>
      <c r="D158" s="13" t="n">
        <f aca="false">q2_cs</f>
        <v>0.907</v>
      </c>
      <c r="E158" s="13" t="n">
        <f aca="false">q3_cs</f>
        <v>0.82</v>
      </c>
      <c r="F158" s="13" t="n">
        <f aca="false">q4_cs</f>
        <v>0.556</v>
      </c>
      <c r="G158" s="13" t="n">
        <f aca="false">G154*cssh_27</f>
        <v>0.661836897144706</v>
      </c>
      <c r="H158" s="13" t="n">
        <f aca="false">H154*cssh_27</f>
        <v>0.747169897817925</v>
      </c>
      <c r="I158" s="13" t="n">
        <f aca="false">I154*cssh_27</f>
        <v>0.819197672653323</v>
      </c>
      <c r="J158" s="13" t="n">
        <f aca="false">J154*cssh_27</f>
        <v>0.883519999703835</v>
      </c>
      <c r="K158" s="13" t="n">
        <f aca="false">K154*cssh_28</f>
        <v>0.840787792525669</v>
      </c>
      <c r="L158" s="13" t="n">
        <f aca="false">L154*cssh_28</f>
        <v>0.711219880374614</v>
      </c>
      <c r="M158" s="13" t="n">
        <f aca="false">M154*cssh_28</f>
        <v>0.418089848082495</v>
      </c>
      <c r="N158" s="13" t="n">
        <f aca="false">N154*cssh_28</f>
        <v>0.272416964847009</v>
      </c>
      <c r="O158" s="13" t="n">
        <f aca="false">O154*cssh_29</f>
        <v>0.204807843273993</v>
      </c>
      <c r="P158" s="13" t="n">
        <f aca="false">P154*cssh_29</f>
        <v>0.164243330205622</v>
      </c>
      <c r="Q158" s="13" t="n">
        <f aca="false">Q154*cssh_29</f>
        <v>0.175968242009976</v>
      </c>
      <c r="R158" s="13" t="n">
        <f aca="false">R154*cssh_29</f>
        <v>0.192230836298637</v>
      </c>
      <c r="T158" s="5" t="s">
        <v>461</v>
      </c>
    </row>
    <row r="159" customFormat="false" ht="15" hidden="false" customHeight="false" outlineLevel="0" collapsed="false">
      <c r="A159" s="5" t="s">
        <v>462</v>
      </c>
      <c r="B159" s="0" t="s">
        <v>27</v>
      </c>
      <c r="C159" s="13" t="n">
        <f aca="false">q1_ed</f>
        <v>1.387</v>
      </c>
      <c r="D159" s="13" t="n">
        <f aca="false">q2_ed</f>
        <v>1.678</v>
      </c>
      <c r="E159" s="13" t="n">
        <f aca="false">q3_ed</f>
        <v>3.663</v>
      </c>
      <c r="F159" s="13" t="n">
        <f aca="false">q4_ed</f>
        <v>5.432</v>
      </c>
      <c r="G159" s="13" t="n">
        <f aca="false">G154-G155-G158</f>
        <v>6.17714437335059</v>
      </c>
      <c r="H159" s="13" t="n">
        <f aca="false">H154-H155-H158</f>
        <v>6.9735857129673</v>
      </c>
      <c r="I159" s="13" t="n">
        <f aca="false">I154-I155-I158</f>
        <v>7.64584494476435</v>
      </c>
      <c r="J159" s="13" t="n">
        <f aca="false">J154-J155-J158</f>
        <v>8.24618666390246</v>
      </c>
      <c r="K159" s="13" t="n">
        <f aca="false">K154-K155-K158</f>
        <v>7.28682753522247</v>
      </c>
      <c r="L159" s="13" t="n">
        <f aca="false">L154-L155-L158</f>
        <v>6.16390562991332</v>
      </c>
      <c r="M159" s="13" t="n">
        <f aca="false">M154-M155-M158</f>
        <v>3.62344535004829</v>
      </c>
      <c r="N159" s="13" t="n">
        <f aca="false">N154-N155-N158</f>
        <v>2.36094702867408</v>
      </c>
      <c r="O159" s="13" t="n">
        <f aca="false">O154-O155-O158</f>
        <v>1.67259738673761</v>
      </c>
      <c r="P159" s="13" t="n">
        <f aca="false">P154-P155-P158</f>
        <v>1.34132053001258</v>
      </c>
      <c r="Q159" s="13" t="n">
        <f aca="false">Q154-Q155-Q158</f>
        <v>1.4370739764148</v>
      </c>
      <c r="R159" s="13" t="n">
        <f aca="false">R154-R155-R158</f>
        <v>1.56988516310554</v>
      </c>
      <c r="T159" s="5" t="s">
        <v>463</v>
      </c>
    </row>
    <row r="160" customFormat="false" ht="15" hidden="false" customHeight="false" outlineLevel="0" collapsed="false">
      <c r="A160" s="5" t="s">
        <v>464</v>
      </c>
      <c r="B160" s="0" t="s">
        <v>27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465</v>
      </c>
      <c r="B161" s="0" t="s">
        <v>466</v>
      </c>
      <c r="C161" s="19" t="n">
        <f aca="false">C162/C153</f>
        <v>0.0520045391183812</v>
      </c>
      <c r="D161" s="19" t="n">
        <f aca="false">D162/D153</f>
        <v>0.0443170902760084</v>
      </c>
      <c r="E161" s="19" t="n">
        <f aca="false">E162/E153</f>
        <v>0.0337594565796481</v>
      </c>
      <c r="F161" s="19" t="n">
        <f aca="false">F162/F153</f>
        <v>0.0410685412637144</v>
      </c>
      <c r="G161" s="19" t="n">
        <f aca="false">(1-g_gm)*G154/G153</f>
        <v>0.049900535931346</v>
      </c>
      <c r="H161" s="19" t="n">
        <f aca="false">$G161*(1-cd_C)^(1/4)</f>
        <v>0.0486033089457611</v>
      </c>
      <c r="I161" s="19" t="n">
        <f aca="false">$G161*(1-cd_C)^(2/4)</f>
        <v>0.0473398050018375</v>
      </c>
      <c r="J161" s="19" t="n">
        <f aca="false">$G161*(1-cd_C)^(3/4)</f>
        <v>0.0461091474268327</v>
      </c>
      <c r="K161" s="19" t="n">
        <f aca="false">$G161*(1-cd_C)^(4/4)</f>
        <v>0.0449104823382114</v>
      </c>
      <c r="L161" s="19" t="n">
        <f aca="false">$G161*(1-cd_C)^(5/4)</f>
        <v>0.043742978051185</v>
      </c>
      <c r="M161" s="19" t="n">
        <f aca="false">$G161*(1-cd_C)^(6/4)</f>
        <v>0.0426058245016537</v>
      </c>
      <c r="N161" s="19" t="n">
        <f aca="false">$G161*(1-cd_C)^(7/4)</f>
        <v>0.0414982326841494</v>
      </c>
      <c r="O161" s="19" t="n">
        <f aca="false">$G161*(1-cd_C)^(8/4)</f>
        <v>0.0404194341043903</v>
      </c>
      <c r="P161" s="19" t="n">
        <f aca="false">$G161*(1-cd_C)^(9/4)</f>
        <v>0.0393686802460665</v>
      </c>
      <c r="Q161" s="19" t="n">
        <f aca="false">$G161*(1-cd_C)^(10/4)</f>
        <v>0.0383452420514884</v>
      </c>
      <c r="R161" s="19" t="n">
        <f aca="false">$G161*(1-cd_C)^(11/4)</f>
        <v>0.0373484094157345</v>
      </c>
    </row>
    <row r="162" customFormat="false" ht="15" hidden="false" customHeight="false" outlineLevel="0" collapsed="false">
      <c r="A162" s="5" t="s">
        <v>467</v>
      </c>
      <c r="B162" s="0" t="s">
        <v>27</v>
      </c>
      <c r="C162" s="13" t="n">
        <f aca="false">q1_rev*(1-q1_gm)</f>
        <v>1.620216</v>
      </c>
      <c r="D162" s="13" t="n">
        <f aca="false">q2_rev*(1-q2_gm)</f>
        <v>1.485275</v>
      </c>
      <c r="E162" s="13" t="n">
        <f aca="false">q3_rev*(1-q3_gm)</f>
        <v>1.2852</v>
      </c>
      <c r="F162" s="13" t="n">
        <f aca="false">q4_rev*(1-q4_gm)</f>
        <v>1.38061</v>
      </c>
      <c r="G162" s="13" t="n">
        <f aca="false">G153*G161</f>
        <v>1.65128305837604</v>
      </c>
      <c r="H162" s="13" t="n">
        <f aca="false">H153*H161</f>
        <v>1.67967342074812</v>
      </c>
      <c r="I162" s="13" t="n">
        <f aca="false">I153*I161</f>
        <v>1.70830543048405</v>
      </c>
      <c r="J162" s="13" t="n">
        <f aca="false">J153*J161</f>
        <v>1.75935569873458</v>
      </c>
      <c r="K162" s="13" t="n">
        <f aca="false">K153*K161</f>
        <v>1.81193153134962</v>
      </c>
      <c r="L162" s="13" t="n">
        <f aca="false">L153*L161</f>
        <v>1.86607851764163</v>
      </c>
      <c r="M162" s="13" t="n">
        <f aca="false">M153*M161</f>
        <v>1.64377707233356</v>
      </c>
      <c r="N162" s="13" t="n">
        <f aca="false">N153*N161</f>
        <v>1.60492490666778</v>
      </c>
      <c r="O162" s="13" t="n">
        <f aca="false">O153*O161</f>
        <v>1.56699104726282</v>
      </c>
      <c r="P162" s="13" t="n">
        <f aca="false">P153*P161</f>
        <v>1.52995378911526</v>
      </c>
      <c r="Q162" s="13" t="n">
        <f aca="false">Q153*Q161</f>
        <v>1.59656091775187</v>
      </c>
      <c r="R162" s="13" t="n">
        <f aca="false">R153*R161</f>
        <v>1.61787730268835</v>
      </c>
    </row>
    <row r="163" customFormat="false" ht="15" hidden="false" customHeight="false" outlineLevel="0" collapsed="false">
      <c r="A163" s="5" t="s">
        <v>423</v>
      </c>
      <c r="B163" s="0" t="s">
        <v>33</v>
      </c>
      <c r="C163" s="14" t="n">
        <f aca="false">1-C162/C154</f>
        <v>0.298</v>
      </c>
      <c r="D163" s="14" t="n">
        <f aca="false">1-D162/D154</f>
        <v>0.509</v>
      </c>
      <c r="E163" s="14" t="n">
        <f aca="false">1-E162/E154</f>
        <v>0.784</v>
      </c>
      <c r="F163" s="14" t="n">
        <f aca="false">1-F162/F154</f>
        <v>0.846</v>
      </c>
      <c r="G163" s="14" t="n">
        <f aca="false">1-G162/G154</f>
        <v>0.8503</v>
      </c>
      <c r="H163" s="14" t="n">
        <f aca="false">1-H162/H154</f>
        <v>0.865117150009373</v>
      </c>
      <c r="I163" s="14" t="n">
        <f aca="false">1-I162/I154</f>
        <v>0.874879617886293</v>
      </c>
      <c r="J163" s="14" t="n">
        <f aca="false">1-J162/J154</f>
        <v>0.880521842222632</v>
      </c>
      <c r="K163" s="14" t="n">
        <f aca="false">1-K162/K154</f>
        <v>0.870697585232057</v>
      </c>
      <c r="L163" s="14" t="n">
        <f aca="false">1-L162/L154</f>
        <v>0.842573704492732</v>
      </c>
      <c r="M163" s="14" t="n">
        <f aca="false">1-M162/M154</f>
        <v>0.764101843677024</v>
      </c>
      <c r="N163" s="14" t="n">
        <f aca="false">1-N162/N154</f>
        <v>0.646514326102463</v>
      </c>
      <c r="O163" s="14" t="n">
        <f aca="false">1-O162/O154</f>
        <v>0.540938172421504</v>
      </c>
      <c r="P163" s="14" t="n">
        <f aca="false">1-P162/P154</f>
        <v>0.441090075122128</v>
      </c>
      <c r="Q163" s="14" t="n">
        <f aca="false">1-Q162/Q154</f>
        <v>0.45561963925467</v>
      </c>
      <c r="R163" s="14" t="n">
        <f aca="false">1-R162/R154</f>
        <v>0.495020465860662</v>
      </c>
    </row>
    <row r="164" customFormat="false" ht="17.15" hidden="false" customHeight="false" outlineLevel="0" collapsed="false">
      <c r="A164" s="5" t="s">
        <v>468</v>
      </c>
      <c r="B164" s="0" t="s">
        <v>27</v>
      </c>
      <c r="C164" s="13" t="n">
        <f aca="false">q1_rev-q1_rev*(1-q1_gm)-q1_op</f>
        <v>0.511784</v>
      </c>
      <c r="D164" s="13" t="n">
        <f aca="false">q2_rev-q2_rev*(1-q2_gm)-q2_op</f>
        <v>0.474725</v>
      </c>
      <c r="E164" s="13" t="n">
        <f aca="false">q3_rev-q3_rev*(1-q3_gm)-q3_op</f>
        <v>0.553800000000001</v>
      </c>
      <c r="F164" s="13" t="n">
        <f aca="false">q4_rev-q4_rev*(1-q4_gm)-q4_op</f>
        <v>0.54739</v>
      </c>
      <c r="G164" s="13" t="n">
        <f aca="false">(g_ox-ox_var*g_rev)*(1+ox_g)^(0/4)+ox_var*G154</f>
        <v>0.581996149524118</v>
      </c>
      <c r="H164" s="13" t="n">
        <f aca="false">(g_ox-ox_var*g_rev)*(1+ox_g)^(1/4)+ox_var*H154</f>
        <v>0.607592502307229</v>
      </c>
      <c r="I164" s="13" t="n">
        <f aca="false">(g_ox-ox_var*g_rev)*(1+ox_g)^(2/4)+ox_var*I154</f>
        <v>0.631245591035599</v>
      </c>
      <c r="J164" s="13" t="n">
        <f aca="false">(g_ox-ox_var*g_rev)*(1+ox_g)^(3/4)+ox_var*J154</f>
        <v>0.653895325799333</v>
      </c>
      <c r="K164" s="13" t="n">
        <f aca="false">(g_ox-ox_var*g_rev)*(1+ox_g)^(4/4)+ox_var*K154</f>
        <v>0.658990298754278</v>
      </c>
      <c r="L164" s="13" t="n">
        <f aca="false">(g_ox-ox_var*g_rev)*(1+ox_g)^(5/4)+ox_var*L154</f>
        <v>0.649907251333769</v>
      </c>
      <c r="M164" s="13" t="n">
        <f aca="false">(g_ox-ox_var*g_rev)*(1+ox_g)^(6/4)+ox_var*M154</f>
        <v>0.613865551499799</v>
      </c>
      <c r="N164" s="13" t="n">
        <f aca="false">(g_ox-ox_var*g_rev)*(1+ox_g)^(7/4)+ox_var*N154</f>
        <v>0.602709019241398</v>
      </c>
      <c r="O164" s="13" t="n">
        <f aca="false">(g_ox-ox_var*g_rev)*(1+ox_g)^(8/4)+ox_var*O154</f>
        <v>0.604879540545665</v>
      </c>
      <c r="P164" s="13" t="n">
        <f aca="false">(g_ox-ox_var*g_rev)*(1+ox_g)^(9/4)+ox_var*P154</f>
        <v>0.611881553432737</v>
      </c>
      <c r="Q164" s="13" t="n">
        <f aca="false">(g_ox-ox_var*g_rev)*(1+ox_g)^(10/4)+ox_var*Q154</f>
        <v>0.627930341502984</v>
      </c>
      <c r="R164" s="13" t="n">
        <f aca="false">(g_ox-ox_var*g_rev)*(1+ox_g)^(11/4)+ox_var*R154</f>
        <v>0.645075283660026</v>
      </c>
      <c r="T164" s="5" t="s">
        <v>469</v>
      </c>
    </row>
    <row r="165" customFormat="false" ht="15" hidden="false" customHeight="false" outlineLevel="0" collapsed="false">
      <c r="A165" s="5" t="s">
        <v>424</v>
      </c>
      <c r="B165" s="0" t="s">
        <v>27</v>
      </c>
      <c r="C165" s="13" t="n">
        <f aca="false">C154-C162-C164</f>
        <v>0.176</v>
      </c>
      <c r="D165" s="13" t="n">
        <f aca="false">D154-D162-D164</f>
        <v>1.065</v>
      </c>
      <c r="E165" s="13" t="n">
        <f aca="false">E154-E162-E164</f>
        <v>4.111</v>
      </c>
      <c r="F165" s="13" t="n">
        <f aca="false">F154-F162-F164</f>
        <v>7.037</v>
      </c>
      <c r="G165" s="13" t="n">
        <f aca="false">G154-G162-G164</f>
        <v>8.79733574451161</v>
      </c>
      <c r="H165" s="13" t="n">
        <f aca="false">H154-H162-H164</f>
        <v>10.1655657072434</v>
      </c>
      <c r="I165" s="13" t="n">
        <f aca="false">I154-I162-I164</f>
        <v>11.3137435227024</v>
      </c>
      <c r="J165" s="13" t="n">
        <f aca="false">J154-J162-J164</f>
        <v>12.3120823038633</v>
      </c>
      <c r="K165" s="13" t="n">
        <f aca="false">K154-K162-K164</f>
        <v>11.5422080453239</v>
      </c>
      <c r="L165" s="13" t="n">
        <f aca="false">L154-L162-L164</f>
        <v>9.33767890393484</v>
      </c>
      <c r="M165" s="13" t="n">
        <f aca="false">M154-M162-M164</f>
        <v>4.71052151087489</v>
      </c>
      <c r="N165" s="13" t="n">
        <f aca="false">N154-N162-N164</f>
        <v>2.33264882154098</v>
      </c>
      <c r="O165" s="13" t="n">
        <f aca="false">O154-O162-O164</f>
        <v>1.24159346675806</v>
      </c>
      <c r="P165" s="13" t="n">
        <f aca="false">P154-P162-P164</f>
        <v>0.595553494212371</v>
      </c>
      <c r="Q165" s="13" t="n">
        <f aca="false">Q154-Q162-Q164</f>
        <v>0.708312774244746</v>
      </c>
      <c r="R165" s="13" t="n">
        <f aca="false">R154-R162-R164</f>
        <v>0.940894685295574</v>
      </c>
    </row>
    <row r="167" customFormat="false" ht="17.15" hidden="false" customHeight="false" outlineLevel="0" collapsed="false">
      <c r="A167" s="5" t="s">
        <v>426</v>
      </c>
      <c r="B167" s="0" t="s">
        <v>27</v>
      </c>
      <c r="C167" s="13" t="n">
        <f aca="false">q1_ni</f>
        <v>0.112</v>
      </c>
      <c r="D167" s="13" t="n">
        <f aca="false">q2_ni</f>
        <v>0.803</v>
      </c>
      <c r="E167" s="13" t="n">
        <f aca="false">q3_ni</f>
        <v>3.615</v>
      </c>
      <c r="F167" s="13" t="n">
        <f aca="false">q4_ni</f>
        <v>6.903</v>
      </c>
      <c r="G167" s="13" t="n">
        <f aca="false">(G165+rf*$D188/4)*(1-tax)</f>
        <v>7.51821238283487</v>
      </c>
      <c r="H167" s="13" t="n">
        <f aca="false">(H165+rf*$D188/4)*(1-tax)</f>
        <v>8.68120785115689</v>
      </c>
      <c r="I167" s="13" t="n">
        <f aca="false">(I165+rf*$D188/4)*(1-tax)</f>
        <v>9.65715899429704</v>
      </c>
      <c r="J167" s="13" t="n">
        <f aca="false">(J165+rf*$D188/4)*(1-tax)</f>
        <v>10.5057469582838</v>
      </c>
      <c r="K167" s="13" t="n">
        <f aca="false">(K165+rf*$E188/4)*(1-tax)</f>
        <v>9.99334889583217</v>
      </c>
      <c r="L167" s="13" t="n">
        <f aca="false">(L165+rf*$E188/4)*(1-tax)</f>
        <v>8.11949912565144</v>
      </c>
      <c r="M167" s="13" t="n">
        <f aca="false">(M165+rf*$E188/4)*(1-tax)</f>
        <v>4.18641534155048</v>
      </c>
      <c r="N167" s="13" t="n">
        <f aca="false">(N165+rf*$E188/4)*(1-tax)</f>
        <v>2.16522355561666</v>
      </c>
      <c r="O167" s="13" t="n">
        <f aca="false">(O165+rf*$F188/4)*(1-tax)</f>
        <v>1.33294988689066</v>
      </c>
      <c r="P167" s="13" t="n">
        <f aca="false">(P165+rf*$F188/4)*(1-tax)</f>
        <v>0.783815910226829</v>
      </c>
      <c r="Q167" s="13" t="n">
        <f aca="false">(Q165+rf*$F188/4)*(1-tax)</f>
        <v>0.879661298254348</v>
      </c>
      <c r="R167" s="13" t="n">
        <f aca="false">(R165+rf*$F188/4)*(1-tax)</f>
        <v>1.07735592264755</v>
      </c>
      <c r="T167" s="5" t="s">
        <v>470</v>
      </c>
    </row>
    <row r="168" customFormat="false" ht="17.15" hidden="false" customHeight="false" outlineLevel="0" collapsed="false">
      <c r="A168" s="5" t="s">
        <v>471</v>
      </c>
      <c r="B168" s="0" t="s">
        <v>40</v>
      </c>
      <c r="G168" s="15" t="n">
        <f aca="false">G167/(sh0+dil)*1000</f>
        <v>49.7894859790389</v>
      </c>
      <c r="H168" s="15" t="n">
        <f aca="false">H167/(sh0+dil)*1000</f>
        <v>57.4914427228933</v>
      </c>
      <c r="I168" s="15" t="n">
        <f aca="false">I167/(sh0+dil)*1000</f>
        <v>63.9546953264705</v>
      </c>
      <c r="J168" s="15" t="n">
        <f aca="false">J167/(sh0+dil)*1000</f>
        <v>69.5744831674427</v>
      </c>
      <c r="K168" s="15" t="n">
        <f aca="false">K167/(sh0+dil)*1000</f>
        <v>66.1811185154448</v>
      </c>
      <c r="L168" s="15" t="n">
        <f aca="false">L167/(sh0+dil)*1000</f>
        <v>53.7715173884201</v>
      </c>
      <c r="M168" s="15" t="n">
        <f aca="false">M167/(sh0+dil)*1000</f>
        <v>27.7246049109303</v>
      </c>
      <c r="N168" s="15" t="n">
        <f aca="false">N167/(sh0+dil)*1000</f>
        <v>14.3392288451434</v>
      </c>
      <c r="O168" s="15" t="n">
        <f aca="false">O167/(sh0+dil)*1000</f>
        <v>8.82748269464016</v>
      </c>
      <c r="P168" s="15" t="n">
        <f aca="false">P167/(sh0+dil)*1000</f>
        <v>5.19083384256178</v>
      </c>
      <c r="Q168" s="15" t="n">
        <f aca="false">Q167/(sh0+dil)*1000</f>
        <v>5.8255715116182</v>
      </c>
      <c r="R168" s="15" t="n">
        <f aca="false">R167/(sh0+dil)*1000</f>
        <v>7.13480743475199</v>
      </c>
    </row>
    <row r="170" customFormat="false" ht="17.15" hidden="false" customHeight="false" outlineLevel="0" collapsed="false">
      <c r="A170" s="12" t="s">
        <v>472</v>
      </c>
      <c r="B170" s="6" t="s">
        <v>17</v>
      </c>
      <c r="C170" s="12" t="s">
        <v>413</v>
      </c>
      <c r="D170" s="12" t="s">
        <v>414</v>
      </c>
      <c r="E170" s="12" t="s">
        <v>415</v>
      </c>
      <c r="F170" s="12" t="s">
        <v>416</v>
      </c>
      <c r="G170" s="12" t="s">
        <v>417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321</v>
      </c>
    </row>
    <row r="171" customFormat="false" ht="15" hidden="false" customHeight="false" outlineLevel="0" collapsed="false">
      <c r="A171" s="5" t="s">
        <v>344</v>
      </c>
      <c r="B171" s="0" t="s">
        <v>27</v>
      </c>
      <c r="C171" s="13" t="n">
        <f aca="false">a25_rev</f>
        <v>7.355</v>
      </c>
      <c r="D171" s="13" t="n">
        <f aca="false">SUM(C154:F154)</f>
        <v>20.248</v>
      </c>
      <c r="E171" s="13" t="n">
        <f aca="false">SUM(G154:J154)</f>
        <v>51.8620744553298</v>
      </c>
      <c r="F171" s="13" t="n">
        <f aca="false">SUM(K154:N154)</f>
        <v>37.3752414304965</v>
      </c>
      <c r="G171" s="13" t="n">
        <f aca="false">SUM(O154:R154)</f>
        <v>12.2875041964705</v>
      </c>
    </row>
    <row r="172" customFormat="false" ht="15" hidden="false" customHeight="false" outlineLevel="0" collapsed="false">
      <c r="A172" s="5" t="s">
        <v>473</v>
      </c>
      <c r="B172" s="0" t="s">
        <v>27</v>
      </c>
      <c r="D172" s="13" t="n">
        <f aca="false">SUM(C155:F155)</f>
        <v>5.153</v>
      </c>
      <c r="E172" s="13" t="n">
        <f aca="false">SUM(G155:J155)</f>
        <v>19.7075882930253</v>
      </c>
      <c r="F172" s="13" t="n">
        <f aca="false">SUM(K155:N155)</f>
        <v>15.6976014008085</v>
      </c>
      <c r="G172" s="13" t="n">
        <f aca="false">SUM(O155:R155)</f>
        <v>5.52937688841171</v>
      </c>
    </row>
    <row r="173" customFormat="false" ht="17.15" hidden="false" customHeight="false" outlineLevel="0" collapsed="false">
      <c r="A173" s="5" t="s">
        <v>474</v>
      </c>
      <c r="B173" s="0" t="s">
        <v>27</v>
      </c>
      <c r="D173" s="13" t="n">
        <f aca="false">SUM(C156:F156)</f>
        <v>3.36063827543424</v>
      </c>
      <c r="E173" s="13" t="n">
        <f aca="false">SUM(G156:J156)</f>
        <v>15.6260745456129</v>
      </c>
      <c r="F173" s="13" t="n">
        <f aca="false">SUM(K156:N156)</f>
        <v>12.6456972566792</v>
      </c>
      <c r="G173" s="13" t="n">
        <f aca="false">SUM(O156:R156)</f>
        <v>4.38971058902362</v>
      </c>
    </row>
    <row r="174" customFormat="false" ht="15" hidden="false" customHeight="false" outlineLevel="0" collapsed="false">
      <c r="A174" s="5" t="s">
        <v>475</v>
      </c>
      <c r="B174" s="0" t="s">
        <v>27</v>
      </c>
      <c r="D174" s="13" t="n">
        <f aca="false">SUM(C159:F159)</f>
        <v>12.16</v>
      </c>
      <c r="E174" s="13" t="n">
        <f aca="false">SUM(G159:J159)</f>
        <v>29.0427616949847</v>
      </c>
      <c r="F174" s="13" t="n">
        <f aca="false">SUM(K159:N159)</f>
        <v>19.4351255438582</v>
      </c>
      <c r="G174" s="13" t="n">
        <f aca="false">SUM(O159:R159)</f>
        <v>6.02087705627053</v>
      </c>
    </row>
    <row r="175" customFormat="false" ht="15" hidden="false" customHeight="false" outlineLevel="0" collapsed="false">
      <c r="A175" s="5" t="s">
        <v>476</v>
      </c>
      <c r="B175" s="0" t="s">
        <v>27</v>
      </c>
      <c r="D175" s="13" t="n">
        <f aca="false">SUM(C158:F158)</f>
        <v>2.935</v>
      </c>
      <c r="E175" s="13" t="n">
        <f aca="false">SUM(G158:J158)</f>
        <v>3.11172446731979</v>
      </c>
      <c r="F175" s="13" t="n">
        <f aca="false">SUM(K158:N158)</f>
        <v>2.24251448582979</v>
      </c>
      <c r="G175" s="13" t="n">
        <f aca="false">SUM(O158:R158)</f>
        <v>0.737250251788228</v>
      </c>
    </row>
    <row r="176" customFormat="false" ht="17.15" hidden="false" customHeight="false" outlineLevel="0" collapsed="false">
      <c r="A176" s="5" t="s">
        <v>477</v>
      </c>
      <c r="B176" s="0" t="s">
        <v>27</v>
      </c>
      <c r="D176" s="18" t="n">
        <f aca="false">D172+D174+D175-D171+ABS(D172-a26_dc)+ABS(D174-a26_ed)+ABS(D175-a26_cs)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467</v>
      </c>
      <c r="B177" s="0" t="s">
        <v>27</v>
      </c>
      <c r="D177" s="13" t="n">
        <f aca="false">SUM(C162:F162)</f>
        <v>5.771301</v>
      </c>
      <c r="E177" s="13" t="n">
        <f aca="false">SUM(G162:J162)</f>
        <v>6.79861760834279</v>
      </c>
      <c r="F177" s="13" t="n">
        <f aca="false">SUM(K162:N162)</f>
        <v>6.92671202799258</v>
      </c>
      <c r="G177" s="13" t="n">
        <f aca="false">SUM(O162:R162)</f>
        <v>6.3113830568183</v>
      </c>
    </row>
    <row r="178" customFormat="false" ht="15" hidden="false" customHeight="false" outlineLevel="0" collapsed="false">
      <c r="A178" s="5" t="s">
        <v>423</v>
      </c>
      <c r="B178" s="0" t="s">
        <v>33</v>
      </c>
      <c r="D178" s="14" t="n">
        <f aca="false">1-D177/D171</f>
        <v>0.714969330304228</v>
      </c>
      <c r="E178" s="14" t="n">
        <f aca="false">1-E177/E171</f>
        <v>0.868909647758139</v>
      </c>
      <c r="F178" s="14" t="n">
        <f aca="false">1-F177/F171</f>
        <v>0.814671109459625</v>
      </c>
      <c r="G178" s="14" t="n">
        <f aca="false">1-G177/G171</f>
        <v>0.486357607216019</v>
      </c>
    </row>
    <row r="179" customFormat="false" ht="15" hidden="false" customHeight="false" outlineLevel="0" collapsed="false">
      <c r="A179" s="5" t="s">
        <v>468</v>
      </c>
      <c r="B179" s="0" t="s">
        <v>27</v>
      </c>
      <c r="D179" s="13" t="n">
        <f aca="false">SUM(C164:F164)</f>
        <v>2.087699</v>
      </c>
      <c r="E179" s="13" t="n">
        <f aca="false">SUM(G164:J164)</f>
        <v>2.47472956866628</v>
      </c>
      <c r="F179" s="13" t="n">
        <f aca="false">SUM(K164:N164)</f>
        <v>2.52547212082924</v>
      </c>
      <c r="G179" s="13" t="n">
        <f aca="false">SUM(O164:R164)</f>
        <v>2.48976671914141</v>
      </c>
    </row>
    <row r="180" customFormat="false" ht="15" hidden="false" customHeight="false" outlineLevel="0" collapsed="false">
      <c r="A180" s="5" t="s">
        <v>424</v>
      </c>
      <c r="B180" s="0" t="s">
        <v>27</v>
      </c>
      <c r="D180" s="13" t="n">
        <f aca="false">SUM(C165:F165)</f>
        <v>12.389</v>
      </c>
      <c r="E180" s="13" t="n">
        <f aca="false">SUM(G165:J165)</f>
        <v>42.5887272783208</v>
      </c>
      <c r="F180" s="13" t="n">
        <f aca="false">SUM(K165:N165)</f>
        <v>27.9230572816746</v>
      </c>
      <c r="G180" s="13" t="n">
        <f aca="false">SUM(O165:R165)</f>
        <v>3.48635442051075</v>
      </c>
    </row>
    <row r="181" customFormat="false" ht="15" hidden="false" customHeight="false" outlineLevel="0" collapsed="false">
      <c r="A181" s="5" t="s">
        <v>425</v>
      </c>
      <c r="B181" s="0" t="s">
        <v>33</v>
      </c>
      <c r="D181" s="14" t="n">
        <f aca="false">D180/D171</f>
        <v>0.61186290003951</v>
      </c>
      <c r="E181" s="14" t="n">
        <f aca="false">E180/E171</f>
        <v>0.821192127881494</v>
      </c>
      <c r="F181" s="14" t="n">
        <f aca="false">F180/F171</f>
        <v>0.747100385521275</v>
      </c>
      <c r="G181" s="14" t="n">
        <f aca="false">G180/G171</f>
        <v>0.283731697240209</v>
      </c>
    </row>
    <row r="182" customFormat="false" ht="15" hidden="false" customHeight="false" outlineLevel="0" collapsed="false">
      <c r="A182" s="5" t="s">
        <v>426</v>
      </c>
      <c r="B182" s="0" t="s">
        <v>27</v>
      </c>
      <c r="C182" s="13" t="n">
        <f aca="false">a25_ni</f>
        <v>-1.641</v>
      </c>
      <c r="D182" s="13" t="n">
        <f aca="false">SUM(C167:F167)</f>
        <v>11.433</v>
      </c>
      <c r="E182" s="13" t="n">
        <f aca="false">SUM(G167:J167)</f>
        <v>36.3623261865726</v>
      </c>
      <c r="F182" s="13" t="n">
        <f aca="false">SUM(K167:N167)</f>
        <v>24.4644869186507</v>
      </c>
      <c r="G182" s="13" t="n">
        <f aca="false">SUM(O167:R167)</f>
        <v>4.07378301801939</v>
      </c>
    </row>
    <row r="183" customFormat="false" ht="15" hidden="false" customHeight="false" outlineLevel="0" collapsed="false">
      <c r="A183" s="5" t="s">
        <v>478</v>
      </c>
      <c r="B183" s="0" t="s">
        <v>27</v>
      </c>
      <c r="D183" s="13" t="n">
        <f aca="false">da_y</f>
        <v>0.16</v>
      </c>
      <c r="E183" s="13" t="n">
        <f aca="false">da_y</f>
        <v>0.16</v>
      </c>
      <c r="F183" s="13" t="n">
        <f aca="false">da_y</f>
        <v>0.16</v>
      </c>
      <c r="G183" s="13" t="n">
        <f aca="false">da_y</f>
        <v>0.16</v>
      </c>
    </row>
    <row r="184" customFormat="false" ht="17.15" hidden="false" customHeight="false" outlineLevel="0" collapsed="false">
      <c r="A184" s="5" t="s">
        <v>479</v>
      </c>
      <c r="B184" s="0" t="s">
        <v>27</v>
      </c>
      <c r="D184" s="13" t="n">
        <v>0.562</v>
      </c>
      <c r="E184" s="13" t="n">
        <f aca="false">cap_r*E171</f>
        <v>3.11172446731979</v>
      </c>
      <c r="F184" s="13" t="n">
        <f aca="false">cap_r*F171</f>
        <v>2.24251448582979</v>
      </c>
      <c r="G184" s="13" t="n">
        <f aca="false">cap_r*G171</f>
        <v>0.737250251788228</v>
      </c>
      <c r="T184" s="8" t="s">
        <v>480</v>
      </c>
    </row>
    <row r="185" customFormat="false" ht="15" hidden="false" customHeight="false" outlineLevel="0" collapsed="false">
      <c r="A185" s="5" t="s">
        <v>481</v>
      </c>
      <c r="B185" s="0" t="s">
        <v>27</v>
      </c>
      <c r="D185" s="13" t="n">
        <f aca="false">D182+D183-D184</f>
        <v>11.031</v>
      </c>
      <c r="E185" s="13" t="n">
        <f aca="false">E182+E183-E184</f>
        <v>33.4106017192529</v>
      </c>
      <c r="F185" s="13" t="n">
        <f aca="false">F182+F183-F184</f>
        <v>22.381972432821</v>
      </c>
      <c r="G185" s="13" t="n">
        <f aca="false">G182+G183-G184</f>
        <v>3.49653276623116</v>
      </c>
    </row>
    <row r="186" customFormat="false" ht="17.15" hidden="false" customHeight="false" outlineLevel="0" collapsed="false">
      <c r="A186" s="5" t="s">
        <v>482</v>
      </c>
      <c r="B186" s="0" t="s">
        <v>27</v>
      </c>
      <c r="D186" s="13" t="n">
        <v>4.524</v>
      </c>
      <c r="E186" s="13" t="n">
        <f aca="false">MAX(0,payout*E185)</f>
        <v>16.7053008596264</v>
      </c>
      <c r="F186" s="13" t="n">
        <f aca="false">MAX(0,payout*F185)</f>
        <v>11.1909862164105</v>
      </c>
      <c r="G186" s="13" t="n">
        <f aca="false">MAX(0,payout*G185)</f>
        <v>1.74826638311558</v>
      </c>
      <c r="T186" s="8" t="s">
        <v>483</v>
      </c>
    </row>
    <row r="187" customFormat="false" ht="15" hidden="false" customHeight="false" outlineLevel="0" collapsed="false">
      <c r="A187" s="5" t="s">
        <v>484</v>
      </c>
      <c r="B187" s="0" t="s">
        <v>27</v>
      </c>
      <c r="D187" s="13" t="n">
        <f aca="false">eq0</f>
        <v>15.736</v>
      </c>
      <c r="E187" s="13" t="n">
        <f aca="false">D187+E182-E186</f>
        <v>35.3930253269462</v>
      </c>
      <c r="F187" s="13" t="n">
        <f aca="false">E187+F182-F186</f>
        <v>48.6665260291865</v>
      </c>
      <c r="G187" s="13" t="n">
        <f aca="false">F187+G182-G186</f>
        <v>50.9920426640903</v>
      </c>
    </row>
    <row r="188" customFormat="false" ht="15" hidden="false" customHeight="false" outlineLevel="0" collapsed="false">
      <c r="A188" s="5" t="s">
        <v>485</v>
      </c>
      <c r="B188" s="0" t="s">
        <v>27</v>
      </c>
      <c r="D188" s="13" t="n">
        <f aca="false">nc0</f>
        <v>4.762</v>
      </c>
      <c r="E188" s="13" t="n">
        <f aca="false">D188+E185-E186</f>
        <v>21.4673008596264</v>
      </c>
      <c r="F188" s="13" t="n">
        <f aca="false">E188+F185-F186</f>
        <v>32.6582870760369</v>
      </c>
      <c r="G188" s="13" t="n">
        <f aca="false">F188+G185-G186</f>
        <v>34.4065534591525</v>
      </c>
    </row>
    <row r="189" customFormat="false" ht="15" hidden="false" customHeight="false" outlineLevel="0" collapsed="false">
      <c r="A189" s="5" t="s">
        <v>486</v>
      </c>
      <c r="B189" s="5" t="s">
        <v>152</v>
      </c>
      <c r="D189" s="20" t="n">
        <f aca="false">sh0</f>
        <v>146.42</v>
      </c>
      <c r="E189" s="20" t="n">
        <f aca="false">D189-E186/bb_px*1000</f>
        <v>132.926545996764</v>
      </c>
      <c r="F189" s="20" t="n">
        <f aca="false">E189-F186/bb_px*1000</f>
        <v>123.887196210078</v>
      </c>
      <c r="G189" s="20" t="n">
        <f aca="false">F189-G186/bb_px*1000</f>
        <v>122.475060491949</v>
      </c>
    </row>
    <row r="190" customFormat="false" ht="17.15" hidden="false" customHeight="false" outlineLevel="0" collapsed="false">
      <c r="A190" s="0" t="s">
        <v>487</v>
      </c>
      <c r="B190" s="0" t="s">
        <v>40</v>
      </c>
      <c r="C190" s="15" t="n">
        <f aca="false">a25_eps</f>
        <v>-11.32</v>
      </c>
      <c r="D190" s="15" t="n">
        <f aca="false">a26_eps</f>
        <v>73.76</v>
      </c>
      <c r="E190" s="15" t="n">
        <f aca="false">E182/(E189+dil)*1000</f>
        <v>264.440692062969</v>
      </c>
      <c r="F190" s="15" t="n">
        <f aca="false">F182/(F189+dil)*1000</f>
        <v>190.433726588418</v>
      </c>
      <c r="G190" s="15" t="n">
        <f aca="false">G182/(G189+dil)*1000</f>
        <v>32.0631307580034</v>
      </c>
    </row>
    <row r="191" customFormat="false" ht="17.15" hidden="false" customHeight="false" outlineLevel="0" collapsed="false">
      <c r="A191" s="5" t="s">
        <v>488</v>
      </c>
      <c r="B191" s="0" t="s">
        <v>40</v>
      </c>
      <c r="D191" s="15" t="n">
        <f aca="false">D187/D189*1000</f>
        <v>107.471656877476</v>
      </c>
      <c r="E191" s="15" t="n">
        <f aca="false">E187/E189*1000</f>
        <v>266.260023997072</v>
      </c>
      <c r="F191" s="15" t="n">
        <f aca="false">F187/F189*1000</f>
        <v>392.829344096719</v>
      </c>
      <c r="G191" s="15" t="n">
        <f aca="false">G187/G189*1000</f>
        <v>416.3463358113</v>
      </c>
    </row>
    <row r="192" customFormat="false" ht="17.15" hidden="false" customHeight="false" outlineLevel="0" collapsed="false">
      <c r="A192" s="0" t="s">
        <v>489</v>
      </c>
      <c r="B192" s="0" t="s">
        <v>33</v>
      </c>
      <c r="D192" s="21" t="n">
        <f aca="false">D182/D187</f>
        <v>0.72655058464667</v>
      </c>
      <c r="E192" s="21" t="n">
        <f aca="false">E182/E187</f>
        <v>1.02738677608575</v>
      </c>
      <c r="F192" s="21" t="n">
        <f aca="false">F182/F187</f>
        <v>0.502696389382279</v>
      </c>
      <c r="G192" s="21" t="n">
        <f aca="false">G182/G187</f>
        <v>0.0798905634131076</v>
      </c>
    </row>
    <row r="193" customFormat="false" ht="15" hidden="false" customHeight="false" outlineLevel="0" collapsed="false">
      <c r="A193" s="5" t="s">
        <v>490</v>
      </c>
      <c r="B193" s="0" t="s">
        <v>40</v>
      </c>
      <c r="E193" s="15" t="n">
        <f aca="false">E185/(E189+dil)*1000</f>
        <v>242.974626968226</v>
      </c>
      <c r="F193" s="15" t="n">
        <f aca="false">F185/(F189+dil)*1000</f>
        <v>174.223249927713</v>
      </c>
      <c r="G193" s="15" t="n">
        <f aca="false">G185/(G189+dil)*1000</f>
        <v>27.5198229231706</v>
      </c>
    </row>
    <row r="194" customFormat="false" ht="17.15" hidden="false" customHeight="false" outlineLevel="0" collapsed="false">
      <c r="A194" s="5" t="s">
        <v>491</v>
      </c>
      <c r="B194" s="0" t="s">
        <v>27</v>
      </c>
      <c r="D194" s="18" t="n">
        <f aca="false">ABS(D171-a26_rev)+ABS(D182-a26_ni)</f>
        <v>0</v>
      </c>
    </row>
    <row r="197" customFormat="false" ht="17.15" hidden="false" customHeight="false" outlineLevel="0" collapsed="false">
      <c r="A197" s="3" t="s">
        <v>494</v>
      </c>
    </row>
    <row r="198" customFormat="false" ht="17.15" hidden="false" customHeight="false" outlineLevel="0" collapsed="false">
      <c r="A198" s="5" t="s">
        <v>495</v>
      </c>
    </row>
    <row r="199" customFormat="false" ht="17.15" hidden="false" customHeight="false" outlineLevel="0" collapsed="false">
      <c r="A199" s="6" t="s">
        <v>496</v>
      </c>
      <c r="B199" s="6" t="s">
        <v>17</v>
      </c>
      <c r="C199" s="12" t="s">
        <v>414</v>
      </c>
      <c r="D199" s="12" t="s">
        <v>415</v>
      </c>
      <c r="E199" s="12" t="s">
        <v>416</v>
      </c>
      <c r="F199" s="12" t="s">
        <v>417</v>
      </c>
      <c r="G199" s="12" t="s">
        <v>497</v>
      </c>
      <c r="H199" s="12" t="s">
        <v>498</v>
      </c>
      <c r="I199" s="12" t="s">
        <v>499</v>
      </c>
      <c r="J199" s="6" t="s">
        <v>321</v>
      </c>
    </row>
    <row r="200" customFormat="false" ht="17.15" hidden="false" customHeight="false" outlineLevel="0" collapsed="false">
      <c r="A200" s="3" t="s">
        <v>418</v>
      </c>
    </row>
    <row r="201" customFormat="false" ht="17.15" hidden="false" customHeight="false" outlineLevel="0" collapsed="false">
      <c r="A201" s="5" t="s">
        <v>344</v>
      </c>
      <c r="B201" s="0" t="s">
        <v>27</v>
      </c>
      <c r="C201" s="15" t="n">
        <f aca="false">D5</f>
        <v>20.248</v>
      </c>
      <c r="D201" s="15" t="n">
        <f aca="false">E5</f>
        <v>51.7136584082017</v>
      </c>
      <c r="E201" s="15" t="n">
        <f aca="false">F5</f>
        <v>57.7623149225535</v>
      </c>
      <c r="F201" s="15" t="n">
        <f aca="false">G5</f>
        <v>58.8959147974292</v>
      </c>
      <c r="G201" s="22" t="n">
        <f aca="false">F201*(1+G202)</f>
        <v>60.8443977973094</v>
      </c>
      <c r="H201" s="22" t="n">
        <f aca="false">G201*(1+H202)</f>
        <v>63.6762025498764</v>
      </c>
      <c r="I201" s="22" t="n">
        <f aca="false">H201*(1+I202)</f>
        <v>67.496774702869</v>
      </c>
      <c r="J201" s="8" t="s">
        <v>500</v>
      </c>
    </row>
    <row r="202" customFormat="false" ht="15" hidden="false" customHeight="false" outlineLevel="0" collapsed="false">
      <c r="A202" s="5" t="s">
        <v>501</v>
      </c>
      <c r="B202" s="0" t="s">
        <v>33</v>
      </c>
      <c r="D202" s="14" t="n">
        <f aca="false">D201/C201-1</f>
        <v>1.55401315726006</v>
      </c>
      <c r="E202" s="14" t="n">
        <f aca="false">E201/D201-1</f>
        <v>0.116964390076734</v>
      </c>
      <c r="F202" s="14" t="n">
        <f aca="false">F201/E201-1</f>
        <v>0.0196252500682423</v>
      </c>
      <c r="G202" s="23" t="n">
        <f aca="false">$F202+(fade_gA-$F202)*1/3</f>
        <v>0.0330835000454949</v>
      </c>
      <c r="H202" s="23" t="n">
        <f aca="false">$F202+(fade_gA-$F202)*2/3</f>
        <v>0.0465417500227475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502</v>
      </c>
      <c r="B203" s="0" t="s">
        <v>33</v>
      </c>
      <c r="C203" s="14" t="n">
        <f aca="false">C204/C201</f>
        <v>0.564648360331885</v>
      </c>
      <c r="D203" s="14" t="n">
        <f aca="false">D204/D201</f>
        <v>0.701287076592411</v>
      </c>
      <c r="E203" s="14" t="n">
        <f aca="false">E204/E201</f>
        <v>0.715143004847783</v>
      </c>
      <c r="F203" s="14" t="n">
        <f aca="false">F204/F201</f>
        <v>0.718564402716942</v>
      </c>
      <c r="G203" s="23" t="n">
        <f aca="false">$F203+(fade_mA-$F203)*1/3</f>
        <v>0.537694389618846</v>
      </c>
      <c r="H203" s="23" t="n">
        <f aca="false">$F203+(fade_mA-$F203)*2/3</f>
        <v>0.35682437652075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503</v>
      </c>
      <c r="B204" s="0" t="s">
        <v>27</v>
      </c>
      <c r="C204" s="15" t="n">
        <f aca="false">D13</f>
        <v>11.433</v>
      </c>
      <c r="D204" s="15" t="n">
        <f aca="false">E13</f>
        <v>36.2661203249863</v>
      </c>
      <c r="E204" s="15" t="n">
        <f aca="false">F13</f>
        <v>41.3083154606789</v>
      </c>
      <c r="F204" s="15" t="n">
        <f aca="false">G13</f>
        <v>42.3205078388826</v>
      </c>
      <c r="G204" s="22" t="n">
        <f aca="false">G201*G203</f>
        <v>32.7156913353505</v>
      </c>
      <c r="H204" s="22" t="n">
        <f aca="false">H201*H203</f>
        <v>22.7212212740686</v>
      </c>
      <c r="I204" s="22" t="n">
        <f aca="false">I201*I203</f>
        <v>11.8763520259256</v>
      </c>
    </row>
    <row r="205" customFormat="false" ht="17.15" hidden="false" customHeight="false" outlineLevel="0" collapsed="false">
      <c r="A205" s="0" t="s">
        <v>504</v>
      </c>
      <c r="B205" s="0" t="s">
        <v>40</v>
      </c>
      <c r="C205" s="15" t="n">
        <f aca="false">D14</f>
        <v>73.76</v>
      </c>
      <c r="D205" s="15" t="n">
        <f aca="false">E14</f>
        <v>263.673437993239</v>
      </c>
      <c r="E205" s="15" t="n">
        <f aca="false">F14</f>
        <v>338.055737379477</v>
      </c>
      <c r="F205" s="15" t="n">
        <f aca="false">G14</f>
        <v>397.508253967565</v>
      </c>
      <c r="G205" s="22" t="n">
        <f aca="false">$F205*G204/$F204</f>
        <v>307.292090859758</v>
      </c>
      <c r="H205" s="22" t="n">
        <f aca="false">$F205*H204/$F204</f>
        <v>213.415988084329</v>
      </c>
      <c r="I205" s="22" t="n">
        <f aca="false">$F205*I204/$F204</f>
        <v>111.552252050066</v>
      </c>
    </row>
    <row r="207" customFormat="false" ht="17.15" hidden="false" customHeight="false" outlineLevel="0" collapsed="false">
      <c r="A207" s="3" t="s">
        <v>430</v>
      </c>
    </row>
    <row r="208" customFormat="false" ht="17.15" hidden="false" customHeight="false" outlineLevel="0" collapsed="false">
      <c r="A208" s="5" t="s">
        <v>344</v>
      </c>
      <c r="B208" s="0" t="s">
        <v>27</v>
      </c>
      <c r="C208" s="15" t="n">
        <f aca="false">D19</f>
        <v>20.248</v>
      </c>
      <c r="D208" s="15" t="n">
        <f aca="false">E19</f>
        <v>52.2098505415492</v>
      </c>
      <c r="E208" s="15" t="n">
        <f aca="false">F19</f>
        <v>40.9965505030281</v>
      </c>
      <c r="F208" s="15" t="n">
        <f aca="false">G19</f>
        <v>22.1328005993937</v>
      </c>
      <c r="G208" s="22" t="n">
        <f aca="false">F208*(1+G209)</f>
        <v>15.6385916846941</v>
      </c>
      <c r="H208" s="22" t="n">
        <f aca="false">G208*(1+H209)</f>
        <v>13.6570248269061</v>
      </c>
      <c r="I208" s="22" t="n">
        <f aca="false">H208*(1+I209)</f>
        <v>14.2033058199823</v>
      </c>
      <c r="J208" s="8" t="s">
        <v>500</v>
      </c>
    </row>
    <row r="209" customFormat="false" ht="15" hidden="false" customHeight="false" outlineLevel="0" collapsed="false">
      <c r="A209" s="5" t="s">
        <v>501</v>
      </c>
      <c r="B209" s="0" t="s">
        <v>33</v>
      </c>
      <c r="D209" s="14" t="n">
        <f aca="false">D208/C208-1</f>
        <v>1.57851889280666</v>
      </c>
      <c r="E209" s="14" t="n">
        <f aca="false">E208/D208-1</f>
        <v>-0.214773647543723</v>
      </c>
      <c r="F209" s="14" t="n">
        <f aca="false">F208/E208-1</f>
        <v>-0.46013017368964</v>
      </c>
      <c r="G209" s="23" t="n">
        <f aca="false">$F209+(fade_gB-$F209)*1/3</f>
        <v>-0.293420115793094</v>
      </c>
      <c r="H209" s="23" t="n">
        <f aca="false">$F209+(fade_gB-$F209)*2/3</f>
        <v>-0.126710057896547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502</v>
      </c>
      <c r="B210" s="0" t="s">
        <v>33</v>
      </c>
      <c r="C210" s="14" t="n">
        <f aca="false">C211/C208</f>
        <v>0.564648360331885</v>
      </c>
      <c r="D210" s="14" t="n">
        <f aca="false">D211/D208</f>
        <v>0.702330703039655</v>
      </c>
      <c r="E210" s="14" t="n">
        <f aca="false">E211/E208</f>
        <v>0.6662174643782</v>
      </c>
      <c r="F210" s="14" t="n">
        <f aca="false">F211/F208</f>
        <v>0.523858700001563</v>
      </c>
      <c r="G210" s="23" t="n">
        <f aca="false">$F210+(fade_mB-$F210)*1/3</f>
        <v>0.398115345396224</v>
      </c>
      <c r="H210" s="23" t="n">
        <f aca="false">$F210+(fade_mB-$F210)*2/3</f>
        <v>0.272371990790884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503</v>
      </c>
      <c r="B211" s="0" t="s">
        <v>27</v>
      </c>
      <c r="C211" s="15" t="n">
        <f aca="false">D27</f>
        <v>11.433</v>
      </c>
      <c r="D211" s="15" t="n">
        <f aca="false">E27</f>
        <v>36.6685810364416</v>
      </c>
      <c r="E211" s="15" t="n">
        <f aca="false">F27</f>
        <v>27.3126179243802</v>
      </c>
      <c r="F211" s="15" t="n">
        <f aca="false">G27</f>
        <v>11.5944601493922</v>
      </c>
      <c r="G211" s="22" t="n">
        <f aca="false">G208*G210</f>
        <v>6.22596333006251</v>
      </c>
      <c r="H211" s="22" t="n">
        <f aca="false">H208*H210</f>
        <v>3.71979104038494</v>
      </c>
      <c r="I211" s="22" t="n">
        <f aca="false">I208*I210</f>
        <v>2.08261136171022</v>
      </c>
    </row>
    <row r="212" customFormat="false" ht="17.15" hidden="false" customHeight="false" outlineLevel="0" collapsed="false">
      <c r="A212" s="0" t="s">
        <v>504</v>
      </c>
      <c r="B212" s="0" t="s">
        <v>40</v>
      </c>
      <c r="C212" s="15" t="n">
        <f aca="false">D28</f>
        <v>73.76</v>
      </c>
      <c r="D212" s="15" t="n">
        <f aca="false">E28</f>
        <v>266.891604607242</v>
      </c>
      <c r="E212" s="15" t="n">
        <f aca="false">F28</f>
        <v>214.570995716972</v>
      </c>
      <c r="F212" s="15" t="n">
        <f aca="false">G28</f>
        <v>94.203781023555</v>
      </c>
      <c r="G212" s="22" t="n">
        <f aca="false">$F212*G211/$F211</f>
        <v>50.5853035543564</v>
      </c>
      <c r="H212" s="22" t="n">
        <f aca="false">$F212*H211/$F211</f>
        <v>30.2229147460716</v>
      </c>
      <c r="I212" s="22" t="n">
        <f aca="false">$F212*I211/$F211</f>
        <v>16.9210003870687</v>
      </c>
    </row>
    <row r="214" customFormat="false" ht="17.15" hidden="false" customHeight="false" outlineLevel="0" collapsed="false">
      <c r="A214" s="3" t="s">
        <v>431</v>
      </c>
    </row>
    <row r="215" customFormat="false" ht="17.15" hidden="false" customHeight="false" outlineLevel="0" collapsed="false">
      <c r="A215" s="5" t="s">
        <v>344</v>
      </c>
      <c r="B215" s="0" t="s">
        <v>27</v>
      </c>
      <c r="C215" s="15" t="n">
        <f aca="false">D33</f>
        <v>20.248</v>
      </c>
      <c r="D215" s="15" t="n">
        <f aca="false">E33</f>
        <v>51.8620744553298</v>
      </c>
      <c r="E215" s="15" t="n">
        <f aca="false">F33</f>
        <v>37.3752414304965</v>
      </c>
      <c r="F215" s="15" t="n">
        <f aca="false">G33</f>
        <v>12.2875041964705</v>
      </c>
      <c r="G215" s="22" t="n">
        <f aca="false">F215*(1+G216)</f>
        <v>6.87084902473876</v>
      </c>
      <c r="H215" s="22" t="n">
        <f aca="false">G215*(1+H216)</f>
        <v>5.42513199337659</v>
      </c>
      <c r="I215" s="22" t="n">
        <f aca="false">H215*(1+I216)</f>
        <v>5.53363463324412</v>
      </c>
      <c r="J215" s="8" t="s">
        <v>500</v>
      </c>
    </row>
    <row r="216" customFormat="false" ht="15" hidden="false" customHeight="false" outlineLevel="0" collapsed="false">
      <c r="A216" s="5" t="s">
        <v>501</v>
      </c>
      <c r="B216" s="0" t="s">
        <v>33</v>
      </c>
      <c r="D216" s="14" t="n">
        <f aca="false">D215/C215-1</f>
        <v>1.56134306871443</v>
      </c>
      <c r="E216" s="14" t="n">
        <f aca="false">E215/D215-1</f>
        <v>-0.279333851894244</v>
      </c>
      <c r="F216" s="14" t="n">
        <f aca="false">F215/E215-1</f>
        <v>-0.671239469601274</v>
      </c>
      <c r="G216" s="23" t="n">
        <f aca="false">$F216+(fade_gC-$F216)*1/3</f>
        <v>-0.440826313067516</v>
      </c>
      <c r="H216" s="23" t="n">
        <f aca="false">$F216+(fade_gC-$F216)*2/3</f>
        <v>-0.210413156533758</v>
      </c>
      <c r="I216" s="23" t="n">
        <f aca="false">$F216+(fade_gC-$F216)*3/3</f>
        <v>0.02</v>
      </c>
    </row>
    <row r="217" customFormat="false" ht="17.15" hidden="false" customHeight="false" outlineLevel="0" collapsed="false">
      <c r="A217" s="5" t="s">
        <v>502</v>
      </c>
      <c r="B217" s="0" t="s">
        <v>33</v>
      </c>
      <c r="C217" s="14" t="n">
        <f aca="false">C218/C215</f>
        <v>0.564648360331885</v>
      </c>
      <c r="D217" s="14" t="n">
        <f aca="false">D218/D215</f>
        <v>0.7011352046454</v>
      </c>
      <c r="E217" s="14" t="n">
        <f aca="false">E218/E215</f>
        <v>0.654563983597143</v>
      </c>
      <c r="F217" s="14" t="n">
        <f aca="false">F218/F215</f>
        <v>0.331538687831299</v>
      </c>
      <c r="G217" s="23" t="n">
        <f aca="false">$F217+(fade_mC-$F217)*1/3</f>
        <v>0.260126761537011</v>
      </c>
      <c r="H217" s="23" t="n">
        <f aca="false">$F217+(fade_mC-$F217)*2/3</f>
        <v>0.188714835242724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503</v>
      </c>
      <c r="B218" s="0" t="s">
        <v>27</v>
      </c>
      <c r="C218" s="15" t="n">
        <f aca="false">D41</f>
        <v>11.433</v>
      </c>
      <c r="D218" s="15" t="n">
        <f aca="false">E41</f>
        <v>36.3623261865726</v>
      </c>
      <c r="E218" s="15" t="n">
        <f aca="false">F41</f>
        <v>24.4644869186507</v>
      </c>
      <c r="F218" s="15" t="n">
        <f aca="false">G41</f>
        <v>4.07378301801939</v>
      </c>
      <c r="G218" s="22" t="n">
        <f aca="false">G215*G217</f>
        <v>1.78729170581502</v>
      </c>
      <c r="H218" s="22" t="n">
        <f aca="false">H215*H217</f>
        <v>1.02380289030009</v>
      </c>
      <c r="I218" s="22" t="n">
        <f aca="false">I215*I217</f>
        <v>0.649111439537347</v>
      </c>
    </row>
    <row r="219" customFormat="false" ht="17.15" hidden="false" customHeight="false" outlineLevel="0" collapsed="false">
      <c r="A219" s="0" t="s">
        <v>504</v>
      </c>
      <c r="B219" s="0" t="s">
        <v>40</v>
      </c>
      <c r="C219" s="15" t="n">
        <f aca="false">D42</f>
        <v>73.76</v>
      </c>
      <c r="D219" s="15" t="n">
        <f aca="false">E42</f>
        <v>264.440692062969</v>
      </c>
      <c r="E219" s="15" t="n">
        <f aca="false">F42</f>
        <v>190.433726588418</v>
      </c>
      <c r="F219" s="15" t="n">
        <f aca="false">G42</f>
        <v>32.0631307580034</v>
      </c>
      <c r="G219" s="22" t="n">
        <f aca="false">$F219*G218/$F218</f>
        <v>14.0670643018448</v>
      </c>
      <c r="H219" s="22" t="n">
        <f aca="false">$F219*H218/$F218</f>
        <v>8.05794658108062</v>
      </c>
      <c r="I219" s="22" t="n">
        <f aca="false">$F219*I218/$F218</f>
        <v>5.10889874849557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505</v>
      </c>
    </row>
    <row r="2" customFormat="false" ht="17.15" hidden="false" customHeight="false" outlineLevel="0" collapsed="false">
      <c r="A2" s="0" t="s">
        <v>506</v>
      </c>
    </row>
    <row r="4" customFormat="false" ht="17.15" hidden="false" customHeight="false" outlineLevel="0" collapsed="false">
      <c r="A4" s="1" t="s">
        <v>507</v>
      </c>
    </row>
    <row r="5" customFormat="false" ht="17.15" hidden="false" customHeight="false" outlineLevel="0" collapsed="false">
      <c r="A5" s="1" t="s">
        <v>508</v>
      </c>
    </row>
    <row r="6" customFormat="false" ht="17.15" hidden="false" customHeight="false" outlineLevel="0" collapsed="false">
      <c r="A6" s="6" t="s">
        <v>16</v>
      </c>
      <c r="B6" s="12" t="s">
        <v>509</v>
      </c>
      <c r="C6" s="12" t="s">
        <v>510</v>
      </c>
      <c r="D6" s="12" t="s">
        <v>511</v>
      </c>
      <c r="E6" s="6" t="s">
        <v>321</v>
      </c>
    </row>
    <row r="7" customFormat="false" ht="17.15" hidden="false" customHeight="false" outlineLevel="0" collapsed="false">
      <c r="A7" s="5" t="s">
        <v>512</v>
      </c>
      <c r="E7" s="0" t="s">
        <v>513</v>
      </c>
    </row>
    <row r="8" customFormat="false" ht="15" hidden="false" customHeight="false" outlineLevel="0" collapsed="false">
      <c r="A8" s="0" t="s">
        <v>514</v>
      </c>
      <c r="B8" s="15" t="n">
        <f aca="false">PL!D205</f>
        <v>263.673437993239</v>
      </c>
      <c r="C8" s="15" t="n">
        <f aca="false">PL!D212</f>
        <v>266.891604607242</v>
      </c>
      <c r="D8" s="15" t="n">
        <f aca="false">PL!D219</f>
        <v>264.440692062969</v>
      </c>
    </row>
    <row r="9" customFormat="false" ht="15" hidden="false" customHeight="false" outlineLevel="0" collapsed="false">
      <c r="A9" s="0" t="s">
        <v>515</v>
      </c>
      <c r="B9" s="15" t="n">
        <f aca="false">PL!E205</f>
        <v>338.055737379477</v>
      </c>
      <c r="C9" s="15" t="n">
        <f aca="false">PL!E212</f>
        <v>214.570995716972</v>
      </c>
      <c r="D9" s="15" t="n">
        <f aca="false">PL!E219</f>
        <v>190.433726588418</v>
      </c>
    </row>
    <row r="10" customFormat="false" ht="15" hidden="false" customHeight="false" outlineLevel="0" collapsed="false">
      <c r="A10" s="0" t="s">
        <v>516</v>
      </c>
      <c r="B10" s="15" t="n">
        <f aca="false">PL!F205</f>
        <v>397.508253967565</v>
      </c>
      <c r="C10" s="15" t="n">
        <f aca="false">PL!F212</f>
        <v>94.203781023555</v>
      </c>
      <c r="D10" s="15" t="n">
        <f aca="false">PL!F219</f>
        <v>32.0631307580034</v>
      </c>
    </row>
    <row r="11" customFormat="false" ht="15" hidden="false" customHeight="false" outlineLevel="0" collapsed="false">
      <c r="A11" s="0" t="s">
        <v>517</v>
      </c>
      <c r="B11" s="15" t="n">
        <f aca="false">PL!G205</f>
        <v>307.292090859758</v>
      </c>
      <c r="C11" s="15" t="n">
        <f aca="false">PL!G212</f>
        <v>50.5853035543564</v>
      </c>
      <c r="D11" s="15" t="n">
        <f aca="false">PL!G219</f>
        <v>14.0670643018448</v>
      </c>
    </row>
    <row r="12" customFormat="false" ht="15" hidden="false" customHeight="false" outlineLevel="0" collapsed="false">
      <c r="A12" s="0" t="s">
        <v>518</v>
      </c>
      <c r="B12" s="15" t="n">
        <f aca="false">PL!H205</f>
        <v>213.415988084329</v>
      </c>
      <c r="C12" s="15" t="n">
        <f aca="false">PL!H212</f>
        <v>30.2229147460716</v>
      </c>
      <c r="D12" s="15" t="n">
        <f aca="false">PL!H219</f>
        <v>8.05794658108062</v>
      </c>
    </row>
    <row r="13" customFormat="false" ht="15" hidden="false" customHeight="false" outlineLevel="0" collapsed="false">
      <c r="A13" s="0" t="s">
        <v>519</v>
      </c>
      <c r="B13" s="15" t="n">
        <f aca="false">PL!I205</f>
        <v>111.552252050066</v>
      </c>
      <c r="C13" s="15" t="n">
        <f aca="false">PL!I212</f>
        <v>16.9210003870687</v>
      </c>
      <c r="D13" s="15" t="n">
        <f aca="false">PL!I219</f>
        <v>5.10889874849557</v>
      </c>
    </row>
    <row r="14" customFormat="false" ht="17.15" hidden="false" customHeight="false" outlineLevel="0" collapsed="false">
      <c r="A14" s="5" t="s">
        <v>520</v>
      </c>
      <c r="E14" s="5" t="s">
        <v>521</v>
      </c>
    </row>
    <row r="15" customFormat="false" ht="17.15" hidden="false" customHeight="false" outlineLevel="0" collapsed="false">
      <c r="A15" s="5" t="s">
        <v>522</v>
      </c>
      <c r="B15" s="14" t="n">
        <f aca="false">MIN(tp_g/tp_roe,0.8)</f>
        <v>0.145854800512805</v>
      </c>
      <c r="E15" s="8" t="s">
        <v>523</v>
      </c>
    </row>
    <row r="16" customFormat="false" ht="17.15" hidden="false" customHeight="false" outlineLevel="0" collapsed="false">
      <c r="A16" s="0" t="s">
        <v>524</v>
      </c>
      <c r="B16" s="15" t="n">
        <f aca="false">PL!E99</f>
        <v>242.277619273463</v>
      </c>
      <c r="C16" s="15" t="n">
        <f aca="false">PL!E146</f>
        <v>245.255654481038</v>
      </c>
      <c r="D16" s="15" t="n">
        <f aca="false">PL!E193</f>
        <v>242.974626968226</v>
      </c>
    </row>
    <row r="17" customFormat="false" ht="17.15" hidden="false" customHeight="false" outlineLevel="0" collapsed="false">
      <c r="A17" s="0" t="s">
        <v>525</v>
      </c>
      <c r="B17" s="15" t="n">
        <f aca="false">PL!F99</f>
        <v>311.002491867289</v>
      </c>
      <c r="C17" s="15" t="n">
        <f aca="false">PL!F146</f>
        <v>196.503563228614</v>
      </c>
      <c r="D17" s="15" t="n">
        <f aca="false">PL!F193</f>
        <v>174.223249927713</v>
      </c>
    </row>
    <row r="18" customFormat="false" ht="17.15" hidden="false" customHeight="false" outlineLevel="0" collapsed="false">
      <c r="A18" s="0" t="s">
        <v>526</v>
      </c>
      <c r="B18" s="15" t="n">
        <f aca="false">PL!G99</f>
        <v>365.81923407471</v>
      </c>
      <c r="C18" s="15" t="n">
        <f aca="false">PL!G146</f>
        <v>84.7141623880382</v>
      </c>
      <c r="D18" s="15" t="n">
        <f aca="false">PL!G193</f>
        <v>27.5198229231706</v>
      </c>
    </row>
    <row r="19" customFormat="false" ht="17.15" hidden="false" customHeight="false" outlineLevel="0" collapsed="false">
      <c r="A19" s="0" t="s">
        <v>527</v>
      </c>
      <c r="B19" s="15" t="n">
        <f aca="false">B11*(1-$B$15)</f>
        <v>262.472064248245</v>
      </c>
      <c r="C19" s="15" t="n">
        <f aca="false">C11*(1-$B$15)</f>
        <v>43.2071941955561</v>
      </c>
      <c r="D19" s="15" t="n">
        <f aca="false">D11*(1-$B$15)</f>
        <v>12.0153154442984</v>
      </c>
    </row>
    <row r="20" customFormat="false" ht="17.15" hidden="false" customHeight="false" outlineLevel="0" collapsed="false">
      <c r="A20" s="0" t="s">
        <v>528</v>
      </c>
      <c r="B20" s="15" t="n">
        <f aca="false">B12*(1-$B$15)</f>
        <v>182.288241716046</v>
      </c>
      <c r="C20" s="15" t="n">
        <f aca="false">C12*(1-$B$15)</f>
        <v>25.8147575448679</v>
      </c>
      <c r="D20" s="15" t="n">
        <f aca="false">D12*(1-$B$15)</f>
        <v>6.88265638995427</v>
      </c>
    </row>
    <row r="21" customFormat="false" ht="17.15" hidden="false" customHeight="false" outlineLevel="0" collapsed="false">
      <c r="A21" s="0" t="s">
        <v>529</v>
      </c>
      <c r="B21" s="15" t="n">
        <f aca="false">B13*(1-$B$15)</f>
        <v>95.2818205805499</v>
      </c>
      <c r="C21" s="15" t="n">
        <f aca="false">C13*(1-$B$15)</f>
        <v>14.4529912511357</v>
      </c>
      <c r="D21" s="15" t="n">
        <f aca="false">D13*(1-$B$15)</f>
        <v>4.36374134069363</v>
      </c>
    </row>
    <row r="22" customFormat="false" ht="17.15" hidden="false" customHeight="false" outlineLevel="0" collapsed="false">
      <c r="A22" s="0" t="s">
        <v>530</v>
      </c>
      <c r="B22" s="24" t="n">
        <f aca="false">MAX(0,SUMPRODUCT(B16:B21,1/(1+tp_r)^{1;2;3;4;5;6})+B21*(1+tp_g)/(tp_r-tp_g)/(1+tp_r)^6)</f>
        <v>2030.62514835817</v>
      </c>
      <c r="C22" s="24" t="n">
        <f aca="false">MAX(0,SUMPRODUCT(C16:C21,1/(1+tp_r)^{1;2;3;4;5;6})+C21*(1+tp_g)/(tp_r-tp_g)/(1+tp_r)^6)</f>
        <v>644.115864882184</v>
      </c>
      <c r="D22" s="24" t="n">
        <f aca="false">MAX(0,SUMPRODUCT(D16:D21,1/(1+tp_r)^{1;2;3;4;5;6})+D21*(1+tp_g)/(tp_r-tp_g)/(1+tp_r)^6)</f>
        <v>443.187442771903</v>
      </c>
      <c r="E22" s="8" t="s">
        <v>531</v>
      </c>
    </row>
    <row r="23" customFormat="false" ht="17.15" hidden="false" customHeight="false" outlineLevel="0" collapsed="false">
      <c r="A23" s="0" t="s">
        <v>532</v>
      </c>
      <c r="B23" s="24" t="n">
        <f aca="false">B22*(1+tp_r)</f>
        <v>2233.68766319399</v>
      </c>
      <c r="C23" s="24" t="n">
        <f aca="false">C22*(1+tp_r)</f>
        <v>708.527451370403</v>
      </c>
      <c r="D23" s="24" t="n">
        <f aca="false">D22*(1+tp_r)</f>
        <v>487.506187049093</v>
      </c>
    </row>
    <row r="24" customFormat="false" ht="17.15" hidden="false" customHeight="false" outlineLevel="0" collapsed="false">
      <c r="A24" s="0" t="s">
        <v>533</v>
      </c>
      <c r="B24" s="25" t="n">
        <f aca="false">tp_wA*B23+tp_wB*C23+tp_wC*D23</f>
        <v>1121.87126205322</v>
      </c>
      <c r="E24" s="8" t="s">
        <v>534</v>
      </c>
    </row>
    <row r="26" customFormat="false" ht="17.15" hidden="false" customHeight="false" outlineLevel="0" collapsed="false">
      <c r="A26" s="1" t="s">
        <v>535</v>
      </c>
    </row>
    <row r="27" customFormat="false" ht="17.15" hidden="false" customHeight="false" outlineLevel="0" collapsed="false">
      <c r="A27" s="6" t="s">
        <v>536</v>
      </c>
      <c r="B27" s="6" t="s">
        <v>537</v>
      </c>
      <c r="C27" s="6" t="s">
        <v>538</v>
      </c>
      <c r="D27" s="6" t="s">
        <v>539</v>
      </c>
      <c r="E27" s="6" t="s">
        <v>343</v>
      </c>
      <c r="F27" s="6" t="s">
        <v>21</v>
      </c>
    </row>
    <row r="28" customFormat="false" ht="17.15" hidden="false" customHeight="false" outlineLevel="0" collapsed="false">
      <c r="A28" s="5" t="s">
        <v>540</v>
      </c>
      <c r="B28" s="0" t="s">
        <v>541</v>
      </c>
      <c r="C28" s="26" t="n">
        <v>3.35</v>
      </c>
      <c r="D28" s="8" t="s">
        <v>542</v>
      </c>
      <c r="E28" s="8" t="s">
        <v>543</v>
      </c>
      <c r="F28" s="8" t="s">
        <v>153</v>
      </c>
    </row>
    <row r="29" customFormat="false" ht="17.15" hidden="false" customHeight="false" outlineLevel="0" collapsed="false">
      <c r="A29" s="0" t="s">
        <v>544</v>
      </c>
      <c r="B29" s="0" t="s">
        <v>545</v>
      </c>
      <c r="C29" s="26" t="n">
        <v>1.35</v>
      </c>
      <c r="D29" s="8" t="s">
        <v>542</v>
      </c>
      <c r="E29" s="8" t="s">
        <v>546</v>
      </c>
      <c r="F29" s="8" t="s">
        <v>153</v>
      </c>
    </row>
    <row r="30" customFormat="false" ht="17.15" hidden="false" customHeight="false" outlineLevel="0" collapsed="false">
      <c r="A30" s="5" t="s">
        <v>547</v>
      </c>
      <c r="B30" s="0" t="s">
        <v>548</v>
      </c>
      <c r="C30" s="26" t="n">
        <v>1.26</v>
      </c>
      <c r="D30" s="8" t="s">
        <v>542</v>
      </c>
      <c r="E30" s="8" t="s">
        <v>549</v>
      </c>
      <c r="F30" s="8" t="s">
        <v>153</v>
      </c>
    </row>
    <row r="31" customFormat="false" ht="17.15" hidden="false" customHeight="false" outlineLevel="0" collapsed="false">
      <c r="A31" s="0" t="s">
        <v>550</v>
      </c>
      <c r="B31" s="0" t="s">
        <v>551</v>
      </c>
      <c r="C31" s="27" t="n">
        <f aca="false">12755/7808</f>
        <v>1.63358094262295</v>
      </c>
      <c r="D31" s="8" t="s">
        <v>542</v>
      </c>
      <c r="E31" s="5" t="s">
        <v>552</v>
      </c>
      <c r="F31" s="8" t="s">
        <v>153</v>
      </c>
    </row>
    <row r="32" customFormat="false" ht="17.15" hidden="false" customHeight="false" outlineLevel="0" collapsed="false">
      <c r="A32" s="5" t="s">
        <v>553</v>
      </c>
      <c r="B32" s="27" t="n">
        <f aca="false">MEDIAN(C28:C31)</f>
        <v>1.49179047131148</v>
      </c>
      <c r="E32" s="5" t="s">
        <v>554</v>
      </c>
    </row>
    <row r="33" customFormat="false" ht="17.15" hidden="false" customHeight="false" outlineLevel="0" collapsed="false">
      <c r="A33" s="0" t="s">
        <v>555</v>
      </c>
      <c r="B33" s="15" t="n">
        <f aca="false">tp_wA*(PL!F97+PL!G97)/2+tp_wB*(PL!F144+PL!G144)/2+tp_wC*(PL!F191+PL!G191)/2</f>
        <v>495.267988696201</v>
      </c>
      <c r="E33" s="5" t="s">
        <v>556</v>
      </c>
    </row>
    <row r="34" customFormat="false" ht="17.15" hidden="false" customHeight="false" outlineLevel="0" collapsed="false">
      <c r="A34" s="0" t="s">
        <v>557</v>
      </c>
      <c r="B34" s="25" t="n">
        <f aca="false">B32*B33</f>
        <v>738.836066282592</v>
      </c>
      <c r="E34" s="5" t="s">
        <v>558</v>
      </c>
    </row>
    <row r="35" customFormat="false" ht="17.15" hidden="false" customHeight="false" outlineLevel="0" collapsed="false">
      <c r="A35" s="0" t="s">
        <v>559</v>
      </c>
      <c r="B35" s="15" t="n">
        <f aca="false">tp_wA*(8/12*B9+4/12*B10)+tp_wB*(8/12*C9+4/12*C10)+tp_wC*(8/12*D9+4/12*D10)</f>
        <v>222.114973877891</v>
      </c>
      <c r="E35" s="5" t="s">
        <v>560</v>
      </c>
    </row>
    <row r="37" customFormat="false" ht="17.15" hidden="false" customHeight="false" outlineLevel="0" collapsed="false">
      <c r="A37" s="3" t="s">
        <v>561</v>
      </c>
    </row>
    <row r="38" customFormat="false" ht="17.15" hidden="false" customHeight="false" outlineLevel="0" collapsed="false">
      <c r="A38" s="6" t="s">
        <v>562</v>
      </c>
      <c r="B38" s="6" t="s">
        <v>537</v>
      </c>
      <c r="C38" s="6" t="s">
        <v>563</v>
      </c>
      <c r="D38" s="6" t="s">
        <v>539</v>
      </c>
      <c r="E38" s="6" t="s">
        <v>343</v>
      </c>
      <c r="F38" s="6" t="s">
        <v>21</v>
      </c>
    </row>
    <row r="39" customFormat="false" ht="17.15" hidden="false" customHeight="false" outlineLevel="0" collapsed="false">
      <c r="A39" s="5" t="s">
        <v>540</v>
      </c>
      <c r="B39" s="0" t="s">
        <v>541</v>
      </c>
      <c r="C39" s="27" t="n">
        <f aca="false">877.55/173</f>
        <v>5.07254335260116</v>
      </c>
      <c r="D39" s="8" t="s">
        <v>542</v>
      </c>
      <c r="E39" s="5" t="s">
        <v>564</v>
      </c>
      <c r="F39" s="8" t="s">
        <v>153</v>
      </c>
    </row>
    <row r="40" customFormat="false" ht="17.15" hidden="false" customHeight="false" outlineLevel="0" collapsed="false">
      <c r="A40" s="0" t="s">
        <v>544</v>
      </c>
      <c r="B40" s="0" t="s">
        <v>545</v>
      </c>
      <c r="C40" s="27" t="n">
        <f aca="false">1277000/475721</f>
        <v>2.6843464972116</v>
      </c>
      <c r="D40" s="8" t="s">
        <v>542</v>
      </c>
      <c r="E40" s="5" t="s">
        <v>565</v>
      </c>
      <c r="F40" s="8" t="s">
        <v>153</v>
      </c>
    </row>
    <row r="41" customFormat="false" ht="17.15" hidden="false" customHeight="false" outlineLevel="0" collapsed="false">
      <c r="A41" s="5" t="s">
        <v>547</v>
      </c>
      <c r="B41" s="0" t="s">
        <v>548</v>
      </c>
      <c r="C41" s="27" t="n">
        <f aca="false">215500/72279</f>
        <v>2.98150223439727</v>
      </c>
      <c r="D41" s="8" t="s">
        <v>542</v>
      </c>
      <c r="E41" s="5" t="s">
        <v>566</v>
      </c>
      <c r="F41" s="8" t="s">
        <v>153</v>
      </c>
    </row>
    <row r="42" customFormat="false" ht="17.15" hidden="false" customHeight="false" outlineLevel="0" collapsed="false">
      <c r="A42" s="0" t="s">
        <v>550</v>
      </c>
      <c r="B42" s="0" t="s">
        <v>551</v>
      </c>
      <c r="C42" s="27" t="n">
        <f aca="false">12755/3486</f>
        <v>3.65892139988526</v>
      </c>
      <c r="D42" s="8" t="s">
        <v>542</v>
      </c>
      <c r="E42" s="5" t="s">
        <v>567</v>
      </c>
      <c r="F42" s="8" t="s">
        <v>153</v>
      </c>
    </row>
    <row r="43" customFormat="false" ht="17.15" hidden="false" customHeight="false" outlineLevel="0" collapsed="false">
      <c r="A43" s="0" t="s">
        <v>568</v>
      </c>
      <c r="B43" s="0" t="s">
        <v>569</v>
      </c>
      <c r="C43" s="26" t="n">
        <v>11.91</v>
      </c>
      <c r="D43" s="8" t="s">
        <v>542</v>
      </c>
      <c r="E43" s="8" t="s">
        <v>570</v>
      </c>
      <c r="F43" s="8" t="s">
        <v>153</v>
      </c>
    </row>
    <row r="44" customFormat="false" ht="17.15" hidden="false" customHeight="false" outlineLevel="0" collapsed="false">
      <c r="A44" s="5" t="s">
        <v>571</v>
      </c>
      <c r="B44" s="27" t="n">
        <f aca="false">MEDIAN(C39:C43)</f>
        <v>3.65892139988526</v>
      </c>
    </row>
    <row r="45" customFormat="false" ht="17.15" hidden="false" customHeight="false" outlineLevel="0" collapsed="false">
      <c r="A45" s="0" t="s">
        <v>572</v>
      </c>
      <c r="B45" s="24" t="n">
        <f aca="false">B44*B35</f>
        <v>812.70123115677</v>
      </c>
      <c r="E45" s="5" t="s">
        <v>573</v>
      </c>
    </row>
    <row r="47" customFormat="false" ht="17.15" hidden="false" customHeight="false" outlineLevel="0" collapsed="false">
      <c r="A47" s="1" t="s">
        <v>574</v>
      </c>
    </row>
    <row r="48" customFormat="false" ht="15" hidden="false" customHeight="false" outlineLevel="0" collapsed="false">
      <c r="A48" s="6" t="s">
        <v>16</v>
      </c>
      <c r="B48" s="6" t="s">
        <v>575</v>
      </c>
      <c r="C48" s="12"/>
      <c r="D48" s="12"/>
      <c r="E48" s="6" t="s">
        <v>321</v>
      </c>
    </row>
    <row r="49" customFormat="false" ht="17.15" hidden="false" customHeight="false" outlineLevel="0" collapsed="false">
      <c r="A49" s="5" t="s">
        <v>576</v>
      </c>
      <c r="B49" s="25" t="n">
        <f aca="false">tp_w_dcf*B24+(1-tp_w_dcf)*tp_comp_adj</f>
        <v>930.353664167904</v>
      </c>
      <c r="E49" s="8" t="s">
        <v>577</v>
      </c>
    </row>
    <row r="50" customFormat="false" ht="17.15" hidden="false" customHeight="false" outlineLevel="0" collapsed="false">
      <c r="A50" s="0" t="s">
        <v>578</v>
      </c>
      <c r="B50" s="24" t="n">
        <f aca="false">B34</f>
        <v>738.836066282592</v>
      </c>
      <c r="E50" s="5" t="s">
        <v>579</v>
      </c>
    </row>
    <row r="51" customFormat="false" ht="17.15" hidden="false" customHeight="false" outlineLevel="0" collapsed="false">
      <c r="A51" s="5" t="s">
        <v>580</v>
      </c>
      <c r="B51" s="24" t="n">
        <f aca="false">cons_tp</f>
        <v>2144</v>
      </c>
      <c r="E51" s="8" t="s">
        <v>581</v>
      </c>
    </row>
    <row r="52" customFormat="false" ht="17.15" hidden="false" customHeight="false" outlineLevel="0" collapsed="false">
      <c r="A52" s="5" t="s">
        <v>582</v>
      </c>
      <c r="B52" s="14" t="n">
        <f aca="false">B49/px-1</f>
        <v>-0.248520904850525</v>
      </c>
      <c r="E52" s="5" t="s">
        <v>583</v>
      </c>
    </row>
    <row r="53" customFormat="false" ht="17.15" hidden="false" customHeight="false" outlineLevel="0" collapsed="false">
      <c r="A53" s="5" t="s">
        <v>584</v>
      </c>
      <c r="B53" s="14" t="n">
        <f aca="false">B50/px-1</f>
        <v>-0.403216346710022</v>
      </c>
    </row>
    <row r="54" customFormat="false" ht="17.15" hidden="false" customHeight="false" outlineLevel="0" collapsed="false">
      <c r="A54" s="5" t="s">
        <v>585</v>
      </c>
      <c r="B54" s="28" t="str">
        <f aca="false">IF(B52&gt;0.5,"大於 50%",IF(B52&gt;0.25,"25%–50%",IF(B52&gt;=0,"0%–25%",IF(B52&gt;=-0.25,"0%～−25%",IF(B52&gt;=-0.5,"−25%～−50%","小於 −50%")))))</f>
        <v>0%～−25%</v>
      </c>
      <c r="E54" s="5" t="s">
        <v>586</v>
      </c>
    </row>
    <row r="55" customFormat="false" ht="17.15" hidden="false" customHeight="false" outlineLevel="0" collapsed="false">
      <c r="A55" s="5" t="s">
        <v>587</v>
      </c>
      <c r="B55" s="28" t="str">
        <f aca="false">IF(B52&gt;0.5,"強力買進",IF(B52&gt;0.25,"買進",IF(B52&gt;=-0.25,"中立",IF(B52&gt;=-0.5,"放空","強力放空"))))</f>
        <v>中立</v>
      </c>
      <c r="E55" s="5" t="s">
        <v>588</v>
      </c>
    </row>
    <row r="56" customFormat="false" ht="17.15" hidden="false" customHeight="false" outlineLevel="0" collapsed="false">
      <c r="A56" s="0" t="s">
        <v>589</v>
      </c>
      <c r="B56" s="29" t="n">
        <f aca="false">B23/px</f>
        <v>1.80422741225494</v>
      </c>
      <c r="C56" s="29" t="n">
        <f aca="false">C23/px</f>
        <v>0.57230232819108</v>
      </c>
      <c r="D56" s="29" t="n">
        <f aca="false">D23/px</f>
        <v>0.39377574618474</v>
      </c>
      <c r="E56" s="5" t="s">
        <v>590</v>
      </c>
    </row>
    <row r="57" customFormat="false" ht="17.15" hidden="false" customHeight="false" outlineLevel="0" collapsed="false">
      <c r="A57" s="5" t="s">
        <v>591</v>
      </c>
      <c r="B57" s="14" t="n">
        <f aca="false">B33/((cons_bv28+cons_bv29)/2)-1</f>
        <v>-0.177090655983716</v>
      </c>
      <c r="E57" s="5" t="s">
        <v>592</v>
      </c>
    </row>
    <row r="58" customFormat="false" ht="17.15" hidden="false" customHeight="false" outlineLevel="0" collapsed="false">
      <c r="A58" s="5" t="s">
        <v>593</v>
      </c>
      <c r="B58" s="14" t="n">
        <f aca="false">B35/(8/12*cons_eps28+4/12*cons_eps29)-1</f>
        <v>-0.184300499897572</v>
      </c>
      <c r="E58" s="5" t="s">
        <v>594</v>
      </c>
    </row>
    <row r="59" customFormat="false" ht="17.15" hidden="false" customHeight="false" outlineLevel="0" collapsed="false">
      <c r="A59" s="5" t="s">
        <v>595</v>
      </c>
      <c r="B59" s="14" t="n">
        <f aca="false">(cons_tp/((cons_bv28+cons_bv29)/2))/B32-1</f>
        <v>1.38796901516729</v>
      </c>
      <c r="E59" s="0" t="str">
        <f aca="false">"共識目標價隱含 P/B "&amp;TEXT(cons_tp/((cons_bv28+cons_bv29)/2),"0.00")&amp;"x（÷ 共識約 2028 年底每股淨值），同業中位數 "&amp;TEXT(B32,"0.00")&amp;"x"</f>
        <v>共識目標價隱含 P/B 3.56x（÷ 共識約 2028 年底每股淨值），同業中位數 1.49x</v>
      </c>
    </row>
    <row r="60" customFormat="false" ht="17.15" hidden="false" customHeight="false" outlineLevel="0" collapsed="false">
      <c r="A60" s="5" t="s">
        <v>596</v>
      </c>
      <c r="B60" s="28" t="str">
        <f aca="false">TEXT(D23,"#,##0")&amp;"～"&amp;TEXT(B23,"#,##0")</f>
        <v>488～2,234</v>
      </c>
      <c r="E60" s="8" t="s">
        <v>597</v>
      </c>
    </row>
    <row r="61" customFormat="false" ht="17.15" hidden="false" customHeight="false" outlineLevel="0" collapsed="false">
      <c r="A61" s="5" t="s">
        <v>598</v>
      </c>
      <c r="B61" s="21" t="n">
        <f aca="false">IF(px/PL!F15&gt;=MAX($B$95:$B$104),1,IF(px/PL!F15&lt;=MIN($B$95:$B$104),0,PERCENTRANK($B$95:$B$104,px/PL!F15)))</f>
        <v>1</v>
      </c>
      <c r="C61" s="21" t="n">
        <f aca="false">IF(px/PL!F29&gt;=MAX($B$95:$B$104),1,IF(px/PL!F29&lt;=MIN($B$95:$B$104),0,PERCENTRANK($B$95:$B$104,px/PL!F29)))</f>
        <v>1</v>
      </c>
      <c r="D61" s="21" t="n">
        <f aca="false">IF(px/PL!F43&gt;=MAX($B$95:$B$104),1,IF(px/PL!F43&lt;=MIN($B$95:$B$104),0,PERCENTRANK($B$95:$B$104,px/PL!F43)))</f>
        <v>1</v>
      </c>
      <c r="E61" s="5" t="s">
        <v>599</v>
      </c>
    </row>
    <row r="62" customFormat="false" ht="17.15" hidden="false" customHeight="false" outlineLevel="0" collapsed="false">
      <c r="A62" s="5" t="s">
        <v>600</v>
      </c>
      <c r="B62" s="0" t="s">
        <v>601</v>
      </c>
    </row>
    <row r="80" customFormat="false" ht="17.15" hidden="false" customHeight="false" outlineLevel="0" collapsed="false">
      <c r="A80" s="1" t="s">
        <v>602</v>
      </c>
    </row>
    <row r="81" customFormat="false" ht="17.15" hidden="false" customHeight="false" outlineLevel="0" collapsed="false">
      <c r="A81" s="6" t="s">
        <v>16</v>
      </c>
      <c r="B81" s="12" t="s">
        <v>603</v>
      </c>
      <c r="C81" s="12" t="s">
        <v>604</v>
      </c>
      <c r="D81" s="12" t="s">
        <v>605</v>
      </c>
      <c r="E81" s="6" t="s">
        <v>606</v>
      </c>
    </row>
    <row r="82" customFormat="false" ht="17.15" hidden="false" customHeight="false" outlineLevel="0" collapsed="false">
      <c r="A82" s="5" t="s">
        <v>607</v>
      </c>
      <c r="B82" s="15" t="n">
        <f aca="false">px</f>
        <v>1238.03</v>
      </c>
      <c r="E82" s="8" t="s">
        <v>608</v>
      </c>
    </row>
    <row r="83" customFormat="false" ht="17.15" hidden="false" customHeight="false" outlineLevel="0" collapsed="false">
      <c r="A83" s="0" t="s">
        <v>609</v>
      </c>
      <c r="B83" s="30" t="n">
        <f aca="false">px/a26_eps</f>
        <v>16.7845715835141</v>
      </c>
      <c r="E83" s="5" t="s">
        <v>610</v>
      </c>
    </row>
    <row r="84" customFormat="false" ht="17.15" hidden="false" customHeight="false" outlineLevel="0" collapsed="false">
      <c r="A84" s="0" t="s">
        <v>611</v>
      </c>
      <c r="B84" s="27" t="n">
        <f aca="false">px/PL!D97</f>
        <v>11.5195953609558</v>
      </c>
      <c r="E84" s="8" t="s">
        <v>612</v>
      </c>
    </row>
    <row r="85" customFormat="false" ht="17.15" hidden="false" customHeight="false" outlineLevel="0" collapsed="false">
      <c r="A85" s="5" t="s">
        <v>613</v>
      </c>
      <c r="B85" s="30" t="n">
        <f aca="false">px/PL!E14</f>
        <v>4.69531557453181</v>
      </c>
      <c r="C85" s="30" t="n">
        <f aca="false">px/PL!E28</f>
        <v>4.63869967667917</v>
      </c>
      <c r="D85" s="30" t="n">
        <f aca="false">px/PL!E42</f>
        <v>4.68169248212828</v>
      </c>
      <c r="E85" s="8" t="s">
        <v>614</v>
      </c>
    </row>
    <row r="86" customFormat="false" ht="17.15" hidden="false" customHeight="false" outlineLevel="0" collapsed="false">
      <c r="A86" s="5" t="s">
        <v>615</v>
      </c>
      <c r="B86" s="30" t="n">
        <f aca="false">px/PL!F14</f>
        <v>3.66220674021656</v>
      </c>
      <c r="C86" s="30" t="n">
        <f aca="false">px/PL!F28</f>
        <v>5.76979193233094</v>
      </c>
      <c r="D86" s="30" t="n">
        <f aca="false">px/PL!F42</f>
        <v>6.50110682692113</v>
      </c>
      <c r="E86" s="8" t="s">
        <v>614</v>
      </c>
    </row>
    <row r="87" customFormat="false" ht="17.15" hidden="false" customHeight="false" outlineLevel="0" collapsed="false">
      <c r="A87" s="5" t="s">
        <v>616</v>
      </c>
      <c r="B87" s="27" t="n">
        <f aca="false">px/PL!F15</f>
        <v>2.52585838501893</v>
      </c>
      <c r="C87" s="27" t="n">
        <f aca="false">px/PL!F29</f>
        <v>3.01647189503958</v>
      </c>
      <c r="D87" s="27" t="n">
        <f aca="false">px/PL!F43</f>
        <v>3.15157209766688</v>
      </c>
      <c r="E87" s="8" t="s">
        <v>617</v>
      </c>
    </row>
    <row r="90" customFormat="false" ht="17.15" hidden="false" customHeight="false" outlineLevel="0" collapsed="false">
      <c r="A90" s="1" t="s">
        <v>618</v>
      </c>
    </row>
    <row r="91" customFormat="false" ht="17.15" hidden="false" customHeight="false" outlineLevel="0" collapsed="false">
      <c r="A91" s="5" t="s">
        <v>619</v>
      </c>
    </row>
    <row r="93" customFormat="false" ht="17.15" hidden="false" customHeight="false" outlineLevel="0" collapsed="false">
      <c r="A93" s="1" t="s">
        <v>620</v>
      </c>
    </row>
    <row r="94" customFormat="false" ht="17.15" hidden="false" customHeight="false" outlineLevel="0" collapsed="false">
      <c r="A94" s="6" t="s">
        <v>621</v>
      </c>
      <c r="B94" s="6" t="s">
        <v>622</v>
      </c>
      <c r="C94" s="6" t="s">
        <v>623</v>
      </c>
    </row>
    <row r="95" customFormat="false" ht="17.15" hidden="false" customHeight="false" outlineLevel="0" collapsed="false">
      <c r="A95" s="0" t="s">
        <v>624</v>
      </c>
      <c r="B95" s="26" t="n">
        <v>1.29</v>
      </c>
      <c r="C95" s="5" t="s">
        <v>625</v>
      </c>
    </row>
    <row r="96" customFormat="false" ht="17.15" hidden="false" customHeight="false" outlineLevel="0" collapsed="false">
      <c r="A96" s="0" t="s">
        <v>626</v>
      </c>
      <c r="B96" s="26" t="n">
        <v>1.78</v>
      </c>
      <c r="C96" s="5" t="s">
        <v>627</v>
      </c>
    </row>
    <row r="97" customFormat="false" ht="15" hidden="false" customHeight="false" outlineLevel="0" collapsed="false">
      <c r="A97" s="0" t="s">
        <v>628</v>
      </c>
      <c r="B97" s="26" t="n">
        <v>1.79</v>
      </c>
    </row>
    <row r="98" customFormat="false" ht="15" hidden="false" customHeight="false" outlineLevel="0" collapsed="false">
      <c r="A98" s="0" t="s">
        <v>629</v>
      </c>
      <c r="B98" s="26" t="n">
        <v>1.33</v>
      </c>
    </row>
    <row r="99" customFormat="false" ht="15" hidden="false" customHeight="false" outlineLevel="0" collapsed="false">
      <c r="A99" s="0" t="s">
        <v>630</v>
      </c>
      <c r="B99" s="26" t="n">
        <v>1.27</v>
      </c>
    </row>
    <row r="100" customFormat="false" ht="15" hidden="false" customHeight="false" outlineLevel="0" collapsed="false">
      <c r="A100" s="0" t="s">
        <v>631</v>
      </c>
      <c r="B100" s="26" t="n">
        <v>1.83</v>
      </c>
    </row>
    <row r="101" customFormat="false" ht="15" hidden="false" customHeight="false" outlineLevel="0" collapsed="false">
      <c r="A101" s="0" t="s">
        <v>632</v>
      </c>
      <c r="B101" s="26" t="n">
        <v>1.22</v>
      </c>
    </row>
    <row r="102" customFormat="false" ht="15" hidden="false" customHeight="false" outlineLevel="0" collapsed="false">
      <c r="A102" s="0" t="s">
        <v>633</v>
      </c>
      <c r="B102" s="26" t="n">
        <v>1.72</v>
      </c>
    </row>
    <row r="103" customFormat="false" ht="15" hidden="false" customHeight="false" outlineLevel="0" collapsed="false">
      <c r="A103" s="0" t="s">
        <v>634</v>
      </c>
      <c r="B103" s="26" t="n">
        <v>2.35</v>
      </c>
    </row>
    <row r="104" customFormat="false" ht="15" hidden="false" customHeight="false" outlineLevel="0" collapsed="false">
      <c r="A104" s="0" t="s">
        <v>635</v>
      </c>
      <c r="B104" s="26" t="n">
        <v>2.46</v>
      </c>
    </row>
    <row r="105" customFormat="false" ht="17.15" hidden="false" customHeight="false" outlineLevel="0" collapsed="false">
      <c r="A105" s="0" t="s">
        <v>636</v>
      </c>
      <c r="B105" s="27" t="n">
        <f aca="false">PERCENTILE(B95:B104,0.25)</f>
        <v>1.3</v>
      </c>
    </row>
    <row r="106" customFormat="false" ht="15" hidden="false" customHeight="false" outlineLevel="0" collapsed="false">
      <c r="A106" s="5" t="s">
        <v>637</v>
      </c>
      <c r="B106" s="27" t="n">
        <f aca="false">MEDIAN(B95:B104)</f>
        <v>1.75</v>
      </c>
    </row>
    <row r="107" customFormat="false" ht="17.15" hidden="false" customHeight="false" outlineLevel="0" collapsed="false">
      <c r="A107" s="0" t="s">
        <v>638</v>
      </c>
      <c r="B107" s="27" t="n">
        <f aca="false">PERCENTILE(B95:B104,0.75)</f>
        <v>1.82</v>
      </c>
    </row>
    <row r="108" customFormat="false" ht="15" hidden="false" customHeight="false" outlineLevel="0" collapsed="false">
      <c r="A108" s="5" t="s">
        <v>639</v>
      </c>
      <c r="B108" s="27" t="n">
        <f aca="false">MIN(B95:B104)</f>
        <v>1.22</v>
      </c>
    </row>
    <row r="109" customFormat="false" ht="15" hidden="false" customHeight="false" outlineLevel="0" collapsed="false">
      <c r="A109" s="5" t="s">
        <v>640</v>
      </c>
      <c r="B109" s="27" t="n">
        <f aca="false">MAX(B95:B104)</f>
        <v>2.46</v>
      </c>
    </row>
    <row r="110" customFormat="false" ht="17.15" hidden="false" customHeight="false" outlineLevel="0" collapsed="false">
      <c r="A110" s="3" t="s">
        <v>641</v>
      </c>
      <c r="B110" s="27" t="n">
        <f aca="false">ROUND(AVERAGE(B105),2)</f>
        <v>1.3</v>
      </c>
    </row>
    <row r="111" customFormat="false" ht="17.15" hidden="false" customHeight="false" outlineLevel="0" collapsed="false">
      <c r="A111" s="3" t="s">
        <v>642</v>
      </c>
      <c r="B111" s="27" t="n">
        <f aca="false">ROUND(AVERAGE(B106),2)</f>
        <v>1.75</v>
      </c>
    </row>
    <row r="112" customFormat="false" ht="17.15" hidden="false" customHeight="false" outlineLevel="0" collapsed="false">
      <c r="A112" s="3" t="s">
        <v>643</v>
      </c>
      <c r="B112" s="27" t="n">
        <f aca="false">ROUND(AVERAGE(B107),2)</f>
        <v>1.82</v>
      </c>
    </row>
    <row r="113" customFormat="false" ht="17.15" hidden="false" customHeight="false" outlineLevel="0" collapsed="false">
      <c r="A113" s="3" t="s">
        <v>644</v>
      </c>
      <c r="B113" s="27" t="n">
        <f aca="false">ROUND(MIN(B108),2)</f>
        <v>1.22</v>
      </c>
    </row>
    <row r="114" customFormat="false" ht="17.15" hidden="false" customHeight="false" outlineLevel="0" collapsed="false">
      <c r="A114" s="3" t="s">
        <v>645</v>
      </c>
      <c r="B114" s="27" t="n">
        <f aca="false">ROUND(MAX(B109),2)</f>
        <v>2.46</v>
      </c>
    </row>
    <row r="116" customFormat="false" ht="17.15" hidden="false" customHeight="false" outlineLevel="0" collapsed="false">
      <c r="A116" s="1" t="s">
        <v>646</v>
      </c>
    </row>
    <row r="117" customFormat="false" ht="17.15" hidden="false" customHeight="false" outlineLevel="0" collapsed="false">
      <c r="A117" s="6" t="s">
        <v>647</v>
      </c>
      <c r="B117" s="6" t="s">
        <v>648</v>
      </c>
      <c r="C117" s="6" t="s">
        <v>649</v>
      </c>
      <c r="D117" s="6" t="s">
        <v>19</v>
      </c>
      <c r="E117" s="6" t="s">
        <v>650</v>
      </c>
      <c r="F117" s="6" t="s">
        <v>651</v>
      </c>
      <c r="G117" s="6" t="s">
        <v>652</v>
      </c>
      <c r="H117" s="6" t="s">
        <v>653</v>
      </c>
    </row>
    <row r="118" customFormat="false" ht="17.15" hidden="false" customHeight="false" outlineLevel="0" collapsed="false">
      <c r="A118" s="5" t="s">
        <v>654</v>
      </c>
      <c r="B118" s="5" t="s">
        <v>655</v>
      </c>
      <c r="C118" s="27" t="n">
        <f aca="false">B110</f>
        <v>1.3</v>
      </c>
      <c r="D118" s="8" t="s">
        <v>656</v>
      </c>
      <c r="E118" s="15" t="n">
        <f aca="false">PL!E97</f>
        <v>265.794151817112</v>
      </c>
      <c r="F118" s="20" t="n">
        <f aca="false">C118*E118</f>
        <v>345.532397362246</v>
      </c>
      <c r="G118" s="14" t="n">
        <f aca="false">F118/px-1</f>
        <v>-0.720901434244529</v>
      </c>
      <c r="H118" s="27" t="n">
        <f aca="false">px/E118</f>
        <v>4.6578526710846</v>
      </c>
    </row>
    <row r="119" customFormat="false" ht="17.15" hidden="false" customHeight="false" outlineLevel="0" collapsed="false">
      <c r="A119" s="5" t="s">
        <v>657</v>
      </c>
      <c r="B119" s="5" t="s">
        <v>658</v>
      </c>
      <c r="C119" s="27" t="n">
        <f aca="false">B111</f>
        <v>1.75</v>
      </c>
      <c r="D119" s="8" t="s">
        <v>656</v>
      </c>
      <c r="E119" s="15" t="n">
        <f aca="false">PL!E97</f>
        <v>265.794151817112</v>
      </c>
      <c r="F119" s="20" t="n">
        <f aca="false">C119*E119</f>
        <v>465.139765679946</v>
      </c>
      <c r="G119" s="14" t="n">
        <f aca="false">F119/px-1</f>
        <v>-0.624290392252251</v>
      </c>
      <c r="H119" s="27" t="n">
        <f aca="false">px/E119</f>
        <v>4.6578526710846</v>
      </c>
    </row>
    <row r="120" customFormat="false" ht="17.15" hidden="false" customHeight="false" outlineLevel="0" collapsed="false">
      <c r="A120" s="5" t="s">
        <v>659</v>
      </c>
      <c r="B120" s="5" t="s">
        <v>660</v>
      </c>
      <c r="C120" s="27" t="n">
        <f aca="false">B112</f>
        <v>1.82</v>
      </c>
      <c r="D120" s="8" t="s">
        <v>661</v>
      </c>
      <c r="E120" s="15" t="n">
        <f aca="false">PL!F191</f>
        <v>392.829344096719</v>
      </c>
      <c r="F120" s="20" t="n">
        <f aca="false">C120*E120</f>
        <v>714.949406256028</v>
      </c>
      <c r="G120" s="14" t="n">
        <f aca="false">F120/px-1</f>
        <v>-0.422510434919971</v>
      </c>
      <c r="H120" s="27" t="n">
        <f aca="false">px/E120</f>
        <v>3.15157209766688</v>
      </c>
    </row>
    <row r="123" customFormat="false" ht="17.15" hidden="false" customHeight="false" outlineLevel="0" collapsed="false">
      <c r="A123" s="1" t="s">
        <v>662</v>
      </c>
    </row>
    <row r="124" customFormat="false" ht="17.15" hidden="false" customHeight="false" outlineLevel="0" collapsed="false">
      <c r="A124" s="6" t="s">
        <v>621</v>
      </c>
      <c r="B124" s="6" t="s">
        <v>663</v>
      </c>
      <c r="C124" s="6" t="s">
        <v>623</v>
      </c>
    </row>
    <row r="125" customFormat="false" ht="17.15" hidden="false" customHeight="false" outlineLevel="0" collapsed="false">
      <c r="A125" s="0" t="s">
        <v>624</v>
      </c>
      <c r="C125" s="5" t="s">
        <v>664</v>
      </c>
    </row>
    <row r="126" customFormat="false" ht="17.15" hidden="false" customHeight="false" outlineLevel="0" collapsed="false">
      <c r="A126" s="0" t="s">
        <v>626</v>
      </c>
      <c r="B126" s="26" t="n">
        <v>6.51314207113382</v>
      </c>
      <c r="C126" s="5" t="s">
        <v>665</v>
      </c>
    </row>
    <row r="127" customFormat="false" ht="15" hidden="false" customHeight="false" outlineLevel="0" collapsed="false">
      <c r="A127" s="0" t="s">
        <v>628</v>
      </c>
      <c r="B127" s="26" t="n">
        <v>4.08958330385568</v>
      </c>
    </row>
    <row r="128" customFormat="false" ht="15" hidden="false" customHeight="false" outlineLevel="0" collapsed="false">
      <c r="A128" s="0" t="s">
        <v>629</v>
      </c>
      <c r="B128" s="26" t="n">
        <v>7.55927926500871</v>
      </c>
    </row>
    <row r="129" customFormat="false" ht="15" hidden="false" customHeight="false" outlineLevel="0" collapsed="false">
      <c r="A129" s="0" t="s">
        <v>630</v>
      </c>
      <c r="B129" s="26" t="n">
        <v>18.4313062895422</v>
      </c>
    </row>
    <row r="130" customFormat="false" ht="15" hidden="false" customHeight="false" outlineLevel="0" collapsed="false">
      <c r="A130" s="0" t="s">
        <v>631</v>
      </c>
      <c r="B130" s="26" t="n">
        <v>13.7173502815219</v>
      </c>
    </row>
    <row r="131" customFormat="false" ht="15" hidden="false" customHeight="false" outlineLevel="0" collapsed="false">
      <c r="A131" s="0" t="s">
        <v>632</v>
      </c>
      <c r="B131" s="26" t="n">
        <v>7.00892598135145</v>
      </c>
    </row>
    <row r="132" customFormat="false" ht="15" hidden="false" customHeight="false" outlineLevel="0" collapsed="false">
      <c r="A132" s="0" t="s">
        <v>633</v>
      </c>
    </row>
    <row r="133" customFormat="false" ht="15" hidden="false" customHeight="false" outlineLevel="0" collapsed="false">
      <c r="A133" s="0" t="s">
        <v>634</v>
      </c>
      <c r="B133" s="26" t="n">
        <v>136.321143958869</v>
      </c>
    </row>
    <row r="134" customFormat="false" ht="15" hidden="false" customHeight="false" outlineLevel="0" collapsed="false">
      <c r="A134" s="0" t="s">
        <v>635</v>
      </c>
      <c r="B134" s="26" t="n">
        <v>15.6043916149432</v>
      </c>
    </row>
    <row r="135" customFormat="false" ht="17.15" hidden="false" customHeight="false" outlineLevel="0" collapsed="false">
      <c r="A135" s="0" t="s">
        <v>636</v>
      </c>
      <c r="B135" s="27" t="n">
        <f aca="false">PERCENTILE(B125:B134,0.25)</f>
        <v>6.88498000379704</v>
      </c>
    </row>
    <row r="136" customFormat="false" ht="15" hidden="false" customHeight="false" outlineLevel="0" collapsed="false">
      <c r="A136" s="5" t="s">
        <v>637</v>
      </c>
      <c r="B136" s="27" t="n">
        <f aca="false">MEDIAN(B125:B134)</f>
        <v>10.6383147732653</v>
      </c>
    </row>
    <row r="137" customFormat="false" ht="17.15" hidden="false" customHeight="false" outlineLevel="0" collapsed="false">
      <c r="A137" s="0" t="s">
        <v>638</v>
      </c>
      <c r="B137" s="27" t="n">
        <f aca="false">PERCENTILE(B125:B134,0.75)</f>
        <v>16.311120283593</v>
      </c>
    </row>
    <row r="138" customFormat="false" ht="15" hidden="false" customHeight="false" outlineLevel="0" collapsed="false">
      <c r="A138" s="5" t="s">
        <v>639</v>
      </c>
      <c r="B138" s="27" t="n">
        <f aca="false">MIN(B125:B134)</f>
        <v>4.08958330385568</v>
      </c>
    </row>
    <row r="139" customFormat="false" ht="15" hidden="false" customHeight="false" outlineLevel="0" collapsed="false">
      <c r="A139" s="5" t="s">
        <v>640</v>
      </c>
      <c r="B139" s="27" t="n">
        <f aca="false">MAX(B125:B134)</f>
        <v>136.321143958869</v>
      </c>
    </row>
    <row r="140" customFormat="false" ht="17.15" hidden="false" customHeight="false" outlineLevel="0" collapsed="false">
      <c r="A140" s="3" t="s">
        <v>666</v>
      </c>
      <c r="B140" s="27" t="n">
        <f aca="false">ROUND(AVERAGE(B135),2)</f>
        <v>6.88</v>
      </c>
    </row>
    <row r="141" customFormat="false" ht="17.15" hidden="false" customHeight="false" outlineLevel="0" collapsed="false">
      <c r="A141" s="3" t="s">
        <v>667</v>
      </c>
      <c r="B141" s="27" t="n">
        <f aca="false">ROUND(AVERAGE(B136),2)</f>
        <v>10.64</v>
      </c>
    </row>
    <row r="142" customFormat="false" ht="17.15" hidden="false" customHeight="false" outlineLevel="0" collapsed="false">
      <c r="A142" s="3" t="s">
        <v>668</v>
      </c>
      <c r="B142" s="27" t="n">
        <f aca="false">ROUND(AVERAGE(B137),2)</f>
        <v>16.31</v>
      </c>
    </row>
    <row r="143" customFormat="false" ht="17.15" hidden="false" customHeight="false" outlineLevel="0" collapsed="false">
      <c r="A143" s="3" t="s">
        <v>669</v>
      </c>
      <c r="B143" s="27" t="n">
        <f aca="false">ROUND(MIN(B138),2)</f>
        <v>4.09</v>
      </c>
    </row>
    <row r="144" customFormat="false" ht="17.15" hidden="false" customHeight="false" outlineLevel="0" collapsed="false">
      <c r="A144" s="3" t="s">
        <v>670</v>
      </c>
      <c r="B144" s="27" t="n">
        <f aca="false">ROUND(MAX(B139),2)</f>
        <v>136.32</v>
      </c>
    </row>
    <row r="146" customFormat="false" ht="17.15" hidden="false" customHeight="false" outlineLevel="0" collapsed="false">
      <c r="A146" s="1" t="s">
        <v>671</v>
      </c>
    </row>
    <row r="147" customFormat="false" ht="17.15" hidden="false" customHeight="false" outlineLevel="0" collapsed="false">
      <c r="A147" s="6" t="s">
        <v>647</v>
      </c>
      <c r="B147" s="6" t="s">
        <v>648</v>
      </c>
      <c r="C147" s="6" t="s">
        <v>649</v>
      </c>
      <c r="D147" s="6" t="s">
        <v>19</v>
      </c>
      <c r="E147" s="6" t="s">
        <v>650</v>
      </c>
      <c r="F147" s="6" t="s">
        <v>651</v>
      </c>
      <c r="G147" s="6" t="s">
        <v>652</v>
      </c>
      <c r="H147" s="6" t="s">
        <v>653</v>
      </c>
    </row>
    <row r="148" customFormat="false" ht="17.15" hidden="false" customHeight="false" outlineLevel="0" collapsed="false">
      <c r="A148" s="5" t="s">
        <v>672</v>
      </c>
      <c r="B148" s="5" t="s">
        <v>655</v>
      </c>
      <c r="C148" s="27" t="n">
        <f aca="false">B140</f>
        <v>6.88</v>
      </c>
      <c r="D148" s="8" t="s">
        <v>673</v>
      </c>
      <c r="E148" s="15" t="n">
        <f aca="false">PL!E96</f>
        <v>263.673437993239</v>
      </c>
      <c r="F148" s="20" t="n">
        <f aca="false">C148*E148</f>
        <v>1814.07325339348</v>
      </c>
      <c r="G148" s="14" t="n">
        <f aca="false">F148/px-1</f>
        <v>0.465290221879503</v>
      </c>
      <c r="H148" s="27" t="n">
        <f aca="false">px/E148</f>
        <v>4.69531557453181</v>
      </c>
    </row>
    <row r="149" customFormat="false" ht="17.15" hidden="false" customHeight="false" outlineLevel="0" collapsed="false">
      <c r="A149" s="5" t="s">
        <v>674</v>
      </c>
      <c r="B149" s="5" t="s">
        <v>658</v>
      </c>
      <c r="C149" s="27" t="n">
        <f aca="false">B141</f>
        <v>10.64</v>
      </c>
      <c r="D149" s="8" t="s">
        <v>673</v>
      </c>
      <c r="E149" s="15" t="n">
        <f aca="false">PL!E96</f>
        <v>263.673437993239</v>
      </c>
      <c r="F149" s="20" t="n">
        <f aca="false">C149*E149</f>
        <v>2805.48538024806</v>
      </c>
      <c r="G149" s="14" t="n">
        <f aca="false">F149/px-1</f>
        <v>1.26608836639505</v>
      </c>
      <c r="H149" s="27" t="n">
        <f aca="false">px/E149</f>
        <v>4.69531557453181</v>
      </c>
    </row>
    <row r="150" customFormat="false" ht="17.15" hidden="false" customHeight="false" outlineLevel="0" collapsed="false">
      <c r="A150" s="5" t="s">
        <v>675</v>
      </c>
      <c r="B150" s="5" t="s">
        <v>660</v>
      </c>
      <c r="C150" s="27" t="n">
        <f aca="false">B142</f>
        <v>16.31</v>
      </c>
      <c r="D150" s="8" t="s">
        <v>676</v>
      </c>
      <c r="E150" s="15" t="n">
        <f aca="false">PL!F190</f>
        <v>190.433726588418</v>
      </c>
      <c r="F150" s="20" t="n">
        <f aca="false">C150*E150</f>
        <v>3105.97408065711</v>
      </c>
      <c r="G150" s="14" t="n">
        <f aca="false">F150/px-1</f>
        <v>1.50880356748795</v>
      </c>
      <c r="H150" s="27" t="n">
        <f aca="false">px/E150</f>
        <v>6.50110682692113</v>
      </c>
    </row>
    <row r="153" customFormat="false" ht="15" hidden="false" customHeight="false" outlineLevel="0" collapsed="false">
      <c r="A153" s="3" t="s">
        <v>677</v>
      </c>
    </row>
    <row r="154" customFormat="false" ht="15" hidden="false" customHeight="false" outlineLevel="0" collapsed="false">
      <c r="A154" s="6" t="s">
        <v>16</v>
      </c>
      <c r="B154" s="6" t="s">
        <v>575</v>
      </c>
      <c r="C154" s="12"/>
      <c r="D154" s="12"/>
      <c r="E154" s="6" t="s">
        <v>321</v>
      </c>
    </row>
    <row r="155" customFormat="false" ht="17.15" hidden="false" customHeight="false" outlineLevel="0" collapsed="false">
      <c r="A155" s="5" t="s">
        <v>678</v>
      </c>
      <c r="B155" s="24" t="n">
        <f aca="false">tp_wA*B157+tp_wB*B158+tp_wC*B159</f>
        <v>448.60850776157</v>
      </c>
      <c r="E155" s="5" t="s">
        <v>679</v>
      </c>
    </row>
    <row r="156" customFormat="false" ht="17.15" hidden="false" customHeight="false" outlineLevel="0" collapsed="false">
      <c r="A156" s="5" t="s">
        <v>680</v>
      </c>
      <c r="B156" s="14" t="n">
        <f aca="false">B155/px-1</f>
        <v>-0.637643265703117</v>
      </c>
    </row>
    <row r="157" customFormat="false" ht="17.15" hidden="false" customHeight="false" outlineLevel="0" collapsed="false">
      <c r="A157" s="5" t="s">
        <v>681</v>
      </c>
      <c r="B157" s="24" t="n">
        <f aca="false">B112*PL!E15</f>
        <v>483.745356307144</v>
      </c>
    </row>
    <row r="158" customFormat="false" ht="17.15" hidden="false" customHeight="false" outlineLevel="0" collapsed="false">
      <c r="A158" s="5" t="s">
        <v>682</v>
      </c>
      <c r="B158" s="24" t="n">
        <f aca="false">B111*PL!E29</f>
        <v>468.514589260376</v>
      </c>
    </row>
    <row r="159" customFormat="false" ht="17.15" hidden="false" customHeight="false" outlineLevel="0" collapsed="false">
      <c r="A159" s="5" t="s">
        <v>683</v>
      </c>
      <c r="B159" s="24" t="n">
        <f aca="false">B110*PL!E43</f>
        <v>346.138031196193</v>
      </c>
    </row>
    <row r="160" customFormat="false" ht="17.15" hidden="false" customHeight="false" outlineLevel="0" collapsed="false">
      <c r="A160" s="5" t="s">
        <v>684</v>
      </c>
      <c r="B160" s="5" t="s">
        <v>685</v>
      </c>
    </row>
    <row r="163" customFormat="false" ht="17.15" hidden="false" customHeight="false" outlineLevel="0" collapsed="false">
      <c r="A163" s="1" t="s">
        <v>686</v>
      </c>
    </row>
    <row r="164" customFormat="false" ht="17.15" hidden="false" customHeight="false" outlineLevel="0" collapsed="false">
      <c r="A164" s="5" t="s">
        <v>687</v>
      </c>
    </row>
    <row r="165" customFormat="false" ht="17.15" hidden="false" customHeight="false" outlineLevel="0" collapsed="false">
      <c r="A165" s="6" t="s">
        <v>688</v>
      </c>
      <c r="B165" s="6" t="s">
        <v>537</v>
      </c>
      <c r="C165" s="6" t="s">
        <v>689</v>
      </c>
      <c r="D165" s="12" t="s">
        <v>690</v>
      </c>
      <c r="E165" s="12" t="s">
        <v>691</v>
      </c>
      <c r="F165" s="12" t="s">
        <v>692</v>
      </c>
      <c r="G165" s="12" t="s">
        <v>693</v>
      </c>
      <c r="H165" s="12" t="s">
        <v>694</v>
      </c>
      <c r="I165" s="12" t="s">
        <v>695</v>
      </c>
      <c r="J165" s="12" t="s">
        <v>696</v>
      </c>
      <c r="K165" s="12" t="s">
        <v>697</v>
      </c>
      <c r="L165" s="12" t="s">
        <v>698</v>
      </c>
      <c r="M165" s="12" t="s">
        <v>699</v>
      </c>
      <c r="N165" s="6" t="s">
        <v>700</v>
      </c>
      <c r="O165" s="12" t="s">
        <v>701</v>
      </c>
      <c r="P165" s="6" t="s">
        <v>702</v>
      </c>
      <c r="Q165" s="6" t="s">
        <v>343</v>
      </c>
    </row>
    <row r="166" customFormat="false" ht="17.15" hidden="false" customHeight="false" outlineLevel="0" collapsed="false">
      <c r="A166" s="0" t="s">
        <v>703</v>
      </c>
      <c r="B166" s="0" t="s">
        <v>704</v>
      </c>
      <c r="C166" s="5" t="s">
        <v>705</v>
      </c>
      <c r="L166" s="26" t="n">
        <v>0.683</v>
      </c>
      <c r="M166" s="26" t="n">
        <v>4.836</v>
      </c>
      <c r="N166" s="8" t="n">
        <f aca="false">COUNT(D166:M166)</f>
        <v>2</v>
      </c>
      <c r="O166" s="27" t="n">
        <f aca="false">IF(N166&gt;0,MEDIAN(D166:M166),"")</f>
        <v>2.7595</v>
      </c>
      <c r="P166" s="27" t="str">
        <f aca="false">IF(N166&gt;=7,O166,"")</f>
        <v/>
      </c>
      <c r="Q166" s="8" t="s">
        <v>706</v>
      </c>
    </row>
    <row r="167" customFormat="false" ht="17.15" hidden="false" customHeight="false" outlineLevel="0" collapsed="false">
      <c r="A167" s="5" t="s">
        <v>540</v>
      </c>
      <c r="B167" s="0" t="s">
        <v>541</v>
      </c>
      <c r="C167" s="5" t="s">
        <v>707</v>
      </c>
      <c r="D167" s="26" t="n">
        <v>1.584</v>
      </c>
      <c r="E167" s="26" t="n">
        <v>1.503</v>
      </c>
      <c r="F167" s="26" t="n">
        <v>1.2295</v>
      </c>
      <c r="G167" s="26" t="n">
        <v>1.3335</v>
      </c>
      <c r="H167" s="26" t="n">
        <v>1.802</v>
      </c>
      <c r="I167" s="26" t="n">
        <v>1.306</v>
      </c>
      <c r="J167" s="26" t="n">
        <v>1.656</v>
      </c>
      <c r="K167" s="26" t="n">
        <v>2.1515</v>
      </c>
      <c r="L167" s="26" t="n">
        <v>1.898</v>
      </c>
      <c r="M167" s="26" t="n">
        <v>3.5655</v>
      </c>
      <c r="N167" s="8" t="n">
        <f aca="false">COUNT(D167:M167)</f>
        <v>10</v>
      </c>
      <c r="O167" s="27" t="n">
        <f aca="false">IF(N167&gt;0,MEDIAN(D167:M167),"")</f>
        <v>1.62</v>
      </c>
      <c r="P167" s="27" t="n">
        <f aca="false">IF(N167&gt;=7,O167,"")</f>
        <v>1.62</v>
      </c>
      <c r="Q167" s="8" t="s">
        <v>708</v>
      </c>
    </row>
    <row r="168" customFormat="false" ht="17.15" hidden="false" customHeight="false" outlineLevel="0" collapsed="false">
      <c r="A168" s="0" t="s">
        <v>544</v>
      </c>
      <c r="B168" s="0" t="s">
        <v>545</v>
      </c>
      <c r="C168" s="5" t="s">
        <v>707</v>
      </c>
      <c r="D168" s="26" t="n">
        <v>1.213</v>
      </c>
      <c r="E168" s="26" t="n">
        <v>1.1395</v>
      </c>
      <c r="F168" s="26" t="n">
        <v>0.9995</v>
      </c>
      <c r="G168" s="26" t="n">
        <v>1.091</v>
      </c>
      <c r="H168" s="26" t="n">
        <v>1.373</v>
      </c>
      <c r="I168" s="26" t="n">
        <v>1.011</v>
      </c>
      <c r="J168" s="26" t="n">
        <v>1.2725</v>
      </c>
      <c r="K168" s="26" t="n">
        <v>1.6605</v>
      </c>
      <c r="L168" s="26" t="n">
        <v>1.3995</v>
      </c>
      <c r="M168" s="26" t="n">
        <v>2.3405</v>
      </c>
      <c r="N168" s="8" t="n">
        <f aca="false">COUNT(D168:M168)</f>
        <v>10</v>
      </c>
      <c r="O168" s="27" t="n">
        <f aca="false">IF(N168&gt;0,MEDIAN(D168:M168),"")</f>
        <v>1.24275</v>
      </c>
      <c r="P168" s="27" t="n">
        <f aca="false">IF(N168&gt;=7,O168,"")</f>
        <v>1.24275</v>
      </c>
      <c r="Q168" s="8" t="s">
        <v>709</v>
      </c>
    </row>
    <row r="169" customFormat="false" ht="17.15" hidden="false" customHeight="false" outlineLevel="0" collapsed="false">
      <c r="A169" s="5" t="s">
        <v>547</v>
      </c>
      <c r="B169" s="0" t="s">
        <v>548</v>
      </c>
      <c r="C169" s="5" t="s">
        <v>707</v>
      </c>
      <c r="D169" s="26" t="n">
        <v>1.4135</v>
      </c>
      <c r="E169" s="26" t="n">
        <v>1.2645</v>
      </c>
      <c r="F169" s="26" t="n">
        <v>1.152</v>
      </c>
      <c r="G169" s="26" t="n">
        <v>1.279</v>
      </c>
      <c r="H169" s="26" t="n">
        <v>1.7855</v>
      </c>
      <c r="I169" s="26" t="n">
        <v>1.3</v>
      </c>
      <c r="J169" s="26" t="n">
        <v>1.219</v>
      </c>
      <c r="K169" s="26" t="n">
        <v>1.303</v>
      </c>
      <c r="L169" s="26" t="n">
        <v>0.922</v>
      </c>
      <c r="M169" s="26" t="n">
        <v>1.8275</v>
      </c>
      <c r="N169" s="8" t="n">
        <f aca="false">COUNT(D169:M169)</f>
        <v>10</v>
      </c>
      <c r="O169" s="27" t="n">
        <f aca="false">IF(N169&gt;0,MEDIAN(D169:M169),"")</f>
        <v>1.2895</v>
      </c>
      <c r="P169" s="27" t="n">
        <f aca="false">IF(N169&gt;=7,O169,"")</f>
        <v>1.2895</v>
      </c>
      <c r="Q169" s="8" t="s">
        <v>710</v>
      </c>
    </row>
    <row r="170" customFormat="false" ht="17.15" hidden="false" customHeight="false" outlineLevel="0" collapsed="false">
      <c r="A170" s="0" t="s">
        <v>550</v>
      </c>
      <c r="B170" s="0" t="s">
        <v>551</v>
      </c>
      <c r="C170" s="5" t="s">
        <v>707</v>
      </c>
      <c r="L170" s="26" t="n">
        <v>1.494</v>
      </c>
      <c r="M170" s="26" t="n">
        <v>3.9425</v>
      </c>
      <c r="N170" s="8" t="n">
        <f aca="false">COUNT(D170:M170)</f>
        <v>2</v>
      </c>
      <c r="O170" s="27" t="n">
        <f aca="false">IF(N170&gt;0,MEDIAN(D170:M170),"")</f>
        <v>2.71825</v>
      </c>
      <c r="P170" s="27" t="str">
        <f aca="false">IF(N170&gt;=7,O170,"")</f>
        <v/>
      </c>
      <c r="Q170" s="8" t="s">
        <v>711</v>
      </c>
    </row>
    <row r="171" customFormat="false" ht="17.15" hidden="false" customHeight="false" outlineLevel="0" collapsed="false">
      <c r="A171" s="0" t="s">
        <v>568</v>
      </c>
      <c r="B171" s="0" t="s">
        <v>569</v>
      </c>
      <c r="C171" s="5" t="s">
        <v>707</v>
      </c>
      <c r="D171" s="26" t="n">
        <v>1.428</v>
      </c>
      <c r="E171" s="26" t="n">
        <v>1.262</v>
      </c>
      <c r="F171" s="26" t="n">
        <v>1.0505</v>
      </c>
      <c r="G171" s="26" t="n">
        <v>0.972</v>
      </c>
      <c r="H171" s="26" t="n">
        <v>1.2345</v>
      </c>
      <c r="I171" s="26" t="n">
        <v>0.819</v>
      </c>
      <c r="J171" s="26" t="n">
        <v>0.879</v>
      </c>
      <c r="K171" s="26" t="n">
        <v>1.262</v>
      </c>
      <c r="L171" s="26" t="n">
        <v>2.691</v>
      </c>
      <c r="M171" s="26" t="n">
        <v>10.5885</v>
      </c>
      <c r="N171" s="8" t="n">
        <f aca="false">COUNT(D171:M171)</f>
        <v>10</v>
      </c>
      <c r="O171" s="27" t="n">
        <f aca="false">IF(N171&gt;0,MEDIAN(D171:M171),"")</f>
        <v>1.24825</v>
      </c>
      <c r="P171" s="27" t="n">
        <f aca="false">IF(N171&gt;=7,O171,"")</f>
        <v>1.24825</v>
      </c>
      <c r="Q171" s="8" t="s">
        <v>712</v>
      </c>
    </row>
    <row r="173" customFormat="false" ht="17.15" hidden="false" customHeight="false" outlineLevel="0" collapsed="false">
      <c r="A173" s="5" t="s">
        <v>713</v>
      </c>
      <c r="B173" s="27" t="str">
        <f aca="false">P166</f>
        <v/>
      </c>
      <c r="E173" s="5" t="s">
        <v>714</v>
      </c>
    </row>
    <row r="174" customFormat="false" ht="15" hidden="false" customHeight="false" outlineLevel="0" collapsed="false">
      <c r="A174" s="5" t="s">
        <v>715</v>
      </c>
      <c r="B174" s="31" t="n">
        <f aca="false">COUNT(P167:P171)</f>
        <v>4</v>
      </c>
    </row>
    <row r="175" customFormat="false" ht="17.15" hidden="false" customHeight="false" outlineLevel="0" collapsed="false">
      <c r="A175" s="5" t="s">
        <v>716</v>
      </c>
      <c r="B175" s="27" t="n">
        <f aca="false">IF(B174&gt;0,MEDIAN(P167:P171),"")</f>
        <v>1.268875</v>
      </c>
    </row>
    <row r="176" customFormat="false" ht="17.15" hidden="false" customHeight="false" outlineLevel="0" collapsed="false">
      <c r="A176" s="5" t="s">
        <v>717</v>
      </c>
      <c r="B176" s="27" t="str">
        <f aca="false">IF(AND(ISNUMBER(B173),B174&gt;=2),B173/B175,"")</f>
        <v/>
      </c>
      <c r="E176" s="5" t="s">
        <v>718</v>
      </c>
    </row>
    <row r="177" customFormat="false" ht="17.15" hidden="false" customHeight="false" outlineLevel="0" collapsed="false">
      <c r="A177" s="5" t="s">
        <v>719</v>
      </c>
      <c r="B177" s="26" t="n">
        <v>0.5</v>
      </c>
      <c r="E177" s="8" t="s">
        <v>720</v>
      </c>
    </row>
    <row r="178" customFormat="false" ht="17.15" hidden="false" customHeight="false" outlineLevel="0" collapsed="false">
      <c r="A178" s="5" t="s">
        <v>721</v>
      </c>
      <c r="B178" s="26" t="n">
        <v>2</v>
      </c>
      <c r="E178" s="8" t="s">
        <v>722</v>
      </c>
    </row>
    <row r="179" customFormat="false" ht="17.15" hidden="false" customHeight="false" outlineLevel="0" collapsed="false">
      <c r="A179" s="3" t="s">
        <v>723</v>
      </c>
      <c r="B179" s="32" t="n">
        <f aca="false">IF(ISNUMBER(B176),MIN(MAX(B176,B177),B178),1)</f>
        <v>1</v>
      </c>
      <c r="E179" s="5" t="s">
        <v>724</v>
      </c>
    </row>
    <row r="180" customFormat="false" ht="17.15" hidden="false" customHeight="false" outlineLevel="0" collapsed="false">
      <c r="A180" s="1" t="s">
        <v>725</v>
      </c>
      <c r="B180" s="25" t="n">
        <f aca="false">Val!$B$34*B179</f>
        <v>738.836066282592</v>
      </c>
      <c r="E180" s="5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727</v>
      </c>
    </row>
    <row r="3" customFormat="false" ht="17.15" hidden="false" customHeight="false" outlineLevel="0" collapsed="false">
      <c r="A3" s="6" t="s">
        <v>16</v>
      </c>
      <c r="B3" s="6" t="s">
        <v>728</v>
      </c>
      <c r="C3" s="6" t="s">
        <v>729</v>
      </c>
      <c r="D3" s="6" t="s">
        <v>730</v>
      </c>
      <c r="E3" s="6" t="s">
        <v>731</v>
      </c>
      <c r="F3" s="6" t="s">
        <v>732</v>
      </c>
      <c r="G3" s="6" t="s">
        <v>733</v>
      </c>
      <c r="H3" s="6" t="s">
        <v>734</v>
      </c>
      <c r="I3" s="6" t="s">
        <v>735</v>
      </c>
      <c r="J3" s="6" t="s">
        <v>321</v>
      </c>
    </row>
    <row r="4" customFormat="false" ht="17.15" hidden="false" customHeight="false" outlineLevel="0" collapsed="false">
      <c r="A4" s="1" t="s">
        <v>736</v>
      </c>
    </row>
    <row r="5" customFormat="false" ht="17.15" hidden="false" customHeight="false" outlineLevel="0" collapsed="false">
      <c r="A5" s="0" t="s">
        <v>737</v>
      </c>
      <c r="B5" s="15" t="n">
        <f aca="false">a26_rev</f>
        <v>20.248</v>
      </c>
      <c r="C5" s="15" t="n">
        <f aca="false">PL!D5</f>
        <v>20.248</v>
      </c>
      <c r="D5" s="14" t="n">
        <f aca="false">C5/B5-1</f>
        <v>0</v>
      </c>
      <c r="E5" s="15" t="n">
        <f aca="false">PL!D19</f>
        <v>20.248</v>
      </c>
      <c r="F5" s="14" t="n">
        <f aca="false">E5/B5-1</f>
        <v>0</v>
      </c>
      <c r="G5" s="15" t="n">
        <f aca="false">PL!D33</f>
        <v>20.248</v>
      </c>
      <c r="H5" s="14" t="n">
        <f aca="false">G5/B5-1</f>
        <v>0</v>
      </c>
      <c r="I5" s="8" t="s">
        <v>53</v>
      </c>
      <c r="J5" s="5" t="s">
        <v>738</v>
      </c>
    </row>
    <row r="6" customFormat="false" ht="17.15" hidden="false" customHeight="false" outlineLevel="0" collapsed="false">
      <c r="A6" s="0" t="s">
        <v>739</v>
      </c>
      <c r="B6" s="15" t="n">
        <f aca="false">g_rev</f>
        <v>11.031</v>
      </c>
      <c r="C6" s="15" t="n">
        <f aca="false">PL!G60</f>
        <v>11.0306149524118</v>
      </c>
      <c r="D6" s="14" t="n">
        <f aca="false">C6/B6-1</f>
        <v>-3.49059548752084E-005</v>
      </c>
      <c r="E6" s="15" t="n">
        <f aca="false">PL!G107</f>
        <v>11.0306149524118</v>
      </c>
      <c r="F6" s="14" t="n">
        <f aca="false">E6/B6-1</f>
        <v>-3.49059548752084E-005</v>
      </c>
      <c r="G6" s="15" t="n">
        <f aca="false">PL!G154</f>
        <v>11.0306149524118</v>
      </c>
      <c r="H6" s="14" t="n">
        <f aca="false">G6/B6-1</f>
        <v>-3.49059548752084E-005</v>
      </c>
      <c r="I6" s="8" t="s">
        <v>53</v>
      </c>
      <c r="J6" s="5" t="s">
        <v>740</v>
      </c>
    </row>
    <row r="7" customFormat="false" ht="17.15" hidden="false" customHeight="false" outlineLevel="0" collapsed="false">
      <c r="A7" s="0" t="s">
        <v>741</v>
      </c>
      <c r="B7" s="14" t="n">
        <f aca="false">g_gm</f>
        <v>0.8503</v>
      </c>
      <c r="C7" s="14" t="n">
        <f aca="false">PL!G69</f>
        <v>0.8503</v>
      </c>
      <c r="D7" s="14" t="n">
        <f aca="false">C7-B7</f>
        <v>0</v>
      </c>
      <c r="E7" s="14" t="n">
        <f aca="false">PL!G116</f>
        <v>0.8503</v>
      </c>
      <c r="F7" s="14" t="n">
        <f aca="false">E7-B7</f>
        <v>0</v>
      </c>
      <c r="G7" s="14" t="n">
        <f aca="false">PL!G163</f>
        <v>0.8503</v>
      </c>
      <c r="H7" s="14" t="n">
        <f aca="false">G7-B7</f>
        <v>0</v>
      </c>
      <c r="I7" s="8" t="s">
        <v>53</v>
      </c>
      <c r="J7" s="5" t="s">
        <v>742</v>
      </c>
    </row>
    <row r="8" customFormat="false" ht="17.15" hidden="false" customHeight="false" outlineLevel="0" collapsed="false">
      <c r="A8" s="0" t="s">
        <v>743</v>
      </c>
      <c r="B8" s="15" t="n">
        <f aca="false">g_eps</f>
        <v>49.51</v>
      </c>
      <c r="C8" s="15" t="n">
        <f aca="false">PL!G74</f>
        <v>49.7894859790389</v>
      </c>
      <c r="D8" s="14" t="n">
        <f aca="false">C8/B8-1</f>
        <v>0.00564504098240515</v>
      </c>
      <c r="E8" s="15" t="n">
        <f aca="false">PL!G121</f>
        <v>49.7894859790389</v>
      </c>
      <c r="F8" s="14" t="n">
        <f aca="false">E8/B8-1</f>
        <v>0.00564504098240515</v>
      </c>
      <c r="G8" s="15" t="n">
        <f aca="false">PL!G168</f>
        <v>49.7894859790389</v>
      </c>
      <c r="H8" s="14" t="n">
        <f aca="false">G8/B8-1</f>
        <v>0.00564504098240515</v>
      </c>
      <c r="I8" s="8" t="s">
        <v>53</v>
      </c>
      <c r="J8" s="5" t="s">
        <v>744</v>
      </c>
    </row>
    <row r="9" customFormat="false" ht="17.15" hidden="false" customHeight="false" outlineLevel="0" collapsed="false">
      <c r="A9" s="1" t="s">
        <v>745</v>
      </c>
    </row>
    <row r="10" customFormat="false" ht="17.15" hidden="false" customHeight="false" outlineLevel="0" collapsed="false">
      <c r="A10" s="0" t="s">
        <v>746</v>
      </c>
      <c r="B10" s="15" t="n">
        <f aca="false">cons_rev27</f>
        <v>49.135</v>
      </c>
      <c r="C10" s="15" t="n">
        <f aca="false">PL!E5</f>
        <v>51.7136584082017</v>
      </c>
      <c r="D10" s="14" t="n">
        <f aca="false">C10/B10-1</f>
        <v>0.0524810910390086</v>
      </c>
      <c r="E10" s="15" t="n">
        <f aca="false">PL!E19</f>
        <v>52.2098505415492</v>
      </c>
      <c r="F10" s="14" t="n">
        <f aca="false">E10/B10-1</f>
        <v>0.0625796385783908</v>
      </c>
      <c r="G10" s="15" t="n">
        <f aca="false">PL!E33</f>
        <v>51.8620744553298</v>
      </c>
      <c r="H10" s="14" t="n">
        <f aca="false">G10/B10-1</f>
        <v>0.0555016679623452</v>
      </c>
      <c r="I10" s="8" t="s">
        <v>244</v>
      </c>
    </row>
    <row r="11" customFormat="false" ht="17.15" hidden="false" customHeight="false" outlineLevel="0" collapsed="false">
      <c r="A11" s="0" t="s">
        <v>747</v>
      </c>
      <c r="B11" s="15" t="n">
        <f aca="false">cons_rev28</f>
        <v>58.436</v>
      </c>
      <c r="C11" s="15" t="n">
        <f aca="false">PL!F5</f>
        <v>57.7623149225535</v>
      </c>
      <c r="D11" s="14" t="n">
        <f aca="false">C11/B11-1</f>
        <v>-0.0115285967117268</v>
      </c>
      <c r="E11" s="15" t="n">
        <f aca="false">PL!F19</f>
        <v>40.9965505030281</v>
      </c>
      <c r="F11" s="14" t="n">
        <f aca="false">E11/B11-1</f>
        <v>-0.298436742709493</v>
      </c>
      <c r="G11" s="15" t="n">
        <f aca="false">PL!F33</f>
        <v>37.3752414304965</v>
      </c>
      <c r="H11" s="14" t="n">
        <f aca="false">G11/B11-1</f>
        <v>-0.360407258701888</v>
      </c>
      <c r="I11" s="8" t="s">
        <v>244</v>
      </c>
    </row>
    <row r="12" customFormat="false" ht="17.15" hidden="false" customHeight="false" outlineLevel="0" collapsed="false">
      <c r="A12" s="0" t="s">
        <v>748</v>
      </c>
      <c r="B12" s="15" t="n">
        <f aca="false">cons_eps27</f>
        <v>217.4</v>
      </c>
      <c r="C12" s="15" t="n">
        <f aca="false">PL!E14</f>
        <v>263.673437993239</v>
      </c>
      <c r="D12" s="14" t="n">
        <f aca="false">C12/B12-1</f>
        <v>0.212849300796865</v>
      </c>
      <c r="E12" s="15" t="n">
        <f aca="false">PL!E28</f>
        <v>266.891604607242</v>
      </c>
      <c r="F12" s="14" t="n">
        <f aca="false">E12/B12-1</f>
        <v>0.22765227510231</v>
      </c>
      <c r="G12" s="15" t="n">
        <f aca="false">PL!E42</f>
        <v>264.440692062969</v>
      </c>
      <c r="H12" s="14" t="n">
        <f aca="false">G12/B12-1</f>
        <v>0.216378528348521</v>
      </c>
      <c r="I12" s="8" t="s">
        <v>244</v>
      </c>
      <c r="J12" s="5" t="s">
        <v>749</v>
      </c>
    </row>
    <row r="13" customFormat="false" ht="17.15" hidden="false" customHeight="false" outlineLevel="0" collapsed="false">
      <c r="A13" s="0" t="s">
        <v>750</v>
      </c>
      <c r="B13" s="15" t="n">
        <f aca="false">cons_eps28</f>
        <v>267.6</v>
      </c>
      <c r="C13" s="15" t="n">
        <f aca="false">PL!F14</f>
        <v>338.055737379477</v>
      </c>
      <c r="D13" s="14" t="n">
        <f aca="false">C13/B13-1</f>
        <v>0.263287508891918</v>
      </c>
      <c r="E13" s="15" t="n">
        <f aca="false">PL!F28</f>
        <v>214.570995716972</v>
      </c>
      <c r="F13" s="14" t="n">
        <f aca="false">E13/B13-1</f>
        <v>-0.198165187903693</v>
      </c>
      <c r="G13" s="15" t="n">
        <f aca="false">PL!F42</f>
        <v>190.433726588418</v>
      </c>
      <c r="H13" s="14" t="n">
        <f aca="false">G13/B13-1</f>
        <v>-0.288364250416971</v>
      </c>
      <c r="I13" s="8" t="s">
        <v>244</v>
      </c>
    </row>
    <row r="14" customFormat="false" ht="17.15" hidden="false" customHeight="false" outlineLevel="0" collapsed="false">
      <c r="A14" s="0" t="s">
        <v>751</v>
      </c>
      <c r="B14" s="15" t="n">
        <f aca="false">cons_bv28</f>
        <v>553.1</v>
      </c>
      <c r="C14" s="15" t="n">
        <f aca="false">PL!F15</f>
        <v>490.142284833884</v>
      </c>
      <c r="D14" s="14" t="n">
        <f aca="false">C14/B14-1</f>
        <v>-0.113827002650725</v>
      </c>
      <c r="E14" s="15" t="n">
        <f aca="false">PL!F29</f>
        <v>410.423184129735</v>
      </c>
      <c r="F14" s="14" t="n">
        <f aca="false">E14/B14-1</f>
        <v>-0.257958444892904</v>
      </c>
      <c r="G14" s="15" t="n">
        <f aca="false">PL!F43</f>
        <v>392.829344096719</v>
      </c>
      <c r="H14" s="14" t="n">
        <f aca="false">G14/B14-1</f>
        <v>-0.289767954986949</v>
      </c>
      <c r="I14" s="8" t="s">
        <v>244</v>
      </c>
    </row>
    <row r="15" customFormat="false" ht="17.15" hidden="false" customHeight="false" outlineLevel="0" collapsed="false">
      <c r="A15" s="1" t="s">
        <v>752</v>
      </c>
    </row>
    <row r="16" customFormat="false" ht="17.15" hidden="false" customHeight="false" outlineLevel="0" collapsed="false">
      <c r="A16" s="0" t="s">
        <v>753</v>
      </c>
      <c r="C16" s="19" t="n">
        <f aca="false">sd_k</f>
        <v>0.999407699901283</v>
      </c>
      <c r="I16" s="8" t="s">
        <v>754</v>
      </c>
    </row>
    <row r="17" customFormat="false" ht="17.15" hidden="false" customHeight="false" outlineLevel="0" collapsed="false">
      <c r="A17" s="0" t="s">
        <v>755</v>
      </c>
      <c r="C17" s="14" t="n">
        <v>0.245026657759283</v>
      </c>
      <c r="E17" s="14" t="n">
        <v>0.242026657759283</v>
      </c>
      <c r="G17" s="14" t="n">
        <v>0.239026657759283</v>
      </c>
      <c r="I17" s="8" t="s">
        <v>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757</v>
      </c>
    </row>
    <row r="3" customFormat="false" ht="17.15" hidden="false" customHeight="false" outlineLevel="0" collapsed="false">
      <c r="A3" s="6" t="s">
        <v>758</v>
      </c>
      <c r="B3" s="6" t="s">
        <v>759</v>
      </c>
      <c r="C3" s="12" t="s">
        <v>760</v>
      </c>
      <c r="D3" s="12" t="s">
        <v>761</v>
      </c>
      <c r="E3" s="6" t="s">
        <v>762</v>
      </c>
      <c r="F3" s="12" t="s">
        <v>763</v>
      </c>
      <c r="G3" s="12" t="s">
        <v>764</v>
      </c>
      <c r="H3" s="6" t="s">
        <v>762</v>
      </c>
      <c r="I3" s="12" t="s">
        <v>765</v>
      </c>
    </row>
    <row r="4" customFormat="false" ht="17.15" hidden="false" customHeight="false" outlineLevel="0" collapsed="false">
      <c r="A4" s="5" t="s">
        <v>766</v>
      </c>
      <c r="B4" s="0" t="s">
        <v>767</v>
      </c>
      <c r="C4" s="15" t="n">
        <f aca="false">PL!E77</f>
        <v>51.7136584082017</v>
      </c>
      <c r="D4" s="15" t="n">
        <f aca="false">PL!E96</f>
        <v>263.673437993239</v>
      </c>
      <c r="E4" s="14" t="n">
        <f aca="false">D4/D$4-1</f>
        <v>0</v>
      </c>
      <c r="F4" s="15" t="n">
        <f aca="false">PL!F77</f>
        <v>57.7623149225535</v>
      </c>
      <c r="G4" s="15" t="n">
        <f aca="false">PL!F96</f>
        <v>338.055737379477</v>
      </c>
      <c r="H4" s="14" t="n">
        <f aca="false">G4/G$4-1</f>
        <v>0</v>
      </c>
      <c r="I4" s="14" t="n">
        <f aca="false">PL!E84</f>
        <v>0.869186027512121</v>
      </c>
    </row>
    <row r="5" customFormat="false" ht="17.15" hidden="false" customHeight="false" outlineLevel="0" collapsed="false">
      <c r="A5" s="5" t="s">
        <v>768</v>
      </c>
      <c r="B5" s="5" t="s">
        <v>769</v>
      </c>
      <c r="C5" s="15" t="n">
        <f aca="false">E81</f>
        <v>43.5770497170437</v>
      </c>
      <c r="D5" s="15" t="n">
        <f aca="false">E100</f>
        <v>209.972058518011</v>
      </c>
      <c r="E5" s="14" t="n">
        <f aca="false">D5/D$4-1</f>
        <v>-0.203666246717672</v>
      </c>
      <c r="F5" s="15" t="n">
        <f aca="false">F81</f>
        <v>46.2098519380428</v>
      </c>
      <c r="G5" s="15" t="n">
        <f aca="false">F100</f>
        <v>245.063332363377</v>
      </c>
      <c r="H5" s="14" t="n">
        <f aca="false">G5/G$4-1</f>
        <v>-0.275080096959615</v>
      </c>
      <c r="I5" s="14" t="n">
        <f aca="false">E88</f>
        <v>0.844760736851531</v>
      </c>
    </row>
    <row r="6" customFormat="false" ht="17.15" hidden="false" customHeight="false" outlineLevel="0" collapsed="false">
      <c r="A6" s="5" t="s">
        <v>770</v>
      </c>
      <c r="B6" s="5" t="s">
        <v>771</v>
      </c>
      <c r="C6" s="15" t="n">
        <f aca="false">E131</f>
        <v>59.8502670993597</v>
      </c>
      <c r="D6" s="15" t="n">
        <f aca="false">E150</f>
        <v>319.418330948257</v>
      </c>
      <c r="E6" s="14" t="n">
        <f aca="false">D6/D$4-1</f>
        <v>0.211416414862568</v>
      </c>
      <c r="F6" s="15" t="n">
        <f aca="false">F131</f>
        <v>69.3147779070642</v>
      </c>
      <c r="G6" s="15" t="n">
        <f aca="false">F150</f>
        <v>441.087207039369</v>
      </c>
      <c r="H6" s="14" t="n">
        <f aca="false">G6/G$4-1</f>
        <v>0.304776574592597</v>
      </c>
      <c r="I6" s="14" t="n">
        <f aca="false">E138</f>
        <v>0.886970110308323</v>
      </c>
    </row>
    <row r="7" customFormat="false" ht="17.15" hidden="false" customHeight="false" outlineLevel="0" collapsed="false">
      <c r="A7" s="5" t="s">
        <v>772</v>
      </c>
      <c r="B7" s="5" t="s">
        <v>773</v>
      </c>
      <c r="C7" s="15" t="n">
        <f aca="false">E181</f>
        <v>46.5422925673815</v>
      </c>
      <c r="D7" s="15" t="n">
        <f aca="false">E200</f>
        <v>233.834857740789</v>
      </c>
      <c r="E7" s="14" t="n">
        <f aca="false">D7/D$4-1</f>
        <v>-0.113164907620369</v>
      </c>
      <c r="F7" s="15" t="n">
        <f aca="false">F181</f>
        <v>51.9860834302982</v>
      </c>
      <c r="G7" s="15" t="n">
        <f aca="false">F200</f>
        <v>295.617812047705</v>
      </c>
      <c r="H7" s="14" t="n">
        <f aca="false">G7/G$4-1</f>
        <v>-0.1255352908983</v>
      </c>
      <c r="I7" s="14" t="n">
        <f aca="false">E188</f>
        <v>0.869186027512121</v>
      </c>
    </row>
    <row r="8" customFormat="false" ht="17.15" hidden="false" customHeight="false" outlineLevel="0" collapsed="false">
      <c r="A8" s="5" t="s">
        <v>774</v>
      </c>
      <c r="B8" s="5" t="s">
        <v>775</v>
      </c>
      <c r="C8" s="15" t="n">
        <f aca="false">E231</f>
        <v>56.8850242490219</v>
      </c>
      <c r="D8" s="15" t="n">
        <f aca="false">E250</f>
        <v>294.125688585396</v>
      </c>
      <c r="E8" s="14" t="n">
        <f aca="false">D8/D$4-1</f>
        <v>0.115492295408757</v>
      </c>
      <c r="F8" s="15" t="n">
        <f aca="false">F231</f>
        <v>63.5385464148089</v>
      </c>
      <c r="G8" s="15" t="n">
        <f aca="false">F250</f>
        <v>382.627396467194</v>
      </c>
      <c r="H8" s="14" t="n">
        <f aca="false">G8/G$4-1</f>
        <v>0.13184707182675</v>
      </c>
      <c r="I8" s="14" t="n">
        <f aca="false">E238</f>
        <v>0.869186027512121</v>
      </c>
    </row>
    <row r="9" customFormat="false" ht="17.15" hidden="false" customHeight="false" outlineLevel="0" collapsed="false">
      <c r="A9" s="5" t="s">
        <v>776</v>
      </c>
      <c r="B9" s="0" t="s">
        <v>166</v>
      </c>
      <c r="C9" s="15" t="n">
        <f aca="false">E281</f>
        <v>51.7136584082017</v>
      </c>
      <c r="D9" s="15" t="n">
        <f aca="false">E300</f>
        <v>262.861730773628</v>
      </c>
      <c r="E9" s="14" t="n">
        <f aca="false">D9/D$4-1</f>
        <v>-0.00307845653998418</v>
      </c>
      <c r="F9" s="15" t="n">
        <f aca="false">F281</f>
        <v>57.7623149225535</v>
      </c>
      <c r="G9" s="15" t="n">
        <f aca="false">F300</f>
        <v>334.194035515601</v>
      </c>
      <c r="H9" s="14" t="n">
        <f aca="false">G9/G$4-1</f>
        <v>-0.0114232697063847</v>
      </c>
      <c r="I9" s="14" t="n">
        <f aca="false">E288</f>
        <v>0.86688992391249</v>
      </c>
    </row>
    <row r="10" customFormat="false" ht="17.15" hidden="false" customHeight="false" outlineLevel="0" collapsed="false">
      <c r="A10" s="5" t="s">
        <v>777</v>
      </c>
      <c r="B10" s="0" t="s">
        <v>778</v>
      </c>
      <c r="C10" s="15" t="n">
        <f aca="false">E331</f>
        <v>51.7136584082017</v>
      </c>
      <c r="D10" s="15" t="n">
        <f aca="false">E350</f>
        <v>264.501411855316</v>
      </c>
      <c r="E10" s="14" t="n">
        <f aca="false">D10/D$4-1</f>
        <v>0.0031401489220102</v>
      </c>
      <c r="F10" s="15" t="n">
        <f aca="false">F331</f>
        <v>57.7623149225535</v>
      </c>
      <c r="G10" s="15" t="n">
        <f aca="false">F350</f>
        <v>341.857355733064</v>
      </c>
      <c r="H10" s="14" t="n">
        <f aca="false">G10/G$4-1</f>
        <v>0.0112455371503406</v>
      </c>
      <c r="I10" s="14" t="n">
        <f aca="false">E338</f>
        <v>0.87152674382046</v>
      </c>
    </row>
    <row r="11" customFormat="false" ht="17.15" hidden="false" customHeight="false" outlineLevel="0" collapsed="false">
      <c r="A11" s="5" t="s">
        <v>779</v>
      </c>
      <c r="B11" s="0" t="s">
        <v>780</v>
      </c>
      <c r="C11" s="15" t="n">
        <f aca="false">E381</f>
        <v>51.7136584082017</v>
      </c>
      <c r="D11" s="15" t="n">
        <f aca="false">E400</f>
        <v>262.036676914221</v>
      </c>
      <c r="E11" s="14" t="n">
        <f aca="false">D11/D$4-1</f>
        <v>-0.00620753114714401</v>
      </c>
      <c r="F11" s="15" t="n">
        <f aca="false">F381</f>
        <v>57.7623149225535</v>
      </c>
      <c r="G11" s="15" t="n">
        <f aca="false">F400</f>
        <v>335.75831273497</v>
      </c>
      <c r="H11" s="14" t="n">
        <f aca="false">G11/G$4-1</f>
        <v>-0.00679599364979477</v>
      </c>
      <c r="I11" s="14" t="n">
        <f aca="false">E388</f>
        <v>0.864554671104735</v>
      </c>
    </row>
    <row r="12" customFormat="false" ht="17.15" hidden="false" customHeight="false" outlineLevel="0" collapsed="false">
      <c r="A12" s="5" t="s">
        <v>781</v>
      </c>
      <c r="B12" s="0" t="s">
        <v>782</v>
      </c>
      <c r="C12" s="15" t="n">
        <f aca="false">E431</f>
        <v>51.7136584082017</v>
      </c>
      <c r="D12" s="15" t="n">
        <f aca="false">E450</f>
        <v>265.126543305994</v>
      </c>
      <c r="E12" s="14" t="n">
        <f aca="false">D12/D$4-1</f>
        <v>0.00551100377730363</v>
      </c>
      <c r="F12" s="15" t="n">
        <f aca="false">F431</f>
        <v>57.7623149225535</v>
      </c>
      <c r="G12" s="15" t="n">
        <f aca="false">F450</f>
        <v>340.098501435824</v>
      </c>
      <c r="H12" s="14" t="n">
        <f aca="false">G12/G$4-1</f>
        <v>0.00604268418037268</v>
      </c>
      <c r="I12" s="14" t="n">
        <f aca="false">E438</f>
        <v>0.873293079420558</v>
      </c>
    </row>
    <row r="13" customFormat="false" ht="17.15" hidden="false" customHeight="false" outlineLevel="0" collapsed="false">
      <c r="A13" s="5" t="s">
        <v>783</v>
      </c>
      <c r="B13" s="0" t="s">
        <v>784</v>
      </c>
      <c r="C13" s="15" t="n">
        <f aca="false">E481</f>
        <v>51.7136584082017</v>
      </c>
      <c r="D13" s="15" t="n">
        <f aca="false">E500</f>
        <v>263.265414493231</v>
      </c>
      <c r="E13" s="14" t="n">
        <f aca="false">D13/D$4-1</f>
        <v>-0.0015474577307184</v>
      </c>
      <c r="F13" s="15" t="n">
        <f aca="false">F481</f>
        <v>57.7623149225535</v>
      </c>
      <c r="G13" s="15" t="n">
        <f aca="false">F500</f>
        <v>337.402935372351</v>
      </c>
      <c r="H13" s="14" t="n">
        <f aca="false">G13/G$4-1</f>
        <v>-0.00193104844836201</v>
      </c>
      <c r="I13" s="14" t="n">
        <f aca="false">E488</f>
        <v>0.869186027512121</v>
      </c>
    </row>
    <row r="14" customFormat="false" ht="17.15" hidden="false" customHeight="false" outlineLevel="0" collapsed="false">
      <c r="A14" s="5" t="s">
        <v>785</v>
      </c>
      <c r="B14" s="0" t="s">
        <v>786</v>
      </c>
      <c r="C14" s="15" t="n">
        <f aca="false">E531</f>
        <v>51.7136584082017</v>
      </c>
      <c r="D14" s="15" t="n">
        <f aca="false">E550</f>
        <v>246.618401914036</v>
      </c>
      <c r="E14" s="14" t="n">
        <f aca="false">D14/D$4-1</f>
        <v>-0.0646824200761557</v>
      </c>
      <c r="F14" s="15" t="n">
        <f aca="false">F531</f>
        <v>57.7623149225535</v>
      </c>
      <c r="G14" s="15" t="n">
        <f aca="false">F550</f>
        <v>313.132773468074</v>
      </c>
      <c r="H14" s="14" t="n">
        <f aca="false">G14/G$4-1</f>
        <v>-0.0737244222050489</v>
      </c>
      <c r="I14" s="14" t="n">
        <f aca="false">E538</f>
        <v>0.869186027512121</v>
      </c>
    </row>
    <row r="15" customFormat="false" ht="17.15" hidden="false" customHeight="false" outlineLevel="0" collapsed="false">
      <c r="A15" s="5" t="s">
        <v>787</v>
      </c>
      <c r="B15" s="0" t="s">
        <v>788</v>
      </c>
      <c r="C15" s="15" t="n">
        <f aca="false">E581</f>
        <v>51.7136584082017</v>
      </c>
      <c r="D15" s="15" t="n">
        <f aca="false">E600</f>
        <v>274.009407072428</v>
      </c>
      <c r="E15" s="14" t="n">
        <f aca="false">D15/D$4-1</f>
        <v>0.0391998873980406</v>
      </c>
      <c r="F15" s="15" t="n">
        <f aca="false">F581</f>
        <v>57.7623149225535</v>
      </c>
      <c r="G15" s="15" t="n">
        <f aca="false">F600</f>
        <v>353.395741143509</v>
      </c>
      <c r="H15" s="14" t="n">
        <f aca="false">G15/G$4-1</f>
        <v>0.0453771436714669</v>
      </c>
      <c r="I15" s="14" t="n">
        <f aca="false">E588</f>
        <v>0.869186027512121</v>
      </c>
    </row>
    <row r="16" customFormat="false" ht="17.15" hidden="false" customHeight="false" outlineLevel="0" collapsed="false">
      <c r="A16" s="5" t="s">
        <v>789</v>
      </c>
      <c r="B16" s="0" t="s">
        <v>790</v>
      </c>
      <c r="C16" s="15" t="n">
        <f aca="false">E631</f>
        <v>51.7136584082017</v>
      </c>
      <c r="D16" s="15" t="n">
        <f aca="false">E650</f>
        <v>280.118888615765</v>
      </c>
      <c r="E16" s="14" t="n">
        <f aca="false">D16/D$4-1</f>
        <v>0.0623705244930604</v>
      </c>
      <c r="F16" s="15" t="n">
        <f aca="false">F631</f>
        <v>57.7623149225535</v>
      </c>
      <c r="G16" s="15" t="n">
        <f aca="false">F650</f>
        <v>389.693971553667</v>
      </c>
      <c r="H16" s="14" t="n">
        <f aca="false">G16/G$4-1</f>
        <v>0.152750651636551</v>
      </c>
      <c r="I16" s="14" t="n">
        <f aca="false">E638</f>
        <v>0.869186027512121</v>
      </c>
    </row>
    <row r="17" customFormat="false" ht="17.15" hidden="false" customHeight="false" outlineLevel="0" collapsed="false">
      <c r="A17" s="5" t="s">
        <v>791</v>
      </c>
      <c r="B17" s="0" t="s">
        <v>792</v>
      </c>
      <c r="C17" s="15" t="n">
        <f aca="false">E681</f>
        <v>51.7136584082017</v>
      </c>
      <c r="D17" s="15" t="n">
        <f aca="false">E700</f>
        <v>253.74216840052</v>
      </c>
      <c r="E17" s="14" t="n">
        <f aca="false">D17/D$4-1</f>
        <v>-0.03766503622171</v>
      </c>
      <c r="F17" s="15" t="n">
        <f aca="false">F681</f>
        <v>57.7623149225535</v>
      </c>
      <c r="G17" s="15" t="n">
        <f aca="false">F700</f>
        <v>310.747327874439</v>
      </c>
      <c r="H17" s="14" t="n">
        <f aca="false">G17/G$4-1</f>
        <v>-0.0807807899275006</v>
      </c>
      <c r="I17" s="14" t="n">
        <f aca="false">E688</f>
        <v>0.869186027512121</v>
      </c>
    </row>
    <row r="18" customFormat="false" ht="17.15" hidden="false" customHeight="false" outlineLevel="0" collapsed="false">
      <c r="A18" s="5" t="s">
        <v>793</v>
      </c>
      <c r="B18" s="0" t="s">
        <v>794</v>
      </c>
      <c r="C18" s="15" t="n">
        <f aca="false">PL!E124</f>
        <v>52.2098505415492</v>
      </c>
      <c r="D18" s="15" t="n">
        <f aca="false">PL!E143</f>
        <v>266.891604607242</v>
      </c>
      <c r="E18" s="14" t="n">
        <f aca="false">D18/D$4-1</f>
        <v>0.0122051225125155</v>
      </c>
      <c r="F18" s="15" t="n">
        <f aca="false">PL!F124</f>
        <v>40.9965505030281</v>
      </c>
      <c r="G18" s="15" t="n">
        <f aca="false">PL!F143</f>
        <v>214.570995716972</v>
      </c>
      <c r="H18" s="14" t="n">
        <f aca="false">G18/G$4-1</f>
        <v>-0.365279236553499</v>
      </c>
      <c r="I18" s="14" t="n">
        <f aca="false">PL!E131</f>
        <v>0.870089340613472</v>
      </c>
    </row>
    <row r="19" customFormat="false" ht="17.15" hidden="false" customHeight="false" outlineLevel="0" collapsed="false">
      <c r="A19" s="5" t="s">
        <v>795</v>
      </c>
      <c r="B19" s="0" t="s">
        <v>796</v>
      </c>
      <c r="C19" s="15" t="n">
        <f aca="false">PL!E171</f>
        <v>51.8620744553298</v>
      </c>
      <c r="D19" s="15" t="n">
        <f aca="false">PL!E190</f>
        <v>264.440692062969</v>
      </c>
      <c r="E19" s="14" t="n">
        <f aca="false">D19/D$4-1</f>
        <v>0.0029098648524073</v>
      </c>
      <c r="F19" s="15" t="n">
        <f aca="false">PL!F171</f>
        <v>37.3752414304965</v>
      </c>
      <c r="G19" s="15" t="n">
        <f aca="false">PL!F190</f>
        <v>190.433726588418</v>
      </c>
      <c r="H19" s="14" t="n">
        <f aca="false">G19/G$4-1</f>
        <v>-0.436679501242568</v>
      </c>
      <c r="I19" s="14" t="n">
        <f aca="false">PL!E178</f>
        <v>0.868909647758139</v>
      </c>
    </row>
    <row r="21" customFormat="false" ht="17.15" hidden="false" customHeight="false" outlineLevel="0" collapsed="false">
      <c r="A21" s="5" t="s">
        <v>797</v>
      </c>
    </row>
    <row r="60" customFormat="false" ht="17.15" hidden="false" customHeight="false" outlineLevel="0" collapsed="false">
      <c r="A60" s="3" t="s">
        <v>798</v>
      </c>
    </row>
    <row r="61" customFormat="false" ht="17.15" hidden="false" customHeight="false" outlineLevel="0" collapsed="false">
      <c r="A61" s="12" t="s">
        <v>434</v>
      </c>
      <c r="B61" s="6" t="s">
        <v>17</v>
      </c>
      <c r="C61" s="12" t="s">
        <v>435</v>
      </c>
      <c r="D61" s="12" t="s">
        <v>436</v>
      </c>
      <c r="E61" s="12" t="s">
        <v>437</v>
      </c>
      <c r="F61" s="12" t="s">
        <v>438</v>
      </c>
      <c r="G61" s="12" t="s">
        <v>439</v>
      </c>
      <c r="H61" s="12" t="s">
        <v>440</v>
      </c>
      <c r="I61" s="12" t="s">
        <v>441</v>
      </c>
      <c r="J61" s="12" t="s">
        <v>442</v>
      </c>
      <c r="K61" s="12" t="s">
        <v>443</v>
      </c>
      <c r="L61" s="12" t="s">
        <v>444</v>
      </c>
      <c r="M61" s="12" t="s">
        <v>445</v>
      </c>
      <c r="N61" s="12" t="s">
        <v>446</v>
      </c>
      <c r="O61" s="12" t="s">
        <v>447</v>
      </c>
      <c r="P61" s="12" t="s">
        <v>448</v>
      </c>
      <c r="Q61" s="12" t="s">
        <v>449</v>
      </c>
      <c r="R61" s="12" t="s">
        <v>450</v>
      </c>
      <c r="S61" s="12"/>
      <c r="T61" s="6" t="s">
        <v>321</v>
      </c>
    </row>
    <row r="62" customFormat="false" ht="17.15" hidden="false" customHeight="false" outlineLevel="0" collapsed="false">
      <c r="A62" s="5" t="s">
        <v>451</v>
      </c>
      <c r="B62" s="0" t="s">
        <v>27</v>
      </c>
      <c r="C62" s="13" t="n">
        <f aca="false">Units!E4*1</f>
        <v>2.31</v>
      </c>
      <c r="D62" s="13" t="n">
        <f aca="false">Units!F4*1</f>
        <v>3.03</v>
      </c>
      <c r="E62" s="13" t="n">
        <f aca="false">Units!G4*1</f>
        <v>5.95</v>
      </c>
      <c r="F62" s="13" t="n">
        <f aca="false">Units!H4*1</f>
        <v>8.97</v>
      </c>
      <c r="G62" s="13" t="n">
        <f aca="false">Units!I4*1</f>
        <v>11.0371522587842</v>
      </c>
      <c r="H62" s="13" t="n">
        <f aca="false">Units!J4*1*0.8</f>
        <v>9.96816945198944</v>
      </c>
      <c r="I62" s="13" t="n">
        <f aca="false">Units!K4*1*0.8</f>
        <v>10.9837025506345</v>
      </c>
      <c r="J62" s="13" t="n">
        <f aca="false">Units!L4*1*0.8</f>
        <v>11.6138514432198</v>
      </c>
      <c r="K62" s="13" t="n">
        <f aca="false">Units!M4*1*0.8</f>
        <v>11.6661451352319</v>
      </c>
      <c r="L62" s="13" t="n">
        <f aca="false">Units!N4*1*0.8</f>
        <v>11.4719653576426</v>
      </c>
      <c r="M62" s="13" t="n">
        <f aca="false">Units!O4*1*0.8</f>
        <v>11.5236201791391</v>
      </c>
      <c r="N62" s="13" t="n">
        <f aca="false">Units!P4*1*0.8</f>
        <v>11.5755075868142</v>
      </c>
      <c r="O62" s="13" t="n">
        <f aca="false">Units!Q4*1*0.8</f>
        <v>11.6276286279338</v>
      </c>
      <c r="P62" s="13" t="n">
        <f aca="false">Units!R4*1*0.8</f>
        <v>11.6799843544793</v>
      </c>
      <c r="Q62" s="13" t="n">
        <f aca="false">Units!S4*1*0.8</f>
        <v>11.8037881960746</v>
      </c>
      <c r="R62" s="13" t="n">
        <f aca="false">Units!T4*1*0.8</f>
        <v>12.0332544436346</v>
      </c>
      <c r="T62" s="8" t="s">
        <v>452</v>
      </c>
    </row>
    <row r="63" customFormat="false" ht="15" hidden="false" customHeight="false" outlineLevel="0" collapsed="false">
      <c r="A63" s="5" t="s">
        <v>453</v>
      </c>
      <c r="B63" s="0" t="s">
        <v>386</v>
      </c>
      <c r="C63" s="13" t="n">
        <f aca="false">Units!E7*1</f>
        <v>31.1552804325753</v>
      </c>
      <c r="D63" s="13" t="n">
        <f aca="false">Units!F7*1</f>
        <v>33.5147228924475</v>
      </c>
      <c r="E63" s="13" t="n">
        <f aca="false">Units!G7*1</f>
        <v>38.0693331650007</v>
      </c>
      <c r="F63" s="13" t="n">
        <f aca="false">Units!H7*1</f>
        <v>33.6172154529341</v>
      </c>
      <c r="G63" s="13" t="n">
        <f aca="false">Units!I7*1</f>
        <v>33.0914894510934</v>
      </c>
      <c r="H63" s="13" t="n">
        <f aca="false">Units!J7*1</f>
        <v>34.5588285485368</v>
      </c>
      <c r="I63" s="13" t="n">
        <f aca="false">Units!K7*1</f>
        <v>36.9704842497676</v>
      </c>
      <c r="J63" s="13" t="n">
        <f aca="false">Units!L7*1</f>
        <v>39.0915276411862</v>
      </c>
      <c r="K63" s="13" t="n">
        <f aca="false">Units!M7*1</f>
        <v>41.3342579717828</v>
      </c>
      <c r="L63" s="13" t="n">
        <f aca="false">Units!N7*1</f>
        <v>43.7056565750022</v>
      </c>
      <c r="M63" s="13" t="n">
        <f aca="false">Units!O7*1</f>
        <v>46.2131053122095</v>
      </c>
      <c r="N63" s="13" t="n">
        <f aca="false">Units!P7*1</f>
        <v>48.8644095514828</v>
      </c>
      <c r="O63" s="13" t="n">
        <f aca="false">Units!Q7*1</f>
        <v>51.6678224647285</v>
      </c>
      <c r="P63" s="13" t="n">
        <f aca="false">Units!R7*1</f>
        <v>54.6320707187528</v>
      </c>
      <c r="Q63" s="13" t="n">
        <f aca="false">Units!S7*1</f>
        <v>56.9187133953845</v>
      </c>
      <c r="R63" s="13" t="n">
        <f aca="false">Units!T7*1</f>
        <v>59.8198104136917</v>
      </c>
    </row>
    <row r="64" customFormat="false" ht="17.15" hidden="false" customHeight="false" outlineLevel="0" collapsed="false">
      <c r="A64" s="5" t="s">
        <v>344</v>
      </c>
      <c r="B64" s="0" t="s">
        <v>27</v>
      </c>
      <c r="C64" s="13" t="n">
        <f aca="false">q1_rev</f>
        <v>2.308</v>
      </c>
      <c r="D64" s="13" t="n">
        <f aca="false">q2_rev</f>
        <v>3.025</v>
      </c>
      <c r="E64" s="13" t="n">
        <f aca="false">q3_rev</f>
        <v>5.95</v>
      </c>
      <c r="F64" s="13" t="n">
        <f aca="false">q4_rev</f>
        <v>8.965</v>
      </c>
      <c r="G64" s="13" t="n">
        <f aca="false">G62*sd_k</f>
        <v>11.0306149524118</v>
      </c>
      <c r="H64" s="13" t="n">
        <f aca="false">H62*sd_k</f>
        <v>9.962265304239</v>
      </c>
      <c r="I64" s="13" t="n">
        <f aca="false">I62*sd_k</f>
        <v>10.9771969025295</v>
      </c>
      <c r="J64" s="13" t="n">
        <f aca="false">J62*sd_k</f>
        <v>11.6069725578635</v>
      </c>
      <c r="K64" s="13" t="n">
        <f aca="false">K62*sd_k</f>
        <v>11.6592352763167</v>
      </c>
      <c r="L64" s="13" t="n">
        <f aca="false">L62*sd_k</f>
        <v>11.4651705114288</v>
      </c>
      <c r="M64" s="13" t="n">
        <f aca="false">M62*sd_k</f>
        <v>11.5167947377694</v>
      </c>
      <c r="N64" s="13" t="n">
        <f aca="false">N62*sd_k</f>
        <v>11.5686514125279</v>
      </c>
      <c r="O64" s="13" t="n">
        <f aca="false">O62*sd_k</f>
        <v>11.6207415823497</v>
      </c>
      <c r="P64" s="13" t="n">
        <f aca="false">P62*sd_k</f>
        <v>11.6730662985931</v>
      </c>
      <c r="Q64" s="13" t="n">
        <f aca="false">Q62*sd_k</f>
        <v>11.7967968111608</v>
      </c>
      <c r="R64" s="13" t="n">
        <f aca="false">R62*sd_k</f>
        <v>12.0261271458398</v>
      </c>
      <c r="T64" s="5" t="s">
        <v>454</v>
      </c>
    </row>
    <row r="65" customFormat="false" ht="17.15" hidden="false" customHeight="false" outlineLevel="0" collapsed="false">
      <c r="A65" s="5" t="s">
        <v>455</v>
      </c>
      <c r="B65" s="0" t="s">
        <v>27</v>
      </c>
      <c r="C65" s="13" t="n">
        <f aca="false">q1_dc</f>
        <v>0.269</v>
      </c>
      <c r="D65" s="13" t="n">
        <f aca="false">q2_dc</f>
        <v>0.44</v>
      </c>
      <c r="E65" s="13" t="n">
        <f aca="false">q3_dc</f>
        <v>1.467</v>
      </c>
      <c r="F65" s="13" t="n">
        <f aca="false">q4_dc</f>
        <v>2.977</v>
      </c>
      <c r="G65" s="13" t="n">
        <f aca="false">G64*dcsh_27</f>
        <v>4.19163368191647</v>
      </c>
      <c r="H65" s="13" t="n">
        <f aca="false">H64*dcsh_27</f>
        <v>3.78566081561082</v>
      </c>
      <c r="I65" s="13" t="n">
        <f aca="false">I64*dcsh_27</f>
        <v>4.1713348229612</v>
      </c>
      <c r="J65" s="13" t="n">
        <f aca="false">J64*dcsh_27</f>
        <v>4.41064957198812</v>
      </c>
      <c r="K65" s="13" t="n">
        <f aca="false">K64*dcsh_28</f>
        <v>4.89687881605301</v>
      </c>
      <c r="L65" s="13" t="n">
        <f aca="false">L64*dcsh_28</f>
        <v>4.81537161480011</v>
      </c>
      <c r="M65" s="13" t="n">
        <f aca="false">M64*dcsh_28</f>
        <v>4.83705378986317</v>
      </c>
      <c r="N65" s="13" t="n">
        <f aca="false">N64*dcsh_28</f>
        <v>4.85883359326171</v>
      </c>
      <c r="O65" s="13" t="n">
        <f aca="false">O64*dcsh_29</f>
        <v>5.22933371205735</v>
      </c>
      <c r="P65" s="13" t="n">
        <f aca="false">P64*dcsh_29</f>
        <v>5.2528798343669</v>
      </c>
      <c r="Q65" s="13" t="n">
        <f aca="false">Q64*dcsh_29</f>
        <v>5.30855856502236</v>
      </c>
      <c r="R65" s="13" t="n">
        <f aca="false">R64*dcsh_29</f>
        <v>5.41175721562791</v>
      </c>
      <c r="T65" s="5" t="s">
        <v>456</v>
      </c>
    </row>
    <row r="66" customFormat="false" ht="17.15" hidden="false" customHeight="false" outlineLevel="0" collapsed="false">
      <c r="A66" s="5" t="s">
        <v>457</v>
      </c>
      <c r="B66" s="0" t="s">
        <v>27</v>
      </c>
      <c r="C66" s="13" t="n">
        <f aca="false">C65*(Units!C16+Units!D16)/2</f>
        <v>0.17543405707196</v>
      </c>
      <c r="D66" s="13" t="n">
        <f aca="false">D65*(Units!C16+Units!D16)/2</f>
        <v>0.286955334987593</v>
      </c>
      <c r="E66" s="13" t="n">
        <f aca="false">E65*(Units!C16+Units!D16)/2</f>
        <v>0.956735173697271</v>
      </c>
      <c r="F66" s="13" t="n">
        <f aca="false">F65*(Units!C16+Units!D16)/2</f>
        <v>1.94151370967742</v>
      </c>
      <c r="G66" s="13" t="n">
        <f aca="false">G65*(Units!D16+Units!E16)/2</f>
        <v>3.32353098753891</v>
      </c>
      <c r="H66" s="13" t="n">
        <f aca="false">H65*(Units!D16+Units!E16)/2</f>
        <v>3.0016365893982</v>
      </c>
      <c r="I66" s="13" t="n">
        <f aca="false">I65*(Units!D16+Units!E16)/2</f>
        <v>3.30743609665171</v>
      </c>
      <c r="J66" s="13" t="n">
        <f aca="false">J65*(Units!D16+Units!E16)/2</f>
        <v>3.49718788426556</v>
      </c>
      <c r="K66" s="13" t="n">
        <f aca="false">K65*(Units!E16+Units!F16)/2</f>
        <v>4.12930814736524</v>
      </c>
      <c r="L66" s="13" t="n">
        <f aca="false">L65*(Units!E16+Units!F16)/2</f>
        <v>4.06057694881093</v>
      </c>
      <c r="M66" s="13" t="n">
        <f aca="false">M65*(Units!E16+Units!F16)/2</f>
        <v>4.07886050972875</v>
      </c>
      <c r="N66" s="13" t="n">
        <f aca="false">N65*(Units!E16+Units!F16)/2</f>
        <v>4.09722639604123</v>
      </c>
      <c r="O66" s="13" t="n">
        <f aca="false">O65*(Units!F16+Units!G16)/2</f>
        <v>4.5242058015929</v>
      </c>
      <c r="P66" s="13" t="n">
        <f aca="false">P65*(Units!F16+Units!G16)/2</f>
        <v>4.54457694427065</v>
      </c>
      <c r="Q66" s="13" t="n">
        <f aca="false">Q65*(Units!F16+Units!G16)/2</f>
        <v>4.59274790640984</v>
      </c>
      <c r="R66" s="13" t="n">
        <f aca="false">R65*(Units!F16+Units!G16)/2</f>
        <v>4.68203116112156</v>
      </c>
      <c r="T66" s="5" t="s">
        <v>458</v>
      </c>
    </row>
    <row r="67" customFormat="false" ht="17.15" hidden="false" customHeight="false" outlineLevel="0" collapsed="false">
      <c r="A67" s="5" t="s">
        <v>459</v>
      </c>
      <c r="B67" s="0" t="s">
        <v>27</v>
      </c>
      <c r="C67" s="13" t="n">
        <f aca="false">C65-C66</f>
        <v>0.0935659429280397</v>
      </c>
      <c r="D67" s="13" t="n">
        <f aca="false">D65-D66</f>
        <v>0.153044665012407</v>
      </c>
      <c r="E67" s="13" t="n">
        <f aca="false">E65-E66</f>
        <v>0.51026482630273</v>
      </c>
      <c r="F67" s="13" t="n">
        <f aca="false">F65-F66</f>
        <v>1.03548629032258</v>
      </c>
      <c r="G67" s="13" t="n">
        <f aca="false">G65-G66</f>
        <v>0.868102694377567</v>
      </c>
      <c r="H67" s="13" t="n">
        <f aca="false">H65-H66</f>
        <v>0.784024226212623</v>
      </c>
      <c r="I67" s="13" t="n">
        <f aca="false">I65-I66</f>
        <v>0.863898726309487</v>
      </c>
      <c r="J67" s="13" t="n">
        <f aca="false">J65-J66</f>
        <v>0.913461687722558</v>
      </c>
      <c r="K67" s="13" t="n">
        <f aca="false">K65-K66</f>
        <v>0.767570668687768</v>
      </c>
      <c r="L67" s="13" t="n">
        <f aca="false">L65-L66</f>
        <v>0.754794665989179</v>
      </c>
      <c r="M67" s="13" t="n">
        <f aca="false">M65-M66</f>
        <v>0.758193280134417</v>
      </c>
      <c r="N67" s="13" t="n">
        <f aca="false">N65-N66</f>
        <v>0.761607197220481</v>
      </c>
      <c r="O67" s="13" t="n">
        <f aca="false">O65-O66</f>
        <v>0.705127910464456</v>
      </c>
      <c r="P67" s="13" t="n">
        <f aca="false">P65-P66</f>
        <v>0.708302890096257</v>
      </c>
      <c r="Q67" s="13" t="n">
        <f aca="false">Q65-Q66</f>
        <v>0.715810658612516</v>
      </c>
      <c r="R67" s="13" t="n">
        <f aca="false">R65-R66</f>
        <v>0.729726054506348</v>
      </c>
    </row>
    <row r="68" customFormat="false" ht="15" hidden="false" customHeight="false" outlineLevel="0" collapsed="false">
      <c r="A68" s="5" t="s">
        <v>460</v>
      </c>
      <c r="B68" s="0" t="s">
        <v>27</v>
      </c>
      <c r="C68" s="13" t="n">
        <f aca="false">q1_cs</f>
        <v>0.652</v>
      </c>
      <c r="D68" s="13" t="n">
        <f aca="false">q2_cs</f>
        <v>0.907</v>
      </c>
      <c r="E68" s="13" t="n">
        <f aca="false">q3_cs</f>
        <v>0.82</v>
      </c>
      <c r="F68" s="13" t="n">
        <f aca="false">q4_cs</f>
        <v>0.556</v>
      </c>
      <c r="G68" s="13" t="n">
        <f aca="false">G64*cssh_27</f>
        <v>0.661836897144706</v>
      </c>
      <c r="H68" s="13" t="n">
        <f aca="false">H64*cssh_27</f>
        <v>0.59773591825434</v>
      </c>
      <c r="I68" s="13" t="n">
        <f aca="false">I64*cssh_27</f>
        <v>0.658631814151768</v>
      </c>
      <c r="J68" s="13" t="n">
        <f aca="false">J64*cssh_27</f>
        <v>0.696418353471808</v>
      </c>
      <c r="K68" s="13" t="n">
        <f aca="false">K64*cssh_28</f>
        <v>0.699554116579001</v>
      </c>
      <c r="L68" s="13" t="n">
        <f aca="false">L64*cssh_28</f>
        <v>0.68791023068573</v>
      </c>
      <c r="M68" s="13" t="n">
        <f aca="false">M64*cssh_28</f>
        <v>0.691007684266167</v>
      </c>
      <c r="N68" s="13" t="n">
        <f aca="false">N64*cssh_28</f>
        <v>0.694119084751673</v>
      </c>
      <c r="O68" s="13" t="n">
        <f aca="false">O64*cssh_29</f>
        <v>0.697244494940981</v>
      </c>
      <c r="P68" s="13" t="n">
        <f aca="false">P64*cssh_29</f>
        <v>0.700383977915587</v>
      </c>
      <c r="Q68" s="13" t="n">
        <f aca="false">Q64*cssh_29</f>
        <v>0.707807808669648</v>
      </c>
      <c r="R68" s="13" t="n">
        <f aca="false">R64*cssh_29</f>
        <v>0.721567628750388</v>
      </c>
      <c r="T68" s="5" t="s">
        <v>461</v>
      </c>
    </row>
    <row r="69" customFormat="false" ht="15" hidden="false" customHeight="false" outlineLevel="0" collapsed="false">
      <c r="A69" s="5" t="s">
        <v>462</v>
      </c>
      <c r="B69" s="0" t="s">
        <v>27</v>
      </c>
      <c r="C69" s="13" t="n">
        <f aca="false">q1_ed</f>
        <v>1.387</v>
      </c>
      <c r="D69" s="13" t="n">
        <f aca="false">q2_ed</f>
        <v>1.678</v>
      </c>
      <c r="E69" s="13" t="n">
        <f aca="false">q3_ed</f>
        <v>3.663</v>
      </c>
      <c r="F69" s="13" t="n">
        <f aca="false">q4_ed</f>
        <v>5.432</v>
      </c>
      <c r="G69" s="13" t="n">
        <f aca="false">G64-G65-G68</f>
        <v>6.17714437335059</v>
      </c>
      <c r="H69" s="13" t="n">
        <f aca="false">H64-H65-H68</f>
        <v>5.57886857037384</v>
      </c>
      <c r="I69" s="13" t="n">
        <f aca="false">I64-I65-I68</f>
        <v>6.1472302654165</v>
      </c>
      <c r="J69" s="13" t="n">
        <f aca="false">J64-J65-J68</f>
        <v>6.49990463240354</v>
      </c>
      <c r="K69" s="13" t="n">
        <f aca="false">K64-K65-K68</f>
        <v>6.06280234368468</v>
      </c>
      <c r="L69" s="13" t="n">
        <f aca="false">L64-L65-L68</f>
        <v>5.961888665943</v>
      </c>
      <c r="M69" s="13" t="n">
        <f aca="false">M64-M65-M68</f>
        <v>5.98873326364011</v>
      </c>
      <c r="N69" s="13" t="n">
        <f aca="false">N64-N65-N68</f>
        <v>6.0156987345145</v>
      </c>
      <c r="O69" s="13" t="n">
        <f aca="false">O64-O65-O68</f>
        <v>5.69416337535134</v>
      </c>
      <c r="P69" s="13" t="n">
        <f aca="false">P64-P65-P68</f>
        <v>5.71980248631063</v>
      </c>
      <c r="Q69" s="13" t="n">
        <f aca="false">Q64-Q65-Q68</f>
        <v>5.78043043746879</v>
      </c>
      <c r="R69" s="13" t="n">
        <f aca="false">R64-R65-R68</f>
        <v>5.8928023014615</v>
      </c>
      <c r="T69" s="5" t="s">
        <v>463</v>
      </c>
    </row>
    <row r="70" customFormat="false" ht="15" hidden="false" customHeight="false" outlineLevel="0" collapsed="false">
      <c r="A70" s="5" t="s">
        <v>464</v>
      </c>
      <c r="B70" s="0" t="s">
        <v>27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465</v>
      </c>
      <c r="B71" s="0" t="s">
        <v>466</v>
      </c>
      <c r="C71" s="19" t="n">
        <f aca="false">C72/C63</f>
        <v>0.0520045391183812</v>
      </c>
      <c r="D71" s="19" t="n">
        <f aca="false">D72/D63</f>
        <v>0.0443170902760084</v>
      </c>
      <c r="E71" s="19" t="n">
        <f aca="false">E72/E63</f>
        <v>0.0337594565796481</v>
      </c>
      <c r="F71" s="19" t="n">
        <f aca="false">F72/F63</f>
        <v>0.0410685412637144</v>
      </c>
      <c r="G71" s="19" t="n">
        <f aca="false">(1-g_gm)*G64/G63</f>
        <v>0.049900535931346</v>
      </c>
      <c r="H71" s="19" t="n">
        <f aca="false">$G71*(1-cd_A)^(1/4)</f>
        <v>0.0480540308412442</v>
      </c>
      <c r="I71" s="19" t="n">
        <f aca="false">$G71*(1-cd_A)^(2/4)</f>
        <v>0.0462758532948078</v>
      </c>
      <c r="J71" s="19" t="n">
        <f aca="false">$G71*(1-cd_A)^(3/4)</f>
        <v>0.0445634749192484</v>
      </c>
      <c r="K71" s="19" t="n">
        <f aca="false">$G71*(1-cd_A)^(4/4)</f>
        <v>0.0429144609009575</v>
      </c>
      <c r="L71" s="19" t="n">
        <f aca="false">$G71*(1-cd_A)^(5/4)</f>
        <v>0.04132646652347</v>
      </c>
      <c r="M71" s="19" t="n">
        <f aca="false">$G71*(1-cd_A)^(6/4)</f>
        <v>0.0397972338335347</v>
      </c>
      <c r="N71" s="19" t="n">
        <f aca="false">$G71*(1-cd_A)^(7/4)</f>
        <v>0.0383245884305536</v>
      </c>
      <c r="O71" s="19" t="n">
        <f aca="false">$G71*(1-cd_A)^(8/4)</f>
        <v>0.0369064363748235</v>
      </c>
      <c r="P71" s="19" t="n">
        <f aca="false">$G71*(1-cd_A)^(9/4)</f>
        <v>0.0355407612101842</v>
      </c>
      <c r="Q71" s="19" t="n">
        <f aca="false">$G71*(1-cd_A)^(10/4)</f>
        <v>0.0342256210968399</v>
      </c>
      <c r="R71" s="19" t="n">
        <f aca="false">$G71*(1-cd_A)^(11/4)</f>
        <v>0.0329591460502761</v>
      </c>
    </row>
    <row r="72" customFormat="false" ht="15" hidden="false" customHeight="false" outlineLevel="0" collapsed="false">
      <c r="A72" s="5" t="s">
        <v>467</v>
      </c>
      <c r="B72" s="0" t="s">
        <v>27</v>
      </c>
      <c r="C72" s="13" t="n">
        <f aca="false">q1_rev*(1-q1_gm)</f>
        <v>1.620216</v>
      </c>
      <c r="D72" s="13" t="n">
        <f aca="false">q2_rev*(1-q2_gm)</f>
        <v>1.485275</v>
      </c>
      <c r="E72" s="13" t="n">
        <f aca="false">q3_rev*(1-q3_gm)</f>
        <v>1.2852</v>
      </c>
      <c r="F72" s="13" t="n">
        <f aca="false">q4_rev*(1-q4_gm)</f>
        <v>1.38061</v>
      </c>
      <c r="G72" s="13" t="n">
        <f aca="false">G63*G71</f>
        <v>1.65128305837604</v>
      </c>
      <c r="H72" s="13" t="n">
        <f aca="false">H63*H71</f>
        <v>1.66069101290866</v>
      </c>
      <c r="I72" s="13" t="n">
        <f aca="false">I63*I71</f>
        <v>1.71084070538025</v>
      </c>
      <c r="J72" s="13" t="n">
        <f aca="false">J63*J71</f>
        <v>1.7420543115931</v>
      </c>
      <c r="K72" s="13" t="n">
        <f aca="false">K63*K71</f>
        <v>1.77383739760017</v>
      </c>
      <c r="L72" s="13" t="n">
        <f aca="false">L63*L71</f>
        <v>1.80620035333311</v>
      </c>
      <c r="M72" s="13" t="n">
        <f aca="false">M63*M71</f>
        <v>1.83915375828377</v>
      </c>
      <c r="N72" s="13" t="n">
        <f aca="false">N63*N71</f>
        <v>1.87270838496259</v>
      </c>
      <c r="O72" s="13" t="n">
        <f aca="false">O63*O71</f>
        <v>1.90687520242018</v>
      </c>
      <c r="P72" s="13" t="n">
        <f aca="false">P63*P71</f>
        <v>1.94166537983309</v>
      </c>
      <c r="Q72" s="13" t="n">
        <f aca="false">Q63*Q71</f>
        <v>1.94807831799005</v>
      </c>
      <c r="R72" s="13" t="n">
        <f aca="false">R63*R71</f>
        <v>1.97160986812469</v>
      </c>
    </row>
    <row r="73" customFormat="false" ht="15" hidden="false" customHeight="false" outlineLevel="0" collapsed="false">
      <c r="A73" s="5" t="s">
        <v>423</v>
      </c>
      <c r="B73" s="0" t="s">
        <v>33</v>
      </c>
      <c r="C73" s="14" t="n">
        <f aca="false">1-C72/C64</f>
        <v>0.298</v>
      </c>
      <c r="D73" s="14" t="n">
        <f aca="false">1-D72/D64</f>
        <v>0.509</v>
      </c>
      <c r="E73" s="14" t="n">
        <f aca="false">1-E72/E64</f>
        <v>0.784</v>
      </c>
      <c r="F73" s="14" t="n">
        <f aca="false">1-F72/F64</f>
        <v>0.846</v>
      </c>
      <c r="G73" s="14" t="n">
        <f aca="false">1-G72/G64</f>
        <v>0.8503</v>
      </c>
      <c r="H73" s="14" t="n">
        <f aca="false">1-H72/H64</f>
        <v>0.833301868381077</v>
      </c>
      <c r="I73" s="14" t="n">
        <f aca="false">1-I72/I64</f>
        <v>0.844145939936085</v>
      </c>
      <c r="J73" s="14" t="n">
        <f aca="false">1-J72/J64</f>
        <v>0.84991311878196</v>
      </c>
      <c r="K73" s="14" t="n">
        <f aca="false">1-K72/K64</f>
        <v>0.847859884841389</v>
      </c>
      <c r="L73" s="14" t="n">
        <f aca="false">1-L72/L64</f>
        <v>0.842461971975678</v>
      </c>
      <c r="M73" s="14" t="n">
        <f aca="false">1-M72/M64</f>
        <v>0.840306804092614</v>
      </c>
      <c r="N73" s="14" t="n">
        <f aca="false">1-N72/N64</f>
        <v>0.838122152860911</v>
      </c>
      <c r="O73" s="14" t="n">
        <f aca="false">1-O72/O64</f>
        <v>0.835907614939441</v>
      </c>
      <c r="P73" s="14" t="n">
        <f aca="false">1-P72/P64</f>
        <v>0.833662781469244</v>
      </c>
      <c r="Q73" s="14" t="n">
        <f aca="false">1-Q72/Q64</f>
        <v>0.834863789791903</v>
      </c>
      <c r="R73" s="14" t="n">
        <f aca="false">1-R72/R64</f>
        <v>0.83605612644743</v>
      </c>
    </row>
    <row r="74" customFormat="false" ht="17.15" hidden="false" customHeight="false" outlineLevel="0" collapsed="false">
      <c r="A74" s="5" t="s">
        <v>468</v>
      </c>
      <c r="B74" s="0" t="s">
        <v>27</v>
      </c>
      <c r="C74" s="13" t="n">
        <f aca="false">q1_rev-q1_rev*(1-q1_gm)-q1_op</f>
        <v>0.511784</v>
      </c>
      <c r="D74" s="13" t="n">
        <f aca="false">q2_rev-q2_rev*(1-q2_gm)-q2_op</f>
        <v>0.474725</v>
      </c>
      <c r="E74" s="13" t="n">
        <f aca="false">q3_rev-q3_rev*(1-q3_gm)-q3_op</f>
        <v>0.553800000000001</v>
      </c>
      <c r="F74" s="13" t="n">
        <f aca="false">q4_rev-q4_rev*(1-q4_gm)-q4_op</f>
        <v>0.54739</v>
      </c>
      <c r="G74" s="13" t="n">
        <f aca="false">(g_ox-ox_var*g_rev)*(1+ox_g)^(0/4)+ox_var*G64</f>
        <v>0.581996149524118</v>
      </c>
      <c r="H74" s="13" t="n">
        <f aca="false">(g_ox-ox_var*g_rev)*(1+ox_g)^(1/4)+ox_var*H64</f>
        <v>0.582686839046632</v>
      </c>
      <c r="I74" s="13" t="n">
        <f aca="false">(g_ox-ox_var*g_rev)*(1+ox_g)^(2/4)+ox_var*I64</f>
        <v>0.604484614618673</v>
      </c>
      <c r="J74" s="13" t="n">
        <f aca="false">(g_ox-ox_var*g_rev)*(1+ox_g)^(3/4)+ox_var*J64</f>
        <v>0.622711718093995</v>
      </c>
      <c r="K74" s="13" t="n">
        <f aca="false">(g_ox-ox_var*g_rev)*(1+ox_g)^(4/4)+ox_var*K64</f>
        <v>0.635451352763167</v>
      </c>
      <c r="L74" s="13" t="n">
        <f aca="false">(g_ox-ox_var*g_rev)*(1+ox_g)^(5/4)+ox_var*L64</f>
        <v>0.646022309718955</v>
      </c>
      <c r="M74" s="13" t="n">
        <f aca="false">(g_ox-ox_var*g_rev)*(1+ox_g)^(6/4)+ox_var*M64</f>
        <v>0.659351857530411</v>
      </c>
      <c r="N74" s="13" t="n">
        <f aca="false">(g_ox-ox_var*g_rev)*(1+ox_g)^(7/4)+ox_var*N64</f>
        <v>0.672992705892176</v>
      </c>
      <c r="O74" s="13" t="n">
        <f aca="false">(g_ox-ox_var*g_rev)*(1+ox_g)^(8/4)+ox_var*O64</f>
        <v>0.686952315823497</v>
      </c>
      <c r="P74" s="13" t="n">
        <f aca="false">(g_ox-ox_var*g_rev)*(1+ox_g)^(9/4)+ox_var*P64</f>
        <v>0.701238328051064</v>
      </c>
      <c r="Q74" s="13" t="n">
        <f aca="false">(g_ox-ox_var*g_rev)*(1+ox_g)^(10/4)+ox_var*Q64</f>
        <v>0.716570269279596</v>
      </c>
      <c r="R74" s="13" t="n">
        <f aca="false">(g_ox-ox_var*g_rev)*(1+ox_g)^(11/4)+ox_var*R64</f>
        <v>0.733298082401985</v>
      </c>
      <c r="T74" s="5" t="s">
        <v>469</v>
      </c>
    </row>
    <row r="75" customFormat="false" ht="15" hidden="false" customHeight="false" outlineLevel="0" collapsed="false">
      <c r="A75" s="5" t="s">
        <v>424</v>
      </c>
      <c r="B75" s="0" t="s">
        <v>27</v>
      </c>
      <c r="C75" s="13" t="n">
        <f aca="false">C64-C72-C74</f>
        <v>0.176</v>
      </c>
      <c r="D75" s="13" t="n">
        <f aca="false">D64-D72-D74</f>
        <v>1.065</v>
      </c>
      <c r="E75" s="13" t="n">
        <f aca="false">E64-E72-E74</f>
        <v>4.111</v>
      </c>
      <c r="F75" s="13" t="n">
        <f aca="false">F64-F72-F74</f>
        <v>7.037</v>
      </c>
      <c r="G75" s="13" t="n">
        <f aca="false">G64-G72-G74</f>
        <v>8.79733574451161</v>
      </c>
      <c r="H75" s="13" t="n">
        <f aca="false">H64-H72-H74</f>
        <v>7.71888745228371</v>
      </c>
      <c r="I75" s="13" t="n">
        <f aca="false">I64-I72-I74</f>
        <v>8.66187158253055</v>
      </c>
      <c r="J75" s="13" t="n">
        <f aca="false">J64-J72-J74</f>
        <v>9.24220652817636</v>
      </c>
      <c r="K75" s="13" t="n">
        <f aca="false">K64-K72-K74</f>
        <v>9.24994652595335</v>
      </c>
      <c r="L75" s="13" t="n">
        <f aca="false">L64-L72-L74</f>
        <v>9.01294784837677</v>
      </c>
      <c r="M75" s="13" t="n">
        <f aca="false">M64-M72-M74</f>
        <v>9.01828912195527</v>
      </c>
      <c r="N75" s="13" t="n">
        <f aca="false">N64-N72-N74</f>
        <v>9.02295032167311</v>
      </c>
      <c r="O75" s="13" t="n">
        <f aca="false">O64-O72-O74</f>
        <v>9.026914064106</v>
      </c>
      <c r="P75" s="13" t="n">
        <f aca="false">P64-P72-P74</f>
        <v>9.03016259070896</v>
      </c>
      <c r="Q75" s="13" t="n">
        <f aca="false">Q64-Q72-Q74</f>
        <v>9.13214822389115</v>
      </c>
      <c r="R75" s="13" t="n">
        <f aca="false">R64-R72-R74</f>
        <v>9.32121919531312</v>
      </c>
    </row>
    <row r="77" customFormat="false" ht="17.15" hidden="false" customHeight="false" outlineLevel="0" collapsed="false">
      <c r="A77" s="5" t="s">
        <v>426</v>
      </c>
      <c r="B77" s="0" t="s">
        <v>27</v>
      </c>
      <c r="C77" s="13" t="n">
        <f aca="false">q1_ni</f>
        <v>0.112</v>
      </c>
      <c r="D77" s="13" t="n">
        <f aca="false">q2_ni</f>
        <v>0.803</v>
      </c>
      <c r="E77" s="13" t="n">
        <f aca="false">q3_ni</f>
        <v>3.615</v>
      </c>
      <c r="F77" s="13" t="n">
        <f aca="false">q4_ni</f>
        <v>6.903</v>
      </c>
      <c r="G77" s="13" t="n">
        <f aca="false">(G75+rf*$D98/4)*(1-tax)</f>
        <v>7.51821238283487</v>
      </c>
      <c r="H77" s="13" t="n">
        <f aca="false">(H75+rf*$D98/4)*(1-tax)</f>
        <v>6.60153133444116</v>
      </c>
      <c r="I77" s="13" t="n">
        <f aca="false">(I75+rf*$D98/4)*(1-tax)</f>
        <v>7.40306784515096</v>
      </c>
      <c r="J77" s="13" t="n">
        <f aca="false">(J75+rf*$D98/4)*(1-tax)</f>
        <v>7.89635254894991</v>
      </c>
      <c r="K77" s="13" t="n">
        <f aca="false">(K75+rf*$E98/4)*(1-tax)</f>
        <v>8.01753084685585</v>
      </c>
      <c r="L77" s="13" t="n">
        <f aca="false">(L75+rf*$E98/4)*(1-tax)</f>
        <v>7.81608197091576</v>
      </c>
      <c r="M77" s="13" t="n">
        <f aca="false">(M75+rf*$E98/4)*(1-tax)</f>
        <v>7.82062205345748</v>
      </c>
      <c r="N77" s="13" t="n">
        <f aca="false">(N75+rf*$E98/4)*(1-tax)</f>
        <v>7.82458407321765</v>
      </c>
      <c r="O77" s="13" t="n">
        <f aca="false">(O75+rf*$F98/4)*(1-tax)</f>
        <v>7.9506347225553</v>
      </c>
      <c r="P77" s="13" t="n">
        <f aca="false">(P75+rf*$F98/4)*(1-tax)</f>
        <v>7.95339597016782</v>
      </c>
      <c r="Q77" s="13" t="n">
        <f aca="false">(Q75+rf*$F98/4)*(1-tax)</f>
        <v>8.04008375837268</v>
      </c>
      <c r="R77" s="13" t="n">
        <f aca="false">(R75+rf*$F98/4)*(1-tax)</f>
        <v>8.20079408408135</v>
      </c>
      <c r="T77" s="5" t="s">
        <v>470</v>
      </c>
    </row>
    <row r="78" customFormat="false" ht="17.15" hidden="false" customHeight="false" outlineLevel="0" collapsed="false">
      <c r="A78" s="5" t="s">
        <v>471</v>
      </c>
      <c r="B78" s="0" t="s">
        <v>40</v>
      </c>
      <c r="G78" s="15" t="n">
        <f aca="false">G77/(sh0+dil)*1000</f>
        <v>49.7894859790389</v>
      </c>
      <c r="H78" s="15" t="n">
        <f aca="false">H77/(sh0+dil)*1000</f>
        <v>43.718750559213</v>
      </c>
      <c r="I78" s="15" t="n">
        <f aca="false">I77/(sh0+dil)*1000</f>
        <v>49.0269393718607</v>
      </c>
      <c r="J78" s="15" t="n">
        <f aca="false">J77/(sh0+dil)*1000</f>
        <v>52.2937254897345</v>
      </c>
      <c r="K78" s="15" t="n">
        <f aca="false">K77/(sh0+dil)*1000</f>
        <v>53.0962307738798</v>
      </c>
      <c r="L78" s="15" t="n">
        <f aca="false">L77/(sh0+dil)*1000</f>
        <v>51.7621322577203</v>
      </c>
      <c r="M78" s="15" t="n">
        <f aca="false">M77/(sh0+dil)*1000</f>
        <v>51.7921990295197</v>
      </c>
      <c r="N78" s="15" t="n">
        <f aca="false">N77/(sh0+dil)*1000</f>
        <v>51.8184375709778</v>
      </c>
      <c r="O78" s="15" t="n">
        <f aca="false">O77/(sh0+dil)*1000</f>
        <v>52.6532100831477</v>
      </c>
      <c r="P78" s="15" t="n">
        <f aca="false">P77/(sh0+dil)*1000</f>
        <v>52.6714964911776</v>
      </c>
      <c r="Q78" s="15" t="n">
        <f aca="false">Q77/(sh0+dil)*1000</f>
        <v>53.2455878037926</v>
      </c>
      <c r="R78" s="15" t="n">
        <f aca="false">R77/(sh0+dil)*1000</f>
        <v>54.3098945965652</v>
      </c>
    </row>
    <row r="80" customFormat="false" ht="17.15" hidden="false" customHeight="false" outlineLevel="0" collapsed="false">
      <c r="A80" s="12" t="s">
        <v>472</v>
      </c>
      <c r="B80" s="6" t="s">
        <v>17</v>
      </c>
      <c r="C80" s="12" t="s">
        <v>413</v>
      </c>
      <c r="D80" s="12" t="s">
        <v>414</v>
      </c>
      <c r="E80" s="12" t="s">
        <v>415</v>
      </c>
      <c r="F80" s="12" t="s">
        <v>416</v>
      </c>
      <c r="G80" s="12" t="s">
        <v>417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321</v>
      </c>
    </row>
    <row r="81" customFormat="false" ht="15" hidden="false" customHeight="false" outlineLevel="0" collapsed="false">
      <c r="A81" s="5" t="s">
        <v>344</v>
      </c>
      <c r="B81" s="0" t="s">
        <v>27</v>
      </c>
      <c r="C81" s="13" t="n">
        <f aca="false">a25_rev</f>
        <v>7.355</v>
      </c>
      <c r="D81" s="13" t="n">
        <f aca="false">SUM(C64:F64)</f>
        <v>20.248</v>
      </c>
      <c r="E81" s="13" t="n">
        <f aca="false">SUM(G64:J64)</f>
        <v>43.5770497170437</v>
      </c>
      <c r="F81" s="13" t="n">
        <f aca="false">SUM(K64:N64)</f>
        <v>46.2098519380428</v>
      </c>
      <c r="G81" s="13" t="n">
        <f aca="false">SUM(O64:R64)</f>
        <v>47.1167318379434</v>
      </c>
    </row>
    <row r="82" customFormat="false" ht="15" hidden="false" customHeight="false" outlineLevel="0" collapsed="false">
      <c r="A82" s="5" t="s">
        <v>473</v>
      </c>
      <c r="B82" s="0" t="s">
        <v>27</v>
      </c>
      <c r="D82" s="13" t="n">
        <f aca="false">SUM(C65:F65)</f>
        <v>5.153</v>
      </c>
      <c r="E82" s="13" t="n">
        <f aca="false">SUM(G65:J65)</f>
        <v>16.5592788924766</v>
      </c>
      <c r="F82" s="13" t="n">
        <f aca="false">SUM(K65:N65)</f>
        <v>19.408137813978</v>
      </c>
      <c r="G82" s="13" t="n">
        <f aca="false">SUM(O65:R65)</f>
        <v>21.2025293270745</v>
      </c>
    </row>
    <row r="83" customFormat="false" ht="17.15" hidden="false" customHeight="false" outlineLevel="0" collapsed="false">
      <c r="A83" s="5" t="s">
        <v>474</v>
      </c>
      <c r="B83" s="0" t="s">
        <v>27</v>
      </c>
      <c r="D83" s="13" t="n">
        <f aca="false">SUM(C66:F66)</f>
        <v>3.36063827543424</v>
      </c>
      <c r="E83" s="13" t="n">
        <f aca="false">SUM(G66:J66)</f>
        <v>13.1297915578544</v>
      </c>
      <c r="F83" s="13" t="n">
        <f aca="false">SUM(K66:N66)</f>
        <v>16.3659720019461</v>
      </c>
      <c r="G83" s="13" t="n">
        <f aca="false">SUM(O66:R66)</f>
        <v>18.3435618133949</v>
      </c>
    </row>
    <row r="84" customFormat="false" ht="15" hidden="false" customHeight="false" outlineLevel="0" collapsed="false">
      <c r="A84" s="5" t="s">
        <v>475</v>
      </c>
      <c r="B84" s="0" t="s">
        <v>27</v>
      </c>
      <c r="D84" s="13" t="n">
        <f aca="false">SUM(C69:F69)</f>
        <v>12.16</v>
      </c>
      <c r="E84" s="13" t="n">
        <f aca="false">SUM(G69:J69)</f>
        <v>24.4031478415445</v>
      </c>
      <c r="F84" s="13" t="n">
        <f aca="false">SUM(K69:N69)</f>
        <v>24.0291230077823</v>
      </c>
      <c r="G84" s="13" t="n">
        <f aca="false">SUM(O69:R69)</f>
        <v>23.0871986005923</v>
      </c>
    </row>
    <row r="85" customFormat="false" ht="15" hidden="false" customHeight="false" outlineLevel="0" collapsed="false">
      <c r="A85" s="5" t="s">
        <v>476</v>
      </c>
      <c r="B85" s="0" t="s">
        <v>27</v>
      </c>
      <c r="D85" s="13" t="n">
        <f aca="false">SUM(C68:F68)</f>
        <v>2.935</v>
      </c>
      <c r="E85" s="13" t="n">
        <f aca="false">SUM(G68:J68)</f>
        <v>2.61462298302262</v>
      </c>
      <c r="F85" s="13" t="n">
        <f aca="false">SUM(K68:N68)</f>
        <v>2.77259111628257</v>
      </c>
      <c r="G85" s="13" t="n">
        <f aca="false">SUM(O68:R68)</f>
        <v>2.8270039102766</v>
      </c>
    </row>
    <row r="86" customFormat="false" ht="17.15" hidden="false" customHeight="false" outlineLevel="0" collapsed="false">
      <c r="A86" s="5" t="s">
        <v>477</v>
      </c>
      <c r="B86" s="0" t="s">
        <v>27</v>
      </c>
      <c r="D86" s="18" t="n">
        <f aca="false">D82+D84+D85-D81+ABS(D82-a26_dc)+ABS(D84-a26_ed)+ABS(D85-a26_cs)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467</v>
      </c>
      <c r="B87" s="0" t="s">
        <v>27</v>
      </c>
      <c r="D87" s="13" t="n">
        <f aca="false">SUM(C72:F72)</f>
        <v>5.771301</v>
      </c>
      <c r="E87" s="13" t="n">
        <f aca="false">SUM(G72:J72)</f>
        <v>6.76486908825806</v>
      </c>
      <c r="F87" s="13" t="n">
        <f aca="false">SUM(K72:N72)</f>
        <v>7.29189989417963</v>
      </c>
      <c r="G87" s="13" t="n">
        <f aca="false">SUM(O72:R72)</f>
        <v>7.76822876836801</v>
      </c>
    </row>
    <row r="88" customFormat="false" ht="15" hidden="false" customHeight="false" outlineLevel="0" collapsed="false">
      <c r="A88" s="5" t="s">
        <v>423</v>
      </c>
      <c r="B88" s="0" t="s">
        <v>33</v>
      </c>
      <c r="D88" s="14" t="n">
        <f aca="false">1-D87/D81</f>
        <v>0.714969330304228</v>
      </c>
      <c r="E88" s="14" t="n">
        <f aca="false">1-E87/E81</f>
        <v>0.844760736851531</v>
      </c>
      <c r="F88" s="14" t="n">
        <f aca="false">1-F87/F81</f>
        <v>0.842200319015165</v>
      </c>
      <c r="G88" s="14" t="n">
        <f aca="false">1-G87/G81</f>
        <v>0.835128022141124</v>
      </c>
    </row>
    <row r="89" customFormat="false" ht="15" hidden="false" customHeight="false" outlineLevel="0" collapsed="false">
      <c r="A89" s="5" t="s">
        <v>468</v>
      </c>
      <c r="B89" s="0" t="s">
        <v>27</v>
      </c>
      <c r="D89" s="13" t="n">
        <f aca="false">SUM(C74:F74)</f>
        <v>2.087699</v>
      </c>
      <c r="E89" s="13" t="n">
        <f aca="false">SUM(G74:J74)</f>
        <v>2.39187932128342</v>
      </c>
      <c r="F89" s="13" t="n">
        <f aca="false">SUM(K74:N74)</f>
        <v>2.61381822590471</v>
      </c>
      <c r="G89" s="13" t="n">
        <f aca="false">SUM(O74:R74)</f>
        <v>2.83805899555614</v>
      </c>
    </row>
    <row r="90" customFormat="false" ht="15" hidden="false" customHeight="false" outlineLevel="0" collapsed="false">
      <c r="A90" s="5" t="s">
        <v>424</v>
      </c>
      <c r="B90" s="0" t="s">
        <v>27</v>
      </c>
      <c r="D90" s="13" t="n">
        <f aca="false">SUM(C75:F75)</f>
        <v>12.389</v>
      </c>
      <c r="E90" s="13" t="n">
        <f aca="false">SUM(G75:J75)</f>
        <v>34.4203013075022</v>
      </c>
      <c r="F90" s="13" t="n">
        <f aca="false">SUM(K75:N75)</f>
        <v>36.3041338179585</v>
      </c>
      <c r="G90" s="13" t="n">
        <f aca="false">SUM(O75:R75)</f>
        <v>36.5104440740192</v>
      </c>
    </row>
    <row r="91" customFormat="false" ht="15" hidden="false" customHeight="false" outlineLevel="0" collapsed="false">
      <c r="A91" s="5" t="s">
        <v>425</v>
      </c>
      <c r="B91" s="0" t="s">
        <v>33</v>
      </c>
      <c r="D91" s="14" t="n">
        <f aca="false">D90/D81</f>
        <v>0.61186290003951</v>
      </c>
      <c r="E91" s="14" t="n">
        <f aca="false">E90/E81</f>
        <v>0.789872227032384</v>
      </c>
      <c r="F91" s="14" t="n">
        <f aca="false">F90/F81</f>
        <v>0.785636228972001</v>
      </c>
      <c r="G91" s="14" t="n">
        <f aca="false">G90/G81</f>
        <v>0.774893390305504</v>
      </c>
    </row>
    <row r="92" customFormat="false" ht="15" hidden="false" customHeight="false" outlineLevel="0" collapsed="false">
      <c r="A92" s="5" t="s">
        <v>426</v>
      </c>
      <c r="B92" s="0" t="s">
        <v>27</v>
      </c>
      <c r="C92" s="13" t="n">
        <f aca="false">a25_ni</f>
        <v>-1.641</v>
      </c>
      <c r="D92" s="13" t="n">
        <f aca="false">SUM(C77:F77)</f>
        <v>11.433</v>
      </c>
      <c r="E92" s="13" t="n">
        <f aca="false">SUM(G77:J77)</f>
        <v>29.4191641113769</v>
      </c>
      <c r="F92" s="13" t="n">
        <f aca="false">SUM(K77:N77)</f>
        <v>31.4788189444467</v>
      </c>
      <c r="G92" s="13" t="n">
        <f aca="false">SUM(O77:R77)</f>
        <v>32.1449085351772</v>
      </c>
    </row>
    <row r="93" customFormat="false" ht="15" hidden="false" customHeight="false" outlineLevel="0" collapsed="false">
      <c r="A93" s="5" t="s">
        <v>478</v>
      </c>
      <c r="B93" s="0" t="s">
        <v>27</v>
      </c>
      <c r="D93" s="13" t="n">
        <f aca="false">da_y</f>
        <v>0.16</v>
      </c>
      <c r="E93" s="13" t="n">
        <f aca="false">da_y</f>
        <v>0.16</v>
      </c>
      <c r="F93" s="13" t="n">
        <f aca="false">da_y</f>
        <v>0.16</v>
      </c>
      <c r="G93" s="13" t="n">
        <f aca="false">da_y</f>
        <v>0.16</v>
      </c>
    </row>
    <row r="94" customFormat="false" ht="17.15" hidden="false" customHeight="false" outlineLevel="0" collapsed="false">
      <c r="A94" s="5" t="s">
        <v>479</v>
      </c>
      <c r="B94" s="0" t="s">
        <v>27</v>
      </c>
      <c r="D94" s="13" t="n">
        <v>0.562</v>
      </c>
      <c r="E94" s="13" t="n">
        <f aca="false">cap_r*E81</f>
        <v>2.61462298302262</v>
      </c>
      <c r="F94" s="13" t="n">
        <f aca="false">cap_r*F81</f>
        <v>2.77259111628257</v>
      </c>
      <c r="G94" s="13" t="n">
        <f aca="false">cap_r*G81</f>
        <v>2.8270039102766</v>
      </c>
      <c r="T94" s="8" t="s">
        <v>480</v>
      </c>
    </row>
    <row r="95" customFormat="false" ht="15" hidden="false" customHeight="false" outlineLevel="0" collapsed="false">
      <c r="A95" s="5" t="s">
        <v>481</v>
      </c>
      <c r="B95" s="0" t="s">
        <v>27</v>
      </c>
      <c r="D95" s="13" t="n">
        <f aca="false">D92+D93-D94</f>
        <v>11.031</v>
      </c>
      <c r="E95" s="13" t="n">
        <f aca="false">E92+E93-E94</f>
        <v>26.9645411283543</v>
      </c>
      <c r="F95" s="13" t="n">
        <f aca="false">F92+F93-F94</f>
        <v>28.8662278281642</v>
      </c>
      <c r="G95" s="13" t="n">
        <f aca="false">G92+G93-G94</f>
        <v>29.4779046249005</v>
      </c>
    </row>
    <row r="96" customFormat="false" ht="17.15" hidden="false" customHeight="false" outlineLevel="0" collapsed="false">
      <c r="A96" s="5" t="s">
        <v>482</v>
      </c>
      <c r="B96" s="0" t="s">
        <v>27</v>
      </c>
      <c r="D96" s="13" t="n">
        <v>4.524</v>
      </c>
      <c r="E96" s="13" t="n">
        <f aca="false">MAX(0,payout*E95)</f>
        <v>13.4822705641771</v>
      </c>
      <c r="F96" s="13" t="n">
        <f aca="false">MAX(0,payout*F95)</f>
        <v>14.4331139140821</v>
      </c>
      <c r="G96" s="13" t="n">
        <f aca="false">MAX(0,payout*G95)</f>
        <v>14.7389523124503</v>
      </c>
      <c r="T96" s="8" t="s">
        <v>483</v>
      </c>
    </row>
    <row r="97" customFormat="false" ht="15" hidden="false" customHeight="false" outlineLevel="0" collapsed="false">
      <c r="A97" s="5" t="s">
        <v>484</v>
      </c>
      <c r="B97" s="0" t="s">
        <v>27</v>
      </c>
      <c r="D97" s="13" t="n">
        <f aca="false">eq0</f>
        <v>15.736</v>
      </c>
      <c r="E97" s="13" t="n">
        <f aca="false">D97+E92-E96</f>
        <v>31.6728935471998</v>
      </c>
      <c r="F97" s="13" t="n">
        <f aca="false">E97+F92-F96</f>
        <v>48.7185985775644</v>
      </c>
      <c r="G97" s="13" t="n">
        <f aca="false">F97+G92-G96</f>
        <v>66.1245548002913</v>
      </c>
    </row>
    <row r="98" customFormat="false" ht="15" hidden="false" customHeight="false" outlineLevel="0" collapsed="false">
      <c r="A98" s="5" t="s">
        <v>485</v>
      </c>
      <c r="B98" s="0" t="s">
        <v>27</v>
      </c>
      <c r="D98" s="13" t="n">
        <f aca="false">nc0</f>
        <v>4.762</v>
      </c>
      <c r="E98" s="13" t="n">
        <f aca="false">D98+E95-E96</f>
        <v>18.2442705641771</v>
      </c>
      <c r="F98" s="13" t="n">
        <f aca="false">E98+F95-F96</f>
        <v>32.6773844782592</v>
      </c>
      <c r="G98" s="13" t="n">
        <f aca="false">F98+G95-G96</f>
        <v>47.4163367907095</v>
      </c>
    </row>
    <row r="99" customFormat="false" ht="15" hidden="false" customHeight="false" outlineLevel="0" collapsed="false">
      <c r="A99" s="5" t="s">
        <v>486</v>
      </c>
      <c r="B99" s="5" t="s">
        <v>152</v>
      </c>
      <c r="D99" s="20" t="n">
        <f aca="false">sh0</f>
        <v>146.42</v>
      </c>
      <c r="E99" s="20" t="n">
        <f aca="false">D99-E96/bb_px*1000</f>
        <v>135.529899950585</v>
      </c>
      <c r="F99" s="20" t="n">
        <f aca="false">E99-F96/bb_px*1000</f>
        <v>123.871770572394</v>
      </c>
      <c r="G99" s="20" t="n">
        <f aca="false">F99-G96/bb_px*1000</f>
        <v>111.966604855529</v>
      </c>
    </row>
    <row r="100" customFormat="false" ht="17.15" hidden="false" customHeight="false" outlineLevel="0" collapsed="false">
      <c r="A100" s="0" t="s">
        <v>487</v>
      </c>
      <c r="B100" s="0" t="s">
        <v>40</v>
      </c>
      <c r="C100" s="15" t="n">
        <f aca="false">a25_eps</f>
        <v>-11.32</v>
      </c>
      <c r="D100" s="15" t="n">
        <f aca="false">a26_eps</f>
        <v>73.76</v>
      </c>
      <c r="E100" s="15" t="n">
        <f aca="false">E92/(E99+dil)*1000</f>
        <v>209.972058518011</v>
      </c>
      <c r="F100" s="15" t="n">
        <f aca="false">F92/(F99+dil)*1000</f>
        <v>245.063332363377</v>
      </c>
      <c r="G100" s="15" t="n">
        <f aca="false">G92/(G99+dil)*1000</f>
        <v>275.811625529752</v>
      </c>
    </row>
    <row r="101" customFormat="false" ht="17.15" hidden="false" customHeight="false" outlineLevel="0" collapsed="false">
      <c r="A101" s="5" t="s">
        <v>488</v>
      </c>
      <c r="B101" s="0" t="s">
        <v>40</v>
      </c>
      <c r="D101" s="15" t="n">
        <f aca="false">D97/D99*1000</f>
        <v>107.471656877476</v>
      </c>
      <c r="E101" s="15" t="n">
        <f aca="false">E97/E99*1000</f>
        <v>233.696723444405</v>
      </c>
      <c r="F101" s="15" t="n">
        <f aca="false">F97/F99*1000</f>
        <v>393.298637392868</v>
      </c>
      <c r="G101" s="15" t="n">
        <f aca="false">G97/G99*1000</f>
        <v>590.573902688325</v>
      </c>
    </row>
    <row r="102" customFormat="false" ht="17.15" hidden="false" customHeight="false" outlineLevel="0" collapsed="false">
      <c r="A102" s="0" t="s">
        <v>489</v>
      </c>
      <c r="B102" s="0" t="s">
        <v>33</v>
      </c>
      <c r="D102" s="21" t="n">
        <f aca="false">D92/D97</f>
        <v>0.72655058464667</v>
      </c>
      <c r="E102" s="21" t="n">
        <f aca="false">E92/E97</f>
        <v>0.928843588841534</v>
      </c>
      <c r="F102" s="21" t="n">
        <f aca="false">F92/F97</f>
        <v>0.646135559386619</v>
      </c>
      <c r="G102" s="21" t="n">
        <f aca="false">G92/G97</f>
        <v>0.486126653438513</v>
      </c>
    </row>
    <row r="103" customFormat="false" ht="15" hidden="false" customHeight="false" outlineLevel="0" collapsed="false">
      <c r="A103" s="5" t="s">
        <v>490</v>
      </c>
      <c r="B103" s="0" t="s">
        <v>40</v>
      </c>
      <c r="E103" s="15" t="n">
        <f aca="false">E95/(E99+dil)*1000</f>
        <v>192.452789830443</v>
      </c>
      <c r="F103" s="15" t="n">
        <f aca="false">F95/(F99+dil)*1000</f>
        <v>224.724250195489</v>
      </c>
      <c r="G103" s="15" t="n">
        <f aca="false">G95/(G99+dil)*1000</f>
        <v>252.928042489452</v>
      </c>
    </row>
    <row r="104" customFormat="false" ht="17.15" hidden="false" customHeight="false" outlineLevel="0" collapsed="false">
      <c r="A104" s="5" t="s">
        <v>491</v>
      </c>
      <c r="B104" s="0" t="s">
        <v>27</v>
      </c>
      <c r="D104" s="18" t="n">
        <f aca="false">ABS(D81-a26_rev)+ABS(D92-a26_ni)</f>
        <v>0</v>
      </c>
    </row>
    <row r="110" customFormat="false" ht="17.15" hidden="false" customHeight="false" outlineLevel="0" collapsed="false">
      <c r="A110" s="3" t="s">
        <v>799</v>
      </c>
    </row>
    <row r="111" customFormat="false" ht="17.15" hidden="false" customHeight="false" outlineLevel="0" collapsed="false">
      <c r="A111" s="12" t="s">
        <v>434</v>
      </c>
      <c r="B111" s="6" t="s">
        <v>17</v>
      </c>
      <c r="C111" s="12" t="s">
        <v>435</v>
      </c>
      <c r="D111" s="12" t="s">
        <v>436</v>
      </c>
      <c r="E111" s="12" t="s">
        <v>437</v>
      </c>
      <c r="F111" s="12" t="s">
        <v>438</v>
      </c>
      <c r="G111" s="12" t="s">
        <v>439</v>
      </c>
      <c r="H111" s="12" t="s">
        <v>440</v>
      </c>
      <c r="I111" s="12" t="s">
        <v>441</v>
      </c>
      <c r="J111" s="12" t="s">
        <v>442</v>
      </c>
      <c r="K111" s="12" t="s">
        <v>443</v>
      </c>
      <c r="L111" s="12" t="s">
        <v>444</v>
      </c>
      <c r="M111" s="12" t="s">
        <v>445</v>
      </c>
      <c r="N111" s="12" t="s">
        <v>446</v>
      </c>
      <c r="O111" s="12" t="s">
        <v>447</v>
      </c>
      <c r="P111" s="12" t="s">
        <v>448</v>
      </c>
      <c r="Q111" s="12" t="s">
        <v>449</v>
      </c>
      <c r="R111" s="12" t="s">
        <v>450</v>
      </c>
      <c r="S111" s="12"/>
      <c r="T111" s="6" t="s">
        <v>321</v>
      </c>
    </row>
    <row r="112" customFormat="false" ht="17.15" hidden="false" customHeight="false" outlineLevel="0" collapsed="false">
      <c r="A112" s="5" t="s">
        <v>451</v>
      </c>
      <c r="B112" s="0" t="s">
        <v>27</v>
      </c>
      <c r="C112" s="13" t="n">
        <f aca="false">Units!E4*1</f>
        <v>2.31</v>
      </c>
      <c r="D112" s="13" t="n">
        <f aca="false">Units!F4*1</f>
        <v>3.03</v>
      </c>
      <c r="E112" s="13" t="n">
        <f aca="false">Units!G4*1</f>
        <v>5.95</v>
      </c>
      <c r="F112" s="13" t="n">
        <f aca="false">Units!H4*1</f>
        <v>8.97</v>
      </c>
      <c r="G112" s="13" t="n">
        <f aca="false">Units!I4*1</f>
        <v>11.0371522587842</v>
      </c>
      <c r="H112" s="13" t="n">
        <f aca="false">Units!J4*1*1.2</f>
        <v>14.9522541779842</v>
      </c>
      <c r="I112" s="13" t="n">
        <f aca="false">Units!K4*1*1.2</f>
        <v>16.4755538259517</v>
      </c>
      <c r="J112" s="13" t="n">
        <f aca="false">Units!L4*1*1.2</f>
        <v>17.4207771648296</v>
      </c>
      <c r="K112" s="13" t="n">
        <f aca="false">Units!M4*1*1.2</f>
        <v>17.4992177028479</v>
      </c>
      <c r="L112" s="13" t="n">
        <f aca="false">Units!N4*1*1.2</f>
        <v>17.207948036464</v>
      </c>
      <c r="M112" s="13" t="n">
        <f aca="false">Units!O4*1*1.2</f>
        <v>17.2854302687087</v>
      </c>
      <c r="N112" s="13" t="n">
        <f aca="false">Units!P4*1*1.2</f>
        <v>17.3632613802214</v>
      </c>
      <c r="O112" s="13" t="n">
        <f aca="false">Units!Q4*1*1.2</f>
        <v>17.4414429419008</v>
      </c>
      <c r="P112" s="13" t="n">
        <f aca="false">Units!R4*1*1.2</f>
        <v>17.5199765317189</v>
      </c>
      <c r="Q112" s="13" t="n">
        <f aca="false">Units!S4*1*1.2</f>
        <v>17.7056822941118</v>
      </c>
      <c r="R112" s="13" t="n">
        <f aca="false">Units!T4*1*1.2</f>
        <v>18.049881665452</v>
      </c>
      <c r="T112" s="8" t="s">
        <v>452</v>
      </c>
    </row>
    <row r="113" customFormat="false" ht="15" hidden="false" customHeight="false" outlineLevel="0" collapsed="false">
      <c r="A113" s="5" t="s">
        <v>453</v>
      </c>
      <c r="B113" s="0" t="s">
        <v>386</v>
      </c>
      <c r="C113" s="13" t="n">
        <f aca="false">Units!E7*1</f>
        <v>31.1552804325753</v>
      </c>
      <c r="D113" s="13" t="n">
        <f aca="false">Units!F7*1</f>
        <v>33.5147228924475</v>
      </c>
      <c r="E113" s="13" t="n">
        <f aca="false">Units!G7*1</f>
        <v>38.0693331650007</v>
      </c>
      <c r="F113" s="13" t="n">
        <f aca="false">Units!H7*1</f>
        <v>33.6172154529341</v>
      </c>
      <c r="G113" s="13" t="n">
        <f aca="false">Units!I7*1</f>
        <v>33.0914894510934</v>
      </c>
      <c r="H113" s="13" t="n">
        <f aca="false">Units!J7*1</f>
        <v>34.5588285485368</v>
      </c>
      <c r="I113" s="13" t="n">
        <f aca="false">Units!K7*1</f>
        <v>36.9704842497676</v>
      </c>
      <c r="J113" s="13" t="n">
        <f aca="false">Units!L7*1</f>
        <v>39.0915276411862</v>
      </c>
      <c r="K113" s="13" t="n">
        <f aca="false">Units!M7*1</f>
        <v>41.3342579717828</v>
      </c>
      <c r="L113" s="13" t="n">
        <f aca="false">Units!N7*1</f>
        <v>43.7056565750022</v>
      </c>
      <c r="M113" s="13" t="n">
        <f aca="false">Units!O7*1</f>
        <v>46.2131053122095</v>
      </c>
      <c r="N113" s="13" t="n">
        <f aca="false">Units!P7*1</f>
        <v>48.8644095514828</v>
      </c>
      <c r="O113" s="13" t="n">
        <f aca="false">Units!Q7*1</f>
        <v>51.6678224647285</v>
      </c>
      <c r="P113" s="13" t="n">
        <f aca="false">Units!R7*1</f>
        <v>54.6320707187528</v>
      </c>
      <c r="Q113" s="13" t="n">
        <f aca="false">Units!S7*1</f>
        <v>56.9187133953845</v>
      </c>
      <c r="R113" s="13" t="n">
        <f aca="false">Units!T7*1</f>
        <v>59.8198104136917</v>
      </c>
    </row>
    <row r="114" customFormat="false" ht="17.15" hidden="false" customHeight="false" outlineLevel="0" collapsed="false">
      <c r="A114" s="5" t="s">
        <v>344</v>
      </c>
      <c r="B114" s="0" t="s">
        <v>27</v>
      </c>
      <c r="C114" s="13" t="n">
        <f aca="false">q1_rev</f>
        <v>2.308</v>
      </c>
      <c r="D114" s="13" t="n">
        <f aca="false">q2_rev</f>
        <v>3.025</v>
      </c>
      <c r="E114" s="13" t="n">
        <f aca="false">q3_rev</f>
        <v>5.95</v>
      </c>
      <c r="F114" s="13" t="n">
        <f aca="false">q4_rev</f>
        <v>8.965</v>
      </c>
      <c r="G114" s="13" t="n">
        <f aca="false">G112*sd_k</f>
        <v>11.0306149524118</v>
      </c>
      <c r="H114" s="13" t="n">
        <f aca="false">H112*sd_k</f>
        <v>14.9433979563585</v>
      </c>
      <c r="I114" s="13" t="n">
        <f aca="false">I112*sd_k</f>
        <v>16.4657953537942</v>
      </c>
      <c r="J114" s="13" t="n">
        <f aca="false">J112*sd_k</f>
        <v>17.4104588367952</v>
      </c>
      <c r="K114" s="13" t="n">
        <f aca="false">K112*sd_k</f>
        <v>17.488852914475</v>
      </c>
      <c r="L114" s="13" t="n">
        <f aca="false">L112*sd_k</f>
        <v>17.1977557671433</v>
      </c>
      <c r="M114" s="13" t="n">
        <f aca="false">M112*sd_k</f>
        <v>17.2751921066542</v>
      </c>
      <c r="N114" s="13" t="n">
        <f aca="false">N112*sd_k</f>
        <v>17.3529771187918</v>
      </c>
      <c r="O114" s="13" t="n">
        <f aca="false">O112*sd_k</f>
        <v>17.4311123735245</v>
      </c>
      <c r="P114" s="13" t="n">
        <f aca="false">P112*sd_k</f>
        <v>17.5095994478897</v>
      </c>
      <c r="Q114" s="13" t="n">
        <f aca="false">Q112*sd_k</f>
        <v>17.6951952167412</v>
      </c>
      <c r="R114" s="13" t="n">
        <f aca="false">R112*sd_k</f>
        <v>18.0391907187597</v>
      </c>
      <c r="T114" s="5" t="s">
        <v>454</v>
      </c>
    </row>
    <row r="115" customFormat="false" ht="17.15" hidden="false" customHeight="false" outlineLevel="0" collapsed="false">
      <c r="A115" s="5" t="s">
        <v>455</v>
      </c>
      <c r="B115" s="0" t="s">
        <v>27</v>
      </c>
      <c r="C115" s="13" t="n">
        <f aca="false">q1_dc</f>
        <v>0.269</v>
      </c>
      <c r="D115" s="13" t="n">
        <f aca="false">q2_dc</f>
        <v>0.44</v>
      </c>
      <c r="E115" s="13" t="n">
        <f aca="false">q3_dc</f>
        <v>1.467</v>
      </c>
      <c r="F115" s="13" t="n">
        <f aca="false">q4_dc</f>
        <v>2.977</v>
      </c>
      <c r="G115" s="13" t="n">
        <f aca="false">G114*dcsh_27</f>
        <v>4.19163368191647</v>
      </c>
      <c r="H115" s="13" t="n">
        <f aca="false">H114*dcsh_27</f>
        <v>5.67849122341623</v>
      </c>
      <c r="I115" s="13" t="n">
        <f aca="false">I114*dcsh_27</f>
        <v>6.2570022344418</v>
      </c>
      <c r="J115" s="13" t="n">
        <f aca="false">J114*dcsh_27</f>
        <v>6.61597435798217</v>
      </c>
      <c r="K115" s="13" t="n">
        <f aca="false">K114*dcsh_28</f>
        <v>7.34531822407951</v>
      </c>
      <c r="L115" s="13" t="n">
        <f aca="false">L114*dcsh_28</f>
        <v>7.22305742220016</v>
      </c>
      <c r="M115" s="13" t="n">
        <f aca="false">M114*dcsh_28</f>
        <v>7.25558068479475</v>
      </c>
      <c r="N115" s="13" t="n">
        <f aca="false">N114*dcsh_28</f>
        <v>7.28825038989256</v>
      </c>
      <c r="O115" s="13" t="n">
        <f aca="false">O114*dcsh_29</f>
        <v>7.84400056808603</v>
      </c>
      <c r="P115" s="13" t="n">
        <f aca="false">P114*dcsh_29</f>
        <v>7.87931975155035</v>
      </c>
      <c r="Q115" s="13" t="n">
        <f aca="false">Q114*dcsh_29</f>
        <v>7.96283784753354</v>
      </c>
      <c r="R115" s="13" t="n">
        <f aca="false">R114*dcsh_29</f>
        <v>8.11763582344186</v>
      </c>
      <c r="T115" s="5" t="s">
        <v>456</v>
      </c>
    </row>
    <row r="116" customFormat="false" ht="17.15" hidden="false" customHeight="false" outlineLevel="0" collapsed="false">
      <c r="A116" s="5" t="s">
        <v>457</v>
      </c>
      <c r="B116" s="0" t="s">
        <v>27</v>
      </c>
      <c r="C116" s="13" t="n">
        <f aca="false">C115*(Units!C16+Units!D16)/2</f>
        <v>0.17543405707196</v>
      </c>
      <c r="D116" s="13" t="n">
        <f aca="false">D115*(Units!C16+Units!D16)/2</f>
        <v>0.286955334987593</v>
      </c>
      <c r="E116" s="13" t="n">
        <f aca="false">E115*(Units!C16+Units!D16)/2</f>
        <v>0.956735173697271</v>
      </c>
      <c r="F116" s="13" t="n">
        <f aca="false">F115*(Units!C16+Units!D16)/2</f>
        <v>1.94151370967742</v>
      </c>
      <c r="G116" s="13" t="n">
        <f aca="false">G115*(Units!D16+Units!E16)/2</f>
        <v>3.32353098753891</v>
      </c>
      <c r="H116" s="13" t="n">
        <f aca="false">H115*(Units!D16+Units!E16)/2</f>
        <v>4.5024548840973</v>
      </c>
      <c r="I116" s="13" t="n">
        <f aca="false">I115*(Units!D16+Units!E16)/2</f>
        <v>4.96115414497757</v>
      </c>
      <c r="J116" s="13" t="n">
        <f aca="false">J115*(Units!D16+Units!E16)/2</f>
        <v>5.24578182639834</v>
      </c>
      <c r="K116" s="13" t="n">
        <f aca="false">K115*(Units!E16+Units!F16)/2</f>
        <v>6.19396222104786</v>
      </c>
      <c r="L116" s="13" t="n">
        <f aca="false">L115*(Units!E16+Units!F16)/2</f>
        <v>6.0908654232164</v>
      </c>
      <c r="M116" s="13" t="n">
        <f aca="false">M115*(Units!E16+Units!F16)/2</f>
        <v>6.11829076459312</v>
      </c>
      <c r="N116" s="13" t="n">
        <f aca="false">N115*(Units!E16+Units!F16)/2</f>
        <v>6.14583959406184</v>
      </c>
      <c r="O116" s="13" t="n">
        <f aca="false">O115*(Units!F16+Units!G16)/2</f>
        <v>6.78630870238935</v>
      </c>
      <c r="P116" s="13" t="n">
        <f aca="false">P115*(Units!F16+Units!G16)/2</f>
        <v>6.81686541640597</v>
      </c>
      <c r="Q116" s="13" t="n">
        <f aca="false">Q115*(Units!F16+Units!G16)/2</f>
        <v>6.88912185961476</v>
      </c>
      <c r="R116" s="13" t="n">
        <f aca="false">R115*(Units!F16+Units!G16)/2</f>
        <v>7.02304674168234</v>
      </c>
      <c r="T116" s="5" t="s">
        <v>458</v>
      </c>
    </row>
    <row r="117" customFormat="false" ht="17.15" hidden="false" customHeight="false" outlineLevel="0" collapsed="false">
      <c r="A117" s="5" t="s">
        <v>459</v>
      </c>
      <c r="B117" s="0" t="s">
        <v>27</v>
      </c>
      <c r="C117" s="13" t="n">
        <f aca="false">C115-C116</f>
        <v>0.0935659429280397</v>
      </c>
      <c r="D117" s="13" t="n">
        <f aca="false">D115-D116</f>
        <v>0.153044665012407</v>
      </c>
      <c r="E117" s="13" t="n">
        <f aca="false">E115-E116</f>
        <v>0.51026482630273</v>
      </c>
      <c r="F117" s="13" t="n">
        <f aca="false">F115-F116</f>
        <v>1.03548629032258</v>
      </c>
      <c r="G117" s="13" t="n">
        <f aca="false">G115-G116</f>
        <v>0.868102694377567</v>
      </c>
      <c r="H117" s="13" t="n">
        <f aca="false">H115-H116</f>
        <v>1.17603633931893</v>
      </c>
      <c r="I117" s="13" t="n">
        <f aca="false">I115-I116</f>
        <v>1.29584808946423</v>
      </c>
      <c r="J117" s="13" t="n">
        <f aca="false">J115-J116</f>
        <v>1.37019253158384</v>
      </c>
      <c r="K117" s="13" t="n">
        <f aca="false">K115-K116</f>
        <v>1.15135600303165</v>
      </c>
      <c r="L117" s="13" t="n">
        <f aca="false">L115-L116</f>
        <v>1.13219199898377</v>
      </c>
      <c r="M117" s="13" t="n">
        <f aca="false">M115-M116</f>
        <v>1.13728992020163</v>
      </c>
      <c r="N117" s="13" t="n">
        <f aca="false">N115-N116</f>
        <v>1.14241079583072</v>
      </c>
      <c r="O117" s="13" t="n">
        <f aca="false">O115-O116</f>
        <v>1.05769186569668</v>
      </c>
      <c r="P117" s="13" t="n">
        <f aca="false">P115-P116</f>
        <v>1.06245433514439</v>
      </c>
      <c r="Q117" s="13" t="n">
        <f aca="false">Q115-Q116</f>
        <v>1.07371598791877</v>
      </c>
      <c r="R117" s="13" t="n">
        <f aca="false">R115-R116</f>
        <v>1.09458908175952</v>
      </c>
    </row>
    <row r="118" customFormat="false" ht="15" hidden="false" customHeight="false" outlineLevel="0" collapsed="false">
      <c r="A118" s="5" t="s">
        <v>460</v>
      </c>
      <c r="B118" s="0" t="s">
        <v>27</v>
      </c>
      <c r="C118" s="13" t="n">
        <f aca="false">q1_cs</f>
        <v>0.652</v>
      </c>
      <c r="D118" s="13" t="n">
        <f aca="false">q2_cs</f>
        <v>0.907</v>
      </c>
      <c r="E118" s="13" t="n">
        <f aca="false">q3_cs</f>
        <v>0.82</v>
      </c>
      <c r="F118" s="13" t="n">
        <f aca="false">q4_cs</f>
        <v>0.556</v>
      </c>
      <c r="G118" s="13" t="n">
        <f aca="false">G114*cssh_27</f>
        <v>0.661836897144706</v>
      </c>
      <c r="H118" s="13" t="n">
        <f aca="false">H114*cssh_27</f>
        <v>0.89660387738151</v>
      </c>
      <c r="I118" s="13" t="n">
        <f aca="false">I114*cssh_27</f>
        <v>0.987947721227652</v>
      </c>
      <c r="J118" s="13" t="n">
        <f aca="false">J114*cssh_27</f>
        <v>1.04462753020771</v>
      </c>
      <c r="K118" s="13" t="n">
        <f aca="false">K114*cssh_28</f>
        <v>1.0493311748685</v>
      </c>
      <c r="L118" s="13" t="n">
        <f aca="false">L114*cssh_28</f>
        <v>1.0318653460286</v>
      </c>
      <c r="M118" s="13" t="n">
        <f aca="false">M114*cssh_28</f>
        <v>1.03651152639925</v>
      </c>
      <c r="N118" s="13" t="n">
        <f aca="false">N114*cssh_28</f>
        <v>1.04117862712751</v>
      </c>
      <c r="O118" s="13" t="n">
        <f aca="false">O114*cssh_29</f>
        <v>1.04586674241147</v>
      </c>
      <c r="P118" s="13" t="n">
        <f aca="false">P114*cssh_29</f>
        <v>1.05057596687338</v>
      </c>
      <c r="Q118" s="13" t="n">
        <f aca="false">Q114*cssh_29</f>
        <v>1.06171171300447</v>
      </c>
      <c r="R118" s="13" t="n">
        <f aca="false">R114*cssh_29</f>
        <v>1.08235144312558</v>
      </c>
      <c r="T118" s="5" t="s">
        <v>461</v>
      </c>
    </row>
    <row r="119" customFormat="false" ht="15" hidden="false" customHeight="false" outlineLevel="0" collapsed="false">
      <c r="A119" s="5" t="s">
        <v>462</v>
      </c>
      <c r="B119" s="0" t="s">
        <v>27</v>
      </c>
      <c r="C119" s="13" t="n">
        <f aca="false">q1_ed</f>
        <v>1.387</v>
      </c>
      <c r="D119" s="13" t="n">
        <f aca="false">q2_ed</f>
        <v>1.678</v>
      </c>
      <c r="E119" s="13" t="n">
        <f aca="false">q3_ed</f>
        <v>3.663</v>
      </c>
      <c r="F119" s="13" t="n">
        <f aca="false">q4_ed</f>
        <v>5.432</v>
      </c>
      <c r="G119" s="13" t="n">
        <f aca="false">G114-G115-G118</f>
        <v>6.17714437335059</v>
      </c>
      <c r="H119" s="13" t="n">
        <f aca="false">H114-H115-H118</f>
        <v>8.36830285556076</v>
      </c>
      <c r="I119" s="13" t="n">
        <f aca="false">I114-I115-I118</f>
        <v>9.22084539812475</v>
      </c>
      <c r="J119" s="13" t="n">
        <f aca="false">J114-J115-J118</f>
        <v>9.74985694860531</v>
      </c>
      <c r="K119" s="13" t="n">
        <f aca="false">K114-K115-K118</f>
        <v>9.09420351552701</v>
      </c>
      <c r="L119" s="13" t="n">
        <f aca="false">L114-L115-L118</f>
        <v>8.94283299891449</v>
      </c>
      <c r="M119" s="13" t="n">
        <f aca="false">M114-M115-M118</f>
        <v>8.98309989546017</v>
      </c>
      <c r="N119" s="13" t="n">
        <f aca="false">N114-N115-N118</f>
        <v>9.02354810177174</v>
      </c>
      <c r="O119" s="13" t="n">
        <f aca="false">O114-O115-O118</f>
        <v>8.54124506302701</v>
      </c>
      <c r="P119" s="13" t="n">
        <f aca="false">P114-P115-P118</f>
        <v>8.57970372946594</v>
      </c>
      <c r="Q119" s="13" t="n">
        <f aca="false">Q114-Q115-Q118</f>
        <v>8.67064565620319</v>
      </c>
      <c r="R119" s="13" t="n">
        <f aca="false">R114-R115-R118</f>
        <v>8.83920345219225</v>
      </c>
      <c r="T119" s="5" t="s">
        <v>463</v>
      </c>
    </row>
    <row r="120" customFormat="false" ht="15" hidden="false" customHeight="false" outlineLevel="0" collapsed="false">
      <c r="A120" s="5" t="s">
        <v>464</v>
      </c>
      <c r="B120" s="0" t="s">
        <v>27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465</v>
      </c>
      <c r="B121" s="0" t="s">
        <v>466</v>
      </c>
      <c r="C121" s="19" t="n">
        <f aca="false">C122/C113</f>
        <v>0.0520045391183812</v>
      </c>
      <c r="D121" s="19" t="n">
        <f aca="false">D122/D113</f>
        <v>0.0443170902760084</v>
      </c>
      <c r="E121" s="19" t="n">
        <f aca="false">E122/E113</f>
        <v>0.0337594565796481</v>
      </c>
      <c r="F121" s="19" t="n">
        <f aca="false">F122/F113</f>
        <v>0.0410685412637144</v>
      </c>
      <c r="G121" s="19" t="n">
        <f aca="false">(1-g_gm)*G114/G113</f>
        <v>0.049900535931346</v>
      </c>
      <c r="H121" s="19" t="n">
        <f aca="false">$G121*(1-cd_A)^(1/4)</f>
        <v>0.0480540308412442</v>
      </c>
      <c r="I121" s="19" t="n">
        <f aca="false">$G121*(1-cd_A)^(2/4)</f>
        <v>0.0462758532948078</v>
      </c>
      <c r="J121" s="19" t="n">
        <f aca="false">$G121*(1-cd_A)^(3/4)</f>
        <v>0.0445634749192484</v>
      </c>
      <c r="K121" s="19" t="n">
        <f aca="false">$G121*(1-cd_A)^(4/4)</f>
        <v>0.0429144609009575</v>
      </c>
      <c r="L121" s="19" t="n">
        <f aca="false">$G121*(1-cd_A)^(5/4)</f>
        <v>0.04132646652347</v>
      </c>
      <c r="M121" s="19" t="n">
        <f aca="false">$G121*(1-cd_A)^(6/4)</f>
        <v>0.0397972338335347</v>
      </c>
      <c r="N121" s="19" t="n">
        <f aca="false">$G121*(1-cd_A)^(7/4)</f>
        <v>0.0383245884305536</v>
      </c>
      <c r="O121" s="19" t="n">
        <f aca="false">$G121*(1-cd_A)^(8/4)</f>
        <v>0.0369064363748235</v>
      </c>
      <c r="P121" s="19" t="n">
        <f aca="false">$G121*(1-cd_A)^(9/4)</f>
        <v>0.0355407612101842</v>
      </c>
      <c r="Q121" s="19" t="n">
        <f aca="false">$G121*(1-cd_A)^(10/4)</f>
        <v>0.0342256210968399</v>
      </c>
      <c r="R121" s="19" t="n">
        <f aca="false">$G121*(1-cd_A)^(11/4)</f>
        <v>0.0329591460502761</v>
      </c>
    </row>
    <row r="122" customFormat="false" ht="15" hidden="false" customHeight="false" outlineLevel="0" collapsed="false">
      <c r="A122" s="5" t="s">
        <v>467</v>
      </c>
      <c r="B122" s="0" t="s">
        <v>27</v>
      </c>
      <c r="C122" s="13" t="n">
        <f aca="false">q1_rev*(1-q1_gm)</f>
        <v>1.620216</v>
      </c>
      <c r="D122" s="13" t="n">
        <f aca="false">q2_rev*(1-q2_gm)</f>
        <v>1.485275</v>
      </c>
      <c r="E122" s="13" t="n">
        <f aca="false">q3_rev*(1-q3_gm)</f>
        <v>1.2852</v>
      </c>
      <c r="F122" s="13" t="n">
        <f aca="false">q4_rev*(1-q4_gm)</f>
        <v>1.38061</v>
      </c>
      <c r="G122" s="13" t="n">
        <f aca="false">G113*G121</f>
        <v>1.65128305837604</v>
      </c>
      <c r="H122" s="13" t="n">
        <f aca="false">H113*H121</f>
        <v>1.66069101290866</v>
      </c>
      <c r="I122" s="13" t="n">
        <f aca="false">I113*I121</f>
        <v>1.71084070538025</v>
      </c>
      <c r="J122" s="13" t="n">
        <f aca="false">J113*J121</f>
        <v>1.7420543115931</v>
      </c>
      <c r="K122" s="13" t="n">
        <f aca="false">K113*K121</f>
        <v>1.77383739760017</v>
      </c>
      <c r="L122" s="13" t="n">
        <f aca="false">L113*L121</f>
        <v>1.80620035333311</v>
      </c>
      <c r="M122" s="13" t="n">
        <f aca="false">M113*M121</f>
        <v>1.83915375828377</v>
      </c>
      <c r="N122" s="13" t="n">
        <f aca="false">N113*N121</f>
        <v>1.87270838496259</v>
      </c>
      <c r="O122" s="13" t="n">
        <f aca="false">O113*O121</f>
        <v>1.90687520242018</v>
      </c>
      <c r="P122" s="13" t="n">
        <f aca="false">P113*P121</f>
        <v>1.94166537983309</v>
      </c>
      <c r="Q122" s="13" t="n">
        <f aca="false">Q113*Q121</f>
        <v>1.94807831799005</v>
      </c>
      <c r="R122" s="13" t="n">
        <f aca="false">R113*R121</f>
        <v>1.97160986812469</v>
      </c>
    </row>
    <row r="123" customFormat="false" ht="15" hidden="false" customHeight="false" outlineLevel="0" collapsed="false">
      <c r="A123" s="5" t="s">
        <v>423</v>
      </c>
      <c r="B123" s="0" t="s">
        <v>33</v>
      </c>
      <c r="C123" s="14" t="n">
        <f aca="false">1-C122/C114</f>
        <v>0.298</v>
      </c>
      <c r="D123" s="14" t="n">
        <f aca="false">1-D122/D114</f>
        <v>0.509</v>
      </c>
      <c r="E123" s="14" t="n">
        <f aca="false">1-E122/E114</f>
        <v>0.784</v>
      </c>
      <c r="F123" s="14" t="n">
        <f aca="false">1-F122/F114</f>
        <v>0.846</v>
      </c>
      <c r="G123" s="14" t="n">
        <f aca="false">1-G122/G114</f>
        <v>0.8503</v>
      </c>
      <c r="H123" s="14" t="n">
        <f aca="false">1-H122/H114</f>
        <v>0.888867912254052</v>
      </c>
      <c r="I123" s="14" t="n">
        <f aca="false">1-I122/I114</f>
        <v>0.896097293290723</v>
      </c>
      <c r="J123" s="14" t="n">
        <f aca="false">1-J122/J114</f>
        <v>0.899942079187973</v>
      </c>
      <c r="K123" s="14" t="n">
        <f aca="false">1-K122/K114</f>
        <v>0.898573256560926</v>
      </c>
      <c r="L123" s="14" t="n">
        <f aca="false">1-L122/L114</f>
        <v>0.894974647983785</v>
      </c>
      <c r="M123" s="14" t="n">
        <f aca="false">1-M122/M114</f>
        <v>0.893537869395076</v>
      </c>
      <c r="N123" s="14" t="n">
        <f aca="false">1-N122/N114</f>
        <v>0.892081435240608</v>
      </c>
      <c r="O123" s="14" t="n">
        <f aca="false">1-O122/O114</f>
        <v>0.890605076626294</v>
      </c>
      <c r="P123" s="14" t="n">
        <f aca="false">1-P122/P114</f>
        <v>0.889108520979496</v>
      </c>
      <c r="Q123" s="14" t="n">
        <f aca="false">1-Q122/Q114</f>
        <v>0.889909193194602</v>
      </c>
      <c r="R123" s="14" t="n">
        <f aca="false">1-R122/R114</f>
        <v>0.890704084298287</v>
      </c>
    </row>
    <row r="124" customFormat="false" ht="17.15" hidden="false" customHeight="false" outlineLevel="0" collapsed="false">
      <c r="A124" s="5" t="s">
        <v>468</v>
      </c>
      <c r="B124" s="0" t="s">
        <v>27</v>
      </c>
      <c r="C124" s="13" t="n">
        <f aca="false">q1_rev-q1_rev*(1-q1_gm)-q1_op</f>
        <v>0.511784</v>
      </c>
      <c r="D124" s="13" t="n">
        <f aca="false">q2_rev-q2_rev*(1-q2_gm)-q2_op</f>
        <v>0.474725</v>
      </c>
      <c r="E124" s="13" t="n">
        <f aca="false">q3_rev-q3_rev*(1-q3_gm)-q3_op</f>
        <v>0.553800000000001</v>
      </c>
      <c r="F124" s="13" t="n">
        <f aca="false">q4_rev-q4_rev*(1-q4_gm)-q4_op</f>
        <v>0.54739</v>
      </c>
      <c r="G124" s="13" t="n">
        <f aca="false">(g_ox-ox_var*g_rev)*(1+ox_g)^(0/4)+ox_var*G114</f>
        <v>0.581996149524118</v>
      </c>
      <c r="H124" s="13" t="n">
        <f aca="false">(g_ox-ox_var*g_rev)*(1+ox_g)^(1/4)+ox_var*H114</f>
        <v>0.632498165567827</v>
      </c>
      <c r="I124" s="13" t="n">
        <f aca="false">(g_ox-ox_var*g_rev)*(1+ox_g)^(2/4)+ox_var*I114</f>
        <v>0.659370599131321</v>
      </c>
      <c r="J124" s="13" t="n">
        <f aca="false">(g_ox-ox_var*g_rev)*(1+ox_g)^(3/4)+ox_var*J114</f>
        <v>0.680746580883313</v>
      </c>
      <c r="K124" s="13" t="n">
        <f aca="false">(g_ox-ox_var*g_rev)*(1+ox_g)^(4/4)+ox_var*K114</f>
        <v>0.69374752914475</v>
      </c>
      <c r="L124" s="13" t="n">
        <f aca="false">(g_ox-ox_var*g_rev)*(1+ox_g)^(5/4)+ox_var*L114</f>
        <v>0.703348162276099</v>
      </c>
      <c r="M124" s="13" t="n">
        <f aca="false">(g_ox-ox_var*g_rev)*(1+ox_g)^(6/4)+ox_var*M114</f>
        <v>0.716935831219258</v>
      </c>
      <c r="N124" s="13" t="n">
        <f aca="false">(g_ox-ox_var*g_rev)*(1+ox_g)^(7/4)+ox_var*N114</f>
        <v>0.730835962954815</v>
      </c>
      <c r="O124" s="13" t="n">
        <f aca="false">(g_ox-ox_var*g_rev)*(1+ox_g)^(8/4)+ox_var*O114</f>
        <v>0.745056023735245</v>
      </c>
      <c r="P124" s="13" t="n">
        <f aca="false">(g_ox-ox_var*g_rev)*(1+ox_g)^(9/4)+ox_var*P114</f>
        <v>0.75960365954403</v>
      </c>
      <c r="Q124" s="13" t="n">
        <f aca="false">(g_ox-ox_var*g_rev)*(1+ox_g)^(10/4)+ox_var*Q114</f>
        <v>0.7755542533354</v>
      </c>
      <c r="R124" s="13" t="n">
        <f aca="false">(g_ox-ox_var*g_rev)*(1+ox_g)^(11/4)+ox_var*R114</f>
        <v>0.793428718131184</v>
      </c>
      <c r="T124" s="5" t="s">
        <v>469</v>
      </c>
    </row>
    <row r="125" customFormat="false" ht="15" hidden="false" customHeight="false" outlineLevel="0" collapsed="false">
      <c r="A125" s="5" t="s">
        <v>424</v>
      </c>
      <c r="B125" s="0" t="s">
        <v>27</v>
      </c>
      <c r="C125" s="13" t="n">
        <f aca="false">C114-C122-C124</f>
        <v>0.176</v>
      </c>
      <c r="D125" s="13" t="n">
        <f aca="false">D114-D122-D124</f>
        <v>1.065</v>
      </c>
      <c r="E125" s="13" t="n">
        <f aca="false">E114-E122-E124</f>
        <v>4.111</v>
      </c>
      <c r="F125" s="13" t="n">
        <f aca="false">F114-F122-F124</f>
        <v>7.037</v>
      </c>
      <c r="G125" s="13" t="n">
        <f aca="false">G114-G122-G124</f>
        <v>8.79733574451161</v>
      </c>
      <c r="H125" s="13" t="n">
        <f aca="false">H114-H122-H124</f>
        <v>12.650208777882</v>
      </c>
      <c r="I125" s="13" t="n">
        <f aca="false">I114-I122-I124</f>
        <v>14.0955840492826</v>
      </c>
      <c r="J125" s="13" t="n">
        <f aca="false">J114-J122-J124</f>
        <v>14.9876579443188</v>
      </c>
      <c r="K125" s="13" t="n">
        <f aca="false">K114-K122-K124</f>
        <v>15.0212679877301</v>
      </c>
      <c r="L125" s="13" t="n">
        <f aca="false">L114-L122-L124</f>
        <v>14.688207251534</v>
      </c>
      <c r="M125" s="13" t="n">
        <f aca="false">M114-M122-M124</f>
        <v>14.7191025171511</v>
      </c>
      <c r="N125" s="13" t="n">
        <f aca="false">N114-N122-N124</f>
        <v>14.7494327708744</v>
      </c>
      <c r="O125" s="13" t="n">
        <f aca="false">O114-O122-O124</f>
        <v>14.7791811473691</v>
      </c>
      <c r="P125" s="13" t="n">
        <f aca="false">P114-P122-P124</f>
        <v>14.8083304085125</v>
      </c>
      <c r="Q125" s="13" t="n">
        <f aca="false">Q114-Q122-Q124</f>
        <v>14.9715626454157</v>
      </c>
      <c r="R125" s="13" t="n">
        <f aca="false">R114-R122-R124</f>
        <v>15.2741521325038</v>
      </c>
    </row>
    <row r="127" customFormat="false" ht="17.15" hidden="false" customHeight="false" outlineLevel="0" collapsed="false">
      <c r="A127" s="5" t="s">
        <v>426</v>
      </c>
      <c r="B127" s="0" t="s">
        <v>27</v>
      </c>
      <c r="C127" s="13" t="n">
        <f aca="false">q1_ni</f>
        <v>0.112</v>
      </c>
      <c r="D127" s="13" t="n">
        <f aca="false">q2_ni</f>
        <v>0.803</v>
      </c>
      <c r="E127" s="13" t="n">
        <f aca="false">q3_ni</f>
        <v>3.615</v>
      </c>
      <c r="F127" s="13" t="n">
        <f aca="false">q4_ni</f>
        <v>6.903</v>
      </c>
      <c r="G127" s="13" t="n">
        <f aca="false">(G125+rf*$D148/4)*(1-tax)</f>
        <v>7.51821238283487</v>
      </c>
      <c r="H127" s="13" t="n">
        <f aca="false">(H125+rf*$D148/4)*(1-tax)</f>
        <v>10.7931544611997</v>
      </c>
      <c r="I127" s="13" t="n">
        <f aca="false">(I125+rf*$D148/4)*(1-tax)</f>
        <v>12.0217234418902</v>
      </c>
      <c r="J127" s="13" t="n">
        <f aca="false">(J125+rf*$D148/4)*(1-tax)</f>
        <v>12.779986252671</v>
      </c>
      <c r="K127" s="13" t="n">
        <f aca="false">(K125+rf*$E148/4)*(1-tax)</f>
        <v>12.9772035467493</v>
      </c>
      <c r="L127" s="13" t="n">
        <f aca="false">(L125+rf*$E148/4)*(1-tax)</f>
        <v>12.6941019209826</v>
      </c>
      <c r="M127" s="13" t="n">
        <f aca="false">(M125+rf*$E148/4)*(1-tax)</f>
        <v>12.7203628967572</v>
      </c>
      <c r="N127" s="13" t="n">
        <f aca="false">(N125+rf*$E148/4)*(1-tax)</f>
        <v>12.7461436124219</v>
      </c>
      <c r="O127" s="13" t="n">
        <f aca="false">(O125+rf*$F148/4)*(1-tax)</f>
        <v>12.971770164978</v>
      </c>
      <c r="P127" s="13" t="n">
        <f aca="false">(P125+rf*$F148/4)*(1-tax)</f>
        <v>12.9965470369499</v>
      </c>
      <c r="Q127" s="13" t="n">
        <f aca="false">(Q125+rf*$F148/4)*(1-tax)</f>
        <v>13.1352944383176</v>
      </c>
      <c r="R127" s="13" t="n">
        <f aca="false">(R125+rf*$F148/4)*(1-tax)</f>
        <v>13.3924955023425</v>
      </c>
      <c r="T127" s="5" t="s">
        <v>470</v>
      </c>
    </row>
    <row r="128" customFormat="false" ht="17.15" hidden="false" customHeight="false" outlineLevel="0" collapsed="false">
      <c r="A128" s="5" t="s">
        <v>471</v>
      </c>
      <c r="B128" s="0" t="s">
        <v>40</v>
      </c>
      <c r="G128" s="15" t="n">
        <f aca="false">G127/(sh0+dil)*1000</f>
        <v>49.7894859790389</v>
      </c>
      <c r="H128" s="15" t="n">
        <f aca="false">H127/(sh0+dil)*1000</f>
        <v>71.4778441139054</v>
      </c>
      <c r="I128" s="15" t="n">
        <f aca="false">I127/(sh0+dil)*1000</f>
        <v>79.6140625290744</v>
      </c>
      <c r="J128" s="15" t="n">
        <f aca="false">J127/(sh0+dil)*1000</f>
        <v>84.6356705474898</v>
      </c>
      <c r="K128" s="15" t="n">
        <f aca="false">K127/(sh0+dil)*1000</f>
        <v>85.9417453427105</v>
      </c>
      <c r="L128" s="15" t="n">
        <f aca="false">L127/(sh0+dil)*1000</f>
        <v>84.0669001389578</v>
      </c>
      <c r="M128" s="15" t="n">
        <f aca="false">M127/(sh0+dil)*1000</f>
        <v>84.2408138858091</v>
      </c>
      <c r="N128" s="15" t="n">
        <f aca="false">N127/(sh0+dil)*1000</f>
        <v>84.4115471021321</v>
      </c>
      <c r="O128" s="15" t="n">
        <f aca="false">O127/(sh0+dil)*1000</f>
        <v>85.9057626819734</v>
      </c>
      <c r="P128" s="15" t="n">
        <f aca="false">P127/(sh0+dil)*1000</f>
        <v>86.0698479268208</v>
      </c>
      <c r="Q128" s="15" t="n">
        <f aca="false">Q127/(sh0+dil)*1000</f>
        <v>86.9887048895208</v>
      </c>
      <c r="R128" s="15" t="n">
        <f aca="false">R127/(sh0+dil)*1000</f>
        <v>88.6920231943212</v>
      </c>
    </row>
    <row r="130" customFormat="false" ht="17.15" hidden="false" customHeight="false" outlineLevel="0" collapsed="false">
      <c r="A130" s="12" t="s">
        <v>472</v>
      </c>
      <c r="B130" s="6" t="s">
        <v>17</v>
      </c>
      <c r="C130" s="12" t="s">
        <v>413</v>
      </c>
      <c r="D130" s="12" t="s">
        <v>414</v>
      </c>
      <c r="E130" s="12" t="s">
        <v>415</v>
      </c>
      <c r="F130" s="12" t="s">
        <v>416</v>
      </c>
      <c r="G130" s="12" t="s">
        <v>417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321</v>
      </c>
    </row>
    <row r="131" customFormat="false" ht="15" hidden="false" customHeight="false" outlineLevel="0" collapsed="false">
      <c r="A131" s="5" t="s">
        <v>344</v>
      </c>
      <c r="B131" s="0" t="s">
        <v>27</v>
      </c>
      <c r="C131" s="13" t="n">
        <f aca="false">a25_rev</f>
        <v>7.355</v>
      </c>
      <c r="D131" s="13" t="n">
        <f aca="false">SUM(C114:F114)</f>
        <v>20.248</v>
      </c>
      <c r="E131" s="13" t="n">
        <f aca="false">SUM(G114:J114)</f>
        <v>59.8502670993597</v>
      </c>
      <c r="F131" s="13" t="n">
        <f aca="false">SUM(K114:N114)</f>
        <v>69.3147779070642</v>
      </c>
      <c r="G131" s="13" t="n">
        <f aca="false">SUM(O114:R114)</f>
        <v>70.6750977569151</v>
      </c>
    </row>
    <row r="132" customFormat="false" ht="15" hidden="false" customHeight="false" outlineLevel="0" collapsed="false">
      <c r="A132" s="5" t="s">
        <v>473</v>
      </c>
      <c r="B132" s="0" t="s">
        <v>27</v>
      </c>
      <c r="D132" s="13" t="n">
        <f aca="false">SUM(C115:F115)</f>
        <v>5.153</v>
      </c>
      <c r="E132" s="13" t="n">
        <f aca="false">SUM(G115:J115)</f>
        <v>22.7431014977567</v>
      </c>
      <c r="F132" s="13" t="n">
        <f aca="false">SUM(K115:N115)</f>
        <v>29.112206720967</v>
      </c>
      <c r="G132" s="13" t="n">
        <f aca="false">SUM(O115:R115)</f>
        <v>31.8037939906118</v>
      </c>
    </row>
    <row r="133" customFormat="false" ht="17.15" hidden="false" customHeight="false" outlineLevel="0" collapsed="false">
      <c r="A133" s="5" t="s">
        <v>474</v>
      </c>
      <c r="B133" s="0" t="s">
        <v>27</v>
      </c>
      <c r="D133" s="13" t="n">
        <f aca="false">SUM(C116:F116)</f>
        <v>3.36063827543424</v>
      </c>
      <c r="E133" s="13" t="n">
        <f aca="false">SUM(G116:J116)</f>
        <v>18.0329218430121</v>
      </c>
      <c r="F133" s="13" t="n">
        <f aca="false">SUM(K116:N116)</f>
        <v>24.5489580029192</v>
      </c>
      <c r="G133" s="13" t="n">
        <f aca="false">SUM(O116:R116)</f>
        <v>27.5153427200924</v>
      </c>
    </row>
    <row r="134" customFormat="false" ht="15" hidden="false" customHeight="false" outlineLevel="0" collapsed="false">
      <c r="A134" s="5" t="s">
        <v>475</v>
      </c>
      <c r="B134" s="0" t="s">
        <v>27</v>
      </c>
      <c r="D134" s="13" t="n">
        <f aca="false">SUM(C119:F119)</f>
        <v>12.16</v>
      </c>
      <c r="E134" s="13" t="n">
        <f aca="false">SUM(G119:J119)</f>
        <v>33.5161495756414</v>
      </c>
      <c r="F134" s="13" t="n">
        <f aca="false">SUM(K119:N119)</f>
        <v>36.0436845116734</v>
      </c>
      <c r="G134" s="13" t="n">
        <f aca="false">SUM(O119:R119)</f>
        <v>34.6307979008884</v>
      </c>
    </row>
    <row r="135" customFormat="false" ht="15" hidden="false" customHeight="false" outlineLevel="0" collapsed="false">
      <c r="A135" s="5" t="s">
        <v>476</v>
      </c>
      <c r="B135" s="0" t="s">
        <v>27</v>
      </c>
      <c r="D135" s="13" t="n">
        <f aca="false">SUM(C118:F118)</f>
        <v>2.935</v>
      </c>
      <c r="E135" s="13" t="n">
        <f aca="false">SUM(G118:J118)</f>
        <v>3.59101602596158</v>
      </c>
      <c r="F135" s="13" t="n">
        <f aca="false">SUM(K118:N118)</f>
        <v>4.15888667442385</v>
      </c>
      <c r="G135" s="13" t="n">
        <f aca="false">SUM(O118:R118)</f>
        <v>4.2405058654149</v>
      </c>
    </row>
    <row r="136" customFormat="false" ht="17.15" hidden="false" customHeight="false" outlineLevel="0" collapsed="false">
      <c r="A136" s="5" t="s">
        <v>477</v>
      </c>
      <c r="B136" s="0" t="s">
        <v>27</v>
      </c>
      <c r="D136" s="18" t="n">
        <f aca="false">D132+D134+D135-D131+ABS(D132-a26_dc)+ABS(D134-a26_ed)+ABS(D135-a26_cs)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467</v>
      </c>
      <c r="B137" s="0" t="s">
        <v>27</v>
      </c>
      <c r="D137" s="13" t="n">
        <f aca="false">SUM(C122:F122)</f>
        <v>5.771301</v>
      </c>
      <c r="E137" s="13" t="n">
        <f aca="false">SUM(G122:J122)</f>
        <v>6.76486908825806</v>
      </c>
      <c r="F137" s="13" t="n">
        <f aca="false">SUM(K122:N122)</f>
        <v>7.29189989417963</v>
      </c>
      <c r="G137" s="13" t="n">
        <f aca="false">SUM(O122:R122)</f>
        <v>7.76822876836801</v>
      </c>
    </row>
    <row r="138" customFormat="false" ht="15" hidden="false" customHeight="false" outlineLevel="0" collapsed="false">
      <c r="A138" s="5" t="s">
        <v>423</v>
      </c>
      <c r="B138" s="0" t="s">
        <v>33</v>
      </c>
      <c r="D138" s="14" t="n">
        <f aca="false">1-D137/D131</f>
        <v>0.714969330304228</v>
      </c>
      <c r="E138" s="14" t="n">
        <f aca="false">1-E137/E131</f>
        <v>0.886970110308323</v>
      </c>
      <c r="F138" s="14" t="n">
        <f aca="false">1-F137/F131</f>
        <v>0.894800212676777</v>
      </c>
      <c r="G138" s="14" t="n">
        <f aca="false">1-G137/G131</f>
        <v>0.890085348094083</v>
      </c>
    </row>
    <row r="139" customFormat="false" ht="15" hidden="false" customHeight="false" outlineLevel="0" collapsed="false">
      <c r="A139" s="5" t="s">
        <v>468</v>
      </c>
      <c r="B139" s="0" t="s">
        <v>27</v>
      </c>
      <c r="D139" s="13" t="n">
        <f aca="false">SUM(C124:F124)</f>
        <v>2.087699</v>
      </c>
      <c r="E139" s="13" t="n">
        <f aca="false">SUM(G124:J124)</f>
        <v>2.55461149510658</v>
      </c>
      <c r="F139" s="13" t="n">
        <f aca="false">SUM(K124:N124)</f>
        <v>2.84486748559492</v>
      </c>
      <c r="G139" s="13" t="n">
        <f aca="false">SUM(O124:R124)</f>
        <v>3.07364265474586</v>
      </c>
    </row>
    <row r="140" customFormat="false" ht="15" hidden="false" customHeight="false" outlineLevel="0" collapsed="false">
      <c r="A140" s="5" t="s">
        <v>424</v>
      </c>
      <c r="B140" s="0" t="s">
        <v>27</v>
      </c>
      <c r="D140" s="13" t="n">
        <f aca="false">SUM(C125:F125)</f>
        <v>12.389</v>
      </c>
      <c r="E140" s="13" t="n">
        <f aca="false">SUM(G125:J125)</f>
        <v>50.530786515995</v>
      </c>
      <c r="F140" s="13" t="n">
        <f aca="false">SUM(K125:N125)</f>
        <v>59.1780105272897</v>
      </c>
      <c r="G140" s="13" t="n">
        <f aca="false">SUM(O125:R125)</f>
        <v>59.8332263338012</v>
      </c>
    </row>
    <row r="141" customFormat="false" ht="15" hidden="false" customHeight="false" outlineLevel="0" collapsed="false">
      <c r="A141" s="5" t="s">
        <v>425</v>
      </c>
      <c r="B141" s="0" t="s">
        <v>33</v>
      </c>
      <c r="D141" s="14" t="n">
        <f aca="false">D140/D131</f>
        <v>0.61186290003951</v>
      </c>
      <c r="E141" s="14" t="n">
        <f aca="false">E140/E131</f>
        <v>0.844286733626552</v>
      </c>
      <c r="F141" s="14" t="n">
        <f aca="false">F140/F131</f>
        <v>0.853757485981334</v>
      </c>
      <c r="G141" s="14" t="n">
        <f aca="false">G140/G131</f>
        <v>0.846595593537003</v>
      </c>
    </row>
    <row r="142" customFormat="false" ht="15" hidden="false" customHeight="false" outlineLevel="0" collapsed="false">
      <c r="A142" s="5" t="s">
        <v>426</v>
      </c>
      <c r="B142" s="0" t="s">
        <v>27</v>
      </c>
      <c r="C142" s="13" t="n">
        <f aca="false">a25_ni</f>
        <v>-1.641</v>
      </c>
      <c r="D142" s="13" t="n">
        <f aca="false">SUM(C127:F127)</f>
        <v>11.433</v>
      </c>
      <c r="E142" s="13" t="n">
        <f aca="false">SUM(G127:J127)</f>
        <v>43.1130765385958</v>
      </c>
      <c r="F142" s="13" t="n">
        <f aca="false">SUM(K127:N127)</f>
        <v>51.137811976911</v>
      </c>
      <c r="G142" s="13" t="n">
        <f aca="false">SUM(O127:R127)</f>
        <v>52.4961071425881</v>
      </c>
    </row>
    <row r="143" customFormat="false" ht="15" hidden="false" customHeight="false" outlineLevel="0" collapsed="false">
      <c r="A143" s="5" t="s">
        <v>478</v>
      </c>
      <c r="B143" s="0" t="s">
        <v>27</v>
      </c>
      <c r="D143" s="13" t="n">
        <f aca="false">da_y</f>
        <v>0.16</v>
      </c>
      <c r="E143" s="13" t="n">
        <f aca="false">da_y</f>
        <v>0.16</v>
      </c>
      <c r="F143" s="13" t="n">
        <f aca="false">da_y</f>
        <v>0.16</v>
      </c>
      <c r="G143" s="13" t="n">
        <f aca="false">da_y</f>
        <v>0.16</v>
      </c>
    </row>
    <row r="144" customFormat="false" ht="17.15" hidden="false" customHeight="false" outlineLevel="0" collapsed="false">
      <c r="A144" s="5" t="s">
        <v>479</v>
      </c>
      <c r="B144" s="0" t="s">
        <v>27</v>
      </c>
      <c r="D144" s="13" t="n">
        <v>0.562</v>
      </c>
      <c r="E144" s="13" t="n">
        <f aca="false">cap_r*E131</f>
        <v>3.59101602596158</v>
      </c>
      <c r="F144" s="13" t="n">
        <f aca="false">cap_r*F131</f>
        <v>4.15888667442385</v>
      </c>
      <c r="G144" s="13" t="n">
        <f aca="false">cap_r*G131</f>
        <v>4.2405058654149</v>
      </c>
      <c r="T144" s="8" t="s">
        <v>480</v>
      </c>
    </row>
    <row r="145" customFormat="false" ht="15" hidden="false" customHeight="false" outlineLevel="0" collapsed="false">
      <c r="A145" s="5" t="s">
        <v>481</v>
      </c>
      <c r="B145" s="0" t="s">
        <v>27</v>
      </c>
      <c r="D145" s="13" t="n">
        <f aca="false">D142+D143-D144</f>
        <v>11.031</v>
      </c>
      <c r="E145" s="13" t="n">
        <f aca="false">E142+E143-E144</f>
        <v>39.6820605126342</v>
      </c>
      <c r="F145" s="13" t="n">
        <f aca="false">F142+F143-F144</f>
        <v>47.1389253024872</v>
      </c>
      <c r="G145" s="13" t="n">
        <f aca="false">G142+G143-G144</f>
        <v>48.4156012771732</v>
      </c>
    </row>
    <row r="146" customFormat="false" ht="17.15" hidden="false" customHeight="false" outlineLevel="0" collapsed="false">
      <c r="A146" s="5" t="s">
        <v>482</v>
      </c>
      <c r="B146" s="0" t="s">
        <v>27</v>
      </c>
      <c r="D146" s="13" t="n">
        <v>4.524</v>
      </c>
      <c r="E146" s="13" t="n">
        <f aca="false">MAX(0,payout*E145)</f>
        <v>19.8410302563171</v>
      </c>
      <c r="F146" s="13" t="n">
        <f aca="false">MAX(0,payout*F145)</f>
        <v>23.5694626512436</v>
      </c>
      <c r="G146" s="13" t="n">
        <f aca="false">MAX(0,payout*G145)</f>
        <v>24.2078006385866</v>
      </c>
      <c r="T146" s="8" t="s">
        <v>483</v>
      </c>
    </row>
    <row r="147" customFormat="false" ht="15" hidden="false" customHeight="false" outlineLevel="0" collapsed="false">
      <c r="A147" s="5" t="s">
        <v>484</v>
      </c>
      <c r="B147" s="0" t="s">
        <v>27</v>
      </c>
      <c r="D147" s="13" t="n">
        <f aca="false">eq0</f>
        <v>15.736</v>
      </c>
      <c r="E147" s="13" t="n">
        <f aca="false">D147+E142-E146</f>
        <v>39.0080462822787</v>
      </c>
      <c r="F147" s="13" t="n">
        <f aca="false">E147+F142-F146</f>
        <v>66.5763956079461</v>
      </c>
      <c r="G147" s="13" t="n">
        <f aca="false">F147+G142-G146</f>
        <v>94.8647021119476</v>
      </c>
    </row>
    <row r="148" customFormat="false" ht="15" hidden="false" customHeight="false" outlineLevel="0" collapsed="false">
      <c r="A148" s="5" t="s">
        <v>485</v>
      </c>
      <c r="B148" s="0" t="s">
        <v>27</v>
      </c>
      <c r="D148" s="13" t="n">
        <f aca="false">nc0</f>
        <v>4.762</v>
      </c>
      <c r="E148" s="13" t="n">
        <f aca="false">D148+E145-E146</f>
        <v>24.6030302563171</v>
      </c>
      <c r="F148" s="13" t="n">
        <f aca="false">E148+F145-F146</f>
        <v>48.1724929075607</v>
      </c>
      <c r="G148" s="13" t="n">
        <f aca="false">F148+G145-G146</f>
        <v>72.3802935461472</v>
      </c>
    </row>
    <row r="149" customFormat="false" ht="15" hidden="false" customHeight="false" outlineLevel="0" collapsed="false">
      <c r="A149" s="5" t="s">
        <v>486</v>
      </c>
      <c r="B149" s="5" t="s">
        <v>152</v>
      </c>
      <c r="D149" s="20" t="n">
        <f aca="false">sh0</f>
        <v>146.42</v>
      </c>
      <c r="E149" s="20" t="n">
        <f aca="false">D149-E146/bb_px*1000</f>
        <v>130.393708022974</v>
      </c>
      <c r="F149" s="20" t="n">
        <f aca="false">E149-F146/bb_px*1000</f>
        <v>111.35583119346</v>
      </c>
      <c r="G149" s="20" t="n">
        <f aca="false">F149-G146/bb_px*1000</f>
        <v>91.8023465132935</v>
      </c>
    </row>
    <row r="150" customFormat="false" ht="17.15" hidden="false" customHeight="false" outlineLevel="0" collapsed="false">
      <c r="A150" s="0" t="s">
        <v>487</v>
      </c>
      <c r="B150" s="0" t="s">
        <v>40</v>
      </c>
      <c r="C150" s="15" t="n">
        <f aca="false">a25_eps</f>
        <v>-11.32</v>
      </c>
      <c r="D150" s="15" t="n">
        <f aca="false">a26_eps</f>
        <v>73.76</v>
      </c>
      <c r="E150" s="15" t="n">
        <f aca="false">E142/(E149+dil)*1000</f>
        <v>319.418330948257</v>
      </c>
      <c r="F150" s="15" t="n">
        <f aca="false">F142/(F149+dil)*1000</f>
        <v>441.087207039369</v>
      </c>
      <c r="G150" s="15" t="n">
        <f aca="false">G142/(G149+dil)*1000</f>
        <v>544.665169936982</v>
      </c>
    </row>
    <row r="151" customFormat="false" ht="17.15" hidden="false" customHeight="false" outlineLevel="0" collapsed="false">
      <c r="A151" s="5" t="s">
        <v>488</v>
      </c>
      <c r="B151" s="0" t="s">
        <v>40</v>
      </c>
      <c r="D151" s="15" t="n">
        <f aca="false">D147/D149*1000</f>
        <v>107.471656877476</v>
      </c>
      <c r="E151" s="15" t="n">
        <f aca="false">E147/E149*1000</f>
        <v>299.155893897931</v>
      </c>
      <c r="F151" s="15" t="n">
        <f aca="false">F147/F149*1000</f>
        <v>597.870761633327</v>
      </c>
      <c r="G151" s="15" t="n">
        <f aca="false">G147/G149*1000</f>
        <v>1033.35814077705</v>
      </c>
    </row>
    <row r="152" customFormat="false" ht="17.15" hidden="false" customHeight="false" outlineLevel="0" collapsed="false">
      <c r="A152" s="0" t="s">
        <v>489</v>
      </c>
      <c r="B152" s="0" t="s">
        <v>33</v>
      </c>
      <c r="D152" s="21" t="n">
        <f aca="false">D142/D147</f>
        <v>0.72655058464667</v>
      </c>
      <c r="E152" s="21" t="n">
        <f aca="false">E142/E147</f>
        <v>1.10523547440985</v>
      </c>
      <c r="F152" s="21" t="n">
        <f aca="false">F142/F147</f>
        <v>0.768107247470266</v>
      </c>
      <c r="G152" s="21" t="n">
        <f aca="false">G142/G147</f>
        <v>0.55337871699253</v>
      </c>
    </row>
    <row r="153" customFormat="false" ht="15" hidden="false" customHeight="false" outlineLevel="0" collapsed="false">
      <c r="A153" s="5" t="s">
        <v>490</v>
      </c>
      <c r="B153" s="0" t="s">
        <v>40</v>
      </c>
      <c r="E153" s="15" t="n">
        <f aca="false">E145/(E149+dil)*1000</f>
        <v>293.998446763275</v>
      </c>
      <c r="F153" s="15" t="n">
        <f aca="false">F145/(F149+dil)*1000</f>
        <v>406.594965656711</v>
      </c>
      <c r="G153" s="15" t="n">
        <f aca="false">G145/(G149+dil)*1000</f>
        <v>502.328517914798</v>
      </c>
    </row>
    <row r="154" customFormat="false" ht="17.15" hidden="false" customHeight="false" outlineLevel="0" collapsed="false">
      <c r="A154" s="5" t="s">
        <v>491</v>
      </c>
      <c r="B154" s="0" t="s">
        <v>27</v>
      </c>
      <c r="D154" s="18" t="n">
        <f aca="false">ABS(D131-a26_rev)+ABS(D142-a26_ni)</f>
        <v>0</v>
      </c>
    </row>
    <row r="160" customFormat="false" ht="17.15" hidden="false" customHeight="false" outlineLevel="0" collapsed="false">
      <c r="A160" s="3" t="s">
        <v>800</v>
      </c>
    </row>
    <row r="161" customFormat="false" ht="17.15" hidden="false" customHeight="false" outlineLevel="0" collapsed="false">
      <c r="A161" s="12" t="s">
        <v>434</v>
      </c>
      <c r="B161" s="6" t="s">
        <v>17</v>
      </c>
      <c r="C161" s="12" t="s">
        <v>435</v>
      </c>
      <c r="D161" s="12" t="s">
        <v>436</v>
      </c>
      <c r="E161" s="12" t="s">
        <v>437</v>
      </c>
      <c r="F161" s="12" t="s">
        <v>438</v>
      </c>
      <c r="G161" s="12" t="s">
        <v>439</v>
      </c>
      <c r="H161" s="12" t="s">
        <v>440</v>
      </c>
      <c r="I161" s="12" t="s">
        <v>441</v>
      </c>
      <c r="J161" s="12" t="s">
        <v>442</v>
      </c>
      <c r="K161" s="12" t="s">
        <v>443</v>
      </c>
      <c r="L161" s="12" t="s">
        <v>444</v>
      </c>
      <c r="M161" s="12" t="s">
        <v>445</v>
      </c>
      <c r="N161" s="12" t="s">
        <v>446</v>
      </c>
      <c r="O161" s="12" t="s">
        <v>447</v>
      </c>
      <c r="P161" s="12" t="s">
        <v>448</v>
      </c>
      <c r="Q161" s="12" t="s">
        <v>449</v>
      </c>
      <c r="R161" s="12" t="s">
        <v>450</v>
      </c>
      <c r="S161" s="12"/>
      <c r="T161" s="6" t="s">
        <v>321</v>
      </c>
    </row>
    <row r="162" customFormat="false" ht="17.15" hidden="false" customHeight="false" outlineLevel="0" collapsed="false">
      <c r="A162" s="5" t="s">
        <v>451</v>
      </c>
      <c r="B162" s="0" t="s">
        <v>27</v>
      </c>
      <c r="C162" s="13" t="n">
        <f aca="false">Units!E4*0.9</f>
        <v>2.079</v>
      </c>
      <c r="D162" s="13" t="n">
        <f aca="false">Units!F4*0.9</f>
        <v>2.727</v>
      </c>
      <c r="E162" s="13" t="n">
        <f aca="false">Units!G4*0.9</f>
        <v>5.355</v>
      </c>
      <c r="F162" s="13" t="n">
        <f aca="false">Units!H4*0.9</f>
        <v>8.073</v>
      </c>
      <c r="G162" s="13" t="n">
        <f aca="false">Units!I4*0.9</f>
        <v>9.93343703290578</v>
      </c>
      <c r="H162" s="13" t="n">
        <f aca="false">Units!J4*0.9*1</f>
        <v>11.2141906334881</v>
      </c>
      <c r="I162" s="13" t="n">
        <f aca="false">Units!K4*0.9*1</f>
        <v>12.3566653694638</v>
      </c>
      <c r="J162" s="13" t="n">
        <f aca="false">Units!L4*0.9*1</f>
        <v>13.0655828736222</v>
      </c>
      <c r="K162" s="13" t="n">
        <f aca="false">Units!M4*0.9*1</f>
        <v>13.1244132771359</v>
      </c>
      <c r="L162" s="13" t="n">
        <f aca="false">Units!N4*0.9*1</f>
        <v>12.905961027348</v>
      </c>
      <c r="M162" s="13" t="n">
        <f aca="false">Units!O4*0.9*1</f>
        <v>12.9640727015315</v>
      </c>
      <c r="N162" s="13" t="n">
        <f aca="false">Units!P4*0.9*1</f>
        <v>13.022446035166</v>
      </c>
      <c r="O162" s="13" t="n">
        <f aca="false">Units!Q4*0.9*1</f>
        <v>13.0810822064256</v>
      </c>
      <c r="P162" s="13" t="n">
        <f aca="false">Units!R4*0.9*1</f>
        <v>13.1399823987892</v>
      </c>
      <c r="Q162" s="13" t="n">
        <f aca="false">Units!S4*0.9*1</f>
        <v>13.2792617205839</v>
      </c>
      <c r="R162" s="13" t="n">
        <f aca="false">Units!T4*0.9*1</f>
        <v>13.537411249089</v>
      </c>
      <c r="T162" s="8" t="s">
        <v>452</v>
      </c>
    </row>
    <row r="163" customFormat="false" ht="15" hidden="false" customHeight="false" outlineLevel="0" collapsed="false">
      <c r="A163" s="5" t="s">
        <v>453</v>
      </c>
      <c r="B163" s="0" t="s">
        <v>386</v>
      </c>
      <c r="C163" s="13" t="n">
        <f aca="false">Units!E7*0.9</f>
        <v>28.0397523893178</v>
      </c>
      <c r="D163" s="13" t="n">
        <f aca="false">Units!F7*0.9</f>
        <v>30.1632506032028</v>
      </c>
      <c r="E163" s="13" t="n">
        <f aca="false">Units!G7*0.9</f>
        <v>34.2623998485006</v>
      </c>
      <c r="F163" s="13" t="n">
        <f aca="false">Units!H7*0.9</f>
        <v>30.2554939076407</v>
      </c>
      <c r="G163" s="13" t="n">
        <f aca="false">Units!I7*0.9</f>
        <v>29.7823405059841</v>
      </c>
      <c r="H163" s="13" t="n">
        <f aca="false">Units!J7*0.9</f>
        <v>31.1029456936831</v>
      </c>
      <c r="I163" s="13" t="n">
        <f aca="false">Units!K7*0.9</f>
        <v>33.2734358247908</v>
      </c>
      <c r="J163" s="13" t="n">
        <f aca="false">Units!L7*0.9</f>
        <v>35.1823748770676</v>
      </c>
      <c r="K163" s="13" t="n">
        <f aca="false">Units!M7*0.9</f>
        <v>37.2008321746045</v>
      </c>
      <c r="L163" s="13" t="n">
        <f aca="false">Units!N7*0.9</f>
        <v>39.335090917502</v>
      </c>
      <c r="M163" s="13" t="n">
        <f aca="false">Units!O7*0.9</f>
        <v>41.5917947809886</v>
      </c>
      <c r="N163" s="13" t="n">
        <f aca="false">Units!P7*0.9</f>
        <v>43.9779685963345</v>
      </c>
      <c r="O163" s="13" t="n">
        <f aca="false">Units!Q7*0.9</f>
        <v>46.5010402182557</v>
      </c>
      <c r="P163" s="13" t="n">
        <f aca="false">Units!R7*0.9</f>
        <v>49.1688636468775</v>
      </c>
      <c r="Q163" s="13" t="n">
        <f aca="false">Units!S7*0.9</f>
        <v>51.2268420558461</v>
      </c>
      <c r="R163" s="13" t="n">
        <f aca="false">Units!T7*0.9</f>
        <v>53.8378293723225</v>
      </c>
    </row>
    <row r="164" customFormat="false" ht="17.15" hidden="false" customHeight="false" outlineLevel="0" collapsed="false">
      <c r="A164" s="5" t="s">
        <v>344</v>
      </c>
      <c r="B164" s="0" t="s">
        <v>27</v>
      </c>
      <c r="C164" s="13" t="n">
        <f aca="false">q1_rev</f>
        <v>2.308</v>
      </c>
      <c r="D164" s="13" t="n">
        <f aca="false">q2_rev</f>
        <v>3.025</v>
      </c>
      <c r="E164" s="13" t="n">
        <f aca="false">q3_rev</f>
        <v>5.95</v>
      </c>
      <c r="F164" s="13" t="n">
        <f aca="false">q4_rev</f>
        <v>8.965</v>
      </c>
      <c r="G164" s="13" t="n">
        <f aca="false">G162*sd_k</f>
        <v>9.9275534571706</v>
      </c>
      <c r="H164" s="13" t="n">
        <f aca="false">H162*sd_k</f>
        <v>11.2075484672689</v>
      </c>
      <c r="I164" s="13" t="n">
        <f aca="false">I162*sd_k</f>
        <v>12.3493465153457</v>
      </c>
      <c r="J164" s="13" t="n">
        <f aca="false">J162*sd_k</f>
        <v>13.0578441275964</v>
      </c>
      <c r="K164" s="13" t="n">
        <f aca="false">K162*sd_k</f>
        <v>13.1166396858563</v>
      </c>
      <c r="L164" s="13" t="n">
        <f aca="false">L162*sd_k</f>
        <v>12.8983168253574</v>
      </c>
      <c r="M164" s="13" t="n">
        <f aca="false">M162*sd_k</f>
        <v>12.9563940799906</v>
      </c>
      <c r="N164" s="13" t="n">
        <f aca="false">N162*sd_k</f>
        <v>13.0147328390939</v>
      </c>
      <c r="O164" s="13" t="n">
        <f aca="false">O162*sd_k</f>
        <v>13.0733342801434</v>
      </c>
      <c r="P164" s="13" t="n">
        <f aca="false">P162*sd_k</f>
        <v>13.1321995859173</v>
      </c>
      <c r="Q164" s="13" t="n">
        <f aca="false">Q162*sd_k</f>
        <v>13.2713964125559</v>
      </c>
      <c r="R164" s="13" t="n">
        <f aca="false">R162*sd_k</f>
        <v>13.5293930390698</v>
      </c>
      <c r="T164" s="5" t="s">
        <v>454</v>
      </c>
    </row>
    <row r="165" customFormat="false" ht="17.15" hidden="false" customHeight="false" outlineLevel="0" collapsed="false">
      <c r="A165" s="5" t="s">
        <v>455</v>
      </c>
      <c r="B165" s="0" t="s">
        <v>27</v>
      </c>
      <c r="C165" s="13" t="n">
        <f aca="false">q1_dc</f>
        <v>0.269</v>
      </c>
      <c r="D165" s="13" t="n">
        <f aca="false">q2_dc</f>
        <v>0.44</v>
      </c>
      <c r="E165" s="13" t="n">
        <f aca="false">q3_dc</f>
        <v>1.467</v>
      </c>
      <c r="F165" s="13" t="n">
        <f aca="false">q4_dc</f>
        <v>2.977</v>
      </c>
      <c r="G165" s="13" t="n">
        <f aca="false">G164*dcsh_27</f>
        <v>3.77247031372483</v>
      </c>
      <c r="H165" s="13" t="n">
        <f aca="false">H164*dcsh_27</f>
        <v>4.25886841756217</v>
      </c>
      <c r="I165" s="13" t="n">
        <f aca="false">I164*dcsh_27</f>
        <v>4.69275167583135</v>
      </c>
      <c r="J165" s="13" t="n">
        <f aca="false">J164*dcsh_27</f>
        <v>4.96198076848663</v>
      </c>
      <c r="K165" s="13" t="n">
        <f aca="false">K164*dcsh_28</f>
        <v>5.50898866805963</v>
      </c>
      <c r="L165" s="13" t="n">
        <f aca="false">L164*dcsh_28</f>
        <v>5.41729306665012</v>
      </c>
      <c r="M165" s="13" t="n">
        <f aca="false">M164*dcsh_28</f>
        <v>5.44168551359606</v>
      </c>
      <c r="N165" s="13" t="n">
        <f aca="false">N164*dcsh_28</f>
        <v>5.46618779241942</v>
      </c>
      <c r="O165" s="13" t="n">
        <f aca="false">O164*dcsh_29</f>
        <v>5.88300042606452</v>
      </c>
      <c r="P165" s="13" t="n">
        <f aca="false">P164*dcsh_29</f>
        <v>5.90948981366276</v>
      </c>
      <c r="Q165" s="13" t="n">
        <f aca="false">Q164*dcsh_29</f>
        <v>5.97212838565015</v>
      </c>
      <c r="R165" s="13" t="n">
        <f aca="false">R164*dcsh_29</f>
        <v>6.0882268675814</v>
      </c>
      <c r="T165" s="5" t="s">
        <v>456</v>
      </c>
    </row>
    <row r="166" customFormat="false" ht="17.15" hidden="false" customHeight="false" outlineLevel="0" collapsed="false">
      <c r="A166" s="5" t="s">
        <v>457</v>
      </c>
      <c r="B166" s="0" t="s">
        <v>27</v>
      </c>
      <c r="C166" s="13" t="n">
        <f aca="false">C165*(Units!C16+Units!D16)/2</f>
        <v>0.17543405707196</v>
      </c>
      <c r="D166" s="13" t="n">
        <f aca="false">D165*(Units!C16+Units!D16)/2</f>
        <v>0.286955334987593</v>
      </c>
      <c r="E166" s="13" t="n">
        <f aca="false">E165*(Units!C16+Units!D16)/2</f>
        <v>0.956735173697271</v>
      </c>
      <c r="F166" s="13" t="n">
        <f aca="false">F165*(Units!C16+Units!D16)/2</f>
        <v>1.94151370967742</v>
      </c>
      <c r="G166" s="13" t="n">
        <f aca="false">G165*(Units!D16+Units!E16)/2</f>
        <v>2.99117788878502</v>
      </c>
      <c r="H166" s="13" t="n">
        <f aca="false">H165*(Units!D16+Units!E16)/2</f>
        <v>3.37684116307297</v>
      </c>
      <c r="I166" s="13" t="n">
        <f aca="false">I165*(Units!D16+Units!E16)/2</f>
        <v>3.72086560873317</v>
      </c>
      <c r="J166" s="13" t="n">
        <f aca="false">J165*(Units!D16+Units!E16)/2</f>
        <v>3.93433636979875</v>
      </c>
      <c r="K166" s="13" t="n">
        <f aca="false">K165*(Units!E16+Units!F16)/2</f>
        <v>4.64547166578589</v>
      </c>
      <c r="L166" s="13" t="n">
        <f aca="false">L165*(Units!E16+Units!F16)/2</f>
        <v>4.5681490674123</v>
      </c>
      <c r="M166" s="13" t="n">
        <f aca="false">M165*(Units!E16+Units!F16)/2</f>
        <v>4.58871807344484</v>
      </c>
      <c r="N166" s="13" t="n">
        <f aca="false">N165*(Units!E16+Units!F16)/2</f>
        <v>4.60937969554638</v>
      </c>
      <c r="O166" s="13" t="n">
        <f aca="false">O165*(Units!F16+Units!G16)/2</f>
        <v>5.08973152679201</v>
      </c>
      <c r="P166" s="13" t="n">
        <f aca="false">P165*(Units!F16+Units!G16)/2</f>
        <v>5.11264906230448</v>
      </c>
      <c r="Q166" s="13" t="n">
        <f aca="false">Q165*(Units!F16+Units!G16)/2</f>
        <v>5.16684139471107</v>
      </c>
      <c r="R166" s="13" t="n">
        <f aca="false">R165*(Units!F16+Units!G16)/2</f>
        <v>5.26728505626175</v>
      </c>
      <c r="T166" s="5" t="s">
        <v>458</v>
      </c>
    </row>
    <row r="167" customFormat="false" ht="17.15" hidden="false" customHeight="false" outlineLevel="0" collapsed="false">
      <c r="A167" s="5" t="s">
        <v>459</v>
      </c>
      <c r="B167" s="0" t="s">
        <v>27</v>
      </c>
      <c r="C167" s="13" t="n">
        <f aca="false">C165-C166</f>
        <v>0.0935659429280397</v>
      </c>
      <c r="D167" s="13" t="n">
        <f aca="false">D165-D166</f>
        <v>0.153044665012407</v>
      </c>
      <c r="E167" s="13" t="n">
        <f aca="false">E165-E166</f>
        <v>0.51026482630273</v>
      </c>
      <c r="F167" s="13" t="n">
        <f aca="false">F165-F166</f>
        <v>1.03548629032258</v>
      </c>
      <c r="G167" s="13" t="n">
        <f aca="false">G165-G166</f>
        <v>0.78129242493981</v>
      </c>
      <c r="H167" s="13" t="n">
        <f aca="false">H165-H166</f>
        <v>0.882027254489201</v>
      </c>
      <c r="I167" s="13" t="n">
        <f aca="false">I165-I166</f>
        <v>0.971886067098172</v>
      </c>
      <c r="J167" s="13" t="n">
        <f aca="false">J165-J166</f>
        <v>1.02764439868788</v>
      </c>
      <c r="K167" s="13" t="n">
        <f aca="false">K165-K166</f>
        <v>0.863517002273738</v>
      </c>
      <c r="L167" s="13" t="n">
        <f aca="false">L165-L166</f>
        <v>0.849143999237827</v>
      </c>
      <c r="M167" s="13" t="n">
        <f aca="false">M165-M166</f>
        <v>0.852967440151219</v>
      </c>
      <c r="N167" s="13" t="n">
        <f aca="false">N165-N166</f>
        <v>0.856808096873041</v>
      </c>
      <c r="O167" s="13" t="n">
        <f aca="false">O165-O166</f>
        <v>0.793268899272514</v>
      </c>
      <c r="P167" s="13" t="n">
        <f aca="false">P165-P166</f>
        <v>0.796840751358289</v>
      </c>
      <c r="Q167" s="13" t="n">
        <f aca="false">Q165-Q166</f>
        <v>0.805286990939081</v>
      </c>
      <c r="R167" s="13" t="n">
        <f aca="false">R165-R166</f>
        <v>0.820941811319642</v>
      </c>
    </row>
    <row r="168" customFormat="false" ht="15" hidden="false" customHeight="false" outlineLevel="0" collapsed="false">
      <c r="A168" s="5" t="s">
        <v>460</v>
      </c>
      <c r="B168" s="0" t="s">
        <v>27</v>
      </c>
      <c r="C168" s="13" t="n">
        <f aca="false">q1_cs</f>
        <v>0.652</v>
      </c>
      <c r="D168" s="13" t="n">
        <f aca="false">q2_cs</f>
        <v>0.907</v>
      </c>
      <c r="E168" s="13" t="n">
        <f aca="false">q3_cs</f>
        <v>0.82</v>
      </c>
      <c r="F168" s="13" t="n">
        <f aca="false">q4_cs</f>
        <v>0.556</v>
      </c>
      <c r="G168" s="13" t="n">
        <f aca="false">G164*cssh_27</f>
        <v>0.595653207430236</v>
      </c>
      <c r="H168" s="13" t="n">
        <f aca="false">H164*cssh_27</f>
        <v>0.672452908036133</v>
      </c>
      <c r="I168" s="13" t="n">
        <f aca="false">I164*cssh_27</f>
        <v>0.740960790920739</v>
      </c>
      <c r="J168" s="13" t="n">
        <f aca="false">J164*cssh_27</f>
        <v>0.783470647655784</v>
      </c>
      <c r="K168" s="13" t="n">
        <f aca="false">K164*cssh_28</f>
        <v>0.786998381151376</v>
      </c>
      <c r="L168" s="13" t="n">
        <f aca="false">L164*cssh_28</f>
        <v>0.773899009521446</v>
      </c>
      <c r="M168" s="13" t="n">
        <f aca="false">M164*cssh_28</f>
        <v>0.777383644799437</v>
      </c>
      <c r="N168" s="13" t="n">
        <f aca="false">N164*cssh_28</f>
        <v>0.780883970345632</v>
      </c>
      <c r="O168" s="13" t="n">
        <f aca="false">O164*cssh_29</f>
        <v>0.784400056808603</v>
      </c>
      <c r="P168" s="13" t="n">
        <f aca="false">P164*cssh_29</f>
        <v>0.787931975155035</v>
      </c>
      <c r="Q168" s="13" t="n">
        <f aca="false">Q164*cssh_29</f>
        <v>0.796283784753354</v>
      </c>
      <c r="R168" s="13" t="n">
        <f aca="false">R164*cssh_29</f>
        <v>0.811763582344186</v>
      </c>
      <c r="T168" s="5" t="s">
        <v>461</v>
      </c>
    </row>
    <row r="169" customFormat="false" ht="15" hidden="false" customHeight="false" outlineLevel="0" collapsed="false">
      <c r="A169" s="5" t="s">
        <v>462</v>
      </c>
      <c r="B169" s="0" t="s">
        <v>27</v>
      </c>
      <c r="C169" s="13" t="n">
        <f aca="false">q1_ed</f>
        <v>1.387</v>
      </c>
      <c r="D169" s="13" t="n">
        <f aca="false">q2_ed</f>
        <v>1.678</v>
      </c>
      <c r="E169" s="13" t="n">
        <f aca="false">q3_ed</f>
        <v>3.663</v>
      </c>
      <c r="F169" s="13" t="n">
        <f aca="false">q4_ed</f>
        <v>5.432</v>
      </c>
      <c r="G169" s="13" t="n">
        <f aca="false">G164-G165-G168</f>
        <v>5.55942993601553</v>
      </c>
      <c r="H169" s="13" t="n">
        <f aca="false">H164-H165-H168</f>
        <v>6.27622714167057</v>
      </c>
      <c r="I169" s="13" t="n">
        <f aca="false">I164-I165-I168</f>
        <v>6.91563404859356</v>
      </c>
      <c r="J169" s="13" t="n">
        <f aca="false">J164-J165-J168</f>
        <v>7.31239271145398</v>
      </c>
      <c r="K169" s="13" t="n">
        <f aca="false">K164-K165-K168</f>
        <v>6.82065263664526</v>
      </c>
      <c r="L169" s="13" t="n">
        <f aca="false">L164-L165-L168</f>
        <v>6.70712474918587</v>
      </c>
      <c r="M169" s="13" t="n">
        <f aca="false">M164-M165-M168</f>
        <v>6.73732492159513</v>
      </c>
      <c r="N169" s="13" t="n">
        <f aca="false">N164-N165-N168</f>
        <v>6.76766107632881</v>
      </c>
      <c r="O169" s="13" t="n">
        <f aca="false">O164-O165-O168</f>
        <v>6.40593379727026</v>
      </c>
      <c r="P169" s="13" t="n">
        <f aca="false">P164-P165-P168</f>
        <v>6.43477779709945</v>
      </c>
      <c r="Q169" s="13" t="n">
        <f aca="false">Q164-Q165-Q168</f>
        <v>6.50298424215239</v>
      </c>
      <c r="R169" s="13" t="n">
        <f aca="false">R164-R165-R168</f>
        <v>6.62940258914419</v>
      </c>
      <c r="T169" s="5" t="s">
        <v>463</v>
      </c>
    </row>
    <row r="170" customFormat="false" ht="15" hidden="false" customHeight="false" outlineLevel="0" collapsed="false">
      <c r="A170" s="5" t="s">
        <v>464</v>
      </c>
      <c r="B170" s="0" t="s">
        <v>27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465</v>
      </c>
      <c r="B171" s="0" t="s">
        <v>466</v>
      </c>
      <c r="C171" s="19" t="n">
        <f aca="false">C172/C163</f>
        <v>0.0577828212426458</v>
      </c>
      <c r="D171" s="19" t="n">
        <f aca="false">D172/D163</f>
        <v>0.0492412114177871</v>
      </c>
      <c r="E171" s="19" t="n">
        <f aca="false">E172/E163</f>
        <v>0.0375105073107202</v>
      </c>
      <c r="F171" s="19" t="n">
        <f aca="false">F172/F163</f>
        <v>0.0456317125152382</v>
      </c>
      <c r="G171" s="19" t="n">
        <f aca="false">(1-g_gm)*G164/G163</f>
        <v>0.049900535931346</v>
      </c>
      <c r="H171" s="19" t="n">
        <f aca="false">$G171*(1-cd_A)^(1/4)</f>
        <v>0.0480540308412442</v>
      </c>
      <c r="I171" s="19" t="n">
        <f aca="false">$G171*(1-cd_A)^(2/4)</f>
        <v>0.0462758532948078</v>
      </c>
      <c r="J171" s="19" t="n">
        <f aca="false">$G171*(1-cd_A)^(3/4)</f>
        <v>0.0445634749192484</v>
      </c>
      <c r="K171" s="19" t="n">
        <f aca="false">$G171*(1-cd_A)^(4/4)</f>
        <v>0.0429144609009576</v>
      </c>
      <c r="L171" s="19" t="n">
        <f aca="false">$G171*(1-cd_A)^(5/4)</f>
        <v>0.04132646652347</v>
      </c>
      <c r="M171" s="19" t="n">
        <f aca="false">$G171*(1-cd_A)^(6/4)</f>
        <v>0.0397972338335347</v>
      </c>
      <c r="N171" s="19" t="n">
        <f aca="false">$G171*(1-cd_A)^(7/4)</f>
        <v>0.0383245884305536</v>
      </c>
      <c r="O171" s="19" t="n">
        <f aca="false">$G171*(1-cd_A)^(8/4)</f>
        <v>0.0369064363748235</v>
      </c>
      <c r="P171" s="19" t="n">
        <f aca="false">$G171*(1-cd_A)^(9/4)</f>
        <v>0.0355407612101842</v>
      </c>
      <c r="Q171" s="19" t="n">
        <f aca="false">$G171*(1-cd_A)^(10/4)</f>
        <v>0.0342256210968399</v>
      </c>
      <c r="R171" s="19" t="n">
        <f aca="false">$G171*(1-cd_A)^(11/4)</f>
        <v>0.0329591460502761</v>
      </c>
    </row>
    <row r="172" customFormat="false" ht="15" hidden="false" customHeight="false" outlineLevel="0" collapsed="false">
      <c r="A172" s="5" t="s">
        <v>467</v>
      </c>
      <c r="B172" s="0" t="s">
        <v>27</v>
      </c>
      <c r="C172" s="13" t="n">
        <f aca="false">q1_rev*(1-q1_gm)</f>
        <v>1.620216</v>
      </c>
      <c r="D172" s="13" t="n">
        <f aca="false">q2_rev*(1-q2_gm)</f>
        <v>1.485275</v>
      </c>
      <c r="E172" s="13" t="n">
        <f aca="false">q3_rev*(1-q3_gm)</f>
        <v>1.2852</v>
      </c>
      <c r="F172" s="13" t="n">
        <f aca="false">q4_rev*(1-q4_gm)</f>
        <v>1.38061</v>
      </c>
      <c r="G172" s="13" t="n">
        <f aca="false">G163*G171</f>
        <v>1.48615475253844</v>
      </c>
      <c r="H172" s="13" t="n">
        <f aca="false">H163*H171</f>
        <v>1.49462191161779</v>
      </c>
      <c r="I172" s="13" t="n">
        <f aca="false">I163*I171</f>
        <v>1.53975663484222</v>
      </c>
      <c r="J172" s="13" t="n">
        <f aca="false">J163*J171</f>
        <v>1.56784888043379</v>
      </c>
      <c r="K172" s="13" t="n">
        <f aca="false">K163*K171</f>
        <v>1.59645365784015</v>
      </c>
      <c r="L172" s="13" t="n">
        <f aca="false">L163*L171</f>
        <v>1.6255803179998</v>
      </c>
      <c r="M172" s="13" t="n">
        <f aca="false">M163*M171</f>
        <v>1.65523838245539</v>
      </c>
      <c r="N172" s="13" t="n">
        <f aca="false">N163*N171</f>
        <v>1.68543754646633</v>
      </c>
      <c r="O172" s="13" t="n">
        <f aca="false">O163*O171</f>
        <v>1.71618768217816</v>
      </c>
      <c r="P172" s="13" t="n">
        <f aca="false">P163*P171</f>
        <v>1.74749884184978</v>
      </c>
      <c r="Q172" s="13" t="n">
        <f aca="false">Q163*Q171</f>
        <v>1.75327048619105</v>
      </c>
      <c r="R172" s="13" t="n">
        <f aca="false">R163*R171</f>
        <v>1.77444888131222</v>
      </c>
    </row>
    <row r="173" customFormat="false" ht="15" hidden="false" customHeight="false" outlineLevel="0" collapsed="false">
      <c r="A173" s="5" t="s">
        <v>423</v>
      </c>
      <c r="B173" s="0" t="s">
        <v>33</v>
      </c>
      <c r="C173" s="14" t="n">
        <f aca="false">1-C172/C164</f>
        <v>0.298</v>
      </c>
      <c r="D173" s="14" t="n">
        <f aca="false">1-D172/D164</f>
        <v>0.509</v>
      </c>
      <c r="E173" s="14" t="n">
        <f aca="false">1-E172/E164</f>
        <v>0.784</v>
      </c>
      <c r="F173" s="14" t="n">
        <f aca="false">1-F172/F164</f>
        <v>0.846</v>
      </c>
      <c r="G173" s="14" t="n">
        <f aca="false">1-G172/G164</f>
        <v>0.8503</v>
      </c>
      <c r="H173" s="14" t="n">
        <f aca="false">1-H172/H164</f>
        <v>0.866641494704862</v>
      </c>
      <c r="I173" s="14" t="n">
        <f aca="false">1-I172/I164</f>
        <v>0.875316751948868</v>
      </c>
      <c r="J173" s="14" t="n">
        <f aca="false">1-J172/J164</f>
        <v>0.879930495025568</v>
      </c>
      <c r="K173" s="14" t="n">
        <f aca="false">1-K172/K164</f>
        <v>0.878287907873111</v>
      </c>
      <c r="L173" s="14" t="n">
        <f aca="false">1-L172/L164</f>
        <v>0.873969577580542</v>
      </c>
      <c r="M173" s="14" t="n">
        <f aca="false">1-M172/M164</f>
        <v>0.872245443274091</v>
      </c>
      <c r="N173" s="14" t="n">
        <f aca="false">1-N172/N164</f>
        <v>0.870497722288729</v>
      </c>
      <c r="O173" s="14" t="n">
        <f aca="false">1-O172/O164</f>
        <v>0.868726091951552</v>
      </c>
      <c r="P173" s="14" t="n">
        <f aca="false">1-P172/P164</f>
        <v>0.866930225175395</v>
      </c>
      <c r="Q173" s="14" t="n">
        <f aca="false">1-Q172/Q164</f>
        <v>0.867891031833523</v>
      </c>
      <c r="R173" s="14" t="n">
        <f aca="false">1-R172/R164</f>
        <v>0.868844901157944</v>
      </c>
    </row>
    <row r="174" customFormat="false" ht="17.15" hidden="false" customHeight="false" outlineLevel="0" collapsed="false">
      <c r="A174" s="5" t="s">
        <v>468</v>
      </c>
      <c r="B174" s="0" t="s">
        <v>27</v>
      </c>
      <c r="C174" s="13" t="n">
        <f aca="false">q1_rev-q1_rev*(1-q1_gm)-q1_op</f>
        <v>0.511784</v>
      </c>
      <c r="D174" s="13" t="n">
        <f aca="false">q2_rev-q2_rev*(1-q2_gm)-q2_op</f>
        <v>0.474725</v>
      </c>
      <c r="E174" s="13" t="n">
        <f aca="false">q3_rev-q3_rev*(1-q3_gm)-q3_op</f>
        <v>0.553800000000001</v>
      </c>
      <c r="F174" s="13" t="n">
        <f aca="false">q4_rev-q4_rev*(1-q4_gm)-q4_op</f>
        <v>0.54739</v>
      </c>
      <c r="G174" s="13" t="n">
        <f aca="false">(g_ox-ox_var*g_rev)*(1+ox_g)^(0/4)+ox_var*G164</f>
        <v>0.570965534571706</v>
      </c>
      <c r="H174" s="13" t="n">
        <f aca="false">(g_ox-ox_var*g_rev)*(1+ox_g)^(1/4)+ox_var*H164</f>
        <v>0.595139670676931</v>
      </c>
      <c r="I174" s="13" t="n">
        <f aca="false">(g_ox-ox_var*g_rev)*(1+ox_g)^(2/4)+ox_var*I164</f>
        <v>0.618206110746835</v>
      </c>
      <c r="J174" s="13" t="n">
        <f aca="false">(g_ox-ox_var*g_rev)*(1+ox_g)^(3/4)+ox_var*J164</f>
        <v>0.637220433791325</v>
      </c>
      <c r="K174" s="13" t="n">
        <f aca="false">(g_ox-ox_var*g_rev)*(1+ox_g)^(4/4)+ox_var*K164</f>
        <v>0.650025396858563</v>
      </c>
      <c r="L174" s="13" t="n">
        <f aca="false">(g_ox-ox_var*g_rev)*(1+ox_g)^(5/4)+ox_var*L164</f>
        <v>0.660353772858241</v>
      </c>
      <c r="M174" s="13" t="n">
        <f aca="false">(g_ox-ox_var*g_rev)*(1+ox_g)^(6/4)+ox_var*M164</f>
        <v>0.673747850952623</v>
      </c>
      <c r="N174" s="13" t="n">
        <f aca="false">(g_ox-ox_var*g_rev)*(1+ox_g)^(7/4)+ox_var*N164</f>
        <v>0.687453520157836</v>
      </c>
      <c r="O174" s="13" t="n">
        <f aca="false">(g_ox-ox_var*g_rev)*(1+ox_g)^(8/4)+ox_var*O164</f>
        <v>0.701478242801434</v>
      </c>
      <c r="P174" s="13" t="n">
        <f aca="false">(g_ox-ox_var*g_rev)*(1+ox_g)^(9/4)+ox_var*P164</f>
        <v>0.715829660924305</v>
      </c>
      <c r="Q174" s="13" t="n">
        <f aca="false">(g_ox-ox_var*g_rev)*(1+ox_g)^(10/4)+ox_var*Q164</f>
        <v>0.731316265293547</v>
      </c>
      <c r="R174" s="13" t="n">
        <f aca="false">(g_ox-ox_var*g_rev)*(1+ox_g)^(11/4)+ox_var*R164</f>
        <v>0.748330741334284</v>
      </c>
      <c r="T174" s="5" t="s">
        <v>469</v>
      </c>
    </row>
    <row r="175" customFormat="false" ht="15" hidden="false" customHeight="false" outlineLevel="0" collapsed="false">
      <c r="A175" s="5" t="s">
        <v>424</v>
      </c>
      <c r="B175" s="0" t="s">
        <v>27</v>
      </c>
      <c r="C175" s="13" t="n">
        <f aca="false">C164-C172-C174</f>
        <v>0.176</v>
      </c>
      <c r="D175" s="13" t="n">
        <f aca="false">D164-D172-D174</f>
        <v>1.065</v>
      </c>
      <c r="E175" s="13" t="n">
        <f aca="false">E164-E172-E174</f>
        <v>4.111</v>
      </c>
      <c r="F175" s="13" t="n">
        <f aca="false">F164-F172-F174</f>
        <v>7.037</v>
      </c>
      <c r="G175" s="13" t="n">
        <f aca="false">G164-G172-G174</f>
        <v>7.87043317006045</v>
      </c>
      <c r="H175" s="13" t="n">
        <f aca="false">H164-H172-H174</f>
        <v>9.11778688497416</v>
      </c>
      <c r="I175" s="13" t="n">
        <f aca="false">I164-I172-I174</f>
        <v>10.1913837697566</v>
      </c>
      <c r="J175" s="13" t="n">
        <f aca="false">J164-J172-J174</f>
        <v>10.8527748133713</v>
      </c>
      <c r="K175" s="13" t="n">
        <f aca="false">K164-K172-K174</f>
        <v>10.8701606311576</v>
      </c>
      <c r="L175" s="13" t="n">
        <f aca="false">L164-L172-L174</f>
        <v>10.6123827344994</v>
      </c>
      <c r="M175" s="13" t="n">
        <f aca="false">M164-M172-M174</f>
        <v>10.6274078465826</v>
      </c>
      <c r="N175" s="13" t="n">
        <f aca="false">N164-N172-N174</f>
        <v>10.6418417724697</v>
      </c>
      <c r="O175" s="13" t="n">
        <f aca="false">O164-O172-O174</f>
        <v>10.6556683551638</v>
      </c>
      <c r="P175" s="13" t="n">
        <f aca="false">P164-P172-P174</f>
        <v>10.6688710831432</v>
      </c>
      <c r="Q175" s="13" t="n">
        <f aca="false">Q164-Q172-Q174</f>
        <v>10.7868096610713</v>
      </c>
      <c r="R175" s="13" t="n">
        <f aca="false">R164-R172-R174</f>
        <v>11.0066134164233</v>
      </c>
    </row>
    <row r="177" customFormat="false" ht="17.15" hidden="false" customHeight="false" outlineLevel="0" collapsed="false">
      <c r="A177" s="5" t="s">
        <v>426</v>
      </c>
      <c r="B177" s="0" t="s">
        <v>27</v>
      </c>
      <c r="C177" s="13" t="n">
        <f aca="false">q1_ni</f>
        <v>0.112</v>
      </c>
      <c r="D177" s="13" t="n">
        <f aca="false">q2_ni</f>
        <v>0.803</v>
      </c>
      <c r="E177" s="13" t="n">
        <f aca="false">q3_ni</f>
        <v>3.615</v>
      </c>
      <c r="F177" s="13" t="n">
        <f aca="false">q4_ni</f>
        <v>6.903</v>
      </c>
      <c r="G177" s="13" t="n">
        <f aca="false">(G175+rf*$D198/4)*(1-tax)</f>
        <v>6.73034519455138</v>
      </c>
      <c r="H177" s="13" t="n">
        <f aca="false">(H175+rf*$D198/4)*(1-tax)</f>
        <v>7.79059585222803</v>
      </c>
      <c r="I177" s="13" t="n">
        <f aca="false">(I175+rf*$D198/4)*(1-tax)</f>
        <v>8.7031532042931</v>
      </c>
      <c r="J177" s="13" t="n">
        <f aca="false">(J175+rf*$D198/4)*(1-tax)</f>
        <v>9.26533559136558</v>
      </c>
      <c r="K177" s="13" t="n">
        <f aca="false">(K175+rf*$E198/4)*(1-tax)</f>
        <v>9.4070053287096</v>
      </c>
      <c r="L177" s="13" t="n">
        <f aca="false">(L175+rf*$E198/4)*(1-tax)</f>
        <v>9.18789411655017</v>
      </c>
      <c r="M177" s="13" t="n">
        <f aca="false">(M175+rf*$E198/4)*(1-tax)</f>
        <v>9.2006654618209</v>
      </c>
      <c r="N177" s="13" t="n">
        <f aca="false">(N175+rf*$E198/4)*(1-tax)</f>
        <v>9.21293429882492</v>
      </c>
      <c r="O177" s="13" t="n">
        <f aca="false">(O175+rf*$F198/4)*(1-tax)</f>
        <v>9.36939656446527</v>
      </c>
      <c r="P177" s="13" t="n">
        <f aca="false">(P175+rf*$F198/4)*(1-tax)</f>
        <v>9.38061888324774</v>
      </c>
      <c r="Q177" s="13" t="n">
        <f aca="false">(Q175+rf*$F198/4)*(1-tax)</f>
        <v>9.48086667448666</v>
      </c>
      <c r="R177" s="13" t="n">
        <f aca="false">(R175+rf*$F198/4)*(1-tax)</f>
        <v>9.66769986653583</v>
      </c>
      <c r="T177" s="5" t="s">
        <v>470</v>
      </c>
    </row>
    <row r="178" customFormat="false" ht="17.15" hidden="false" customHeight="false" outlineLevel="0" collapsed="false">
      <c r="A178" s="5" t="s">
        <v>471</v>
      </c>
      <c r="B178" s="0" t="s">
        <v>40</v>
      </c>
      <c r="G178" s="15" t="n">
        <f aca="false">G177/(sh0+dil)*1000</f>
        <v>44.5718224804727</v>
      </c>
      <c r="H178" s="15" t="n">
        <f aca="false">H177/(sh0+dil)*1000</f>
        <v>51.5933500147552</v>
      </c>
      <c r="I178" s="15" t="n">
        <f aca="false">I177/(sh0+dil)*1000</f>
        <v>57.6367761873715</v>
      </c>
      <c r="J178" s="15" t="n">
        <f aca="false">J177/(sh0+dil)*1000</f>
        <v>61.3598383534145</v>
      </c>
      <c r="K178" s="15" t="n">
        <f aca="false">K177/(sh0+dil)*1000</f>
        <v>62.2980485345007</v>
      </c>
      <c r="L178" s="15" t="n">
        <f aca="false">L177/(sh0+dil)*1000</f>
        <v>60.8469809043058</v>
      </c>
      <c r="M178" s="15" t="n">
        <f aca="false">M177/(sh0+dil)*1000</f>
        <v>60.9315593498073</v>
      </c>
      <c r="N178" s="15" t="n">
        <f aca="false">N177/(sh0+dil)*1000</f>
        <v>61.0128099259928</v>
      </c>
      <c r="O178" s="15" t="n">
        <f aca="false">O177/(sh0+dil)*1000</f>
        <v>62.0489838706309</v>
      </c>
      <c r="P178" s="15" t="n">
        <f aca="false">P177/(sh0+dil)*1000</f>
        <v>62.1233038625678</v>
      </c>
      <c r="Q178" s="15" t="n">
        <f aca="false">Q177/(sh0+dil)*1000</f>
        <v>62.7871965197792</v>
      </c>
      <c r="R178" s="15" t="n">
        <f aca="false">R177/(sh0+dil)*1000</f>
        <v>64.0245024273896</v>
      </c>
    </row>
    <row r="180" customFormat="false" ht="17.15" hidden="false" customHeight="false" outlineLevel="0" collapsed="false">
      <c r="A180" s="12" t="s">
        <v>472</v>
      </c>
      <c r="B180" s="6" t="s">
        <v>17</v>
      </c>
      <c r="C180" s="12" t="s">
        <v>413</v>
      </c>
      <c r="D180" s="12" t="s">
        <v>414</v>
      </c>
      <c r="E180" s="12" t="s">
        <v>415</v>
      </c>
      <c r="F180" s="12" t="s">
        <v>416</v>
      </c>
      <c r="G180" s="12" t="s">
        <v>417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321</v>
      </c>
    </row>
    <row r="181" customFormat="false" ht="15" hidden="false" customHeight="false" outlineLevel="0" collapsed="false">
      <c r="A181" s="5" t="s">
        <v>344</v>
      </c>
      <c r="B181" s="0" t="s">
        <v>27</v>
      </c>
      <c r="C181" s="13" t="n">
        <f aca="false">a25_rev</f>
        <v>7.355</v>
      </c>
      <c r="D181" s="13" t="n">
        <f aca="false">SUM(C164:F164)</f>
        <v>20.248</v>
      </c>
      <c r="E181" s="13" t="n">
        <f aca="false">SUM(G164:J164)</f>
        <v>46.5422925673815</v>
      </c>
      <c r="F181" s="13" t="n">
        <f aca="false">SUM(K164:N164)</f>
        <v>51.9860834302982</v>
      </c>
      <c r="G181" s="13" t="n">
        <f aca="false">SUM(O164:R164)</f>
        <v>53.0063233176863</v>
      </c>
    </row>
    <row r="182" customFormat="false" ht="15" hidden="false" customHeight="false" outlineLevel="0" collapsed="false">
      <c r="A182" s="5" t="s">
        <v>473</v>
      </c>
      <c r="B182" s="0" t="s">
        <v>27</v>
      </c>
      <c r="D182" s="13" t="n">
        <f aca="false">SUM(C165:F165)</f>
        <v>5.153</v>
      </c>
      <c r="E182" s="13" t="n">
        <f aca="false">SUM(G165:J165)</f>
        <v>17.686071175605</v>
      </c>
      <c r="F182" s="13" t="n">
        <f aca="false">SUM(K165:N165)</f>
        <v>21.8341550407252</v>
      </c>
      <c r="G182" s="13" t="n">
        <f aca="false">SUM(O165:R165)</f>
        <v>23.8528454929588</v>
      </c>
    </row>
    <row r="183" customFormat="false" ht="17.15" hidden="false" customHeight="false" outlineLevel="0" collapsed="false">
      <c r="A183" s="5" t="s">
        <v>474</v>
      </c>
      <c r="B183" s="0" t="s">
        <v>27</v>
      </c>
      <c r="D183" s="13" t="n">
        <f aca="false">SUM(C166:F166)</f>
        <v>3.36063827543424</v>
      </c>
      <c r="E183" s="13" t="n">
        <f aca="false">SUM(G166:J166)</f>
        <v>14.0232210303899</v>
      </c>
      <c r="F183" s="13" t="n">
        <f aca="false">SUM(K166:N166)</f>
        <v>18.4117185021894</v>
      </c>
      <c r="G183" s="13" t="n">
        <f aca="false">SUM(O166:R166)</f>
        <v>20.6365070400693</v>
      </c>
    </row>
    <row r="184" customFormat="false" ht="15" hidden="false" customHeight="false" outlineLevel="0" collapsed="false">
      <c r="A184" s="5" t="s">
        <v>475</v>
      </c>
      <c r="B184" s="0" t="s">
        <v>27</v>
      </c>
      <c r="D184" s="13" t="n">
        <f aca="false">SUM(C169:F169)</f>
        <v>12.16</v>
      </c>
      <c r="E184" s="13" t="n">
        <f aca="false">SUM(G169:J169)</f>
        <v>26.0636838377337</v>
      </c>
      <c r="F184" s="13" t="n">
        <f aca="false">SUM(K169:N169)</f>
        <v>27.0327633837551</v>
      </c>
      <c r="G184" s="13" t="n">
        <f aca="false">SUM(O169:R169)</f>
        <v>25.9730984256663</v>
      </c>
    </row>
    <row r="185" customFormat="false" ht="15" hidden="false" customHeight="false" outlineLevel="0" collapsed="false">
      <c r="A185" s="5" t="s">
        <v>476</v>
      </c>
      <c r="B185" s="0" t="s">
        <v>27</v>
      </c>
      <c r="D185" s="13" t="n">
        <f aca="false">SUM(C168:F168)</f>
        <v>2.935</v>
      </c>
      <c r="E185" s="13" t="n">
        <f aca="false">SUM(G168:J168)</f>
        <v>2.79253755404289</v>
      </c>
      <c r="F185" s="13" t="n">
        <f aca="false">SUM(K168:N168)</f>
        <v>3.11916500581789</v>
      </c>
      <c r="G185" s="13" t="n">
        <f aca="false">SUM(O168:R168)</f>
        <v>3.18037939906118</v>
      </c>
    </row>
    <row r="186" customFormat="false" ht="17.15" hidden="false" customHeight="false" outlineLevel="0" collapsed="false">
      <c r="A186" s="5" t="s">
        <v>477</v>
      </c>
      <c r="B186" s="0" t="s">
        <v>27</v>
      </c>
      <c r="D186" s="18" t="n">
        <f aca="false">D182+D184+D185-D181+ABS(D182-a26_dc)+ABS(D184-a26_ed)+ABS(D185-a26_cs)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467</v>
      </c>
      <c r="B187" s="0" t="s">
        <v>27</v>
      </c>
      <c r="D187" s="13" t="n">
        <f aca="false">SUM(C172:F172)</f>
        <v>5.771301</v>
      </c>
      <c r="E187" s="13" t="n">
        <f aca="false">SUM(G172:J172)</f>
        <v>6.08838217943225</v>
      </c>
      <c r="F187" s="13" t="n">
        <f aca="false">SUM(K172:N172)</f>
        <v>6.56270990476167</v>
      </c>
      <c r="G187" s="13" t="n">
        <f aca="false">SUM(O172:R172)</f>
        <v>6.99140589153121</v>
      </c>
    </row>
    <row r="188" customFormat="false" ht="15" hidden="false" customHeight="false" outlineLevel="0" collapsed="false">
      <c r="A188" s="5" t="s">
        <v>423</v>
      </c>
      <c r="B188" s="0" t="s">
        <v>33</v>
      </c>
      <c r="D188" s="14" t="n">
        <f aca="false">1-D187/D181</f>
        <v>0.714969330304228</v>
      </c>
      <c r="E188" s="14" t="n">
        <f aca="false">1-E187/E181</f>
        <v>0.869186027512121</v>
      </c>
      <c r="F188" s="14" t="n">
        <f aca="false">1-F187/F181</f>
        <v>0.873760255212132</v>
      </c>
      <c r="G188" s="14" t="n">
        <f aca="false">1-G187/G181</f>
        <v>0.868102417712899</v>
      </c>
    </row>
    <row r="189" customFormat="false" ht="15" hidden="false" customHeight="false" outlineLevel="0" collapsed="false">
      <c r="A189" s="5" t="s">
        <v>468</v>
      </c>
      <c r="B189" s="0" t="s">
        <v>27</v>
      </c>
      <c r="D189" s="13" t="n">
        <f aca="false">SUM(C174:F174)</f>
        <v>2.087699</v>
      </c>
      <c r="E189" s="13" t="n">
        <f aca="false">SUM(G174:J174)</f>
        <v>2.4215317497868</v>
      </c>
      <c r="F189" s="13" t="n">
        <f aca="false">SUM(K174:N174)</f>
        <v>2.67158054082726</v>
      </c>
      <c r="G189" s="13" t="n">
        <f aca="false">SUM(O174:R174)</f>
        <v>2.89695491035357</v>
      </c>
    </row>
    <row r="190" customFormat="false" ht="15" hidden="false" customHeight="false" outlineLevel="0" collapsed="false">
      <c r="A190" s="5" t="s">
        <v>424</v>
      </c>
      <c r="B190" s="0" t="s">
        <v>27</v>
      </c>
      <c r="D190" s="13" t="n">
        <f aca="false">SUM(C175:F175)</f>
        <v>12.389</v>
      </c>
      <c r="E190" s="13" t="n">
        <f aca="false">SUM(G175:J175)</f>
        <v>38.0323786381625</v>
      </c>
      <c r="F190" s="13" t="n">
        <f aca="false">SUM(K175:N175)</f>
        <v>42.7517929847093</v>
      </c>
      <c r="G190" s="13" t="n">
        <f aca="false">SUM(O175:R175)</f>
        <v>43.1179625158015</v>
      </c>
    </row>
    <row r="191" customFormat="false" ht="15" hidden="false" customHeight="false" outlineLevel="0" collapsed="false">
      <c r="A191" s="5" t="s">
        <v>425</v>
      </c>
      <c r="B191" s="0" t="s">
        <v>33</v>
      </c>
      <c r="D191" s="14" t="n">
        <f aca="false">D190/D181</f>
        <v>0.61186290003951</v>
      </c>
      <c r="E191" s="14" t="n">
        <f aca="false">E190/E181</f>
        <v>0.817157396857947</v>
      </c>
      <c r="F191" s="14" t="n">
        <f aca="false">F190/F181</f>
        <v>0.822369952951542</v>
      </c>
      <c r="G191" s="14" t="n">
        <f aca="false">G190/G181</f>
        <v>0.813449411636793</v>
      </c>
    </row>
    <row r="192" customFormat="false" ht="15" hidden="false" customHeight="false" outlineLevel="0" collapsed="false">
      <c r="A192" s="5" t="s">
        <v>426</v>
      </c>
      <c r="B192" s="0" t="s">
        <v>27</v>
      </c>
      <c r="C192" s="13" t="n">
        <f aca="false">a25_ni</f>
        <v>-1.641</v>
      </c>
      <c r="D192" s="13" t="n">
        <f aca="false">SUM(C177:F177)</f>
        <v>11.433</v>
      </c>
      <c r="E192" s="13" t="n">
        <f aca="false">SUM(G177:J177)</f>
        <v>32.4894298424381</v>
      </c>
      <c r="F192" s="13" t="n">
        <f aca="false">SUM(K177:N177)</f>
        <v>37.0084992059056</v>
      </c>
      <c r="G192" s="13" t="n">
        <f aca="false">SUM(O177:R177)</f>
        <v>37.8985819887355</v>
      </c>
    </row>
    <row r="193" customFormat="false" ht="15" hidden="false" customHeight="false" outlineLevel="0" collapsed="false">
      <c r="A193" s="5" t="s">
        <v>478</v>
      </c>
      <c r="B193" s="0" t="s">
        <v>27</v>
      </c>
      <c r="D193" s="13" t="n">
        <f aca="false">da_y</f>
        <v>0.16</v>
      </c>
      <c r="E193" s="13" t="n">
        <f aca="false">da_y</f>
        <v>0.16</v>
      </c>
      <c r="F193" s="13" t="n">
        <f aca="false">da_y</f>
        <v>0.16</v>
      </c>
      <c r="G193" s="13" t="n">
        <f aca="false">da_y</f>
        <v>0.16</v>
      </c>
    </row>
    <row r="194" customFormat="false" ht="17.15" hidden="false" customHeight="false" outlineLevel="0" collapsed="false">
      <c r="A194" s="5" t="s">
        <v>479</v>
      </c>
      <c r="B194" s="0" t="s">
        <v>27</v>
      </c>
      <c r="D194" s="13" t="n">
        <v>0.562</v>
      </c>
      <c r="E194" s="13" t="n">
        <f aca="false">cap_r*E181</f>
        <v>2.79253755404289</v>
      </c>
      <c r="F194" s="13" t="n">
        <f aca="false">cap_r*F181</f>
        <v>3.11916500581789</v>
      </c>
      <c r="G194" s="13" t="n">
        <f aca="false">cap_r*G181</f>
        <v>3.18037939906118</v>
      </c>
      <c r="T194" s="8" t="s">
        <v>480</v>
      </c>
    </row>
    <row r="195" customFormat="false" ht="15" hidden="false" customHeight="false" outlineLevel="0" collapsed="false">
      <c r="A195" s="5" t="s">
        <v>481</v>
      </c>
      <c r="B195" s="0" t="s">
        <v>27</v>
      </c>
      <c r="D195" s="13" t="n">
        <f aca="false">D192+D193-D194</f>
        <v>11.031</v>
      </c>
      <c r="E195" s="13" t="n">
        <f aca="false">E192+E193-E194</f>
        <v>29.8568922883952</v>
      </c>
      <c r="F195" s="13" t="n">
        <f aca="false">F192+F193-F194</f>
        <v>34.0493342000877</v>
      </c>
      <c r="G195" s="13" t="n">
        <f aca="false">G192+G193-G194</f>
        <v>34.8782025896743</v>
      </c>
    </row>
    <row r="196" customFormat="false" ht="17.15" hidden="false" customHeight="false" outlineLevel="0" collapsed="false">
      <c r="A196" s="5" t="s">
        <v>482</v>
      </c>
      <c r="B196" s="0" t="s">
        <v>27</v>
      </c>
      <c r="D196" s="13" t="n">
        <v>4.524</v>
      </c>
      <c r="E196" s="13" t="n">
        <f aca="false">MAX(0,payout*E195)</f>
        <v>14.9284461441976</v>
      </c>
      <c r="F196" s="13" t="n">
        <f aca="false">MAX(0,payout*F195)</f>
        <v>17.0246671000439</v>
      </c>
      <c r="G196" s="13" t="n">
        <f aca="false">MAX(0,payout*G195)</f>
        <v>17.4391012948372</v>
      </c>
      <c r="T196" s="8" t="s">
        <v>483</v>
      </c>
    </row>
    <row r="197" customFormat="false" ht="15" hidden="false" customHeight="false" outlineLevel="0" collapsed="false">
      <c r="A197" s="5" t="s">
        <v>484</v>
      </c>
      <c r="B197" s="0" t="s">
        <v>27</v>
      </c>
      <c r="D197" s="13" t="n">
        <f aca="false">eq0</f>
        <v>15.736</v>
      </c>
      <c r="E197" s="13" t="n">
        <f aca="false">D197+E192-E196</f>
        <v>33.2969836982405</v>
      </c>
      <c r="F197" s="13" t="n">
        <f aca="false">E197+F192-F196</f>
        <v>53.2808158041022</v>
      </c>
      <c r="G197" s="13" t="n">
        <f aca="false">F197+G192-G196</f>
        <v>73.7402964980006</v>
      </c>
    </row>
    <row r="198" customFormat="false" ht="15" hidden="false" customHeight="false" outlineLevel="0" collapsed="false">
      <c r="A198" s="5" t="s">
        <v>485</v>
      </c>
      <c r="B198" s="0" t="s">
        <v>27</v>
      </c>
      <c r="D198" s="13" t="n">
        <f aca="false">nc0</f>
        <v>4.762</v>
      </c>
      <c r="E198" s="13" t="n">
        <f aca="false">D198+E195-E196</f>
        <v>19.6904461441976</v>
      </c>
      <c r="F198" s="13" t="n">
        <f aca="false">E198+F195-F196</f>
        <v>36.7151132442415</v>
      </c>
      <c r="G198" s="13" t="n">
        <f aca="false">F198+G195-G196</f>
        <v>54.1542145390786</v>
      </c>
    </row>
    <row r="199" customFormat="false" ht="15" hidden="false" customHeight="false" outlineLevel="0" collapsed="false">
      <c r="A199" s="5" t="s">
        <v>486</v>
      </c>
      <c r="B199" s="5" t="s">
        <v>152</v>
      </c>
      <c r="D199" s="20" t="n">
        <f aca="false">sh0</f>
        <v>146.42</v>
      </c>
      <c r="E199" s="20" t="n">
        <f aca="false">D199-E196/bb_px*1000</f>
        <v>134.361773507752</v>
      </c>
      <c r="F199" s="20" t="n">
        <f aca="false">E199-F196/bb_px*1000</f>
        <v>120.610356256115</v>
      </c>
      <c r="G199" s="20" t="n">
        <f aca="false">F199-G196/bb_px*1000</f>
        <v>106.524186054394</v>
      </c>
    </row>
    <row r="200" customFormat="false" ht="17.15" hidden="false" customHeight="false" outlineLevel="0" collapsed="false">
      <c r="A200" s="0" t="s">
        <v>487</v>
      </c>
      <c r="B200" s="0" t="s">
        <v>40</v>
      </c>
      <c r="C200" s="15" t="n">
        <f aca="false">a25_eps</f>
        <v>-11.32</v>
      </c>
      <c r="D200" s="15" t="n">
        <f aca="false">a26_eps</f>
        <v>73.76</v>
      </c>
      <c r="E200" s="15" t="n">
        <f aca="false">E192/(E199+dil)*1000</f>
        <v>233.834857740789</v>
      </c>
      <c r="F200" s="15" t="n">
        <f aca="false">F192/(F199+dil)*1000</f>
        <v>295.617812047705</v>
      </c>
      <c r="G200" s="15" t="n">
        <f aca="false">G192/(G199+dil)*1000</f>
        <v>341.108497659856</v>
      </c>
    </row>
    <row r="201" customFormat="false" ht="17.15" hidden="false" customHeight="false" outlineLevel="0" collapsed="false">
      <c r="A201" s="5" t="s">
        <v>488</v>
      </c>
      <c r="B201" s="0" t="s">
        <v>40</v>
      </c>
      <c r="D201" s="15" t="n">
        <f aca="false">D197/D199*1000</f>
        <v>107.471656877476</v>
      </c>
      <c r="E201" s="15" t="n">
        <f aca="false">E197/E199*1000</f>
        <v>247.815899038571</v>
      </c>
      <c r="F201" s="15" t="n">
        <f aca="false">F197/F199*1000</f>
        <v>441.759874176648</v>
      </c>
      <c r="G201" s="15" t="n">
        <f aca="false">G197/G199*1000</f>
        <v>692.23994314631</v>
      </c>
    </row>
    <row r="202" customFormat="false" ht="17.15" hidden="false" customHeight="false" outlineLevel="0" collapsed="false">
      <c r="A202" s="0" t="s">
        <v>489</v>
      </c>
      <c r="B202" s="0" t="s">
        <v>33</v>
      </c>
      <c r="D202" s="21" t="n">
        <f aca="false">D192/D197</f>
        <v>0.72655058464667</v>
      </c>
      <c r="E202" s="21" t="n">
        <f aca="false">E192/E197</f>
        <v>0.975746936625822</v>
      </c>
      <c r="F202" s="21" t="n">
        <f aca="false">F192/F197</f>
        <v>0.694593328712812</v>
      </c>
      <c r="G202" s="21" t="n">
        <f aca="false">G192/G197</f>
        <v>0.513946699275383</v>
      </c>
    </row>
    <row r="203" customFormat="false" ht="15" hidden="false" customHeight="false" outlineLevel="0" collapsed="false">
      <c r="A203" s="5" t="s">
        <v>490</v>
      </c>
      <c r="B203" s="0" t="s">
        <v>40</v>
      </c>
      <c r="E203" s="15" t="n">
        <f aca="false">E195/(E199+dil)*1000</f>
        <v>214.887801808067</v>
      </c>
      <c r="F203" s="15" t="n">
        <f aca="false">F195/(F199+dil)*1000</f>
        <v>271.980488101091</v>
      </c>
      <c r="G203" s="15" t="n">
        <f aca="false">G195/(G199+dil)*1000</f>
        <v>313.923388742516</v>
      </c>
    </row>
    <row r="204" customFormat="false" ht="17.15" hidden="false" customHeight="false" outlineLevel="0" collapsed="false">
      <c r="A204" s="5" t="s">
        <v>491</v>
      </c>
      <c r="B204" s="0" t="s">
        <v>27</v>
      </c>
      <c r="D204" s="18" t="n">
        <f aca="false">ABS(D181-a26_rev)+ABS(D192-a26_ni)</f>
        <v>0</v>
      </c>
    </row>
    <row r="210" customFormat="false" ht="17.15" hidden="false" customHeight="false" outlineLevel="0" collapsed="false">
      <c r="A210" s="3" t="s">
        <v>801</v>
      </c>
    </row>
    <row r="211" customFormat="false" ht="17.15" hidden="false" customHeight="false" outlineLevel="0" collapsed="false">
      <c r="A211" s="12" t="s">
        <v>434</v>
      </c>
      <c r="B211" s="6" t="s">
        <v>17</v>
      </c>
      <c r="C211" s="12" t="s">
        <v>435</v>
      </c>
      <c r="D211" s="12" t="s">
        <v>436</v>
      </c>
      <c r="E211" s="12" t="s">
        <v>437</v>
      </c>
      <c r="F211" s="12" t="s">
        <v>438</v>
      </c>
      <c r="G211" s="12" t="s">
        <v>439</v>
      </c>
      <c r="H211" s="12" t="s">
        <v>440</v>
      </c>
      <c r="I211" s="12" t="s">
        <v>441</v>
      </c>
      <c r="J211" s="12" t="s">
        <v>442</v>
      </c>
      <c r="K211" s="12" t="s">
        <v>443</v>
      </c>
      <c r="L211" s="12" t="s">
        <v>444</v>
      </c>
      <c r="M211" s="12" t="s">
        <v>445</v>
      </c>
      <c r="N211" s="12" t="s">
        <v>446</v>
      </c>
      <c r="O211" s="12" t="s">
        <v>447</v>
      </c>
      <c r="P211" s="12" t="s">
        <v>448</v>
      </c>
      <c r="Q211" s="12" t="s">
        <v>449</v>
      </c>
      <c r="R211" s="12" t="s">
        <v>450</v>
      </c>
      <c r="S211" s="12"/>
      <c r="T211" s="6" t="s">
        <v>321</v>
      </c>
    </row>
    <row r="212" customFormat="false" ht="17.15" hidden="false" customHeight="false" outlineLevel="0" collapsed="false">
      <c r="A212" s="5" t="s">
        <v>451</v>
      </c>
      <c r="B212" s="0" t="s">
        <v>27</v>
      </c>
      <c r="C212" s="13" t="n">
        <f aca="false">Units!E4*1.1</f>
        <v>2.541</v>
      </c>
      <c r="D212" s="13" t="n">
        <f aca="false">Units!F4*1.1</f>
        <v>3.333</v>
      </c>
      <c r="E212" s="13" t="n">
        <f aca="false">Units!G4*1.1</f>
        <v>6.545</v>
      </c>
      <c r="F212" s="13" t="n">
        <f aca="false">Units!H4*1.1</f>
        <v>9.867</v>
      </c>
      <c r="G212" s="13" t="n">
        <f aca="false">Units!I4*1.1</f>
        <v>12.1408674846626</v>
      </c>
      <c r="H212" s="13" t="n">
        <f aca="false">Units!J4*1.1*1</f>
        <v>13.7062329964855</v>
      </c>
      <c r="I212" s="13" t="n">
        <f aca="false">Units!K4*1.1*1</f>
        <v>15.1025910071224</v>
      </c>
      <c r="J212" s="13" t="n">
        <f aca="false">Units!L4*1.1*1</f>
        <v>15.9690457344272</v>
      </c>
      <c r="K212" s="13" t="n">
        <f aca="false">Units!M4*1.1*1</f>
        <v>16.0409495609439</v>
      </c>
      <c r="L212" s="13" t="n">
        <f aca="false">Units!N4*1.1*1</f>
        <v>15.7739523667586</v>
      </c>
      <c r="M212" s="13" t="n">
        <f aca="false">Units!O4*1.1*1</f>
        <v>15.8449777463163</v>
      </c>
      <c r="N212" s="13" t="n">
        <f aca="false">Units!P4*1.1*1</f>
        <v>15.9163229318696</v>
      </c>
      <c r="O212" s="13" t="n">
        <f aca="false">Units!Q4*1.1*1</f>
        <v>15.987989363409</v>
      </c>
      <c r="P212" s="13" t="n">
        <f aca="false">Units!R4*1.1*1</f>
        <v>16.059978487409</v>
      </c>
      <c r="Q212" s="13" t="n">
        <f aca="false">Units!S4*1.1*1</f>
        <v>16.2302087696025</v>
      </c>
      <c r="R212" s="13" t="n">
        <f aca="false">Units!T4*1.1*1</f>
        <v>16.5457248599976</v>
      </c>
      <c r="T212" s="8" t="s">
        <v>452</v>
      </c>
    </row>
    <row r="213" customFormat="false" ht="15" hidden="false" customHeight="false" outlineLevel="0" collapsed="false">
      <c r="A213" s="5" t="s">
        <v>453</v>
      </c>
      <c r="B213" s="0" t="s">
        <v>386</v>
      </c>
      <c r="C213" s="13" t="n">
        <f aca="false">Units!E7*1.1</f>
        <v>34.2708084758328</v>
      </c>
      <c r="D213" s="13" t="n">
        <f aca="false">Units!F7*1.1</f>
        <v>36.8661951816923</v>
      </c>
      <c r="E213" s="13" t="n">
        <f aca="false">Units!G7*1.1</f>
        <v>41.8762664815008</v>
      </c>
      <c r="F213" s="13" t="n">
        <f aca="false">Units!H7*1.1</f>
        <v>36.9789369982275</v>
      </c>
      <c r="G213" s="13" t="n">
        <f aca="false">Units!I7*1.1</f>
        <v>36.4006383962027</v>
      </c>
      <c r="H213" s="13" t="n">
        <f aca="false">Units!J7*1.1</f>
        <v>38.0147114033905</v>
      </c>
      <c r="I213" s="13" t="n">
        <f aca="false">Units!K7*1.1</f>
        <v>40.6675326747444</v>
      </c>
      <c r="J213" s="13" t="n">
        <f aca="false">Units!L7*1.1</f>
        <v>43.0006804053048</v>
      </c>
      <c r="K213" s="13" t="n">
        <f aca="false">Units!M7*1.1</f>
        <v>45.4676837689611</v>
      </c>
      <c r="L213" s="13" t="n">
        <f aca="false">Units!N7*1.1</f>
        <v>48.0762222325024</v>
      </c>
      <c r="M213" s="13" t="n">
        <f aca="false">Units!O7*1.1</f>
        <v>50.8344158434305</v>
      </c>
      <c r="N213" s="13" t="n">
        <f aca="false">Units!P7*1.1</f>
        <v>53.7508505066311</v>
      </c>
      <c r="O213" s="13" t="n">
        <f aca="false">Units!Q7*1.1</f>
        <v>56.8346047112014</v>
      </c>
      <c r="P213" s="13" t="n">
        <f aca="false">Units!R7*1.1</f>
        <v>60.0952777906281</v>
      </c>
      <c r="Q213" s="13" t="n">
        <f aca="false">Units!S7*1.1</f>
        <v>62.610584734923</v>
      </c>
      <c r="R213" s="13" t="n">
        <f aca="false">Units!T7*1.1</f>
        <v>65.8017914550609</v>
      </c>
    </row>
    <row r="214" customFormat="false" ht="17.15" hidden="false" customHeight="false" outlineLevel="0" collapsed="false">
      <c r="A214" s="5" t="s">
        <v>344</v>
      </c>
      <c r="B214" s="0" t="s">
        <v>27</v>
      </c>
      <c r="C214" s="13" t="n">
        <f aca="false">q1_rev</f>
        <v>2.308</v>
      </c>
      <c r="D214" s="13" t="n">
        <f aca="false">q2_rev</f>
        <v>3.025</v>
      </c>
      <c r="E214" s="13" t="n">
        <f aca="false">q3_rev</f>
        <v>5.95</v>
      </c>
      <c r="F214" s="13" t="n">
        <f aca="false">q4_rev</f>
        <v>8.965</v>
      </c>
      <c r="G214" s="13" t="n">
        <f aca="false">G212*sd_k</f>
        <v>12.133676447653</v>
      </c>
      <c r="H214" s="13" t="n">
        <f aca="false">H212*sd_k</f>
        <v>13.6981147933286</v>
      </c>
      <c r="I214" s="13" t="n">
        <f aca="false">I212*sd_k</f>
        <v>15.093645740978</v>
      </c>
      <c r="J214" s="13" t="n">
        <f aca="false">J212*sd_k</f>
        <v>15.9595872670623</v>
      </c>
      <c r="K214" s="13" t="n">
        <f aca="false">K212*sd_k</f>
        <v>16.0314485049354</v>
      </c>
      <c r="L214" s="13" t="n">
        <f aca="false">L212*sd_k</f>
        <v>15.7646094532146</v>
      </c>
      <c r="M214" s="13" t="n">
        <f aca="false">M212*sd_k</f>
        <v>15.835592764433</v>
      </c>
      <c r="N214" s="13" t="n">
        <f aca="false">N212*sd_k</f>
        <v>15.9068956922258</v>
      </c>
      <c r="O214" s="13" t="n">
        <f aca="false">O212*sd_k</f>
        <v>15.9785196757308</v>
      </c>
      <c r="P214" s="13" t="n">
        <f aca="false">P212*sd_k</f>
        <v>16.0504661605655</v>
      </c>
      <c r="Q214" s="13" t="n">
        <f aca="false">Q212*sd_k</f>
        <v>16.2205956153461</v>
      </c>
      <c r="R214" s="13" t="n">
        <f aca="false">R212*sd_k</f>
        <v>16.5359248255297</v>
      </c>
      <c r="T214" s="5" t="s">
        <v>454</v>
      </c>
    </row>
    <row r="215" customFormat="false" ht="17.15" hidden="false" customHeight="false" outlineLevel="0" collapsed="false">
      <c r="A215" s="5" t="s">
        <v>455</v>
      </c>
      <c r="B215" s="0" t="s">
        <v>27</v>
      </c>
      <c r="C215" s="13" t="n">
        <f aca="false">q1_dc</f>
        <v>0.269</v>
      </c>
      <c r="D215" s="13" t="n">
        <f aca="false">q2_dc</f>
        <v>0.44</v>
      </c>
      <c r="E215" s="13" t="n">
        <f aca="false">q3_dc</f>
        <v>1.467</v>
      </c>
      <c r="F215" s="13" t="n">
        <f aca="false">q4_dc</f>
        <v>2.977</v>
      </c>
      <c r="G215" s="13" t="n">
        <f aca="false">G214*dcsh_27</f>
        <v>4.61079705010812</v>
      </c>
      <c r="H215" s="13" t="n">
        <f aca="false">H214*dcsh_27</f>
        <v>5.20528362146488</v>
      </c>
      <c r="I215" s="13" t="n">
        <f aca="false">I214*dcsh_27</f>
        <v>5.73558538157165</v>
      </c>
      <c r="J215" s="13" t="n">
        <f aca="false">J214*dcsh_27</f>
        <v>6.06464316148366</v>
      </c>
      <c r="K215" s="13" t="n">
        <f aca="false">K214*dcsh_28</f>
        <v>6.73320837207289</v>
      </c>
      <c r="L215" s="13" t="n">
        <f aca="false">L214*dcsh_28</f>
        <v>6.62113597035015</v>
      </c>
      <c r="M215" s="13" t="n">
        <f aca="false">M214*dcsh_28</f>
        <v>6.65094896106185</v>
      </c>
      <c r="N215" s="13" t="n">
        <f aca="false">N214*dcsh_28</f>
        <v>6.68089619073485</v>
      </c>
      <c r="O215" s="13" t="n">
        <f aca="false">O214*dcsh_29</f>
        <v>7.19033385407886</v>
      </c>
      <c r="P215" s="13" t="n">
        <f aca="false">P214*dcsh_29</f>
        <v>7.22270977225449</v>
      </c>
      <c r="Q215" s="13" t="n">
        <f aca="false">Q214*dcsh_29</f>
        <v>7.29926802690574</v>
      </c>
      <c r="R215" s="13" t="n">
        <f aca="false">R214*dcsh_29</f>
        <v>7.44116617148837</v>
      </c>
      <c r="T215" s="5" t="s">
        <v>456</v>
      </c>
    </row>
    <row r="216" customFormat="false" ht="17.15" hidden="false" customHeight="false" outlineLevel="0" collapsed="false">
      <c r="A216" s="5" t="s">
        <v>457</v>
      </c>
      <c r="B216" s="0" t="s">
        <v>27</v>
      </c>
      <c r="C216" s="13" t="n">
        <f aca="false">C215*(Units!C16+Units!D16)/2</f>
        <v>0.17543405707196</v>
      </c>
      <c r="D216" s="13" t="n">
        <f aca="false">D215*(Units!C16+Units!D16)/2</f>
        <v>0.286955334987593</v>
      </c>
      <c r="E216" s="13" t="n">
        <f aca="false">E215*(Units!C16+Units!D16)/2</f>
        <v>0.956735173697271</v>
      </c>
      <c r="F216" s="13" t="n">
        <f aca="false">F215*(Units!C16+Units!D16)/2</f>
        <v>1.94151370967742</v>
      </c>
      <c r="G216" s="13" t="n">
        <f aca="false">G215*(Units!D16+Units!E16)/2</f>
        <v>3.6558840862928</v>
      </c>
      <c r="H216" s="13" t="n">
        <f aca="false">H215*(Units!D16+Units!E16)/2</f>
        <v>4.12725031042252</v>
      </c>
      <c r="I216" s="13" t="n">
        <f aca="false">I215*(Units!D16+Units!E16)/2</f>
        <v>4.5477246328961</v>
      </c>
      <c r="J216" s="13" t="n">
        <f aca="false">J215*(Units!D16+Units!E16)/2</f>
        <v>4.80863334086514</v>
      </c>
      <c r="K216" s="13" t="n">
        <f aca="false">K215*(Units!E16+Units!F16)/2</f>
        <v>5.6777987026272</v>
      </c>
      <c r="L216" s="13" t="n">
        <f aca="false">L215*(Units!E16+Units!F16)/2</f>
        <v>5.58329330461503</v>
      </c>
      <c r="M216" s="13" t="n">
        <f aca="false">M215*(Units!E16+Units!F16)/2</f>
        <v>5.60843320087703</v>
      </c>
      <c r="N216" s="13" t="n">
        <f aca="false">N215*(Units!E16+Units!F16)/2</f>
        <v>5.63368629455669</v>
      </c>
      <c r="O216" s="13" t="n">
        <f aca="false">O215*(Units!F16+Units!G16)/2</f>
        <v>6.22078297719023</v>
      </c>
      <c r="P216" s="13" t="n">
        <f aca="false">P215*(Units!F16+Units!G16)/2</f>
        <v>6.24879329837214</v>
      </c>
      <c r="Q216" s="13" t="n">
        <f aca="false">Q215*(Units!F16+Units!G16)/2</f>
        <v>6.31502837131353</v>
      </c>
      <c r="R216" s="13" t="n">
        <f aca="false">R215*(Units!F16+Units!G16)/2</f>
        <v>6.43779284654214</v>
      </c>
      <c r="T216" s="5" t="s">
        <v>458</v>
      </c>
    </row>
    <row r="217" customFormat="false" ht="17.15" hidden="false" customHeight="false" outlineLevel="0" collapsed="false">
      <c r="A217" s="5" t="s">
        <v>459</v>
      </c>
      <c r="B217" s="0" t="s">
        <v>27</v>
      </c>
      <c r="C217" s="13" t="n">
        <f aca="false">C215-C216</f>
        <v>0.0935659429280397</v>
      </c>
      <c r="D217" s="13" t="n">
        <f aca="false">D215-D216</f>
        <v>0.153044665012407</v>
      </c>
      <c r="E217" s="13" t="n">
        <f aca="false">E215-E216</f>
        <v>0.51026482630273</v>
      </c>
      <c r="F217" s="13" t="n">
        <f aca="false">F215-F216</f>
        <v>1.03548629032258</v>
      </c>
      <c r="G217" s="13" t="n">
        <f aca="false">G215-G216</f>
        <v>0.954912963815323</v>
      </c>
      <c r="H217" s="13" t="n">
        <f aca="false">H215-H216</f>
        <v>1.07803331104236</v>
      </c>
      <c r="I217" s="13" t="n">
        <f aca="false">I215-I216</f>
        <v>1.18786074867554</v>
      </c>
      <c r="J217" s="13" t="n">
        <f aca="false">J215-J216</f>
        <v>1.25600982061852</v>
      </c>
      <c r="K217" s="13" t="n">
        <f aca="false">K215-K216</f>
        <v>1.05540966944568</v>
      </c>
      <c r="L217" s="13" t="n">
        <f aca="false">L215-L216</f>
        <v>1.03784266573512</v>
      </c>
      <c r="M217" s="13" t="n">
        <f aca="false">M215-M216</f>
        <v>1.04251576018482</v>
      </c>
      <c r="N217" s="13" t="n">
        <f aca="false">N215-N216</f>
        <v>1.04720989617816</v>
      </c>
      <c r="O217" s="13" t="n">
        <f aca="false">O215-O216</f>
        <v>0.969550876888627</v>
      </c>
      <c r="P217" s="13" t="n">
        <f aca="false">P215-P216</f>
        <v>0.973916473882354</v>
      </c>
      <c r="Q217" s="13" t="n">
        <f aca="false">Q215-Q216</f>
        <v>0.98423965559221</v>
      </c>
      <c r="R217" s="13" t="n">
        <f aca="false">R215-R216</f>
        <v>1.00337332494623</v>
      </c>
    </row>
    <row r="218" customFormat="false" ht="15" hidden="false" customHeight="false" outlineLevel="0" collapsed="false">
      <c r="A218" s="5" t="s">
        <v>460</v>
      </c>
      <c r="B218" s="0" t="s">
        <v>27</v>
      </c>
      <c r="C218" s="13" t="n">
        <f aca="false">q1_cs</f>
        <v>0.652</v>
      </c>
      <c r="D218" s="13" t="n">
        <f aca="false">q2_cs</f>
        <v>0.907</v>
      </c>
      <c r="E218" s="13" t="n">
        <f aca="false">q3_cs</f>
        <v>0.82</v>
      </c>
      <c r="F218" s="13" t="n">
        <f aca="false">q4_cs</f>
        <v>0.556</v>
      </c>
      <c r="G218" s="13" t="n">
        <f aca="false">G214*cssh_27</f>
        <v>0.728020586859177</v>
      </c>
      <c r="H218" s="13" t="n">
        <f aca="false">H214*cssh_27</f>
        <v>0.821886887599718</v>
      </c>
      <c r="I218" s="13" t="n">
        <f aca="false">I214*cssh_27</f>
        <v>0.905618744458681</v>
      </c>
      <c r="J218" s="13" t="n">
        <f aca="false">J214*cssh_27</f>
        <v>0.957575236023736</v>
      </c>
      <c r="K218" s="13" t="n">
        <f aca="false">K214*cssh_28</f>
        <v>0.961886910296126</v>
      </c>
      <c r="L218" s="13" t="n">
        <f aca="false">L214*cssh_28</f>
        <v>0.945876567192879</v>
      </c>
      <c r="M218" s="13" t="n">
        <f aca="false">M214*cssh_28</f>
        <v>0.950135565865979</v>
      </c>
      <c r="N218" s="13" t="n">
        <f aca="false">N214*cssh_28</f>
        <v>0.95441374153355</v>
      </c>
      <c r="O218" s="13" t="n">
        <f aca="false">O214*cssh_29</f>
        <v>0.958711180543848</v>
      </c>
      <c r="P218" s="13" t="n">
        <f aca="false">P214*cssh_29</f>
        <v>0.963027969633932</v>
      </c>
      <c r="Q218" s="13" t="n">
        <f aca="false">Q214*cssh_29</f>
        <v>0.973235736920766</v>
      </c>
      <c r="R218" s="13" t="n">
        <f aca="false">R214*cssh_29</f>
        <v>0.992155489531783</v>
      </c>
      <c r="T218" s="5" t="s">
        <v>461</v>
      </c>
    </row>
    <row r="219" customFormat="false" ht="15" hidden="false" customHeight="false" outlineLevel="0" collapsed="false">
      <c r="A219" s="5" t="s">
        <v>462</v>
      </c>
      <c r="B219" s="0" t="s">
        <v>27</v>
      </c>
      <c r="C219" s="13" t="n">
        <f aca="false">q1_ed</f>
        <v>1.387</v>
      </c>
      <c r="D219" s="13" t="n">
        <f aca="false">q2_ed</f>
        <v>1.678</v>
      </c>
      <c r="E219" s="13" t="n">
        <f aca="false">q3_ed</f>
        <v>3.663</v>
      </c>
      <c r="F219" s="13" t="n">
        <f aca="false">q4_ed</f>
        <v>5.432</v>
      </c>
      <c r="G219" s="13" t="n">
        <f aca="false">G214-G215-G218</f>
        <v>6.79485881068565</v>
      </c>
      <c r="H219" s="13" t="n">
        <f aca="false">H214-H215-H218</f>
        <v>7.67094428426404</v>
      </c>
      <c r="I219" s="13" t="n">
        <f aca="false">I214-I215-I218</f>
        <v>8.45244161494769</v>
      </c>
      <c r="J219" s="13" t="n">
        <f aca="false">J214-J215-J218</f>
        <v>8.93736886955487</v>
      </c>
      <c r="K219" s="13" t="n">
        <f aca="false">K214-K215-K218</f>
        <v>8.33635322256643</v>
      </c>
      <c r="L219" s="13" t="n">
        <f aca="false">L214-L215-L218</f>
        <v>8.19759691567162</v>
      </c>
      <c r="M219" s="13" t="n">
        <f aca="false">M214-M215-M218</f>
        <v>8.23450823750515</v>
      </c>
      <c r="N219" s="13" t="n">
        <f aca="false">N214-N215-N218</f>
        <v>8.27158575995743</v>
      </c>
      <c r="O219" s="13" t="n">
        <f aca="false">O214-O215-O218</f>
        <v>7.82947464110809</v>
      </c>
      <c r="P219" s="13" t="n">
        <f aca="false">P214-P215-P218</f>
        <v>7.86472841867711</v>
      </c>
      <c r="Q219" s="13" t="n">
        <f aca="false">Q214-Q215-Q218</f>
        <v>7.94809185151959</v>
      </c>
      <c r="R219" s="13" t="n">
        <f aca="false">R214-R215-R218</f>
        <v>8.10260316450956</v>
      </c>
      <c r="T219" s="5" t="s">
        <v>463</v>
      </c>
    </row>
    <row r="220" customFormat="false" ht="15" hidden="false" customHeight="false" outlineLevel="0" collapsed="false">
      <c r="A220" s="5" t="s">
        <v>464</v>
      </c>
      <c r="B220" s="0" t="s">
        <v>27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465</v>
      </c>
      <c r="B221" s="0" t="s">
        <v>466</v>
      </c>
      <c r="C221" s="19" t="n">
        <f aca="false">C222/C213</f>
        <v>0.0472768537439829</v>
      </c>
      <c r="D221" s="19" t="n">
        <f aca="false">D222/D213</f>
        <v>0.0402882638872803</v>
      </c>
      <c r="E221" s="19" t="n">
        <f aca="false">E222/E213</f>
        <v>0.0306904150724074</v>
      </c>
      <c r="F221" s="19" t="n">
        <f aca="false">F222/F213</f>
        <v>0.0373350375124676</v>
      </c>
      <c r="G221" s="19" t="n">
        <f aca="false">(1-g_gm)*G214/G213</f>
        <v>0.049900535931346</v>
      </c>
      <c r="H221" s="19" t="n">
        <f aca="false">$G221*(1-cd_A)^(1/4)</f>
        <v>0.0480540308412442</v>
      </c>
      <c r="I221" s="19" t="n">
        <f aca="false">$G221*(1-cd_A)^(2/4)</f>
        <v>0.0462758532948078</v>
      </c>
      <c r="J221" s="19" t="n">
        <f aca="false">$G221*(1-cd_A)^(3/4)</f>
        <v>0.0445634749192484</v>
      </c>
      <c r="K221" s="19" t="n">
        <f aca="false">$G221*(1-cd_A)^(4/4)</f>
        <v>0.0429144609009576</v>
      </c>
      <c r="L221" s="19" t="n">
        <f aca="false">$G221*(1-cd_A)^(5/4)</f>
        <v>0.04132646652347</v>
      </c>
      <c r="M221" s="19" t="n">
        <f aca="false">$G221*(1-cd_A)^(6/4)</f>
        <v>0.0397972338335347</v>
      </c>
      <c r="N221" s="19" t="n">
        <f aca="false">$G221*(1-cd_A)^(7/4)</f>
        <v>0.0383245884305536</v>
      </c>
      <c r="O221" s="19" t="n">
        <f aca="false">$G221*(1-cd_A)^(8/4)</f>
        <v>0.0369064363748235</v>
      </c>
      <c r="P221" s="19" t="n">
        <f aca="false">$G221*(1-cd_A)^(9/4)</f>
        <v>0.0355407612101842</v>
      </c>
      <c r="Q221" s="19" t="n">
        <f aca="false">$G221*(1-cd_A)^(10/4)</f>
        <v>0.0342256210968399</v>
      </c>
      <c r="R221" s="19" t="n">
        <f aca="false">$G221*(1-cd_A)^(11/4)</f>
        <v>0.0329591460502761</v>
      </c>
    </row>
    <row r="222" customFormat="false" ht="15" hidden="false" customHeight="false" outlineLevel="0" collapsed="false">
      <c r="A222" s="5" t="s">
        <v>467</v>
      </c>
      <c r="B222" s="0" t="s">
        <v>27</v>
      </c>
      <c r="C222" s="13" t="n">
        <f aca="false">q1_rev*(1-q1_gm)</f>
        <v>1.620216</v>
      </c>
      <c r="D222" s="13" t="n">
        <f aca="false">q2_rev*(1-q2_gm)</f>
        <v>1.485275</v>
      </c>
      <c r="E222" s="13" t="n">
        <f aca="false">q3_rev*(1-q3_gm)</f>
        <v>1.2852</v>
      </c>
      <c r="F222" s="13" t="n">
        <f aca="false">q4_rev*(1-q4_gm)</f>
        <v>1.38061</v>
      </c>
      <c r="G222" s="13" t="n">
        <f aca="false">G213*G221</f>
        <v>1.81641136421365</v>
      </c>
      <c r="H222" s="13" t="n">
        <f aca="false">H213*H221</f>
        <v>1.82676011419953</v>
      </c>
      <c r="I222" s="13" t="n">
        <f aca="false">I213*I221</f>
        <v>1.88192477591827</v>
      </c>
      <c r="J222" s="13" t="n">
        <f aca="false">J213*J221</f>
        <v>1.91625974275242</v>
      </c>
      <c r="K222" s="13" t="n">
        <f aca="false">K213*K221</f>
        <v>1.95122113736018</v>
      </c>
      <c r="L222" s="13" t="n">
        <f aca="false">L213*L221</f>
        <v>1.98682038866642</v>
      </c>
      <c r="M222" s="13" t="n">
        <f aca="false">M213*M221</f>
        <v>2.02306913411214</v>
      </c>
      <c r="N222" s="13" t="n">
        <f aca="false">N213*N221</f>
        <v>2.05997922345885</v>
      </c>
      <c r="O222" s="13" t="n">
        <f aca="false">O213*O221</f>
        <v>2.0975627226622</v>
      </c>
      <c r="P222" s="13" t="n">
        <f aca="false">P213*P221</f>
        <v>2.1358319178164</v>
      </c>
      <c r="Q222" s="13" t="n">
        <f aca="false">Q213*Q221</f>
        <v>2.14288614978906</v>
      </c>
      <c r="R222" s="13" t="n">
        <f aca="false">R213*R221</f>
        <v>2.16877085493716</v>
      </c>
    </row>
    <row r="223" customFormat="false" ht="15" hidden="false" customHeight="false" outlineLevel="0" collapsed="false">
      <c r="A223" s="5" t="s">
        <v>423</v>
      </c>
      <c r="B223" s="0" t="s">
        <v>33</v>
      </c>
      <c r="C223" s="14" t="n">
        <f aca="false">1-C222/C214</f>
        <v>0.298</v>
      </c>
      <c r="D223" s="14" t="n">
        <f aca="false">1-D222/D214</f>
        <v>0.509</v>
      </c>
      <c r="E223" s="14" t="n">
        <f aca="false">1-E222/E214</f>
        <v>0.784</v>
      </c>
      <c r="F223" s="14" t="n">
        <f aca="false">1-F222/F214</f>
        <v>0.846</v>
      </c>
      <c r="G223" s="14" t="n">
        <f aca="false">1-G222/G214</f>
        <v>0.8503</v>
      </c>
      <c r="H223" s="14" t="n">
        <f aca="false">1-H222/H214</f>
        <v>0.866641494704862</v>
      </c>
      <c r="I223" s="14" t="n">
        <f aca="false">1-I222/I214</f>
        <v>0.875316751948868</v>
      </c>
      <c r="J223" s="14" t="n">
        <f aca="false">1-J222/J214</f>
        <v>0.879930495025568</v>
      </c>
      <c r="K223" s="14" t="n">
        <f aca="false">1-K222/K214</f>
        <v>0.878287907873111</v>
      </c>
      <c r="L223" s="14" t="n">
        <f aca="false">1-L222/L214</f>
        <v>0.873969577580542</v>
      </c>
      <c r="M223" s="14" t="n">
        <f aca="false">1-M222/M214</f>
        <v>0.872245443274091</v>
      </c>
      <c r="N223" s="14" t="n">
        <f aca="false">1-N222/N214</f>
        <v>0.870497722288729</v>
      </c>
      <c r="O223" s="14" t="n">
        <f aca="false">1-O222/O214</f>
        <v>0.868726091951552</v>
      </c>
      <c r="P223" s="14" t="n">
        <f aca="false">1-P222/P214</f>
        <v>0.866930225175395</v>
      </c>
      <c r="Q223" s="14" t="n">
        <f aca="false">1-Q222/Q214</f>
        <v>0.867891031833523</v>
      </c>
      <c r="R223" s="14" t="n">
        <f aca="false">1-R222/R214</f>
        <v>0.868844901157944</v>
      </c>
    </row>
    <row r="224" customFormat="false" ht="17.15" hidden="false" customHeight="false" outlineLevel="0" collapsed="false">
      <c r="A224" s="5" t="s">
        <v>468</v>
      </c>
      <c r="B224" s="0" t="s">
        <v>27</v>
      </c>
      <c r="C224" s="13" t="n">
        <f aca="false">q1_rev-q1_rev*(1-q1_gm)-q1_op</f>
        <v>0.511784</v>
      </c>
      <c r="D224" s="13" t="n">
        <f aca="false">q2_rev-q2_rev*(1-q2_gm)-q2_op</f>
        <v>0.474725</v>
      </c>
      <c r="E224" s="13" t="n">
        <f aca="false">q3_rev-q3_rev*(1-q3_gm)-q3_op</f>
        <v>0.553800000000001</v>
      </c>
      <c r="F224" s="13" t="n">
        <f aca="false">q4_rev-q4_rev*(1-q4_gm)-q4_op</f>
        <v>0.54739</v>
      </c>
      <c r="G224" s="13" t="n">
        <f aca="false">(g_ox-ox_var*g_rev)*(1+ox_g)^(0/4)+ox_var*G214</f>
        <v>0.59302676447653</v>
      </c>
      <c r="H224" s="13" t="n">
        <f aca="false">(g_ox-ox_var*g_rev)*(1+ox_g)^(1/4)+ox_var*H214</f>
        <v>0.620045333937528</v>
      </c>
      <c r="I224" s="13" t="n">
        <f aca="false">(g_ox-ox_var*g_rev)*(1+ox_g)^(2/4)+ox_var*I214</f>
        <v>0.645649103003159</v>
      </c>
      <c r="J224" s="13" t="n">
        <f aca="false">(g_ox-ox_var*g_rev)*(1+ox_g)^(3/4)+ox_var*J214</f>
        <v>0.666237865185983</v>
      </c>
      <c r="K224" s="13" t="n">
        <f aca="false">(g_ox-ox_var*g_rev)*(1+ox_g)^(4/4)+ox_var*K214</f>
        <v>0.679173485049354</v>
      </c>
      <c r="L224" s="13" t="n">
        <f aca="false">(g_ox-ox_var*g_rev)*(1+ox_g)^(5/4)+ox_var*L214</f>
        <v>0.689016699136813</v>
      </c>
      <c r="M224" s="13" t="n">
        <f aca="false">(g_ox-ox_var*g_rev)*(1+ox_g)^(6/4)+ox_var*M214</f>
        <v>0.702539837797047</v>
      </c>
      <c r="N224" s="13" t="n">
        <f aca="false">(g_ox-ox_var*g_rev)*(1+ox_g)^(7/4)+ox_var*N214</f>
        <v>0.716375148689155</v>
      </c>
      <c r="O224" s="13" t="n">
        <f aca="false">(g_ox-ox_var*g_rev)*(1+ox_g)^(8/4)+ox_var*O214</f>
        <v>0.730530096757308</v>
      </c>
      <c r="P224" s="13" t="n">
        <f aca="false">(g_ox-ox_var*g_rev)*(1+ox_g)^(9/4)+ox_var*P214</f>
        <v>0.745012326670788</v>
      </c>
      <c r="Q224" s="13" t="n">
        <f aca="false">(g_ox-ox_var*g_rev)*(1+ox_g)^(10/4)+ox_var*Q214</f>
        <v>0.760808257321449</v>
      </c>
      <c r="R224" s="13" t="n">
        <f aca="false">(g_ox-ox_var*g_rev)*(1+ox_g)^(11/4)+ox_var*R214</f>
        <v>0.778396059198884</v>
      </c>
      <c r="T224" s="5" t="s">
        <v>469</v>
      </c>
    </row>
    <row r="225" customFormat="false" ht="15" hidden="false" customHeight="false" outlineLevel="0" collapsed="false">
      <c r="A225" s="5" t="s">
        <v>424</v>
      </c>
      <c r="B225" s="0" t="s">
        <v>27</v>
      </c>
      <c r="C225" s="13" t="n">
        <f aca="false">C214-C222-C224</f>
        <v>0.176</v>
      </c>
      <c r="D225" s="13" t="n">
        <f aca="false">D214-D222-D224</f>
        <v>1.065</v>
      </c>
      <c r="E225" s="13" t="n">
        <f aca="false">E214-E222-E224</f>
        <v>4.111</v>
      </c>
      <c r="F225" s="13" t="n">
        <f aca="false">F214-F222-F224</f>
        <v>7.037</v>
      </c>
      <c r="G225" s="13" t="n">
        <f aca="false">G214-G222-G224</f>
        <v>9.72423831896277</v>
      </c>
      <c r="H225" s="13" t="n">
        <f aca="false">H214-H222-H224</f>
        <v>11.2513093451916</v>
      </c>
      <c r="I225" s="13" t="n">
        <f aca="false">I214-I222-I224</f>
        <v>12.5660718620566</v>
      </c>
      <c r="J225" s="13" t="n">
        <f aca="false">J214-J222-J224</f>
        <v>13.3770896591239</v>
      </c>
      <c r="K225" s="13" t="n">
        <f aca="false">K214-K222-K224</f>
        <v>13.4010538825259</v>
      </c>
      <c r="L225" s="13" t="n">
        <f aca="false">L214-L222-L224</f>
        <v>13.0887723654114</v>
      </c>
      <c r="M225" s="13" t="n">
        <f aca="false">M214-M222-M224</f>
        <v>13.1099837925238</v>
      </c>
      <c r="N225" s="13" t="n">
        <f aca="false">N214-N222-N224</f>
        <v>13.1305413200778</v>
      </c>
      <c r="O225" s="13" t="n">
        <f aca="false">O214-O222-O224</f>
        <v>13.1504268563113</v>
      </c>
      <c r="P225" s="13" t="n">
        <f aca="false">P214-P222-P224</f>
        <v>13.1696219160783</v>
      </c>
      <c r="Q225" s="13" t="n">
        <f aca="false">Q214-Q222-Q224</f>
        <v>13.3169012082356</v>
      </c>
      <c r="R225" s="13" t="n">
        <f aca="false">R214-R222-R224</f>
        <v>13.5887579113937</v>
      </c>
    </row>
    <row r="227" customFormat="false" ht="17.15" hidden="false" customHeight="false" outlineLevel="0" collapsed="false">
      <c r="A227" s="5" t="s">
        <v>426</v>
      </c>
      <c r="B227" s="0" t="s">
        <v>27</v>
      </c>
      <c r="C227" s="13" t="n">
        <f aca="false">q1_ni</f>
        <v>0.112</v>
      </c>
      <c r="D227" s="13" t="n">
        <f aca="false">q2_ni</f>
        <v>0.803</v>
      </c>
      <c r="E227" s="13" t="n">
        <f aca="false">q3_ni</f>
        <v>3.615</v>
      </c>
      <c r="F227" s="13" t="n">
        <f aca="false">q4_ni</f>
        <v>6.903</v>
      </c>
      <c r="G227" s="13" t="n">
        <f aca="false">(G225+rf*$D248/4)*(1-tax)</f>
        <v>8.30607957111836</v>
      </c>
      <c r="H227" s="13" t="n">
        <f aca="false">(H225+rf*$D248/4)*(1-tax)</f>
        <v>9.60408994341284</v>
      </c>
      <c r="I227" s="13" t="n">
        <f aca="false">(I225+rf*$D248/4)*(1-tax)</f>
        <v>10.7216380827481</v>
      </c>
      <c r="J227" s="13" t="n">
        <f aca="false">(J225+rf*$D248/4)*(1-tax)</f>
        <v>11.4110032102553</v>
      </c>
      <c r="K227" s="13" t="n">
        <f aca="false">(K225+rf*$E248/4)*(1-tax)</f>
        <v>11.5877290648955</v>
      </c>
      <c r="L227" s="13" t="n">
        <f aca="false">(L225+rf*$E248/4)*(1-tax)</f>
        <v>11.3222897753482</v>
      </c>
      <c r="M227" s="13" t="n">
        <f aca="false">(M225+rf*$E248/4)*(1-tax)</f>
        <v>11.3403194883937</v>
      </c>
      <c r="N227" s="13" t="n">
        <f aca="false">(N225+rf*$E248/4)*(1-tax)</f>
        <v>11.3577933868147</v>
      </c>
      <c r="O227" s="13" t="n">
        <f aca="false">(O225+rf*$F248/4)*(1-tax)</f>
        <v>11.553008323068</v>
      </c>
      <c r="P227" s="13" t="n">
        <f aca="false">(P225+rf*$F248/4)*(1-tax)</f>
        <v>11.56932412387</v>
      </c>
      <c r="Q227" s="13" t="n">
        <f aca="false">(Q225+rf*$F248/4)*(1-tax)</f>
        <v>11.6945115222037</v>
      </c>
      <c r="R227" s="13" t="n">
        <f aca="false">(R225+rf*$F248/4)*(1-tax)</f>
        <v>11.925589719888</v>
      </c>
      <c r="T227" s="5" t="s">
        <v>470</v>
      </c>
    </row>
    <row r="228" customFormat="false" ht="17.15" hidden="false" customHeight="false" outlineLevel="0" collapsed="false">
      <c r="A228" s="5" t="s">
        <v>471</v>
      </c>
      <c r="B228" s="0" t="s">
        <v>40</v>
      </c>
      <c r="G228" s="15" t="n">
        <f aca="false">G227/(sh0+dil)*1000</f>
        <v>55.007149477605</v>
      </c>
      <c r="H228" s="15" t="n">
        <f aca="false">H227/(sh0+dil)*1000</f>
        <v>63.6032446583632</v>
      </c>
      <c r="I228" s="15" t="n">
        <f aca="false">I227/(sh0+dil)*1000</f>
        <v>71.0042257135636</v>
      </c>
      <c r="J228" s="15" t="n">
        <f aca="false">J227/(sh0+dil)*1000</f>
        <v>75.5695576838098</v>
      </c>
      <c r="K228" s="15" t="n">
        <f aca="false">K227/(sh0+dil)*1000</f>
        <v>76.7399275820897</v>
      </c>
      <c r="L228" s="15" t="n">
        <f aca="false">L227/(sh0+dil)*1000</f>
        <v>74.9820514923724</v>
      </c>
      <c r="M228" s="15" t="n">
        <f aca="false">M227/(sh0+dil)*1000</f>
        <v>75.1014535655215</v>
      </c>
      <c r="N228" s="15" t="n">
        <f aca="false">N227/(sh0+dil)*1000</f>
        <v>75.217174747117</v>
      </c>
      <c r="O228" s="15" t="n">
        <f aca="false">O227/(sh0+dil)*1000</f>
        <v>76.5099888944902</v>
      </c>
      <c r="P228" s="15" t="n">
        <f aca="false">P227/(sh0+dil)*1000</f>
        <v>76.6180405554305</v>
      </c>
      <c r="Q228" s="15" t="n">
        <f aca="false">Q227/(sh0+dil)*1000</f>
        <v>77.4470961735342</v>
      </c>
      <c r="R228" s="15" t="n">
        <f aca="false">R227/(sh0+dil)*1000</f>
        <v>78.9774153634969</v>
      </c>
    </row>
    <row r="230" customFormat="false" ht="17.15" hidden="false" customHeight="false" outlineLevel="0" collapsed="false">
      <c r="A230" s="12" t="s">
        <v>472</v>
      </c>
      <c r="B230" s="6" t="s">
        <v>17</v>
      </c>
      <c r="C230" s="12" t="s">
        <v>413</v>
      </c>
      <c r="D230" s="12" t="s">
        <v>414</v>
      </c>
      <c r="E230" s="12" t="s">
        <v>415</v>
      </c>
      <c r="F230" s="12" t="s">
        <v>416</v>
      </c>
      <c r="G230" s="12" t="s">
        <v>417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321</v>
      </c>
    </row>
    <row r="231" customFormat="false" ht="15" hidden="false" customHeight="false" outlineLevel="0" collapsed="false">
      <c r="A231" s="5" t="s">
        <v>344</v>
      </c>
      <c r="B231" s="0" t="s">
        <v>27</v>
      </c>
      <c r="C231" s="13" t="n">
        <f aca="false">a25_rev</f>
        <v>7.355</v>
      </c>
      <c r="D231" s="13" t="n">
        <f aca="false">SUM(C214:F214)</f>
        <v>20.248</v>
      </c>
      <c r="E231" s="13" t="n">
        <f aca="false">SUM(G214:J214)</f>
        <v>56.8850242490219</v>
      </c>
      <c r="F231" s="13" t="n">
        <f aca="false">SUM(K214:N214)</f>
        <v>63.5385464148089</v>
      </c>
      <c r="G231" s="13" t="n">
        <f aca="false">SUM(O214:R214)</f>
        <v>64.7855062771722</v>
      </c>
    </row>
    <row r="232" customFormat="false" ht="15" hidden="false" customHeight="false" outlineLevel="0" collapsed="false">
      <c r="A232" s="5" t="s">
        <v>473</v>
      </c>
      <c r="B232" s="0" t="s">
        <v>27</v>
      </c>
      <c r="D232" s="13" t="n">
        <f aca="false">SUM(C215:F215)</f>
        <v>5.153</v>
      </c>
      <c r="E232" s="13" t="n">
        <f aca="false">SUM(G215:J215)</f>
        <v>21.6163092146283</v>
      </c>
      <c r="F232" s="13" t="n">
        <f aca="false">SUM(K215:N215)</f>
        <v>26.6861894942197</v>
      </c>
      <c r="G232" s="13" t="n">
        <f aca="false">SUM(O215:R215)</f>
        <v>29.1534778247275</v>
      </c>
    </row>
    <row r="233" customFormat="false" ht="17.15" hidden="false" customHeight="false" outlineLevel="0" collapsed="false">
      <c r="A233" s="5" t="s">
        <v>474</v>
      </c>
      <c r="B233" s="0" t="s">
        <v>27</v>
      </c>
      <c r="D233" s="13" t="n">
        <f aca="false">SUM(C216:F216)</f>
        <v>3.36063827543424</v>
      </c>
      <c r="E233" s="13" t="n">
        <f aca="false">SUM(G216:J216)</f>
        <v>17.1394923704766</v>
      </c>
      <c r="F233" s="13" t="n">
        <f aca="false">SUM(K216:N216)</f>
        <v>22.503211502676</v>
      </c>
      <c r="G233" s="13" t="n">
        <f aca="false">SUM(O216:R216)</f>
        <v>25.222397493418</v>
      </c>
    </row>
    <row r="234" customFormat="false" ht="15" hidden="false" customHeight="false" outlineLevel="0" collapsed="false">
      <c r="A234" s="5" t="s">
        <v>475</v>
      </c>
      <c r="B234" s="0" t="s">
        <v>27</v>
      </c>
      <c r="D234" s="13" t="n">
        <f aca="false">SUM(C219:F219)</f>
        <v>12.16</v>
      </c>
      <c r="E234" s="13" t="n">
        <f aca="false">SUM(G219:J219)</f>
        <v>31.8556135794522</v>
      </c>
      <c r="F234" s="13" t="n">
        <f aca="false">SUM(K219:N219)</f>
        <v>33.0400441357006</v>
      </c>
      <c r="G234" s="13" t="n">
        <f aca="false">SUM(O219:R219)</f>
        <v>31.7448980758144</v>
      </c>
    </row>
    <row r="235" customFormat="false" ht="15" hidden="false" customHeight="false" outlineLevel="0" collapsed="false">
      <c r="A235" s="5" t="s">
        <v>476</v>
      </c>
      <c r="B235" s="0" t="s">
        <v>27</v>
      </c>
      <c r="D235" s="13" t="n">
        <f aca="false">SUM(C218:F218)</f>
        <v>2.935</v>
      </c>
      <c r="E235" s="13" t="n">
        <f aca="false">SUM(G218:J218)</f>
        <v>3.41310145494131</v>
      </c>
      <c r="F235" s="13" t="n">
        <f aca="false">SUM(K218:N218)</f>
        <v>3.81231278488853</v>
      </c>
      <c r="G235" s="13" t="n">
        <f aca="false">SUM(O218:R218)</f>
        <v>3.88713037663033</v>
      </c>
    </row>
    <row r="236" customFormat="false" ht="17.15" hidden="false" customHeight="false" outlineLevel="0" collapsed="false">
      <c r="A236" s="5" t="s">
        <v>477</v>
      </c>
      <c r="B236" s="0" t="s">
        <v>27</v>
      </c>
      <c r="D236" s="18" t="n">
        <f aca="false">D232+D234+D235-D231+ABS(D232-a26_dc)+ABS(D234-a26_ed)+ABS(D235-a26_cs)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467</v>
      </c>
      <c r="B237" s="0" t="s">
        <v>27</v>
      </c>
      <c r="D237" s="13" t="n">
        <f aca="false">SUM(C222:F222)</f>
        <v>5.771301</v>
      </c>
      <c r="E237" s="13" t="n">
        <f aca="false">SUM(G222:J222)</f>
        <v>7.44135599708386</v>
      </c>
      <c r="F237" s="13" t="n">
        <f aca="false">SUM(K222:N222)</f>
        <v>8.02108988359759</v>
      </c>
      <c r="G237" s="13" t="n">
        <f aca="false">SUM(O222:R222)</f>
        <v>8.54505164520482</v>
      </c>
    </row>
    <row r="238" customFormat="false" ht="15" hidden="false" customHeight="false" outlineLevel="0" collapsed="false">
      <c r="A238" s="5" t="s">
        <v>423</v>
      </c>
      <c r="B238" s="0" t="s">
        <v>33</v>
      </c>
      <c r="D238" s="14" t="n">
        <f aca="false">1-D237/D231</f>
        <v>0.714969330304228</v>
      </c>
      <c r="E238" s="14" t="n">
        <f aca="false">1-E237/E231</f>
        <v>0.869186027512121</v>
      </c>
      <c r="F238" s="14" t="n">
        <f aca="false">1-F237/F231</f>
        <v>0.873760255212132</v>
      </c>
      <c r="G238" s="14" t="n">
        <f aca="false">1-G237/G231</f>
        <v>0.868102417712899</v>
      </c>
    </row>
    <row r="239" customFormat="false" ht="15" hidden="false" customHeight="false" outlineLevel="0" collapsed="false">
      <c r="A239" s="5" t="s">
        <v>468</v>
      </c>
      <c r="B239" s="0" t="s">
        <v>27</v>
      </c>
      <c r="D239" s="13" t="n">
        <f aca="false">SUM(C224:F224)</f>
        <v>2.087699</v>
      </c>
      <c r="E239" s="13" t="n">
        <f aca="false">SUM(G224:J224)</f>
        <v>2.5249590666032</v>
      </c>
      <c r="F239" s="13" t="n">
        <f aca="false">SUM(K224:N224)</f>
        <v>2.78710517067237</v>
      </c>
      <c r="G239" s="13" t="n">
        <f aca="false">SUM(O224:R224)</f>
        <v>3.01474673994843</v>
      </c>
    </row>
    <row r="240" customFormat="false" ht="15" hidden="false" customHeight="false" outlineLevel="0" collapsed="false">
      <c r="A240" s="5" t="s">
        <v>424</v>
      </c>
      <c r="B240" s="0" t="s">
        <v>27</v>
      </c>
      <c r="D240" s="13" t="n">
        <f aca="false">SUM(C225:F225)</f>
        <v>12.389</v>
      </c>
      <c r="E240" s="13" t="n">
        <f aca="false">SUM(G225:J225)</f>
        <v>46.9187091853348</v>
      </c>
      <c r="F240" s="13" t="n">
        <f aca="false">SUM(K225:N225)</f>
        <v>52.7303513605389</v>
      </c>
      <c r="G240" s="13" t="n">
        <f aca="false">SUM(O225:R225)</f>
        <v>53.2257078920189</v>
      </c>
    </row>
    <row r="241" customFormat="false" ht="15" hidden="false" customHeight="false" outlineLevel="0" collapsed="false">
      <c r="A241" s="5" t="s">
        <v>425</v>
      </c>
      <c r="B241" s="0" t="s">
        <v>33</v>
      </c>
      <c r="D241" s="14" t="n">
        <f aca="false">D240/D231</f>
        <v>0.61186290003951</v>
      </c>
      <c r="E241" s="14" t="n">
        <f aca="false">E240/E231</f>
        <v>0.824798966067797</v>
      </c>
      <c r="F241" s="14" t="n">
        <f aca="false">F240/F231</f>
        <v>0.829895462453467</v>
      </c>
      <c r="G241" s="14" t="n">
        <f aca="false">G240/G231</f>
        <v>0.821568140014267</v>
      </c>
    </row>
    <row r="242" customFormat="false" ht="15" hidden="false" customHeight="false" outlineLevel="0" collapsed="false">
      <c r="A242" s="5" t="s">
        <v>426</v>
      </c>
      <c r="B242" s="0" t="s">
        <v>27</v>
      </c>
      <c r="C242" s="13" t="n">
        <f aca="false">a25_ni</f>
        <v>-1.641</v>
      </c>
      <c r="D242" s="13" t="n">
        <f aca="false">SUM(C227:F227)</f>
        <v>11.433</v>
      </c>
      <c r="E242" s="13" t="n">
        <f aca="false">SUM(G227:J227)</f>
        <v>40.0428108075346</v>
      </c>
      <c r="F242" s="13" t="n">
        <f aca="false">SUM(K227:N227)</f>
        <v>45.6081317154522</v>
      </c>
      <c r="G242" s="13" t="n">
        <f aca="false">SUM(O227:R227)</f>
        <v>46.7424336890297</v>
      </c>
    </row>
    <row r="243" customFormat="false" ht="15" hidden="false" customHeight="false" outlineLevel="0" collapsed="false">
      <c r="A243" s="5" t="s">
        <v>478</v>
      </c>
      <c r="B243" s="0" t="s">
        <v>27</v>
      </c>
      <c r="D243" s="13" t="n">
        <f aca="false">da_y</f>
        <v>0.16</v>
      </c>
      <c r="E243" s="13" t="n">
        <f aca="false">da_y</f>
        <v>0.16</v>
      </c>
      <c r="F243" s="13" t="n">
        <f aca="false">da_y</f>
        <v>0.16</v>
      </c>
      <c r="G243" s="13" t="n">
        <f aca="false">da_y</f>
        <v>0.16</v>
      </c>
    </row>
    <row r="244" customFormat="false" ht="17.15" hidden="false" customHeight="false" outlineLevel="0" collapsed="false">
      <c r="A244" s="5" t="s">
        <v>479</v>
      </c>
      <c r="B244" s="0" t="s">
        <v>27</v>
      </c>
      <c r="D244" s="13" t="n">
        <v>0.562</v>
      </c>
      <c r="E244" s="13" t="n">
        <f aca="false">cap_r*E231</f>
        <v>3.41310145494131</v>
      </c>
      <c r="F244" s="13" t="n">
        <f aca="false">cap_r*F231</f>
        <v>3.81231278488853</v>
      </c>
      <c r="G244" s="13" t="n">
        <f aca="false">cap_r*G231</f>
        <v>3.88713037663033</v>
      </c>
      <c r="T244" s="8" t="s">
        <v>480</v>
      </c>
    </row>
    <row r="245" customFormat="false" ht="15" hidden="false" customHeight="false" outlineLevel="0" collapsed="false">
      <c r="A245" s="5" t="s">
        <v>481</v>
      </c>
      <c r="B245" s="0" t="s">
        <v>27</v>
      </c>
      <c r="D245" s="13" t="n">
        <f aca="false">D242+D243-D244</f>
        <v>11.031</v>
      </c>
      <c r="E245" s="13" t="n">
        <f aca="false">E242+E243-E244</f>
        <v>36.7897093525933</v>
      </c>
      <c r="F245" s="13" t="n">
        <f aca="false">F242+F243-F244</f>
        <v>41.9558189305637</v>
      </c>
      <c r="G245" s="13" t="n">
        <f aca="false">G242+G243-G244</f>
        <v>43.0153033123994</v>
      </c>
    </row>
    <row r="246" customFormat="false" ht="17.15" hidden="false" customHeight="false" outlineLevel="0" collapsed="false">
      <c r="A246" s="5" t="s">
        <v>482</v>
      </c>
      <c r="B246" s="0" t="s">
        <v>27</v>
      </c>
      <c r="D246" s="13" t="n">
        <v>4.524</v>
      </c>
      <c r="E246" s="13" t="n">
        <f aca="false">MAX(0,payout*E245)</f>
        <v>18.3948546762966</v>
      </c>
      <c r="F246" s="13" t="n">
        <f aca="false">MAX(0,payout*F245)</f>
        <v>20.9779094652818</v>
      </c>
      <c r="G246" s="13" t="n">
        <f aca="false">MAX(0,payout*G245)</f>
        <v>21.5076516561997</v>
      </c>
      <c r="T246" s="8" t="s">
        <v>483</v>
      </c>
    </row>
    <row r="247" customFormat="false" ht="15" hidden="false" customHeight="false" outlineLevel="0" collapsed="false">
      <c r="A247" s="5" t="s">
        <v>484</v>
      </c>
      <c r="B247" s="0" t="s">
        <v>27</v>
      </c>
      <c r="D247" s="13" t="n">
        <f aca="false">eq0</f>
        <v>15.736</v>
      </c>
      <c r="E247" s="13" t="n">
        <f aca="false">D247+E242-E246</f>
        <v>37.383956131238</v>
      </c>
      <c r="F247" s="13" t="n">
        <f aca="false">E247+F242-F246</f>
        <v>62.0141783814083</v>
      </c>
      <c r="G247" s="13" t="n">
        <f aca="false">F247+G242-G246</f>
        <v>87.2489604142384</v>
      </c>
    </row>
    <row r="248" customFormat="false" ht="15" hidden="false" customHeight="false" outlineLevel="0" collapsed="false">
      <c r="A248" s="5" t="s">
        <v>485</v>
      </c>
      <c r="B248" s="0" t="s">
        <v>27</v>
      </c>
      <c r="D248" s="13" t="n">
        <f aca="false">nc0</f>
        <v>4.762</v>
      </c>
      <c r="E248" s="13" t="n">
        <f aca="false">D248+E245-E246</f>
        <v>23.1568546762966</v>
      </c>
      <c r="F248" s="13" t="n">
        <f aca="false">E248+F245-F246</f>
        <v>44.1347641415785</v>
      </c>
      <c r="G248" s="13" t="n">
        <f aca="false">F248+G245-G246</f>
        <v>65.6424157977782</v>
      </c>
    </row>
    <row r="249" customFormat="false" ht="15" hidden="false" customHeight="false" outlineLevel="0" collapsed="false">
      <c r="A249" s="5" t="s">
        <v>486</v>
      </c>
      <c r="B249" s="5" t="s">
        <v>152</v>
      </c>
      <c r="D249" s="20" t="n">
        <f aca="false">sh0</f>
        <v>146.42</v>
      </c>
      <c r="E249" s="20" t="n">
        <f aca="false">D249-E246/bb_px*1000</f>
        <v>131.561834465807</v>
      </c>
      <c r="F249" s="20" t="n">
        <f aca="false">E249-F246/bb_px*1000</f>
        <v>114.617245509739</v>
      </c>
      <c r="G249" s="20" t="n">
        <f aca="false">F249-G246/bb_px*1000</f>
        <v>97.2447653144285</v>
      </c>
    </row>
    <row r="250" customFormat="false" ht="17.15" hidden="false" customHeight="false" outlineLevel="0" collapsed="false">
      <c r="A250" s="0" t="s">
        <v>487</v>
      </c>
      <c r="B250" s="0" t="s">
        <v>40</v>
      </c>
      <c r="C250" s="15" t="n">
        <f aca="false">a25_eps</f>
        <v>-11.32</v>
      </c>
      <c r="D250" s="15" t="n">
        <f aca="false">a26_eps</f>
        <v>73.76</v>
      </c>
      <c r="E250" s="15" t="n">
        <f aca="false">E242/(E249+dil)*1000</f>
        <v>294.125688585396</v>
      </c>
      <c r="F250" s="15" t="n">
        <f aca="false">F242/(F249+dil)*1000</f>
        <v>382.627396467194</v>
      </c>
      <c r="G250" s="15" t="n">
        <f aca="false">G242/(G249+dil)*1000</f>
        <v>459.047792005138</v>
      </c>
    </row>
    <row r="251" customFormat="false" ht="17.15" hidden="false" customHeight="false" outlineLevel="0" collapsed="false">
      <c r="A251" s="5" t="s">
        <v>488</v>
      </c>
      <c r="B251" s="0" t="s">
        <v>40</v>
      </c>
      <c r="D251" s="15" t="n">
        <f aca="false">D247/D249*1000</f>
        <v>107.471656877476</v>
      </c>
      <c r="E251" s="15" t="n">
        <f aca="false">E247/E249*1000</f>
        <v>284.155023248433</v>
      </c>
      <c r="F251" s="15" t="n">
        <f aca="false">F247/F249*1000</f>
        <v>541.054516758032</v>
      </c>
      <c r="G251" s="15" t="n">
        <f aca="false">G247/G249*1000</f>
        <v>897.20984088069</v>
      </c>
    </row>
    <row r="252" customFormat="false" ht="17.15" hidden="false" customHeight="false" outlineLevel="0" collapsed="false">
      <c r="A252" s="0" t="s">
        <v>489</v>
      </c>
      <c r="B252" s="0" t="s">
        <v>33</v>
      </c>
      <c r="D252" s="21" t="n">
        <f aca="false">D242/D247</f>
        <v>0.72655058464667</v>
      </c>
      <c r="E252" s="21" t="n">
        <f aca="false">E242/E247</f>
        <v>1.07112288134949</v>
      </c>
      <c r="F252" s="21" t="n">
        <f aca="false">F242/F247</f>
        <v>0.735446843058158</v>
      </c>
      <c r="G252" s="21" t="n">
        <f aca="false">G242/G247</f>
        <v>0.535736282324823</v>
      </c>
    </row>
    <row r="253" customFormat="false" ht="15" hidden="false" customHeight="false" outlineLevel="0" collapsed="false">
      <c r="A253" s="5" t="s">
        <v>490</v>
      </c>
      <c r="B253" s="0" t="s">
        <v>40</v>
      </c>
      <c r="E253" s="15" t="n">
        <f aca="false">E245/(E249+dil)*1000</f>
        <v>270.230744994355</v>
      </c>
      <c r="F253" s="15" t="n">
        <f aca="false">F245/(F249+dil)*1000</f>
        <v>351.986480485707</v>
      </c>
      <c r="G253" s="15" t="n">
        <f aca="false">G245/(G249+dil)*1000</f>
        <v>422.444413984858</v>
      </c>
    </row>
    <row r="254" customFormat="false" ht="17.15" hidden="false" customHeight="false" outlineLevel="0" collapsed="false">
      <c r="A254" s="5" t="s">
        <v>491</v>
      </c>
      <c r="B254" s="0" t="s">
        <v>27</v>
      </c>
      <c r="D254" s="18" t="n">
        <f aca="false">ABS(D231-a26_rev)+ABS(D242-a26_ni)</f>
        <v>0</v>
      </c>
    </row>
    <row r="260" customFormat="false" ht="17.15" hidden="false" customHeight="false" outlineLevel="0" collapsed="false">
      <c r="A260" s="3" t="s">
        <v>802</v>
      </c>
    </row>
    <row r="261" customFormat="false" ht="17.15" hidden="false" customHeight="false" outlineLevel="0" collapsed="false">
      <c r="A261" s="12" t="s">
        <v>434</v>
      </c>
      <c r="B261" s="6" t="s">
        <v>17</v>
      </c>
      <c r="C261" s="12" t="s">
        <v>435</v>
      </c>
      <c r="D261" s="12" t="s">
        <v>436</v>
      </c>
      <c r="E261" s="12" t="s">
        <v>437</v>
      </c>
      <c r="F261" s="12" t="s">
        <v>438</v>
      </c>
      <c r="G261" s="12" t="s">
        <v>439</v>
      </c>
      <c r="H261" s="12" t="s">
        <v>440</v>
      </c>
      <c r="I261" s="12" t="s">
        <v>441</v>
      </c>
      <c r="J261" s="12" t="s">
        <v>442</v>
      </c>
      <c r="K261" s="12" t="s">
        <v>443</v>
      </c>
      <c r="L261" s="12" t="s">
        <v>444</v>
      </c>
      <c r="M261" s="12" t="s">
        <v>445</v>
      </c>
      <c r="N261" s="12" t="s">
        <v>446</v>
      </c>
      <c r="O261" s="12" t="s">
        <v>447</v>
      </c>
      <c r="P261" s="12" t="s">
        <v>448</v>
      </c>
      <c r="Q261" s="12" t="s">
        <v>449</v>
      </c>
      <c r="R261" s="12" t="s">
        <v>450</v>
      </c>
      <c r="S261" s="12"/>
      <c r="T261" s="6" t="s">
        <v>321</v>
      </c>
    </row>
    <row r="262" customFormat="false" ht="17.15" hidden="false" customHeight="false" outlineLevel="0" collapsed="false">
      <c r="A262" s="5" t="s">
        <v>451</v>
      </c>
      <c r="B262" s="0" t="s">
        <v>27</v>
      </c>
      <c r="C262" s="13" t="n">
        <f aca="false">Units!E4*1</f>
        <v>2.31</v>
      </c>
      <c r="D262" s="13" t="n">
        <f aca="false">Units!F4*1</f>
        <v>3.03</v>
      </c>
      <c r="E262" s="13" t="n">
        <f aca="false">Units!G4*1</f>
        <v>5.95</v>
      </c>
      <c r="F262" s="13" t="n">
        <f aca="false">Units!H4*1</f>
        <v>8.97</v>
      </c>
      <c r="G262" s="13" t="n">
        <f aca="false">Units!I4*1</f>
        <v>11.0371522587842</v>
      </c>
      <c r="H262" s="13" t="n">
        <f aca="false">Units!J4*1*1</f>
        <v>12.4602118149868</v>
      </c>
      <c r="I262" s="13" t="n">
        <f aca="false">Units!K4*1*1</f>
        <v>13.7296281882931</v>
      </c>
      <c r="J262" s="13" t="n">
        <f aca="false">Units!L4*1*1</f>
        <v>14.5173143040247</v>
      </c>
      <c r="K262" s="13" t="n">
        <f aca="false">Units!M4*1*1</f>
        <v>14.5826814190399</v>
      </c>
      <c r="L262" s="13" t="n">
        <f aca="false">Units!N4*1*1</f>
        <v>14.3399566970533</v>
      </c>
      <c r="M262" s="13" t="n">
        <f aca="false">Units!O4*1*1</f>
        <v>14.4045252239239</v>
      </c>
      <c r="N262" s="13" t="n">
        <f aca="false">Units!P4*1*1</f>
        <v>14.4693844835178</v>
      </c>
      <c r="O262" s="13" t="n">
        <f aca="false">Units!Q4*1*1</f>
        <v>14.5345357849173</v>
      </c>
      <c r="P262" s="13" t="n">
        <f aca="false">Units!R4*1*1</f>
        <v>14.5999804430991</v>
      </c>
      <c r="Q262" s="13" t="n">
        <f aca="false">Units!S4*1*1</f>
        <v>14.7547352450932</v>
      </c>
      <c r="R262" s="13" t="n">
        <f aca="false">Units!T4*1*1</f>
        <v>15.0415680545433</v>
      </c>
      <c r="T262" s="8" t="s">
        <v>452</v>
      </c>
    </row>
    <row r="263" customFormat="false" ht="15" hidden="false" customHeight="false" outlineLevel="0" collapsed="false">
      <c r="A263" s="5" t="s">
        <v>453</v>
      </c>
      <c r="B263" s="0" t="s">
        <v>386</v>
      </c>
      <c r="C263" s="13" t="n">
        <f aca="false">Units!E7*1</f>
        <v>31.1552804325753</v>
      </c>
      <c r="D263" s="13" t="n">
        <f aca="false">Units!F7*1</f>
        <v>33.5147228924475</v>
      </c>
      <c r="E263" s="13" t="n">
        <f aca="false">Units!G7*1</f>
        <v>38.0693331650007</v>
      </c>
      <c r="F263" s="13" t="n">
        <f aca="false">Units!H7*1</f>
        <v>33.6172154529341</v>
      </c>
      <c r="G263" s="13" t="n">
        <f aca="false">Units!I7*1</f>
        <v>33.0914894510934</v>
      </c>
      <c r="H263" s="13" t="n">
        <f aca="false">Units!J7*1</f>
        <v>34.5588285485368</v>
      </c>
      <c r="I263" s="13" t="n">
        <f aca="false">Units!K7*1</f>
        <v>36.9704842497676</v>
      </c>
      <c r="J263" s="13" t="n">
        <f aca="false">Units!L7*1</f>
        <v>39.0915276411862</v>
      </c>
      <c r="K263" s="13" t="n">
        <f aca="false">Units!M7*1</f>
        <v>41.3342579717828</v>
      </c>
      <c r="L263" s="13" t="n">
        <f aca="false">Units!N7*1</f>
        <v>43.7056565750022</v>
      </c>
      <c r="M263" s="13" t="n">
        <f aca="false">Units!O7*1</f>
        <v>46.2131053122095</v>
      </c>
      <c r="N263" s="13" t="n">
        <f aca="false">Units!P7*1</f>
        <v>48.8644095514828</v>
      </c>
      <c r="O263" s="13" t="n">
        <f aca="false">Units!Q7*1</f>
        <v>51.6678224647285</v>
      </c>
      <c r="P263" s="13" t="n">
        <f aca="false">Units!R7*1</f>
        <v>54.6320707187528</v>
      </c>
      <c r="Q263" s="13" t="n">
        <f aca="false">Units!S7*1</f>
        <v>56.9187133953845</v>
      </c>
      <c r="R263" s="13" t="n">
        <f aca="false">Units!T7*1</f>
        <v>59.8198104136917</v>
      </c>
    </row>
    <row r="264" customFormat="false" ht="17.15" hidden="false" customHeight="false" outlineLevel="0" collapsed="false">
      <c r="A264" s="5" t="s">
        <v>344</v>
      </c>
      <c r="B264" s="0" t="s">
        <v>27</v>
      </c>
      <c r="C264" s="13" t="n">
        <f aca="false">q1_rev</f>
        <v>2.308</v>
      </c>
      <c r="D264" s="13" t="n">
        <f aca="false">q2_rev</f>
        <v>3.025</v>
      </c>
      <c r="E264" s="13" t="n">
        <f aca="false">q3_rev</f>
        <v>5.95</v>
      </c>
      <c r="F264" s="13" t="n">
        <f aca="false">q4_rev</f>
        <v>8.965</v>
      </c>
      <c r="G264" s="13" t="n">
        <f aca="false">G262*sd_k</f>
        <v>11.0306149524118</v>
      </c>
      <c r="H264" s="13" t="n">
        <f aca="false">H262*sd_k</f>
        <v>12.4528316302988</v>
      </c>
      <c r="I264" s="13" t="n">
        <f aca="false">I262*sd_k</f>
        <v>13.7214961281618</v>
      </c>
      <c r="J264" s="13" t="n">
        <f aca="false">J262*sd_k</f>
        <v>14.5087156973293</v>
      </c>
      <c r="K264" s="13" t="n">
        <f aca="false">K262*sd_k</f>
        <v>14.5740440953959</v>
      </c>
      <c r="L264" s="13" t="n">
        <f aca="false">L262*sd_k</f>
        <v>14.331463139286</v>
      </c>
      <c r="M264" s="13" t="n">
        <f aca="false">M262*sd_k</f>
        <v>14.3959934222118</v>
      </c>
      <c r="N264" s="13" t="n">
        <f aca="false">N262*sd_k</f>
        <v>14.4608142656598</v>
      </c>
      <c r="O264" s="13" t="n">
        <f aca="false">O262*sd_k</f>
        <v>14.5259269779371</v>
      </c>
      <c r="P264" s="13" t="n">
        <f aca="false">P262*sd_k</f>
        <v>14.5913328732414</v>
      </c>
      <c r="Q264" s="13" t="n">
        <f aca="false">Q262*sd_k</f>
        <v>14.745996013951</v>
      </c>
      <c r="R264" s="13" t="n">
        <f aca="false">R262*sd_k</f>
        <v>15.0326589322997</v>
      </c>
      <c r="T264" s="5" t="s">
        <v>454</v>
      </c>
    </row>
    <row r="265" customFormat="false" ht="17.15" hidden="false" customHeight="false" outlineLevel="0" collapsed="false">
      <c r="A265" s="5" t="s">
        <v>455</v>
      </c>
      <c r="B265" s="0" t="s">
        <v>27</v>
      </c>
      <c r="C265" s="13" t="n">
        <f aca="false">q1_dc</f>
        <v>0.269</v>
      </c>
      <c r="D265" s="13" t="n">
        <f aca="false">q2_dc</f>
        <v>0.44</v>
      </c>
      <c r="E265" s="13" t="n">
        <f aca="false">q3_dc</f>
        <v>1.467</v>
      </c>
      <c r="F265" s="13" t="n">
        <f aca="false">q4_dc</f>
        <v>2.977</v>
      </c>
      <c r="G265" s="13" t="n">
        <f aca="false">G264*dcsh_27</f>
        <v>4.19163368191647</v>
      </c>
      <c r="H265" s="13" t="n">
        <f aca="false">H264*dcsh_27</f>
        <v>4.73207601951353</v>
      </c>
      <c r="I265" s="13" t="n">
        <f aca="false">I264*dcsh_27</f>
        <v>5.2141685287015</v>
      </c>
      <c r="J265" s="13" t="n">
        <f aca="false">J264*dcsh_27</f>
        <v>5.51331196498514</v>
      </c>
      <c r="K265" s="13" t="n">
        <f aca="false">K264*dcsh_28</f>
        <v>6.12109852006626</v>
      </c>
      <c r="L265" s="13" t="n">
        <f aca="false">L264*dcsh_28</f>
        <v>6.01921451850014</v>
      </c>
      <c r="M265" s="13" t="n">
        <f aca="false">M264*dcsh_28</f>
        <v>6.04631723732896</v>
      </c>
      <c r="N265" s="13" t="n">
        <f aca="false">N264*dcsh_28</f>
        <v>6.07354199157713</v>
      </c>
      <c r="O265" s="13" t="n">
        <f aca="false">O264*dcsh_29</f>
        <v>6.53666714007169</v>
      </c>
      <c r="P265" s="13" t="n">
        <f aca="false">P264*dcsh_29</f>
        <v>6.56609979295863</v>
      </c>
      <c r="Q265" s="13" t="n">
        <f aca="false">Q264*dcsh_29</f>
        <v>6.63569820627795</v>
      </c>
      <c r="R265" s="13" t="n">
        <f aca="false">R264*dcsh_29</f>
        <v>6.76469651953488</v>
      </c>
      <c r="T265" s="5" t="s">
        <v>456</v>
      </c>
    </row>
    <row r="266" customFormat="false" ht="17.15" hidden="false" customHeight="false" outlineLevel="0" collapsed="false">
      <c r="A266" s="5" t="s">
        <v>457</v>
      </c>
      <c r="B266" s="0" t="s">
        <v>27</v>
      </c>
      <c r="C266" s="13" t="n">
        <f aca="false">C265*(Units!C16+Units!D16)/2</f>
        <v>0.17543405707196</v>
      </c>
      <c r="D266" s="13" t="n">
        <f aca="false">D265*(Units!C16+Units!D16)/2</f>
        <v>0.286955334987593</v>
      </c>
      <c r="E266" s="13" t="n">
        <f aca="false">E265*(Units!C16+Units!D16)/2</f>
        <v>0.956735173697271</v>
      </c>
      <c r="F266" s="13" t="n">
        <f aca="false">F265*(Units!C16+Units!D16)/2</f>
        <v>1.94151370967742</v>
      </c>
      <c r="G266" s="13" t="n">
        <f aca="false">G265*(Units!D16+Units!E16)/2</f>
        <v>3.32353098753891</v>
      </c>
      <c r="H266" s="13" t="n">
        <f aca="false">H265*(Units!D16+Units!E16)/2</f>
        <v>3.75204573674775</v>
      </c>
      <c r="I266" s="13" t="n">
        <f aca="false">I265*(Units!D16+Units!E16)/2</f>
        <v>4.13429512081464</v>
      </c>
      <c r="J266" s="13" t="n">
        <f aca="false">J265*(Units!D16+Units!E16)/2</f>
        <v>4.37148485533195</v>
      </c>
      <c r="K266" s="13" t="n">
        <f aca="false">K265*(Units!E16+Units!F16)/2</f>
        <v>5.16163518420655</v>
      </c>
      <c r="L266" s="13" t="n">
        <f aca="false">L265*(Units!E16+Units!F16)/2</f>
        <v>5.07572118601366</v>
      </c>
      <c r="M266" s="13" t="n">
        <f aca="false">M265*(Units!E16+Units!F16)/2</f>
        <v>5.09857563716094</v>
      </c>
      <c r="N266" s="13" t="n">
        <f aca="false">N265*(Units!E16+Units!F16)/2</f>
        <v>5.12153299505153</v>
      </c>
      <c r="O266" s="13" t="n">
        <f aca="false">O265*(Units!F16+Units!G16)/2</f>
        <v>5.65525725199112</v>
      </c>
      <c r="P266" s="13" t="n">
        <f aca="false">P265*(Units!F16+Units!G16)/2</f>
        <v>5.68072118033831</v>
      </c>
      <c r="Q266" s="13" t="n">
        <f aca="false">Q265*(Units!F16+Units!G16)/2</f>
        <v>5.7409348830123</v>
      </c>
      <c r="R266" s="13" t="n">
        <f aca="false">R265*(Units!F16+Units!G16)/2</f>
        <v>5.85253895140195</v>
      </c>
      <c r="T266" s="5" t="s">
        <v>458</v>
      </c>
    </row>
    <row r="267" customFormat="false" ht="17.15" hidden="false" customHeight="false" outlineLevel="0" collapsed="false">
      <c r="A267" s="5" t="s">
        <v>459</v>
      </c>
      <c r="B267" s="0" t="s">
        <v>27</v>
      </c>
      <c r="C267" s="13" t="n">
        <f aca="false">C265-C266</f>
        <v>0.0935659429280397</v>
      </c>
      <c r="D267" s="13" t="n">
        <f aca="false">D265-D266</f>
        <v>0.153044665012407</v>
      </c>
      <c r="E267" s="13" t="n">
        <f aca="false">E265-E266</f>
        <v>0.51026482630273</v>
      </c>
      <c r="F267" s="13" t="n">
        <f aca="false">F265-F266</f>
        <v>1.03548629032258</v>
      </c>
      <c r="G267" s="13" t="n">
        <f aca="false">G265-G266</f>
        <v>0.868102694377567</v>
      </c>
      <c r="H267" s="13" t="n">
        <f aca="false">H265-H266</f>
        <v>0.980030282765779</v>
      </c>
      <c r="I267" s="13" t="n">
        <f aca="false">I265-I266</f>
        <v>1.07987340788686</v>
      </c>
      <c r="J267" s="13" t="n">
        <f aca="false">J265-J266</f>
        <v>1.1418271096532</v>
      </c>
      <c r="K267" s="13" t="n">
        <f aca="false">K265-K266</f>
        <v>0.959463335859709</v>
      </c>
      <c r="L267" s="13" t="n">
        <f aca="false">L265-L266</f>
        <v>0.943493332486474</v>
      </c>
      <c r="M267" s="13" t="n">
        <f aca="false">M265-M266</f>
        <v>0.947741600168022</v>
      </c>
      <c r="N267" s="13" t="n">
        <f aca="false">N265-N266</f>
        <v>0.952008996525601</v>
      </c>
      <c r="O267" s="13" t="n">
        <f aca="false">O265-O266</f>
        <v>0.881409888080571</v>
      </c>
      <c r="P267" s="13" t="n">
        <f aca="false">P265-P266</f>
        <v>0.885378612620321</v>
      </c>
      <c r="Q267" s="13" t="n">
        <f aca="false">Q265-Q266</f>
        <v>0.894763323265645</v>
      </c>
      <c r="R267" s="13" t="n">
        <f aca="false">R265-R266</f>
        <v>0.912157568132935</v>
      </c>
    </row>
    <row r="268" customFormat="false" ht="15" hidden="false" customHeight="false" outlineLevel="0" collapsed="false">
      <c r="A268" s="5" t="s">
        <v>460</v>
      </c>
      <c r="B268" s="0" t="s">
        <v>27</v>
      </c>
      <c r="C268" s="13" t="n">
        <f aca="false">q1_cs</f>
        <v>0.652</v>
      </c>
      <c r="D268" s="13" t="n">
        <f aca="false">q2_cs</f>
        <v>0.907</v>
      </c>
      <c r="E268" s="13" t="n">
        <f aca="false">q3_cs</f>
        <v>0.82</v>
      </c>
      <c r="F268" s="13" t="n">
        <f aca="false">q4_cs</f>
        <v>0.556</v>
      </c>
      <c r="G268" s="13" t="n">
        <f aca="false">G264*cssh_27</f>
        <v>0.661836897144706</v>
      </c>
      <c r="H268" s="13" t="n">
        <f aca="false">H264*cssh_27</f>
        <v>0.747169897817925</v>
      </c>
      <c r="I268" s="13" t="n">
        <f aca="false">I264*cssh_27</f>
        <v>0.82328976768971</v>
      </c>
      <c r="J268" s="13" t="n">
        <f aca="false">J264*cssh_27</f>
        <v>0.87052294183976</v>
      </c>
      <c r="K268" s="13" t="n">
        <f aca="false">K264*cssh_28</f>
        <v>0.874442645723751</v>
      </c>
      <c r="L268" s="13" t="n">
        <f aca="false">L264*cssh_28</f>
        <v>0.859887788357163</v>
      </c>
      <c r="M268" s="13" t="n">
        <f aca="false">M264*cssh_28</f>
        <v>0.863759605332708</v>
      </c>
      <c r="N268" s="13" t="n">
        <f aca="false">N264*cssh_28</f>
        <v>0.867648855939591</v>
      </c>
      <c r="O268" s="13" t="n">
        <f aca="false">O264*cssh_29</f>
        <v>0.871555618676226</v>
      </c>
      <c r="P268" s="13" t="n">
        <f aca="false">P264*cssh_29</f>
        <v>0.875479972394484</v>
      </c>
      <c r="Q268" s="13" t="n">
        <f aca="false">Q264*cssh_29</f>
        <v>0.88475976083706</v>
      </c>
      <c r="R268" s="13" t="n">
        <f aca="false">R264*cssh_29</f>
        <v>0.901959535937984</v>
      </c>
      <c r="T268" s="5" t="s">
        <v>461</v>
      </c>
    </row>
    <row r="269" customFormat="false" ht="15" hidden="false" customHeight="false" outlineLevel="0" collapsed="false">
      <c r="A269" s="5" t="s">
        <v>462</v>
      </c>
      <c r="B269" s="0" t="s">
        <v>27</v>
      </c>
      <c r="C269" s="13" t="n">
        <f aca="false">q1_ed</f>
        <v>1.387</v>
      </c>
      <c r="D269" s="13" t="n">
        <f aca="false">q2_ed</f>
        <v>1.678</v>
      </c>
      <c r="E269" s="13" t="n">
        <f aca="false">q3_ed</f>
        <v>3.663</v>
      </c>
      <c r="F269" s="13" t="n">
        <f aca="false">q4_ed</f>
        <v>5.432</v>
      </c>
      <c r="G269" s="13" t="n">
        <f aca="false">G264-G265-G268</f>
        <v>6.17714437335059</v>
      </c>
      <c r="H269" s="13" t="n">
        <f aca="false">H264-H265-H268</f>
        <v>6.9735857129673</v>
      </c>
      <c r="I269" s="13" t="n">
        <f aca="false">I264-I265-I268</f>
        <v>7.68403783177063</v>
      </c>
      <c r="J269" s="13" t="n">
        <f aca="false">J264-J265-J268</f>
        <v>8.12488079050442</v>
      </c>
      <c r="K269" s="13" t="n">
        <f aca="false">K264-K265-K268</f>
        <v>7.57850292960584</v>
      </c>
      <c r="L269" s="13" t="n">
        <f aca="false">L264-L265-L268</f>
        <v>7.45236083242874</v>
      </c>
      <c r="M269" s="13" t="n">
        <f aca="false">M264-M265-M268</f>
        <v>7.48591657955014</v>
      </c>
      <c r="N269" s="13" t="n">
        <f aca="false">N264-N265-N268</f>
        <v>7.51962341814312</v>
      </c>
      <c r="O269" s="13" t="n">
        <f aca="false">O264-O265-O268</f>
        <v>7.11770421918918</v>
      </c>
      <c r="P269" s="13" t="n">
        <f aca="false">P264-P265-P268</f>
        <v>7.14975310788828</v>
      </c>
      <c r="Q269" s="13" t="n">
        <f aca="false">Q264-Q265-Q268</f>
        <v>7.22553804683599</v>
      </c>
      <c r="R269" s="13" t="n">
        <f aca="false">R264-R265-R268</f>
        <v>7.36600287682687</v>
      </c>
      <c r="T269" s="5" t="s">
        <v>463</v>
      </c>
    </row>
    <row r="270" customFormat="false" ht="15" hidden="false" customHeight="false" outlineLevel="0" collapsed="false">
      <c r="A270" s="5" t="s">
        <v>464</v>
      </c>
      <c r="B270" s="0" t="s">
        <v>27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465</v>
      </c>
      <c r="B271" s="0" t="s">
        <v>466</v>
      </c>
      <c r="C271" s="19" t="n">
        <f aca="false">C272/C263</f>
        <v>0.0520045391183812</v>
      </c>
      <c r="D271" s="19" t="n">
        <f aca="false">D272/D263</f>
        <v>0.0443170902760084</v>
      </c>
      <c r="E271" s="19" t="n">
        <f aca="false">E272/E263</f>
        <v>0.0337594565796481</v>
      </c>
      <c r="F271" s="19" t="n">
        <f aca="false">F272/F263</f>
        <v>0.0410685412637144</v>
      </c>
      <c r="G271" s="19" t="n">
        <f aca="false">(1-g_gm)*G264/G263</f>
        <v>0.049900535931346</v>
      </c>
      <c r="H271" s="19" t="n">
        <f aca="false">$G271*(1-cd_C)^(1/4)</f>
        <v>0.0486033089457611</v>
      </c>
      <c r="I271" s="19" t="n">
        <f aca="false">$G271*(1-cd_C)^(2/4)</f>
        <v>0.0473398050018375</v>
      </c>
      <c r="J271" s="19" t="n">
        <f aca="false">$G271*(1-cd_C)^(3/4)</f>
        <v>0.0461091474268327</v>
      </c>
      <c r="K271" s="19" t="n">
        <f aca="false">$G271*(1-cd_C)^(4/4)</f>
        <v>0.0449104823382114</v>
      </c>
      <c r="L271" s="19" t="n">
        <f aca="false">$G271*(1-cd_C)^(5/4)</f>
        <v>0.043742978051185</v>
      </c>
      <c r="M271" s="19" t="n">
        <f aca="false">$G271*(1-cd_C)^(6/4)</f>
        <v>0.0426058245016537</v>
      </c>
      <c r="N271" s="19" t="n">
        <f aca="false">$G271*(1-cd_C)^(7/4)</f>
        <v>0.0414982326841494</v>
      </c>
      <c r="O271" s="19" t="n">
        <f aca="false">$G271*(1-cd_C)^(8/4)</f>
        <v>0.0404194341043903</v>
      </c>
      <c r="P271" s="19" t="n">
        <f aca="false">$G271*(1-cd_C)^(9/4)</f>
        <v>0.0393686802460665</v>
      </c>
      <c r="Q271" s="19" t="n">
        <f aca="false">$G271*(1-cd_C)^(10/4)</f>
        <v>0.0383452420514884</v>
      </c>
      <c r="R271" s="19" t="n">
        <f aca="false">$G271*(1-cd_C)^(11/4)</f>
        <v>0.0373484094157345</v>
      </c>
    </row>
    <row r="272" customFormat="false" ht="15" hidden="false" customHeight="false" outlineLevel="0" collapsed="false">
      <c r="A272" s="5" t="s">
        <v>467</v>
      </c>
      <c r="B272" s="0" t="s">
        <v>27</v>
      </c>
      <c r="C272" s="13" t="n">
        <f aca="false">q1_rev*(1-q1_gm)</f>
        <v>1.620216</v>
      </c>
      <c r="D272" s="13" t="n">
        <f aca="false">q2_rev*(1-q2_gm)</f>
        <v>1.485275</v>
      </c>
      <c r="E272" s="13" t="n">
        <f aca="false">q3_rev*(1-q3_gm)</f>
        <v>1.2852</v>
      </c>
      <c r="F272" s="13" t="n">
        <f aca="false">q4_rev*(1-q4_gm)</f>
        <v>1.38061</v>
      </c>
      <c r="G272" s="13" t="n">
        <f aca="false">G263*G271</f>
        <v>1.65128305837604</v>
      </c>
      <c r="H272" s="13" t="n">
        <f aca="false">H263*H271</f>
        <v>1.67967342074812</v>
      </c>
      <c r="I272" s="13" t="n">
        <f aca="false">I263*I271</f>
        <v>1.7501755152075</v>
      </c>
      <c r="J272" s="13" t="n">
        <f aca="false">J263*J271</f>
        <v>1.80247701114756</v>
      </c>
      <c r="K272" s="13" t="n">
        <f aca="false">K263*K271</f>
        <v>1.85634146260482</v>
      </c>
      <c r="L272" s="13" t="n">
        <f aca="false">L263*L271</f>
        <v>1.91181557627295</v>
      </c>
      <c r="M272" s="13" t="n">
        <f aca="false">M263*M271</f>
        <v>1.96894745460844</v>
      </c>
      <c r="N272" s="13" t="n">
        <f aca="false">N263*N271</f>
        <v>2.02778663754101</v>
      </c>
      <c r="O272" s="13" t="n">
        <f aca="false">O263*O271</f>
        <v>2.08838414543043</v>
      </c>
      <c r="P272" s="13" t="n">
        <f aca="false">P263*P271</f>
        <v>2.15079252330707</v>
      </c>
      <c r="Q272" s="13" t="n">
        <f aca="false">Q263*Q271</f>
        <v>2.18256184240531</v>
      </c>
      <c r="R272" s="13" t="n">
        <f aca="false">R263*R271</f>
        <v>2.23417477050218</v>
      </c>
    </row>
    <row r="273" customFormat="false" ht="15" hidden="false" customHeight="false" outlineLevel="0" collapsed="false">
      <c r="A273" s="5" t="s">
        <v>423</v>
      </c>
      <c r="B273" s="0" t="s">
        <v>33</v>
      </c>
      <c r="C273" s="14" t="n">
        <f aca="false">1-C272/C264</f>
        <v>0.298</v>
      </c>
      <c r="D273" s="14" t="n">
        <f aca="false">1-D272/D264</f>
        <v>0.509</v>
      </c>
      <c r="E273" s="14" t="n">
        <f aca="false">1-E272/E264</f>
        <v>0.784</v>
      </c>
      <c r="F273" s="14" t="n">
        <f aca="false">1-F272/F264</f>
        <v>0.846</v>
      </c>
      <c r="G273" s="14" t="n">
        <f aca="false">1-G272/G264</f>
        <v>0.8503</v>
      </c>
      <c r="H273" s="14" t="n">
        <f aca="false">1-H272/H264</f>
        <v>0.865117150009373</v>
      </c>
      <c r="I273" s="14" t="n">
        <f aca="false">1-I272/I264</f>
        <v>0.872450095903503</v>
      </c>
      <c r="J273" s="14" t="n">
        <f aca="false">1-J272/J264</f>
        <v>0.875765915553825</v>
      </c>
      <c r="K273" s="14" t="n">
        <f aca="false">1-K272/K264</f>
        <v>0.872626880332325</v>
      </c>
      <c r="L273" s="14" t="n">
        <f aca="false">1-L272/L264</f>
        <v>0.866600112096566</v>
      </c>
      <c r="M273" s="14" t="n">
        <f aca="false">1-M272/M264</f>
        <v>0.86322948358878</v>
      </c>
      <c r="N273" s="14" t="n">
        <f aca="false">1-N272/N264</f>
        <v>0.859773689068367</v>
      </c>
      <c r="O273" s="14" t="n">
        <f aca="false">1-O272/O264</f>
        <v>0.856230576637044</v>
      </c>
      <c r="P273" s="14" t="n">
        <f aca="false">1-P272/P264</f>
        <v>0.85259794002429</v>
      </c>
      <c r="Q273" s="14" t="n">
        <f aca="false">1-Q272/Q264</f>
        <v>0.851989527167889</v>
      </c>
      <c r="R273" s="14" t="n">
        <f aca="false">1-R272/R264</f>
        <v>0.851378603042623</v>
      </c>
    </row>
    <row r="274" customFormat="false" ht="17.15" hidden="false" customHeight="false" outlineLevel="0" collapsed="false">
      <c r="A274" s="5" t="s">
        <v>468</v>
      </c>
      <c r="B274" s="0" t="s">
        <v>27</v>
      </c>
      <c r="C274" s="13" t="n">
        <f aca="false">q1_rev-q1_rev*(1-q1_gm)-q1_op</f>
        <v>0.511784</v>
      </c>
      <c r="D274" s="13" t="n">
        <f aca="false">q2_rev-q2_rev*(1-q2_gm)-q2_op</f>
        <v>0.474725</v>
      </c>
      <c r="E274" s="13" t="n">
        <f aca="false">q3_rev-q3_rev*(1-q3_gm)-q3_op</f>
        <v>0.553800000000001</v>
      </c>
      <c r="F274" s="13" t="n">
        <f aca="false">q4_rev-q4_rev*(1-q4_gm)-q4_op</f>
        <v>0.54739</v>
      </c>
      <c r="G274" s="13" t="n">
        <f aca="false">(g_ox-ox_var*g_rev)*(1+ox_g)^(0/4)+ox_var*G264</f>
        <v>0.581996149524118</v>
      </c>
      <c r="H274" s="13" t="n">
        <f aca="false">(g_ox-ox_var*g_rev)*(1+ox_g)^(1/4)+ox_var*H264</f>
        <v>0.607592502307229</v>
      </c>
      <c r="I274" s="13" t="n">
        <f aca="false">(g_ox-ox_var*g_rev)*(1+ox_g)^(2/4)+ox_var*I264</f>
        <v>0.631927606874997</v>
      </c>
      <c r="J274" s="13" t="n">
        <f aca="false">(g_ox-ox_var*g_rev)*(1+ox_g)^(3/4)+ox_var*J264</f>
        <v>0.651729149488654</v>
      </c>
      <c r="K274" s="13" t="n">
        <f aca="false">(g_ox-ox_var*g_rev)*(1+ox_g)^(4/4)+ox_var*K264</f>
        <v>0.664599440953958</v>
      </c>
      <c r="L274" s="13" t="n">
        <f aca="false">(g_ox-ox_var*g_rev)*(1+ox_g)^(5/4)+ox_var*L264</f>
        <v>0.674685235997527</v>
      </c>
      <c r="M274" s="13" t="n">
        <f aca="false">(g_ox-ox_var*g_rev)*(1+ox_g)^(6/4)+ox_var*M264</f>
        <v>0.688143844374835</v>
      </c>
      <c r="N274" s="13" t="n">
        <f aca="false">(g_ox-ox_var*g_rev)*(1+ox_g)^(7/4)+ox_var*N264</f>
        <v>0.701914334423495</v>
      </c>
      <c r="O274" s="13" t="n">
        <f aca="false">(g_ox-ox_var*g_rev)*(1+ox_g)^(8/4)+ox_var*O264</f>
        <v>0.716004169779371</v>
      </c>
      <c r="P274" s="13" t="n">
        <f aca="false">(g_ox-ox_var*g_rev)*(1+ox_g)^(9/4)+ox_var*P264</f>
        <v>0.730420993797547</v>
      </c>
      <c r="Q274" s="13" t="n">
        <f aca="false">(g_ox-ox_var*g_rev)*(1+ox_g)^(10/4)+ox_var*Q264</f>
        <v>0.746062261307498</v>
      </c>
      <c r="R274" s="13" t="n">
        <f aca="false">(g_ox-ox_var*g_rev)*(1+ox_g)^(11/4)+ox_var*R264</f>
        <v>0.763363400266584</v>
      </c>
      <c r="T274" s="5" t="s">
        <v>469</v>
      </c>
    </row>
    <row r="275" customFormat="false" ht="15" hidden="false" customHeight="false" outlineLevel="0" collapsed="false">
      <c r="A275" s="5" t="s">
        <v>424</v>
      </c>
      <c r="B275" s="0" t="s">
        <v>27</v>
      </c>
      <c r="C275" s="13" t="n">
        <f aca="false">C264-C272-C274</f>
        <v>0.176</v>
      </c>
      <c r="D275" s="13" t="n">
        <f aca="false">D264-D272-D274</f>
        <v>1.065</v>
      </c>
      <c r="E275" s="13" t="n">
        <f aca="false">E264-E272-E274</f>
        <v>4.111</v>
      </c>
      <c r="F275" s="13" t="n">
        <f aca="false">F264-F272-F274</f>
        <v>7.037</v>
      </c>
      <c r="G275" s="13" t="n">
        <f aca="false">G264-G272-G274</f>
        <v>8.79733574451161</v>
      </c>
      <c r="H275" s="13" t="n">
        <f aca="false">H264-H272-H274</f>
        <v>10.1655657072434</v>
      </c>
      <c r="I275" s="13" t="n">
        <f aca="false">I264-I272-I274</f>
        <v>11.3393930060793</v>
      </c>
      <c r="J275" s="13" t="n">
        <f aca="false">J264-J272-J274</f>
        <v>12.0545095366931</v>
      </c>
      <c r="K275" s="13" t="n">
        <f aca="false">K264-K272-K274</f>
        <v>12.0531031918371</v>
      </c>
      <c r="L275" s="13" t="n">
        <f aca="false">L264-L272-L274</f>
        <v>11.7449623270156</v>
      </c>
      <c r="M275" s="13" t="n">
        <f aca="false">M264-M272-M274</f>
        <v>11.7389021232285</v>
      </c>
      <c r="N275" s="13" t="n">
        <f aca="false">N264-N272-N274</f>
        <v>11.7311132936953</v>
      </c>
      <c r="O275" s="13" t="n">
        <f aca="false">O264-O272-O274</f>
        <v>11.7215386627273</v>
      </c>
      <c r="P275" s="13" t="n">
        <f aca="false">P264-P272-P274</f>
        <v>11.7101193561368</v>
      </c>
      <c r="Q275" s="13" t="n">
        <f aca="false">Q264-Q272-Q274</f>
        <v>11.8173719102382</v>
      </c>
      <c r="R275" s="13" t="n">
        <f aca="false">R264-R272-R274</f>
        <v>12.035120761531</v>
      </c>
    </row>
    <row r="277" customFormat="false" ht="17.15" hidden="false" customHeight="false" outlineLevel="0" collapsed="false">
      <c r="A277" s="5" t="s">
        <v>426</v>
      </c>
      <c r="B277" s="0" t="s">
        <v>27</v>
      </c>
      <c r="C277" s="13" t="n">
        <f aca="false">q1_ni</f>
        <v>0.112</v>
      </c>
      <c r="D277" s="13" t="n">
        <f aca="false">q2_ni</f>
        <v>0.803</v>
      </c>
      <c r="E277" s="13" t="n">
        <f aca="false">q3_ni</f>
        <v>3.615</v>
      </c>
      <c r="F277" s="13" t="n">
        <f aca="false">q4_ni</f>
        <v>6.903</v>
      </c>
      <c r="G277" s="13" t="n">
        <f aca="false">(G275+rf*$D298/4)*(1-tax)</f>
        <v>7.51821238283487</v>
      </c>
      <c r="H277" s="13" t="n">
        <f aca="false">(H275+rf*$D298/4)*(1-tax)</f>
        <v>8.68120785115689</v>
      </c>
      <c r="I277" s="13" t="n">
        <f aca="false">(I275+rf*$D298/4)*(1-tax)</f>
        <v>9.67896105516743</v>
      </c>
      <c r="J277" s="13" t="n">
        <f aca="false">(J275+rf*$D298/4)*(1-tax)</f>
        <v>10.2868101061891</v>
      </c>
      <c r="K277" s="13" t="n">
        <f aca="false">(K275+rf*$E298/4)*(1-tax)</f>
        <v>10.4268097935976</v>
      </c>
      <c r="L277" s="13" t="n">
        <f aca="false">(L275+rf*$E298/4)*(1-tax)</f>
        <v>10.1648900584994</v>
      </c>
      <c r="M277" s="13" t="n">
        <f aca="false">(M275+rf*$E298/4)*(1-tax)</f>
        <v>10.1597388852804</v>
      </c>
      <c r="N277" s="13" t="n">
        <f aca="false">(N275+rf*$E298/4)*(1-tax)</f>
        <v>10.1531183801772</v>
      </c>
      <c r="O277" s="13" t="n">
        <f aca="false">(O275+rf*$F298/4)*(1-tax)</f>
        <v>10.3047749212987</v>
      </c>
      <c r="P277" s="13" t="n">
        <f aca="false">(P275+rf*$F298/4)*(1-tax)</f>
        <v>10.2950685106968</v>
      </c>
      <c r="Q277" s="13" t="n">
        <f aca="false">(Q275+rf*$F298/4)*(1-tax)</f>
        <v>10.386233181683</v>
      </c>
      <c r="R277" s="13" t="n">
        <f aca="false">(R275+rf*$F298/4)*(1-tax)</f>
        <v>10.5713197052818</v>
      </c>
      <c r="T277" s="5" t="s">
        <v>470</v>
      </c>
    </row>
    <row r="278" customFormat="false" ht="17.15" hidden="false" customHeight="false" outlineLevel="0" collapsed="false">
      <c r="A278" s="5" t="s">
        <v>471</v>
      </c>
      <c r="B278" s="0" t="s">
        <v>40</v>
      </c>
      <c r="G278" s="15" t="n">
        <f aca="false">G277/(sh0+dil)*1000</f>
        <v>49.7894859790389</v>
      </c>
      <c r="H278" s="15" t="n">
        <f aca="false">H277/(sh0+dil)*1000</f>
        <v>57.4914427228933</v>
      </c>
      <c r="I278" s="15" t="n">
        <f aca="false">I277/(sh0+dil)*1000</f>
        <v>64.0990798355459</v>
      </c>
      <c r="J278" s="15" t="n">
        <f aca="false">J277/(sh0+dil)*1000</f>
        <v>68.1245702396632</v>
      </c>
      <c r="K278" s="15" t="n">
        <f aca="false">K277/(sh0+dil)*1000</f>
        <v>69.0517204874016</v>
      </c>
      <c r="L278" s="15" t="n">
        <f aca="false">L277/(sh0+dil)*1000</f>
        <v>67.3171527052938</v>
      </c>
      <c r="M278" s="15" t="n">
        <f aca="false">M277/(sh0+dil)*1000</f>
        <v>67.2830389753668</v>
      </c>
      <c r="N278" s="15" t="n">
        <f aca="false">N277/(sh0+dil)*1000</f>
        <v>67.2391945707098</v>
      </c>
      <c r="O278" s="15" t="n">
        <f aca="false">O277/(sh0+dil)*1000</f>
        <v>68.2435425251569</v>
      </c>
      <c r="P278" s="15" t="n">
        <f aca="false">P277/(sh0+dil)*1000</f>
        <v>68.1792616602434</v>
      </c>
      <c r="Q278" s="15" t="n">
        <f aca="false">Q277/(sh0+dil)*1000</f>
        <v>68.7830012031983</v>
      </c>
      <c r="R278" s="15" t="n">
        <f aca="false">R277/(sh0+dil)*1000</f>
        <v>70.0087397700783</v>
      </c>
    </row>
    <row r="280" customFormat="false" ht="17.15" hidden="false" customHeight="false" outlineLevel="0" collapsed="false">
      <c r="A280" s="12" t="s">
        <v>472</v>
      </c>
      <c r="B280" s="6" t="s">
        <v>17</v>
      </c>
      <c r="C280" s="12" t="s">
        <v>413</v>
      </c>
      <c r="D280" s="12" t="s">
        <v>414</v>
      </c>
      <c r="E280" s="12" t="s">
        <v>415</v>
      </c>
      <c r="F280" s="12" t="s">
        <v>416</v>
      </c>
      <c r="G280" s="12" t="s">
        <v>417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321</v>
      </c>
    </row>
    <row r="281" customFormat="false" ht="15" hidden="false" customHeight="false" outlineLevel="0" collapsed="false">
      <c r="A281" s="5" t="s">
        <v>344</v>
      </c>
      <c r="B281" s="0" t="s">
        <v>27</v>
      </c>
      <c r="C281" s="13" t="n">
        <f aca="false">a25_rev</f>
        <v>7.355</v>
      </c>
      <c r="D281" s="13" t="n">
        <f aca="false">SUM(C264:F264)</f>
        <v>20.248</v>
      </c>
      <c r="E281" s="13" t="n">
        <f aca="false">SUM(G264:J264)</f>
        <v>51.7136584082017</v>
      </c>
      <c r="F281" s="13" t="n">
        <f aca="false">SUM(K264:N264)</f>
        <v>57.7623149225535</v>
      </c>
      <c r="G281" s="13" t="n">
        <f aca="false">SUM(O264:R264)</f>
        <v>58.8959147974292</v>
      </c>
    </row>
    <row r="282" customFormat="false" ht="15" hidden="false" customHeight="false" outlineLevel="0" collapsed="false">
      <c r="A282" s="5" t="s">
        <v>473</v>
      </c>
      <c r="B282" s="0" t="s">
        <v>27</v>
      </c>
      <c r="D282" s="13" t="n">
        <f aca="false">SUM(C265:F265)</f>
        <v>5.153</v>
      </c>
      <c r="E282" s="13" t="n">
        <f aca="false">SUM(G265:J265)</f>
        <v>19.6511901951166</v>
      </c>
      <c r="F282" s="13" t="n">
        <f aca="false">SUM(K265:N265)</f>
        <v>24.2601722674725</v>
      </c>
      <c r="G282" s="13" t="n">
        <f aca="false">SUM(O265:R265)</f>
        <v>26.5031616588432</v>
      </c>
    </row>
    <row r="283" customFormat="false" ht="17.15" hidden="false" customHeight="false" outlineLevel="0" collapsed="false">
      <c r="A283" s="5" t="s">
        <v>474</v>
      </c>
      <c r="B283" s="0" t="s">
        <v>27</v>
      </c>
      <c r="D283" s="13" t="n">
        <f aca="false">SUM(C266:F266)</f>
        <v>3.36063827543424</v>
      </c>
      <c r="E283" s="13" t="n">
        <f aca="false">SUM(G266:J266)</f>
        <v>15.5813567004332</v>
      </c>
      <c r="F283" s="13" t="n">
        <f aca="false">SUM(K266:N266)</f>
        <v>20.4574650024327</v>
      </c>
      <c r="G283" s="13" t="n">
        <f aca="false">SUM(O266:R266)</f>
        <v>22.9294522667437</v>
      </c>
    </row>
    <row r="284" customFormat="false" ht="15" hidden="false" customHeight="false" outlineLevel="0" collapsed="false">
      <c r="A284" s="5" t="s">
        <v>475</v>
      </c>
      <c r="B284" s="0" t="s">
        <v>27</v>
      </c>
      <c r="D284" s="13" t="n">
        <f aca="false">SUM(C269:F269)</f>
        <v>12.16</v>
      </c>
      <c r="E284" s="13" t="n">
        <f aca="false">SUM(G269:J269)</f>
        <v>28.9596487085929</v>
      </c>
      <c r="F284" s="13" t="n">
        <f aca="false">SUM(K269:N269)</f>
        <v>30.0364037597278</v>
      </c>
      <c r="G284" s="13" t="n">
        <f aca="false">SUM(O269:R269)</f>
        <v>28.8589982507403</v>
      </c>
    </row>
    <row r="285" customFormat="false" ht="15" hidden="false" customHeight="false" outlineLevel="0" collapsed="false">
      <c r="A285" s="5" t="s">
        <v>476</v>
      </c>
      <c r="B285" s="0" t="s">
        <v>27</v>
      </c>
      <c r="D285" s="13" t="n">
        <f aca="false">SUM(C268:F268)</f>
        <v>2.935</v>
      </c>
      <c r="E285" s="13" t="n">
        <f aca="false">SUM(G268:J268)</f>
        <v>3.1028195044921</v>
      </c>
      <c r="F285" s="13" t="n">
        <f aca="false">SUM(K268:N268)</f>
        <v>3.46573889535321</v>
      </c>
      <c r="G285" s="13" t="n">
        <f aca="false">SUM(O268:R268)</f>
        <v>3.53375488784575</v>
      </c>
    </row>
    <row r="286" customFormat="false" ht="17.15" hidden="false" customHeight="false" outlineLevel="0" collapsed="false">
      <c r="A286" s="5" t="s">
        <v>477</v>
      </c>
      <c r="B286" s="0" t="s">
        <v>27</v>
      </c>
      <c r="D286" s="18" t="n">
        <f aca="false">D282+D284+D285-D281+ABS(D282-a26_dc)+ABS(D284-a26_ed)+ABS(D285-a26_cs)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467</v>
      </c>
      <c r="B287" s="0" t="s">
        <v>27</v>
      </c>
      <c r="D287" s="13" t="n">
        <f aca="false">SUM(C272:F272)</f>
        <v>5.771301</v>
      </c>
      <c r="E287" s="13" t="n">
        <f aca="false">SUM(G272:J272)</f>
        <v>6.88360900547923</v>
      </c>
      <c r="F287" s="13" t="n">
        <f aca="false">SUM(K272:N272)</f>
        <v>7.76489113102722</v>
      </c>
      <c r="G287" s="13" t="n">
        <f aca="false">SUM(O272:R272)</f>
        <v>8.65591328164499</v>
      </c>
    </row>
    <row r="288" customFormat="false" ht="15" hidden="false" customHeight="false" outlineLevel="0" collapsed="false">
      <c r="A288" s="5" t="s">
        <v>423</v>
      </c>
      <c r="B288" s="0" t="s">
        <v>33</v>
      </c>
      <c r="D288" s="14" t="n">
        <f aca="false">1-D287/D281</f>
        <v>0.714969330304228</v>
      </c>
      <c r="E288" s="14" t="n">
        <f aca="false">1-E287/E281</f>
        <v>0.86688992391249</v>
      </c>
      <c r="F288" s="14" t="n">
        <f aca="false">1-F287/F281</f>
        <v>0.865571676941303</v>
      </c>
      <c r="G288" s="14" t="n">
        <f aca="false">1-G287/G281</f>
        <v>0.853030327970679</v>
      </c>
    </row>
    <row r="289" customFormat="false" ht="15" hidden="false" customHeight="false" outlineLevel="0" collapsed="false">
      <c r="A289" s="5" t="s">
        <v>468</v>
      </c>
      <c r="B289" s="0" t="s">
        <v>27</v>
      </c>
      <c r="D289" s="13" t="n">
        <f aca="false">SUM(C274:F274)</f>
        <v>2.087699</v>
      </c>
      <c r="E289" s="13" t="n">
        <f aca="false">SUM(G274:J274)</f>
        <v>2.473245408195</v>
      </c>
      <c r="F289" s="13" t="n">
        <f aca="false">SUM(K274:N274)</f>
        <v>2.72934285574982</v>
      </c>
      <c r="G289" s="13" t="n">
        <f aca="false">SUM(O274:R274)</f>
        <v>2.955850825151</v>
      </c>
    </row>
    <row r="290" customFormat="false" ht="15" hidden="false" customHeight="false" outlineLevel="0" collapsed="false">
      <c r="A290" s="5" t="s">
        <v>424</v>
      </c>
      <c r="B290" s="0" t="s">
        <v>27</v>
      </c>
      <c r="D290" s="13" t="n">
        <f aca="false">SUM(C275:F275)</f>
        <v>12.389</v>
      </c>
      <c r="E290" s="13" t="n">
        <f aca="false">SUM(G275:J275)</f>
        <v>42.3568039945275</v>
      </c>
      <c r="F290" s="13" t="n">
        <f aca="false">SUM(K275:N275)</f>
        <v>47.2680809357765</v>
      </c>
      <c r="G290" s="13" t="n">
        <f aca="false">SUM(O275:R275)</f>
        <v>47.2841506906332</v>
      </c>
    </row>
    <row r="291" customFormat="false" ht="15" hidden="false" customHeight="false" outlineLevel="0" collapsed="false">
      <c r="A291" s="5" t="s">
        <v>425</v>
      </c>
      <c r="B291" s="0" t="s">
        <v>33</v>
      </c>
      <c r="D291" s="14" t="n">
        <f aca="false">D290/D281</f>
        <v>0.61186290003951</v>
      </c>
      <c r="E291" s="14" t="n">
        <f aca="false">E290/E281</f>
        <v>0.819064156323733</v>
      </c>
      <c r="F291" s="14" t="n">
        <f aca="false">F290/F281</f>
        <v>0.818320404906772</v>
      </c>
      <c r="G291" s="14" t="n">
        <f aca="false">G290/G281</f>
        <v>0.802842622502184</v>
      </c>
    </row>
    <row r="292" customFormat="false" ht="15" hidden="false" customHeight="false" outlineLevel="0" collapsed="false">
      <c r="A292" s="5" t="s">
        <v>426</v>
      </c>
      <c r="B292" s="0" t="s">
        <v>27</v>
      </c>
      <c r="C292" s="13" t="n">
        <f aca="false">a25_ni</f>
        <v>-1.641</v>
      </c>
      <c r="D292" s="13" t="n">
        <f aca="false">SUM(C277:F277)</f>
        <v>11.433</v>
      </c>
      <c r="E292" s="13" t="n">
        <f aca="false">SUM(G277:J277)</f>
        <v>36.1651913953483</v>
      </c>
      <c r="F292" s="13" t="n">
        <f aca="false">SUM(K277:N277)</f>
        <v>40.9045571175546</v>
      </c>
      <c r="G292" s="13" t="n">
        <f aca="false">SUM(O277:R277)</f>
        <v>41.5573963189602</v>
      </c>
    </row>
    <row r="293" customFormat="false" ht="15" hidden="false" customHeight="false" outlineLevel="0" collapsed="false">
      <c r="A293" s="5" t="s">
        <v>478</v>
      </c>
      <c r="B293" s="0" t="s">
        <v>27</v>
      </c>
      <c r="D293" s="13" t="n">
        <f aca="false">da_y</f>
        <v>0.16</v>
      </c>
      <c r="E293" s="13" t="n">
        <f aca="false">da_y</f>
        <v>0.16</v>
      </c>
      <c r="F293" s="13" t="n">
        <f aca="false">da_y</f>
        <v>0.16</v>
      </c>
      <c r="G293" s="13" t="n">
        <f aca="false">da_y</f>
        <v>0.16</v>
      </c>
    </row>
    <row r="294" customFormat="false" ht="17.15" hidden="false" customHeight="false" outlineLevel="0" collapsed="false">
      <c r="A294" s="5" t="s">
        <v>479</v>
      </c>
      <c r="B294" s="0" t="s">
        <v>27</v>
      </c>
      <c r="D294" s="13" t="n">
        <v>0.562</v>
      </c>
      <c r="E294" s="13" t="n">
        <f aca="false">cap_r*E281</f>
        <v>3.1028195044921</v>
      </c>
      <c r="F294" s="13" t="n">
        <f aca="false">cap_r*F281</f>
        <v>3.46573889535321</v>
      </c>
      <c r="G294" s="13" t="n">
        <f aca="false">cap_r*G281</f>
        <v>3.53375488784575</v>
      </c>
      <c r="T294" s="8" t="s">
        <v>480</v>
      </c>
    </row>
    <row r="295" customFormat="false" ht="15" hidden="false" customHeight="false" outlineLevel="0" collapsed="false">
      <c r="A295" s="5" t="s">
        <v>481</v>
      </c>
      <c r="B295" s="0" t="s">
        <v>27</v>
      </c>
      <c r="D295" s="13" t="n">
        <f aca="false">D292+D293-D294</f>
        <v>11.031</v>
      </c>
      <c r="E295" s="13" t="n">
        <f aca="false">E292+E293-E294</f>
        <v>33.2223718908562</v>
      </c>
      <c r="F295" s="13" t="n">
        <f aca="false">F292+F293-F294</f>
        <v>37.5988182222014</v>
      </c>
      <c r="G295" s="13" t="n">
        <f aca="false">G292+G293-G294</f>
        <v>38.1836414311145</v>
      </c>
    </row>
    <row r="296" customFormat="false" ht="17.15" hidden="false" customHeight="false" outlineLevel="0" collapsed="false">
      <c r="A296" s="5" t="s">
        <v>482</v>
      </c>
      <c r="B296" s="0" t="s">
        <v>27</v>
      </c>
      <c r="D296" s="13" t="n">
        <v>4.524</v>
      </c>
      <c r="E296" s="13" t="n">
        <f aca="false">MAX(0,payout*E295)</f>
        <v>16.6111859454281</v>
      </c>
      <c r="F296" s="13" t="n">
        <f aca="false">MAX(0,payout*F295)</f>
        <v>18.7994091111007</v>
      </c>
      <c r="G296" s="13" t="n">
        <f aca="false">MAX(0,payout*G295)</f>
        <v>19.0918207155572</v>
      </c>
      <c r="T296" s="8" t="s">
        <v>483</v>
      </c>
    </row>
    <row r="297" customFormat="false" ht="15" hidden="false" customHeight="false" outlineLevel="0" collapsed="false">
      <c r="A297" s="5" t="s">
        <v>484</v>
      </c>
      <c r="B297" s="0" t="s">
        <v>27</v>
      </c>
      <c r="D297" s="13" t="n">
        <f aca="false">eq0</f>
        <v>15.736</v>
      </c>
      <c r="E297" s="13" t="n">
        <f aca="false">D297+E292-E296</f>
        <v>35.2900054499202</v>
      </c>
      <c r="F297" s="13" t="n">
        <f aca="false">E297+F292-F296</f>
        <v>57.3951534563741</v>
      </c>
      <c r="G297" s="13" t="n">
        <f aca="false">F297+G292-G296</f>
        <v>79.8607290597771</v>
      </c>
    </row>
    <row r="298" customFormat="false" ht="15" hidden="false" customHeight="false" outlineLevel="0" collapsed="false">
      <c r="A298" s="5" t="s">
        <v>485</v>
      </c>
      <c r="B298" s="0" t="s">
        <v>27</v>
      </c>
      <c r="D298" s="13" t="n">
        <f aca="false">nc0</f>
        <v>4.762</v>
      </c>
      <c r="E298" s="13" t="n">
        <f aca="false">D298+E295-E296</f>
        <v>21.3731859454281</v>
      </c>
      <c r="F298" s="13" t="n">
        <f aca="false">E298+F295-F296</f>
        <v>40.1725950565288</v>
      </c>
      <c r="G298" s="13" t="n">
        <f aca="false">F298+G295-G296</f>
        <v>59.264415772086</v>
      </c>
    </row>
    <row r="299" customFormat="false" ht="15" hidden="false" customHeight="false" outlineLevel="0" collapsed="false">
      <c r="A299" s="5" t="s">
        <v>486</v>
      </c>
      <c r="B299" s="5" t="s">
        <v>152</v>
      </c>
      <c r="D299" s="20" t="n">
        <f aca="false">sh0</f>
        <v>146.42</v>
      </c>
      <c r="E299" s="20" t="n">
        <f aca="false">D299-E296/bb_px*1000</f>
        <v>133.002565894665</v>
      </c>
      <c r="F299" s="20" t="n">
        <f aca="false">E299-F296/bb_px*1000</f>
        <v>117.817627637029</v>
      </c>
      <c r="G299" s="20" t="n">
        <f aca="false">F299-G296/bb_px*1000</f>
        <v>102.396498330343</v>
      </c>
    </row>
    <row r="300" customFormat="false" ht="17.15" hidden="false" customHeight="false" outlineLevel="0" collapsed="false">
      <c r="A300" s="0" t="s">
        <v>487</v>
      </c>
      <c r="B300" s="0" t="s">
        <v>40</v>
      </c>
      <c r="C300" s="15" t="n">
        <f aca="false">a25_eps</f>
        <v>-11.32</v>
      </c>
      <c r="D300" s="15" t="n">
        <f aca="false">a26_eps</f>
        <v>73.76</v>
      </c>
      <c r="E300" s="15" t="n">
        <f aca="false">E292/(E299+dil)*1000</f>
        <v>262.861730773628</v>
      </c>
      <c r="F300" s="15" t="n">
        <f aca="false">F292/(F299+dil)*1000</f>
        <v>334.194035515601</v>
      </c>
      <c r="G300" s="15" t="n">
        <f aca="false">G292/(G299+dil)*1000</f>
        <v>388.472206209548</v>
      </c>
    </row>
    <row r="301" customFormat="false" ht="17.15" hidden="false" customHeight="false" outlineLevel="0" collapsed="false">
      <c r="A301" s="5" t="s">
        <v>488</v>
      </c>
      <c r="B301" s="0" t="s">
        <v>40</v>
      </c>
      <c r="D301" s="15" t="n">
        <f aca="false">D297/D299*1000</f>
        <v>107.471656877476</v>
      </c>
      <c r="E301" s="15" t="n">
        <f aca="false">E297/E299*1000</f>
        <v>265.333267915065</v>
      </c>
      <c r="F301" s="15" t="n">
        <f aca="false">F297/F299*1000</f>
        <v>487.152513656074</v>
      </c>
      <c r="G301" s="15" t="n">
        <f aca="false">G297/G299*1000</f>
        <v>779.916602246861</v>
      </c>
    </row>
    <row r="302" customFormat="false" ht="17.15" hidden="false" customHeight="false" outlineLevel="0" collapsed="false">
      <c r="A302" s="0" t="s">
        <v>489</v>
      </c>
      <c r="B302" s="0" t="s">
        <v>33</v>
      </c>
      <c r="D302" s="21" t="n">
        <f aca="false">D292/D297</f>
        <v>0.72655058464667</v>
      </c>
      <c r="E302" s="21" t="n">
        <f aca="false">E292/E297</f>
        <v>1.02479982460388</v>
      </c>
      <c r="F302" s="21" t="n">
        <f aca="false">F292/F297</f>
        <v>0.712683121383167</v>
      </c>
      <c r="G302" s="21" t="n">
        <f aca="false">G292/G297</f>
        <v>0.520373365084782</v>
      </c>
    </row>
    <row r="303" customFormat="false" ht="15" hidden="false" customHeight="false" outlineLevel="0" collapsed="false">
      <c r="A303" s="5" t="s">
        <v>490</v>
      </c>
      <c r="B303" s="0" t="s">
        <v>40</v>
      </c>
      <c r="E303" s="15" t="n">
        <f aca="false">E295/(E299+dil)*1000</f>
        <v>241.472251042997</v>
      </c>
      <c r="F303" s="15" t="n">
        <f aca="false">F295/(F299+dil)*1000</f>
        <v>307.185841327749</v>
      </c>
      <c r="G303" s="15" t="n">
        <f aca="false">G295/(G299+dil)*1000</f>
        <v>356.934859778301</v>
      </c>
    </row>
    <row r="304" customFormat="false" ht="17.15" hidden="false" customHeight="false" outlineLevel="0" collapsed="false">
      <c r="A304" s="5" t="s">
        <v>491</v>
      </c>
      <c r="B304" s="0" t="s">
        <v>27</v>
      </c>
      <c r="D304" s="18" t="n">
        <f aca="false">ABS(D281-a26_rev)+ABS(D292-a26_ni)</f>
        <v>0</v>
      </c>
    </row>
    <row r="310" customFormat="false" ht="17.15" hidden="false" customHeight="false" outlineLevel="0" collapsed="false">
      <c r="A310" s="3" t="s">
        <v>803</v>
      </c>
    </row>
    <row r="311" customFormat="false" ht="17.15" hidden="false" customHeight="false" outlineLevel="0" collapsed="false">
      <c r="A311" s="12" t="s">
        <v>434</v>
      </c>
      <c r="B311" s="6" t="s">
        <v>17</v>
      </c>
      <c r="C311" s="12" t="s">
        <v>435</v>
      </c>
      <c r="D311" s="12" t="s">
        <v>436</v>
      </c>
      <c r="E311" s="12" t="s">
        <v>437</v>
      </c>
      <c r="F311" s="12" t="s">
        <v>438</v>
      </c>
      <c r="G311" s="12" t="s">
        <v>439</v>
      </c>
      <c r="H311" s="12" t="s">
        <v>440</v>
      </c>
      <c r="I311" s="12" t="s">
        <v>441</v>
      </c>
      <c r="J311" s="12" t="s">
        <v>442</v>
      </c>
      <c r="K311" s="12" t="s">
        <v>443</v>
      </c>
      <c r="L311" s="12" t="s">
        <v>444</v>
      </c>
      <c r="M311" s="12" t="s">
        <v>445</v>
      </c>
      <c r="N311" s="12" t="s">
        <v>446</v>
      </c>
      <c r="O311" s="12" t="s">
        <v>447</v>
      </c>
      <c r="P311" s="12" t="s">
        <v>448</v>
      </c>
      <c r="Q311" s="12" t="s">
        <v>449</v>
      </c>
      <c r="R311" s="12" t="s">
        <v>450</v>
      </c>
      <c r="S311" s="12"/>
      <c r="T311" s="6" t="s">
        <v>321</v>
      </c>
    </row>
    <row r="312" customFormat="false" ht="17.15" hidden="false" customHeight="false" outlineLevel="0" collapsed="false">
      <c r="A312" s="5" t="s">
        <v>451</v>
      </c>
      <c r="B312" s="0" t="s">
        <v>27</v>
      </c>
      <c r="C312" s="13" t="n">
        <f aca="false">Units!E4*1</f>
        <v>2.31</v>
      </c>
      <c r="D312" s="13" t="n">
        <f aca="false">Units!F4*1</f>
        <v>3.03</v>
      </c>
      <c r="E312" s="13" t="n">
        <f aca="false">Units!G4*1</f>
        <v>5.95</v>
      </c>
      <c r="F312" s="13" t="n">
        <f aca="false">Units!H4*1</f>
        <v>8.97</v>
      </c>
      <c r="G312" s="13" t="n">
        <f aca="false">Units!I4*1</f>
        <v>11.0371522587842</v>
      </c>
      <c r="H312" s="13" t="n">
        <f aca="false">Units!J4*1*1</f>
        <v>12.4602118149868</v>
      </c>
      <c r="I312" s="13" t="n">
        <f aca="false">Units!K4*1*1</f>
        <v>13.7296281882931</v>
      </c>
      <c r="J312" s="13" t="n">
        <f aca="false">Units!L4*1*1</f>
        <v>14.5173143040247</v>
      </c>
      <c r="K312" s="13" t="n">
        <f aca="false">Units!M4*1*1</f>
        <v>14.5826814190399</v>
      </c>
      <c r="L312" s="13" t="n">
        <f aca="false">Units!N4*1*1</f>
        <v>14.3399566970533</v>
      </c>
      <c r="M312" s="13" t="n">
        <f aca="false">Units!O4*1*1</f>
        <v>14.4045252239239</v>
      </c>
      <c r="N312" s="13" t="n">
        <f aca="false">Units!P4*1*1</f>
        <v>14.4693844835178</v>
      </c>
      <c r="O312" s="13" t="n">
        <f aca="false">Units!Q4*1*1</f>
        <v>14.5345357849173</v>
      </c>
      <c r="P312" s="13" t="n">
        <f aca="false">Units!R4*1*1</f>
        <v>14.5999804430991</v>
      </c>
      <c r="Q312" s="13" t="n">
        <f aca="false">Units!S4*1*1</f>
        <v>14.7547352450932</v>
      </c>
      <c r="R312" s="13" t="n">
        <f aca="false">Units!T4*1*1</f>
        <v>15.0415680545433</v>
      </c>
      <c r="T312" s="8" t="s">
        <v>452</v>
      </c>
    </row>
    <row r="313" customFormat="false" ht="15" hidden="false" customHeight="false" outlineLevel="0" collapsed="false">
      <c r="A313" s="5" t="s">
        <v>453</v>
      </c>
      <c r="B313" s="0" t="s">
        <v>386</v>
      </c>
      <c r="C313" s="13" t="n">
        <f aca="false">Units!E7*1</f>
        <v>31.1552804325753</v>
      </c>
      <c r="D313" s="13" t="n">
        <f aca="false">Units!F7*1</f>
        <v>33.5147228924475</v>
      </c>
      <c r="E313" s="13" t="n">
        <f aca="false">Units!G7*1</f>
        <v>38.0693331650007</v>
      </c>
      <c r="F313" s="13" t="n">
        <f aca="false">Units!H7*1</f>
        <v>33.6172154529341</v>
      </c>
      <c r="G313" s="13" t="n">
        <f aca="false">Units!I7*1</f>
        <v>33.0914894510934</v>
      </c>
      <c r="H313" s="13" t="n">
        <f aca="false">Units!J7*1</f>
        <v>34.5588285485368</v>
      </c>
      <c r="I313" s="13" t="n">
        <f aca="false">Units!K7*1</f>
        <v>36.9704842497676</v>
      </c>
      <c r="J313" s="13" t="n">
        <f aca="false">Units!L7*1</f>
        <v>39.0915276411862</v>
      </c>
      <c r="K313" s="13" t="n">
        <f aca="false">Units!M7*1</f>
        <v>41.3342579717828</v>
      </c>
      <c r="L313" s="13" t="n">
        <f aca="false">Units!N7*1</f>
        <v>43.7056565750022</v>
      </c>
      <c r="M313" s="13" t="n">
        <f aca="false">Units!O7*1</f>
        <v>46.2131053122095</v>
      </c>
      <c r="N313" s="13" t="n">
        <f aca="false">Units!P7*1</f>
        <v>48.8644095514828</v>
      </c>
      <c r="O313" s="13" t="n">
        <f aca="false">Units!Q7*1</f>
        <v>51.6678224647285</v>
      </c>
      <c r="P313" s="13" t="n">
        <f aca="false">Units!R7*1</f>
        <v>54.6320707187528</v>
      </c>
      <c r="Q313" s="13" t="n">
        <f aca="false">Units!S7*1</f>
        <v>56.9187133953845</v>
      </c>
      <c r="R313" s="13" t="n">
        <f aca="false">Units!T7*1</f>
        <v>59.8198104136917</v>
      </c>
    </row>
    <row r="314" customFormat="false" ht="17.15" hidden="false" customHeight="false" outlineLevel="0" collapsed="false">
      <c r="A314" s="5" t="s">
        <v>344</v>
      </c>
      <c r="B314" s="0" t="s">
        <v>27</v>
      </c>
      <c r="C314" s="13" t="n">
        <f aca="false">q1_rev</f>
        <v>2.308</v>
      </c>
      <c r="D314" s="13" t="n">
        <f aca="false">q2_rev</f>
        <v>3.025</v>
      </c>
      <c r="E314" s="13" t="n">
        <f aca="false">q3_rev</f>
        <v>5.95</v>
      </c>
      <c r="F314" s="13" t="n">
        <f aca="false">q4_rev</f>
        <v>8.965</v>
      </c>
      <c r="G314" s="13" t="n">
        <f aca="false">G312*sd_k</f>
        <v>11.0306149524118</v>
      </c>
      <c r="H314" s="13" t="n">
        <f aca="false">H312*sd_k</f>
        <v>12.4528316302988</v>
      </c>
      <c r="I314" s="13" t="n">
        <f aca="false">I312*sd_k</f>
        <v>13.7214961281618</v>
      </c>
      <c r="J314" s="13" t="n">
        <f aca="false">J312*sd_k</f>
        <v>14.5087156973293</v>
      </c>
      <c r="K314" s="13" t="n">
        <f aca="false">K312*sd_k</f>
        <v>14.5740440953959</v>
      </c>
      <c r="L314" s="13" t="n">
        <f aca="false">L312*sd_k</f>
        <v>14.331463139286</v>
      </c>
      <c r="M314" s="13" t="n">
        <f aca="false">M312*sd_k</f>
        <v>14.3959934222118</v>
      </c>
      <c r="N314" s="13" t="n">
        <f aca="false">N312*sd_k</f>
        <v>14.4608142656598</v>
      </c>
      <c r="O314" s="13" t="n">
        <f aca="false">O312*sd_k</f>
        <v>14.5259269779371</v>
      </c>
      <c r="P314" s="13" t="n">
        <f aca="false">P312*sd_k</f>
        <v>14.5913328732414</v>
      </c>
      <c r="Q314" s="13" t="n">
        <f aca="false">Q312*sd_k</f>
        <v>14.745996013951</v>
      </c>
      <c r="R314" s="13" t="n">
        <f aca="false">R312*sd_k</f>
        <v>15.0326589322997</v>
      </c>
      <c r="T314" s="5" t="s">
        <v>454</v>
      </c>
    </row>
    <row r="315" customFormat="false" ht="17.15" hidden="false" customHeight="false" outlineLevel="0" collapsed="false">
      <c r="A315" s="5" t="s">
        <v>455</v>
      </c>
      <c r="B315" s="0" t="s">
        <v>27</v>
      </c>
      <c r="C315" s="13" t="n">
        <f aca="false">q1_dc</f>
        <v>0.269</v>
      </c>
      <c r="D315" s="13" t="n">
        <f aca="false">q2_dc</f>
        <v>0.44</v>
      </c>
      <c r="E315" s="13" t="n">
        <f aca="false">q3_dc</f>
        <v>1.467</v>
      </c>
      <c r="F315" s="13" t="n">
        <f aca="false">q4_dc</f>
        <v>2.977</v>
      </c>
      <c r="G315" s="13" t="n">
        <f aca="false">G314*dcsh_27</f>
        <v>4.19163368191647</v>
      </c>
      <c r="H315" s="13" t="n">
        <f aca="false">H314*dcsh_27</f>
        <v>4.73207601951353</v>
      </c>
      <c r="I315" s="13" t="n">
        <f aca="false">I314*dcsh_27</f>
        <v>5.2141685287015</v>
      </c>
      <c r="J315" s="13" t="n">
        <f aca="false">J314*dcsh_27</f>
        <v>5.51331196498514</v>
      </c>
      <c r="K315" s="13" t="n">
        <f aca="false">K314*dcsh_28</f>
        <v>6.12109852006626</v>
      </c>
      <c r="L315" s="13" t="n">
        <f aca="false">L314*dcsh_28</f>
        <v>6.01921451850014</v>
      </c>
      <c r="M315" s="13" t="n">
        <f aca="false">M314*dcsh_28</f>
        <v>6.04631723732896</v>
      </c>
      <c r="N315" s="13" t="n">
        <f aca="false">N314*dcsh_28</f>
        <v>6.07354199157713</v>
      </c>
      <c r="O315" s="13" t="n">
        <f aca="false">O314*dcsh_29</f>
        <v>6.53666714007169</v>
      </c>
      <c r="P315" s="13" t="n">
        <f aca="false">P314*dcsh_29</f>
        <v>6.56609979295863</v>
      </c>
      <c r="Q315" s="13" t="n">
        <f aca="false">Q314*dcsh_29</f>
        <v>6.63569820627795</v>
      </c>
      <c r="R315" s="13" t="n">
        <f aca="false">R314*dcsh_29</f>
        <v>6.76469651953488</v>
      </c>
      <c r="T315" s="5" t="s">
        <v>456</v>
      </c>
    </row>
    <row r="316" customFormat="false" ht="17.15" hidden="false" customHeight="false" outlineLevel="0" collapsed="false">
      <c r="A316" s="5" t="s">
        <v>457</v>
      </c>
      <c r="B316" s="0" t="s">
        <v>27</v>
      </c>
      <c r="C316" s="13" t="n">
        <f aca="false">C315*(Units!C16+Units!D16)/2</f>
        <v>0.17543405707196</v>
      </c>
      <c r="D316" s="13" t="n">
        <f aca="false">D315*(Units!C16+Units!D16)/2</f>
        <v>0.286955334987593</v>
      </c>
      <c r="E316" s="13" t="n">
        <f aca="false">E315*(Units!C16+Units!D16)/2</f>
        <v>0.956735173697271</v>
      </c>
      <c r="F316" s="13" t="n">
        <f aca="false">F315*(Units!C16+Units!D16)/2</f>
        <v>1.94151370967742</v>
      </c>
      <c r="G316" s="13" t="n">
        <f aca="false">G315*(Units!D16+Units!E16)/2</f>
        <v>3.32353098753891</v>
      </c>
      <c r="H316" s="13" t="n">
        <f aca="false">H315*(Units!D16+Units!E16)/2</f>
        <v>3.75204573674775</v>
      </c>
      <c r="I316" s="13" t="n">
        <f aca="false">I315*(Units!D16+Units!E16)/2</f>
        <v>4.13429512081464</v>
      </c>
      <c r="J316" s="13" t="n">
        <f aca="false">J315*(Units!D16+Units!E16)/2</f>
        <v>4.37148485533195</v>
      </c>
      <c r="K316" s="13" t="n">
        <f aca="false">K315*(Units!E16+Units!F16)/2</f>
        <v>5.16163518420655</v>
      </c>
      <c r="L316" s="13" t="n">
        <f aca="false">L315*(Units!E16+Units!F16)/2</f>
        <v>5.07572118601366</v>
      </c>
      <c r="M316" s="13" t="n">
        <f aca="false">M315*(Units!E16+Units!F16)/2</f>
        <v>5.09857563716094</v>
      </c>
      <c r="N316" s="13" t="n">
        <f aca="false">N315*(Units!E16+Units!F16)/2</f>
        <v>5.12153299505153</v>
      </c>
      <c r="O316" s="13" t="n">
        <f aca="false">O315*(Units!F16+Units!G16)/2</f>
        <v>5.65525725199112</v>
      </c>
      <c r="P316" s="13" t="n">
        <f aca="false">P315*(Units!F16+Units!G16)/2</f>
        <v>5.68072118033831</v>
      </c>
      <c r="Q316" s="13" t="n">
        <f aca="false">Q315*(Units!F16+Units!G16)/2</f>
        <v>5.7409348830123</v>
      </c>
      <c r="R316" s="13" t="n">
        <f aca="false">R315*(Units!F16+Units!G16)/2</f>
        <v>5.85253895140195</v>
      </c>
      <c r="T316" s="5" t="s">
        <v>458</v>
      </c>
    </row>
    <row r="317" customFormat="false" ht="17.15" hidden="false" customHeight="false" outlineLevel="0" collapsed="false">
      <c r="A317" s="5" t="s">
        <v>459</v>
      </c>
      <c r="B317" s="0" t="s">
        <v>27</v>
      </c>
      <c r="C317" s="13" t="n">
        <f aca="false">C315-C316</f>
        <v>0.0935659429280397</v>
      </c>
      <c r="D317" s="13" t="n">
        <f aca="false">D315-D316</f>
        <v>0.153044665012407</v>
      </c>
      <c r="E317" s="13" t="n">
        <f aca="false">E315-E316</f>
        <v>0.51026482630273</v>
      </c>
      <c r="F317" s="13" t="n">
        <f aca="false">F315-F316</f>
        <v>1.03548629032258</v>
      </c>
      <c r="G317" s="13" t="n">
        <f aca="false">G315-G316</f>
        <v>0.868102694377567</v>
      </c>
      <c r="H317" s="13" t="n">
        <f aca="false">H315-H316</f>
        <v>0.980030282765779</v>
      </c>
      <c r="I317" s="13" t="n">
        <f aca="false">I315-I316</f>
        <v>1.07987340788686</v>
      </c>
      <c r="J317" s="13" t="n">
        <f aca="false">J315-J316</f>
        <v>1.1418271096532</v>
      </c>
      <c r="K317" s="13" t="n">
        <f aca="false">K315-K316</f>
        <v>0.959463335859709</v>
      </c>
      <c r="L317" s="13" t="n">
        <f aca="false">L315-L316</f>
        <v>0.943493332486474</v>
      </c>
      <c r="M317" s="13" t="n">
        <f aca="false">M315-M316</f>
        <v>0.947741600168022</v>
      </c>
      <c r="N317" s="13" t="n">
        <f aca="false">N315-N316</f>
        <v>0.952008996525601</v>
      </c>
      <c r="O317" s="13" t="n">
        <f aca="false">O315-O316</f>
        <v>0.881409888080571</v>
      </c>
      <c r="P317" s="13" t="n">
        <f aca="false">P315-P316</f>
        <v>0.885378612620321</v>
      </c>
      <c r="Q317" s="13" t="n">
        <f aca="false">Q315-Q316</f>
        <v>0.894763323265645</v>
      </c>
      <c r="R317" s="13" t="n">
        <f aca="false">R315-R316</f>
        <v>0.912157568132935</v>
      </c>
    </row>
    <row r="318" customFormat="false" ht="15" hidden="false" customHeight="false" outlineLevel="0" collapsed="false">
      <c r="A318" s="5" t="s">
        <v>460</v>
      </c>
      <c r="B318" s="0" t="s">
        <v>27</v>
      </c>
      <c r="C318" s="13" t="n">
        <f aca="false">q1_cs</f>
        <v>0.652</v>
      </c>
      <c r="D318" s="13" t="n">
        <f aca="false">q2_cs</f>
        <v>0.907</v>
      </c>
      <c r="E318" s="13" t="n">
        <f aca="false">q3_cs</f>
        <v>0.82</v>
      </c>
      <c r="F318" s="13" t="n">
        <f aca="false">q4_cs</f>
        <v>0.556</v>
      </c>
      <c r="G318" s="13" t="n">
        <f aca="false">G314*cssh_27</f>
        <v>0.661836897144706</v>
      </c>
      <c r="H318" s="13" t="n">
        <f aca="false">H314*cssh_27</f>
        <v>0.747169897817925</v>
      </c>
      <c r="I318" s="13" t="n">
        <f aca="false">I314*cssh_27</f>
        <v>0.82328976768971</v>
      </c>
      <c r="J318" s="13" t="n">
        <f aca="false">J314*cssh_27</f>
        <v>0.87052294183976</v>
      </c>
      <c r="K318" s="13" t="n">
        <f aca="false">K314*cssh_28</f>
        <v>0.874442645723751</v>
      </c>
      <c r="L318" s="13" t="n">
        <f aca="false">L314*cssh_28</f>
        <v>0.859887788357163</v>
      </c>
      <c r="M318" s="13" t="n">
        <f aca="false">M314*cssh_28</f>
        <v>0.863759605332708</v>
      </c>
      <c r="N318" s="13" t="n">
        <f aca="false">N314*cssh_28</f>
        <v>0.867648855939591</v>
      </c>
      <c r="O318" s="13" t="n">
        <f aca="false">O314*cssh_29</f>
        <v>0.871555618676226</v>
      </c>
      <c r="P318" s="13" t="n">
        <f aca="false">P314*cssh_29</f>
        <v>0.875479972394484</v>
      </c>
      <c r="Q318" s="13" t="n">
        <f aca="false">Q314*cssh_29</f>
        <v>0.88475976083706</v>
      </c>
      <c r="R318" s="13" t="n">
        <f aca="false">R314*cssh_29</f>
        <v>0.901959535937984</v>
      </c>
      <c r="T318" s="5" t="s">
        <v>461</v>
      </c>
    </row>
    <row r="319" customFormat="false" ht="15" hidden="false" customHeight="false" outlineLevel="0" collapsed="false">
      <c r="A319" s="5" t="s">
        <v>462</v>
      </c>
      <c r="B319" s="0" t="s">
        <v>27</v>
      </c>
      <c r="C319" s="13" t="n">
        <f aca="false">q1_ed</f>
        <v>1.387</v>
      </c>
      <c r="D319" s="13" t="n">
        <f aca="false">q2_ed</f>
        <v>1.678</v>
      </c>
      <c r="E319" s="13" t="n">
        <f aca="false">q3_ed</f>
        <v>3.663</v>
      </c>
      <c r="F319" s="13" t="n">
        <f aca="false">q4_ed</f>
        <v>5.432</v>
      </c>
      <c r="G319" s="13" t="n">
        <f aca="false">G314-G315-G318</f>
        <v>6.17714437335059</v>
      </c>
      <c r="H319" s="13" t="n">
        <f aca="false">H314-H315-H318</f>
        <v>6.9735857129673</v>
      </c>
      <c r="I319" s="13" t="n">
        <f aca="false">I314-I315-I318</f>
        <v>7.68403783177063</v>
      </c>
      <c r="J319" s="13" t="n">
        <f aca="false">J314-J315-J318</f>
        <v>8.12488079050442</v>
      </c>
      <c r="K319" s="13" t="n">
        <f aca="false">K314-K315-K318</f>
        <v>7.57850292960584</v>
      </c>
      <c r="L319" s="13" t="n">
        <f aca="false">L314-L315-L318</f>
        <v>7.45236083242874</v>
      </c>
      <c r="M319" s="13" t="n">
        <f aca="false">M314-M315-M318</f>
        <v>7.48591657955014</v>
      </c>
      <c r="N319" s="13" t="n">
        <f aca="false">N314-N315-N318</f>
        <v>7.51962341814312</v>
      </c>
      <c r="O319" s="13" t="n">
        <f aca="false">O314-O315-O318</f>
        <v>7.11770421918918</v>
      </c>
      <c r="P319" s="13" t="n">
        <f aca="false">P314-P315-P318</f>
        <v>7.14975310788828</v>
      </c>
      <c r="Q319" s="13" t="n">
        <f aca="false">Q314-Q315-Q318</f>
        <v>7.22553804683599</v>
      </c>
      <c r="R319" s="13" t="n">
        <f aca="false">R314-R315-R318</f>
        <v>7.36600287682687</v>
      </c>
      <c r="T319" s="5" t="s">
        <v>463</v>
      </c>
    </row>
    <row r="320" customFormat="false" ht="15" hidden="false" customHeight="false" outlineLevel="0" collapsed="false">
      <c r="A320" s="5" t="s">
        <v>464</v>
      </c>
      <c r="B320" s="0" t="s">
        <v>27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465</v>
      </c>
      <c r="B321" s="0" t="s">
        <v>466</v>
      </c>
      <c r="C321" s="19" t="n">
        <f aca="false">C322/C313</f>
        <v>0.0520045391183812</v>
      </c>
      <c r="D321" s="19" t="n">
        <f aca="false">D322/D313</f>
        <v>0.0443170902760084</v>
      </c>
      <c r="E321" s="19" t="n">
        <f aca="false">E322/E313</f>
        <v>0.0337594565796481</v>
      </c>
      <c r="F321" s="19" t="n">
        <f aca="false">F322/F313</f>
        <v>0.0410685412637144</v>
      </c>
      <c r="G321" s="19" t="n">
        <f aca="false">(1-g_gm)*G314/G313</f>
        <v>0.049900535931346</v>
      </c>
      <c r="H321" s="19" t="n">
        <f aca="false">$G321*(1-cd_A_hi)^(1/4)</f>
        <v>0.0474852439040551</v>
      </c>
      <c r="I321" s="19" t="n">
        <f aca="false">$G321*(1-cd_A_hi)^(2/4)</f>
        <v>0.0451868571457803</v>
      </c>
      <c r="J321" s="19" t="n">
        <f aca="false">$G321*(1-cd_A_hi)^(3/4)</f>
        <v>0.0429997171929611</v>
      </c>
      <c r="K321" s="19" t="n">
        <f aca="false">$G321*(1-cd_A_hi)^(4/4)</f>
        <v>0.0409184394637037</v>
      </c>
      <c r="L321" s="19" t="n">
        <f aca="false">$G321*(1-cd_A_hi)^(5/4)</f>
        <v>0.0389379000013252</v>
      </c>
      <c r="M321" s="19" t="n">
        <f aca="false">$G321*(1-cd_A_hi)^(6/4)</f>
        <v>0.0370532228595398</v>
      </c>
      <c r="N321" s="19" t="n">
        <f aca="false">$G321*(1-cd_A_hi)^(7/4)</f>
        <v>0.0352597680982281</v>
      </c>
      <c r="O321" s="19" t="n">
        <f aca="false">$G321*(1-cd_A_hi)^(8/4)</f>
        <v>0.0335531203602371</v>
      </c>
      <c r="P321" s="19" t="n">
        <f aca="false">$G321*(1-cd_A_hi)^(9/4)</f>
        <v>0.0319290780010867</v>
      </c>
      <c r="Q321" s="19" t="n">
        <f aca="false">$G321*(1-cd_A_hi)^(10/4)</f>
        <v>0.0303836427448226</v>
      </c>
      <c r="R321" s="19" t="n">
        <f aca="false">$G321*(1-cd_A_hi)^(11/4)</f>
        <v>0.0289130098405471</v>
      </c>
    </row>
    <row r="322" customFormat="false" ht="15" hidden="false" customHeight="false" outlineLevel="0" collapsed="false">
      <c r="A322" s="5" t="s">
        <v>467</v>
      </c>
      <c r="B322" s="0" t="s">
        <v>27</v>
      </c>
      <c r="C322" s="13" t="n">
        <f aca="false">q1_rev*(1-q1_gm)</f>
        <v>1.620216</v>
      </c>
      <c r="D322" s="13" t="n">
        <f aca="false">q2_rev*(1-q2_gm)</f>
        <v>1.485275</v>
      </c>
      <c r="E322" s="13" t="n">
        <f aca="false">q3_rev*(1-q3_gm)</f>
        <v>1.2852</v>
      </c>
      <c r="F322" s="13" t="n">
        <f aca="false">q4_rev*(1-q4_gm)</f>
        <v>1.38061</v>
      </c>
      <c r="G322" s="13" t="n">
        <f aca="false">G313*G321</f>
        <v>1.65128305837604</v>
      </c>
      <c r="H322" s="13" t="n">
        <f aca="false">H313*H321</f>
        <v>1.64103440266569</v>
      </c>
      <c r="I322" s="13" t="n">
        <f aca="false">I313*I321</f>
        <v>1.67057999040457</v>
      </c>
      <c r="J322" s="13" t="n">
        <f aca="false">J313*J321</f>
        <v>1.68092463321183</v>
      </c>
      <c r="K322" s="13" t="n">
        <f aca="false">K313*K321</f>
        <v>1.69133333259551</v>
      </c>
      <c r="L322" s="13" t="n">
        <f aca="false">L313*L321</f>
        <v>1.7018064852097</v>
      </c>
      <c r="M322" s="13" t="n">
        <f aca="false">M313*M321</f>
        <v>1.71234449016468</v>
      </c>
      <c r="N322" s="13" t="n">
        <f aca="false">N313*N321</f>
        <v>1.72294774904213</v>
      </c>
      <c r="O322" s="13" t="n">
        <f aca="false">O313*O321</f>
        <v>1.7336166659104</v>
      </c>
      <c r="P322" s="13" t="n">
        <f aca="false">P313*P321</f>
        <v>1.74435164733994</v>
      </c>
      <c r="Q322" s="13" t="n">
        <f aca="false">Q313*Q321</f>
        <v>1.72939785330031</v>
      </c>
      <c r="R322" s="13" t="n">
        <f aca="false">R313*R321</f>
        <v>1.72957076715073</v>
      </c>
    </row>
    <row r="323" customFormat="false" ht="15" hidden="false" customHeight="false" outlineLevel="0" collapsed="false">
      <c r="A323" s="5" t="s">
        <v>423</v>
      </c>
      <c r="B323" s="0" t="s">
        <v>33</v>
      </c>
      <c r="C323" s="14" t="n">
        <f aca="false">1-C322/C314</f>
        <v>0.298</v>
      </c>
      <c r="D323" s="14" t="n">
        <f aca="false">1-D322/D314</f>
        <v>0.509</v>
      </c>
      <c r="E323" s="14" t="n">
        <f aca="false">1-E322/E314</f>
        <v>0.784</v>
      </c>
      <c r="F323" s="14" t="n">
        <f aca="false">1-F322/F314</f>
        <v>0.846</v>
      </c>
      <c r="G323" s="14" t="n">
        <f aca="false">1-G322/G314</f>
        <v>0.8503</v>
      </c>
      <c r="H323" s="14" t="n">
        <f aca="false">1-H322/H314</f>
        <v>0.868219979890122</v>
      </c>
      <c r="I323" s="14" t="n">
        <f aca="false">1-I322/I314</f>
        <v>0.878250886433886</v>
      </c>
      <c r="J323" s="14" t="n">
        <f aca="false">1-J322/J314</f>
        <v>0.884143802368307</v>
      </c>
      <c r="K323" s="14" t="n">
        <f aca="false">1-K322/K314</f>
        <v>0.883948935413896</v>
      </c>
      <c r="L323" s="14" t="n">
        <f aca="false">1-L322/L314</f>
        <v>0.88125382114373</v>
      </c>
      <c r="M323" s="14" t="n">
        <f aca="false">1-M322/M314</f>
        <v>0.881054093319973</v>
      </c>
      <c r="N323" s="14" t="n">
        <f aca="false">1-N322/N314</f>
        <v>0.880854029559482</v>
      </c>
      <c r="O323" s="14" t="n">
        <f aca="false">1-O322/O314</f>
        <v>0.88065362929722</v>
      </c>
      <c r="P323" s="14" t="n">
        <f aca="false">1-P322/P314</f>
        <v>0.8804528919672</v>
      </c>
      <c r="Q323" s="14" t="n">
        <f aca="false">1-Q322/Q314</f>
        <v>0.882720851703462</v>
      </c>
      <c r="R323" s="14" t="n">
        <f aca="false">1-R322/R314</f>
        <v>0.88494578537703</v>
      </c>
    </row>
    <row r="324" customFormat="false" ht="17.15" hidden="false" customHeight="false" outlineLevel="0" collapsed="false">
      <c r="A324" s="5" t="s">
        <v>468</v>
      </c>
      <c r="B324" s="0" t="s">
        <v>27</v>
      </c>
      <c r="C324" s="13" t="n">
        <f aca="false">q1_rev-q1_rev*(1-q1_gm)-q1_op</f>
        <v>0.511784</v>
      </c>
      <c r="D324" s="13" t="n">
        <f aca="false">q2_rev-q2_rev*(1-q2_gm)-q2_op</f>
        <v>0.474725</v>
      </c>
      <c r="E324" s="13" t="n">
        <f aca="false">q3_rev-q3_rev*(1-q3_gm)-q3_op</f>
        <v>0.553800000000001</v>
      </c>
      <c r="F324" s="13" t="n">
        <f aca="false">q4_rev-q4_rev*(1-q4_gm)-q4_op</f>
        <v>0.54739</v>
      </c>
      <c r="G324" s="13" t="n">
        <f aca="false">(g_ox-ox_var*g_rev)*(1+ox_g)^(0/4)+ox_var*G314</f>
        <v>0.581996149524118</v>
      </c>
      <c r="H324" s="13" t="n">
        <f aca="false">(g_ox-ox_var*g_rev)*(1+ox_g)^(1/4)+ox_var*H314</f>
        <v>0.607592502307229</v>
      </c>
      <c r="I324" s="13" t="n">
        <f aca="false">(g_ox-ox_var*g_rev)*(1+ox_g)^(2/4)+ox_var*I314</f>
        <v>0.631927606874997</v>
      </c>
      <c r="J324" s="13" t="n">
        <f aca="false">(g_ox-ox_var*g_rev)*(1+ox_g)^(3/4)+ox_var*J314</f>
        <v>0.651729149488654</v>
      </c>
      <c r="K324" s="13" t="n">
        <f aca="false">(g_ox-ox_var*g_rev)*(1+ox_g)^(4/4)+ox_var*K314</f>
        <v>0.664599440953958</v>
      </c>
      <c r="L324" s="13" t="n">
        <f aca="false">(g_ox-ox_var*g_rev)*(1+ox_g)^(5/4)+ox_var*L314</f>
        <v>0.674685235997527</v>
      </c>
      <c r="M324" s="13" t="n">
        <f aca="false">(g_ox-ox_var*g_rev)*(1+ox_g)^(6/4)+ox_var*M314</f>
        <v>0.688143844374835</v>
      </c>
      <c r="N324" s="13" t="n">
        <f aca="false">(g_ox-ox_var*g_rev)*(1+ox_g)^(7/4)+ox_var*N314</f>
        <v>0.701914334423495</v>
      </c>
      <c r="O324" s="13" t="n">
        <f aca="false">(g_ox-ox_var*g_rev)*(1+ox_g)^(8/4)+ox_var*O314</f>
        <v>0.716004169779371</v>
      </c>
      <c r="P324" s="13" t="n">
        <f aca="false">(g_ox-ox_var*g_rev)*(1+ox_g)^(9/4)+ox_var*P314</f>
        <v>0.730420993797547</v>
      </c>
      <c r="Q324" s="13" t="n">
        <f aca="false">(g_ox-ox_var*g_rev)*(1+ox_g)^(10/4)+ox_var*Q314</f>
        <v>0.746062261307498</v>
      </c>
      <c r="R324" s="13" t="n">
        <f aca="false">(g_ox-ox_var*g_rev)*(1+ox_g)^(11/4)+ox_var*R314</f>
        <v>0.763363400266584</v>
      </c>
      <c r="T324" s="5" t="s">
        <v>469</v>
      </c>
    </row>
    <row r="325" customFormat="false" ht="15" hidden="false" customHeight="false" outlineLevel="0" collapsed="false">
      <c r="A325" s="5" t="s">
        <v>424</v>
      </c>
      <c r="B325" s="0" t="s">
        <v>27</v>
      </c>
      <c r="C325" s="13" t="n">
        <f aca="false">C314-C322-C324</f>
        <v>0.176</v>
      </c>
      <c r="D325" s="13" t="n">
        <f aca="false">D314-D322-D324</f>
        <v>1.065</v>
      </c>
      <c r="E325" s="13" t="n">
        <f aca="false">E314-E322-E324</f>
        <v>4.111</v>
      </c>
      <c r="F325" s="13" t="n">
        <f aca="false">F314-F322-F324</f>
        <v>7.037</v>
      </c>
      <c r="G325" s="13" t="n">
        <f aca="false">G314-G322-G324</f>
        <v>8.79733574451161</v>
      </c>
      <c r="H325" s="13" t="n">
        <f aca="false">H314-H322-H324</f>
        <v>10.2042047253258</v>
      </c>
      <c r="I325" s="13" t="n">
        <f aca="false">I314-I322-I324</f>
        <v>11.4189885308823</v>
      </c>
      <c r="J325" s="13" t="n">
        <f aca="false">J314-J322-J324</f>
        <v>12.1760619146288</v>
      </c>
      <c r="K325" s="13" t="n">
        <f aca="false">K314-K322-K324</f>
        <v>12.2181113218464</v>
      </c>
      <c r="L325" s="13" t="n">
        <f aca="false">L314-L322-L324</f>
        <v>11.9549714180788</v>
      </c>
      <c r="M325" s="13" t="n">
        <f aca="false">M314-M322-M324</f>
        <v>11.9955050876723</v>
      </c>
      <c r="N325" s="13" t="n">
        <f aca="false">N314-N322-N324</f>
        <v>12.0359521821942</v>
      </c>
      <c r="O325" s="13" t="n">
        <f aca="false">O314-O322-O324</f>
        <v>12.0763061422473</v>
      </c>
      <c r="P325" s="13" t="n">
        <f aca="false">P314-P322-P324</f>
        <v>12.1165602321039</v>
      </c>
      <c r="Q325" s="13" t="n">
        <f aca="false">Q314-Q322-Q324</f>
        <v>12.2705358993432</v>
      </c>
      <c r="R325" s="13" t="n">
        <f aca="false">R314-R322-R324</f>
        <v>12.5397247648824</v>
      </c>
    </row>
    <row r="327" customFormat="false" ht="17.15" hidden="false" customHeight="false" outlineLevel="0" collapsed="false">
      <c r="A327" s="5" t="s">
        <v>426</v>
      </c>
      <c r="B327" s="0" t="s">
        <v>27</v>
      </c>
      <c r="C327" s="13" t="n">
        <f aca="false">q1_ni</f>
        <v>0.112</v>
      </c>
      <c r="D327" s="13" t="n">
        <f aca="false">q2_ni</f>
        <v>0.803</v>
      </c>
      <c r="E327" s="13" t="n">
        <f aca="false">q3_ni</f>
        <v>3.615</v>
      </c>
      <c r="F327" s="13" t="n">
        <f aca="false">q4_ni</f>
        <v>6.903</v>
      </c>
      <c r="G327" s="13" t="n">
        <f aca="false">(G325+rf*$D348/4)*(1-tax)</f>
        <v>7.51821238283487</v>
      </c>
      <c r="H327" s="13" t="n">
        <f aca="false">(H325+rf*$D348/4)*(1-tax)</f>
        <v>8.71405101652696</v>
      </c>
      <c r="I327" s="13" t="n">
        <f aca="false">(I325+rf*$D348/4)*(1-tax)</f>
        <v>9.74661725124993</v>
      </c>
      <c r="J327" s="13" t="n">
        <f aca="false">(J325+rf*$D348/4)*(1-tax)</f>
        <v>10.3901296274345</v>
      </c>
      <c r="K327" s="13" t="n">
        <f aca="false">(K325+rf*$E348/4)*(1-tax)</f>
        <v>10.567932934357</v>
      </c>
      <c r="L327" s="13" t="n">
        <f aca="false">(L325+rf*$E348/4)*(1-tax)</f>
        <v>10.3442640161546</v>
      </c>
      <c r="M327" s="13" t="n">
        <f aca="false">(M325+rf*$E348/4)*(1-tax)</f>
        <v>10.378717635309</v>
      </c>
      <c r="N327" s="13" t="n">
        <f aca="false">(N325+rf*$E348/4)*(1-tax)</f>
        <v>10.4130976656527</v>
      </c>
      <c r="O327" s="13" t="n">
        <f aca="false">(O325+rf*$F348/4)*(1-tax)</f>
        <v>10.6105911934613</v>
      </c>
      <c r="P327" s="13" t="n">
        <f aca="false">(P325+rf*$F348/4)*(1-tax)</f>
        <v>10.6448071698394</v>
      </c>
      <c r="Q327" s="13" t="n">
        <f aca="false">(Q325+rf*$F348/4)*(1-tax)</f>
        <v>10.7756864869928</v>
      </c>
      <c r="R327" s="13" t="n">
        <f aca="false">(R325+rf*$F348/4)*(1-tax)</f>
        <v>11.0044970227012</v>
      </c>
      <c r="T327" s="5" t="s">
        <v>470</v>
      </c>
    </row>
    <row r="328" customFormat="false" ht="17.15" hidden="false" customHeight="false" outlineLevel="0" collapsed="false">
      <c r="A328" s="5" t="s">
        <v>471</v>
      </c>
      <c r="B328" s="0" t="s">
        <v>40</v>
      </c>
      <c r="G328" s="15" t="n">
        <f aca="false">G327/(sh0+dil)*1000</f>
        <v>49.7894859790389</v>
      </c>
      <c r="H328" s="15" t="n">
        <f aca="false">H327/(sh0+dil)*1000</f>
        <v>57.7089471293176</v>
      </c>
      <c r="I328" s="15" t="n">
        <f aca="false">I327/(sh0+dil)*1000</f>
        <v>64.5471341142379</v>
      </c>
      <c r="J328" s="15" t="n">
        <f aca="false">J327/(sh0+dil)*1000</f>
        <v>68.8088054796988</v>
      </c>
      <c r="K328" s="15" t="n">
        <f aca="false">K327/(sh0+dil)*1000</f>
        <v>69.9863108235565</v>
      </c>
      <c r="L328" s="15" t="n">
        <f aca="false">L327/(sh0+dil)*1000</f>
        <v>68.5050597096331</v>
      </c>
      <c r="M328" s="15" t="n">
        <f aca="false">M327/(sh0+dil)*1000</f>
        <v>68.7332293729076</v>
      </c>
      <c r="N328" s="15" t="n">
        <f aca="false">N327/(sh0+dil)*1000</f>
        <v>68.9609116930642</v>
      </c>
      <c r="O328" s="15" t="n">
        <f aca="false">O327/(sh0+dil)*1000</f>
        <v>70.2688158507374</v>
      </c>
      <c r="P328" s="15" t="n">
        <f aca="false">P327/(sh0+dil)*1000</f>
        <v>70.495411720791</v>
      </c>
      <c r="Q328" s="15" t="n">
        <f aca="false">Q327/(sh0+dil)*1000</f>
        <v>71.3621621655153</v>
      </c>
      <c r="R328" s="15" t="n">
        <f aca="false">R327/(sh0+dil)*1000</f>
        <v>72.8774637264979</v>
      </c>
    </row>
    <row r="330" customFormat="false" ht="17.15" hidden="false" customHeight="false" outlineLevel="0" collapsed="false">
      <c r="A330" s="12" t="s">
        <v>472</v>
      </c>
      <c r="B330" s="6" t="s">
        <v>17</v>
      </c>
      <c r="C330" s="12" t="s">
        <v>413</v>
      </c>
      <c r="D330" s="12" t="s">
        <v>414</v>
      </c>
      <c r="E330" s="12" t="s">
        <v>415</v>
      </c>
      <c r="F330" s="12" t="s">
        <v>416</v>
      </c>
      <c r="G330" s="12" t="s">
        <v>417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321</v>
      </c>
    </row>
    <row r="331" customFormat="false" ht="15" hidden="false" customHeight="false" outlineLevel="0" collapsed="false">
      <c r="A331" s="5" t="s">
        <v>344</v>
      </c>
      <c r="B331" s="0" t="s">
        <v>27</v>
      </c>
      <c r="C331" s="13" t="n">
        <f aca="false">a25_rev</f>
        <v>7.355</v>
      </c>
      <c r="D331" s="13" t="n">
        <f aca="false">SUM(C314:F314)</f>
        <v>20.248</v>
      </c>
      <c r="E331" s="13" t="n">
        <f aca="false">SUM(G314:J314)</f>
        <v>51.7136584082017</v>
      </c>
      <c r="F331" s="13" t="n">
        <f aca="false">SUM(K314:N314)</f>
        <v>57.7623149225535</v>
      </c>
      <c r="G331" s="13" t="n">
        <f aca="false">SUM(O314:R314)</f>
        <v>58.8959147974292</v>
      </c>
    </row>
    <row r="332" customFormat="false" ht="15" hidden="false" customHeight="false" outlineLevel="0" collapsed="false">
      <c r="A332" s="5" t="s">
        <v>473</v>
      </c>
      <c r="B332" s="0" t="s">
        <v>27</v>
      </c>
      <c r="D332" s="13" t="n">
        <f aca="false">SUM(C315:F315)</f>
        <v>5.153</v>
      </c>
      <c r="E332" s="13" t="n">
        <f aca="false">SUM(G315:J315)</f>
        <v>19.6511901951166</v>
      </c>
      <c r="F332" s="13" t="n">
        <f aca="false">SUM(K315:N315)</f>
        <v>24.2601722674725</v>
      </c>
      <c r="G332" s="13" t="n">
        <f aca="false">SUM(O315:R315)</f>
        <v>26.5031616588432</v>
      </c>
    </row>
    <row r="333" customFormat="false" ht="17.15" hidden="false" customHeight="false" outlineLevel="0" collapsed="false">
      <c r="A333" s="5" t="s">
        <v>474</v>
      </c>
      <c r="B333" s="0" t="s">
        <v>27</v>
      </c>
      <c r="D333" s="13" t="n">
        <f aca="false">SUM(C316:F316)</f>
        <v>3.36063827543424</v>
      </c>
      <c r="E333" s="13" t="n">
        <f aca="false">SUM(G316:J316)</f>
        <v>15.5813567004332</v>
      </c>
      <c r="F333" s="13" t="n">
        <f aca="false">SUM(K316:N316)</f>
        <v>20.4574650024327</v>
      </c>
      <c r="G333" s="13" t="n">
        <f aca="false">SUM(O316:R316)</f>
        <v>22.9294522667437</v>
      </c>
    </row>
    <row r="334" customFormat="false" ht="15" hidden="false" customHeight="false" outlineLevel="0" collapsed="false">
      <c r="A334" s="5" t="s">
        <v>475</v>
      </c>
      <c r="B334" s="0" t="s">
        <v>27</v>
      </c>
      <c r="D334" s="13" t="n">
        <f aca="false">SUM(C319:F319)</f>
        <v>12.16</v>
      </c>
      <c r="E334" s="13" t="n">
        <f aca="false">SUM(G319:J319)</f>
        <v>28.9596487085929</v>
      </c>
      <c r="F334" s="13" t="n">
        <f aca="false">SUM(K319:N319)</f>
        <v>30.0364037597278</v>
      </c>
      <c r="G334" s="13" t="n">
        <f aca="false">SUM(O319:R319)</f>
        <v>28.8589982507403</v>
      </c>
    </row>
    <row r="335" customFormat="false" ht="15" hidden="false" customHeight="false" outlineLevel="0" collapsed="false">
      <c r="A335" s="5" t="s">
        <v>476</v>
      </c>
      <c r="B335" s="0" t="s">
        <v>27</v>
      </c>
      <c r="D335" s="13" t="n">
        <f aca="false">SUM(C318:F318)</f>
        <v>2.935</v>
      </c>
      <c r="E335" s="13" t="n">
        <f aca="false">SUM(G318:J318)</f>
        <v>3.1028195044921</v>
      </c>
      <c r="F335" s="13" t="n">
        <f aca="false">SUM(K318:N318)</f>
        <v>3.46573889535321</v>
      </c>
      <c r="G335" s="13" t="n">
        <f aca="false">SUM(O318:R318)</f>
        <v>3.53375488784575</v>
      </c>
    </row>
    <row r="336" customFormat="false" ht="17.15" hidden="false" customHeight="false" outlineLevel="0" collapsed="false">
      <c r="A336" s="5" t="s">
        <v>477</v>
      </c>
      <c r="B336" s="0" t="s">
        <v>27</v>
      </c>
      <c r="D336" s="18" t="n">
        <f aca="false">D332+D334+D335-D331+ABS(D332-a26_dc)+ABS(D334-a26_ed)+ABS(D335-a26_cs)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467</v>
      </c>
      <c r="B337" s="0" t="s">
        <v>27</v>
      </c>
      <c r="D337" s="13" t="n">
        <f aca="false">SUM(C322:F322)</f>
        <v>5.771301</v>
      </c>
      <c r="E337" s="13" t="n">
        <f aca="false">SUM(G322:J322)</f>
        <v>6.64382208465813</v>
      </c>
      <c r="F337" s="13" t="n">
        <f aca="false">SUM(K322:N322)</f>
        <v>6.82843205701201</v>
      </c>
      <c r="G337" s="13" t="n">
        <f aca="false">SUM(O322:R322)</f>
        <v>6.93693693370138</v>
      </c>
    </row>
    <row r="338" customFormat="false" ht="15" hidden="false" customHeight="false" outlineLevel="0" collapsed="false">
      <c r="A338" s="5" t="s">
        <v>423</v>
      </c>
      <c r="B338" s="0" t="s">
        <v>33</v>
      </c>
      <c r="D338" s="14" t="n">
        <f aca="false">1-D337/D331</f>
        <v>0.714969330304228</v>
      </c>
      <c r="E338" s="14" t="n">
        <f aca="false">1-E337/E331</f>
        <v>0.87152674382046</v>
      </c>
      <c r="F338" s="14" t="n">
        <f aca="false">1-F337/F331</f>
        <v>0.881783961287434</v>
      </c>
      <c r="G338" s="14" t="n">
        <f aca="false">1-G337/G331</f>
        <v>0.882217010168519</v>
      </c>
    </row>
    <row r="339" customFormat="false" ht="15" hidden="false" customHeight="false" outlineLevel="0" collapsed="false">
      <c r="A339" s="5" t="s">
        <v>468</v>
      </c>
      <c r="B339" s="0" t="s">
        <v>27</v>
      </c>
      <c r="D339" s="13" t="n">
        <f aca="false">SUM(C324:F324)</f>
        <v>2.087699</v>
      </c>
      <c r="E339" s="13" t="n">
        <f aca="false">SUM(G324:J324)</f>
        <v>2.473245408195</v>
      </c>
      <c r="F339" s="13" t="n">
        <f aca="false">SUM(K324:N324)</f>
        <v>2.72934285574982</v>
      </c>
      <c r="G339" s="13" t="n">
        <f aca="false">SUM(O324:R324)</f>
        <v>2.955850825151</v>
      </c>
    </row>
    <row r="340" customFormat="false" ht="15" hidden="false" customHeight="false" outlineLevel="0" collapsed="false">
      <c r="A340" s="5" t="s">
        <v>424</v>
      </c>
      <c r="B340" s="0" t="s">
        <v>27</v>
      </c>
      <c r="D340" s="13" t="n">
        <f aca="false">SUM(C325:F325)</f>
        <v>12.389</v>
      </c>
      <c r="E340" s="13" t="n">
        <f aca="false">SUM(G325:J325)</f>
        <v>42.5965909153486</v>
      </c>
      <c r="F340" s="13" t="n">
        <f aca="false">SUM(K325:N325)</f>
        <v>48.2045400097917</v>
      </c>
      <c r="G340" s="13" t="n">
        <f aca="false">SUM(O325:R325)</f>
        <v>49.0031270385768</v>
      </c>
    </row>
    <row r="341" customFormat="false" ht="15" hidden="false" customHeight="false" outlineLevel="0" collapsed="false">
      <c r="A341" s="5" t="s">
        <v>425</v>
      </c>
      <c r="B341" s="0" t="s">
        <v>33</v>
      </c>
      <c r="D341" s="14" t="n">
        <f aca="false">D340/D331</f>
        <v>0.61186290003951</v>
      </c>
      <c r="E341" s="14" t="n">
        <f aca="false">E340/E331</f>
        <v>0.823700976231703</v>
      </c>
      <c r="F341" s="14" t="n">
        <f aca="false">F340/F331</f>
        <v>0.834532689252903</v>
      </c>
      <c r="G341" s="14" t="n">
        <f aca="false">G340/G331</f>
        <v>0.832029304700023</v>
      </c>
    </row>
    <row r="342" customFormat="false" ht="15" hidden="false" customHeight="false" outlineLevel="0" collapsed="false">
      <c r="A342" s="5" t="s">
        <v>426</v>
      </c>
      <c r="B342" s="0" t="s">
        <v>27</v>
      </c>
      <c r="C342" s="13" t="n">
        <f aca="false">a25_ni</f>
        <v>-1.641</v>
      </c>
      <c r="D342" s="13" t="n">
        <f aca="false">SUM(C327:F327)</f>
        <v>11.433</v>
      </c>
      <c r="E342" s="13" t="n">
        <f aca="false">SUM(G327:J327)</f>
        <v>36.3690102780463</v>
      </c>
      <c r="F342" s="13" t="n">
        <f aca="false">SUM(K327:N327)</f>
        <v>41.7040122514734</v>
      </c>
      <c r="G342" s="13" t="n">
        <f aca="false">SUM(O327:R327)</f>
        <v>43.0355818729948</v>
      </c>
    </row>
    <row r="343" customFormat="false" ht="15" hidden="false" customHeight="false" outlineLevel="0" collapsed="false">
      <c r="A343" s="5" t="s">
        <v>478</v>
      </c>
      <c r="B343" s="0" t="s">
        <v>27</v>
      </c>
      <c r="D343" s="13" t="n">
        <f aca="false">da_y</f>
        <v>0.16</v>
      </c>
      <c r="E343" s="13" t="n">
        <f aca="false">da_y</f>
        <v>0.16</v>
      </c>
      <c r="F343" s="13" t="n">
        <f aca="false">da_y</f>
        <v>0.16</v>
      </c>
      <c r="G343" s="13" t="n">
        <f aca="false">da_y</f>
        <v>0.16</v>
      </c>
    </row>
    <row r="344" customFormat="false" ht="17.15" hidden="false" customHeight="false" outlineLevel="0" collapsed="false">
      <c r="A344" s="5" t="s">
        <v>479</v>
      </c>
      <c r="B344" s="0" t="s">
        <v>27</v>
      </c>
      <c r="D344" s="13" t="n">
        <v>0.562</v>
      </c>
      <c r="E344" s="13" t="n">
        <f aca="false">cap_r*E331</f>
        <v>3.1028195044921</v>
      </c>
      <c r="F344" s="13" t="n">
        <f aca="false">cap_r*F331</f>
        <v>3.46573889535321</v>
      </c>
      <c r="G344" s="13" t="n">
        <f aca="false">cap_r*G331</f>
        <v>3.53375488784575</v>
      </c>
      <c r="T344" s="8" t="s">
        <v>480</v>
      </c>
    </row>
    <row r="345" customFormat="false" ht="15" hidden="false" customHeight="false" outlineLevel="0" collapsed="false">
      <c r="A345" s="5" t="s">
        <v>481</v>
      </c>
      <c r="B345" s="0" t="s">
        <v>27</v>
      </c>
      <c r="D345" s="13" t="n">
        <f aca="false">D342+D343-D344</f>
        <v>11.031</v>
      </c>
      <c r="E345" s="13" t="n">
        <f aca="false">E342+E343-E344</f>
        <v>33.4261907735542</v>
      </c>
      <c r="F345" s="13" t="n">
        <f aca="false">F342+F343-F344</f>
        <v>38.3982733561202</v>
      </c>
      <c r="G345" s="13" t="n">
        <f aca="false">G342+G343-G344</f>
        <v>39.661826985149</v>
      </c>
    </row>
    <row r="346" customFormat="false" ht="17.15" hidden="false" customHeight="false" outlineLevel="0" collapsed="false">
      <c r="A346" s="5" t="s">
        <v>482</v>
      </c>
      <c r="B346" s="0" t="s">
        <v>27</v>
      </c>
      <c r="D346" s="13" t="n">
        <v>4.524</v>
      </c>
      <c r="E346" s="13" t="n">
        <f aca="false">MAX(0,payout*E345)</f>
        <v>16.7130953867771</v>
      </c>
      <c r="F346" s="13" t="n">
        <f aca="false">MAX(0,payout*F345)</f>
        <v>19.1991366780601</v>
      </c>
      <c r="G346" s="13" t="n">
        <f aca="false">MAX(0,payout*G345)</f>
        <v>19.8309134925745</v>
      </c>
      <c r="T346" s="8" t="s">
        <v>483</v>
      </c>
    </row>
    <row r="347" customFormat="false" ht="15" hidden="false" customHeight="false" outlineLevel="0" collapsed="false">
      <c r="A347" s="5" t="s">
        <v>484</v>
      </c>
      <c r="B347" s="0" t="s">
        <v>27</v>
      </c>
      <c r="D347" s="13" t="n">
        <f aca="false">eq0</f>
        <v>15.736</v>
      </c>
      <c r="E347" s="13" t="n">
        <f aca="false">D347+E342-E346</f>
        <v>35.3919148912692</v>
      </c>
      <c r="F347" s="13" t="n">
        <f aca="false">E347+F342-F346</f>
        <v>57.8967904646825</v>
      </c>
      <c r="G347" s="13" t="n">
        <f aca="false">F347+G342-G346</f>
        <v>81.1014588451027</v>
      </c>
    </row>
    <row r="348" customFormat="false" ht="15" hidden="false" customHeight="false" outlineLevel="0" collapsed="false">
      <c r="A348" s="5" t="s">
        <v>485</v>
      </c>
      <c r="B348" s="0" t="s">
        <v>27</v>
      </c>
      <c r="D348" s="13" t="n">
        <f aca="false">nc0</f>
        <v>4.762</v>
      </c>
      <c r="E348" s="13" t="n">
        <f aca="false">D348+E345-E346</f>
        <v>21.4750953867771</v>
      </c>
      <c r="F348" s="13" t="n">
        <f aca="false">E348+F345-F346</f>
        <v>40.6742320648372</v>
      </c>
      <c r="G348" s="13" t="n">
        <f aca="false">F348+G345-G346</f>
        <v>60.5051455574117</v>
      </c>
    </row>
    <row r="349" customFormat="false" ht="15" hidden="false" customHeight="false" outlineLevel="0" collapsed="false">
      <c r="A349" s="5" t="s">
        <v>486</v>
      </c>
      <c r="B349" s="5" t="s">
        <v>152</v>
      </c>
      <c r="D349" s="20" t="n">
        <f aca="false">sh0</f>
        <v>146.42</v>
      </c>
      <c r="E349" s="20" t="n">
        <f aca="false">D349-E346/bb_px*1000</f>
        <v>132.920250085396</v>
      </c>
      <c r="F349" s="20" t="n">
        <f aca="false">E349-F346/bb_px*1000</f>
        <v>117.412437933784</v>
      </c>
      <c r="G349" s="20" t="n">
        <f aca="false">F349-G346/bb_px*1000</f>
        <v>101.394317619596</v>
      </c>
    </row>
    <row r="350" customFormat="false" ht="17.15" hidden="false" customHeight="false" outlineLevel="0" collapsed="false">
      <c r="A350" s="0" t="s">
        <v>487</v>
      </c>
      <c r="B350" s="0" t="s">
        <v>40</v>
      </c>
      <c r="C350" s="15" t="n">
        <f aca="false">a25_eps</f>
        <v>-11.32</v>
      </c>
      <c r="D350" s="15" t="n">
        <f aca="false">a26_eps</f>
        <v>73.76</v>
      </c>
      <c r="E350" s="15" t="n">
        <f aca="false">E342/(E349+dil)*1000</f>
        <v>264.501411855316</v>
      </c>
      <c r="F350" s="15" t="n">
        <f aca="false">F342/(F349+dil)*1000</f>
        <v>341.857355733064</v>
      </c>
      <c r="G350" s="15" t="n">
        <f aca="false">G342/(G349+dil)*1000</f>
        <v>406.09444665145</v>
      </c>
    </row>
    <row r="351" customFormat="false" ht="17.15" hidden="false" customHeight="false" outlineLevel="0" collapsed="false">
      <c r="A351" s="5" t="s">
        <v>488</v>
      </c>
      <c r="B351" s="0" t="s">
        <v>40</v>
      </c>
      <c r="D351" s="15" t="n">
        <f aca="false">D347/D349*1000</f>
        <v>107.471656877476</v>
      </c>
      <c r="E351" s="15" t="n">
        <f aca="false">E347/E349*1000</f>
        <v>266.264281541234</v>
      </c>
      <c r="F351" s="15" t="n">
        <f aca="false">F347/F349*1000</f>
        <v>493.106109399874</v>
      </c>
      <c r="G351" s="15" t="n">
        <f aca="false">G347/G349*1000</f>
        <v>799.861972042393</v>
      </c>
    </row>
    <row r="352" customFormat="false" ht="17.15" hidden="false" customHeight="false" outlineLevel="0" collapsed="false">
      <c r="A352" s="0" t="s">
        <v>489</v>
      </c>
      <c r="B352" s="0" t="s">
        <v>33</v>
      </c>
      <c r="D352" s="21" t="n">
        <f aca="false">D342/D347</f>
        <v>0.72655058464667</v>
      </c>
      <c r="E352" s="21" t="n">
        <f aca="false">E342/E347</f>
        <v>1.02760787003978</v>
      </c>
      <c r="F352" s="21" t="n">
        <f aca="false">F342/F347</f>
        <v>0.720316478974999</v>
      </c>
      <c r="G352" s="21" t="n">
        <f aca="false">G342/G347</f>
        <v>0.530638813232562</v>
      </c>
    </row>
    <row r="353" customFormat="false" ht="15" hidden="false" customHeight="false" outlineLevel="0" collapsed="false">
      <c r="A353" s="5" t="s">
        <v>490</v>
      </c>
      <c r="B353" s="0" t="s">
        <v>40</v>
      </c>
      <c r="E353" s="15" t="n">
        <f aca="false">E345/(E349+dil)*1000</f>
        <v>243.099127112819</v>
      </c>
      <c r="F353" s="15" t="n">
        <f aca="false">F345/(F349+dil)*1000</f>
        <v>314.759455639064</v>
      </c>
      <c r="G353" s="15" t="n">
        <f aca="false">G345/(G349+dil)*1000</f>
        <v>374.258857014004</v>
      </c>
    </row>
    <row r="354" customFormat="false" ht="17.15" hidden="false" customHeight="false" outlineLevel="0" collapsed="false">
      <c r="A354" s="5" t="s">
        <v>491</v>
      </c>
      <c r="B354" s="0" t="s">
        <v>27</v>
      </c>
      <c r="D354" s="18" t="n">
        <f aca="false">ABS(D331-a26_rev)+ABS(D342-a26_ni)</f>
        <v>0</v>
      </c>
    </row>
    <row r="360" customFormat="false" ht="17.15" hidden="false" customHeight="false" outlineLevel="0" collapsed="false">
      <c r="A360" s="3" t="s">
        <v>804</v>
      </c>
    </row>
    <row r="361" customFormat="false" ht="17.15" hidden="false" customHeight="false" outlineLevel="0" collapsed="false">
      <c r="A361" s="12" t="s">
        <v>434</v>
      </c>
      <c r="B361" s="6" t="s">
        <v>17</v>
      </c>
      <c r="C361" s="12" t="s">
        <v>435</v>
      </c>
      <c r="D361" s="12" t="s">
        <v>436</v>
      </c>
      <c r="E361" s="12" t="s">
        <v>437</v>
      </c>
      <c r="F361" s="12" t="s">
        <v>438</v>
      </c>
      <c r="G361" s="12" t="s">
        <v>439</v>
      </c>
      <c r="H361" s="12" t="s">
        <v>440</v>
      </c>
      <c r="I361" s="12" t="s">
        <v>441</v>
      </c>
      <c r="J361" s="12" t="s">
        <v>442</v>
      </c>
      <c r="K361" s="12" t="s">
        <v>443</v>
      </c>
      <c r="L361" s="12" t="s">
        <v>444</v>
      </c>
      <c r="M361" s="12" t="s">
        <v>445</v>
      </c>
      <c r="N361" s="12" t="s">
        <v>446</v>
      </c>
      <c r="O361" s="12" t="s">
        <v>447</v>
      </c>
      <c r="P361" s="12" t="s">
        <v>448</v>
      </c>
      <c r="Q361" s="12" t="s">
        <v>449</v>
      </c>
      <c r="R361" s="12" t="s">
        <v>450</v>
      </c>
      <c r="S361" s="12"/>
      <c r="T361" s="6" t="s">
        <v>321</v>
      </c>
    </row>
    <row r="362" customFormat="false" ht="17.15" hidden="false" customHeight="false" outlineLevel="0" collapsed="false">
      <c r="A362" s="5" t="s">
        <v>451</v>
      </c>
      <c r="B362" s="0" t="s">
        <v>27</v>
      </c>
      <c r="C362" s="13" t="n">
        <f aca="false">Units!E4*1</f>
        <v>2.31</v>
      </c>
      <c r="D362" s="13" t="n">
        <f aca="false">Units!F4*1</f>
        <v>3.03</v>
      </c>
      <c r="E362" s="13" t="n">
        <f aca="false">Units!G4*1</f>
        <v>5.95</v>
      </c>
      <c r="F362" s="13" t="n">
        <f aca="false">Units!H4*1</f>
        <v>8.97</v>
      </c>
      <c r="G362" s="13" t="n">
        <f aca="false">Units!I4*1</f>
        <v>11.0371522587842</v>
      </c>
      <c r="H362" s="13" t="n">
        <f aca="false">Units!J4*1*1</f>
        <v>12.4602118149868</v>
      </c>
      <c r="I362" s="13" t="n">
        <f aca="false">Units!K4*1*1</f>
        <v>13.7296281882931</v>
      </c>
      <c r="J362" s="13" t="n">
        <f aca="false">Units!L4*1*1</f>
        <v>14.5173143040247</v>
      </c>
      <c r="K362" s="13" t="n">
        <f aca="false">Units!M4*1*1</f>
        <v>14.5826814190399</v>
      </c>
      <c r="L362" s="13" t="n">
        <f aca="false">Units!N4*1*1</f>
        <v>14.3399566970533</v>
      </c>
      <c r="M362" s="13" t="n">
        <f aca="false">Units!O4*1*1</f>
        <v>14.4045252239239</v>
      </c>
      <c r="N362" s="13" t="n">
        <f aca="false">Units!P4*1*1</f>
        <v>14.4693844835178</v>
      </c>
      <c r="O362" s="13" t="n">
        <f aca="false">Units!Q4*1*1</f>
        <v>14.5345357849173</v>
      </c>
      <c r="P362" s="13" t="n">
        <f aca="false">Units!R4*1*1</f>
        <v>14.5999804430991</v>
      </c>
      <c r="Q362" s="13" t="n">
        <f aca="false">Units!S4*1*1</f>
        <v>14.7547352450932</v>
      </c>
      <c r="R362" s="13" t="n">
        <f aca="false">Units!T4*1*1</f>
        <v>15.0415680545433</v>
      </c>
      <c r="T362" s="8" t="s">
        <v>452</v>
      </c>
    </row>
    <row r="363" customFormat="false" ht="15" hidden="false" customHeight="false" outlineLevel="0" collapsed="false">
      <c r="A363" s="5" t="s">
        <v>453</v>
      </c>
      <c r="B363" s="0" t="s">
        <v>386</v>
      </c>
      <c r="C363" s="13" t="n">
        <f aca="false">Units!E7*1</f>
        <v>31.1552804325753</v>
      </c>
      <c r="D363" s="13" t="n">
        <f aca="false">Units!F7*1</f>
        <v>33.5147228924475</v>
      </c>
      <c r="E363" s="13" t="n">
        <f aca="false">Units!G7*1</f>
        <v>38.0693331650007</v>
      </c>
      <c r="F363" s="13" t="n">
        <f aca="false">Units!H7*1</f>
        <v>33.6172154529341</v>
      </c>
      <c r="G363" s="13" t="n">
        <f aca="false">Units!I7*1</f>
        <v>33.0914894510934</v>
      </c>
      <c r="H363" s="13" t="n">
        <f aca="false">Units!J7*1</f>
        <v>34.5588285485368</v>
      </c>
      <c r="I363" s="13" t="n">
        <f aca="false">Units!K7*1</f>
        <v>36.9704842497676</v>
      </c>
      <c r="J363" s="13" t="n">
        <f aca="false">Units!L7*1</f>
        <v>39.0915276411862</v>
      </c>
      <c r="K363" s="13" t="n">
        <f aca="false">Units!M7*1</f>
        <v>41.3342579717828</v>
      </c>
      <c r="L363" s="13" t="n">
        <f aca="false">Units!N7*1</f>
        <v>43.7056565750022</v>
      </c>
      <c r="M363" s="13" t="n">
        <f aca="false">Units!O7*1</f>
        <v>46.2131053122095</v>
      </c>
      <c r="N363" s="13" t="n">
        <f aca="false">Units!P7*1</f>
        <v>48.8644095514828</v>
      </c>
      <c r="O363" s="13" t="n">
        <f aca="false">Units!Q7*1</f>
        <v>51.6678224647285</v>
      </c>
      <c r="P363" s="13" t="n">
        <f aca="false">Units!R7*1</f>
        <v>54.6320707187528</v>
      </c>
      <c r="Q363" s="13" t="n">
        <f aca="false">Units!S7*1</f>
        <v>56.9187133953845</v>
      </c>
      <c r="R363" s="13" t="n">
        <f aca="false">Units!T7*1</f>
        <v>59.8198104136917</v>
      </c>
    </row>
    <row r="364" customFormat="false" ht="17.15" hidden="false" customHeight="false" outlineLevel="0" collapsed="false">
      <c r="A364" s="5" t="s">
        <v>344</v>
      </c>
      <c r="B364" s="0" t="s">
        <v>27</v>
      </c>
      <c r="C364" s="13" t="n">
        <f aca="false">q1_rev</f>
        <v>2.308</v>
      </c>
      <c r="D364" s="13" t="n">
        <f aca="false">q2_rev</f>
        <v>3.025</v>
      </c>
      <c r="E364" s="13" t="n">
        <f aca="false">q3_rev</f>
        <v>5.95</v>
      </c>
      <c r="F364" s="13" t="n">
        <f aca="false">q4_rev</f>
        <v>8.965</v>
      </c>
      <c r="G364" s="13" t="n">
        <f aca="false">G362*sd_k</f>
        <v>11.0306149524118</v>
      </c>
      <c r="H364" s="13" t="n">
        <f aca="false">H362*sd_k</f>
        <v>12.4528316302988</v>
      </c>
      <c r="I364" s="13" t="n">
        <f aca="false">I362*sd_k</f>
        <v>13.7214961281618</v>
      </c>
      <c r="J364" s="13" t="n">
        <f aca="false">J362*sd_k</f>
        <v>14.5087156973293</v>
      </c>
      <c r="K364" s="13" t="n">
        <f aca="false">K362*sd_k</f>
        <v>14.5740440953959</v>
      </c>
      <c r="L364" s="13" t="n">
        <f aca="false">L362*sd_k</f>
        <v>14.331463139286</v>
      </c>
      <c r="M364" s="13" t="n">
        <f aca="false">M362*sd_k</f>
        <v>14.3959934222118</v>
      </c>
      <c r="N364" s="13" t="n">
        <f aca="false">N362*sd_k</f>
        <v>14.4608142656598</v>
      </c>
      <c r="O364" s="13" t="n">
        <f aca="false">O362*sd_k</f>
        <v>14.5259269779371</v>
      </c>
      <c r="P364" s="13" t="n">
        <f aca="false">P362*sd_k</f>
        <v>14.5913328732414</v>
      </c>
      <c r="Q364" s="13" t="n">
        <f aca="false">Q362*sd_k</f>
        <v>14.745996013951</v>
      </c>
      <c r="R364" s="13" t="n">
        <f aca="false">R362*sd_k</f>
        <v>15.0326589322997</v>
      </c>
      <c r="T364" s="5" t="s">
        <v>454</v>
      </c>
    </row>
    <row r="365" customFormat="false" ht="17.15" hidden="false" customHeight="false" outlineLevel="0" collapsed="false">
      <c r="A365" s="5" t="s">
        <v>455</v>
      </c>
      <c r="B365" s="0" t="s">
        <v>27</v>
      </c>
      <c r="C365" s="13" t="n">
        <f aca="false">q1_dc</f>
        <v>0.269</v>
      </c>
      <c r="D365" s="13" t="n">
        <f aca="false">q2_dc</f>
        <v>0.44</v>
      </c>
      <c r="E365" s="13" t="n">
        <f aca="false">q3_dc</f>
        <v>1.467</v>
      </c>
      <c r="F365" s="13" t="n">
        <f aca="false">q4_dc</f>
        <v>2.977</v>
      </c>
      <c r="G365" s="13" t="n">
        <f aca="false">G364*dcsh_27</f>
        <v>4.19163368191647</v>
      </c>
      <c r="H365" s="13" t="n">
        <f aca="false">H364*dcsh_27</f>
        <v>4.73207601951353</v>
      </c>
      <c r="I365" s="13" t="n">
        <f aca="false">I364*dcsh_27</f>
        <v>5.2141685287015</v>
      </c>
      <c r="J365" s="13" t="n">
        <f aca="false">J364*dcsh_27</f>
        <v>5.51331196498514</v>
      </c>
      <c r="K365" s="13" t="n">
        <f aca="false">K364*dcsh_28</f>
        <v>6.12109852006626</v>
      </c>
      <c r="L365" s="13" t="n">
        <f aca="false">L364*dcsh_28</f>
        <v>6.01921451850014</v>
      </c>
      <c r="M365" s="13" t="n">
        <f aca="false">M364*dcsh_28</f>
        <v>6.04631723732896</v>
      </c>
      <c r="N365" s="13" t="n">
        <f aca="false">N364*dcsh_28</f>
        <v>6.07354199157713</v>
      </c>
      <c r="O365" s="13" t="n">
        <f aca="false">O364*dcsh_29</f>
        <v>6.53666714007169</v>
      </c>
      <c r="P365" s="13" t="n">
        <f aca="false">P364*dcsh_29</f>
        <v>6.56609979295863</v>
      </c>
      <c r="Q365" s="13" t="n">
        <f aca="false">Q364*dcsh_29</f>
        <v>6.63569820627795</v>
      </c>
      <c r="R365" s="13" t="n">
        <f aca="false">R364*dcsh_29</f>
        <v>6.76469651953488</v>
      </c>
      <c r="T365" s="5" t="s">
        <v>456</v>
      </c>
    </row>
    <row r="366" customFormat="false" ht="17.15" hidden="false" customHeight="false" outlineLevel="0" collapsed="false">
      <c r="A366" s="5" t="s">
        <v>457</v>
      </c>
      <c r="B366" s="0" t="s">
        <v>27</v>
      </c>
      <c r="C366" s="13" t="n">
        <f aca="false">C365*(Units!C16+Units!D16)/2</f>
        <v>0.17543405707196</v>
      </c>
      <c r="D366" s="13" t="n">
        <f aca="false">D365*(Units!C16+Units!D16)/2</f>
        <v>0.286955334987593</v>
      </c>
      <c r="E366" s="13" t="n">
        <f aca="false">E365*(Units!C16+Units!D16)/2</f>
        <v>0.956735173697271</v>
      </c>
      <c r="F366" s="13" t="n">
        <f aca="false">F365*(Units!C16+Units!D16)/2</f>
        <v>1.94151370967742</v>
      </c>
      <c r="G366" s="13" t="n">
        <f aca="false">G365*(Units!D16+Units!E16)/2</f>
        <v>3.32353098753891</v>
      </c>
      <c r="H366" s="13" t="n">
        <f aca="false">H365*(Units!D16+Units!E16)/2</f>
        <v>3.75204573674775</v>
      </c>
      <c r="I366" s="13" t="n">
        <f aca="false">I365*(Units!D16+Units!E16)/2</f>
        <v>4.13429512081464</v>
      </c>
      <c r="J366" s="13" t="n">
        <f aca="false">J365*(Units!D16+Units!E16)/2</f>
        <v>4.37148485533195</v>
      </c>
      <c r="K366" s="13" t="n">
        <f aca="false">K365*(Units!E16+Units!F16)/2</f>
        <v>5.16163518420655</v>
      </c>
      <c r="L366" s="13" t="n">
        <f aca="false">L365*(Units!E16+Units!F16)/2</f>
        <v>5.07572118601366</v>
      </c>
      <c r="M366" s="13" t="n">
        <f aca="false">M365*(Units!E16+Units!F16)/2</f>
        <v>5.09857563716094</v>
      </c>
      <c r="N366" s="13" t="n">
        <f aca="false">N365*(Units!E16+Units!F16)/2</f>
        <v>5.12153299505153</v>
      </c>
      <c r="O366" s="13" t="n">
        <f aca="false">O365*(Units!F16+Units!G16)/2</f>
        <v>5.65525725199112</v>
      </c>
      <c r="P366" s="13" t="n">
        <f aca="false">P365*(Units!F16+Units!G16)/2</f>
        <v>5.68072118033831</v>
      </c>
      <c r="Q366" s="13" t="n">
        <f aca="false">Q365*(Units!F16+Units!G16)/2</f>
        <v>5.7409348830123</v>
      </c>
      <c r="R366" s="13" t="n">
        <f aca="false">R365*(Units!F16+Units!G16)/2</f>
        <v>5.85253895140195</v>
      </c>
      <c r="T366" s="5" t="s">
        <v>458</v>
      </c>
    </row>
    <row r="367" customFormat="false" ht="17.15" hidden="false" customHeight="false" outlineLevel="0" collapsed="false">
      <c r="A367" s="5" t="s">
        <v>459</v>
      </c>
      <c r="B367" s="0" t="s">
        <v>27</v>
      </c>
      <c r="C367" s="13" t="n">
        <f aca="false">C365-C366</f>
        <v>0.0935659429280397</v>
      </c>
      <c r="D367" s="13" t="n">
        <f aca="false">D365-D366</f>
        <v>0.153044665012407</v>
      </c>
      <c r="E367" s="13" t="n">
        <f aca="false">E365-E366</f>
        <v>0.51026482630273</v>
      </c>
      <c r="F367" s="13" t="n">
        <f aca="false">F365-F366</f>
        <v>1.03548629032258</v>
      </c>
      <c r="G367" s="13" t="n">
        <f aca="false">G365-G366</f>
        <v>0.868102694377567</v>
      </c>
      <c r="H367" s="13" t="n">
        <f aca="false">H365-H366</f>
        <v>0.980030282765779</v>
      </c>
      <c r="I367" s="13" t="n">
        <f aca="false">I365-I366</f>
        <v>1.07987340788686</v>
      </c>
      <c r="J367" s="13" t="n">
        <f aca="false">J365-J366</f>
        <v>1.1418271096532</v>
      </c>
      <c r="K367" s="13" t="n">
        <f aca="false">K365-K366</f>
        <v>0.959463335859709</v>
      </c>
      <c r="L367" s="13" t="n">
        <f aca="false">L365-L366</f>
        <v>0.943493332486474</v>
      </c>
      <c r="M367" s="13" t="n">
        <f aca="false">M365-M366</f>
        <v>0.947741600168022</v>
      </c>
      <c r="N367" s="13" t="n">
        <f aca="false">N365-N366</f>
        <v>0.952008996525601</v>
      </c>
      <c r="O367" s="13" t="n">
        <f aca="false">O365-O366</f>
        <v>0.881409888080571</v>
      </c>
      <c r="P367" s="13" t="n">
        <f aca="false">P365-P366</f>
        <v>0.885378612620321</v>
      </c>
      <c r="Q367" s="13" t="n">
        <f aca="false">Q365-Q366</f>
        <v>0.894763323265645</v>
      </c>
      <c r="R367" s="13" t="n">
        <f aca="false">R365-R366</f>
        <v>0.912157568132935</v>
      </c>
    </row>
    <row r="368" customFormat="false" ht="15" hidden="false" customHeight="false" outlineLevel="0" collapsed="false">
      <c r="A368" s="5" t="s">
        <v>460</v>
      </c>
      <c r="B368" s="0" t="s">
        <v>27</v>
      </c>
      <c r="C368" s="13" t="n">
        <f aca="false">q1_cs</f>
        <v>0.652</v>
      </c>
      <c r="D368" s="13" t="n">
        <f aca="false">q2_cs</f>
        <v>0.907</v>
      </c>
      <c r="E368" s="13" t="n">
        <f aca="false">q3_cs</f>
        <v>0.82</v>
      </c>
      <c r="F368" s="13" t="n">
        <f aca="false">q4_cs</f>
        <v>0.556</v>
      </c>
      <c r="G368" s="13" t="n">
        <f aca="false">G364*cssh_27</f>
        <v>0.661836897144706</v>
      </c>
      <c r="H368" s="13" t="n">
        <f aca="false">H364*cssh_27</f>
        <v>0.747169897817925</v>
      </c>
      <c r="I368" s="13" t="n">
        <f aca="false">I364*cssh_27</f>
        <v>0.82328976768971</v>
      </c>
      <c r="J368" s="13" t="n">
        <f aca="false">J364*cssh_27</f>
        <v>0.87052294183976</v>
      </c>
      <c r="K368" s="13" t="n">
        <f aca="false">K364*cssh_28</f>
        <v>0.874442645723751</v>
      </c>
      <c r="L368" s="13" t="n">
        <f aca="false">L364*cssh_28</f>
        <v>0.859887788357163</v>
      </c>
      <c r="M368" s="13" t="n">
        <f aca="false">M364*cssh_28</f>
        <v>0.863759605332708</v>
      </c>
      <c r="N368" s="13" t="n">
        <f aca="false">N364*cssh_28</f>
        <v>0.867648855939591</v>
      </c>
      <c r="O368" s="13" t="n">
        <f aca="false">O364*cssh_29</f>
        <v>0.871555618676226</v>
      </c>
      <c r="P368" s="13" t="n">
        <f aca="false">P364*cssh_29</f>
        <v>0.875479972394484</v>
      </c>
      <c r="Q368" s="13" t="n">
        <f aca="false">Q364*cssh_29</f>
        <v>0.88475976083706</v>
      </c>
      <c r="R368" s="13" t="n">
        <f aca="false">R364*cssh_29</f>
        <v>0.901959535937984</v>
      </c>
      <c r="T368" s="5" t="s">
        <v>461</v>
      </c>
    </row>
    <row r="369" customFormat="false" ht="15" hidden="false" customHeight="false" outlineLevel="0" collapsed="false">
      <c r="A369" s="5" t="s">
        <v>462</v>
      </c>
      <c r="B369" s="0" t="s">
        <v>27</v>
      </c>
      <c r="C369" s="13" t="n">
        <f aca="false">q1_ed</f>
        <v>1.387</v>
      </c>
      <c r="D369" s="13" t="n">
        <f aca="false">q2_ed</f>
        <v>1.678</v>
      </c>
      <c r="E369" s="13" t="n">
        <f aca="false">q3_ed</f>
        <v>3.663</v>
      </c>
      <c r="F369" s="13" t="n">
        <f aca="false">q4_ed</f>
        <v>5.432</v>
      </c>
      <c r="G369" s="13" t="n">
        <f aca="false">G364-G365-G368</f>
        <v>6.17714437335059</v>
      </c>
      <c r="H369" s="13" t="n">
        <f aca="false">H364-H365-H368</f>
        <v>6.9735857129673</v>
      </c>
      <c r="I369" s="13" t="n">
        <f aca="false">I364-I365-I368</f>
        <v>7.68403783177063</v>
      </c>
      <c r="J369" s="13" t="n">
        <f aca="false">J364-J365-J368</f>
        <v>8.12488079050442</v>
      </c>
      <c r="K369" s="13" t="n">
        <f aca="false">K364-K365-K368</f>
        <v>7.57850292960584</v>
      </c>
      <c r="L369" s="13" t="n">
        <f aca="false">L364-L365-L368</f>
        <v>7.45236083242874</v>
      </c>
      <c r="M369" s="13" t="n">
        <f aca="false">M364-M365-M368</f>
        <v>7.48591657955014</v>
      </c>
      <c r="N369" s="13" t="n">
        <f aca="false">N364-N365-N368</f>
        <v>7.51962341814312</v>
      </c>
      <c r="O369" s="13" t="n">
        <f aca="false">O364-O365-O368</f>
        <v>7.11770421918918</v>
      </c>
      <c r="P369" s="13" t="n">
        <f aca="false">P364-P365-P368</f>
        <v>7.14975310788828</v>
      </c>
      <c r="Q369" s="13" t="n">
        <f aca="false">Q364-Q365-Q368</f>
        <v>7.22553804683599</v>
      </c>
      <c r="R369" s="13" t="n">
        <f aca="false">R364-R365-R368</f>
        <v>7.36600287682687</v>
      </c>
      <c r="T369" s="5" t="s">
        <v>463</v>
      </c>
    </row>
    <row r="370" customFormat="false" ht="15" hidden="false" customHeight="false" outlineLevel="0" collapsed="false">
      <c r="A370" s="5" t="s">
        <v>464</v>
      </c>
      <c r="B370" s="0" t="s">
        <v>27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465</v>
      </c>
      <c r="B371" s="0" t="s">
        <v>466</v>
      </c>
      <c r="C371" s="19" t="n">
        <f aca="false">C372/C363</f>
        <v>0.0520045391183812</v>
      </c>
      <c r="D371" s="19" t="n">
        <f aca="false">D372/D363</f>
        <v>0.0443170902760084</v>
      </c>
      <c r="E371" s="19" t="n">
        <f aca="false">E372/E363</f>
        <v>0.0337594565796481</v>
      </c>
      <c r="F371" s="19" t="n">
        <f aca="false">F372/F363</f>
        <v>0.0410685412637144</v>
      </c>
      <c r="G371" s="19" t="n">
        <f aca="false">(1-g_gm_lo)*G364/G363</f>
        <v>0.0516672215722019</v>
      </c>
      <c r="H371" s="19" t="n">
        <f aca="false">$G371*(1-cd_A)^(1/4)</f>
        <v>0.0497553425543945</v>
      </c>
      <c r="I371" s="19" t="n">
        <f aca="false">$G371*(1-cd_A)^(2/4)</f>
        <v>0.0479142101582846</v>
      </c>
      <c r="J371" s="19" t="n">
        <f aca="false">$G371*(1-cd_A)^(3/4)</f>
        <v>0.0461412064962157</v>
      </c>
      <c r="K371" s="19" t="n">
        <f aca="false">$G371*(1-cd_A)^(4/4)</f>
        <v>0.0444338105520936</v>
      </c>
      <c r="L371" s="19" t="n">
        <f aca="false">$G371*(1-cd_A)^(5/4)</f>
        <v>0.0427895945967793</v>
      </c>
      <c r="M371" s="19" t="n">
        <f aca="false">$G371*(1-cd_A)^(6/4)</f>
        <v>0.0412062207361248</v>
      </c>
      <c r="N371" s="19" t="n">
        <f aca="false">$G371*(1-cd_A)^(7/4)</f>
        <v>0.0396814375867455</v>
      </c>
      <c r="O371" s="19" t="n">
        <f aca="false">$G371*(1-cd_A)^(8/4)</f>
        <v>0.0382130770748005</v>
      </c>
      <c r="P371" s="19" t="n">
        <f aca="false">$G371*(1-cd_A)^(9/4)</f>
        <v>0.0367990513532302</v>
      </c>
      <c r="Q371" s="19" t="n">
        <f aca="false">$G371*(1-cd_A)^(10/4)</f>
        <v>0.0354373498330673</v>
      </c>
      <c r="R371" s="19" t="n">
        <f aca="false">$G371*(1-cd_A)^(11/4)</f>
        <v>0.0341260363246012</v>
      </c>
    </row>
    <row r="372" customFormat="false" ht="15" hidden="false" customHeight="false" outlineLevel="0" collapsed="false">
      <c r="A372" s="5" t="s">
        <v>467</v>
      </c>
      <c r="B372" s="0" t="s">
        <v>27</v>
      </c>
      <c r="C372" s="13" t="n">
        <f aca="false">q1_rev*(1-q1_gm)</f>
        <v>1.620216</v>
      </c>
      <c r="D372" s="13" t="n">
        <f aca="false">q2_rev*(1-q2_gm)</f>
        <v>1.485275</v>
      </c>
      <c r="E372" s="13" t="n">
        <f aca="false">q3_rev*(1-q3_gm)</f>
        <v>1.2852</v>
      </c>
      <c r="F372" s="13" t="n">
        <f aca="false">q4_rev*(1-q4_gm)</f>
        <v>1.38061</v>
      </c>
      <c r="G372" s="13" t="n">
        <f aca="false">G363*G371</f>
        <v>1.70974531762383</v>
      </c>
      <c r="H372" s="13" t="n">
        <f aca="false">H363*H371</f>
        <v>1.71948635271104</v>
      </c>
      <c r="I372" s="13" t="n">
        <f aca="false">I363*I371</f>
        <v>1.77141155199692</v>
      </c>
      <c r="J372" s="13" t="n">
        <f aca="false">J363*J371</f>
        <v>1.8037302491445</v>
      </c>
      <c r="K372" s="13" t="n">
        <f aca="false">K363*K371</f>
        <v>1.83663858802956</v>
      </c>
      <c r="L372" s="13" t="n">
        <f aca="false">L363*L371</f>
        <v>1.8701473264304</v>
      </c>
      <c r="M372" s="13" t="n">
        <f aca="false">M363*M371</f>
        <v>1.90426741839669</v>
      </c>
      <c r="N372" s="13" t="n">
        <f aca="false">N363*N371</f>
        <v>1.93901001783034</v>
      </c>
      <c r="O372" s="13" t="n">
        <f aca="false">O363*O371</f>
        <v>1.97438648213178</v>
      </c>
      <c r="P372" s="13" t="n">
        <f aca="false">P363*P371</f>
        <v>2.01040837591269</v>
      </c>
      <c r="Q372" s="13" t="n">
        <f aca="false">Q363*Q371</f>
        <v>2.01704835864034</v>
      </c>
      <c r="R372" s="13" t="n">
        <f aca="false">R363*R371</f>
        <v>2.0414130231084</v>
      </c>
    </row>
    <row r="373" customFormat="false" ht="15" hidden="false" customHeight="false" outlineLevel="0" collapsed="false">
      <c r="A373" s="5" t="s">
        <v>423</v>
      </c>
      <c r="B373" s="0" t="s">
        <v>33</v>
      </c>
      <c r="C373" s="14" t="n">
        <f aca="false">1-C372/C364</f>
        <v>0.298</v>
      </c>
      <c r="D373" s="14" t="n">
        <f aca="false">1-D372/D364</f>
        <v>0.509</v>
      </c>
      <c r="E373" s="14" t="n">
        <f aca="false">1-E372/E364</f>
        <v>0.784</v>
      </c>
      <c r="F373" s="14" t="n">
        <f aca="false">1-F372/F364</f>
        <v>0.846</v>
      </c>
      <c r="G373" s="14" t="n">
        <f aca="false">1-G372/G364</f>
        <v>0.845</v>
      </c>
      <c r="H373" s="14" t="n">
        <f aca="false">1-H372/H364</f>
        <v>0.861920051297619</v>
      </c>
      <c r="I373" s="14" t="n">
        <f aca="false">1-I372/I364</f>
        <v>0.870902448577652</v>
      </c>
      <c r="J373" s="14" t="n">
        <f aca="false">1-J372/J364</f>
        <v>0.875679537267622</v>
      </c>
      <c r="K373" s="14" t="n">
        <f aca="false">1-K372/K364</f>
        <v>0.873978795727002</v>
      </c>
      <c r="L373" s="14" t="n">
        <f aca="false">1-L372/L364</f>
        <v>0.869507578657208</v>
      </c>
      <c r="M373" s="14" t="n">
        <f aca="false">1-M372/M364</f>
        <v>0.867722402855606</v>
      </c>
      <c r="N373" s="14" t="n">
        <f aca="false">1-N372/N364</f>
        <v>0.865912805308971</v>
      </c>
      <c r="O373" s="14" t="n">
        <f aca="false">1-O372/O364</f>
        <v>0.864078451920445</v>
      </c>
      <c r="P373" s="14" t="n">
        <f aca="false">1-P372/P364</f>
        <v>0.86221900402262</v>
      </c>
      <c r="Q373" s="14" t="n">
        <f aca="false">1-Q372/Q364</f>
        <v>0.863213827215738</v>
      </c>
      <c r="R373" s="14" t="n">
        <f aca="false">1-R372/R364</f>
        <v>0.864201467464805</v>
      </c>
    </row>
    <row r="374" customFormat="false" ht="17.15" hidden="false" customHeight="false" outlineLevel="0" collapsed="false">
      <c r="A374" s="5" t="s">
        <v>468</v>
      </c>
      <c r="B374" s="0" t="s">
        <v>27</v>
      </c>
      <c r="C374" s="13" t="n">
        <f aca="false">q1_rev-q1_rev*(1-q1_gm)-q1_op</f>
        <v>0.511784</v>
      </c>
      <c r="D374" s="13" t="n">
        <f aca="false">q2_rev-q2_rev*(1-q2_gm)-q2_op</f>
        <v>0.474725</v>
      </c>
      <c r="E374" s="13" t="n">
        <f aca="false">q3_rev-q3_rev*(1-q3_gm)-q3_op</f>
        <v>0.553800000000001</v>
      </c>
      <c r="F374" s="13" t="n">
        <f aca="false">q4_rev-q4_rev*(1-q4_gm)-q4_op</f>
        <v>0.54739</v>
      </c>
      <c r="G374" s="13" t="n">
        <f aca="false">(g_ox-ox_var*g_rev)*(1+ox_g)^(0/4)+ox_var*G364</f>
        <v>0.581996149524118</v>
      </c>
      <c r="H374" s="13" t="n">
        <f aca="false">(g_ox-ox_var*g_rev)*(1+ox_g)^(1/4)+ox_var*H364</f>
        <v>0.607592502307229</v>
      </c>
      <c r="I374" s="13" t="n">
        <f aca="false">(g_ox-ox_var*g_rev)*(1+ox_g)^(2/4)+ox_var*I364</f>
        <v>0.631927606874997</v>
      </c>
      <c r="J374" s="13" t="n">
        <f aca="false">(g_ox-ox_var*g_rev)*(1+ox_g)^(3/4)+ox_var*J364</f>
        <v>0.651729149488654</v>
      </c>
      <c r="K374" s="13" t="n">
        <f aca="false">(g_ox-ox_var*g_rev)*(1+ox_g)^(4/4)+ox_var*K364</f>
        <v>0.664599440953958</v>
      </c>
      <c r="L374" s="13" t="n">
        <f aca="false">(g_ox-ox_var*g_rev)*(1+ox_g)^(5/4)+ox_var*L364</f>
        <v>0.674685235997527</v>
      </c>
      <c r="M374" s="13" t="n">
        <f aca="false">(g_ox-ox_var*g_rev)*(1+ox_g)^(6/4)+ox_var*M364</f>
        <v>0.688143844374835</v>
      </c>
      <c r="N374" s="13" t="n">
        <f aca="false">(g_ox-ox_var*g_rev)*(1+ox_g)^(7/4)+ox_var*N364</f>
        <v>0.701914334423495</v>
      </c>
      <c r="O374" s="13" t="n">
        <f aca="false">(g_ox-ox_var*g_rev)*(1+ox_g)^(8/4)+ox_var*O364</f>
        <v>0.716004169779371</v>
      </c>
      <c r="P374" s="13" t="n">
        <f aca="false">(g_ox-ox_var*g_rev)*(1+ox_g)^(9/4)+ox_var*P364</f>
        <v>0.730420993797547</v>
      </c>
      <c r="Q374" s="13" t="n">
        <f aca="false">(g_ox-ox_var*g_rev)*(1+ox_g)^(10/4)+ox_var*Q364</f>
        <v>0.746062261307498</v>
      </c>
      <c r="R374" s="13" t="n">
        <f aca="false">(g_ox-ox_var*g_rev)*(1+ox_g)^(11/4)+ox_var*R364</f>
        <v>0.763363400266584</v>
      </c>
      <c r="T374" s="5" t="s">
        <v>469</v>
      </c>
    </row>
    <row r="375" customFormat="false" ht="15" hidden="false" customHeight="false" outlineLevel="0" collapsed="false">
      <c r="A375" s="5" t="s">
        <v>424</v>
      </c>
      <c r="B375" s="0" t="s">
        <v>27</v>
      </c>
      <c r="C375" s="13" t="n">
        <f aca="false">C364-C372-C374</f>
        <v>0.176</v>
      </c>
      <c r="D375" s="13" t="n">
        <f aca="false">D364-D372-D374</f>
        <v>1.065</v>
      </c>
      <c r="E375" s="13" t="n">
        <f aca="false">E364-E372-E374</f>
        <v>4.111</v>
      </c>
      <c r="F375" s="13" t="n">
        <f aca="false">F364-F372-F374</f>
        <v>7.037</v>
      </c>
      <c r="G375" s="13" t="n">
        <f aca="false">G364-G372-G374</f>
        <v>8.73887348526383</v>
      </c>
      <c r="H375" s="13" t="n">
        <f aca="false">H364-H372-H374</f>
        <v>10.1257527752805</v>
      </c>
      <c r="I375" s="13" t="n">
        <f aca="false">I364-I372-I374</f>
        <v>11.3181569692899</v>
      </c>
      <c r="J375" s="13" t="n">
        <f aca="false">J364-J372-J374</f>
        <v>12.0532562986962</v>
      </c>
      <c r="K375" s="13" t="n">
        <f aca="false">K364-K372-K374</f>
        <v>12.0728060664123</v>
      </c>
      <c r="L375" s="13" t="n">
        <f aca="false">L364-L372-L374</f>
        <v>11.7866305768581</v>
      </c>
      <c r="M375" s="13" t="n">
        <f aca="false">M364-M372-M374</f>
        <v>11.8035821594403</v>
      </c>
      <c r="N375" s="13" t="n">
        <f aca="false">N364-N372-N374</f>
        <v>11.819889913406</v>
      </c>
      <c r="O375" s="13" t="n">
        <f aca="false">O364-O372-O374</f>
        <v>11.8355363260259</v>
      </c>
      <c r="P375" s="13" t="n">
        <f aca="false">P364-P372-P374</f>
        <v>11.8505035035312</v>
      </c>
      <c r="Q375" s="13" t="n">
        <f aca="false">Q364-Q372-Q374</f>
        <v>11.9828853940032</v>
      </c>
      <c r="R375" s="13" t="n">
        <f aca="false">R364-R372-R374</f>
        <v>12.2278825089248</v>
      </c>
    </row>
    <row r="377" customFormat="false" ht="17.15" hidden="false" customHeight="false" outlineLevel="0" collapsed="false">
      <c r="A377" s="5" t="s">
        <v>426</v>
      </c>
      <c r="B377" s="0" t="s">
        <v>27</v>
      </c>
      <c r="C377" s="13" t="n">
        <f aca="false">q1_ni</f>
        <v>0.112</v>
      </c>
      <c r="D377" s="13" t="n">
        <f aca="false">q2_ni</f>
        <v>0.803</v>
      </c>
      <c r="E377" s="13" t="n">
        <f aca="false">q3_ni</f>
        <v>3.615</v>
      </c>
      <c r="F377" s="13" t="n">
        <f aca="false">q4_ni</f>
        <v>6.903</v>
      </c>
      <c r="G377" s="13" t="n">
        <f aca="false">(G375+rf*$D398/4)*(1-tax)</f>
        <v>7.46851946247426</v>
      </c>
      <c r="H377" s="13" t="n">
        <f aca="false">(H375+rf*$D398/4)*(1-tax)</f>
        <v>8.64736685898842</v>
      </c>
      <c r="I377" s="13" t="n">
        <f aca="false">(I375+rf*$D398/4)*(1-tax)</f>
        <v>9.66091042389643</v>
      </c>
      <c r="J377" s="13" t="n">
        <f aca="false">(J375+rf*$D398/4)*(1-tax)</f>
        <v>10.2857448538917</v>
      </c>
      <c r="K377" s="13" t="n">
        <f aca="false">(K375+rf*$E398/4)*(1-tax)</f>
        <v>10.4431209753532</v>
      </c>
      <c r="L377" s="13" t="n">
        <f aca="false">(L375+rf*$E398/4)*(1-tax)</f>
        <v>10.1998718092321</v>
      </c>
      <c r="M377" s="13" t="n">
        <f aca="false">(M375+rf*$E398/4)*(1-tax)</f>
        <v>10.214280654427</v>
      </c>
      <c r="N377" s="13" t="n">
        <f aca="false">(N375+rf*$E398/4)*(1-tax)</f>
        <v>10.2281422452978</v>
      </c>
      <c r="O377" s="13" t="n">
        <f aca="false">(O375+rf*$F398/4)*(1-tax)</f>
        <v>10.4020053223778</v>
      </c>
      <c r="P377" s="13" t="n">
        <f aca="false">(P375+rf*$F398/4)*(1-tax)</f>
        <v>10.4147274232573</v>
      </c>
      <c r="Q377" s="13" t="n">
        <f aca="false">(Q375+rf*$F398/4)*(1-tax)</f>
        <v>10.5272520301585</v>
      </c>
      <c r="R377" s="13" t="n">
        <f aca="false">(R375+rf*$F398/4)*(1-tax)</f>
        <v>10.7354995778418</v>
      </c>
      <c r="T377" s="5" t="s">
        <v>470</v>
      </c>
    </row>
    <row r="378" customFormat="false" ht="17.15" hidden="false" customHeight="false" outlineLevel="0" collapsed="false">
      <c r="A378" s="5" t="s">
        <v>471</v>
      </c>
      <c r="B378" s="0" t="s">
        <v>40</v>
      </c>
      <c r="G378" s="15" t="n">
        <f aca="false">G377/(sh0+dil)*1000</f>
        <v>49.4603937912202</v>
      </c>
      <c r="H378" s="15" t="n">
        <f aca="false">H377/(sh0+dil)*1000</f>
        <v>57.2673301919763</v>
      </c>
      <c r="I378" s="15" t="n">
        <f aca="false">I377/(sh0+dil)*1000</f>
        <v>63.9795392311022</v>
      </c>
      <c r="J378" s="15" t="n">
        <f aca="false">J377/(sh0+dil)*1000</f>
        <v>68.1175155886871</v>
      </c>
      <c r="K378" s="15" t="n">
        <f aca="false">K377/(sh0+dil)*1000</f>
        <v>69.1597415586305</v>
      </c>
      <c r="L378" s="15" t="n">
        <f aca="false">L377/(sh0+dil)*1000</f>
        <v>67.5488199286895</v>
      </c>
      <c r="M378" s="15" t="n">
        <f aca="false">M377/(sh0+dil)*1000</f>
        <v>67.6442427445494</v>
      </c>
      <c r="N378" s="15" t="n">
        <f aca="false">N377/(sh0+dil)*1000</f>
        <v>67.7360413595883</v>
      </c>
      <c r="O378" s="15" t="n">
        <f aca="false">O377/(sh0+dil)*1000</f>
        <v>68.8874524660784</v>
      </c>
      <c r="P378" s="15" t="n">
        <f aca="false">P377/(sh0+dil)*1000</f>
        <v>68.9717047897833</v>
      </c>
      <c r="Q378" s="15" t="n">
        <f aca="false">Q377/(sh0+dil)*1000</f>
        <v>69.7169008619767</v>
      </c>
      <c r="R378" s="15" t="n">
        <f aca="false">R377/(sh0+dil)*1000</f>
        <v>71.0960236943168</v>
      </c>
    </row>
    <row r="380" customFormat="false" ht="17.15" hidden="false" customHeight="false" outlineLevel="0" collapsed="false">
      <c r="A380" s="12" t="s">
        <v>472</v>
      </c>
      <c r="B380" s="6" t="s">
        <v>17</v>
      </c>
      <c r="C380" s="12" t="s">
        <v>413</v>
      </c>
      <c r="D380" s="12" t="s">
        <v>414</v>
      </c>
      <c r="E380" s="12" t="s">
        <v>415</v>
      </c>
      <c r="F380" s="12" t="s">
        <v>416</v>
      </c>
      <c r="G380" s="12" t="s">
        <v>417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321</v>
      </c>
    </row>
    <row r="381" customFormat="false" ht="15" hidden="false" customHeight="false" outlineLevel="0" collapsed="false">
      <c r="A381" s="5" t="s">
        <v>344</v>
      </c>
      <c r="B381" s="0" t="s">
        <v>27</v>
      </c>
      <c r="C381" s="13" t="n">
        <f aca="false">a25_rev</f>
        <v>7.355</v>
      </c>
      <c r="D381" s="13" t="n">
        <f aca="false">SUM(C364:F364)</f>
        <v>20.248</v>
      </c>
      <c r="E381" s="13" t="n">
        <f aca="false">SUM(G364:J364)</f>
        <v>51.7136584082017</v>
      </c>
      <c r="F381" s="13" t="n">
        <f aca="false">SUM(K364:N364)</f>
        <v>57.7623149225535</v>
      </c>
      <c r="G381" s="13" t="n">
        <f aca="false">SUM(O364:R364)</f>
        <v>58.8959147974292</v>
      </c>
    </row>
    <row r="382" customFormat="false" ht="15" hidden="false" customHeight="false" outlineLevel="0" collapsed="false">
      <c r="A382" s="5" t="s">
        <v>473</v>
      </c>
      <c r="B382" s="0" t="s">
        <v>27</v>
      </c>
      <c r="D382" s="13" t="n">
        <f aca="false">SUM(C365:F365)</f>
        <v>5.153</v>
      </c>
      <c r="E382" s="13" t="n">
        <f aca="false">SUM(G365:J365)</f>
        <v>19.6511901951166</v>
      </c>
      <c r="F382" s="13" t="n">
        <f aca="false">SUM(K365:N365)</f>
        <v>24.2601722674725</v>
      </c>
      <c r="G382" s="13" t="n">
        <f aca="false">SUM(O365:R365)</f>
        <v>26.5031616588432</v>
      </c>
    </row>
    <row r="383" customFormat="false" ht="17.15" hidden="false" customHeight="false" outlineLevel="0" collapsed="false">
      <c r="A383" s="5" t="s">
        <v>474</v>
      </c>
      <c r="B383" s="0" t="s">
        <v>27</v>
      </c>
      <c r="D383" s="13" t="n">
        <f aca="false">SUM(C366:F366)</f>
        <v>3.36063827543424</v>
      </c>
      <c r="E383" s="13" t="n">
        <f aca="false">SUM(G366:J366)</f>
        <v>15.5813567004332</v>
      </c>
      <c r="F383" s="13" t="n">
        <f aca="false">SUM(K366:N366)</f>
        <v>20.4574650024327</v>
      </c>
      <c r="G383" s="13" t="n">
        <f aca="false">SUM(O366:R366)</f>
        <v>22.9294522667437</v>
      </c>
    </row>
    <row r="384" customFormat="false" ht="15" hidden="false" customHeight="false" outlineLevel="0" collapsed="false">
      <c r="A384" s="5" t="s">
        <v>475</v>
      </c>
      <c r="B384" s="0" t="s">
        <v>27</v>
      </c>
      <c r="D384" s="13" t="n">
        <f aca="false">SUM(C369:F369)</f>
        <v>12.16</v>
      </c>
      <c r="E384" s="13" t="n">
        <f aca="false">SUM(G369:J369)</f>
        <v>28.9596487085929</v>
      </c>
      <c r="F384" s="13" t="n">
        <f aca="false">SUM(K369:N369)</f>
        <v>30.0364037597278</v>
      </c>
      <c r="G384" s="13" t="n">
        <f aca="false">SUM(O369:R369)</f>
        <v>28.8589982507403</v>
      </c>
    </row>
    <row r="385" customFormat="false" ht="15" hidden="false" customHeight="false" outlineLevel="0" collapsed="false">
      <c r="A385" s="5" t="s">
        <v>476</v>
      </c>
      <c r="B385" s="0" t="s">
        <v>27</v>
      </c>
      <c r="D385" s="13" t="n">
        <f aca="false">SUM(C368:F368)</f>
        <v>2.935</v>
      </c>
      <c r="E385" s="13" t="n">
        <f aca="false">SUM(G368:J368)</f>
        <v>3.1028195044921</v>
      </c>
      <c r="F385" s="13" t="n">
        <f aca="false">SUM(K368:N368)</f>
        <v>3.46573889535321</v>
      </c>
      <c r="G385" s="13" t="n">
        <f aca="false">SUM(O368:R368)</f>
        <v>3.53375488784575</v>
      </c>
    </row>
    <row r="386" customFormat="false" ht="17.15" hidden="false" customHeight="false" outlineLevel="0" collapsed="false">
      <c r="A386" s="5" t="s">
        <v>477</v>
      </c>
      <c r="B386" s="0" t="s">
        <v>27</v>
      </c>
      <c r="D386" s="18" t="n">
        <f aca="false">D382+D384+D385-D381+ABS(D382-a26_dc)+ABS(D384-a26_ed)+ABS(D385-a26_cs)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467</v>
      </c>
      <c r="B387" s="0" t="s">
        <v>27</v>
      </c>
      <c r="D387" s="13" t="n">
        <f aca="false">SUM(C372:F372)</f>
        <v>5.771301</v>
      </c>
      <c r="E387" s="13" t="n">
        <f aca="false">SUM(G372:J372)</f>
        <v>7.00437347147628</v>
      </c>
      <c r="F387" s="13" t="n">
        <f aca="false">SUM(K372:N372)</f>
        <v>7.55006335068699</v>
      </c>
      <c r="G387" s="13" t="n">
        <f aca="false">SUM(O372:R372)</f>
        <v>8.0432562397932</v>
      </c>
    </row>
    <row r="388" customFormat="false" ht="15" hidden="false" customHeight="false" outlineLevel="0" collapsed="false">
      <c r="A388" s="5" t="s">
        <v>423</v>
      </c>
      <c r="B388" s="0" t="s">
        <v>33</v>
      </c>
      <c r="D388" s="14" t="n">
        <f aca="false">1-D387/D381</f>
        <v>0.714969330304228</v>
      </c>
      <c r="E388" s="14" t="n">
        <f aca="false">1-E387/E381</f>
        <v>0.864554671104735</v>
      </c>
      <c r="F388" s="14" t="n">
        <f aca="false">1-F387/F381</f>
        <v>0.869290845410023</v>
      </c>
      <c r="G388" s="14" t="n">
        <f aca="false">1-G387/G381</f>
        <v>0.863432697030724</v>
      </c>
    </row>
    <row r="389" customFormat="false" ht="15" hidden="false" customHeight="false" outlineLevel="0" collapsed="false">
      <c r="A389" s="5" t="s">
        <v>468</v>
      </c>
      <c r="B389" s="0" t="s">
        <v>27</v>
      </c>
      <c r="D389" s="13" t="n">
        <f aca="false">SUM(C374:F374)</f>
        <v>2.087699</v>
      </c>
      <c r="E389" s="13" t="n">
        <f aca="false">SUM(G374:J374)</f>
        <v>2.473245408195</v>
      </c>
      <c r="F389" s="13" t="n">
        <f aca="false">SUM(K374:N374)</f>
        <v>2.72934285574982</v>
      </c>
      <c r="G389" s="13" t="n">
        <f aca="false">SUM(O374:R374)</f>
        <v>2.955850825151</v>
      </c>
    </row>
    <row r="390" customFormat="false" ht="15" hidden="false" customHeight="false" outlineLevel="0" collapsed="false">
      <c r="A390" s="5" t="s">
        <v>424</v>
      </c>
      <c r="B390" s="0" t="s">
        <v>27</v>
      </c>
      <c r="D390" s="13" t="n">
        <f aca="false">SUM(C375:F375)</f>
        <v>12.389</v>
      </c>
      <c r="E390" s="13" t="n">
        <f aca="false">SUM(G375:J375)</f>
        <v>42.2360395285304</v>
      </c>
      <c r="F390" s="13" t="n">
        <f aca="false">SUM(K375:N375)</f>
        <v>47.4829087161167</v>
      </c>
      <c r="G390" s="13" t="n">
        <f aca="false">SUM(O375:R375)</f>
        <v>47.896807732485</v>
      </c>
    </row>
    <row r="391" customFormat="false" ht="15" hidden="false" customHeight="false" outlineLevel="0" collapsed="false">
      <c r="A391" s="5" t="s">
        <v>425</v>
      </c>
      <c r="B391" s="0" t="s">
        <v>33</v>
      </c>
      <c r="D391" s="14" t="n">
        <f aca="false">D390/D381</f>
        <v>0.61186290003951</v>
      </c>
      <c r="E391" s="14" t="n">
        <f aca="false">E390/E381</f>
        <v>0.816728903515978</v>
      </c>
      <c r="F391" s="14" t="n">
        <f aca="false">F390/F381</f>
        <v>0.822039573375492</v>
      </c>
      <c r="G391" s="14" t="n">
        <f aca="false">G390/G381</f>
        <v>0.813244991562228</v>
      </c>
    </row>
    <row r="392" customFormat="false" ht="15" hidden="false" customHeight="false" outlineLevel="0" collapsed="false">
      <c r="A392" s="5" t="s">
        <v>426</v>
      </c>
      <c r="B392" s="0" t="s">
        <v>27</v>
      </c>
      <c r="C392" s="13" t="n">
        <f aca="false">a25_ni</f>
        <v>-1.641</v>
      </c>
      <c r="D392" s="13" t="n">
        <f aca="false">SUM(C377:F377)</f>
        <v>11.433</v>
      </c>
      <c r="E392" s="13" t="n">
        <f aca="false">SUM(G377:J377)</f>
        <v>36.0625415992509</v>
      </c>
      <c r="F392" s="13" t="n">
        <f aca="false">SUM(K377:N377)</f>
        <v>41.0854156843101</v>
      </c>
      <c r="G392" s="13" t="n">
        <f aca="false">SUM(O377:R377)</f>
        <v>42.0794843536354</v>
      </c>
    </row>
    <row r="393" customFormat="false" ht="15" hidden="false" customHeight="false" outlineLevel="0" collapsed="false">
      <c r="A393" s="5" t="s">
        <v>478</v>
      </c>
      <c r="B393" s="0" t="s">
        <v>27</v>
      </c>
      <c r="D393" s="13" t="n">
        <f aca="false">da_y</f>
        <v>0.16</v>
      </c>
      <c r="E393" s="13" t="n">
        <f aca="false">da_y</f>
        <v>0.16</v>
      </c>
      <c r="F393" s="13" t="n">
        <f aca="false">da_y</f>
        <v>0.16</v>
      </c>
      <c r="G393" s="13" t="n">
        <f aca="false">da_y</f>
        <v>0.16</v>
      </c>
    </row>
    <row r="394" customFormat="false" ht="17.15" hidden="false" customHeight="false" outlineLevel="0" collapsed="false">
      <c r="A394" s="5" t="s">
        <v>479</v>
      </c>
      <c r="B394" s="0" t="s">
        <v>27</v>
      </c>
      <c r="D394" s="13" t="n">
        <v>0.562</v>
      </c>
      <c r="E394" s="13" t="n">
        <f aca="false">cap_r*E381</f>
        <v>3.1028195044921</v>
      </c>
      <c r="F394" s="13" t="n">
        <f aca="false">cap_r*F381</f>
        <v>3.46573889535321</v>
      </c>
      <c r="G394" s="13" t="n">
        <f aca="false">cap_r*G381</f>
        <v>3.53375488784575</v>
      </c>
      <c r="T394" s="8" t="s">
        <v>480</v>
      </c>
    </row>
    <row r="395" customFormat="false" ht="15" hidden="false" customHeight="false" outlineLevel="0" collapsed="false">
      <c r="A395" s="5" t="s">
        <v>481</v>
      </c>
      <c r="B395" s="0" t="s">
        <v>27</v>
      </c>
      <c r="D395" s="13" t="n">
        <f aca="false">D392+D393-D394</f>
        <v>11.031</v>
      </c>
      <c r="E395" s="13" t="n">
        <f aca="false">E392+E393-E394</f>
        <v>33.1197220947587</v>
      </c>
      <c r="F395" s="13" t="n">
        <f aca="false">F392+F393-F394</f>
        <v>37.7796767889569</v>
      </c>
      <c r="G395" s="13" t="n">
        <f aca="false">G392+G393-G394</f>
        <v>38.7057294657897</v>
      </c>
    </row>
    <row r="396" customFormat="false" ht="17.15" hidden="false" customHeight="false" outlineLevel="0" collapsed="false">
      <c r="A396" s="5" t="s">
        <v>482</v>
      </c>
      <c r="B396" s="0" t="s">
        <v>27</v>
      </c>
      <c r="D396" s="13" t="n">
        <v>4.524</v>
      </c>
      <c r="E396" s="13" t="n">
        <f aca="false">MAX(0,payout*E395)</f>
        <v>16.5598610473794</v>
      </c>
      <c r="F396" s="13" t="n">
        <f aca="false">MAX(0,payout*F395)</f>
        <v>18.8898383944785</v>
      </c>
      <c r="G396" s="13" t="n">
        <f aca="false">MAX(0,payout*G395)</f>
        <v>19.3528647328948</v>
      </c>
      <c r="T396" s="8" t="s">
        <v>483</v>
      </c>
    </row>
    <row r="397" customFormat="false" ht="15" hidden="false" customHeight="false" outlineLevel="0" collapsed="false">
      <c r="A397" s="5" t="s">
        <v>484</v>
      </c>
      <c r="B397" s="0" t="s">
        <v>27</v>
      </c>
      <c r="D397" s="13" t="n">
        <f aca="false">eq0</f>
        <v>15.736</v>
      </c>
      <c r="E397" s="13" t="n">
        <f aca="false">D397+E392-E396</f>
        <v>35.2386805518715</v>
      </c>
      <c r="F397" s="13" t="n">
        <f aca="false">E397+F392-F396</f>
        <v>57.4342578417032</v>
      </c>
      <c r="G397" s="13" t="n">
        <f aca="false">F397+G392-G396</f>
        <v>80.1608774624437</v>
      </c>
    </row>
    <row r="398" customFormat="false" ht="15" hidden="false" customHeight="false" outlineLevel="0" collapsed="false">
      <c r="A398" s="5" t="s">
        <v>485</v>
      </c>
      <c r="B398" s="0" t="s">
        <v>27</v>
      </c>
      <c r="D398" s="13" t="n">
        <f aca="false">nc0</f>
        <v>4.762</v>
      </c>
      <c r="E398" s="13" t="n">
        <f aca="false">D398+E395-E396</f>
        <v>21.3218610473794</v>
      </c>
      <c r="F398" s="13" t="n">
        <f aca="false">E398+F395-F396</f>
        <v>40.2116994418578</v>
      </c>
      <c r="G398" s="13" t="n">
        <f aca="false">F398+G395-G396</f>
        <v>59.5645641747527</v>
      </c>
    </row>
    <row r="399" customFormat="false" ht="15" hidden="false" customHeight="false" outlineLevel="0" collapsed="false">
      <c r="A399" s="5" t="s">
        <v>486</v>
      </c>
      <c r="B399" s="5" t="s">
        <v>152</v>
      </c>
      <c r="D399" s="20" t="n">
        <f aca="false">sh0</f>
        <v>146.42</v>
      </c>
      <c r="E399" s="20" t="n">
        <f aca="false">D399-E396/bb_px*1000</f>
        <v>133.044022804472</v>
      </c>
      <c r="F399" s="20" t="n">
        <f aca="false">E399-F396/bb_px*1000</f>
        <v>117.786041661464</v>
      </c>
      <c r="G399" s="20" t="n">
        <f aca="false">F399-G396/bb_px*1000</f>
        <v>102.154057999602</v>
      </c>
    </row>
    <row r="400" customFormat="false" ht="17.15" hidden="false" customHeight="false" outlineLevel="0" collapsed="false">
      <c r="A400" s="0" t="s">
        <v>487</v>
      </c>
      <c r="B400" s="0" t="s">
        <v>40</v>
      </c>
      <c r="C400" s="15" t="n">
        <f aca="false">a25_eps</f>
        <v>-11.32</v>
      </c>
      <c r="D400" s="15" t="n">
        <f aca="false">a26_eps</f>
        <v>73.76</v>
      </c>
      <c r="E400" s="15" t="n">
        <f aca="false">E392/(E399+dil)*1000</f>
        <v>262.036676914221</v>
      </c>
      <c r="F400" s="15" t="n">
        <f aca="false">F392/(F399+dil)*1000</f>
        <v>335.75831273497</v>
      </c>
      <c r="G400" s="15" t="n">
        <f aca="false">G392/(G399+dil)*1000</f>
        <v>394.246083605219</v>
      </c>
    </row>
    <row r="401" customFormat="false" ht="17.15" hidden="false" customHeight="false" outlineLevel="0" collapsed="false">
      <c r="A401" s="5" t="s">
        <v>488</v>
      </c>
      <c r="B401" s="0" t="s">
        <v>40</v>
      </c>
      <c r="D401" s="15" t="n">
        <f aca="false">D397/D399*1000</f>
        <v>107.471656877476</v>
      </c>
      <c r="E401" s="15" t="n">
        <f aca="false">E397/E399*1000</f>
        <v>264.864815487878</v>
      </c>
      <c r="F401" s="15" t="n">
        <f aca="false">F397/F399*1000</f>
        <v>487.615145492184</v>
      </c>
      <c r="G401" s="15" t="n">
        <f aca="false">G397/G399*1000</f>
        <v>784.705757482057</v>
      </c>
    </row>
    <row r="402" customFormat="false" ht="17.15" hidden="false" customHeight="false" outlineLevel="0" collapsed="false">
      <c r="A402" s="0" t="s">
        <v>489</v>
      </c>
      <c r="B402" s="0" t="s">
        <v>33</v>
      </c>
      <c r="D402" s="21" t="n">
        <f aca="false">D392/D397</f>
        <v>0.72655058464667</v>
      </c>
      <c r="E402" s="21" t="n">
        <f aca="false">E392/E397</f>
        <v>1.02337945219506</v>
      </c>
      <c r="F402" s="21" t="n">
        <f aca="false">F392/F397</f>
        <v>0.715346854442644</v>
      </c>
      <c r="G402" s="21" t="n">
        <f aca="false">G392/G397</f>
        <v>0.524937920912232</v>
      </c>
    </row>
    <row r="403" customFormat="false" ht="15" hidden="false" customHeight="false" outlineLevel="0" collapsed="false">
      <c r="A403" s="5" t="s">
        <v>490</v>
      </c>
      <c r="B403" s="0" t="s">
        <v>40</v>
      </c>
      <c r="E403" s="15" t="n">
        <f aca="false">E395/(E399+dil)*1000</f>
        <v>240.653640402688</v>
      </c>
      <c r="F403" s="15" t="n">
        <f aca="false">F395/(F399+dil)*1000</f>
        <v>308.743147003787</v>
      </c>
      <c r="G403" s="15" t="n">
        <f aca="false">G395/(G399+dil)*1000</f>
        <v>362.63710188864</v>
      </c>
    </row>
    <row r="404" customFormat="false" ht="17.15" hidden="false" customHeight="false" outlineLevel="0" collapsed="false">
      <c r="A404" s="5" t="s">
        <v>491</v>
      </c>
      <c r="B404" s="0" t="s">
        <v>27</v>
      </c>
      <c r="D404" s="18" t="n">
        <f aca="false">ABS(D381-a26_rev)+ABS(D392-a26_ni)</f>
        <v>0</v>
      </c>
    </row>
    <row r="410" customFormat="false" ht="17.15" hidden="false" customHeight="false" outlineLevel="0" collapsed="false">
      <c r="A410" s="3" t="s">
        <v>805</v>
      </c>
    </row>
    <row r="411" customFormat="false" ht="17.15" hidden="false" customHeight="false" outlineLevel="0" collapsed="false">
      <c r="A411" s="12" t="s">
        <v>434</v>
      </c>
      <c r="B411" s="6" t="s">
        <v>17</v>
      </c>
      <c r="C411" s="12" t="s">
        <v>435</v>
      </c>
      <c r="D411" s="12" t="s">
        <v>436</v>
      </c>
      <c r="E411" s="12" t="s">
        <v>437</v>
      </c>
      <c r="F411" s="12" t="s">
        <v>438</v>
      </c>
      <c r="G411" s="12" t="s">
        <v>439</v>
      </c>
      <c r="H411" s="12" t="s">
        <v>440</v>
      </c>
      <c r="I411" s="12" t="s">
        <v>441</v>
      </c>
      <c r="J411" s="12" t="s">
        <v>442</v>
      </c>
      <c r="K411" s="12" t="s">
        <v>443</v>
      </c>
      <c r="L411" s="12" t="s">
        <v>444</v>
      </c>
      <c r="M411" s="12" t="s">
        <v>445</v>
      </c>
      <c r="N411" s="12" t="s">
        <v>446</v>
      </c>
      <c r="O411" s="12" t="s">
        <v>447</v>
      </c>
      <c r="P411" s="12" t="s">
        <v>448</v>
      </c>
      <c r="Q411" s="12" t="s">
        <v>449</v>
      </c>
      <c r="R411" s="12" t="s">
        <v>450</v>
      </c>
      <c r="S411" s="12"/>
      <c r="T411" s="6" t="s">
        <v>321</v>
      </c>
    </row>
    <row r="412" customFormat="false" ht="17.15" hidden="false" customHeight="false" outlineLevel="0" collapsed="false">
      <c r="A412" s="5" t="s">
        <v>451</v>
      </c>
      <c r="B412" s="0" t="s">
        <v>27</v>
      </c>
      <c r="C412" s="13" t="n">
        <f aca="false">Units!E4*1</f>
        <v>2.31</v>
      </c>
      <c r="D412" s="13" t="n">
        <f aca="false">Units!F4*1</f>
        <v>3.03</v>
      </c>
      <c r="E412" s="13" t="n">
        <f aca="false">Units!G4*1</f>
        <v>5.95</v>
      </c>
      <c r="F412" s="13" t="n">
        <f aca="false">Units!H4*1</f>
        <v>8.97</v>
      </c>
      <c r="G412" s="13" t="n">
        <f aca="false">Units!I4*1</f>
        <v>11.0371522587842</v>
      </c>
      <c r="H412" s="13" t="n">
        <f aca="false">Units!J4*1*1</f>
        <v>12.4602118149868</v>
      </c>
      <c r="I412" s="13" t="n">
        <f aca="false">Units!K4*1*1</f>
        <v>13.7296281882931</v>
      </c>
      <c r="J412" s="13" t="n">
        <f aca="false">Units!L4*1*1</f>
        <v>14.5173143040247</v>
      </c>
      <c r="K412" s="13" t="n">
        <f aca="false">Units!M4*1*1</f>
        <v>14.5826814190399</v>
      </c>
      <c r="L412" s="13" t="n">
        <f aca="false">Units!N4*1*1</f>
        <v>14.3399566970533</v>
      </c>
      <c r="M412" s="13" t="n">
        <f aca="false">Units!O4*1*1</f>
        <v>14.4045252239239</v>
      </c>
      <c r="N412" s="13" t="n">
        <f aca="false">Units!P4*1*1</f>
        <v>14.4693844835178</v>
      </c>
      <c r="O412" s="13" t="n">
        <f aca="false">Units!Q4*1*1</f>
        <v>14.5345357849173</v>
      </c>
      <c r="P412" s="13" t="n">
        <f aca="false">Units!R4*1*1</f>
        <v>14.5999804430991</v>
      </c>
      <c r="Q412" s="13" t="n">
        <f aca="false">Units!S4*1*1</f>
        <v>14.7547352450932</v>
      </c>
      <c r="R412" s="13" t="n">
        <f aca="false">Units!T4*1*1</f>
        <v>15.0415680545433</v>
      </c>
      <c r="T412" s="8" t="s">
        <v>452</v>
      </c>
    </row>
    <row r="413" customFormat="false" ht="15" hidden="false" customHeight="false" outlineLevel="0" collapsed="false">
      <c r="A413" s="5" t="s">
        <v>453</v>
      </c>
      <c r="B413" s="0" t="s">
        <v>386</v>
      </c>
      <c r="C413" s="13" t="n">
        <f aca="false">Units!E7*1</f>
        <v>31.1552804325753</v>
      </c>
      <c r="D413" s="13" t="n">
        <f aca="false">Units!F7*1</f>
        <v>33.5147228924475</v>
      </c>
      <c r="E413" s="13" t="n">
        <f aca="false">Units!G7*1</f>
        <v>38.0693331650007</v>
      </c>
      <c r="F413" s="13" t="n">
        <f aca="false">Units!H7*1</f>
        <v>33.6172154529341</v>
      </c>
      <c r="G413" s="13" t="n">
        <f aca="false">Units!I7*1</f>
        <v>33.0914894510934</v>
      </c>
      <c r="H413" s="13" t="n">
        <f aca="false">Units!J7*1</f>
        <v>34.5588285485368</v>
      </c>
      <c r="I413" s="13" t="n">
        <f aca="false">Units!K7*1</f>
        <v>36.9704842497676</v>
      </c>
      <c r="J413" s="13" t="n">
        <f aca="false">Units!L7*1</f>
        <v>39.0915276411862</v>
      </c>
      <c r="K413" s="13" t="n">
        <f aca="false">Units!M7*1</f>
        <v>41.3342579717828</v>
      </c>
      <c r="L413" s="13" t="n">
        <f aca="false">Units!N7*1</f>
        <v>43.7056565750022</v>
      </c>
      <c r="M413" s="13" t="n">
        <f aca="false">Units!O7*1</f>
        <v>46.2131053122095</v>
      </c>
      <c r="N413" s="13" t="n">
        <f aca="false">Units!P7*1</f>
        <v>48.8644095514828</v>
      </c>
      <c r="O413" s="13" t="n">
        <f aca="false">Units!Q7*1</f>
        <v>51.6678224647285</v>
      </c>
      <c r="P413" s="13" t="n">
        <f aca="false">Units!R7*1</f>
        <v>54.6320707187528</v>
      </c>
      <c r="Q413" s="13" t="n">
        <f aca="false">Units!S7*1</f>
        <v>56.9187133953845</v>
      </c>
      <c r="R413" s="13" t="n">
        <f aca="false">Units!T7*1</f>
        <v>59.8198104136917</v>
      </c>
    </row>
    <row r="414" customFormat="false" ht="17.15" hidden="false" customHeight="false" outlineLevel="0" collapsed="false">
      <c r="A414" s="5" t="s">
        <v>344</v>
      </c>
      <c r="B414" s="0" t="s">
        <v>27</v>
      </c>
      <c r="C414" s="13" t="n">
        <f aca="false">q1_rev</f>
        <v>2.308</v>
      </c>
      <c r="D414" s="13" t="n">
        <f aca="false">q2_rev</f>
        <v>3.025</v>
      </c>
      <c r="E414" s="13" t="n">
        <f aca="false">q3_rev</f>
        <v>5.95</v>
      </c>
      <c r="F414" s="13" t="n">
        <f aca="false">q4_rev</f>
        <v>8.965</v>
      </c>
      <c r="G414" s="13" t="n">
        <f aca="false">G412*sd_k</f>
        <v>11.0306149524118</v>
      </c>
      <c r="H414" s="13" t="n">
        <f aca="false">H412*sd_k</f>
        <v>12.4528316302988</v>
      </c>
      <c r="I414" s="13" t="n">
        <f aca="false">I412*sd_k</f>
        <v>13.7214961281618</v>
      </c>
      <c r="J414" s="13" t="n">
        <f aca="false">J412*sd_k</f>
        <v>14.5087156973293</v>
      </c>
      <c r="K414" s="13" t="n">
        <f aca="false">K412*sd_k</f>
        <v>14.5740440953959</v>
      </c>
      <c r="L414" s="13" t="n">
        <f aca="false">L412*sd_k</f>
        <v>14.331463139286</v>
      </c>
      <c r="M414" s="13" t="n">
        <f aca="false">M412*sd_k</f>
        <v>14.3959934222118</v>
      </c>
      <c r="N414" s="13" t="n">
        <f aca="false">N412*sd_k</f>
        <v>14.4608142656598</v>
      </c>
      <c r="O414" s="13" t="n">
        <f aca="false">O412*sd_k</f>
        <v>14.5259269779371</v>
      </c>
      <c r="P414" s="13" t="n">
        <f aca="false">P412*sd_k</f>
        <v>14.5913328732414</v>
      </c>
      <c r="Q414" s="13" t="n">
        <f aca="false">Q412*sd_k</f>
        <v>14.745996013951</v>
      </c>
      <c r="R414" s="13" t="n">
        <f aca="false">R412*sd_k</f>
        <v>15.0326589322997</v>
      </c>
      <c r="T414" s="5" t="s">
        <v>454</v>
      </c>
    </row>
    <row r="415" customFormat="false" ht="17.15" hidden="false" customHeight="false" outlineLevel="0" collapsed="false">
      <c r="A415" s="5" t="s">
        <v>455</v>
      </c>
      <c r="B415" s="0" t="s">
        <v>27</v>
      </c>
      <c r="C415" s="13" t="n">
        <f aca="false">q1_dc</f>
        <v>0.269</v>
      </c>
      <c r="D415" s="13" t="n">
        <f aca="false">q2_dc</f>
        <v>0.44</v>
      </c>
      <c r="E415" s="13" t="n">
        <f aca="false">q3_dc</f>
        <v>1.467</v>
      </c>
      <c r="F415" s="13" t="n">
        <f aca="false">q4_dc</f>
        <v>2.977</v>
      </c>
      <c r="G415" s="13" t="n">
        <f aca="false">G414*dcsh_27</f>
        <v>4.19163368191647</v>
      </c>
      <c r="H415" s="13" t="n">
        <f aca="false">H414*dcsh_27</f>
        <v>4.73207601951353</v>
      </c>
      <c r="I415" s="13" t="n">
        <f aca="false">I414*dcsh_27</f>
        <v>5.2141685287015</v>
      </c>
      <c r="J415" s="13" t="n">
        <f aca="false">J414*dcsh_27</f>
        <v>5.51331196498514</v>
      </c>
      <c r="K415" s="13" t="n">
        <f aca="false">K414*dcsh_28</f>
        <v>6.12109852006626</v>
      </c>
      <c r="L415" s="13" t="n">
        <f aca="false">L414*dcsh_28</f>
        <v>6.01921451850014</v>
      </c>
      <c r="M415" s="13" t="n">
        <f aca="false">M414*dcsh_28</f>
        <v>6.04631723732896</v>
      </c>
      <c r="N415" s="13" t="n">
        <f aca="false">N414*dcsh_28</f>
        <v>6.07354199157713</v>
      </c>
      <c r="O415" s="13" t="n">
        <f aca="false">O414*dcsh_29</f>
        <v>6.53666714007169</v>
      </c>
      <c r="P415" s="13" t="n">
        <f aca="false">P414*dcsh_29</f>
        <v>6.56609979295863</v>
      </c>
      <c r="Q415" s="13" t="n">
        <f aca="false">Q414*dcsh_29</f>
        <v>6.63569820627795</v>
      </c>
      <c r="R415" s="13" t="n">
        <f aca="false">R414*dcsh_29</f>
        <v>6.76469651953488</v>
      </c>
      <c r="T415" s="5" t="s">
        <v>456</v>
      </c>
    </row>
    <row r="416" customFormat="false" ht="17.15" hidden="false" customHeight="false" outlineLevel="0" collapsed="false">
      <c r="A416" s="5" t="s">
        <v>457</v>
      </c>
      <c r="B416" s="0" t="s">
        <v>27</v>
      </c>
      <c r="C416" s="13" t="n">
        <f aca="false">C415*(Units!C16+Units!D16)/2</f>
        <v>0.17543405707196</v>
      </c>
      <c r="D416" s="13" t="n">
        <f aca="false">D415*(Units!C16+Units!D16)/2</f>
        <v>0.286955334987593</v>
      </c>
      <c r="E416" s="13" t="n">
        <f aca="false">E415*(Units!C16+Units!D16)/2</f>
        <v>0.956735173697271</v>
      </c>
      <c r="F416" s="13" t="n">
        <f aca="false">F415*(Units!C16+Units!D16)/2</f>
        <v>1.94151370967742</v>
      </c>
      <c r="G416" s="13" t="n">
        <f aca="false">G415*(Units!D16+Units!E16)/2</f>
        <v>3.32353098753891</v>
      </c>
      <c r="H416" s="13" t="n">
        <f aca="false">H415*(Units!D16+Units!E16)/2</f>
        <v>3.75204573674775</v>
      </c>
      <c r="I416" s="13" t="n">
        <f aca="false">I415*(Units!D16+Units!E16)/2</f>
        <v>4.13429512081464</v>
      </c>
      <c r="J416" s="13" t="n">
        <f aca="false">J415*(Units!D16+Units!E16)/2</f>
        <v>4.37148485533195</v>
      </c>
      <c r="K416" s="13" t="n">
        <f aca="false">K415*(Units!E16+Units!F16)/2</f>
        <v>5.16163518420655</v>
      </c>
      <c r="L416" s="13" t="n">
        <f aca="false">L415*(Units!E16+Units!F16)/2</f>
        <v>5.07572118601366</v>
      </c>
      <c r="M416" s="13" t="n">
        <f aca="false">M415*(Units!E16+Units!F16)/2</f>
        <v>5.09857563716094</v>
      </c>
      <c r="N416" s="13" t="n">
        <f aca="false">N415*(Units!E16+Units!F16)/2</f>
        <v>5.12153299505153</v>
      </c>
      <c r="O416" s="13" t="n">
        <f aca="false">O415*(Units!F16+Units!G16)/2</f>
        <v>5.65525725199112</v>
      </c>
      <c r="P416" s="13" t="n">
        <f aca="false">P415*(Units!F16+Units!G16)/2</f>
        <v>5.68072118033831</v>
      </c>
      <c r="Q416" s="13" t="n">
        <f aca="false">Q415*(Units!F16+Units!G16)/2</f>
        <v>5.7409348830123</v>
      </c>
      <c r="R416" s="13" t="n">
        <f aca="false">R415*(Units!F16+Units!G16)/2</f>
        <v>5.85253895140195</v>
      </c>
      <c r="T416" s="5" t="s">
        <v>458</v>
      </c>
    </row>
    <row r="417" customFormat="false" ht="17.15" hidden="false" customHeight="false" outlineLevel="0" collapsed="false">
      <c r="A417" s="5" t="s">
        <v>459</v>
      </c>
      <c r="B417" s="0" t="s">
        <v>27</v>
      </c>
      <c r="C417" s="13" t="n">
        <f aca="false">C415-C416</f>
        <v>0.0935659429280397</v>
      </c>
      <c r="D417" s="13" t="n">
        <f aca="false">D415-D416</f>
        <v>0.153044665012407</v>
      </c>
      <c r="E417" s="13" t="n">
        <f aca="false">E415-E416</f>
        <v>0.51026482630273</v>
      </c>
      <c r="F417" s="13" t="n">
        <f aca="false">F415-F416</f>
        <v>1.03548629032258</v>
      </c>
      <c r="G417" s="13" t="n">
        <f aca="false">G415-G416</f>
        <v>0.868102694377567</v>
      </c>
      <c r="H417" s="13" t="n">
        <f aca="false">H415-H416</f>
        <v>0.980030282765779</v>
      </c>
      <c r="I417" s="13" t="n">
        <f aca="false">I415-I416</f>
        <v>1.07987340788686</v>
      </c>
      <c r="J417" s="13" t="n">
        <f aca="false">J415-J416</f>
        <v>1.1418271096532</v>
      </c>
      <c r="K417" s="13" t="n">
        <f aca="false">K415-K416</f>
        <v>0.959463335859709</v>
      </c>
      <c r="L417" s="13" t="n">
        <f aca="false">L415-L416</f>
        <v>0.943493332486474</v>
      </c>
      <c r="M417" s="13" t="n">
        <f aca="false">M415-M416</f>
        <v>0.947741600168022</v>
      </c>
      <c r="N417" s="13" t="n">
        <f aca="false">N415-N416</f>
        <v>0.952008996525601</v>
      </c>
      <c r="O417" s="13" t="n">
        <f aca="false">O415-O416</f>
        <v>0.881409888080571</v>
      </c>
      <c r="P417" s="13" t="n">
        <f aca="false">P415-P416</f>
        <v>0.885378612620321</v>
      </c>
      <c r="Q417" s="13" t="n">
        <f aca="false">Q415-Q416</f>
        <v>0.894763323265645</v>
      </c>
      <c r="R417" s="13" t="n">
        <f aca="false">R415-R416</f>
        <v>0.912157568132935</v>
      </c>
    </row>
    <row r="418" customFormat="false" ht="15" hidden="false" customHeight="false" outlineLevel="0" collapsed="false">
      <c r="A418" s="5" t="s">
        <v>460</v>
      </c>
      <c r="B418" s="0" t="s">
        <v>27</v>
      </c>
      <c r="C418" s="13" t="n">
        <f aca="false">q1_cs</f>
        <v>0.652</v>
      </c>
      <c r="D418" s="13" t="n">
        <f aca="false">q2_cs</f>
        <v>0.907</v>
      </c>
      <c r="E418" s="13" t="n">
        <f aca="false">q3_cs</f>
        <v>0.82</v>
      </c>
      <c r="F418" s="13" t="n">
        <f aca="false">q4_cs</f>
        <v>0.556</v>
      </c>
      <c r="G418" s="13" t="n">
        <f aca="false">G414*cssh_27</f>
        <v>0.661836897144706</v>
      </c>
      <c r="H418" s="13" t="n">
        <f aca="false">H414*cssh_27</f>
        <v>0.747169897817925</v>
      </c>
      <c r="I418" s="13" t="n">
        <f aca="false">I414*cssh_27</f>
        <v>0.82328976768971</v>
      </c>
      <c r="J418" s="13" t="n">
        <f aca="false">J414*cssh_27</f>
        <v>0.87052294183976</v>
      </c>
      <c r="K418" s="13" t="n">
        <f aca="false">K414*cssh_28</f>
        <v>0.874442645723751</v>
      </c>
      <c r="L418" s="13" t="n">
        <f aca="false">L414*cssh_28</f>
        <v>0.859887788357163</v>
      </c>
      <c r="M418" s="13" t="n">
        <f aca="false">M414*cssh_28</f>
        <v>0.863759605332708</v>
      </c>
      <c r="N418" s="13" t="n">
        <f aca="false">N414*cssh_28</f>
        <v>0.867648855939591</v>
      </c>
      <c r="O418" s="13" t="n">
        <f aca="false">O414*cssh_29</f>
        <v>0.871555618676226</v>
      </c>
      <c r="P418" s="13" t="n">
        <f aca="false">P414*cssh_29</f>
        <v>0.875479972394484</v>
      </c>
      <c r="Q418" s="13" t="n">
        <f aca="false">Q414*cssh_29</f>
        <v>0.88475976083706</v>
      </c>
      <c r="R418" s="13" t="n">
        <f aca="false">R414*cssh_29</f>
        <v>0.901959535937984</v>
      </c>
      <c r="T418" s="5" t="s">
        <v>461</v>
      </c>
    </row>
    <row r="419" customFormat="false" ht="15" hidden="false" customHeight="false" outlineLevel="0" collapsed="false">
      <c r="A419" s="5" t="s">
        <v>462</v>
      </c>
      <c r="B419" s="0" t="s">
        <v>27</v>
      </c>
      <c r="C419" s="13" t="n">
        <f aca="false">q1_ed</f>
        <v>1.387</v>
      </c>
      <c r="D419" s="13" t="n">
        <f aca="false">q2_ed</f>
        <v>1.678</v>
      </c>
      <c r="E419" s="13" t="n">
        <f aca="false">q3_ed</f>
        <v>3.663</v>
      </c>
      <c r="F419" s="13" t="n">
        <f aca="false">q4_ed</f>
        <v>5.432</v>
      </c>
      <c r="G419" s="13" t="n">
        <f aca="false">G414-G415-G418</f>
        <v>6.17714437335059</v>
      </c>
      <c r="H419" s="13" t="n">
        <f aca="false">H414-H415-H418</f>
        <v>6.9735857129673</v>
      </c>
      <c r="I419" s="13" t="n">
        <f aca="false">I414-I415-I418</f>
        <v>7.68403783177063</v>
      </c>
      <c r="J419" s="13" t="n">
        <f aca="false">J414-J415-J418</f>
        <v>8.12488079050442</v>
      </c>
      <c r="K419" s="13" t="n">
        <f aca="false">K414-K415-K418</f>
        <v>7.57850292960584</v>
      </c>
      <c r="L419" s="13" t="n">
        <f aca="false">L414-L415-L418</f>
        <v>7.45236083242874</v>
      </c>
      <c r="M419" s="13" t="n">
        <f aca="false">M414-M415-M418</f>
        <v>7.48591657955014</v>
      </c>
      <c r="N419" s="13" t="n">
        <f aca="false">N414-N415-N418</f>
        <v>7.51962341814312</v>
      </c>
      <c r="O419" s="13" t="n">
        <f aca="false">O414-O415-O418</f>
        <v>7.11770421918918</v>
      </c>
      <c r="P419" s="13" t="n">
        <f aca="false">P414-P415-P418</f>
        <v>7.14975310788828</v>
      </c>
      <c r="Q419" s="13" t="n">
        <f aca="false">Q414-Q415-Q418</f>
        <v>7.22553804683599</v>
      </c>
      <c r="R419" s="13" t="n">
        <f aca="false">R414-R415-R418</f>
        <v>7.36600287682687</v>
      </c>
      <c r="T419" s="5" t="s">
        <v>463</v>
      </c>
    </row>
    <row r="420" customFormat="false" ht="15" hidden="false" customHeight="false" outlineLevel="0" collapsed="false">
      <c r="A420" s="5" t="s">
        <v>464</v>
      </c>
      <c r="B420" s="0" t="s">
        <v>27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465</v>
      </c>
      <c r="B421" s="0" t="s">
        <v>466</v>
      </c>
      <c r="C421" s="19" t="n">
        <f aca="false">C422/C413</f>
        <v>0.0520045391183812</v>
      </c>
      <c r="D421" s="19" t="n">
        <f aca="false">D422/D413</f>
        <v>0.0443170902760084</v>
      </c>
      <c r="E421" s="19" t="n">
        <f aca="false">E422/E413</f>
        <v>0.0337594565796481</v>
      </c>
      <c r="F421" s="19" t="n">
        <f aca="false">F422/F413</f>
        <v>0.0410685412637144</v>
      </c>
      <c r="G421" s="19" t="n">
        <f aca="false">(1-g_gm_hi)*G414/G413</f>
        <v>0.0483338524385115</v>
      </c>
      <c r="H421" s="19" t="n">
        <f aca="false">$G421*(1-cd_A)^(1/4)</f>
        <v>0.046545320454111</v>
      </c>
      <c r="I421" s="19" t="n">
        <f aca="false">$G421*(1-cd_A)^(2/4)</f>
        <v>0.044822970793234</v>
      </c>
      <c r="J421" s="19" t="n">
        <f aca="false">$G421*(1-cd_A)^(3/4)</f>
        <v>0.0431643544642018</v>
      </c>
      <c r="K421" s="19" t="n">
        <f aca="false">$G421*(1-cd_A)^(4/4)</f>
        <v>0.0415671130971199</v>
      </c>
      <c r="L421" s="19" t="n">
        <f aca="false">$G421*(1-cd_A)^(5/4)</f>
        <v>0.0400289755905354</v>
      </c>
      <c r="M421" s="19" t="n">
        <f aca="false">$G421*(1-cd_A)^(6/4)</f>
        <v>0.0385477548821812</v>
      </c>
      <c r="N421" s="19" t="n">
        <f aca="false">$G421*(1-cd_A)^(7/4)</f>
        <v>0.0371213448392135</v>
      </c>
      <c r="O421" s="19" t="n">
        <f aca="false">$G421*(1-cd_A)^(8/4)</f>
        <v>0.0357477172635231</v>
      </c>
      <c r="P421" s="19" t="n">
        <f aca="false">$G421*(1-cd_A)^(9/4)</f>
        <v>0.0344249190078605</v>
      </c>
      <c r="Q421" s="19" t="n">
        <f aca="false">$G421*(1-cd_A)^(10/4)</f>
        <v>0.0331510691986759</v>
      </c>
      <c r="R421" s="19" t="n">
        <f aca="false">$G421*(1-cd_A)^(11/4)</f>
        <v>0.0319243565617237</v>
      </c>
    </row>
    <row r="422" customFormat="false" ht="15" hidden="false" customHeight="false" outlineLevel="0" collapsed="false">
      <c r="A422" s="5" t="s">
        <v>467</v>
      </c>
      <c r="B422" s="0" t="s">
        <v>27</v>
      </c>
      <c r="C422" s="13" t="n">
        <f aca="false">q1_rev*(1-q1_gm)</f>
        <v>1.620216</v>
      </c>
      <c r="D422" s="13" t="n">
        <f aca="false">q2_rev*(1-q2_gm)</f>
        <v>1.485275</v>
      </c>
      <c r="E422" s="13" t="n">
        <f aca="false">q3_rev*(1-q3_gm)</f>
        <v>1.2852</v>
      </c>
      <c r="F422" s="13" t="n">
        <f aca="false">q4_rev*(1-q4_gm)</f>
        <v>1.38061</v>
      </c>
      <c r="G422" s="13" t="n">
        <f aca="false">G413*G421</f>
        <v>1.59943916809971</v>
      </c>
      <c r="H422" s="13" t="n">
        <f aca="false">H413*H421</f>
        <v>1.60855174931032</v>
      </c>
      <c r="I422" s="13" t="n">
        <f aca="false">I413*I421</f>
        <v>1.65712693573905</v>
      </c>
      <c r="J422" s="13" t="n">
        <f aca="false">J413*J421</f>
        <v>1.6873605556513</v>
      </c>
      <c r="K422" s="13" t="n">
        <f aca="false">K413*K421</f>
        <v>1.71814577589862</v>
      </c>
      <c r="L422" s="13" t="n">
        <f aca="false">L413*L421</f>
        <v>1.74949266020909</v>
      </c>
      <c r="M422" s="13" t="n">
        <f aca="false">M413*M421</f>
        <v>1.78141145591948</v>
      </c>
      <c r="N422" s="13" t="n">
        <f aca="false">N413*N421</f>
        <v>1.81391259732515</v>
      </c>
      <c r="O422" s="13" t="n">
        <f aca="false">O413*O421</f>
        <v>1.84700670909102</v>
      </c>
      <c r="P422" s="13" t="n">
        <f aca="false">P413*P421</f>
        <v>1.88070460972477</v>
      </c>
      <c r="Q422" s="13" t="n">
        <f aca="false">Q413*Q421</f>
        <v>1.88691620646999</v>
      </c>
      <c r="R422" s="13" t="n">
        <f aca="false">R413*R421</f>
        <v>1.9097089571014</v>
      </c>
    </row>
    <row r="423" customFormat="false" ht="15" hidden="false" customHeight="false" outlineLevel="0" collapsed="false">
      <c r="A423" s="5" t="s">
        <v>423</v>
      </c>
      <c r="B423" s="0" t="s">
        <v>33</v>
      </c>
      <c r="C423" s="14" t="n">
        <f aca="false">1-C422/C414</f>
        <v>0.298</v>
      </c>
      <c r="D423" s="14" t="n">
        <f aca="false">1-D422/D414</f>
        <v>0.509</v>
      </c>
      <c r="E423" s="14" t="n">
        <f aca="false">1-E422/E414</f>
        <v>0.784</v>
      </c>
      <c r="F423" s="14" t="n">
        <f aca="false">1-F422/F414</f>
        <v>0.846</v>
      </c>
      <c r="G423" s="14" t="n">
        <f aca="false">1-G422/G414</f>
        <v>0.855</v>
      </c>
      <c r="H423" s="14" t="n">
        <f aca="false">1-H422/H414</f>
        <v>0.87082843508487</v>
      </c>
      <c r="I423" s="14" t="n">
        <f aca="false">1-I422/I414</f>
        <v>0.879231322862965</v>
      </c>
      <c r="J423" s="14" t="n">
        <f aca="false">1-J422/J414</f>
        <v>0.883700212282614</v>
      </c>
      <c r="K423" s="14" t="n">
        <f aca="false">1-K422/K414</f>
        <v>0.882109196002679</v>
      </c>
      <c r="L423" s="14" t="n">
        <f aca="false">1-L422/L414</f>
        <v>0.877926444550292</v>
      </c>
      <c r="M423" s="14" t="n">
        <f aca="false">1-M422/M414</f>
        <v>0.87625644138105</v>
      </c>
      <c r="N423" s="14" t="n">
        <f aca="false">1-N422/N414</f>
        <v>0.874563592063231</v>
      </c>
      <c r="O423" s="14" t="n">
        <f aca="false">1-O422/O414</f>
        <v>0.87284758405461</v>
      </c>
      <c r="P423" s="14" t="n">
        <f aca="false">1-P422/P414</f>
        <v>0.87110810053729</v>
      </c>
      <c r="Q423" s="14" t="n">
        <f aca="false">1-Q422/Q414</f>
        <v>0.872038741588917</v>
      </c>
      <c r="R423" s="14" t="n">
        <f aca="false">1-R422/R414</f>
        <v>0.872962663112237</v>
      </c>
    </row>
    <row r="424" customFormat="false" ht="17.15" hidden="false" customHeight="false" outlineLevel="0" collapsed="false">
      <c r="A424" s="5" t="s">
        <v>468</v>
      </c>
      <c r="B424" s="0" t="s">
        <v>27</v>
      </c>
      <c r="C424" s="13" t="n">
        <f aca="false">q1_rev-q1_rev*(1-q1_gm)-q1_op</f>
        <v>0.511784</v>
      </c>
      <c r="D424" s="13" t="n">
        <f aca="false">q2_rev-q2_rev*(1-q2_gm)-q2_op</f>
        <v>0.474725</v>
      </c>
      <c r="E424" s="13" t="n">
        <f aca="false">q3_rev-q3_rev*(1-q3_gm)-q3_op</f>
        <v>0.553800000000001</v>
      </c>
      <c r="F424" s="13" t="n">
        <f aca="false">q4_rev-q4_rev*(1-q4_gm)-q4_op</f>
        <v>0.54739</v>
      </c>
      <c r="G424" s="13" t="n">
        <f aca="false">(g_ox-ox_var*g_rev)*(1+ox_g)^(0/4)+ox_var*G414</f>
        <v>0.581996149524118</v>
      </c>
      <c r="H424" s="13" t="n">
        <f aca="false">(g_ox-ox_var*g_rev)*(1+ox_g)^(1/4)+ox_var*H414</f>
        <v>0.607592502307229</v>
      </c>
      <c r="I424" s="13" t="n">
        <f aca="false">(g_ox-ox_var*g_rev)*(1+ox_g)^(2/4)+ox_var*I414</f>
        <v>0.631927606874997</v>
      </c>
      <c r="J424" s="13" t="n">
        <f aca="false">(g_ox-ox_var*g_rev)*(1+ox_g)^(3/4)+ox_var*J414</f>
        <v>0.651729149488654</v>
      </c>
      <c r="K424" s="13" t="n">
        <f aca="false">(g_ox-ox_var*g_rev)*(1+ox_g)^(4/4)+ox_var*K414</f>
        <v>0.664599440953958</v>
      </c>
      <c r="L424" s="13" t="n">
        <f aca="false">(g_ox-ox_var*g_rev)*(1+ox_g)^(5/4)+ox_var*L414</f>
        <v>0.674685235997527</v>
      </c>
      <c r="M424" s="13" t="n">
        <f aca="false">(g_ox-ox_var*g_rev)*(1+ox_g)^(6/4)+ox_var*M414</f>
        <v>0.688143844374835</v>
      </c>
      <c r="N424" s="13" t="n">
        <f aca="false">(g_ox-ox_var*g_rev)*(1+ox_g)^(7/4)+ox_var*N414</f>
        <v>0.701914334423495</v>
      </c>
      <c r="O424" s="13" t="n">
        <f aca="false">(g_ox-ox_var*g_rev)*(1+ox_g)^(8/4)+ox_var*O414</f>
        <v>0.716004169779371</v>
      </c>
      <c r="P424" s="13" t="n">
        <f aca="false">(g_ox-ox_var*g_rev)*(1+ox_g)^(9/4)+ox_var*P414</f>
        <v>0.730420993797547</v>
      </c>
      <c r="Q424" s="13" t="n">
        <f aca="false">(g_ox-ox_var*g_rev)*(1+ox_g)^(10/4)+ox_var*Q414</f>
        <v>0.746062261307498</v>
      </c>
      <c r="R424" s="13" t="n">
        <f aca="false">(g_ox-ox_var*g_rev)*(1+ox_g)^(11/4)+ox_var*R414</f>
        <v>0.763363400266584</v>
      </c>
      <c r="T424" s="5" t="s">
        <v>469</v>
      </c>
    </row>
    <row r="425" customFormat="false" ht="15" hidden="false" customHeight="false" outlineLevel="0" collapsed="false">
      <c r="A425" s="5" t="s">
        <v>424</v>
      </c>
      <c r="B425" s="0" t="s">
        <v>27</v>
      </c>
      <c r="C425" s="13" t="n">
        <f aca="false">C414-C422-C424</f>
        <v>0.176</v>
      </c>
      <c r="D425" s="13" t="n">
        <f aca="false">D414-D422-D424</f>
        <v>1.065</v>
      </c>
      <c r="E425" s="13" t="n">
        <f aca="false">E414-E422-E424</f>
        <v>4.111</v>
      </c>
      <c r="F425" s="13" t="n">
        <f aca="false">F414-F422-F424</f>
        <v>7.037</v>
      </c>
      <c r="G425" s="13" t="n">
        <f aca="false">G414-G422-G424</f>
        <v>8.84917963478795</v>
      </c>
      <c r="H425" s="13" t="n">
        <f aca="false">H414-H422-H424</f>
        <v>10.2366873786812</v>
      </c>
      <c r="I425" s="13" t="n">
        <f aca="false">I414-I422-I424</f>
        <v>11.4324415855478</v>
      </c>
      <c r="J425" s="13" t="n">
        <f aca="false">J414-J422-J424</f>
        <v>12.1696259921894</v>
      </c>
      <c r="K425" s="13" t="n">
        <f aca="false">K414-K422-K424</f>
        <v>12.1912988785433</v>
      </c>
      <c r="L425" s="13" t="n">
        <f aca="false">L414-L422-L424</f>
        <v>11.9072852430794</v>
      </c>
      <c r="M425" s="13" t="n">
        <f aca="false">M414-M422-M424</f>
        <v>11.9264381219175</v>
      </c>
      <c r="N425" s="13" t="n">
        <f aca="false">N414-N422-N424</f>
        <v>11.9449873339112</v>
      </c>
      <c r="O425" s="13" t="n">
        <f aca="false">O414-O422-O424</f>
        <v>11.9629160990667</v>
      </c>
      <c r="P425" s="13" t="n">
        <f aca="false">P414-P422-P424</f>
        <v>11.9802072697191</v>
      </c>
      <c r="Q425" s="13" t="n">
        <f aca="false">Q414-Q422-Q424</f>
        <v>12.1130175461735</v>
      </c>
      <c r="R425" s="13" t="n">
        <f aca="false">R414-R422-R424</f>
        <v>12.3595865749318</v>
      </c>
    </row>
    <row r="427" customFormat="false" ht="17.15" hidden="false" customHeight="false" outlineLevel="0" collapsed="false">
      <c r="A427" s="5" t="s">
        <v>426</v>
      </c>
      <c r="B427" s="0" t="s">
        <v>27</v>
      </c>
      <c r="C427" s="13" t="n">
        <f aca="false">q1_ni</f>
        <v>0.112</v>
      </c>
      <c r="D427" s="13" t="n">
        <f aca="false">q2_ni</f>
        <v>0.803</v>
      </c>
      <c r="E427" s="13" t="n">
        <f aca="false">q3_ni</f>
        <v>3.615</v>
      </c>
      <c r="F427" s="13" t="n">
        <f aca="false">q4_ni</f>
        <v>6.903</v>
      </c>
      <c r="G427" s="13" t="n">
        <f aca="false">(G425+rf*$D448/4)*(1-tax)</f>
        <v>7.56227968956976</v>
      </c>
      <c r="H427" s="13" t="n">
        <f aca="false">(H425+rf*$D448/4)*(1-tax)</f>
        <v>8.74166127187902</v>
      </c>
      <c r="I427" s="13" t="n">
        <f aca="false">(I425+rf*$D448/4)*(1-tax)</f>
        <v>9.75805234771562</v>
      </c>
      <c r="J427" s="13" t="n">
        <f aca="false">(J425+rf*$D448/4)*(1-tax)</f>
        <v>10.384659093361</v>
      </c>
      <c r="K427" s="13" t="n">
        <f aca="false">(K425+rf*$E448/4)*(1-tax)</f>
        <v>10.5454723365784</v>
      </c>
      <c r="L427" s="13" t="n">
        <f aca="false">(L425+rf*$E448/4)*(1-tax)</f>
        <v>10.3040607464342</v>
      </c>
      <c r="M427" s="13" t="n">
        <f aca="false">(M425+rf*$E448/4)*(1-tax)</f>
        <v>10.3203406934465</v>
      </c>
      <c r="N427" s="13" t="n">
        <f aca="false">(N425+rf*$E448/4)*(1-tax)</f>
        <v>10.3361075236412</v>
      </c>
      <c r="O427" s="13" t="n">
        <f aca="false">(O425+rf*$F448/4)*(1-tax)</f>
        <v>10.5136980042435</v>
      </c>
      <c r="P427" s="13" t="n">
        <f aca="false">(P425+rf*$F448/4)*(1-tax)</f>
        <v>10.528395499298</v>
      </c>
      <c r="Q427" s="13" t="n">
        <f aca="false">(Q425+rf*$F448/4)*(1-tax)</f>
        <v>10.6412842342843</v>
      </c>
      <c r="R427" s="13" t="n">
        <f aca="false">(R425+rf*$F448/4)*(1-tax)</f>
        <v>10.8508679087288</v>
      </c>
      <c r="T427" s="5" t="s">
        <v>470</v>
      </c>
    </row>
    <row r="428" customFormat="false" ht="17.15" hidden="false" customHeight="false" outlineLevel="0" collapsed="false">
      <c r="A428" s="5" t="s">
        <v>471</v>
      </c>
      <c r="B428" s="0" t="s">
        <v>40</v>
      </c>
      <c r="G428" s="15" t="n">
        <f aca="false">G427/(sh0+dil)*1000</f>
        <v>50.0813224474818</v>
      </c>
      <c r="H428" s="15" t="n">
        <f aca="false">H427/(sh0+dil)*1000</f>
        <v>57.8917965025101</v>
      </c>
      <c r="I428" s="15" t="n">
        <f aca="false">I427/(sh0+dil)*1000</f>
        <v>64.6228632299047</v>
      </c>
      <c r="J428" s="15" t="n">
        <f aca="false">J427/(sh0+dil)*1000</f>
        <v>68.7725767772249</v>
      </c>
      <c r="K428" s="15" t="n">
        <f aca="false">K427/(sh0+dil)*1000</f>
        <v>69.8375651429034</v>
      </c>
      <c r="L428" s="15" t="n">
        <f aca="false">L427/(sh0+dil)*1000</f>
        <v>68.2388128902924</v>
      </c>
      <c r="M428" s="15" t="n">
        <f aca="false">M427/(sh0+dil)*1000</f>
        <v>68.3466271089173</v>
      </c>
      <c r="N428" s="15" t="n">
        <f aca="false">N427/(sh0+dil)*1000</f>
        <v>68.4510432029216</v>
      </c>
      <c r="O428" s="15" t="n">
        <f aca="false">O427/(sh0+dil)*1000</f>
        <v>69.6271391009504</v>
      </c>
      <c r="P428" s="15" t="n">
        <f aca="false">P427/(sh0+dil)*1000</f>
        <v>69.724473505285</v>
      </c>
      <c r="Q428" s="15" t="n">
        <f aca="false">Q427/(sh0+dil)*1000</f>
        <v>70.4720810217503</v>
      </c>
      <c r="R428" s="15" t="n">
        <f aca="false">R427/(sh0+dil)*1000</f>
        <v>71.8600523756875</v>
      </c>
    </row>
    <row r="430" customFormat="false" ht="17.15" hidden="false" customHeight="false" outlineLevel="0" collapsed="false">
      <c r="A430" s="12" t="s">
        <v>472</v>
      </c>
      <c r="B430" s="6" t="s">
        <v>17</v>
      </c>
      <c r="C430" s="12" t="s">
        <v>413</v>
      </c>
      <c r="D430" s="12" t="s">
        <v>414</v>
      </c>
      <c r="E430" s="12" t="s">
        <v>415</v>
      </c>
      <c r="F430" s="12" t="s">
        <v>416</v>
      </c>
      <c r="G430" s="12" t="s">
        <v>417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321</v>
      </c>
    </row>
    <row r="431" customFormat="false" ht="15" hidden="false" customHeight="false" outlineLevel="0" collapsed="false">
      <c r="A431" s="5" t="s">
        <v>344</v>
      </c>
      <c r="B431" s="0" t="s">
        <v>27</v>
      </c>
      <c r="C431" s="13" t="n">
        <f aca="false">a25_rev</f>
        <v>7.355</v>
      </c>
      <c r="D431" s="13" t="n">
        <f aca="false">SUM(C414:F414)</f>
        <v>20.248</v>
      </c>
      <c r="E431" s="13" t="n">
        <f aca="false">SUM(G414:J414)</f>
        <v>51.7136584082017</v>
      </c>
      <c r="F431" s="13" t="n">
        <f aca="false">SUM(K414:N414)</f>
        <v>57.7623149225535</v>
      </c>
      <c r="G431" s="13" t="n">
        <f aca="false">SUM(O414:R414)</f>
        <v>58.8959147974292</v>
      </c>
    </row>
    <row r="432" customFormat="false" ht="15" hidden="false" customHeight="false" outlineLevel="0" collapsed="false">
      <c r="A432" s="5" t="s">
        <v>473</v>
      </c>
      <c r="B432" s="0" t="s">
        <v>27</v>
      </c>
      <c r="D432" s="13" t="n">
        <f aca="false">SUM(C415:F415)</f>
        <v>5.153</v>
      </c>
      <c r="E432" s="13" t="n">
        <f aca="false">SUM(G415:J415)</f>
        <v>19.6511901951166</v>
      </c>
      <c r="F432" s="13" t="n">
        <f aca="false">SUM(K415:N415)</f>
        <v>24.2601722674725</v>
      </c>
      <c r="G432" s="13" t="n">
        <f aca="false">SUM(O415:R415)</f>
        <v>26.5031616588432</v>
      </c>
    </row>
    <row r="433" customFormat="false" ht="17.15" hidden="false" customHeight="false" outlineLevel="0" collapsed="false">
      <c r="A433" s="5" t="s">
        <v>474</v>
      </c>
      <c r="B433" s="0" t="s">
        <v>27</v>
      </c>
      <c r="D433" s="13" t="n">
        <f aca="false">SUM(C416:F416)</f>
        <v>3.36063827543424</v>
      </c>
      <c r="E433" s="13" t="n">
        <f aca="false">SUM(G416:J416)</f>
        <v>15.5813567004332</v>
      </c>
      <c r="F433" s="13" t="n">
        <f aca="false">SUM(K416:N416)</f>
        <v>20.4574650024327</v>
      </c>
      <c r="G433" s="13" t="n">
        <f aca="false">SUM(O416:R416)</f>
        <v>22.9294522667437</v>
      </c>
    </row>
    <row r="434" customFormat="false" ht="15" hidden="false" customHeight="false" outlineLevel="0" collapsed="false">
      <c r="A434" s="5" t="s">
        <v>475</v>
      </c>
      <c r="B434" s="0" t="s">
        <v>27</v>
      </c>
      <c r="D434" s="13" t="n">
        <f aca="false">SUM(C419:F419)</f>
        <v>12.16</v>
      </c>
      <c r="E434" s="13" t="n">
        <f aca="false">SUM(G419:J419)</f>
        <v>28.9596487085929</v>
      </c>
      <c r="F434" s="13" t="n">
        <f aca="false">SUM(K419:N419)</f>
        <v>30.0364037597278</v>
      </c>
      <c r="G434" s="13" t="n">
        <f aca="false">SUM(O419:R419)</f>
        <v>28.8589982507403</v>
      </c>
    </row>
    <row r="435" customFormat="false" ht="15" hidden="false" customHeight="false" outlineLevel="0" collapsed="false">
      <c r="A435" s="5" t="s">
        <v>476</v>
      </c>
      <c r="B435" s="0" t="s">
        <v>27</v>
      </c>
      <c r="D435" s="13" t="n">
        <f aca="false">SUM(C418:F418)</f>
        <v>2.935</v>
      </c>
      <c r="E435" s="13" t="n">
        <f aca="false">SUM(G418:J418)</f>
        <v>3.1028195044921</v>
      </c>
      <c r="F435" s="13" t="n">
        <f aca="false">SUM(K418:N418)</f>
        <v>3.46573889535321</v>
      </c>
      <c r="G435" s="13" t="n">
        <f aca="false">SUM(O418:R418)</f>
        <v>3.53375488784575</v>
      </c>
    </row>
    <row r="436" customFormat="false" ht="17.15" hidden="false" customHeight="false" outlineLevel="0" collapsed="false">
      <c r="A436" s="5" t="s">
        <v>477</v>
      </c>
      <c r="B436" s="0" t="s">
        <v>27</v>
      </c>
      <c r="D436" s="18" t="n">
        <f aca="false">D432+D434+D435-D431+ABS(D432-a26_dc)+ABS(D434-a26_ed)+ABS(D435-a26_cs)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467</v>
      </c>
      <c r="B437" s="0" t="s">
        <v>27</v>
      </c>
      <c r="D437" s="13" t="n">
        <f aca="false">SUM(C422:F422)</f>
        <v>5.771301</v>
      </c>
      <c r="E437" s="13" t="n">
        <f aca="false">SUM(G422:J422)</f>
        <v>6.55247840880039</v>
      </c>
      <c r="F437" s="13" t="n">
        <f aca="false">SUM(K422:N422)</f>
        <v>7.06296248935234</v>
      </c>
      <c r="G437" s="13" t="n">
        <f aca="false">SUM(O422:R422)</f>
        <v>7.52433648238718</v>
      </c>
    </row>
    <row r="438" customFormat="false" ht="15" hidden="false" customHeight="false" outlineLevel="0" collapsed="false">
      <c r="A438" s="5" t="s">
        <v>423</v>
      </c>
      <c r="B438" s="0" t="s">
        <v>33</v>
      </c>
      <c r="D438" s="14" t="n">
        <f aca="false">1-D437/D431</f>
        <v>0.714969330304228</v>
      </c>
      <c r="E438" s="14" t="n">
        <f aca="false">1-E437/E431</f>
        <v>0.873293079420558</v>
      </c>
      <c r="F438" s="14" t="n">
        <f aca="false">1-F437/F431</f>
        <v>0.877723694093247</v>
      </c>
      <c r="G438" s="14" t="n">
        <f aca="false">1-G437/G431</f>
        <v>0.872243490770677</v>
      </c>
    </row>
    <row r="439" customFormat="false" ht="15" hidden="false" customHeight="false" outlineLevel="0" collapsed="false">
      <c r="A439" s="5" t="s">
        <v>468</v>
      </c>
      <c r="B439" s="0" t="s">
        <v>27</v>
      </c>
      <c r="D439" s="13" t="n">
        <f aca="false">SUM(C424:F424)</f>
        <v>2.087699</v>
      </c>
      <c r="E439" s="13" t="n">
        <f aca="false">SUM(G424:J424)</f>
        <v>2.473245408195</v>
      </c>
      <c r="F439" s="13" t="n">
        <f aca="false">SUM(K424:N424)</f>
        <v>2.72934285574982</v>
      </c>
      <c r="G439" s="13" t="n">
        <f aca="false">SUM(O424:R424)</f>
        <v>2.955850825151</v>
      </c>
    </row>
    <row r="440" customFormat="false" ht="15" hidden="false" customHeight="false" outlineLevel="0" collapsed="false">
      <c r="A440" s="5" t="s">
        <v>424</v>
      </c>
      <c r="B440" s="0" t="s">
        <v>27</v>
      </c>
      <c r="D440" s="13" t="n">
        <f aca="false">SUM(C425:F425)</f>
        <v>12.389</v>
      </c>
      <c r="E440" s="13" t="n">
        <f aca="false">SUM(G425:J425)</f>
        <v>42.6879345912063</v>
      </c>
      <c r="F440" s="13" t="n">
        <f aca="false">SUM(K425:N425)</f>
        <v>47.9700095774514</v>
      </c>
      <c r="G440" s="13" t="n">
        <f aca="false">SUM(O425:R425)</f>
        <v>48.415727489891</v>
      </c>
    </row>
    <row r="441" customFormat="false" ht="15" hidden="false" customHeight="false" outlineLevel="0" collapsed="false">
      <c r="A441" s="5" t="s">
        <v>425</v>
      </c>
      <c r="B441" s="0" t="s">
        <v>33</v>
      </c>
      <c r="D441" s="14" t="n">
        <f aca="false">D440/D431</f>
        <v>0.61186290003951</v>
      </c>
      <c r="E441" s="14" t="n">
        <f aca="false">E440/E431</f>
        <v>0.825467311831802</v>
      </c>
      <c r="F441" s="14" t="n">
        <f aca="false">F440/F431</f>
        <v>0.830472422058717</v>
      </c>
      <c r="G441" s="14" t="n">
        <f aca="false">G440/G431</f>
        <v>0.822055785302182</v>
      </c>
    </row>
    <row r="442" customFormat="false" ht="15" hidden="false" customHeight="false" outlineLevel="0" collapsed="false">
      <c r="A442" s="5" t="s">
        <v>426</v>
      </c>
      <c r="B442" s="0" t="s">
        <v>27</v>
      </c>
      <c r="C442" s="13" t="n">
        <f aca="false">a25_ni</f>
        <v>-1.641</v>
      </c>
      <c r="D442" s="13" t="n">
        <f aca="false">SUM(C427:F427)</f>
        <v>11.433</v>
      </c>
      <c r="E442" s="13" t="n">
        <f aca="false">SUM(G427:J427)</f>
        <v>36.4466524025254</v>
      </c>
      <c r="F442" s="13" t="n">
        <f aca="false">SUM(K427:N427)</f>
        <v>41.5059813001002</v>
      </c>
      <c r="G442" s="13" t="n">
        <f aca="false">SUM(O427:R427)</f>
        <v>42.5342456465546</v>
      </c>
    </row>
    <row r="443" customFormat="false" ht="15" hidden="false" customHeight="false" outlineLevel="0" collapsed="false">
      <c r="A443" s="5" t="s">
        <v>478</v>
      </c>
      <c r="B443" s="0" t="s">
        <v>27</v>
      </c>
      <c r="D443" s="13" t="n">
        <f aca="false">da_y</f>
        <v>0.16</v>
      </c>
      <c r="E443" s="13" t="n">
        <f aca="false">da_y</f>
        <v>0.16</v>
      </c>
      <c r="F443" s="13" t="n">
        <f aca="false">da_y</f>
        <v>0.16</v>
      </c>
      <c r="G443" s="13" t="n">
        <f aca="false">da_y</f>
        <v>0.16</v>
      </c>
    </row>
    <row r="444" customFormat="false" ht="17.15" hidden="false" customHeight="false" outlineLevel="0" collapsed="false">
      <c r="A444" s="5" t="s">
        <v>479</v>
      </c>
      <c r="B444" s="0" t="s">
        <v>27</v>
      </c>
      <c r="D444" s="13" t="n">
        <v>0.562</v>
      </c>
      <c r="E444" s="13" t="n">
        <f aca="false">cap_r*E431</f>
        <v>3.1028195044921</v>
      </c>
      <c r="F444" s="13" t="n">
        <f aca="false">cap_r*F431</f>
        <v>3.46573889535321</v>
      </c>
      <c r="G444" s="13" t="n">
        <f aca="false">cap_r*G431</f>
        <v>3.53375488784575</v>
      </c>
      <c r="T444" s="8" t="s">
        <v>480</v>
      </c>
    </row>
    <row r="445" customFormat="false" ht="15" hidden="false" customHeight="false" outlineLevel="0" collapsed="false">
      <c r="A445" s="5" t="s">
        <v>481</v>
      </c>
      <c r="B445" s="0" t="s">
        <v>27</v>
      </c>
      <c r="D445" s="13" t="n">
        <f aca="false">D442+D443-D444</f>
        <v>11.031</v>
      </c>
      <c r="E445" s="13" t="n">
        <f aca="false">E442+E443-E444</f>
        <v>33.5038328980333</v>
      </c>
      <c r="F445" s="13" t="n">
        <f aca="false">F442+F443-F444</f>
        <v>38.200242404747</v>
      </c>
      <c r="G445" s="13" t="n">
        <f aca="false">G442+G443-G444</f>
        <v>39.1604907587089</v>
      </c>
    </row>
    <row r="446" customFormat="false" ht="17.15" hidden="false" customHeight="false" outlineLevel="0" collapsed="false">
      <c r="A446" s="5" t="s">
        <v>482</v>
      </c>
      <c r="B446" s="0" t="s">
        <v>27</v>
      </c>
      <c r="D446" s="13" t="n">
        <v>4.524</v>
      </c>
      <c r="E446" s="13" t="n">
        <f aca="false">MAX(0,payout*E445)</f>
        <v>16.7519164490166</v>
      </c>
      <c r="F446" s="13" t="n">
        <f aca="false">MAX(0,payout*F445)</f>
        <v>19.1001212023735</v>
      </c>
      <c r="G446" s="13" t="n">
        <f aca="false">MAX(0,payout*G445)</f>
        <v>19.5802453793544</v>
      </c>
      <c r="T446" s="8" t="s">
        <v>483</v>
      </c>
    </row>
    <row r="447" customFormat="false" ht="15" hidden="false" customHeight="false" outlineLevel="0" collapsed="false">
      <c r="A447" s="5" t="s">
        <v>484</v>
      </c>
      <c r="B447" s="0" t="s">
        <v>27</v>
      </c>
      <c r="D447" s="13" t="n">
        <f aca="false">eq0</f>
        <v>15.736</v>
      </c>
      <c r="E447" s="13" t="n">
        <f aca="false">D447+E442-E446</f>
        <v>35.4307359535087</v>
      </c>
      <c r="F447" s="13" t="n">
        <f aca="false">E447+F442-F446</f>
        <v>57.8365960512355</v>
      </c>
      <c r="G447" s="13" t="n">
        <f aca="false">F447+G442-G446</f>
        <v>80.7905963184357</v>
      </c>
    </row>
    <row r="448" customFormat="false" ht="15" hidden="false" customHeight="false" outlineLevel="0" collapsed="false">
      <c r="A448" s="5" t="s">
        <v>485</v>
      </c>
      <c r="B448" s="0" t="s">
        <v>27</v>
      </c>
      <c r="D448" s="13" t="n">
        <f aca="false">nc0</f>
        <v>4.762</v>
      </c>
      <c r="E448" s="13" t="n">
        <f aca="false">D448+E445-E446</f>
        <v>21.5139164490166</v>
      </c>
      <c r="F448" s="13" t="n">
        <f aca="false">E448+F445-F446</f>
        <v>40.6140376513901</v>
      </c>
      <c r="G448" s="13" t="n">
        <f aca="false">F448+G445-G446</f>
        <v>60.1942830307446</v>
      </c>
    </row>
    <row r="449" customFormat="false" ht="15" hidden="false" customHeight="false" outlineLevel="0" collapsed="false">
      <c r="A449" s="5" t="s">
        <v>486</v>
      </c>
      <c r="B449" s="5" t="s">
        <v>152</v>
      </c>
      <c r="D449" s="20" t="n">
        <f aca="false">sh0</f>
        <v>146.42</v>
      </c>
      <c r="E449" s="20" t="n">
        <f aca="false">D449-E446/bb_px*1000</f>
        <v>132.888892959769</v>
      </c>
      <c r="F449" s="20" t="n">
        <f aca="false">E449-F446/bb_px*1000</f>
        <v>117.461059060451</v>
      </c>
      <c r="G449" s="20" t="n">
        <f aca="false">F449-G446/bb_px*1000</f>
        <v>101.645412121883</v>
      </c>
    </row>
    <row r="450" customFormat="false" ht="17.15" hidden="false" customHeight="false" outlineLevel="0" collapsed="false">
      <c r="A450" s="0" t="s">
        <v>487</v>
      </c>
      <c r="B450" s="0" t="s">
        <v>40</v>
      </c>
      <c r="C450" s="15" t="n">
        <f aca="false">a25_eps</f>
        <v>-11.32</v>
      </c>
      <c r="D450" s="15" t="n">
        <f aca="false">a26_eps</f>
        <v>73.76</v>
      </c>
      <c r="E450" s="15" t="n">
        <f aca="false">E442/(E449+dil)*1000</f>
        <v>265.126543305994</v>
      </c>
      <c r="F450" s="15" t="n">
        <f aca="false">F442/(F449+dil)*1000</f>
        <v>340.098501435824</v>
      </c>
      <c r="G450" s="15" t="n">
        <f aca="false">G442/(G449+dil)*1000</f>
        <v>400.414974128325</v>
      </c>
    </row>
    <row r="451" customFormat="false" ht="17.15" hidden="false" customHeight="false" outlineLevel="0" collapsed="false">
      <c r="A451" s="5" t="s">
        <v>488</v>
      </c>
      <c r="B451" s="0" t="s">
        <v>40</v>
      </c>
      <c r="D451" s="15" t="n">
        <f aca="false">D447/D449*1000</f>
        <v>107.471656877476</v>
      </c>
      <c r="E451" s="15" t="n">
        <f aca="false">E447/E449*1000</f>
        <v>266.619242318731</v>
      </c>
      <c r="F451" s="15" t="n">
        <f aca="false">F447/F449*1000</f>
        <v>492.389533296053</v>
      </c>
      <c r="G451" s="15" t="n">
        <f aca="false">G447/G449*1000</f>
        <v>794.827770697208</v>
      </c>
    </row>
    <row r="452" customFormat="false" ht="17.15" hidden="false" customHeight="false" outlineLevel="0" collapsed="false">
      <c r="A452" s="0" t="s">
        <v>489</v>
      </c>
      <c r="B452" s="0" t="s">
        <v>33</v>
      </c>
      <c r="D452" s="21" t="n">
        <f aca="false">D442/D447</f>
        <v>0.72655058464667</v>
      </c>
      <c r="E452" s="21" t="n">
        <f aca="false">E442/E447</f>
        <v>1.02867330925188</v>
      </c>
      <c r="F452" s="21" t="n">
        <f aca="false">F442/F447</f>
        <v>0.717642187367519</v>
      </c>
      <c r="G452" s="21" t="n">
        <f aca="false">G442/G447</f>
        <v>0.526475203610407</v>
      </c>
    </row>
    <row r="453" customFormat="false" ht="15" hidden="false" customHeight="false" outlineLevel="0" collapsed="false">
      <c r="A453" s="5" t="s">
        <v>490</v>
      </c>
      <c r="B453" s="0" t="s">
        <v>40</v>
      </c>
      <c r="E453" s="15" t="n">
        <f aca="false">E445/(E449+dil)*1000</f>
        <v>243.719376628996</v>
      </c>
      <c r="F453" s="15" t="n">
        <f aca="false">F445/(F449+dil)*1000</f>
        <v>313.01139713828</v>
      </c>
      <c r="G453" s="15" t="n">
        <f aca="false">G445/(G449+dil)*1000</f>
        <v>368.654637119939</v>
      </c>
    </row>
    <row r="454" customFormat="false" ht="17.15" hidden="false" customHeight="false" outlineLevel="0" collapsed="false">
      <c r="A454" s="5" t="s">
        <v>491</v>
      </c>
      <c r="B454" s="0" t="s">
        <v>27</v>
      </c>
      <c r="D454" s="18" t="n">
        <f aca="false">ABS(D431-a26_rev)+ABS(D442-a26_ni)</f>
        <v>0</v>
      </c>
    </row>
    <row r="460" customFormat="false" ht="17.15" hidden="false" customHeight="false" outlineLevel="0" collapsed="false">
      <c r="A460" s="3" t="s">
        <v>806</v>
      </c>
    </row>
    <row r="461" customFormat="false" ht="17.15" hidden="false" customHeight="false" outlineLevel="0" collapsed="false">
      <c r="A461" s="12" t="s">
        <v>434</v>
      </c>
      <c r="B461" s="6" t="s">
        <v>17</v>
      </c>
      <c r="C461" s="12" t="s">
        <v>435</v>
      </c>
      <c r="D461" s="12" t="s">
        <v>436</v>
      </c>
      <c r="E461" s="12" t="s">
        <v>437</v>
      </c>
      <c r="F461" s="12" t="s">
        <v>438</v>
      </c>
      <c r="G461" s="12" t="s">
        <v>439</v>
      </c>
      <c r="H461" s="12" t="s">
        <v>440</v>
      </c>
      <c r="I461" s="12" t="s">
        <v>441</v>
      </c>
      <c r="J461" s="12" t="s">
        <v>442</v>
      </c>
      <c r="K461" s="12" t="s">
        <v>443</v>
      </c>
      <c r="L461" s="12" t="s">
        <v>444</v>
      </c>
      <c r="M461" s="12" t="s">
        <v>445</v>
      </c>
      <c r="N461" s="12" t="s">
        <v>446</v>
      </c>
      <c r="O461" s="12" t="s">
        <v>447</v>
      </c>
      <c r="P461" s="12" t="s">
        <v>448</v>
      </c>
      <c r="Q461" s="12" t="s">
        <v>449</v>
      </c>
      <c r="R461" s="12" t="s">
        <v>450</v>
      </c>
      <c r="S461" s="12"/>
      <c r="T461" s="6" t="s">
        <v>321</v>
      </c>
    </row>
    <row r="462" customFormat="false" ht="17.15" hidden="false" customHeight="false" outlineLevel="0" collapsed="false">
      <c r="A462" s="5" t="s">
        <v>451</v>
      </c>
      <c r="B462" s="0" t="s">
        <v>27</v>
      </c>
      <c r="C462" s="13" t="n">
        <f aca="false">Units!E4*1</f>
        <v>2.31</v>
      </c>
      <c r="D462" s="13" t="n">
        <f aca="false">Units!F4*1</f>
        <v>3.03</v>
      </c>
      <c r="E462" s="13" t="n">
        <f aca="false">Units!G4*1</f>
        <v>5.95</v>
      </c>
      <c r="F462" s="13" t="n">
        <f aca="false">Units!H4*1</f>
        <v>8.97</v>
      </c>
      <c r="G462" s="13" t="n">
        <f aca="false">Units!I4*1</f>
        <v>11.0371522587842</v>
      </c>
      <c r="H462" s="13" t="n">
        <f aca="false">Units!J4*1*1</f>
        <v>12.4602118149868</v>
      </c>
      <c r="I462" s="13" t="n">
        <f aca="false">Units!K4*1*1</f>
        <v>13.7296281882931</v>
      </c>
      <c r="J462" s="13" t="n">
        <f aca="false">Units!L4*1*1</f>
        <v>14.5173143040247</v>
      </c>
      <c r="K462" s="13" t="n">
        <f aca="false">Units!M4*1*1</f>
        <v>14.5826814190399</v>
      </c>
      <c r="L462" s="13" t="n">
        <f aca="false">Units!N4*1*1</f>
        <v>14.3399566970533</v>
      </c>
      <c r="M462" s="13" t="n">
        <f aca="false">Units!O4*1*1</f>
        <v>14.4045252239239</v>
      </c>
      <c r="N462" s="13" t="n">
        <f aca="false">Units!P4*1*1</f>
        <v>14.4693844835178</v>
      </c>
      <c r="O462" s="13" t="n">
        <f aca="false">Units!Q4*1*1</f>
        <v>14.5345357849173</v>
      </c>
      <c r="P462" s="13" t="n">
        <f aca="false">Units!R4*1*1</f>
        <v>14.5999804430991</v>
      </c>
      <c r="Q462" s="13" t="n">
        <f aca="false">Units!S4*1*1</f>
        <v>14.7547352450932</v>
      </c>
      <c r="R462" s="13" t="n">
        <f aca="false">Units!T4*1*1</f>
        <v>15.0415680545433</v>
      </c>
      <c r="T462" s="8" t="s">
        <v>452</v>
      </c>
    </row>
    <row r="463" customFormat="false" ht="15" hidden="false" customHeight="false" outlineLevel="0" collapsed="false">
      <c r="A463" s="5" t="s">
        <v>453</v>
      </c>
      <c r="B463" s="0" t="s">
        <v>386</v>
      </c>
      <c r="C463" s="13" t="n">
        <f aca="false">Units!E7*1</f>
        <v>31.1552804325753</v>
      </c>
      <c r="D463" s="13" t="n">
        <f aca="false">Units!F7*1</f>
        <v>33.5147228924475</v>
      </c>
      <c r="E463" s="13" t="n">
        <f aca="false">Units!G7*1</f>
        <v>38.0693331650007</v>
      </c>
      <c r="F463" s="13" t="n">
        <f aca="false">Units!H7*1</f>
        <v>33.6172154529341</v>
      </c>
      <c r="G463" s="13" t="n">
        <f aca="false">Units!I7*1</f>
        <v>33.0914894510934</v>
      </c>
      <c r="H463" s="13" t="n">
        <f aca="false">Units!J7*1</f>
        <v>34.5588285485368</v>
      </c>
      <c r="I463" s="13" t="n">
        <f aca="false">Units!K7*1</f>
        <v>36.9704842497676</v>
      </c>
      <c r="J463" s="13" t="n">
        <f aca="false">Units!L7*1</f>
        <v>39.0915276411862</v>
      </c>
      <c r="K463" s="13" t="n">
        <f aca="false">Units!M7*1</f>
        <v>41.3342579717828</v>
      </c>
      <c r="L463" s="13" t="n">
        <f aca="false">Units!N7*1</f>
        <v>43.7056565750022</v>
      </c>
      <c r="M463" s="13" t="n">
        <f aca="false">Units!O7*1</f>
        <v>46.2131053122095</v>
      </c>
      <c r="N463" s="13" t="n">
        <f aca="false">Units!P7*1</f>
        <v>48.8644095514828</v>
      </c>
      <c r="O463" s="13" t="n">
        <f aca="false">Units!Q7*1</f>
        <v>51.6678224647285</v>
      </c>
      <c r="P463" s="13" t="n">
        <f aca="false">Units!R7*1</f>
        <v>54.6320707187528</v>
      </c>
      <c r="Q463" s="13" t="n">
        <f aca="false">Units!S7*1</f>
        <v>56.9187133953845</v>
      </c>
      <c r="R463" s="13" t="n">
        <f aca="false">Units!T7*1</f>
        <v>59.8198104136917</v>
      </c>
    </row>
    <row r="464" customFormat="false" ht="17.15" hidden="false" customHeight="false" outlineLevel="0" collapsed="false">
      <c r="A464" s="5" t="s">
        <v>344</v>
      </c>
      <c r="B464" s="0" t="s">
        <v>27</v>
      </c>
      <c r="C464" s="13" t="n">
        <f aca="false">q1_rev</f>
        <v>2.308</v>
      </c>
      <c r="D464" s="13" t="n">
        <f aca="false">q2_rev</f>
        <v>3.025</v>
      </c>
      <c r="E464" s="13" t="n">
        <f aca="false">q3_rev</f>
        <v>5.95</v>
      </c>
      <c r="F464" s="13" t="n">
        <f aca="false">q4_rev</f>
        <v>8.965</v>
      </c>
      <c r="G464" s="13" t="n">
        <f aca="false">G462*sd_k</f>
        <v>11.0306149524118</v>
      </c>
      <c r="H464" s="13" t="n">
        <f aca="false">H462*sd_k</f>
        <v>12.4528316302988</v>
      </c>
      <c r="I464" s="13" t="n">
        <f aca="false">I462*sd_k</f>
        <v>13.7214961281618</v>
      </c>
      <c r="J464" s="13" t="n">
        <f aca="false">J462*sd_k</f>
        <v>14.5087156973293</v>
      </c>
      <c r="K464" s="13" t="n">
        <f aca="false">K462*sd_k</f>
        <v>14.5740440953959</v>
      </c>
      <c r="L464" s="13" t="n">
        <f aca="false">L462*sd_k</f>
        <v>14.331463139286</v>
      </c>
      <c r="M464" s="13" t="n">
        <f aca="false">M462*sd_k</f>
        <v>14.3959934222118</v>
      </c>
      <c r="N464" s="13" t="n">
        <f aca="false">N462*sd_k</f>
        <v>14.4608142656598</v>
      </c>
      <c r="O464" s="13" t="n">
        <f aca="false">O462*sd_k</f>
        <v>14.5259269779371</v>
      </c>
      <c r="P464" s="13" t="n">
        <f aca="false">P462*sd_k</f>
        <v>14.5913328732414</v>
      </c>
      <c r="Q464" s="13" t="n">
        <f aca="false">Q462*sd_k</f>
        <v>14.745996013951</v>
      </c>
      <c r="R464" s="13" t="n">
        <f aca="false">R462*sd_k</f>
        <v>15.0326589322997</v>
      </c>
      <c r="T464" s="5" t="s">
        <v>454</v>
      </c>
    </row>
    <row r="465" customFormat="false" ht="17.15" hidden="false" customHeight="false" outlineLevel="0" collapsed="false">
      <c r="A465" s="5" t="s">
        <v>455</v>
      </c>
      <c r="B465" s="0" t="s">
        <v>27</v>
      </c>
      <c r="C465" s="13" t="n">
        <f aca="false">q1_dc</f>
        <v>0.269</v>
      </c>
      <c r="D465" s="13" t="n">
        <f aca="false">q2_dc</f>
        <v>0.44</v>
      </c>
      <c r="E465" s="13" t="n">
        <f aca="false">q3_dc</f>
        <v>1.467</v>
      </c>
      <c r="F465" s="13" t="n">
        <f aca="false">q4_dc</f>
        <v>2.977</v>
      </c>
      <c r="G465" s="13" t="n">
        <f aca="false">G464*dcsh_27</f>
        <v>4.19163368191647</v>
      </c>
      <c r="H465" s="13" t="n">
        <f aca="false">H464*dcsh_27</f>
        <v>4.73207601951353</v>
      </c>
      <c r="I465" s="13" t="n">
        <f aca="false">I464*dcsh_27</f>
        <v>5.2141685287015</v>
      </c>
      <c r="J465" s="13" t="n">
        <f aca="false">J464*dcsh_27</f>
        <v>5.51331196498514</v>
      </c>
      <c r="K465" s="13" t="n">
        <f aca="false">K464*dcsh_28</f>
        <v>6.12109852006626</v>
      </c>
      <c r="L465" s="13" t="n">
        <f aca="false">L464*dcsh_28</f>
        <v>6.01921451850014</v>
      </c>
      <c r="M465" s="13" t="n">
        <f aca="false">M464*dcsh_28</f>
        <v>6.04631723732896</v>
      </c>
      <c r="N465" s="13" t="n">
        <f aca="false">N464*dcsh_28</f>
        <v>6.07354199157713</v>
      </c>
      <c r="O465" s="13" t="n">
        <f aca="false">O464*dcsh_29</f>
        <v>6.53666714007169</v>
      </c>
      <c r="P465" s="13" t="n">
        <f aca="false">P464*dcsh_29</f>
        <v>6.56609979295863</v>
      </c>
      <c r="Q465" s="13" t="n">
        <f aca="false">Q464*dcsh_29</f>
        <v>6.63569820627795</v>
      </c>
      <c r="R465" s="13" t="n">
        <f aca="false">R464*dcsh_29</f>
        <v>6.76469651953488</v>
      </c>
      <c r="T465" s="5" t="s">
        <v>456</v>
      </c>
    </row>
    <row r="466" customFormat="false" ht="17.15" hidden="false" customHeight="false" outlineLevel="0" collapsed="false">
      <c r="A466" s="5" t="s">
        <v>457</v>
      </c>
      <c r="B466" s="0" t="s">
        <v>27</v>
      </c>
      <c r="C466" s="13" t="n">
        <f aca="false">C465*(Units!C16+Units!D16)/2</f>
        <v>0.17543405707196</v>
      </c>
      <c r="D466" s="13" t="n">
        <f aca="false">D465*(Units!C16+Units!D16)/2</f>
        <v>0.286955334987593</v>
      </c>
      <c r="E466" s="13" t="n">
        <f aca="false">E465*(Units!C16+Units!D16)/2</f>
        <v>0.956735173697271</v>
      </c>
      <c r="F466" s="13" t="n">
        <f aca="false">F465*(Units!C16+Units!D16)/2</f>
        <v>1.94151370967742</v>
      </c>
      <c r="G466" s="13" t="n">
        <f aca="false">G465*(Units!D16+Units!E16)/2</f>
        <v>3.32353098753891</v>
      </c>
      <c r="H466" s="13" t="n">
        <f aca="false">H465*(Units!D16+Units!E16)/2</f>
        <v>3.75204573674775</v>
      </c>
      <c r="I466" s="13" t="n">
        <f aca="false">I465*(Units!D16+Units!E16)/2</f>
        <v>4.13429512081464</v>
      </c>
      <c r="J466" s="13" t="n">
        <f aca="false">J465*(Units!D16+Units!E16)/2</f>
        <v>4.37148485533195</v>
      </c>
      <c r="K466" s="13" t="n">
        <f aca="false">K465*(Units!E16+Units!F16)/2</f>
        <v>5.16163518420655</v>
      </c>
      <c r="L466" s="13" t="n">
        <f aca="false">L465*(Units!E16+Units!F16)/2</f>
        <v>5.07572118601366</v>
      </c>
      <c r="M466" s="13" t="n">
        <f aca="false">M465*(Units!E16+Units!F16)/2</f>
        <v>5.09857563716094</v>
      </c>
      <c r="N466" s="13" t="n">
        <f aca="false">N465*(Units!E16+Units!F16)/2</f>
        <v>5.12153299505153</v>
      </c>
      <c r="O466" s="13" t="n">
        <f aca="false">O465*(Units!F16+Units!G16)/2</f>
        <v>5.65525725199112</v>
      </c>
      <c r="P466" s="13" t="n">
        <f aca="false">P465*(Units!F16+Units!G16)/2</f>
        <v>5.68072118033831</v>
      </c>
      <c r="Q466" s="13" t="n">
        <f aca="false">Q465*(Units!F16+Units!G16)/2</f>
        <v>5.7409348830123</v>
      </c>
      <c r="R466" s="13" t="n">
        <f aca="false">R465*(Units!F16+Units!G16)/2</f>
        <v>5.85253895140195</v>
      </c>
      <c r="T466" s="5" t="s">
        <v>458</v>
      </c>
    </row>
    <row r="467" customFormat="false" ht="17.15" hidden="false" customHeight="false" outlineLevel="0" collapsed="false">
      <c r="A467" s="5" t="s">
        <v>459</v>
      </c>
      <c r="B467" s="0" t="s">
        <v>27</v>
      </c>
      <c r="C467" s="13" t="n">
        <f aca="false">C465-C466</f>
        <v>0.0935659429280397</v>
      </c>
      <c r="D467" s="13" t="n">
        <f aca="false">D465-D466</f>
        <v>0.153044665012407</v>
      </c>
      <c r="E467" s="13" t="n">
        <f aca="false">E465-E466</f>
        <v>0.51026482630273</v>
      </c>
      <c r="F467" s="13" t="n">
        <f aca="false">F465-F466</f>
        <v>1.03548629032258</v>
      </c>
      <c r="G467" s="13" t="n">
        <f aca="false">G465-G466</f>
        <v>0.868102694377567</v>
      </c>
      <c r="H467" s="13" t="n">
        <f aca="false">H465-H466</f>
        <v>0.980030282765779</v>
      </c>
      <c r="I467" s="13" t="n">
        <f aca="false">I465-I466</f>
        <v>1.07987340788686</v>
      </c>
      <c r="J467" s="13" t="n">
        <f aca="false">J465-J466</f>
        <v>1.1418271096532</v>
      </c>
      <c r="K467" s="13" t="n">
        <f aca="false">K465-K466</f>
        <v>0.959463335859709</v>
      </c>
      <c r="L467" s="13" t="n">
        <f aca="false">L465-L466</f>
        <v>0.943493332486474</v>
      </c>
      <c r="M467" s="13" t="n">
        <f aca="false">M465-M466</f>
        <v>0.947741600168022</v>
      </c>
      <c r="N467" s="13" t="n">
        <f aca="false">N465-N466</f>
        <v>0.952008996525601</v>
      </c>
      <c r="O467" s="13" t="n">
        <f aca="false">O465-O466</f>
        <v>0.881409888080571</v>
      </c>
      <c r="P467" s="13" t="n">
        <f aca="false">P465-P466</f>
        <v>0.885378612620321</v>
      </c>
      <c r="Q467" s="13" t="n">
        <f aca="false">Q465-Q466</f>
        <v>0.894763323265645</v>
      </c>
      <c r="R467" s="13" t="n">
        <f aca="false">R465-R466</f>
        <v>0.912157568132935</v>
      </c>
    </row>
    <row r="468" customFormat="false" ht="15" hidden="false" customHeight="false" outlineLevel="0" collapsed="false">
      <c r="A468" s="5" t="s">
        <v>460</v>
      </c>
      <c r="B468" s="0" t="s">
        <v>27</v>
      </c>
      <c r="C468" s="13" t="n">
        <f aca="false">q1_cs</f>
        <v>0.652</v>
      </c>
      <c r="D468" s="13" t="n">
        <f aca="false">q2_cs</f>
        <v>0.907</v>
      </c>
      <c r="E468" s="13" t="n">
        <f aca="false">q3_cs</f>
        <v>0.82</v>
      </c>
      <c r="F468" s="13" t="n">
        <f aca="false">q4_cs</f>
        <v>0.556</v>
      </c>
      <c r="G468" s="13" t="n">
        <f aca="false">G464*cssh_27</f>
        <v>0.661836897144706</v>
      </c>
      <c r="H468" s="13" t="n">
        <f aca="false">H464*cssh_27</f>
        <v>0.747169897817925</v>
      </c>
      <c r="I468" s="13" t="n">
        <f aca="false">I464*cssh_27</f>
        <v>0.82328976768971</v>
      </c>
      <c r="J468" s="13" t="n">
        <f aca="false">J464*cssh_27</f>
        <v>0.87052294183976</v>
      </c>
      <c r="K468" s="13" t="n">
        <f aca="false">K464*cssh_28</f>
        <v>0.874442645723751</v>
      </c>
      <c r="L468" s="13" t="n">
        <f aca="false">L464*cssh_28</f>
        <v>0.859887788357163</v>
      </c>
      <c r="M468" s="13" t="n">
        <f aca="false">M464*cssh_28</f>
        <v>0.863759605332708</v>
      </c>
      <c r="N468" s="13" t="n">
        <f aca="false">N464*cssh_28</f>
        <v>0.867648855939591</v>
      </c>
      <c r="O468" s="13" t="n">
        <f aca="false">O464*cssh_29</f>
        <v>0.871555618676226</v>
      </c>
      <c r="P468" s="13" t="n">
        <f aca="false">P464*cssh_29</f>
        <v>0.875479972394484</v>
      </c>
      <c r="Q468" s="13" t="n">
        <f aca="false">Q464*cssh_29</f>
        <v>0.88475976083706</v>
      </c>
      <c r="R468" s="13" t="n">
        <f aca="false">R464*cssh_29</f>
        <v>0.901959535937984</v>
      </c>
      <c r="T468" s="5" t="s">
        <v>461</v>
      </c>
    </row>
    <row r="469" customFormat="false" ht="15" hidden="false" customHeight="false" outlineLevel="0" collapsed="false">
      <c r="A469" s="5" t="s">
        <v>462</v>
      </c>
      <c r="B469" s="0" t="s">
        <v>27</v>
      </c>
      <c r="C469" s="13" t="n">
        <f aca="false">q1_ed</f>
        <v>1.387</v>
      </c>
      <c r="D469" s="13" t="n">
        <f aca="false">q2_ed</f>
        <v>1.678</v>
      </c>
      <c r="E469" s="13" t="n">
        <f aca="false">q3_ed</f>
        <v>3.663</v>
      </c>
      <c r="F469" s="13" t="n">
        <f aca="false">q4_ed</f>
        <v>5.432</v>
      </c>
      <c r="G469" s="13" t="n">
        <f aca="false">G464-G465-G468</f>
        <v>6.17714437335059</v>
      </c>
      <c r="H469" s="13" t="n">
        <f aca="false">H464-H465-H468</f>
        <v>6.9735857129673</v>
      </c>
      <c r="I469" s="13" t="n">
        <f aca="false">I464-I465-I468</f>
        <v>7.68403783177063</v>
      </c>
      <c r="J469" s="13" t="n">
        <f aca="false">J464-J465-J468</f>
        <v>8.12488079050442</v>
      </c>
      <c r="K469" s="13" t="n">
        <f aca="false">K464-K465-K468</f>
        <v>7.57850292960584</v>
      </c>
      <c r="L469" s="13" t="n">
        <f aca="false">L464-L465-L468</f>
        <v>7.45236083242874</v>
      </c>
      <c r="M469" s="13" t="n">
        <f aca="false">M464-M465-M468</f>
        <v>7.48591657955014</v>
      </c>
      <c r="N469" s="13" t="n">
        <f aca="false">N464-N465-N468</f>
        <v>7.51962341814312</v>
      </c>
      <c r="O469" s="13" t="n">
        <f aca="false">O464-O465-O468</f>
        <v>7.11770421918918</v>
      </c>
      <c r="P469" s="13" t="n">
        <f aca="false">P464-P465-P468</f>
        <v>7.14975310788828</v>
      </c>
      <c r="Q469" s="13" t="n">
        <f aca="false">Q464-Q465-Q468</f>
        <v>7.22553804683599</v>
      </c>
      <c r="R469" s="13" t="n">
        <f aca="false">R464-R465-R468</f>
        <v>7.36600287682687</v>
      </c>
      <c r="T469" s="5" t="s">
        <v>463</v>
      </c>
    </row>
    <row r="470" customFormat="false" ht="15" hidden="false" customHeight="false" outlineLevel="0" collapsed="false">
      <c r="A470" s="5" t="s">
        <v>464</v>
      </c>
      <c r="B470" s="0" t="s">
        <v>27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465</v>
      </c>
      <c r="B471" s="0" t="s">
        <v>466</v>
      </c>
      <c r="C471" s="19" t="n">
        <f aca="false">C472/C463</f>
        <v>0.0520045391183812</v>
      </c>
      <c r="D471" s="19" t="n">
        <f aca="false">D472/D463</f>
        <v>0.0443170902760084</v>
      </c>
      <c r="E471" s="19" t="n">
        <f aca="false">E472/E463</f>
        <v>0.0337594565796481</v>
      </c>
      <c r="F471" s="19" t="n">
        <f aca="false">F472/F463</f>
        <v>0.0410685412637144</v>
      </c>
      <c r="G471" s="19" t="n">
        <f aca="false">(1-g_gm)*G464/G463</f>
        <v>0.049900535931346</v>
      </c>
      <c r="H471" s="19" t="n">
        <f aca="false">$G471*(1-cd_A)^(1/4)</f>
        <v>0.0480540308412442</v>
      </c>
      <c r="I471" s="19" t="n">
        <f aca="false">$G471*(1-cd_A)^(2/4)</f>
        <v>0.0462758532948078</v>
      </c>
      <c r="J471" s="19" t="n">
        <f aca="false">$G471*(1-cd_A)^(3/4)</f>
        <v>0.0445634749192484</v>
      </c>
      <c r="K471" s="19" t="n">
        <f aca="false">$G471*(1-cd_A)^(4/4)</f>
        <v>0.0429144609009575</v>
      </c>
      <c r="L471" s="19" t="n">
        <f aca="false">$G471*(1-cd_A)^(5/4)</f>
        <v>0.04132646652347</v>
      </c>
      <c r="M471" s="19" t="n">
        <f aca="false">$G471*(1-cd_A)^(6/4)</f>
        <v>0.0397972338335347</v>
      </c>
      <c r="N471" s="19" t="n">
        <f aca="false">$G471*(1-cd_A)^(7/4)</f>
        <v>0.0383245884305536</v>
      </c>
      <c r="O471" s="19" t="n">
        <f aca="false">$G471*(1-cd_A)^(8/4)</f>
        <v>0.0369064363748235</v>
      </c>
      <c r="P471" s="19" t="n">
        <f aca="false">$G471*(1-cd_A)^(9/4)</f>
        <v>0.0355407612101842</v>
      </c>
      <c r="Q471" s="19" t="n">
        <f aca="false">$G471*(1-cd_A)^(10/4)</f>
        <v>0.0342256210968399</v>
      </c>
      <c r="R471" s="19" t="n">
        <f aca="false">$G471*(1-cd_A)^(11/4)</f>
        <v>0.0329591460502761</v>
      </c>
    </row>
    <row r="472" customFormat="false" ht="15" hidden="false" customHeight="false" outlineLevel="0" collapsed="false">
      <c r="A472" s="5" t="s">
        <v>467</v>
      </c>
      <c r="B472" s="0" t="s">
        <v>27</v>
      </c>
      <c r="C472" s="13" t="n">
        <f aca="false">q1_rev*(1-q1_gm)</f>
        <v>1.620216</v>
      </c>
      <c r="D472" s="13" t="n">
        <f aca="false">q2_rev*(1-q2_gm)</f>
        <v>1.485275</v>
      </c>
      <c r="E472" s="13" t="n">
        <f aca="false">q3_rev*(1-q3_gm)</f>
        <v>1.2852</v>
      </c>
      <c r="F472" s="13" t="n">
        <f aca="false">q4_rev*(1-q4_gm)</f>
        <v>1.38061</v>
      </c>
      <c r="G472" s="13" t="n">
        <f aca="false">G463*G471</f>
        <v>1.65128305837604</v>
      </c>
      <c r="H472" s="13" t="n">
        <f aca="false">H463*H471</f>
        <v>1.66069101290866</v>
      </c>
      <c r="I472" s="13" t="n">
        <f aca="false">I463*I471</f>
        <v>1.71084070538025</v>
      </c>
      <c r="J472" s="13" t="n">
        <f aca="false">J463*J471</f>
        <v>1.7420543115931</v>
      </c>
      <c r="K472" s="13" t="n">
        <f aca="false">K463*K471</f>
        <v>1.77383739760017</v>
      </c>
      <c r="L472" s="13" t="n">
        <f aca="false">L463*L471</f>
        <v>1.80620035333311</v>
      </c>
      <c r="M472" s="13" t="n">
        <f aca="false">M463*M471</f>
        <v>1.83915375828377</v>
      </c>
      <c r="N472" s="13" t="n">
        <f aca="false">N463*N471</f>
        <v>1.87270838496259</v>
      </c>
      <c r="O472" s="13" t="n">
        <f aca="false">O463*O471</f>
        <v>1.90687520242018</v>
      </c>
      <c r="P472" s="13" t="n">
        <f aca="false">P463*P471</f>
        <v>1.94166537983309</v>
      </c>
      <c r="Q472" s="13" t="n">
        <f aca="false">Q463*Q471</f>
        <v>1.94807831799005</v>
      </c>
      <c r="R472" s="13" t="n">
        <f aca="false">R463*R471</f>
        <v>1.97160986812469</v>
      </c>
    </row>
    <row r="473" customFormat="false" ht="15" hidden="false" customHeight="false" outlineLevel="0" collapsed="false">
      <c r="A473" s="5" t="s">
        <v>423</v>
      </c>
      <c r="B473" s="0" t="s">
        <v>33</v>
      </c>
      <c r="C473" s="14" t="n">
        <f aca="false">1-C472/C464</f>
        <v>0.298</v>
      </c>
      <c r="D473" s="14" t="n">
        <f aca="false">1-D472/D464</f>
        <v>0.509</v>
      </c>
      <c r="E473" s="14" t="n">
        <f aca="false">1-E472/E464</f>
        <v>0.784</v>
      </c>
      <c r="F473" s="14" t="n">
        <f aca="false">1-F472/F464</f>
        <v>0.846</v>
      </c>
      <c r="G473" s="14" t="n">
        <f aca="false">1-G472/G464</f>
        <v>0.8503</v>
      </c>
      <c r="H473" s="14" t="n">
        <f aca="false">1-H472/H464</f>
        <v>0.866641494704862</v>
      </c>
      <c r="I473" s="14" t="n">
        <f aca="false">1-I472/I464</f>
        <v>0.875316751948868</v>
      </c>
      <c r="J473" s="14" t="n">
        <f aca="false">1-J472/J464</f>
        <v>0.879930495025568</v>
      </c>
      <c r="K473" s="14" t="n">
        <f aca="false">1-K472/K464</f>
        <v>0.878287907873111</v>
      </c>
      <c r="L473" s="14" t="n">
        <f aca="false">1-L472/L464</f>
        <v>0.873969577580542</v>
      </c>
      <c r="M473" s="14" t="n">
        <f aca="false">1-M472/M464</f>
        <v>0.872245443274091</v>
      </c>
      <c r="N473" s="14" t="n">
        <f aca="false">1-N472/N464</f>
        <v>0.870497722288729</v>
      </c>
      <c r="O473" s="14" t="n">
        <f aca="false">1-O472/O464</f>
        <v>0.868726091951553</v>
      </c>
      <c r="P473" s="14" t="n">
        <f aca="false">1-P472/P464</f>
        <v>0.866930225175395</v>
      </c>
      <c r="Q473" s="14" t="n">
        <f aca="false">1-Q472/Q464</f>
        <v>0.867891031833523</v>
      </c>
      <c r="R473" s="14" t="n">
        <f aca="false">1-R472/R464</f>
        <v>0.868844901157944</v>
      </c>
    </row>
    <row r="474" customFormat="false" ht="17.15" hidden="false" customHeight="false" outlineLevel="0" collapsed="false">
      <c r="A474" s="5" t="s">
        <v>468</v>
      </c>
      <c r="B474" s="0" t="s">
        <v>27</v>
      </c>
      <c r="C474" s="13" t="n">
        <f aca="false">q1_rev-q1_rev*(1-q1_gm)-q1_op</f>
        <v>0.511784</v>
      </c>
      <c r="D474" s="13" t="n">
        <f aca="false">q2_rev-q2_rev*(1-q2_gm)-q2_op</f>
        <v>0.474725</v>
      </c>
      <c r="E474" s="13" t="n">
        <f aca="false">q3_rev-q3_rev*(1-q3_gm)-q3_op</f>
        <v>0.553800000000001</v>
      </c>
      <c r="F474" s="13" t="n">
        <f aca="false">q4_rev-q4_rev*(1-q4_gm)-q4_op</f>
        <v>0.54739</v>
      </c>
      <c r="G474" s="13" t="n">
        <f aca="false">(g_ox-ox_var_hi*g_rev)*(1+ox_g)^(0/4)+ox_var_hi*G464</f>
        <v>0.581992299048235</v>
      </c>
      <c r="H474" s="13" t="n">
        <f aca="false">(g_ox-ox_var_hi*g_rev)*(1+ox_g)^(1/4)+ox_var_hi*H464</f>
        <v>0.619150837567312</v>
      </c>
      <c r="I474" s="13" t="n">
        <f aca="false">(g_ox-ox_var_hi*g_rev)*(1+ox_g)^(2/4)+ox_var_hi*I464</f>
        <v>0.653448464114966</v>
      </c>
      <c r="J474" s="13" t="n">
        <f aca="false">(g_ox-ox_var_hi*g_rev)*(1+ox_g)^(3/4)+ox_var_hi*J464</f>
        <v>0.678332390766534</v>
      </c>
      <c r="K474" s="13" t="n">
        <f aca="false">(g_ox-ox_var_hi*g_rev)*(1+ox_g)^(4/4)+ox_var_hi*K464</f>
        <v>0.688998881907917</v>
      </c>
      <c r="L474" s="13" t="n">
        <f aca="false">(g_ox-ox_var_hi*g_rev)*(1+ox_g)^(5/4)+ox_var_hi*L464</f>
        <v>0.693732888243191</v>
      </c>
      <c r="M474" s="13" t="n">
        <f aca="false">(g_ox-ox_var_hi*g_rev)*(1+ox_g)^(6/4)+ox_var_hi*M464</f>
        <v>0.704840264151138</v>
      </c>
      <c r="N474" s="13" t="n">
        <f aca="false">(g_ox-ox_var_hi*g_rev)*(1+ox_g)^(7/4)+ox_var_hi*N464</f>
        <v>0.716190169815139</v>
      </c>
      <c r="O474" s="13" t="n">
        <f aca="false">(g_ox-ox_var_hi*g_rev)*(1+ox_g)^(8/4)+ox_var_hi*O464</f>
        <v>0.727788339558742</v>
      </c>
      <c r="P474" s="13" t="n">
        <f aca="false">(g_ox-ox_var_hi*g_rev)*(1+ox_g)^(9/4)+ox_var_hi*P464</f>
        <v>0.739640645468045</v>
      </c>
      <c r="Q474" s="13" t="n">
        <f aca="false">(g_ox-ox_var_hi*g_rev)*(1+ox_g)^(10/4)+ox_var_hi*Q464</f>
        <v>0.753532355556612</v>
      </c>
      <c r="R474" s="13" t="n">
        <f aca="false">(g_ox-ox_var_hi*g_rev)*(1+ox_g)^(11/4)+ox_var_hi*R464</f>
        <v>0.770324451598132</v>
      </c>
      <c r="T474" s="5" t="s">
        <v>469</v>
      </c>
    </row>
    <row r="475" customFormat="false" ht="15" hidden="false" customHeight="false" outlineLevel="0" collapsed="false">
      <c r="A475" s="5" t="s">
        <v>424</v>
      </c>
      <c r="B475" s="0" t="s">
        <v>27</v>
      </c>
      <c r="C475" s="13" t="n">
        <f aca="false">C464-C472-C474</f>
        <v>0.176</v>
      </c>
      <c r="D475" s="13" t="n">
        <f aca="false">D464-D472-D474</f>
        <v>1.065</v>
      </c>
      <c r="E475" s="13" t="n">
        <f aca="false">E464-E472-E474</f>
        <v>4.111</v>
      </c>
      <c r="F475" s="13" t="n">
        <f aca="false">F464-F472-F474</f>
        <v>7.037</v>
      </c>
      <c r="G475" s="13" t="n">
        <f aca="false">G464-G472-G474</f>
        <v>8.7973395949875</v>
      </c>
      <c r="H475" s="13" t="n">
        <f aca="false">H464-H472-H474</f>
        <v>10.1729897798228</v>
      </c>
      <c r="I475" s="13" t="n">
        <f aca="false">I464-I472-I474</f>
        <v>11.3572069586666</v>
      </c>
      <c r="J475" s="13" t="n">
        <f aca="false">J464-J472-J474</f>
        <v>12.0883289949697</v>
      </c>
      <c r="K475" s="13" t="n">
        <f aca="false">K464-K472-K474</f>
        <v>12.1112078158878</v>
      </c>
      <c r="L475" s="13" t="n">
        <f aca="false">L464-L472-L474</f>
        <v>11.8315298977097</v>
      </c>
      <c r="M475" s="13" t="n">
        <f aca="false">M464-M472-M474</f>
        <v>11.8519993997769</v>
      </c>
      <c r="N475" s="13" t="n">
        <f aca="false">N464-N472-N474</f>
        <v>11.8719157108821</v>
      </c>
      <c r="O475" s="13" t="n">
        <f aca="false">O464-O472-O474</f>
        <v>11.8912634359582</v>
      </c>
      <c r="P475" s="13" t="n">
        <f aca="false">P464-P472-P474</f>
        <v>11.9100268479403</v>
      </c>
      <c r="Q475" s="13" t="n">
        <f aca="false">Q464-Q472-Q474</f>
        <v>12.0443853404043</v>
      </c>
      <c r="R475" s="13" t="n">
        <f aca="false">R464-R472-R474</f>
        <v>12.2907246125769</v>
      </c>
    </row>
    <row r="477" customFormat="false" ht="17.15" hidden="false" customHeight="false" outlineLevel="0" collapsed="false">
      <c r="A477" s="5" t="s">
        <v>426</v>
      </c>
      <c r="B477" s="0" t="s">
        <v>27</v>
      </c>
      <c r="C477" s="13" t="n">
        <f aca="false">q1_ni</f>
        <v>0.112</v>
      </c>
      <c r="D477" s="13" t="n">
        <f aca="false">q2_ni</f>
        <v>0.803</v>
      </c>
      <c r="E477" s="13" t="n">
        <f aca="false">q3_ni</f>
        <v>3.615</v>
      </c>
      <c r="F477" s="13" t="n">
        <f aca="false">q4_ni</f>
        <v>6.903</v>
      </c>
      <c r="G477" s="13" t="n">
        <f aca="false">(G475+rf*$D498/4)*(1-tax)</f>
        <v>7.51821565573937</v>
      </c>
      <c r="H477" s="13" t="n">
        <f aca="false">(H475+rf*$D498/4)*(1-tax)</f>
        <v>8.68751831284937</v>
      </c>
      <c r="I477" s="13" t="n">
        <f aca="false">(I475+rf*$D498/4)*(1-tax)</f>
        <v>9.69410291486662</v>
      </c>
      <c r="J477" s="13" t="n">
        <f aca="false">(J475+rf*$D498/4)*(1-tax)</f>
        <v>10.3155566457242</v>
      </c>
      <c r="K477" s="13" t="n">
        <f aca="false">(K475+rf*$E498/4)*(1-tax)</f>
        <v>10.4764120831095</v>
      </c>
      <c r="L477" s="13" t="n">
        <f aca="false">(L475+rf*$E498/4)*(1-tax)</f>
        <v>10.2386858526582</v>
      </c>
      <c r="M477" s="13" t="n">
        <f aca="false">(M475+rf*$E498/4)*(1-tax)</f>
        <v>10.2560849294153</v>
      </c>
      <c r="N477" s="13" t="n">
        <f aca="false">(N475+rf*$E498/4)*(1-tax)</f>
        <v>10.2730137938547</v>
      </c>
      <c r="O477" s="13" t="n">
        <f aca="false">(O475+rf*$F498/4)*(1-tax)</f>
        <v>10.450697805665</v>
      </c>
      <c r="P477" s="13" t="n">
        <f aca="false">(P475+rf*$F498/4)*(1-tax)</f>
        <v>10.4666467058498</v>
      </c>
      <c r="Q477" s="13" t="n">
        <f aca="false">(Q475+rf*$F498/4)*(1-tax)</f>
        <v>10.5808514244443</v>
      </c>
      <c r="R477" s="13" t="n">
        <f aca="false">(R475+rf*$F498/4)*(1-tax)</f>
        <v>10.790239805791</v>
      </c>
      <c r="T477" s="5" t="s">
        <v>470</v>
      </c>
    </row>
    <row r="478" customFormat="false" ht="17.15" hidden="false" customHeight="false" outlineLevel="0" collapsed="false">
      <c r="A478" s="5" t="s">
        <v>471</v>
      </c>
      <c r="B478" s="0" t="s">
        <v>40</v>
      </c>
      <c r="G478" s="15" t="n">
        <f aca="false">G477/(sh0+dil)*1000</f>
        <v>49.7895076539031</v>
      </c>
      <c r="H478" s="15" t="n">
        <f aca="false">H477/(sh0+dil)*1000</f>
        <v>57.5332338599296</v>
      </c>
      <c r="I478" s="15" t="n">
        <f aca="false">I477/(sh0+dil)*1000</f>
        <v>64.1993570520969</v>
      </c>
      <c r="J478" s="15" t="n">
        <f aca="false">J477/(sh0+dil)*1000</f>
        <v>68.3149446736704</v>
      </c>
      <c r="K478" s="15" t="n">
        <f aca="false">K477/(sh0+dil)*1000</f>
        <v>69.380212470924</v>
      </c>
      <c r="L478" s="15" t="n">
        <f aca="false">L477/(sh0+dil)*1000</f>
        <v>67.8058665738954</v>
      </c>
      <c r="M478" s="15" t="n">
        <f aca="false">M477/(sh0+dil)*1000</f>
        <v>67.9210922477834</v>
      </c>
      <c r="N478" s="15" t="n">
        <f aca="false">N477/(sh0+dil)*1000</f>
        <v>68.0332039328127</v>
      </c>
      <c r="O478" s="15" t="n">
        <f aca="false">O477/(sh0+dil)*1000</f>
        <v>69.2099192428148</v>
      </c>
      <c r="P478" s="15" t="n">
        <f aca="false">P477/(sh0+dil)*1000</f>
        <v>69.315541098343</v>
      </c>
      <c r="Q478" s="15" t="n">
        <f aca="false">Q477/(sh0+dil)*1000</f>
        <v>70.0718637380415</v>
      </c>
      <c r="R478" s="15" t="n">
        <f aca="false">R477/(sh0+dil)*1000</f>
        <v>71.458541760205</v>
      </c>
    </row>
    <row r="480" customFormat="false" ht="17.15" hidden="false" customHeight="false" outlineLevel="0" collapsed="false">
      <c r="A480" s="12" t="s">
        <v>472</v>
      </c>
      <c r="B480" s="6" t="s">
        <v>17</v>
      </c>
      <c r="C480" s="12" t="s">
        <v>413</v>
      </c>
      <c r="D480" s="12" t="s">
        <v>414</v>
      </c>
      <c r="E480" s="12" t="s">
        <v>415</v>
      </c>
      <c r="F480" s="12" t="s">
        <v>416</v>
      </c>
      <c r="G480" s="12" t="s">
        <v>417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321</v>
      </c>
    </row>
    <row r="481" customFormat="false" ht="15" hidden="false" customHeight="false" outlineLevel="0" collapsed="false">
      <c r="A481" s="5" t="s">
        <v>344</v>
      </c>
      <c r="B481" s="0" t="s">
        <v>27</v>
      </c>
      <c r="C481" s="13" t="n">
        <f aca="false">a25_rev</f>
        <v>7.355</v>
      </c>
      <c r="D481" s="13" t="n">
        <f aca="false">SUM(C464:F464)</f>
        <v>20.248</v>
      </c>
      <c r="E481" s="13" t="n">
        <f aca="false">SUM(G464:J464)</f>
        <v>51.7136584082017</v>
      </c>
      <c r="F481" s="13" t="n">
        <f aca="false">SUM(K464:N464)</f>
        <v>57.7623149225535</v>
      </c>
      <c r="G481" s="13" t="n">
        <f aca="false">SUM(O464:R464)</f>
        <v>58.8959147974292</v>
      </c>
    </row>
    <row r="482" customFormat="false" ht="15" hidden="false" customHeight="false" outlineLevel="0" collapsed="false">
      <c r="A482" s="5" t="s">
        <v>473</v>
      </c>
      <c r="B482" s="0" t="s">
        <v>27</v>
      </c>
      <c r="D482" s="13" t="n">
        <f aca="false">SUM(C465:F465)</f>
        <v>5.153</v>
      </c>
      <c r="E482" s="13" t="n">
        <f aca="false">SUM(G465:J465)</f>
        <v>19.6511901951166</v>
      </c>
      <c r="F482" s="13" t="n">
        <f aca="false">SUM(K465:N465)</f>
        <v>24.2601722674725</v>
      </c>
      <c r="G482" s="13" t="n">
        <f aca="false">SUM(O465:R465)</f>
        <v>26.5031616588432</v>
      </c>
    </row>
    <row r="483" customFormat="false" ht="17.15" hidden="false" customHeight="false" outlineLevel="0" collapsed="false">
      <c r="A483" s="5" t="s">
        <v>474</v>
      </c>
      <c r="B483" s="0" t="s">
        <v>27</v>
      </c>
      <c r="D483" s="13" t="n">
        <f aca="false">SUM(C466:F466)</f>
        <v>3.36063827543424</v>
      </c>
      <c r="E483" s="13" t="n">
        <f aca="false">SUM(G466:J466)</f>
        <v>15.5813567004332</v>
      </c>
      <c r="F483" s="13" t="n">
        <f aca="false">SUM(K466:N466)</f>
        <v>20.4574650024327</v>
      </c>
      <c r="G483" s="13" t="n">
        <f aca="false">SUM(O466:R466)</f>
        <v>22.9294522667437</v>
      </c>
    </row>
    <row r="484" customFormat="false" ht="15" hidden="false" customHeight="false" outlineLevel="0" collapsed="false">
      <c r="A484" s="5" t="s">
        <v>475</v>
      </c>
      <c r="B484" s="0" t="s">
        <v>27</v>
      </c>
      <c r="D484" s="13" t="n">
        <f aca="false">SUM(C469:F469)</f>
        <v>12.16</v>
      </c>
      <c r="E484" s="13" t="n">
        <f aca="false">SUM(G469:J469)</f>
        <v>28.9596487085929</v>
      </c>
      <c r="F484" s="13" t="n">
        <f aca="false">SUM(K469:N469)</f>
        <v>30.0364037597278</v>
      </c>
      <c r="G484" s="13" t="n">
        <f aca="false">SUM(O469:R469)</f>
        <v>28.8589982507403</v>
      </c>
    </row>
    <row r="485" customFormat="false" ht="15" hidden="false" customHeight="false" outlineLevel="0" collapsed="false">
      <c r="A485" s="5" t="s">
        <v>476</v>
      </c>
      <c r="B485" s="0" t="s">
        <v>27</v>
      </c>
      <c r="D485" s="13" t="n">
        <f aca="false">SUM(C468:F468)</f>
        <v>2.935</v>
      </c>
      <c r="E485" s="13" t="n">
        <f aca="false">SUM(G468:J468)</f>
        <v>3.1028195044921</v>
      </c>
      <c r="F485" s="13" t="n">
        <f aca="false">SUM(K468:N468)</f>
        <v>3.46573889535321</v>
      </c>
      <c r="G485" s="13" t="n">
        <f aca="false">SUM(O468:R468)</f>
        <v>3.53375488784575</v>
      </c>
    </row>
    <row r="486" customFormat="false" ht="17.15" hidden="false" customHeight="false" outlineLevel="0" collapsed="false">
      <c r="A486" s="5" t="s">
        <v>477</v>
      </c>
      <c r="B486" s="0" t="s">
        <v>27</v>
      </c>
      <c r="D486" s="18" t="n">
        <f aca="false">D482+D484+D485-D481+ABS(D482-a26_dc)+ABS(D484-a26_ed)+ABS(D485-a26_cs)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467</v>
      </c>
      <c r="B487" s="0" t="s">
        <v>27</v>
      </c>
      <c r="D487" s="13" t="n">
        <f aca="false">SUM(C472:F472)</f>
        <v>5.771301</v>
      </c>
      <c r="E487" s="13" t="n">
        <f aca="false">SUM(G472:J472)</f>
        <v>6.76486908825806</v>
      </c>
      <c r="F487" s="13" t="n">
        <f aca="false">SUM(K472:N472)</f>
        <v>7.29189989417963</v>
      </c>
      <c r="G487" s="13" t="n">
        <f aca="false">SUM(O472:R472)</f>
        <v>7.76822876836801</v>
      </c>
    </row>
    <row r="488" customFormat="false" ht="15" hidden="false" customHeight="false" outlineLevel="0" collapsed="false">
      <c r="A488" s="5" t="s">
        <v>423</v>
      </c>
      <c r="B488" s="0" t="s">
        <v>33</v>
      </c>
      <c r="D488" s="14" t="n">
        <f aca="false">1-D487/D481</f>
        <v>0.714969330304228</v>
      </c>
      <c r="E488" s="14" t="n">
        <f aca="false">1-E487/E481</f>
        <v>0.869186027512121</v>
      </c>
      <c r="F488" s="14" t="n">
        <f aca="false">1-F487/F481</f>
        <v>0.873760255212132</v>
      </c>
      <c r="G488" s="14" t="n">
        <f aca="false">1-G487/G481</f>
        <v>0.868102417712899</v>
      </c>
    </row>
    <row r="489" customFormat="false" ht="15" hidden="false" customHeight="false" outlineLevel="0" collapsed="false">
      <c r="A489" s="5" t="s">
        <v>468</v>
      </c>
      <c r="B489" s="0" t="s">
        <v>27</v>
      </c>
      <c r="D489" s="13" t="n">
        <f aca="false">SUM(C474:F474)</f>
        <v>2.087699</v>
      </c>
      <c r="E489" s="13" t="n">
        <f aca="false">SUM(G474:J474)</f>
        <v>2.53292399149705</v>
      </c>
      <c r="F489" s="13" t="n">
        <f aca="false">SUM(K474:N474)</f>
        <v>2.80376220411739</v>
      </c>
      <c r="G489" s="13" t="n">
        <f aca="false">SUM(O474:R474)</f>
        <v>2.99128579218153</v>
      </c>
    </row>
    <row r="490" customFormat="false" ht="15" hidden="false" customHeight="false" outlineLevel="0" collapsed="false">
      <c r="A490" s="5" t="s">
        <v>424</v>
      </c>
      <c r="B490" s="0" t="s">
        <v>27</v>
      </c>
      <c r="D490" s="13" t="n">
        <f aca="false">SUM(C475:F475)</f>
        <v>12.389</v>
      </c>
      <c r="E490" s="13" t="n">
        <f aca="false">SUM(G475:J475)</f>
        <v>42.4158653284466</v>
      </c>
      <c r="F490" s="13" t="n">
        <f aca="false">SUM(K475:N475)</f>
        <v>47.6666528242565</v>
      </c>
      <c r="G490" s="13" t="n">
        <f aca="false">SUM(O475:R475)</f>
        <v>48.1364002368797</v>
      </c>
    </row>
    <row r="491" customFormat="false" ht="15" hidden="false" customHeight="false" outlineLevel="0" collapsed="false">
      <c r="A491" s="5" t="s">
        <v>425</v>
      </c>
      <c r="B491" s="0" t="s">
        <v>33</v>
      </c>
      <c r="D491" s="14" t="n">
        <f aca="false">D490/D481</f>
        <v>0.61186290003951</v>
      </c>
      <c r="E491" s="14" t="n">
        <f aca="false">E490/E481</f>
        <v>0.820206240170383</v>
      </c>
      <c r="F491" s="14" t="n">
        <f aca="false">F490/F481</f>
        <v>0.825220611192037</v>
      </c>
      <c r="G491" s="14" t="n">
        <f aca="false">G490/G481</f>
        <v>0.81731305817124</v>
      </c>
    </row>
    <row r="492" customFormat="false" ht="15" hidden="false" customHeight="false" outlineLevel="0" collapsed="false">
      <c r="A492" s="5" t="s">
        <v>426</v>
      </c>
      <c r="B492" s="0" t="s">
        <v>27</v>
      </c>
      <c r="C492" s="13" t="n">
        <f aca="false">a25_ni</f>
        <v>-1.641</v>
      </c>
      <c r="D492" s="13" t="n">
        <f aca="false">SUM(C477:F477)</f>
        <v>11.433</v>
      </c>
      <c r="E492" s="13" t="n">
        <f aca="false">SUM(G477:J477)</f>
        <v>36.2153935291796</v>
      </c>
      <c r="F492" s="13" t="n">
        <f aca="false">SUM(K477:N477)</f>
        <v>41.2441966590377</v>
      </c>
      <c r="G492" s="13" t="n">
        <f aca="false">SUM(O477:R477)</f>
        <v>42.2884357417501</v>
      </c>
    </row>
    <row r="493" customFormat="false" ht="15" hidden="false" customHeight="false" outlineLevel="0" collapsed="false">
      <c r="A493" s="5" t="s">
        <v>478</v>
      </c>
      <c r="B493" s="0" t="s">
        <v>27</v>
      </c>
      <c r="D493" s="13" t="n">
        <f aca="false">da_y</f>
        <v>0.16</v>
      </c>
      <c r="E493" s="13" t="n">
        <f aca="false">da_y</f>
        <v>0.16</v>
      </c>
      <c r="F493" s="13" t="n">
        <f aca="false">da_y</f>
        <v>0.16</v>
      </c>
      <c r="G493" s="13" t="n">
        <f aca="false">da_y</f>
        <v>0.16</v>
      </c>
    </row>
    <row r="494" customFormat="false" ht="17.15" hidden="false" customHeight="false" outlineLevel="0" collapsed="false">
      <c r="A494" s="5" t="s">
        <v>479</v>
      </c>
      <c r="B494" s="0" t="s">
        <v>27</v>
      </c>
      <c r="D494" s="13" t="n">
        <v>0.562</v>
      </c>
      <c r="E494" s="13" t="n">
        <f aca="false">cap_r*E481</f>
        <v>3.1028195044921</v>
      </c>
      <c r="F494" s="13" t="n">
        <f aca="false">cap_r*F481</f>
        <v>3.46573889535321</v>
      </c>
      <c r="G494" s="13" t="n">
        <f aca="false">cap_r*G481</f>
        <v>3.53375488784575</v>
      </c>
      <c r="T494" s="8" t="s">
        <v>480</v>
      </c>
    </row>
    <row r="495" customFormat="false" ht="15" hidden="false" customHeight="false" outlineLevel="0" collapsed="false">
      <c r="A495" s="5" t="s">
        <v>481</v>
      </c>
      <c r="B495" s="0" t="s">
        <v>27</v>
      </c>
      <c r="D495" s="13" t="n">
        <f aca="false">D492+D493-D494</f>
        <v>11.031</v>
      </c>
      <c r="E495" s="13" t="n">
        <f aca="false">E492+E493-E494</f>
        <v>33.2725740246875</v>
      </c>
      <c r="F495" s="13" t="n">
        <f aca="false">F492+F493-F494</f>
        <v>37.9384577636845</v>
      </c>
      <c r="G495" s="13" t="n">
        <f aca="false">G492+G493-G494</f>
        <v>38.9146808539043</v>
      </c>
    </row>
    <row r="496" customFormat="false" ht="17.15" hidden="false" customHeight="false" outlineLevel="0" collapsed="false">
      <c r="A496" s="5" t="s">
        <v>482</v>
      </c>
      <c r="B496" s="0" t="s">
        <v>27</v>
      </c>
      <c r="D496" s="13" t="n">
        <v>4.524</v>
      </c>
      <c r="E496" s="13" t="n">
        <f aca="false">MAX(0,payout*E495)</f>
        <v>16.6362870123437</v>
      </c>
      <c r="F496" s="13" t="n">
        <f aca="false">MAX(0,payout*F495)</f>
        <v>18.9692288818423</v>
      </c>
      <c r="G496" s="13" t="n">
        <f aca="false">MAX(0,payout*G495)</f>
        <v>19.4573404269521</v>
      </c>
      <c r="T496" s="8" t="s">
        <v>483</v>
      </c>
    </row>
    <row r="497" customFormat="false" ht="15" hidden="false" customHeight="false" outlineLevel="0" collapsed="false">
      <c r="A497" s="5" t="s">
        <v>484</v>
      </c>
      <c r="B497" s="0" t="s">
        <v>27</v>
      </c>
      <c r="D497" s="13" t="n">
        <f aca="false">eq0</f>
        <v>15.736</v>
      </c>
      <c r="E497" s="13" t="n">
        <f aca="false">D497+E492-E496</f>
        <v>35.3151065168359</v>
      </c>
      <c r="F497" s="13" t="n">
        <f aca="false">E497+F492-F496</f>
        <v>57.5900742940313</v>
      </c>
      <c r="G497" s="13" t="n">
        <f aca="false">F497+G492-G496</f>
        <v>80.4211696088292</v>
      </c>
    </row>
    <row r="498" customFormat="false" ht="15" hidden="false" customHeight="false" outlineLevel="0" collapsed="false">
      <c r="A498" s="5" t="s">
        <v>485</v>
      </c>
      <c r="B498" s="0" t="s">
        <v>27</v>
      </c>
      <c r="D498" s="13" t="n">
        <f aca="false">nc0</f>
        <v>4.762</v>
      </c>
      <c r="E498" s="13" t="n">
        <f aca="false">D498+E495-E496</f>
        <v>21.3982870123437</v>
      </c>
      <c r="F498" s="13" t="n">
        <f aca="false">E498+F495-F496</f>
        <v>40.367515894186</v>
      </c>
      <c r="G498" s="13" t="n">
        <f aca="false">F498+G495-G496</f>
        <v>59.8248563211381</v>
      </c>
    </row>
    <row r="499" customFormat="false" ht="15" hidden="false" customHeight="false" outlineLevel="0" collapsed="false">
      <c r="A499" s="5" t="s">
        <v>486</v>
      </c>
      <c r="B499" s="5" t="s">
        <v>152</v>
      </c>
      <c r="D499" s="20" t="n">
        <f aca="false">sh0</f>
        <v>146.42</v>
      </c>
      <c r="E499" s="20" t="n">
        <f aca="false">D499-E496/bb_px*1000</f>
        <v>132.982290887665</v>
      </c>
      <c r="F499" s="20" t="n">
        <f aca="false">E499-F496/bb_px*1000</f>
        <v>117.660183279738</v>
      </c>
      <c r="G499" s="20" t="n">
        <f aca="false">F499-G496/bb_px*1000</f>
        <v>101.943810956812</v>
      </c>
    </row>
    <row r="500" customFormat="false" ht="17.15" hidden="false" customHeight="false" outlineLevel="0" collapsed="false">
      <c r="A500" s="0" t="s">
        <v>487</v>
      </c>
      <c r="B500" s="0" t="s">
        <v>40</v>
      </c>
      <c r="C500" s="15" t="n">
        <f aca="false">a25_eps</f>
        <v>-11.32</v>
      </c>
      <c r="D500" s="15" t="n">
        <f aca="false">a26_eps</f>
        <v>73.76</v>
      </c>
      <c r="E500" s="15" t="n">
        <f aca="false">E492/(E499+dil)*1000</f>
        <v>263.265414493231</v>
      </c>
      <c r="F500" s="15" t="n">
        <f aca="false">F492/(F499+dil)*1000</f>
        <v>337.402935372351</v>
      </c>
      <c r="G500" s="15" t="n">
        <f aca="false">G492/(G499+dil)*1000</f>
        <v>396.9857570989</v>
      </c>
    </row>
    <row r="501" customFormat="false" ht="17.15" hidden="false" customHeight="false" outlineLevel="0" collapsed="false">
      <c r="A501" s="5" t="s">
        <v>488</v>
      </c>
      <c r="B501" s="0" t="s">
        <v>40</v>
      </c>
      <c r="D501" s="15" t="n">
        <f aca="false">D497/D499*1000</f>
        <v>107.471656877476</v>
      </c>
      <c r="E501" s="15" t="n">
        <f aca="false">E497/E499*1000</f>
        <v>265.562476635838</v>
      </c>
      <c r="F501" s="15" t="n">
        <f aca="false">F497/F499*1000</f>
        <v>489.461028265701</v>
      </c>
      <c r="G501" s="15" t="n">
        <f aca="false">G497/G499*1000</f>
        <v>788.87741054628</v>
      </c>
    </row>
    <row r="502" customFormat="false" ht="17.15" hidden="false" customHeight="false" outlineLevel="0" collapsed="false">
      <c r="A502" s="0" t="s">
        <v>489</v>
      </c>
      <c r="B502" s="0" t="s">
        <v>33</v>
      </c>
      <c r="D502" s="21" t="n">
        <f aca="false">D492/D497</f>
        <v>0.72655058464667</v>
      </c>
      <c r="E502" s="21" t="n">
        <f aca="false">E492/E497</f>
        <v>1.02549297173759</v>
      </c>
      <c r="F502" s="21" t="n">
        <f aca="false">F492/F497</f>
        <v>0.716168491960294</v>
      </c>
      <c r="G502" s="21" t="n">
        <f aca="false">G492/G497</f>
        <v>0.525837114126071</v>
      </c>
    </row>
    <row r="503" customFormat="false" ht="15" hidden="false" customHeight="false" outlineLevel="0" collapsed="false">
      <c r="A503" s="5" t="s">
        <v>490</v>
      </c>
      <c r="B503" s="0" t="s">
        <v>40</v>
      </c>
      <c r="E503" s="15" t="n">
        <f aca="false">E495/(E499+dil)*1000</f>
        <v>241.872782213682</v>
      </c>
      <c r="F503" s="15" t="n">
        <f aca="false">F495/(F499+dil)*1000</f>
        <v>310.359954851058</v>
      </c>
      <c r="G503" s="15" t="n">
        <f aca="false">G495/(G499+dil)*1000</f>
        <v>365.314388439234</v>
      </c>
    </row>
    <row r="504" customFormat="false" ht="17.15" hidden="false" customHeight="false" outlineLevel="0" collapsed="false">
      <c r="A504" s="5" t="s">
        <v>491</v>
      </c>
      <c r="B504" s="0" t="s">
        <v>27</v>
      </c>
      <c r="D504" s="18" t="n">
        <f aca="false">ABS(D481-a26_rev)+ABS(D492-a26_ni)</f>
        <v>0</v>
      </c>
    </row>
    <row r="510" customFormat="false" ht="17.15" hidden="false" customHeight="false" outlineLevel="0" collapsed="false">
      <c r="A510" s="3" t="s">
        <v>807</v>
      </c>
    </row>
    <row r="511" customFormat="false" ht="17.15" hidden="false" customHeight="false" outlineLevel="0" collapsed="false">
      <c r="A511" s="12" t="s">
        <v>434</v>
      </c>
      <c r="B511" s="6" t="s">
        <v>17</v>
      </c>
      <c r="C511" s="12" t="s">
        <v>435</v>
      </c>
      <c r="D511" s="12" t="s">
        <v>436</v>
      </c>
      <c r="E511" s="12" t="s">
        <v>437</v>
      </c>
      <c r="F511" s="12" t="s">
        <v>438</v>
      </c>
      <c r="G511" s="12" t="s">
        <v>439</v>
      </c>
      <c r="H511" s="12" t="s">
        <v>440</v>
      </c>
      <c r="I511" s="12" t="s">
        <v>441</v>
      </c>
      <c r="J511" s="12" t="s">
        <v>442</v>
      </c>
      <c r="K511" s="12" t="s">
        <v>443</v>
      </c>
      <c r="L511" s="12" t="s">
        <v>444</v>
      </c>
      <c r="M511" s="12" t="s">
        <v>445</v>
      </c>
      <c r="N511" s="12" t="s">
        <v>446</v>
      </c>
      <c r="O511" s="12" t="s">
        <v>447</v>
      </c>
      <c r="P511" s="12" t="s">
        <v>448</v>
      </c>
      <c r="Q511" s="12" t="s">
        <v>449</v>
      </c>
      <c r="R511" s="12" t="s">
        <v>450</v>
      </c>
      <c r="S511" s="12"/>
      <c r="T511" s="6" t="s">
        <v>321</v>
      </c>
    </row>
    <row r="512" customFormat="false" ht="17.15" hidden="false" customHeight="false" outlineLevel="0" collapsed="false">
      <c r="A512" s="5" t="s">
        <v>451</v>
      </c>
      <c r="B512" s="0" t="s">
        <v>27</v>
      </c>
      <c r="C512" s="13" t="n">
        <f aca="false">Units!E4*1</f>
        <v>2.31</v>
      </c>
      <c r="D512" s="13" t="n">
        <f aca="false">Units!F4*1</f>
        <v>3.03</v>
      </c>
      <c r="E512" s="13" t="n">
        <f aca="false">Units!G4*1</f>
        <v>5.95</v>
      </c>
      <c r="F512" s="13" t="n">
        <f aca="false">Units!H4*1</f>
        <v>8.97</v>
      </c>
      <c r="G512" s="13" t="n">
        <f aca="false">Units!I4*1</f>
        <v>11.0371522587842</v>
      </c>
      <c r="H512" s="13" t="n">
        <f aca="false">Units!J4*1*1</f>
        <v>12.4602118149868</v>
      </c>
      <c r="I512" s="13" t="n">
        <f aca="false">Units!K4*1*1</f>
        <v>13.7296281882931</v>
      </c>
      <c r="J512" s="13" t="n">
        <f aca="false">Units!L4*1*1</f>
        <v>14.5173143040247</v>
      </c>
      <c r="K512" s="13" t="n">
        <f aca="false">Units!M4*1*1</f>
        <v>14.5826814190399</v>
      </c>
      <c r="L512" s="13" t="n">
        <f aca="false">Units!N4*1*1</f>
        <v>14.3399566970533</v>
      </c>
      <c r="M512" s="13" t="n">
        <f aca="false">Units!O4*1*1</f>
        <v>14.4045252239239</v>
      </c>
      <c r="N512" s="13" t="n">
        <f aca="false">Units!P4*1*1</f>
        <v>14.4693844835178</v>
      </c>
      <c r="O512" s="13" t="n">
        <f aca="false">Units!Q4*1*1</f>
        <v>14.5345357849173</v>
      </c>
      <c r="P512" s="13" t="n">
        <f aca="false">Units!R4*1*1</f>
        <v>14.5999804430991</v>
      </c>
      <c r="Q512" s="13" t="n">
        <f aca="false">Units!S4*1*1</f>
        <v>14.7547352450932</v>
      </c>
      <c r="R512" s="13" t="n">
        <f aca="false">Units!T4*1*1</f>
        <v>15.0415680545433</v>
      </c>
      <c r="T512" s="8" t="s">
        <v>452</v>
      </c>
    </row>
    <row r="513" customFormat="false" ht="15" hidden="false" customHeight="false" outlineLevel="0" collapsed="false">
      <c r="A513" s="5" t="s">
        <v>453</v>
      </c>
      <c r="B513" s="0" t="s">
        <v>386</v>
      </c>
      <c r="C513" s="13" t="n">
        <f aca="false">Units!E7*1</f>
        <v>31.1552804325753</v>
      </c>
      <c r="D513" s="13" t="n">
        <f aca="false">Units!F7*1</f>
        <v>33.5147228924475</v>
      </c>
      <c r="E513" s="13" t="n">
        <f aca="false">Units!G7*1</f>
        <v>38.0693331650007</v>
      </c>
      <c r="F513" s="13" t="n">
        <f aca="false">Units!H7*1</f>
        <v>33.6172154529341</v>
      </c>
      <c r="G513" s="13" t="n">
        <f aca="false">Units!I7*1</f>
        <v>33.0914894510934</v>
      </c>
      <c r="H513" s="13" t="n">
        <f aca="false">Units!J7*1</f>
        <v>34.5588285485368</v>
      </c>
      <c r="I513" s="13" t="n">
        <f aca="false">Units!K7*1</f>
        <v>36.9704842497676</v>
      </c>
      <c r="J513" s="13" t="n">
        <f aca="false">Units!L7*1</f>
        <v>39.0915276411862</v>
      </c>
      <c r="K513" s="13" t="n">
        <f aca="false">Units!M7*1</f>
        <v>41.3342579717828</v>
      </c>
      <c r="L513" s="13" t="n">
        <f aca="false">Units!N7*1</f>
        <v>43.7056565750022</v>
      </c>
      <c r="M513" s="13" t="n">
        <f aca="false">Units!O7*1</f>
        <v>46.2131053122095</v>
      </c>
      <c r="N513" s="13" t="n">
        <f aca="false">Units!P7*1</f>
        <v>48.8644095514828</v>
      </c>
      <c r="O513" s="13" t="n">
        <f aca="false">Units!Q7*1</f>
        <v>51.6678224647285</v>
      </c>
      <c r="P513" s="13" t="n">
        <f aca="false">Units!R7*1</f>
        <v>54.6320707187528</v>
      </c>
      <c r="Q513" s="13" t="n">
        <f aca="false">Units!S7*1</f>
        <v>56.9187133953845</v>
      </c>
      <c r="R513" s="13" t="n">
        <f aca="false">Units!T7*1</f>
        <v>59.8198104136917</v>
      </c>
    </row>
    <row r="514" customFormat="false" ht="17.15" hidden="false" customHeight="false" outlineLevel="0" collapsed="false">
      <c r="A514" s="5" t="s">
        <v>344</v>
      </c>
      <c r="B514" s="0" t="s">
        <v>27</v>
      </c>
      <c r="C514" s="13" t="n">
        <f aca="false">q1_rev</f>
        <v>2.308</v>
      </c>
      <c r="D514" s="13" t="n">
        <f aca="false">q2_rev</f>
        <v>3.025</v>
      </c>
      <c r="E514" s="13" t="n">
        <f aca="false">q3_rev</f>
        <v>5.95</v>
      </c>
      <c r="F514" s="13" t="n">
        <f aca="false">q4_rev</f>
        <v>8.965</v>
      </c>
      <c r="G514" s="13" t="n">
        <f aca="false">G512*sd_k</f>
        <v>11.0306149524118</v>
      </c>
      <c r="H514" s="13" t="n">
        <f aca="false">H512*sd_k</f>
        <v>12.4528316302988</v>
      </c>
      <c r="I514" s="13" t="n">
        <f aca="false">I512*sd_k</f>
        <v>13.7214961281618</v>
      </c>
      <c r="J514" s="13" t="n">
        <f aca="false">J512*sd_k</f>
        <v>14.5087156973293</v>
      </c>
      <c r="K514" s="13" t="n">
        <f aca="false">K512*sd_k</f>
        <v>14.5740440953959</v>
      </c>
      <c r="L514" s="13" t="n">
        <f aca="false">L512*sd_k</f>
        <v>14.331463139286</v>
      </c>
      <c r="M514" s="13" t="n">
        <f aca="false">M512*sd_k</f>
        <v>14.3959934222118</v>
      </c>
      <c r="N514" s="13" t="n">
        <f aca="false">N512*sd_k</f>
        <v>14.4608142656598</v>
      </c>
      <c r="O514" s="13" t="n">
        <f aca="false">O512*sd_k</f>
        <v>14.5259269779371</v>
      </c>
      <c r="P514" s="13" t="n">
        <f aca="false">P512*sd_k</f>
        <v>14.5913328732414</v>
      </c>
      <c r="Q514" s="13" t="n">
        <f aca="false">Q512*sd_k</f>
        <v>14.745996013951</v>
      </c>
      <c r="R514" s="13" t="n">
        <f aca="false">R512*sd_k</f>
        <v>15.0326589322997</v>
      </c>
      <c r="T514" s="5" t="s">
        <v>454</v>
      </c>
    </row>
    <row r="515" customFormat="false" ht="17.15" hidden="false" customHeight="false" outlineLevel="0" collapsed="false">
      <c r="A515" s="5" t="s">
        <v>455</v>
      </c>
      <c r="B515" s="0" t="s">
        <v>27</v>
      </c>
      <c r="C515" s="13" t="n">
        <f aca="false">q1_dc</f>
        <v>0.269</v>
      </c>
      <c r="D515" s="13" t="n">
        <f aca="false">q2_dc</f>
        <v>0.44</v>
      </c>
      <c r="E515" s="13" t="n">
        <f aca="false">q3_dc</f>
        <v>1.467</v>
      </c>
      <c r="F515" s="13" t="n">
        <f aca="false">q4_dc</f>
        <v>2.977</v>
      </c>
      <c r="G515" s="13" t="n">
        <f aca="false">G514*dcsh_27</f>
        <v>4.19163368191647</v>
      </c>
      <c r="H515" s="13" t="n">
        <f aca="false">H514*dcsh_27</f>
        <v>4.73207601951353</v>
      </c>
      <c r="I515" s="13" t="n">
        <f aca="false">I514*dcsh_27</f>
        <v>5.2141685287015</v>
      </c>
      <c r="J515" s="13" t="n">
        <f aca="false">J514*dcsh_27</f>
        <v>5.51331196498514</v>
      </c>
      <c r="K515" s="13" t="n">
        <f aca="false">K514*dcsh_28</f>
        <v>6.12109852006626</v>
      </c>
      <c r="L515" s="13" t="n">
        <f aca="false">L514*dcsh_28</f>
        <v>6.01921451850014</v>
      </c>
      <c r="M515" s="13" t="n">
        <f aca="false">M514*dcsh_28</f>
        <v>6.04631723732896</v>
      </c>
      <c r="N515" s="13" t="n">
        <f aca="false">N514*dcsh_28</f>
        <v>6.07354199157713</v>
      </c>
      <c r="O515" s="13" t="n">
        <f aca="false">O514*dcsh_29</f>
        <v>6.53666714007169</v>
      </c>
      <c r="P515" s="13" t="n">
        <f aca="false">P514*dcsh_29</f>
        <v>6.56609979295863</v>
      </c>
      <c r="Q515" s="13" t="n">
        <f aca="false">Q514*dcsh_29</f>
        <v>6.63569820627795</v>
      </c>
      <c r="R515" s="13" t="n">
        <f aca="false">R514*dcsh_29</f>
        <v>6.76469651953488</v>
      </c>
      <c r="T515" s="5" t="s">
        <v>456</v>
      </c>
    </row>
    <row r="516" customFormat="false" ht="17.15" hidden="false" customHeight="false" outlineLevel="0" collapsed="false">
      <c r="A516" s="5" t="s">
        <v>457</v>
      </c>
      <c r="B516" s="0" t="s">
        <v>27</v>
      </c>
      <c r="C516" s="13" t="n">
        <f aca="false">C515*(Units!C16+Units!D16)/2</f>
        <v>0.17543405707196</v>
      </c>
      <c r="D516" s="13" t="n">
        <f aca="false">D515*(Units!C16+Units!D16)/2</f>
        <v>0.286955334987593</v>
      </c>
      <c r="E516" s="13" t="n">
        <f aca="false">E515*(Units!C16+Units!D16)/2</f>
        <v>0.956735173697271</v>
      </c>
      <c r="F516" s="13" t="n">
        <f aca="false">F515*(Units!C16+Units!D16)/2</f>
        <v>1.94151370967742</v>
      </c>
      <c r="G516" s="13" t="n">
        <f aca="false">G515*(Units!D16+Units!E16)/2</f>
        <v>3.32353098753891</v>
      </c>
      <c r="H516" s="13" t="n">
        <f aca="false">H515*(Units!D16+Units!E16)/2</f>
        <v>3.75204573674775</v>
      </c>
      <c r="I516" s="13" t="n">
        <f aca="false">I515*(Units!D16+Units!E16)/2</f>
        <v>4.13429512081464</v>
      </c>
      <c r="J516" s="13" t="n">
        <f aca="false">J515*(Units!D16+Units!E16)/2</f>
        <v>4.37148485533195</v>
      </c>
      <c r="K516" s="13" t="n">
        <f aca="false">K515*(Units!E16+Units!F16)/2</f>
        <v>5.16163518420655</v>
      </c>
      <c r="L516" s="13" t="n">
        <f aca="false">L515*(Units!E16+Units!F16)/2</f>
        <v>5.07572118601366</v>
      </c>
      <c r="M516" s="13" t="n">
        <f aca="false">M515*(Units!E16+Units!F16)/2</f>
        <v>5.09857563716094</v>
      </c>
      <c r="N516" s="13" t="n">
        <f aca="false">N515*(Units!E16+Units!F16)/2</f>
        <v>5.12153299505153</v>
      </c>
      <c r="O516" s="13" t="n">
        <f aca="false">O515*(Units!F16+Units!G16)/2</f>
        <v>5.65525725199112</v>
      </c>
      <c r="P516" s="13" t="n">
        <f aca="false">P515*(Units!F16+Units!G16)/2</f>
        <v>5.68072118033831</v>
      </c>
      <c r="Q516" s="13" t="n">
        <f aca="false">Q515*(Units!F16+Units!G16)/2</f>
        <v>5.7409348830123</v>
      </c>
      <c r="R516" s="13" t="n">
        <f aca="false">R515*(Units!F16+Units!G16)/2</f>
        <v>5.85253895140195</v>
      </c>
      <c r="T516" s="5" t="s">
        <v>458</v>
      </c>
    </row>
    <row r="517" customFormat="false" ht="17.15" hidden="false" customHeight="false" outlineLevel="0" collapsed="false">
      <c r="A517" s="5" t="s">
        <v>459</v>
      </c>
      <c r="B517" s="0" t="s">
        <v>27</v>
      </c>
      <c r="C517" s="13" t="n">
        <f aca="false">C515-C516</f>
        <v>0.0935659429280397</v>
      </c>
      <c r="D517" s="13" t="n">
        <f aca="false">D515-D516</f>
        <v>0.153044665012407</v>
      </c>
      <c r="E517" s="13" t="n">
        <f aca="false">E515-E516</f>
        <v>0.51026482630273</v>
      </c>
      <c r="F517" s="13" t="n">
        <f aca="false">F515-F516</f>
        <v>1.03548629032258</v>
      </c>
      <c r="G517" s="13" t="n">
        <f aca="false">G515-G516</f>
        <v>0.868102694377567</v>
      </c>
      <c r="H517" s="13" t="n">
        <f aca="false">H515-H516</f>
        <v>0.980030282765779</v>
      </c>
      <c r="I517" s="13" t="n">
        <f aca="false">I515-I516</f>
        <v>1.07987340788686</v>
      </c>
      <c r="J517" s="13" t="n">
        <f aca="false">J515-J516</f>
        <v>1.1418271096532</v>
      </c>
      <c r="K517" s="13" t="n">
        <f aca="false">K515-K516</f>
        <v>0.959463335859709</v>
      </c>
      <c r="L517" s="13" t="n">
        <f aca="false">L515-L516</f>
        <v>0.943493332486474</v>
      </c>
      <c r="M517" s="13" t="n">
        <f aca="false">M515-M516</f>
        <v>0.947741600168022</v>
      </c>
      <c r="N517" s="13" t="n">
        <f aca="false">N515-N516</f>
        <v>0.952008996525601</v>
      </c>
      <c r="O517" s="13" t="n">
        <f aca="false">O515-O516</f>
        <v>0.881409888080571</v>
      </c>
      <c r="P517" s="13" t="n">
        <f aca="false">P515-P516</f>
        <v>0.885378612620321</v>
      </c>
      <c r="Q517" s="13" t="n">
        <f aca="false">Q515-Q516</f>
        <v>0.894763323265645</v>
      </c>
      <c r="R517" s="13" t="n">
        <f aca="false">R515-R516</f>
        <v>0.912157568132935</v>
      </c>
    </row>
    <row r="518" customFormat="false" ht="15" hidden="false" customHeight="false" outlineLevel="0" collapsed="false">
      <c r="A518" s="5" t="s">
        <v>460</v>
      </c>
      <c r="B518" s="0" t="s">
        <v>27</v>
      </c>
      <c r="C518" s="13" t="n">
        <f aca="false">q1_cs</f>
        <v>0.652</v>
      </c>
      <c r="D518" s="13" t="n">
        <f aca="false">q2_cs</f>
        <v>0.907</v>
      </c>
      <c r="E518" s="13" t="n">
        <f aca="false">q3_cs</f>
        <v>0.82</v>
      </c>
      <c r="F518" s="13" t="n">
        <f aca="false">q4_cs</f>
        <v>0.556</v>
      </c>
      <c r="G518" s="13" t="n">
        <f aca="false">G514*cssh_27</f>
        <v>0.661836897144706</v>
      </c>
      <c r="H518" s="13" t="n">
        <f aca="false">H514*cssh_27</f>
        <v>0.747169897817925</v>
      </c>
      <c r="I518" s="13" t="n">
        <f aca="false">I514*cssh_27</f>
        <v>0.82328976768971</v>
      </c>
      <c r="J518" s="13" t="n">
        <f aca="false">J514*cssh_27</f>
        <v>0.87052294183976</v>
      </c>
      <c r="K518" s="13" t="n">
        <f aca="false">K514*cssh_28</f>
        <v>0.874442645723751</v>
      </c>
      <c r="L518" s="13" t="n">
        <f aca="false">L514*cssh_28</f>
        <v>0.859887788357163</v>
      </c>
      <c r="M518" s="13" t="n">
        <f aca="false">M514*cssh_28</f>
        <v>0.863759605332708</v>
      </c>
      <c r="N518" s="13" t="n">
        <f aca="false">N514*cssh_28</f>
        <v>0.867648855939591</v>
      </c>
      <c r="O518" s="13" t="n">
        <f aca="false">O514*cssh_29</f>
        <v>0.871555618676226</v>
      </c>
      <c r="P518" s="13" t="n">
        <f aca="false">P514*cssh_29</f>
        <v>0.875479972394484</v>
      </c>
      <c r="Q518" s="13" t="n">
        <f aca="false">Q514*cssh_29</f>
        <v>0.88475976083706</v>
      </c>
      <c r="R518" s="13" t="n">
        <f aca="false">R514*cssh_29</f>
        <v>0.901959535937984</v>
      </c>
      <c r="T518" s="5" t="s">
        <v>461</v>
      </c>
    </row>
    <row r="519" customFormat="false" ht="15" hidden="false" customHeight="false" outlineLevel="0" collapsed="false">
      <c r="A519" s="5" t="s">
        <v>462</v>
      </c>
      <c r="B519" s="0" t="s">
        <v>27</v>
      </c>
      <c r="C519" s="13" t="n">
        <f aca="false">q1_ed</f>
        <v>1.387</v>
      </c>
      <c r="D519" s="13" t="n">
        <f aca="false">q2_ed</f>
        <v>1.678</v>
      </c>
      <c r="E519" s="13" t="n">
        <f aca="false">q3_ed</f>
        <v>3.663</v>
      </c>
      <c r="F519" s="13" t="n">
        <f aca="false">q4_ed</f>
        <v>5.432</v>
      </c>
      <c r="G519" s="13" t="n">
        <f aca="false">G514-G515-G518</f>
        <v>6.17714437335059</v>
      </c>
      <c r="H519" s="13" t="n">
        <f aca="false">H514-H515-H518</f>
        <v>6.9735857129673</v>
      </c>
      <c r="I519" s="13" t="n">
        <f aca="false">I514-I515-I518</f>
        <v>7.68403783177063</v>
      </c>
      <c r="J519" s="13" t="n">
        <f aca="false">J514-J515-J518</f>
        <v>8.12488079050442</v>
      </c>
      <c r="K519" s="13" t="n">
        <f aca="false">K514-K515-K518</f>
        <v>7.57850292960584</v>
      </c>
      <c r="L519" s="13" t="n">
        <f aca="false">L514-L515-L518</f>
        <v>7.45236083242874</v>
      </c>
      <c r="M519" s="13" t="n">
        <f aca="false">M514-M515-M518</f>
        <v>7.48591657955014</v>
      </c>
      <c r="N519" s="13" t="n">
        <f aca="false">N514-N515-N518</f>
        <v>7.51962341814312</v>
      </c>
      <c r="O519" s="13" t="n">
        <f aca="false">O514-O515-O518</f>
        <v>7.11770421918918</v>
      </c>
      <c r="P519" s="13" t="n">
        <f aca="false">P514-P515-P518</f>
        <v>7.14975310788828</v>
      </c>
      <c r="Q519" s="13" t="n">
        <f aca="false">Q514-Q515-Q518</f>
        <v>7.22553804683599</v>
      </c>
      <c r="R519" s="13" t="n">
        <f aca="false">R514-R515-R518</f>
        <v>7.36600287682687</v>
      </c>
      <c r="T519" s="5" t="s">
        <v>463</v>
      </c>
    </row>
    <row r="520" customFormat="false" ht="15" hidden="false" customHeight="false" outlineLevel="0" collapsed="false">
      <c r="A520" s="5" t="s">
        <v>464</v>
      </c>
      <c r="B520" s="0" t="s">
        <v>27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465</v>
      </c>
      <c r="B521" s="0" t="s">
        <v>466</v>
      </c>
      <c r="C521" s="19" t="n">
        <f aca="false">C522/C513</f>
        <v>0.0520045391183812</v>
      </c>
      <c r="D521" s="19" t="n">
        <f aca="false">D522/D513</f>
        <v>0.0443170902760084</v>
      </c>
      <c r="E521" s="19" t="n">
        <f aca="false">E522/E513</f>
        <v>0.0337594565796481</v>
      </c>
      <c r="F521" s="19" t="n">
        <f aca="false">F522/F513</f>
        <v>0.0410685412637144</v>
      </c>
      <c r="G521" s="19" t="n">
        <f aca="false">(1-g_gm)*G514/G513</f>
        <v>0.049900535931346</v>
      </c>
      <c r="H521" s="19" t="n">
        <f aca="false">$G521*(1-cd_A)^(1/4)</f>
        <v>0.0480540308412442</v>
      </c>
      <c r="I521" s="19" t="n">
        <f aca="false">$G521*(1-cd_A)^(2/4)</f>
        <v>0.0462758532948078</v>
      </c>
      <c r="J521" s="19" t="n">
        <f aca="false">$G521*(1-cd_A)^(3/4)</f>
        <v>0.0445634749192484</v>
      </c>
      <c r="K521" s="19" t="n">
        <f aca="false">$G521*(1-cd_A)^(4/4)</f>
        <v>0.0429144609009575</v>
      </c>
      <c r="L521" s="19" t="n">
        <f aca="false">$G521*(1-cd_A)^(5/4)</f>
        <v>0.04132646652347</v>
      </c>
      <c r="M521" s="19" t="n">
        <f aca="false">$G521*(1-cd_A)^(6/4)</f>
        <v>0.0397972338335347</v>
      </c>
      <c r="N521" s="19" t="n">
        <f aca="false">$G521*(1-cd_A)^(7/4)</f>
        <v>0.0383245884305536</v>
      </c>
      <c r="O521" s="19" t="n">
        <f aca="false">$G521*(1-cd_A)^(8/4)</f>
        <v>0.0369064363748235</v>
      </c>
      <c r="P521" s="19" t="n">
        <f aca="false">$G521*(1-cd_A)^(9/4)</f>
        <v>0.0355407612101842</v>
      </c>
      <c r="Q521" s="19" t="n">
        <f aca="false">$G521*(1-cd_A)^(10/4)</f>
        <v>0.0342256210968399</v>
      </c>
      <c r="R521" s="19" t="n">
        <f aca="false">$G521*(1-cd_A)^(11/4)</f>
        <v>0.0329591460502761</v>
      </c>
    </row>
    <row r="522" customFormat="false" ht="15" hidden="false" customHeight="false" outlineLevel="0" collapsed="false">
      <c r="A522" s="5" t="s">
        <v>467</v>
      </c>
      <c r="B522" s="0" t="s">
        <v>27</v>
      </c>
      <c r="C522" s="13" t="n">
        <f aca="false">q1_rev*(1-q1_gm)</f>
        <v>1.620216</v>
      </c>
      <c r="D522" s="13" t="n">
        <f aca="false">q2_rev*(1-q2_gm)</f>
        <v>1.485275</v>
      </c>
      <c r="E522" s="13" t="n">
        <f aca="false">q3_rev*(1-q3_gm)</f>
        <v>1.2852</v>
      </c>
      <c r="F522" s="13" t="n">
        <f aca="false">q4_rev*(1-q4_gm)</f>
        <v>1.38061</v>
      </c>
      <c r="G522" s="13" t="n">
        <f aca="false">G513*G521</f>
        <v>1.65128305837604</v>
      </c>
      <c r="H522" s="13" t="n">
        <f aca="false">H513*H521</f>
        <v>1.66069101290866</v>
      </c>
      <c r="I522" s="13" t="n">
        <f aca="false">I513*I521</f>
        <v>1.71084070538025</v>
      </c>
      <c r="J522" s="13" t="n">
        <f aca="false">J513*J521</f>
        <v>1.7420543115931</v>
      </c>
      <c r="K522" s="13" t="n">
        <f aca="false">K513*K521</f>
        <v>1.77383739760017</v>
      </c>
      <c r="L522" s="13" t="n">
        <f aca="false">L513*L521</f>
        <v>1.80620035333311</v>
      </c>
      <c r="M522" s="13" t="n">
        <f aca="false">M513*M521</f>
        <v>1.83915375828377</v>
      </c>
      <c r="N522" s="13" t="n">
        <f aca="false">N513*N521</f>
        <v>1.87270838496259</v>
      </c>
      <c r="O522" s="13" t="n">
        <f aca="false">O513*O521</f>
        <v>1.90687520242018</v>
      </c>
      <c r="P522" s="13" t="n">
        <f aca="false">P513*P521</f>
        <v>1.94166537983309</v>
      </c>
      <c r="Q522" s="13" t="n">
        <f aca="false">Q513*Q521</f>
        <v>1.94807831799005</v>
      </c>
      <c r="R522" s="13" t="n">
        <f aca="false">R513*R521</f>
        <v>1.97160986812469</v>
      </c>
    </row>
    <row r="523" customFormat="false" ht="15" hidden="false" customHeight="false" outlineLevel="0" collapsed="false">
      <c r="A523" s="5" t="s">
        <v>423</v>
      </c>
      <c r="B523" s="0" t="s">
        <v>33</v>
      </c>
      <c r="C523" s="14" t="n">
        <f aca="false">1-C522/C514</f>
        <v>0.298</v>
      </c>
      <c r="D523" s="14" t="n">
        <f aca="false">1-D522/D514</f>
        <v>0.509</v>
      </c>
      <c r="E523" s="14" t="n">
        <f aca="false">1-E522/E514</f>
        <v>0.784</v>
      </c>
      <c r="F523" s="14" t="n">
        <f aca="false">1-F522/F514</f>
        <v>0.846</v>
      </c>
      <c r="G523" s="14" t="n">
        <f aca="false">1-G522/G514</f>
        <v>0.8503</v>
      </c>
      <c r="H523" s="14" t="n">
        <f aca="false">1-H522/H514</f>
        <v>0.866641494704862</v>
      </c>
      <c r="I523" s="14" t="n">
        <f aca="false">1-I522/I514</f>
        <v>0.875316751948868</v>
      </c>
      <c r="J523" s="14" t="n">
        <f aca="false">1-J522/J514</f>
        <v>0.879930495025568</v>
      </c>
      <c r="K523" s="14" t="n">
        <f aca="false">1-K522/K514</f>
        <v>0.878287907873111</v>
      </c>
      <c r="L523" s="14" t="n">
        <f aca="false">1-L522/L514</f>
        <v>0.873969577580542</v>
      </c>
      <c r="M523" s="14" t="n">
        <f aca="false">1-M522/M514</f>
        <v>0.872245443274091</v>
      </c>
      <c r="N523" s="14" t="n">
        <f aca="false">1-N522/N514</f>
        <v>0.870497722288729</v>
      </c>
      <c r="O523" s="14" t="n">
        <f aca="false">1-O522/O514</f>
        <v>0.868726091951553</v>
      </c>
      <c r="P523" s="14" t="n">
        <f aca="false">1-P522/P514</f>
        <v>0.866930225175395</v>
      </c>
      <c r="Q523" s="14" t="n">
        <f aca="false">1-Q522/Q514</f>
        <v>0.867891031833523</v>
      </c>
      <c r="R523" s="14" t="n">
        <f aca="false">1-R522/R514</f>
        <v>0.868844901157944</v>
      </c>
    </row>
    <row r="524" customFormat="false" ht="17.15" hidden="false" customHeight="false" outlineLevel="0" collapsed="false">
      <c r="A524" s="5" t="s">
        <v>468</v>
      </c>
      <c r="B524" s="0" t="s">
        <v>27</v>
      </c>
      <c r="C524" s="13" t="n">
        <f aca="false">q1_rev-q1_rev*(1-q1_gm)-q1_op</f>
        <v>0.511784</v>
      </c>
      <c r="D524" s="13" t="n">
        <f aca="false">q2_rev-q2_rev*(1-q2_gm)-q2_op</f>
        <v>0.474725</v>
      </c>
      <c r="E524" s="13" t="n">
        <f aca="false">q3_rev-q3_rev*(1-q3_gm)-q3_op</f>
        <v>0.553800000000001</v>
      </c>
      <c r="F524" s="13" t="n">
        <f aca="false">q4_rev-q4_rev*(1-q4_gm)-q4_op</f>
        <v>0.54739</v>
      </c>
      <c r="G524" s="13" t="n">
        <f aca="false">(g_ox-ox_var*g_rev)*(1+ox_g)^(0/4)+ox_var*G514</f>
        <v>0.581996149524118</v>
      </c>
      <c r="H524" s="13" t="n">
        <f aca="false">(g_ox-ox_var*g_rev)*(1+ox_g)^(1/4)+ox_var*H514</f>
        <v>0.607592502307229</v>
      </c>
      <c r="I524" s="13" t="n">
        <f aca="false">(g_ox-ox_var*g_rev)*(1+ox_g)^(2/4)+ox_var*I514</f>
        <v>0.631927606874997</v>
      </c>
      <c r="J524" s="13" t="n">
        <f aca="false">(g_ox-ox_var*g_rev)*(1+ox_g)^(3/4)+ox_var*J514</f>
        <v>0.651729149488654</v>
      </c>
      <c r="K524" s="13" t="n">
        <f aca="false">(g_ox-ox_var*g_rev)*(1+ox_g)^(4/4)+ox_var*K514</f>
        <v>0.664599440953958</v>
      </c>
      <c r="L524" s="13" t="n">
        <f aca="false">(g_ox-ox_var*g_rev)*(1+ox_g)^(5/4)+ox_var*L514</f>
        <v>0.674685235997527</v>
      </c>
      <c r="M524" s="13" t="n">
        <f aca="false">(g_ox-ox_var*g_rev)*(1+ox_g)^(6/4)+ox_var*M514</f>
        <v>0.688143844374835</v>
      </c>
      <c r="N524" s="13" t="n">
        <f aca="false">(g_ox-ox_var*g_rev)*(1+ox_g)^(7/4)+ox_var*N514</f>
        <v>0.701914334423495</v>
      </c>
      <c r="O524" s="13" t="n">
        <f aca="false">(g_ox-ox_var*g_rev)*(1+ox_g)^(8/4)+ox_var*O514</f>
        <v>0.716004169779371</v>
      </c>
      <c r="P524" s="13" t="n">
        <f aca="false">(g_ox-ox_var*g_rev)*(1+ox_g)^(9/4)+ox_var*P514</f>
        <v>0.730420993797547</v>
      </c>
      <c r="Q524" s="13" t="n">
        <f aca="false">(g_ox-ox_var*g_rev)*(1+ox_g)^(10/4)+ox_var*Q514</f>
        <v>0.746062261307498</v>
      </c>
      <c r="R524" s="13" t="n">
        <f aca="false">(g_ox-ox_var*g_rev)*(1+ox_g)^(11/4)+ox_var*R514</f>
        <v>0.763363400266584</v>
      </c>
      <c r="T524" s="5" t="s">
        <v>469</v>
      </c>
    </row>
    <row r="525" customFormat="false" ht="15" hidden="false" customHeight="false" outlineLevel="0" collapsed="false">
      <c r="A525" s="5" t="s">
        <v>424</v>
      </c>
      <c r="B525" s="0" t="s">
        <v>27</v>
      </c>
      <c r="C525" s="13" t="n">
        <f aca="false">C514-C522-C524</f>
        <v>0.176</v>
      </c>
      <c r="D525" s="13" t="n">
        <f aca="false">D514-D522-D524</f>
        <v>1.065</v>
      </c>
      <c r="E525" s="13" t="n">
        <f aca="false">E514-E522-E524</f>
        <v>4.111</v>
      </c>
      <c r="F525" s="13" t="n">
        <f aca="false">F514-F522-F524</f>
        <v>7.037</v>
      </c>
      <c r="G525" s="13" t="n">
        <f aca="false">G514-G522-G524</f>
        <v>8.79733574451161</v>
      </c>
      <c r="H525" s="13" t="n">
        <f aca="false">H514-H522-H524</f>
        <v>10.1845481150829</v>
      </c>
      <c r="I525" s="13" t="n">
        <f aca="false">I514-I522-I524</f>
        <v>11.3787278159066</v>
      </c>
      <c r="J525" s="13" t="n">
        <f aca="false">J514-J522-J524</f>
        <v>12.1149322362476</v>
      </c>
      <c r="K525" s="13" t="n">
        <f aca="false">K514-K522-K524</f>
        <v>12.1356072568417</v>
      </c>
      <c r="L525" s="13" t="n">
        <f aca="false">L514-L522-L524</f>
        <v>11.8505775499554</v>
      </c>
      <c r="M525" s="13" t="n">
        <f aca="false">M514-M522-M524</f>
        <v>11.8686958195532</v>
      </c>
      <c r="N525" s="13" t="n">
        <f aca="false">N514-N522-N524</f>
        <v>11.8861915462738</v>
      </c>
      <c r="O525" s="13" t="n">
        <f aca="false">O514-O522-O524</f>
        <v>11.9030476057375</v>
      </c>
      <c r="P525" s="13" t="n">
        <f aca="false">P514-P522-P524</f>
        <v>11.9192464996108</v>
      </c>
      <c r="Q525" s="13" t="n">
        <f aca="false">Q514-Q522-Q524</f>
        <v>12.0518554346534</v>
      </c>
      <c r="R525" s="13" t="n">
        <f aca="false">R514-R522-R524</f>
        <v>12.2976856639085</v>
      </c>
    </row>
    <row r="527" customFormat="false" ht="17.15" hidden="false" customHeight="false" outlineLevel="0" collapsed="false">
      <c r="A527" s="5" t="s">
        <v>426</v>
      </c>
      <c r="B527" s="0" t="s">
        <v>27</v>
      </c>
      <c r="C527" s="13" t="n">
        <f aca="false">q1_ni</f>
        <v>0.112</v>
      </c>
      <c r="D527" s="13" t="n">
        <f aca="false">q2_ni</f>
        <v>0.803</v>
      </c>
      <c r="E527" s="13" t="n">
        <f aca="false">q3_ni</f>
        <v>3.615</v>
      </c>
      <c r="F527" s="13" t="n">
        <f aca="false">q4_ni</f>
        <v>6.903</v>
      </c>
      <c r="G527" s="13" t="n">
        <f aca="false">(G525+rf*$D548/4)*(1-tax_hi)</f>
        <v>7.07596459560929</v>
      </c>
      <c r="H527" s="13" t="n">
        <f aca="false">(H525+rf*$D548/4)*(1-tax_hi)</f>
        <v>8.18573449206629</v>
      </c>
      <c r="I527" s="13" t="n">
        <f aca="false">(I525+rf*$D548/4)*(1-tax_hi)</f>
        <v>9.14107825272527</v>
      </c>
      <c r="J527" s="13" t="n">
        <f aca="false">(J525+rf*$D548/4)*(1-tax_hi)</f>
        <v>9.73004178899805</v>
      </c>
      <c r="K527" s="13" t="n">
        <f aca="false">(K525+rf*$E548/4)*(1-tax_hi)</f>
        <v>9.87134180397301</v>
      </c>
      <c r="L527" s="13" t="n">
        <f aca="false">(L525+rf*$E548/4)*(1-tax_hi)</f>
        <v>9.64331803846396</v>
      </c>
      <c r="M527" s="13" t="n">
        <f aca="false">(M525+rf*$E548/4)*(1-tax_hi)</f>
        <v>9.65781265414219</v>
      </c>
      <c r="N527" s="13" t="n">
        <f aca="false">(N525+rf*$E548/4)*(1-tax_hi)</f>
        <v>9.67180923551864</v>
      </c>
      <c r="O527" s="13" t="n">
        <f aca="false">(O525+rf*$F548/4)*(1-tax_hi)</f>
        <v>9.82744825443664</v>
      </c>
      <c r="P527" s="13" t="n">
        <f aca="false">(P525+rf*$F548/4)*(1-tax_hi)</f>
        <v>9.84040736953521</v>
      </c>
      <c r="Q527" s="13" t="n">
        <f aca="false">(Q525+rf*$F548/4)*(1-tax_hi)</f>
        <v>9.94649451756936</v>
      </c>
      <c r="R527" s="13" t="n">
        <f aca="false">(R525+rf*$F548/4)*(1-tax_hi)</f>
        <v>10.1431587009734</v>
      </c>
      <c r="T527" s="5" t="s">
        <v>470</v>
      </c>
    </row>
    <row r="528" customFormat="false" ht="17.15" hidden="false" customHeight="false" outlineLevel="0" collapsed="false">
      <c r="A528" s="5" t="s">
        <v>471</v>
      </c>
      <c r="B528" s="0" t="s">
        <v>40</v>
      </c>
      <c r="G528" s="15" t="n">
        <f aca="false">G527/(sh0+dil)*1000</f>
        <v>46.8606926861542</v>
      </c>
      <c r="H528" s="15" t="n">
        <f aca="false">H527/(sh0+dil)*1000</f>
        <v>54.2101621991145</v>
      </c>
      <c r="I528" s="15" t="n">
        <f aca="false">I527/(sh0+dil)*1000</f>
        <v>60.5369420710283</v>
      </c>
      <c r="J528" s="15" t="n">
        <f aca="false">J527/(sh0+dil)*1000</f>
        <v>64.4373628410467</v>
      </c>
      <c r="K528" s="15" t="n">
        <f aca="false">K527/(sh0+dil)*1000</f>
        <v>65.3731245296226</v>
      </c>
      <c r="L528" s="15" t="n">
        <f aca="false">L527/(sh0+dil)*1000</f>
        <v>63.863033367311</v>
      </c>
      <c r="M528" s="15" t="n">
        <f aca="false">M527/(sh0+dil)*1000</f>
        <v>63.9590241996172</v>
      </c>
      <c r="N528" s="15" t="n">
        <f aca="false">N527/(sh0+dil)*1000</f>
        <v>64.0517167915141</v>
      </c>
      <c r="O528" s="15" t="n">
        <f aca="false">O527/(sh0+dil)*1000</f>
        <v>65.0824387711036</v>
      </c>
      <c r="P528" s="15" t="n">
        <f aca="false">P527/(sh0+dil)*1000</f>
        <v>65.1682607253987</v>
      </c>
      <c r="Q528" s="15" t="n">
        <f aca="false">Q527/(sh0+dil)*1000</f>
        <v>65.8708246196646</v>
      </c>
      <c r="R528" s="15" t="n">
        <f aca="false">R527/(sh0+dil)*1000</f>
        <v>67.1732364302873</v>
      </c>
    </row>
    <row r="530" customFormat="false" ht="17.15" hidden="false" customHeight="false" outlineLevel="0" collapsed="false">
      <c r="A530" s="12" t="s">
        <v>472</v>
      </c>
      <c r="B530" s="6" t="s">
        <v>17</v>
      </c>
      <c r="C530" s="12" t="s">
        <v>413</v>
      </c>
      <c r="D530" s="12" t="s">
        <v>414</v>
      </c>
      <c r="E530" s="12" t="s">
        <v>415</v>
      </c>
      <c r="F530" s="12" t="s">
        <v>416</v>
      </c>
      <c r="G530" s="12" t="s">
        <v>417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321</v>
      </c>
    </row>
    <row r="531" customFormat="false" ht="15" hidden="false" customHeight="false" outlineLevel="0" collapsed="false">
      <c r="A531" s="5" t="s">
        <v>344</v>
      </c>
      <c r="B531" s="0" t="s">
        <v>27</v>
      </c>
      <c r="C531" s="13" t="n">
        <f aca="false">a25_rev</f>
        <v>7.355</v>
      </c>
      <c r="D531" s="13" t="n">
        <f aca="false">SUM(C514:F514)</f>
        <v>20.248</v>
      </c>
      <c r="E531" s="13" t="n">
        <f aca="false">SUM(G514:J514)</f>
        <v>51.7136584082017</v>
      </c>
      <c r="F531" s="13" t="n">
        <f aca="false">SUM(K514:N514)</f>
        <v>57.7623149225535</v>
      </c>
      <c r="G531" s="13" t="n">
        <f aca="false">SUM(O514:R514)</f>
        <v>58.8959147974292</v>
      </c>
    </row>
    <row r="532" customFormat="false" ht="15" hidden="false" customHeight="false" outlineLevel="0" collapsed="false">
      <c r="A532" s="5" t="s">
        <v>473</v>
      </c>
      <c r="B532" s="0" t="s">
        <v>27</v>
      </c>
      <c r="D532" s="13" t="n">
        <f aca="false">SUM(C515:F515)</f>
        <v>5.153</v>
      </c>
      <c r="E532" s="13" t="n">
        <f aca="false">SUM(G515:J515)</f>
        <v>19.6511901951166</v>
      </c>
      <c r="F532" s="13" t="n">
        <f aca="false">SUM(K515:N515)</f>
        <v>24.2601722674725</v>
      </c>
      <c r="G532" s="13" t="n">
        <f aca="false">SUM(O515:R515)</f>
        <v>26.5031616588432</v>
      </c>
    </row>
    <row r="533" customFormat="false" ht="17.15" hidden="false" customHeight="false" outlineLevel="0" collapsed="false">
      <c r="A533" s="5" t="s">
        <v>474</v>
      </c>
      <c r="B533" s="0" t="s">
        <v>27</v>
      </c>
      <c r="D533" s="13" t="n">
        <f aca="false">SUM(C516:F516)</f>
        <v>3.36063827543424</v>
      </c>
      <c r="E533" s="13" t="n">
        <f aca="false">SUM(G516:J516)</f>
        <v>15.5813567004332</v>
      </c>
      <c r="F533" s="13" t="n">
        <f aca="false">SUM(K516:N516)</f>
        <v>20.4574650024327</v>
      </c>
      <c r="G533" s="13" t="n">
        <f aca="false">SUM(O516:R516)</f>
        <v>22.9294522667437</v>
      </c>
    </row>
    <row r="534" customFormat="false" ht="15" hidden="false" customHeight="false" outlineLevel="0" collapsed="false">
      <c r="A534" s="5" t="s">
        <v>475</v>
      </c>
      <c r="B534" s="0" t="s">
        <v>27</v>
      </c>
      <c r="D534" s="13" t="n">
        <f aca="false">SUM(C519:F519)</f>
        <v>12.16</v>
      </c>
      <c r="E534" s="13" t="n">
        <f aca="false">SUM(G519:J519)</f>
        <v>28.9596487085929</v>
      </c>
      <c r="F534" s="13" t="n">
        <f aca="false">SUM(K519:N519)</f>
        <v>30.0364037597278</v>
      </c>
      <c r="G534" s="13" t="n">
        <f aca="false">SUM(O519:R519)</f>
        <v>28.8589982507403</v>
      </c>
    </row>
    <row r="535" customFormat="false" ht="15" hidden="false" customHeight="false" outlineLevel="0" collapsed="false">
      <c r="A535" s="5" t="s">
        <v>476</v>
      </c>
      <c r="B535" s="0" t="s">
        <v>27</v>
      </c>
      <c r="D535" s="13" t="n">
        <f aca="false">SUM(C518:F518)</f>
        <v>2.935</v>
      </c>
      <c r="E535" s="13" t="n">
        <f aca="false">SUM(G518:J518)</f>
        <v>3.1028195044921</v>
      </c>
      <c r="F535" s="13" t="n">
        <f aca="false">SUM(K518:N518)</f>
        <v>3.46573889535321</v>
      </c>
      <c r="G535" s="13" t="n">
        <f aca="false">SUM(O518:R518)</f>
        <v>3.53375488784575</v>
      </c>
    </row>
    <row r="536" customFormat="false" ht="17.15" hidden="false" customHeight="false" outlineLevel="0" collapsed="false">
      <c r="A536" s="5" t="s">
        <v>477</v>
      </c>
      <c r="B536" s="0" t="s">
        <v>27</v>
      </c>
      <c r="D536" s="18" t="n">
        <f aca="false">D532+D534+D535-D531+ABS(D532-a26_dc)+ABS(D534-a26_ed)+ABS(D535-a26_cs)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467</v>
      </c>
      <c r="B537" s="0" t="s">
        <v>27</v>
      </c>
      <c r="D537" s="13" t="n">
        <f aca="false">SUM(C522:F522)</f>
        <v>5.771301</v>
      </c>
      <c r="E537" s="13" t="n">
        <f aca="false">SUM(G522:J522)</f>
        <v>6.76486908825806</v>
      </c>
      <c r="F537" s="13" t="n">
        <f aca="false">SUM(K522:N522)</f>
        <v>7.29189989417963</v>
      </c>
      <c r="G537" s="13" t="n">
        <f aca="false">SUM(O522:R522)</f>
        <v>7.76822876836801</v>
      </c>
    </row>
    <row r="538" customFormat="false" ht="15" hidden="false" customHeight="false" outlineLevel="0" collapsed="false">
      <c r="A538" s="5" t="s">
        <v>423</v>
      </c>
      <c r="B538" s="0" t="s">
        <v>33</v>
      </c>
      <c r="D538" s="14" t="n">
        <f aca="false">1-D537/D531</f>
        <v>0.714969330304228</v>
      </c>
      <c r="E538" s="14" t="n">
        <f aca="false">1-E537/E531</f>
        <v>0.869186027512121</v>
      </c>
      <c r="F538" s="14" t="n">
        <f aca="false">1-F537/F531</f>
        <v>0.873760255212132</v>
      </c>
      <c r="G538" s="14" t="n">
        <f aca="false">1-G537/G531</f>
        <v>0.868102417712899</v>
      </c>
    </row>
    <row r="539" customFormat="false" ht="15" hidden="false" customHeight="false" outlineLevel="0" collapsed="false">
      <c r="A539" s="5" t="s">
        <v>468</v>
      </c>
      <c r="B539" s="0" t="s">
        <v>27</v>
      </c>
      <c r="D539" s="13" t="n">
        <f aca="false">SUM(C524:F524)</f>
        <v>2.087699</v>
      </c>
      <c r="E539" s="13" t="n">
        <f aca="false">SUM(G524:J524)</f>
        <v>2.473245408195</v>
      </c>
      <c r="F539" s="13" t="n">
        <f aca="false">SUM(K524:N524)</f>
        <v>2.72934285574982</v>
      </c>
      <c r="G539" s="13" t="n">
        <f aca="false">SUM(O524:R524)</f>
        <v>2.955850825151</v>
      </c>
    </row>
    <row r="540" customFormat="false" ht="15" hidden="false" customHeight="false" outlineLevel="0" collapsed="false">
      <c r="A540" s="5" t="s">
        <v>424</v>
      </c>
      <c r="B540" s="0" t="s">
        <v>27</v>
      </c>
      <c r="D540" s="13" t="n">
        <f aca="false">SUM(C525:F525)</f>
        <v>12.389</v>
      </c>
      <c r="E540" s="13" t="n">
        <f aca="false">SUM(G525:J525)</f>
        <v>42.4755439117486</v>
      </c>
      <c r="F540" s="13" t="n">
        <f aca="false">SUM(K525:N525)</f>
        <v>47.7410721726241</v>
      </c>
      <c r="G540" s="13" t="n">
        <f aca="false">SUM(O525:R525)</f>
        <v>48.1718352039102</v>
      </c>
    </row>
    <row r="541" customFormat="false" ht="15" hidden="false" customHeight="false" outlineLevel="0" collapsed="false">
      <c r="A541" s="5" t="s">
        <v>425</v>
      </c>
      <c r="B541" s="0" t="s">
        <v>33</v>
      </c>
      <c r="D541" s="14" t="n">
        <f aca="false">D540/D531</f>
        <v>0.61186290003951</v>
      </c>
      <c r="E541" s="14" t="n">
        <f aca="false">E540/E531</f>
        <v>0.821360259923365</v>
      </c>
      <c r="F541" s="14" t="n">
        <f aca="false">F540/F531</f>
        <v>0.826508983177601</v>
      </c>
      <c r="G541" s="14" t="n">
        <f aca="false">G540/G531</f>
        <v>0.817914712244403</v>
      </c>
    </row>
    <row r="542" customFormat="false" ht="15" hidden="false" customHeight="false" outlineLevel="0" collapsed="false">
      <c r="A542" s="5" t="s">
        <v>426</v>
      </c>
      <c r="B542" s="0" t="s">
        <v>27</v>
      </c>
      <c r="C542" s="13" t="n">
        <f aca="false">a25_ni</f>
        <v>-1.641</v>
      </c>
      <c r="D542" s="13" t="n">
        <f aca="false">SUM(C527:F527)</f>
        <v>11.433</v>
      </c>
      <c r="E542" s="13" t="n">
        <f aca="false">SUM(G527:J527)</f>
        <v>34.1328191293989</v>
      </c>
      <c r="F542" s="13" t="n">
        <f aca="false">SUM(K527:N527)</f>
        <v>38.8442817320978</v>
      </c>
      <c r="G542" s="13" t="n">
        <f aca="false">SUM(O527:R527)</f>
        <v>39.7575088425146</v>
      </c>
    </row>
    <row r="543" customFormat="false" ht="15" hidden="false" customHeight="false" outlineLevel="0" collapsed="false">
      <c r="A543" s="5" t="s">
        <v>478</v>
      </c>
      <c r="B543" s="0" t="s">
        <v>27</v>
      </c>
      <c r="D543" s="13" t="n">
        <f aca="false">da_y</f>
        <v>0.16</v>
      </c>
      <c r="E543" s="13" t="n">
        <f aca="false">da_y</f>
        <v>0.16</v>
      </c>
      <c r="F543" s="13" t="n">
        <f aca="false">da_y</f>
        <v>0.16</v>
      </c>
      <c r="G543" s="13" t="n">
        <f aca="false">da_y</f>
        <v>0.16</v>
      </c>
    </row>
    <row r="544" customFormat="false" ht="17.15" hidden="false" customHeight="false" outlineLevel="0" collapsed="false">
      <c r="A544" s="5" t="s">
        <v>479</v>
      </c>
      <c r="B544" s="0" t="s">
        <v>27</v>
      </c>
      <c r="D544" s="13" t="n">
        <v>0.562</v>
      </c>
      <c r="E544" s="13" t="n">
        <f aca="false">cap_r*E531</f>
        <v>3.1028195044921</v>
      </c>
      <c r="F544" s="13" t="n">
        <f aca="false">cap_r*F531</f>
        <v>3.46573889535321</v>
      </c>
      <c r="G544" s="13" t="n">
        <f aca="false">cap_r*G531</f>
        <v>3.53375488784575</v>
      </c>
      <c r="T544" s="8" t="s">
        <v>480</v>
      </c>
    </row>
    <row r="545" customFormat="false" ht="15" hidden="false" customHeight="false" outlineLevel="0" collapsed="false">
      <c r="A545" s="5" t="s">
        <v>481</v>
      </c>
      <c r="B545" s="0" t="s">
        <v>27</v>
      </c>
      <c r="D545" s="13" t="n">
        <f aca="false">D542+D543-D544</f>
        <v>11.031</v>
      </c>
      <c r="E545" s="13" t="n">
        <f aca="false">E542+E543-E544</f>
        <v>31.1899996249068</v>
      </c>
      <c r="F545" s="13" t="n">
        <f aca="false">F542+F543-F544</f>
        <v>35.5385428367446</v>
      </c>
      <c r="G545" s="13" t="n">
        <f aca="false">G542+G543-G544</f>
        <v>36.3837539546688</v>
      </c>
    </row>
    <row r="546" customFormat="false" ht="17.15" hidden="false" customHeight="false" outlineLevel="0" collapsed="false">
      <c r="A546" s="5" t="s">
        <v>482</v>
      </c>
      <c r="B546" s="0" t="s">
        <v>27</v>
      </c>
      <c r="D546" s="13" t="n">
        <v>4.524</v>
      </c>
      <c r="E546" s="13" t="n">
        <f aca="false">MAX(0,payout*E545)</f>
        <v>15.5949998124534</v>
      </c>
      <c r="F546" s="13" t="n">
        <f aca="false">MAX(0,payout*F545)</f>
        <v>17.7692714183723</v>
      </c>
      <c r="G546" s="13" t="n">
        <f aca="false">MAX(0,payout*G545)</f>
        <v>18.1918769773344</v>
      </c>
      <c r="T546" s="8" t="s">
        <v>483</v>
      </c>
    </row>
    <row r="547" customFormat="false" ht="15" hidden="false" customHeight="false" outlineLevel="0" collapsed="false">
      <c r="A547" s="5" t="s">
        <v>484</v>
      </c>
      <c r="B547" s="0" t="s">
        <v>27</v>
      </c>
      <c r="D547" s="13" t="n">
        <f aca="false">eq0</f>
        <v>15.736</v>
      </c>
      <c r="E547" s="13" t="n">
        <f aca="false">D547+E542-E546</f>
        <v>34.2738193169455</v>
      </c>
      <c r="F547" s="13" t="n">
        <f aca="false">E547+F542-F546</f>
        <v>55.348829630671</v>
      </c>
      <c r="G547" s="13" t="n">
        <f aca="false">F547+G542-G546</f>
        <v>76.9144614958512</v>
      </c>
    </row>
    <row r="548" customFormat="false" ht="15" hidden="false" customHeight="false" outlineLevel="0" collapsed="false">
      <c r="A548" s="5" t="s">
        <v>485</v>
      </c>
      <c r="B548" s="0" t="s">
        <v>27</v>
      </c>
      <c r="D548" s="13" t="n">
        <f aca="false">nc0</f>
        <v>4.762</v>
      </c>
      <c r="E548" s="13" t="n">
        <f aca="false">D548+E545-E546</f>
        <v>20.3569998124534</v>
      </c>
      <c r="F548" s="13" t="n">
        <f aca="false">E548+F545-F546</f>
        <v>38.1262712308257</v>
      </c>
      <c r="G548" s="13" t="n">
        <f aca="false">F548+G545-G546</f>
        <v>56.3181482081601</v>
      </c>
    </row>
    <row r="549" customFormat="false" ht="15" hidden="false" customHeight="false" outlineLevel="0" collapsed="false">
      <c r="A549" s="5" t="s">
        <v>486</v>
      </c>
      <c r="B549" s="5" t="s">
        <v>152</v>
      </c>
      <c r="D549" s="20" t="n">
        <f aca="false">sh0</f>
        <v>146.42</v>
      </c>
      <c r="E549" s="20" t="n">
        <f aca="false">D549-E546/bb_px*1000</f>
        <v>133.823374867771</v>
      </c>
      <c r="F549" s="20" t="n">
        <f aca="false">E549-F546/bb_px*1000</f>
        <v>119.470514744533</v>
      </c>
      <c r="G549" s="20" t="n">
        <f aca="false">F549-G546/bb_px*1000</f>
        <v>104.776301375443</v>
      </c>
    </row>
    <row r="550" customFormat="false" ht="17.15" hidden="false" customHeight="false" outlineLevel="0" collapsed="false">
      <c r="A550" s="0" t="s">
        <v>487</v>
      </c>
      <c r="B550" s="0" t="s">
        <v>40</v>
      </c>
      <c r="C550" s="15" t="n">
        <f aca="false">a25_eps</f>
        <v>-11.32</v>
      </c>
      <c r="D550" s="15" t="n">
        <f aca="false">a26_eps</f>
        <v>73.76</v>
      </c>
      <c r="E550" s="15" t="n">
        <f aca="false">E542/(E549+dil)*1000</f>
        <v>246.618401914036</v>
      </c>
      <c r="F550" s="15" t="n">
        <f aca="false">F542/(F549+dil)*1000</f>
        <v>313.132773468074</v>
      </c>
      <c r="G550" s="15" t="n">
        <f aca="false">G542/(G549+dil)*1000</f>
        <v>363.559377397181</v>
      </c>
    </row>
    <row r="551" customFormat="false" ht="17.15" hidden="false" customHeight="false" outlineLevel="0" collapsed="false">
      <c r="A551" s="5" t="s">
        <v>488</v>
      </c>
      <c r="B551" s="0" t="s">
        <v>40</v>
      </c>
      <c r="D551" s="15" t="n">
        <f aca="false">D547/D549*1000</f>
        <v>107.471656877476</v>
      </c>
      <c r="E551" s="15" t="n">
        <f aca="false">E547/E549*1000</f>
        <v>256.112352201631</v>
      </c>
      <c r="F551" s="15" t="n">
        <f aca="false">F547/F549*1000</f>
        <v>463.284432556643</v>
      </c>
      <c r="G551" s="15" t="n">
        <f aca="false">G547/G549*1000</f>
        <v>734.082616833791</v>
      </c>
    </row>
    <row r="552" customFormat="false" ht="17.15" hidden="false" customHeight="false" outlineLevel="0" collapsed="false">
      <c r="A552" s="0" t="s">
        <v>489</v>
      </c>
      <c r="B552" s="0" t="s">
        <v>33</v>
      </c>
      <c r="D552" s="21" t="n">
        <f aca="false">D542/D547</f>
        <v>0.72655058464667</v>
      </c>
      <c r="E552" s="21" t="n">
        <f aca="false">E542/E547</f>
        <v>0.995886067256097</v>
      </c>
      <c r="F552" s="21" t="n">
        <f aca="false">F542/F547</f>
        <v>0.701808547557302</v>
      </c>
      <c r="G552" s="21" t="n">
        <f aca="false">G542/G547</f>
        <v>0.516905508655991</v>
      </c>
    </row>
    <row r="553" customFormat="false" ht="15" hidden="false" customHeight="false" outlineLevel="0" collapsed="false">
      <c r="A553" s="5" t="s">
        <v>490</v>
      </c>
      <c r="B553" s="0" t="s">
        <v>40</v>
      </c>
      <c r="E553" s="15" t="n">
        <f aca="false">E545/(E549+dil)*1000</f>
        <v>225.355773691974</v>
      </c>
      <c r="F553" s="15" t="n">
        <f aca="false">F545/(F549+dil)*1000</f>
        <v>286.484444743594</v>
      </c>
      <c r="G553" s="15" t="n">
        <f aca="false">G545/(G549+dil)*1000</f>
        <v>332.708344165333</v>
      </c>
    </row>
    <row r="554" customFormat="false" ht="17.15" hidden="false" customHeight="false" outlineLevel="0" collapsed="false">
      <c r="A554" s="5" t="s">
        <v>491</v>
      </c>
      <c r="B554" s="0" t="s">
        <v>27</v>
      </c>
      <c r="D554" s="18" t="n">
        <f aca="false">ABS(D531-a26_rev)+ABS(D542-a26_ni)</f>
        <v>0</v>
      </c>
    </row>
    <row r="560" customFormat="false" ht="17.15" hidden="false" customHeight="false" outlineLevel="0" collapsed="false">
      <c r="A560" s="3" t="s">
        <v>808</v>
      </c>
    </row>
    <row r="561" customFormat="false" ht="17.15" hidden="false" customHeight="false" outlineLevel="0" collapsed="false">
      <c r="A561" s="12" t="s">
        <v>434</v>
      </c>
      <c r="B561" s="6" t="s">
        <v>17</v>
      </c>
      <c r="C561" s="12" t="s">
        <v>435</v>
      </c>
      <c r="D561" s="12" t="s">
        <v>436</v>
      </c>
      <c r="E561" s="12" t="s">
        <v>437</v>
      </c>
      <c r="F561" s="12" t="s">
        <v>438</v>
      </c>
      <c r="G561" s="12" t="s">
        <v>439</v>
      </c>
      <c r="H561" s="12" t="s">
        <v>440</v>
      </c>
      <c r="I561" s="12" t="s">
        <v>441</v>
      </c>
      <c r="J561" s="12" t="s">
        <v>442</v>
      </c>
      <c r="K561" s="12" t="s">
        <v>443</v>
      </c>
      <c r="L561" s="12" t="s">
        <v>444</v>
      </c>
      <c r="M561" s="12" t="s">
        <v>445</v>
      </c>
      <c r="N561" s="12" t="s">
        <v>446</v>
      </c>
      <c r="O561" s="12" t="s">
        <v>447</v>
      </c>
      <c r="P561" s="12" t="s">
        <v>448</v>
      </c>
      <c r="Q561" s="12" t="s">
        <v>449</v>
      </c>
      <c r="R561" s="12" t="s">
        <v>450</v>
      </c>
      <c r="S561" s="12"/>
      <c r="T561" s="6" t="s">
        <v>321</v>
      </c>
    </row>
    <row r="562" customFormat="false" ht="17.15" hidden="false" customHeight="false" outlineLevel="0" collapsed="false">
      <c r="A562" s="5" t="s">
        <v>451</v>
      </c>
      <c r="B562" s="0" t="s">
        <v>27</v>
      </c>
      <c r="C562" s="13" t="n">
        <f aca="false">Units!E4*1</f>
        <v>2.31</v>
      </c>
      <c r="D562" s="13" t="n">
        <f aca="false">Units!F4*1</f>
        <v>3.03</v>
      </c>
      <c r="E562" s="13" t="n">
        <f aca="false">Units!G4*1</f>
        <v>5.95</v>
      </c>
      <c r="F562" s="13" t="n">
        <f aca="false">Units!H4*1</f>
        <v>8.97</v>
      </c>
      <c r="G562" s="13" t="n">
        <f aca="false">Units!I4*1</f>
        <v>11.0371522587842</v>
      </c>
      <c r="H562" s="13" t="n">
        <f aca="false">Units!J4*1*1</f>
        <v>12.4602118149868</v>
      </c>
      <c r="I562" s="13" t="n">
        <f aca="false">Units!K4*1*1</f>
        <v>13.7296281882931</v>
      </c>
      <c r="J562" s="13" t="n">
        <f aca="false">Units!L4*1*1</f>
        <v>14.5173143040247</v>
      </c>
      <c r="K562" s="13" t="n">
        <f aca="false">Units!M4*1*1</f>
        <v>14.5826814190399</v>
      </c>
      <c r="L562" s="13" t="n">
        <f aca="false">Units!N4*1*1</f>
        <v>14.3399566970533</v>
      </c>
      <c r="M562" s="13" t="n">
        <f aca="false">Units!O4*1*1</f>
        <v>14.4045252239239</v>
      </c>
      <c r="N562" s="13" t="n">
        <f aca="false">Units!P4*1*1</f>
        <v>14.4693844835178</v>
      </c>
      <c r="O562" s="13" t="n">
        <f aca="false">Units!Q4*1*1</f>
        <v>14.5345357849173</v>
      </c>
      <c r="P562" s="13" t="n">
        <f aca="false">Units!R4*1*1</f>
        <v>14.5999804430991</v>
      </c>
      <c r="Q562" s="13" t="n">
        <f aca="false">Units!S4*1*1</f>
        <v>14.7547352450932</v>
      </c>
      <c r="R562" s="13" t="n">
        <f aca="false">Units!T4*1*1</f>
        <v>15.0415680545433</v>
      </c>
      <c r="T562" s="8" t="s">
        <v>452</v>
      </c>
    </row>
    <row r="563" customFormat="false" ht="15" hidden="false" customHeight="false" outlineLevel="0" collapsed="false">
      <c r="A563" s="5" t="s">
        <v>453</v>
      </c>
      <c r="B563" s="0" t="s">
        <v>386</v>
      </c>
      <c r="C563" s="13" t="n">
        <f aca="false">Units!E7*1</f>
        <v>31.1552804325753</v>
      </c>
      <c r="D563" s="13" t="n">
        <f aca="false">Units!F7*1</f>
        <v>33.5147228924475</v>
      </c>
      <c r="E563" s="13" t="n">
        <f aca="false">Units!G7*1</f>
        <v>38.0693331650007</v>
      </c>
      <c r="F563" s="13" t="n">
        <f aca="false">Units!H7*1</f>
        <v>33.6172154529341</v>
      </c>
      <c r="G563" s="13" t="n">
        <f aca="false">Units!I7*1</f>
        <v>33.0914894510934</v>
      </c>
      <c r="H563" s="13" t="n">
        <f aca="false">Units!J7*1</f>
        <v>34.5588285485368</v>
      </c>
      <c r="I563" s="13" t="n">
        <f aca="false">Units!K7*1</f>
        <v>36.9704842497676</v>
      </c>
      <c r="J563" s="13" t="n">
        <f aca="false">Units!L7*1</f>
        <v>39.0915276411862</v>
      </c>
      <c r="K563" s="13" t="n">
        <f aca="false">Units!M7*1</f>
        <v>41.3342579717828</v>
      </c>
      <c r="L563" s="13" t="n">
        <f aca="false">Units!N7*1</f>
        <v>43.7056565750022</v>
      </c>
      <c r="M563" s="13" t="n">
        <f aca="false">Units!O7*1</f>
        <v>46.2131053122095</v>
      </c>
      <c r="N563" s="13" t="n">
        <f aca="false">Units!P7*1</f>
        <v>48.8644095514828</v>
      </c>
      <c r="O563" s="13" t="n">
        <f aca="false">Units!Q7*1</f>
        <v>51.6678224647285</v>
      </c>
      <c r="P563" s="13" t="n">
        <f aca="false">Units!R7*1</f>
        <v>54.6320707187528</v>
      </c>
      <c r="Q563" s="13" t="n">
        <f aca="false">Units!S7*1</f>
        <v>56.9187133953845</v>
      </c>
      <c r="R563" s="13" t="n">
        <f aca="false">Units!T7*1</f>
        <v>59.8198104136917</v>
      </c>
    </row>
    <row r="564" customFormat="false" ht="17.15" hidden="false" customHeight="false" outlineLevel="0" collapsed="false">
      <c r="A564" s="5" t="s">
        <v>344</v>
      </c>
      <c r="B564" s="0" t="s">
        <v>27</v>
      </c>
      <c r="C564" s="13" t="n">
        <f aca="false">q1_rev</f>
        <v>2.308</v>
      </c>
      <c r="D564" s="13" t="n">
        <f aca="false">q2_rev</f>
        <v>3.025</v>
      </c>
      <c r="E564" s="13" t="n">
        <f aca="false">q3_rev</f>
        <v>5.95</v>
      </c>
      <c r="F564" s="13" t="n">
        <f aca="false">q4_rev</f>
        <v>8.965</v>
      </c>
      <c r="G564" s="13" t="n">
        <f aca="false">G562*sd_k</f>
        <v>11.0306149524118</v>
      </c>
      <c r="H564" s="13" t="n">
        <f aca="false">H562*sd_k</f>
        <v>12.4528316302988</v>
      </c>
      <c r="I564" s="13" t="n">
        <f aca="false">I562*sd_k</f>
        <v>13.7214961281618</v>
      </c>
      <c r="J564" s="13" t="n">
        <f aca="false">J562*sd_k</f>
        <v>14.5087156973293</v>
      </c>
      <c r="K564" s="13" t="n">
        <f aca="false">K562*sd_k</f>
        <v>14.5740440953959</v>
      </c>
      <c r="L564" s="13" t="n">
        <f aca="false">L562*sd_k</f>
        <v>14.331463139286</v>
      </c>
      <c r="M564" s="13" t="n">
        <f aca="false">M562*sd_k</f>
        <v>14.3959934222118</v>
      </c>
      <c r="N564" s="13" t="n">
        <f aca="false">N562*sd_k</f>
        <v>14.4608142656598</v>
      </c>
      <c r="O564" s="13" t="n">
        <f aca="false">O562*sd_k</f>
        <v>14.5259269779371</v>
      </c>
      <c r="P564" s="13" t="n">
        <f aca="false">P562*sd_k</f>
        <v>14.5913328732414</v>
      </c>
      <c r="Q564" s="13" t="n">
        <f aca="false">Q562*sd_k</f>
        <v>14.745996013951</v>
      </c>
      <c r="R564" s="13" t="n">
        <f aca="false">R562*sd_k</f>
        <v>15.0326589322997</v>
      </c>
      <c r="T564" s="5" t="s">
        <v>454</v>
      </c>
    </row>
    <row r="565" customFormat="false" ht="17.15" hidden="false" customHeight="false" outlineLevel="0" collapsed="false">
      <c r="A565" s="5" t="s">
        <v>455</v>
      </c>
      <c r="B565" s="0" t="s">
        <v>27</v>
      </c>
      <c r="C565" s="13" t="n">
        <f aca="false">q1_dc</f>
        <v>0.269</v>
      </c>
      <c r="D565" s="13" t="n">
        <f aca="false">q2_dc</f>
        <v>0.44</v>
      </c>
      <c r="E565" s="13" t="n">
        <f aca="false">q3_dc</f>
        <v>1.467</v>
      </c>
      <c r="F565" s="13" t="n">
        <f aca="false">q4_dc</f>
        <v>2.977</v>
      </c>
      <c r="G565" s="13" t="n">
        <f aca="false">G564*dcsh_27</f>
        <v>4.19163368191647</v>
      </c>
      <c r="H565" s="13" t="n">
        <f aca="false">H564*dcsh_27</f>
        <v>4.73207601951353</v>
      </c>
      <c r="I565" s="13" t="n">
        <f aca="false">I564*dcsh_27</f>
        <v>5.2141685287015</v>
      </c>
      <c r="J565" s="13" t="n">
        <f aca="false">J564*dcsh_27</f>
        <v>5.51331196498514</v>
      </c>
      <c r="K565" s="13" t="n">
        <f aca="false">K564*dcsh_28</f>
        <v>6.12109852006626</v>
      </c>
      <c r="L565" s="13" t="n">
        <f aca="false">L564*dcsh_28</f>
        <v>6.01921451850014</v>
      </c>
      <c r="M565" s="13" t="n">
        <f aca="false">M564*dcsh_28</f>
        <v>6.04631723732896</v>
      </c>
      <c r="N565" s="13" t="n">
        <f aca="false">N564*dcsh_28</f>
        <v>6.07354199157713</v>
      </c>
      <c r="O565" s="13" t="n">
        <f aca="false">O564*dcsh_29</f>
        <v>6.53666714007169</v>
      </c>
      <c r="P565" s="13" t="n">
        <f aca="false">P564*dcsh_29</f>
        <v>6.56609979295863</v>
      </c>
      <c r="Q565" s="13" t="n">
        <f aca="false">Q564*dcsh_29</f>
        <v>6.63569820627795</v>
      </c>
      <c r="R565" s="13" t="n">
        <f aca="false">R564*dcsh_29</f>
        <v>6.76469651953488</v>
      </c>
      <c r="T565" s="5" t="s">
        <v>456</v>
      </c>
    </row>
    <row r="566" customFormat="false" ht="17.15" hidden="false" customHeight="false" outlineLevel="0" collapsed="false">
      <c r="A566" s="5" t="s">
        <v>457</v>
      </c>
      <c r="B566" s="0" t="s">
        <v>27</v>
      </c>
      <c r="C566" s="13" t="n">
        <f aca="false">C565*(Units!C16+Units!D16)/2</f>
        <v>0.17543405707196</v>
      </c>
      <c r="D566" s="13" t="n">
        <f aca="false">D565*(Units!C16+Units!D16)/2</f>
        <v>0.286955334987593</v>
      </c>
      <c r="E566" s="13" t="n">
        <f aca="false">E565*(Units!C16+Units!D16)/2</f>
        <v>0.956735173697271</v>
      </c>
      <c r="F566" s="13" t="n">
        <f aca="false">F565*(Units!C16+Units!D16)/2</f>
        <v>1.94151370967742</v>
      </c>
      <c r="G566" s="13" t="n">
        <f aca="false">G565*(Units!D16+Units!E16)/2</f>
        <v>3.32353098753891</v>
      </c>
      <c r="H566" s="13" t="n">
        <f aca="false">H565*(Units!D16+Units!E16)/2</f>
        <v>3.75204573674775</v>
      </c>
      <c r="I566" s="13" t="n">
        <f aca="false">I565*(Units!D16+Units!E16)/2</f>
        <v>4.13429512081464</v>
      </c>
      <c r="J566" s="13" t="n">
        <f aca="false">J565*(Units!D16+Units!E16)/2</f>
        <v>4.37148485533195</v>
      </c>
      <c r="K566" s="13" t="n">
        <f aca="false">K565*(Units!E16+Units!F16)/2</f>
        <v>5.16163518420655</v>
      </c>
      <c r="L566" s="13" t="n">
        <f aca="false">L565*(Units!E16+Units!F16)/2</f>
        <v>5.07572118601366</v>
      </c>
      <c r="M566" s="13" t="n">
        <f aca="false">M565*(Units!E16+Units!F16)/2</f>
        <v>5.09857563716094</v>
      </c>
      <c r="N566" s="13" t="n">
        <f aca="false">N565*(Units!E16+Units!F16)/2</f>
        <v>5.12153299505153</v>
      </c>
      <c r="O566" s="13" t="n">
        <f aca="false">O565*(Units!F16+Units!G16)/2</f>
        <v>5.65525725199112</v>
      </c>
      <c r="P566" s="13" t="n">
        <f aca="false">P565*(Units!F16+Units!G16)/2</f>
        <v>5.68072118033831</v>
      </c>
      <c r="Q566" s="13" t="n">
        <f aca="false">Q565*(Units!F16+Units!G16)/2</f>
        <v>5.7409348830123</v>
      </c>
      <c r="R566" s="13" t="n">
        <f aca="false">R565*(Units!F16+Units!G16)/2</f>
        <v>5.85253895140195</v>
      </c>
      <c r="T566" s="5" t="s">
        <v>458</v>
      </c>
    </row>
    <row r="567" customFormat="false" ht="17.15" hidden="false" customHeight="false" outlineLevel="0" collapsed="false">
      <c r="A567" s="5" t="s">
        <v>459</v>
      </c>
      <c r="B567" s="0" t="s">
        <v>27</v>
      </c>
      <c r="C567" s="13" t="n">
        <f aca="false">C565-C566</f>
        <v>0.0935659429280397</v>
      </c>
      <c r="D567" s="13" t="n">
        <f aca="false">D565-D566</f>
        <v>0.153044665012407</v>
      </c>
      <c r="E567" s="13" t="n">
        <f aca="false">E565-E566</f>
        <v>0.51026482630273</v>
      </c>
      <c r="F567" s="13" t="n">
        <f aca="false">F565-F566</f>
        <v>1.03548629032258</v>
      </c>
      <c r="G567" s="13" t="n">
        <f aca="false">G565-G566</f>
        <v>0.868102694377567</v>
      </c>
      <c r="H567" s="13" t="n">
        <f aca="false">H565-H566</f>
        <v>0.980030282765779</v>
      </c>
      <c r="I567" s="13" t="n">
        <f aca="false">I565-I566</f>
        <v>1.07987340788686</v>
      </c>
      <c r="J567" s="13" t="n">
        <f aca="false">J565-J566</f>
        <v>1.1418271096532</v>
      </c>
      <c r="K567" s="13" t="n">
        <f aca="false">K565-K566</f>
        <v>0.959463335859709</v>
      </c>
      <c r="L567" s="13" t="n">
        <f aca="false">L565-L566</f>
        <v>0.943493332486474</v>
      </c>
      <c r="M567" s="13" t="n">
        <f aca="false">M565-M566</f>
        <v>0.947741600168022</v>
      </c>
      <c r="N567" s="13" t="n">
        <f aca="false">N565-N566</f>
        <v>0.952008996525601</v>
      </c>
      <c r="O567" s="13" t="n">
        <f aca="false">O565-O566</f>
        <v>0.881409888080571</v>
      </c>
      <c r="P567" s="13" t="n">
        <f aca="false">P565-P566</f>
        <v>0.885378612620321</v>
      </c>
      <c r="Q567" s="13" t="n">
        <f aca="false">Q565-Q566</f>
        <v>0.894763323265645</v>
      </c>
      <c r="R567" s="13" t="n">
        <f aca="false">R565-R566</f>
        <v>0.912157568132935</v>
      </c>
    </row>
    <row r="568" customFormat="false" ht="15" hidden="false" customHeight="false" outlineLevel="0" collapsed="false">
      <c r="A568" s="5" t="s">
        <v>460</v>
      </c>
      <c r="B568" s="0" t="s">
        <v>27</v>
      </c>
      <c r="C568" s="13" t="n">
        <f aca="false">q1_cs</f>
        <v>0.652</v>
      </c>
      <c r="D568" s="13" t="n">
        <f aca="false">q2_cs</f>
        <v>0.907</v>
      </c>
      <c r="E568" s="13" t="n">
        <f aca="false">q3_cs</f>
        <v>0.82</v>
      </c>
      <c r="F568" s="13" t="n">
        <f aca="false">q4_cs</f>
        <v>0.556</v>
      </c>
      <c r="G568" s="13" t="n">
        <f aca="false">G564*cssh_27</f>
        <v>0.661836897144706</v>
      </c>
      <c r="H568" s="13" t="n">
        <f aca="false">H564*cssh_27</f>
        <v>0.747169897817925</v>
      </c>
      <c r="I568" s="13" t="n">
        <f aca="false">I564*cssh_27</f>
        <v>0.82328976768971</v>
      </c>
      <c r="J568" s="13" t="n">
        <f aca="false">J564*cssh_27</f>
        <v>0.87052294183976</v>
      </c>
      <c r="K568" s="13" t="n">
        <f aca="false">K564*cssh_28</f>
        <v>0.874442645723751</v>
      </c>
      <c r="L568" s="13" t="n">
        <f aca="false">L564*cssh_28</f>
        <v>0.859887788357163</v>
      </c>
      <c r="M568" s="13" t="n">
        <f aca="false">M564*cssh_28</f>
        <v>0.863759605332708</v>
      </c>
      <c r="N568" s="13" t="n">
        <f aca="false">N564*cssh_28</f>
        <v>0.867648855939591</v>
      </c>
      <c r="O568" s="13" t="n">
        <f aca="false">O564*cssh_29</f>
        <v>0.871555618676226</v>
      </c>
      <c r="P568" s="13" t="n">
        <f aca="false">P564*cssh_29</f>
        <v>0.875479972394484</v>
      </c>
      <c r="Q568" s="13" t="n">
        <f aca="false">Q564*cssh_29</f>
        <v>0.88475976083706</v>
      </c>
      <c r="R568" s="13" t="n">
        <f aca="false">R564*cssh_29</f>
        <v>0.901959535937984</v>
      </c>
      <c r="T568" s="5" t="s">
        <v>461</v>
      </c>
    </row>
    <row r="569" customFormat="false" ht="15" hidden="false" customHeight="false" outlineLevel="0" collapsed="false">
      <c r="A569" s="5" t="s">
        <v>462</v>
      </c>
      <c r="B569" s="0" t="s">
        <v>27</v>
      </c>
      <c r="C569" s="13" t="n">
        <f aca="false">q1_ed</f>
        <v>1.387</v>
      </c>
      <c r="D569" s="13" t="n">
        <f aca="false">q2_ed</f>
        <v>1.678</v>
      </c>
      <c r="E569" s="13" t="n">
        <f aca="false">q3_ed</f>
        <v>3.663</v>
      </c>
      <c r="F569" s="13" t="n">
        <f aca="false">q4_ed</f>
        <v>5.432</v>
      </c>
      <c r="G569" s="13" t="n">
        <f aca="false">G564-G565-G568</f>
        <v>6.17714437335059</v>
      </c>
      <c r="H569" s="13" t="n">
        <f aca="false">H564-H565-H568</f>
        <v>6.9735857129673</v>
      </c>
      <c r="I569" s="13" t="n">
        <f aca="false">I564-I565-I568</f>
        <v>7.68403783177063</v>
      </c>
      <c r="J569" s="13" t="n">
        <f aca="false">J564-J565-J568</f>
        <v>8.12488079050442</v>
      </c>
      <c r="K569" s="13" t="n">
        <f aca="false">K564-K565-K568</f>
        <v>7.57850292960584</v>
      </c>
      <c r="L569" s="13" t="n">
        <f aca="false">L564-L565-L568</f>
        <v>7.45236083242874</v>
      </c>
      <c r="M569" s="13" t="n">
        <f aca="false">M564-M565-M568</f>
        <v>7.48591657955014</v>
      </c>
      <c r="N569" s="13" t="n">
        <f aca="false">N564-N565-N568</f>
        <v>7.51962341814312</v>
      </c>
      <c r="O569" s="13" t="n">
        <f aca="false">O564-O565-O568</f>
        <v>7.11770421918918</v>
      </c>
      <c r="P569" s="13" t="n">
        <f aca="false">P564-P565-P568</f>
        <v>7.14975310788828</v>
      </c>
      <c r="Q569" s="13" t="n">
        <f aca="false">Q564-Q565-Q568</f>
        <v>7.22553804683599</v>
      </c>
      <c r="R569" s="13" t="n">
        <f aca="false">R564-R565-R568</f>
        <v>7.36600287682687</v>
      </c>
      <c r="T569" s="5" t="s">
        <v>463</v>
      </c>
    </row>
    <row r="570" customFormat="false" ht="15" hidden="false" customHeight="false" outlineLevel="0" collapsed="false">
      <c r="A570" s="5" t="s">
        <v>464</v>
      </c>
      <c r="B570" s="0" t="s">
        <v>27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465</v>
      </c>
      <c r="B571" s="0" t="s">
        <v>466</v>
      </c>
      <c r="C571" s="19" t="n">
        <f aca="false">C572/C563</f>
        <v>0.0520045391183812</v>
      </c>
      <c r="D571" s="19" t="n">
        <f aca="false">D572/D563</f>
        <v>0.0443170902760084</v>
      </c>
      <c r="E571" s="19" t="n">
        <f aca="false">E572/E563</f>
        <v>0.0337594565796481</v>
      </c>
      <c r="F571" s="19" t="n">
        <f aca="false">F572/F563</f>
        <v>0.0410685412637144</v>
      </c>
      <c r="G571" s="19" t="n">
        <f aca="false">(1-g_gm)*G564/G563</f>
        <v>0.049900535931346</v>
      </c>
      <c r="H571" s="19" t="n">
        <f aca="false">$G571*(1-cd_A)^(1/4)</f>
        <v>0.0480540308412442</v>
      </c>
      <c r="I571" s="19" t="n">
        <f aca="false">$G571*(1-cd_A)^(2/4)</f>
        <v>0.0462758532948078</v>
      </c>
      <c r="J571" s="19" t="n">
        <f aca="false">$G571*(1-cd_A)^(3/4)</f>
        <v>0.0445634749192484</v>
      </c>
      <c r="K571" s="19" t="n">
        <f aca="false">$G571*(1-cd_A)^(4/4)</f>
        <v>0.0429144609009575</v>
      </c>
      <c r="L571" s="19" t="n">
        <f aca="false">$G571*(1-cd_A)^(5/4)</f>
        <v>0.04132646652347</v>
      </c>
      <c r="M571" s="19" t="n">
        <f aca="false">$G571*(1-cd_A)^(6/4)</f>
        <v>0.0397972338335347</v>
      </c>
      <c r="N571" s="19" t="n">
        <f aca="false">$G571*(1-cd_A)^(7/4)</f>
        <v>0.0383245884305536</v>
      </c>
      <c r="O571" s="19" t="n">
        <f aca="false">$G571*(1-cd_A)^(8/4)</f>
        <v>0.0369064363748235</v>
      </c>
      <c r="P571" s="19" t="n">
        <f aca="false">$G571*(1-cd_A)^(9/4)</f>
        <v>0.0355407612101842</v>
      </c>
      <c r="Q571" s="19" t="n">
        <f aca="false">$G571*(1-cd_A)^(10/4)</f>
        <v>0.0342256210968399</v>
      </c>
      <c r="R571" s="19" t="n">
        <f aca="false">$G571*(1-cd_A)^(11/4)</f>
        <v>0.0329591460502761</v>
      </c>
    </row>
    <row r="572" customFormat="false" ht="15" hidden="false" customHeight="false" outlineLevel="0" collapsed="false">
      <c r="A572" s="5" t="s">
        <v>467</v>
      </c>
      <c r="B572" s="0" t="s">
        <v>27</v>
      </c>
      <c r="C572" s="13" t="n">
        <f aca="false">q1_rev*(1-q1_gm)</f>
        <v>1.620216</v>
      </c>
      <c r="D572" s="13" t="n">
        <f aca="false">q2_rev*(1-q2_gm)</f>
        <v>1.485275</v>
      </c>
      <c r="E572" s="13" t="n">
        <f aca="false">q3_rev*(1-q3_gm)</f>
        <v>1.2852</v>
      </c>
      <c r="F572" s="13" t="n">
        <f aca="false">q4_rev*(1-q4_gm)</f>
        <v>1.38061</v>
      </c>
      <c r="G572" s="13" t="n">
        <f aca="false">G563*G571</f>
        <v>1.65128305837604</v>
      </c>
      <c r="H572" s="13" t="n">
        <f aca="false">H563*H571</f>
        <v>1.66069101290866</v>
      </c>
      <c r="I572" s="13" t="n">
        <f aca="false">I563*I571</f>
        <v>1.71084070538025</v>
      </c>
      <c r="J572" s="13" t="n">
        <f aca="false">J563*J571</f>
        <v>1.7420543115931</v>
      </c>
      <c r="K572" s="13" t="n">
        <f aca="false">K563*K571</f>
        <v>1.77383739760017</v>
      </c>
      <c r="L572" s="13" t="n">
        <f aca="false">L563*L571</f>
        <v>1.80620035333311</v>
      </c>
      <c r="M572" s="13" t="n">
        <f aca="false">M563*M571</f>
        <v>1.83915375828377</v>
      </c>
      <c r="N572" s="13" t="n">
        <f aca="false">N563*N571</f>
        <v>1.87270838496259</v>
      </c>
      <c r="O572" s="13" t="n">
        <f aca="false">O563*O571</f>
        <v>1.90687520242018</v>
      </c>
      <c r="P572" s="13" t="n">
        <f aca="false">P563*P571</f>
        <v>1.94166537983309</v>
      </c>
      <c r="Q572" s="13" t="n">
        <f aca="false">Q563*Q571</f>
        <v>1.94807831799005</v>
      </c>
      <c r="R572" s="13" t="n">
        <f aca="false">R563*R571</f>
        <v>1.97160986812469</v>
      </c>
    </row>
    <row r="573" customFormat="false" ht="15" hidden="false" customHeight="false" outlineLevel="0" collapsed="false">
      <c r="A573" s="5" t="s">
        <v>423</v>
      </c>
      <c r="B573" s="0" t="s">
        <v>33</v>
      </c>
      <c r="C573" s="14" t="n">
        <f aca="false">1-C572/C564</f>
        <v>0.298</v>
      </c>
      <c r="D573" s="14" t="n">
        <f aca="false">1-D572/D564</f>
        <v>0.509</v>
      </c>
      <c r="E573" s="14" t="n">
        <f aca="false">1-E572/E564</f>
        <v>0.784</v>
      </c>
      <c r="F573" s="14" t="n">
        <f aca="false">1-F572/F564</f>
        <v>0.846</v>
      </c>
      <c r="G573" s="14" t="n">
        <f aca="false">1-G572/G564</f>
        <v>0.8503</v>
      </c>
      <c r="H573" s="14" t="n">
        <f aca="false">1-H572/H564</f>
        <v>0.866641494704862</v>
      </c>
      <c r="I573" s="14" t="n">
        <f aca="false">1-I572/I564</f>
        <v>0.875316751948868</v>
      </c>
      <c r="J573" s="14" t="n">
        <f aca="false">1-J572/J564</f>
        <v>0.879930495025568</v>
      </c>
      <c r="K573" s="14" t="n">
        <f aca="false">1-K572/K564</f>
        <v>0.878287907873111</v>
      </c>
      <c r="L573" s="14" t="n">
        <f aca="false">1-L572/L564</f>
        <v>0.873969577580542</v>
      </c>
      <c r="M573" s="14" t="n">
        <f aca="false">1-M572/M564</f>
        <v>0.872245443274091</v>
      </c>
      <c r="N573" s="14" t="n">
        <f aca="false">1-N572/N564</f>
        <v>0.870497722288729</v>
      </c>
      <c r="O573" s="14" t="n">
        <f aca="false">1-O572/O564</f>
        <v>0.868726091951553</v>
      </c>
      <c r="P573" s="14" t="n">
        <f aca="false">1-P572/P564</f>
        <v>0.866930225175395</v>
      </c>
      <c r="Q573" s="14" t="n">
        <f aca="false">1-Q572/Q564</f>
        <v>0.867891031833523</v>
      </c>
      <c r="R573" s="14" t="n">
        <f aca="false">1-R572/R564</f>
        <v>0.868844901157944</v>
      </c>
    </row>
    <row r="574" customFormat="false" ht="17.15" hidden="false" customHeight="false" outlineLevel="0" collapsed="false">
      <c r="A574" s="5" t="s">
        <v>468</v>
      </c>
      <c r="B574" s="0" t="s">
        <v>27</v>
      </c>
      <c r="C574" s="13" t="n">
        <f aca="false">q1_rev-q1_rev*(1-q1_gm)-q1_op</f>
        <v>0.511784</v>
      </c>
      <c r="D574" s="13" t="n">
        <f aca="false">q2_rev-q2_rev*(1-q2_gm)-q2_op</f>
        <v>0.474725</v>
      </c>
      <c r="E574" s="13" t="n">
        <f aca="false">q3_rev-q3_rev*(1-q3_gm)-q3_op</f>
        <v>0.553800000000001</v>
      </c>
      <c r="F574" s="13" t="n">
        <f aca="false">q4_rev-q4_rev*(1-q4_gm)-q4_op</f>
        <v>0.54739</v>
      </c>
      <c r="G574" s="13" t="n">
        <f aca="false">(g_ox-ox_var*g_rev)*(1+ox_g)^(0/4)+ox_var*G564</f>
        <v>0.581996149524118</v>
      </c>
      <c r="H574" s="13" t="n">
        <f aca="false">(g_ox-ox_var*g_rev)*(1+ox_g)^(1/4)+ox_var*H564</f>
        <v>0.607592502307229</v>
      </c>
      <c r="I574" s="13" t="n">
        <f aca="false">(g_ox-ox_var*g_rev)*(1+ox_g)^(2/4)+ox_var*I564</f>
        <v>0.631927606874997</v>
      </c>
      <c r="J574" s="13" t="n">
        <f aca="false">(g_ox-ox_var*g_rev)*(1+ox_g)^(3/4)+ox_var*J564</f>
        <v>0.651729149488654</v>
      </c>
      <c r="K574" s="13" t="n">
        <f aca="false">(g_ox-ox_var*g_rev)*(1+ox_g)^(4/4)+ox_var*K564</f>
        <v>0.664599440953958</v>
      </c>
      <c r="L574" s="13" t="n">
        <f aca="false">(g_ox-ox_var*g_rev)*(1+ox_g)^(5/4)+ox_var*L564</f>
        <v>0.674685235997527</v>
      </c>
      <c r="M574" s="13" t="n">
        <f aca="false">(g_ox-ox_var*g_rev)*(1+ox_g)^(6/4)+ox_var*M564</f>
        <v>0.688143844374835</v>
      </c>
      <c r="N574" s="13" t="n">
        <f aca="false">(g_ox-ox_var*g_rev)*(1+ox_g)^(7/4)+ox_var*N564</f>
        <v>0.701914334423495</v>
      </c>
      <c r="O574" s="13" t="n">
        <f aca="false">(g_ox-ox_var*g_rev)*(1+ox_g)^(8/4)+ox_var*O564</f>
        <v>0.716004169779371</v>
      </c>
      <c r="P574" s="13" t="n">
        <f aca="false">(g_ox-ox_var*g_rev)*(1+ox_g)^(9/4)+ox_var*P564</f>
        <v>0.730420993797547</v>
      </c>
      <c r="Q574" s="13" t="n">
        <f aca="false">(g_ox-ox_var*g_rev)*(1+ox_g)^(10/4)+ox_var*Q564</f>
        <v>0.746062261307498</v>
      </c>
      <c r="R574" s="13" t="n">
        <f aca="false">(g_ox-ox_var*g_rev)*(1+ox_g)^(11/4)+ox_var*R564</f>
        <v>0.763363400266584</v>
      </c>
      <c r="T574" s="5" t="s">
        <v>469</v>
      </c>
    </row>
    <row r="575" customFormat="false" ht="15" hidden="false" customHeight="false" outlineLevel="0" collapsed="false">
      <c r="A575" s="5" t="s">
        <v>424</v>
      </c>
      <c r="B575" s="0" t="s">
        <v>27</v>
      </c>
      <c r="C575" s="13" t="n">
        <f aca="false">C564-C572-C574</f>
        <v>0.176</v>
      </c>
      <c r="D575" s="13" t="n">
        <f aca="false">D564-D572-D574</f>
        <v>1.065</v>
      </c>
      <c r="E575" s="13" t="n">
        <f aca="false">E564-E572-E574</f>
        <v>4.111</v>
      </c>
      <c r="F575" s="13" t="n">
        <f aca="false">F564-F572-F574</f>
        <v>7.037</v>
      </c>
      <c r="G575" s="13" t="n">
        <f aca="false">G564-G572-G574</f>
        <v>8.79733574451161</v>
      </c>
      <c r="H575" s="13" t="n">
        <f aca="false">H564-H572-H574</f>
        <v>10.1845481150829</v>
      </c>
      <c r="I575" s="13" t="n">
        <f aca="false">I564-I572-I574</f>
        <v>11.3787278159066</v>
      </c>
      <c r="J575" s="13" t="n">
        <f aca="false">J564-J572-J574</f>
        <v>12.1149322362476</v>
      </c>
      <c r="K575" s="13" t="n">
        <f aca="false">K564-K572-K574</f>
        <v>12.1356072568417</v>
      </c>
      <c r="L575" s="13" t="n">
        <f aca="false">L564-L572-L574</f>
        <v>11.8505775499554</v>
      </c>
      <c r="M575" s="13" t="n">
        <f aca="false">M564-M572-M574</f>
        <v>11.8686958195532</v>
      </c>
      <c r="N575" s="13" t="n">
        <f aca="false">N564-N572-N574</f>
        <v>11.8861915462738</v>
      </c>
      <c r="O575" s="13" t="n">
        <f aca="false">O564-O572-O574</f>
        <v>11.9030476057375</v>
      </c>
      <c r="P575" s="13" t="n">
        <f aca="false">P564-P572-P574</f>
        <v>11.9192464996108</v>
      </c>
      <c r="Q575" s="13" t="n">
        <f aca="false">Q564-Q572-Q574</f>
        <v>12.0518554346534</v>
      </c>
      <c r="R575" s="13" t="n">
        <f aca="false">R564-R572-R574</f>
        <v>12.2976856639085</v>
      </c>
    </row>
    <row r="577" customFormat="false" ht="17.15" hidden="false" customHeight="false" outlineLevel="0" collapsed="false">
      <c r="A577" s="5" t="s">
        <v>426</v>
      </c>
      <c r="B577" s="0" t="s">
        <v>27</v>
      </c>
      <c r="C577" s="13" t="n">
        <f aca="false">q1_ni</f>
        <v>0.112</v>
      </c>
      <c r="D577" s="13" t="n">
        <f aca="false">q2_ni</f>
        <v>0.803</v>
      </c>
      <c r="E577" s="13" t="n">
        <f aca="false">q3_ni</f>
        <v>3.615</v>
      </c>
      <c r="F577" s="13" t="n">
        <f aca="false">q4_ni</f>
        <v>6.903</v>
      </c>
      <c r="G577" s="13" t="n">
        <f aca="false">(G575+rf*$D598/4)*(1-tax_lo)</f>
        <v>7.78356105517022</v>
      </c>
      <c r="H577" s="13" t="n">
        <f aca="false">(H575+rf*$D598/4)*(1-tax_lo)</f>
        <v>9.00430794127292</v>
      </c>
      <c r="I577" s="13" t="n">
        <f aca="false">(I575+rf*$D598/4)*(1-tax_lo)</f>
        <v>10.0551860779978</v>
      </c>
      <c r="J577" s="13" t="n">
        <f aca="false">(J575+rf*$D598/4)*(1-tax_lo)</f>
        <v>10.7030459678979</v>
      </c>
      <c r="K577" s="13" t="n">
        <f aca="false">(K575+rf*$E598/4)*(1-tax_lo)</f>
        <v>10.8734944247872</v>
      </c>
      <c r="L577" s="13" t="n">
        <f aca="false">(L575+rf*$E598/4)*(1-tax_lo)</f>
        <v>10.6226682827273</v>
      </c>
      <c r="M577" s="13" t="n">
        <f aca="false">(M575+rf*$E598/4)*(1-tax_lo)</f>
        <v>10.6386123599733</v>
      </c>
      <c r="N577" s="13" t="n">
        <f aca="false">(N575+rf*$E598/4)*(1-tax_lo)</f>
        <v>10.6540085994874</v>
      </c>
      <c r="O577" s="13" t="n">
        <f aca="false">(O575+rf*$F598/4)*(1-tax_lo)</f>
        <v>10.8425673288107</v>
      </c>
      <c r="P577" s="13" t="n">
        <f aca="false">(P575+rf*$F598/4)*(1-tax_lo)</f>
        <v>10.8568223554191</v>
      </c>
      <c r="Q577" s="13" t="n">
        <f aca="false">(Q575+rf*$F598/4)*(1-tax_lo)</f>
        <v>10.9735182182567</v>
      </c>
      <c r="R577" s="13" t="n">
        <f aca="false">(R575+rf*$F598/4)*(1-tax_lo)</f>
        <v>11.1898488200011</v>
      </c>
      <c r="T577" s="5" t="s">
        <v>470</v>
      </c>
    </row>
    <row r="578" customFormat="false" ht="17.15" hidden="false" customHeight="false" outlineLevel="0" collapsed="false">
      <c r="A578" s="5" t="s">
        <v>471</v>
      </c>
      <c r="B578" s="0" t="s">
        <v>40</v>
      </c>
      <c r="G578" s="15" t="n">
        <f aca="false">G577/(sh0+dil)*1000</f>
        <v>51.5467619547697</v>
      </c>
      <c r="H578" s="15" t="n">
        <f aca="false">H577/(sh0+dil)*1000</f>
        <v>59.631178419026</v>
      </c>
      <c r="I578" s="15" t="n">
        <f aca="false">I577/(sh0+dil)*1000</f>
        <v>66.5906362781311</v>
      </c>
      <c r="J578" s="15" t="n">
        <f aca="false">J577/(sh0+dil)*1000</f>
        <v>70.8810991251514</v>
      </c>
      <c r="K578" s="15" t="n">
        <f aca="false">K577/(sh0+dil)*1000</f>
        <v>72.0098968528957</v>
      </c>
      <c r="L578" s="15" t="n">
        <f aca="false">L577/(sh0+dil)*1000</f>
        <v>70.3487965743529</v>
      </c>
      <c r="M578" s="15" t="n">
        <f aca="false">M577/(sh0+dil)*1000</f>
        <v>70.4543864898897</v>
      </c>
      <c r="N578" s="15" t="n">
        <f aca="false">N577/(sh0+dil)*1000</f>
        <v>70.5563483409764</v>
      </c>
      <c r="O578" s="15" t="n">
        <f aca="false">O577/(sh0+dil)*1000</f>
        <v>71.805081647753</v>
      </c>
      <c r="P578" s="15" t="n">
        <f aca="false">P577/(sh0+dil)*1000</f>
        <v>71.8994857974777</v>
      </c>
      <c r="Q578" s="15" t="n">
        <f aca="false">Q577/(sh0+dil)*1000</f>
        <v>72.6723060811702</v>
      </c>
      <c r="R578" s="15" t="n">
        <f aca="false">R577/(sh0+dil)*1000</f>
        <v>74.104959072855</v>
      </c>
    </row>
    <row r="580" customFormat="false" ht="17.15" hidden="false" customHeight="false" outlineLevel="0" collapsed="false">
      <c r="A580" s="12" t="s">
        <v>472</v>
      </c>
      <c r="B580" s="6" t="s">
        <v>17</v>
      </c>
      <c r="C580" s="12" t="s">
        <v>413</v>
      </c>
      <c r="D580" s="12" t="s">
        <v>414</v>
      </c>
      <c r="E580" s="12" t="s">
        <v>415</v>
      </c>
      <c r="F580" s="12" t="s">
        <v>416</v>
      </c>
      <c r="G580" s="12" t="s">
        <v>417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321</v>
      </c>
    </row>
    <row r="581" customFormat="false" ht="15" hidden="false" customHeight="false" outlineLevel="0" collapsed="false">
      <c r="A581" s="5" t="s">
        <v>344</v>
      </c>
      <c r="B581" s="0" t="s">
        <v>27</v>
      </c>
      <c r="C581" s="13" t="n">
        <f aca="false">a25_rev</f>
        <v>7.355</v>
      </c>
      <c r="D581" s="13" t="n">
        <f aca="false">SUM(C564:F564)</f>
        <v>20.248</v>
      </c>
      <c r="E581" s="13" t="n">
        <f aca="false">SUM(G564:J564)</f>
        <v>51.7136584082017</v>
      </c>
      <c r="F581" s="13" t="n">
        <f aca="false">SUM(K564:N564)</f>
        <v>57.7623149225535</v>
      </c>
      <c r="G581" s="13" t="n">
        <f aca="false">SUM(O564:R564)</f>
        <v>58.8959147974292</v>
      </c>
    </row>
    <row r="582" customFormat="false" ht="15" hidden="false" customHeight="false" outlineLevel="0" collapsed="false">
      <c r="A582" s="5" t="s">
        <v>473</v>
      </c>
      <c r="B582" s="0" t="s">
        <v>27</v>
      </c>
      <c r="D582" s="13" t="n">
        <f aca="false">SUM(C565:F565)</f>
        <v>5.153</v>
      </c>
      <c r="E582" s="13" t="n">
        <f aca="false">SUM(G565:J565)</f>
        <v>19.6511901951166</v>
      </c>
      <c r="F582" s="13" t="n">
        <f aca="false">SUM(K565:N565)</f>
        <v>24.2601722674725</v>
      </c>
      <c r="G582" s="13" t="n">
        <f aca="false">SUM(O565:R565)</f>
        <v>26.5031616588432</v>
      </c>
    </row>
    <row r="583" customFormat="false" ht="17.15" hidden="false" customHeight="false" outlineLevel="0" collapsed="false">
      <c r="A583" s="5" t="s">
        <v>474</v>
      </c>
      <c r="B583" s="0" t="s">
        <v>27</v>
      </c>
      <c r="D583" s="13" t="n">
        <f aca="false">SUM(C566:F566)</f>
        <v>3.36063827543424</v>
      </c>
      <c r="E583" s="13" t="n">
        <f aca="false">SUM(G566:J566)</f>
        <v>15.5813567004332</v>
      </c>
      <c r="F583" s="13" t="n">
        <f aca="false">SUM(K566:N566)</f>
        <v>20.4574650024327</v>
      </c>
      <c r="G583" s="13" t="n">
        <f aca="false">SUM(O566:R566)</f>
        <v>22.9294522667437</v>
      </c>
    </row>
    <row r="584" customFormat="false" ht="15" hidden="false" customHeight="false" outlineLevel="0" collapsed="false">
      <c r="A584" s="5" t="s">
        <v>475</v>
      </c>
      <c r="B584" s="0" t="s">
        <v>27</v>
      </c>
      <c r="D584" s="13" t="n">
        <f aca="false">SUM(C569:F569)</f>
        <v>12.16</v>
      </c>
      <c r="E584" s="13" t="n">
        <f aca="false">SUM(G569:J569)</f>
        <v>28.9596487085929</v>
      </c>
      <c r="F584" s="13" t="n">
        <f aca="false">SUM(K569:N569)</f>
        <v>30.0364037597278</v>
      </c>
      <c r="G584" s="13" t="n">
        <f aca="false">SUM(O569:R569)</f>
        <v>28.8589982507403</v>
      </c>
    </row>
    <row r="585" customFormat="false" ht="15" hidden="false" customHeight="false" outlineLevel="0" collapsed="false">
      <c r="A585" s="5" t="s">
        <v>476</v>
      </c>
      <c r="B585" s="0" t="s">
        <v>27</v>
      </c>
      <c r="D585" s="13" t="n">
        <f aca="false">SUM(C568:F568)</f>
        <v>2.935</v>
      </c>
      <c r="E585" s="13" t="n">
        <f aca="false">SUM(G568:J568)</f>
        <v>3.1028195044921</v>
      </c>
      <c r="F585" s="13" t="n">
        <f aca="false">SUM(K568:N568)</f>
        <v>3.46573889535321</v>
      </c>
      <c r="G585" s="13" t="n">
        <f aca="false">SUM(O568:R568)</f>
        <v>3.53375488784575</v>
      </c>
    </row>
    <row r="586" customFormat="false" ht="17.15" hidden="false" customHeight="false" outlineLevel="0" collapsed="false">
      <c r="A586" s="5" t="s">
        <v>477</v>
      </c>
      <c r="B586" s="0" t="s">
        <v>27</v>
      </c>
      <c r="D586" s="18" t="n">
        <f aca="false">D582+D584+D585-D581+ABS(D582-a26_dc)+ABS(D584-a26_ed)+ABS(D585-a26_cs)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467</v>
      </c>
      <c r="B587" s="0" t="s">
        <v>27</v>
      </c>
      <c r="D587" s="13" t="n">
        <f aca="false">SUM(C572:F572)</f>
        <v>5.771301</v>
      </c>
      <c r="E587" s="13" t="n">
        <f aca="false">SUM(G572:J572)</f>
        <v>6.76486908825806</v>
      </c>
      <c r="F587" s="13" t="n">
        <f aca="false">SUM(K572:N572)</f>
        <v>7.29189989417963</v>
      </c>
      <c r="G587" s="13" t="n">
        <f aca="false">SUM(O572:R572)</f>
        <v>7.76822876836801</v>
      </c>
    </row>
    <row r="588" customFormat="false" ht="15" hidden="false" customHeight="false" outlineLevel="0" collapsed="false">
      <c r="A588" s="5" t="s">
        <v>423</v>
      </c>
      <c r="B588" s="0" t="s">
        <v>33</v>
      </c>
      <c r="D588" s="14" t="n">
        <f aca="false">1-D587/D581</f>
        <v>0.714969330304228</v>
      </c>
      <c r="E588" s="14" t="n">
        <f aca="false">1-E587/E581</f>
        <v>0.869186027512121</v>
      </c>
      <c r="F588" s="14" t="n">
        <f aca="false">1-F587/F581</f>
        <v>0.873760255212132</v>
      </c>
      <c r="G588" s="14" t="n">
        <f aca="false">1-G587/G581</f>
        <v>0.868102417712899</v>
      </c>
    </row>
    <row r="589" customFormat="false" ht="15" hidden="false" customHeight="false" outlineLevel="0" collapsed="false">
      <c r="A589" s="5" t="s">
        <v>468</v>
      </c>
      <c r="B589" s="0" t="s">
        <v>27</v>
      </c>
      <c r="D589" s="13" t="n">
        <f aca="false">SUM(C574:F574)</f>
        <v>2.087699</v>
      </c>
      <c r="E589" s="13" t="n">
        <f aca="false">SUM(G574:J574)</f>
        <v>2.473245408195</v>
      </c>
      <c r="F589" s="13" t="n">
        <f aca="false">SUM(K574:N574)</f>
        <v>2.72934285574982</v>
      </c>
      <c r="G589" s="13" t="n">
        <f aca="false">SUM(O574:R574)</f>
        <v>2.955850825151</v>
      </c>
    </row>
    <row r="590" customFormat="false" ht="15" hidden="false" customHeight="false" outlineLevel="0" collapsed="false">
      <c r="A590" s="5" t="s">
        <v>424</v>
      </c>
      <c r="B590" s="0" t="s">
        <v>27</v>
      </c>
      <c r="D590" s="13" t="n">
        <f aca="false">SUM(C575:F575)</f>
        <v>12.389</v>
      </c>
      <c r="E590" s="13" t="n">
        <f aca="false">SUM(G575:J575)</f>
        <v>42.4755439117486</v>
      </c>
      <c r="F590" s="13" t="n">
        <f aca="false">SUM(K575:N575)</f>
        <v>47.7410721726241</v>
      </c>
      <c r="G590" s="13" t="n">
        <f aca="false">SUM(O575:R575)</f>
        <v>48.1718352039102</v>
      </c>
    </row>
    <row r="591" customFormat="false" ht="15" hidden="false" customHeight="false" outlineLevel="0" collapsed="false">
      <c r="A591" s="5" t="s">
        <v>425</v>
      </c>
      <c r="B591" s="0" t="s">
        <v>33</v>
      </c>
      <c r="D591" s="14" t="n">
        <f aca="false">D590/D581</f>
        <v>0.61186290003951</v>
      </c>
      <c r="E591" s="14" t="n">
        <f aca="false">E590/E581</f>
        <v>0.821360259923365</v>
      </c>
      <c r="F591" s="14" t="n">
        <f aca="false">F590/F581</f>
        <v>0.826508983177601</v>
      </c>
      <c r="G591" s="14" t="n">
        <f aca="false">G590/G581</f>
        <v>0.817914712244403</v>
      </c>
    </row>
    <row r="592" customFormat="false" ht="15" hidden="false" customHeight="false" outlineLevel="0" collapsed="false">
      <c r="A592" s="5" t="s">
        <v>426</v>
      </c>
      <c r="B592" s="0" t="s">
        <v>27</v>
      </c>
      <c r="C592" s="13" t="n">
        <f aca="false">a25_ni</f>
        <v>-1.641</v>
      </c>
      <c r="D592" s="13" t="n">
        <f aca="false">SUM(C577:F577)</f>
        <v>11.433</v>
      </c>
      <c r="E592" s="13" t="n">
        <f aca="false">SUM(G577:J577)</f>
        <v>37.5461010423388</v>
      </c>
      <c r="F592" s="13" t="n">
        <f aca="false">SUM(K577:N577)</f>
        <v>42.7887836669753</v>
      </c>
      <c r="G592" s="13" t="n">
        <f aca="false">SUM(O577:R577)</f>
        <v>43.8627567224876</v>
      </c>
    </row>
    <row r="593" customFormat="false" ht="15" hidden="false" customHeight="false" outlineLevel="0" collapsed="false">
      <c r="A593" s="5" t="s">
        <v>478</v>
      </c>
      <c r="B593" s="0" t="s">
        <v>27</v>
      </c>
      <c r="D593" s="13" t="n">
        <f aca="false">da_y</f>
        <v>0.16</v>
      </c>
      <c r="E593" s="13" t="n">
        <f aca="false">da_y</f>
        <v>0.16</v>
      </c>
      <c r="F593" s="13" t="n">
        <f aca="false">da_y</f>
        <v>0.16</v>
      </c>
      <c r="G593" s="13" t="n">
        <f aca="false">da_y</f>
        <v>0.16</v>
      </c>
    </row>
    <row r="594" customFormat="false" ht="17.15" hidden="false" customHeight="false" outlineLevel="0" collapsed="false">
      <c r="A594" s="5" t="s">
        <v>479</v>
      </c>
      <c r="B594" s="0" t="s">
        <v>27</v>
      </c>
      <c r="D594" s="13" t="n">
        <v>0.562</v>
      </c>
      <c r="E594" s="13" t="n">
        <f aca="false">cap_r*E581</f>
        <v>3.1028195044921</v>
      </c>
      <c r="F594" s="13" t="n">
        <f aca="false">cap_r*F581</f>
        <v>3.46573889535321</v>
      </c>
      <c r="G594" s="13" t="n">
        <f aca="false">cap_r*G581</f>
        <v>3.53375488784575</v>
      </c>
      <c r="T594" s="8" t="s">
        <v>480</v>
      </c>
    </row>
    <row r="595" customFormat="false" ht="15" hidden="false" customHeight="false" outlineLevel="0" collapsed="false">
      <c r="A595" s="5" t="s">
        <v>481</v>
      </c>
      <c r="B595" s="0" t="s">
        <v>27</v>
      </c>
      <c r="D595" s="13" t="n">
        <f aca="false">D592+D593-D594</f>
        <v>11.031</v>
      </c>
      <c r="E595" s="13" t="n">
        <f aca="false">E592+E593-E594</f>
        <v>34.6032815378467</v>
      </c>
      <c r="F595" s="13" t="n">
        <f aca="false">F592+F593-F594</f>
        <v>39.4830447716221</v>
      </c>
      <c r="G595" s="13" t="n">
        <f aca="false">G592+G593-G594</f>
        <v>40.4890018346419</v>
      </c>
    </row>
    <row r="596" customFormat="false" ht="17.15" hidden="false" customHeight="false" outlineLevel="0" collapsed="false">
      <c r="A596" s="5" t="s">
        <v>482</v>
      </c>
      <c r="B596" s="0" t="s">
        <v>27</v>
      </c>
      <c r="D596" s="13" t="n">
        <v>4.524</v>
      </c>
      <c r="E596" s="13" t="n">
        <f aca="false">MAX(0,payout*E595)</f>
        <v>17.3016407689233</v>
      </c>
      <c r="F596" s="13" t="n">
        <f aca="false">MAX(0,payout*F595)</f>
        <v>19.7415223858111</v>
      </c>
      <c r="G596" s="13" t="n">
        <f aca="false">MAX(0,payout*G595)</f>
        <v>20.2445009173209</v>
      </c>
      <c r="T596" s="8" t="s">
        <v>483</v>
      </c>
    </row>
    <row r="597" customFormat="false" ht="15" hidden="false" customHeight="false" outlineLevel="0" collapsed="false">
      <c r="A597" s="5" t="s">
        <v>484</v>
      </c>
      <c r="B597" s="0" t="s">
        <v>27</v>
      </c>
      <c r="D597" s="13" t="n">
        <f aca="false">eq0</f>
        <v>15.736</v>
      </c>
      <c r="E597" s="13" t="n">
        <f aca="false">D597+E592-E596</f>
        <v>35.9804602734154</v>
      </c>
      <c r="F597" s="13" t="n">
        <f aca="false">E597+F592-F596</f>
        <v>59.0277215545797</v>
      </c>
      <c r="G597" s="13" t="n">
        <f aca="false">F597+G592-G596</f>
        <v>82.6459773597464</v>
      </c>
    </row>
    <row r="598" customFormat="false" ht="15" hidden="false" customHeight="false" outlineLevel="0" collapsed="false">
      <c r="A598" s="5" t="s">
        <v>485</v>
      </c>
      <c r="B598" s="0" t="s">
        <v>27</v>
      </c>
      <c r="D598" s="13" t="n">
        <f aca="false">nc0</f>
        <v>4.762</v>
      </c>
      <c r="E598" s="13" t="n">
        <f aca="false">D598+E595-E596</f>
        <v>22.0636407689233</v>
      </c>
      <c r="F598" s="13" t="n">
        <f aca="false">E598+F595-F596</f>
        <v>41.8051631547344</v>
      </c>
      <c r="G598" s="13" t="n">
        <f aca="false">F598+G595-G596</f>
        <v>62.0496640720553</v>
      </c>
    </row>
    <row r="599" customFormat="false" ht="15" hidden="false" customHeight="false" outlineLevel="0" collapsed="false">
      <c r="A599" s="5" t="s">
        <v>486</v>
      </c>
      <c r="B599" s="5" t="s">
        <v>152</v>
      </c>
      <c r="D599" s="20" t="n">
        <f aca="false">sh0</f>
        <v>146.42</v>
      </c>
      <c r="E599" s="20" t="n">
        <f aca="false">D599-E596/bb_px*1000</f>
        <v>132.444861458185</v>
      </c>
      <c r="F599" s="20" t="n">
        <f aca="false">E599-F596/bb_px*1000</f>
        <v>116.498945457918</v>
      </c>
      <c r="G599" s="20" t="n">
        <f aca="false">F599-G596/bb_px*1000</f>
        <v>100.146756159338</v>
      </c>
    </row>
    <row r="600" customFormat="false" ht="17.15" hidden="false" customHeight="false" outlineLevel="0" collapsed="false">
      <c r="A600" s="0" t="s">
        <v>487</v>
      </c>
      <c r="B600" s="0" t="s">
        <v>40</v>
      </c>
      <c r="C600" s="15" t="n">
        <f aca="false">a25_eps</f>
        <v>-11.32</v>
      </c>
      <c r="D600" s="15" t="n">
        <f aca="false">a26_eps</f>
        <v>73.76</v>
      </c>
      <c r="E600" s="15" t="n">
        <f aca="false">E592/(E599+dil)*1000</f>
        <v>274.009407072428</v>
      </c>
      <c r="F600" s="15" t="n">
        <f aca="false">F592/(F599+dil)*1000</f>
        <v>353.395741143509</v>
      </c>
      <c r="G600" s="15" t="n">
        <f aca="false">G592/(G599+dil)*1000</f>
        <v>418.830472088262</v>
      </c>
    </row>
    <row r="601" customFormat="false" ht="17.15" hidden="false" customHeight="false" outlineLevel="0" collapsed="false">
      <c r="A601" s="5" t="s">
        <v>488</v>
      </c>
      <c r="B601" s="0" t="s">
        <v>40</v>
      </c>
      <c r="D601" s="15" t="n">
        <f aca="false">D597/D599*1000</f>
        <v>107.471656877476</v>
      </c>
      <c r="E601" s="15" t="n">
        <f aca="false">E597/E599*1000</f>
        <v>271.663693685656</v>
      </c>
      <c r="F601" s="15" t="n">
        <f aca="false">F597/F599*1000</f>
        <v>506.680307899457</v>
      </c>
      <c r="G601" s="15" t="n">
        <f aca="false">G597/G599*1000</f>
        <v>825.248670343883</v>
      </c>
    </row>
    <row r="602" customFormat="false" ht="17.15" hidden="false" customHeight="false" outlineLevel="0" collapsed="false">
      <c r="A602" s="0" t="s">
        <v>489</v>
      </c>
      <c r="B602" s="0" t="s">
        <v>33</v>
      </c>
      <c r="D602" s="21" t="n">
        <f aca="false">D592/D597</f>
        <v>0.72655058464667</v>
      </c>
      <c r="E602" s="21" t="n">
        <f aca="false">E592/E597</f>
        <v>1.04351363926492</v>
      </c>
      <c r="F602" s="21" t="n">
        <f aca="false">F592/F597</f>
        <v>0.724893025515323</v>
      </c>
      <c r="G602" s="21" t="n">
        <f aca="false">G592/G597</f>
        <v>0.530730691604737</v>
      </c>
    </row>
    <row r="603" customFormat="false" ht="15" hidden="false" customHeight="false" outlineLevel="0" collapsed="false">
      <c r="A603" s="5" t="s">
        <v>490</v>
      </c>
      <c r="B603" s="0" t="s">
        <v>40</v>
      </c>
      <c r="E603" s="15" t="n">
        <f aca="false">E595/(E599+dil)*1000</f>
        <v>252.532870090924</v>
      </c>
      <c r="F603" s="15" t="n">
        <f aca="false">F595/(F599+dil)*1000</f>
        <v>326.093398173384</v>
      </c>
      <c r="G603" s="15" t="n">
        <f aca="false">G595/(G599+dil)*1000</f>
        <v>386.615639780148</v>
      </c>
    </row>
    <row r="604" customFormat="false" ht="17.15" hidden="false" customHeight="false" outlineLevel="0" collapsed="false">
      <c r="A604" s="5" t="s">
        <v>491</v>
      </c>
      <c r="B604" s="0" t="s">
        <v>27</v>
      </c>
      <c r="D604" s="18" t="n">
        <f aca="false">ABS(D581-a26_rev)+ABS(D592-a26_ni)</f>
        <v>0</v>
      </c>
    </row>
    <row r="610" customFormat="false" ht="17.15" hidden="false" customHeight="false" outlineLevel="0" collapsed="false">
      <c r="A610" s="3" t="s">
        <v>809</v>
      </c>
    </row>
    <row r="611" customFormat="false" ht="17.15" hidden="false" customHeight="false" outlineLevel="0" collapsed="false">
      <c r="A611" s="12" t="s">
        <v>434</v>
      </c>
      <c r="B611" s="6" t="s">
        <v>17</v>
      </c>
      <c r="C611" s="12" t="s">
        <v>435</v>
      </c>
      <c r="D611" s="12" t="s">
        <v>436</v>
      </c>
      <c r="E611" s="12" t="s">
        <v>437</v>
      </c>
      <c r="F611" s="12" t="s">
        <v>438</v>
      </c>
      <c r="G611" s="12" t="s">
        <v>439</v>
      </c>
      <c r="H611" s="12" t="s">
        <v>440</v>
      </c>
      <c r="I611" s="12" t="s">
        <v>441</v>
      </c>
      <c r="J611" s="12" t="s">
        <v>442</v>
      </c>
      <c r="K611" s="12" t="s">
        <v>443</v>
      </c>
      <c r="L611" s="12" t="s">
        <v>444</v>
      </c>
      <c r="M611" s="12" t="s">
        <v>445</v>
      </c>
      <c r="N611" s="12" t="s">
        <v>446</v>
      </c>
      <c r="O611" s="12" t="s">
        <v>447</v>
      </c>
      <c r="P611" s="12" t="s">
        <v>448</v>
      </c>
      <c r="Q611" s="12" t="s">
        <v>449</v>
      </c>
      <c r="R611" s="12" t="s">
        <v>450</v>
      </c>
      <c r="S611" s="12"/>
      <c r="T611" s="6" t="s">
        <v>321</v>
      </c>
    </row>
    <row r="612" customFormat="false" ht="17.15" hidden="false" customHeight="false" outlineLevel="0" collapsed="false">
      <c r="A612" s="5" t="s">
        <v>451</v>
      </c>
      <c r="B612" s="0" t="s">
        <v>27</v>
      </c>
      <c r="C612" s="13" t="n">
        <f aca="false">Units!E4*1</f>
        <v>2.31</v>
      </c>
      <c r="D612" s="13" t="n">
        <f aca="false">Units!F4*1</f>
        <v>3.03</v>
      </c>
      <c r="E612" s="13" t="n">
        <f aca="false">Units!G4*1</f>
        <v>5.95</v>
      </c>
      <c r="F612" s="13" t="n">
        <f aca="false">Units!H4*1</f>
        <v>8.97</v>
      </c>
      <c r="G612" s="13" t="n">
        <f aca="false">Units!I4*1</f>
        <v>11.0371522587842</v>
      </c>
      <c r="H612" s="13" t="n">
        <f aca="false">Units!J4*1*1</f>
        <v>12.4602118149868</v>
      </c>
      <c r="I612" s="13" t="n">
        <f aca="false">Units!K4*1*1</f>
        <v>13.7296281882931</v>
      </c>
      <c r="J612" s="13" t="n">
        <f aca="false">Units!L4*1*1</f>
        <v>14.5173143040247</v>
      </c>
      <c r="K612" s="13" t="n">
        <f aca="false">Units!M4*1*1</f>
        <v>14.5826814190399</v>
      </c>
      <c r="L612" s="13" t="n">
        <f aca="false">Units!N4*1*1</f>
        <v>14.3399566970533</v>
      </c>
      <c r="M612" s="13" t="n">
        <f aca="false">Units!O4*1*1</f>
        <v>14.4045252239239</v>
      </c>
      <c r="N612" s="13" t="n">
        <f aca="false">Units!P4*1*1</f>
        <v>14.4693844835178</v>
      </c>
      <c r="O612" s="13" t="n">
        <f aca="false">Units!Q4*1*1</f>
        <v>14.5345357849173</v>
      </c>
      <c r="P612" s="13" t="n">
        <f aca="false">Units!R4*1*1</f>
        <v>14.5999804430991</v>
      </c>
      <c r="Q612" s="13" t="n">
        <f aca="false">Units!S4*1*1</f>
        <v>14.7547352450932</v>
      </c>
      <c r="R612" s="13" t="n">
        <f aca="false">Units!T4*1*1</f>
        <v>15.0415680545433</v>
      </c>
      <c r="T612" s="8" t="s">
        <v>452</v>
      </c>
    </row>
    <row r="613" customFormat="false" ht="15" hidden="false" customHeight="false" outlineLevel="0" collapsed="false">
      <c r="A613" s="5" t="s">
        <v>453</v>
      </c>
      <c r="B613" s="0" t="s">
        <v>386</v>
      </c>
      <c r="C613" s="13" t="n">
        <f aca="false">Units!E7*1</f>
        <v>31.1552804325753</v>
      </c>
      <c r="D613" s="13" t="n">
        <f aca="false">Units!F7*1</f>
        <v>33.5147228924475</v>
      </c>
      <c r="E613" s="13" t="n">
        <f aca="false">Units!G7*1</f>
        <v>38.0693331650007</v>
      </c>
      <c r="F613" s="13" t="n">
        <f aca="false">Units!H7*1</f>
        <v>33.6172154529341</v>
      </c>
      <c r="G613" s="13" t="n">
        <f aca="false">Units!I7*1</f>
        <v>33.0914894510934</v>
      </c>
      <c r="H613" s="13" t="n">
        <f aca="false">Units!J7*1</f>
        <v>34.5588285485368</v>
      </c>
      <c r="I613" s="13" t="n">
        <f aca="false">Units!K7*1</f>
        <v>36.9704842497676</v>
      </c>
      <c r="J613" s="13" t="n">
        <f aca="false">Units!L7*1</f>
        <v>39.0915276411862</v>
      </c>
      <c r="K613" s="13" t="n">
        <f aca="false">Units!M7*1</f>
        <v>41.3342579717828</v>
      </c>
      <c r="L613" s="13" t="n">
        <f aca="false">Units!N7*1</f>
        <v>43.7056565750022</v>
      </c>
      <c r="M613" s="13" t="n">
        <f aca="false">Units!O7*1</f>
        <v>46.2131053122095</v>
      </c>
      <c r="N613" s="13" t="n">
        <f aca="false">Units!P7*1</f>
        <v>48.8644095514828</v>
      </c>
      <c r="O613" s="13" t="n">
        <f aca="false">Units!Q7*1</f>
        <v>51.6678224647285</v>
      </c>
      <c r="P613" s="13" t="n">
        <f aca="false">Units!R7*1</f>
        <v>54.6320707187528</v>
      </c>
      <c r="Q613" s="13" t="n">
        <f aca="false">Units!S7*1</f>
        <v>56.9187133953845</v>
      </c>
      <c r="R613" s="13" t="n">
        <f aca="false">Units!T7*1</f>
        <v>59.8198104136917</v>
      </c>
    </row>
    <row r="614" customFormat="false" ht="17.15" hidden="false" customHeight="false" outlineLevel="0" collapsed="false">
      <c r="A614" s="5" t="s">
        <v>344</v>
      </c>
      <c r="B614" s="0" t="s">
        <v>27</v>
      </c>
      <c r="C614" s="13" t="n">
        <f aca="false">q1_rev</f>
        <v>2.308</v>
      </c>
      <c r="D614" s="13" t="n">
        <f aca="false">q2_rev</f>
        <v>3.025</v>
      </c>
      <c r="E614" s="13" t="n">
        <f aca="false">q3_rev</f>
        <v>5.95</v>
      </c>
      <c r="F614" s="13" t="n">
        <f aca="false">q4_rev</f>
        <v>8.965</v>
      </c>
      <c r="G614" s="13" t="n">
        <f aca="false">G612*sd_k</f>
        <v>11.0306149524118</v>
      </c>
      <c r="H614" s="13" t="n">
        <f aca="false">H612*sd_k</f>
        <v>12.4528316302988</v>
      </c>
      <c r="I614" s="13" t="n">
        <f aca="false">I612*sd_k</f>
        <v>13.7214961281618</v>
      </c>
      <c r="J614" s="13" t="n">
        <f aca="false">J612*sd_k</f>
        <v>14.5087156973293</v>
      </c>
      <c r="K614" s="13" t="n">
        <f aca="false">K612*sd_k</f>
        <v>14.5740440953959</v>
      </c>
      <c r="L614" s="13" t="n">
        <f aca="false">L612*sd_k</f>
        <v>14.331463139286</v>
      </c>
      <c r="M614" s="13" t="n">
        <f aca="false">M612*sd_k</f>
        <v>14.3959934222118</v>
      </c>
      <c r="N614" s="13" t="n">
        <f aca="false">N612*sd_k</f>
        <v>14.4608142656598</v>
      </c>
      <c r="O614" s="13" t="n">
        <f aca="false">O612*sd_k</f>
        <v>14.5259269779371</v>
      </c>
      <c r="P614" s="13" t="n">
        <f aca="false">P612*sd_k</f>
        <v>14.5913328732414</v>
      </c>
      <c r="Q614" s="13" t="n">
        <f aca="false">Q612*sd_k</f>
        <v>14.745996013951</v>
      </c>
      <c r="R614" s="13" t="n">
        <f aca="false">R612*sd_k</f>
        <v>15.0326589322997</v>
      </c>
      <c r="T614" s="5" t="s">
        <v>454</v>
      </c>
    </row>
    <row r="615" customFormat="false" ht="17.15" hidden="false" customHeight="false" outlineLevel="0" collapsed="false">
      <c r="A615" s="5" t="s">
        <v>455</v>
      </c>
      <c r="B615" s="0" t="s">
        <v>27</v>
      </c>
      <c r="C615" s="13" t="n">
        <f aca="false">q1_dc</f>
        <v>0.269</v>
      </c>
      <c r="D615" s="13" t="n">
        <f aca="false">q2_dc</f>
        <v>0.44</v>
      </c>
      <c r="E615" s="13" t="n">
        <f aca="false">q3_dc</f>
        <v>1.467</v>
      </c>
      <c r="F615" s="13" t="n">
        <f aca="false">q4_dc</f>
        <v>2.977</v>
      </c>
      <c r="G615" s="13" t="n">
        <f aca="false">G614*dcsh_27</f>
        <v>4.19163368191647</v>
      </c>
      <c r="H615" s="13" t="n">
        <f aca="false">H614*dcsh_27</f>
        <v>4.73207601951353</v>
      </c>
      <c r="I615" s="13" t="n">
        <f aca="false">I614*dcsh_27</f>
        <v>5.2141685287015</v>
      </c>
      <c r="J615" s="13" t="n">
        <f aca="false">J614*dcsh_27</f>
        <v>5.51331196498514</v>
      </c>
      <c r="K615" s="13" t="n">
        <f aca="false">K614*dcsh_28</f>
        <v>6.12109852006626</v>
      </c>
      <c r="L615" s="13" t="n">
        <f aca="false">L614*dcsh_28</f>
        <v>6.01921451850014</v>
      </c>
      <c r="M615" s="13" t="n">
        <f aca="false">M614*dcsh_28</f>
        <v>6.04631723732896</v>
      </c>
      <c r="N615" s="13" t="n">
        <f aca="false">N614*dcsh_28</f>
        <v>6.07354199157713</v>
      </c>
      <c r="O615" s="13" t="n">
        <f aca="false">O614*dcsh_29</f>
        <v>6.53666714007169</v>
      </c>
      <c r="P615" s="13" t="n">
        <f aca="false">P614*dcsh_29</f>
        <v>6.56609979295863</v>
      </c>
      <c r="Q615" s="13" t="n">
        <f aca="false">Q614*dcsh_29</f>
        <v>6.63569820627795</v>
      </c>
      <c r="R615" s="13" t="n">
        <f aca="false">R614*dcsh_29</f>
        <v>6.76469651953488</v>
      </c>
      <c r="T615" s="5" t="s">
        <v>456</v>
      </c>
    </row>
    <row r="616" customFormat="false" ht="17.15" hidden="false" customHeight="false" outlineLevel="0" collapsed="false">
      <c r="A616" s="5" t="s">
        <v>457</v>
      </c>
      <c r="B616" s="0" t="s">
        <v>27</v>
      </c>
      <c r="C616" s="13" t="n">
        <f aca="false">C615*(Units!C16+Units!D16)/2</f>
        <v>0.17543405707196</v>
      </c>
      <c r="D616" s="13" t="n">
        <f aca="false">D615*(Units!C16+Units!D16)/2</f>
        <v>0.286955334987593</v>
      </c>
      <c r="E616" s="13" t="n">
        <f aca="false">E615*(Units!C16+Units!D16)/2</f>
        <v>0.956735173697271</v>
      </c>
      <c r="F616" s="13" t="n">
        <f aca="false">F615*(Units!C16+Units!D16)/2</f>
        <v>1.94151370967742</v>
      </c>
      <c r="G616" s="13" t="n">
        <f aca="false">G615*(Units!D16+Units!E16)/2</f>
        <v>3.32353098753891</v>
      </c>
      <c r="H616" s="13" t="n">
        <f aca="false">H615*(Units!D16+Units!E16)/2</f>
        <v>3.75204573674775</v>
      </c>
      <c r="I616" s="13" t="n">
        <f aca="false">I615*(Units!D16+Units!E16)/2</f>
        <v>4.13429512081464</v>
      </c>
      <c r="J616" s="13" t="n">
        <f aca="false">J615*(Units!D16+Units!E16)/2</f>
        <v>4.37148485533195</v>
      </c>
      <c r="K616" s="13" t="n">
        <f aca="false">K615*(Units!E16+Units!F16)/2</f>
        <v>5.16163518420655</v>
      </c>
      <c r="L616" s="13" t="n">
        <f aca="false">L615*(Units!E16+Units!F16)/2</f>
        <v>5.07572118601366</v>
      </c>
      <c r="M616" s="13" t="n">
        <f aca="false">M615*(Units!E16+Units!F16)/2</f>
        <v>5.09857563716094</v>
      </c>
      <c r="N616" s="13" t="n">
        <f aca="false">N615*(Units!E16+Units!F16)/2</f>
        <v>5.12153299505153</v>
      </c>
      <c r="O616" s="13" t="n">
        <f aca="false">O615*(Units!F16+Units!G16)/2</f>
        <v>5.65525725199112</v>
      </c>
      <c r="P616" s="13" t="n">
        <f aca="false">P615*(Units!F16+Units!G16)/2</f>
        <v>5.68072118033831</v>
      </c>
      <c r="Q616" s="13" t="n">
        <f aca="false">Q615*(Units!F16+Units!G16)/2</f>
        <v>5.7409348830123</v>
      </c>
      <c r="R616" s="13" t="n">
        <f aca="false">R615*(Units!F16+Units!G16)/2</f>
        <v>5.85253895140195</v>
      </c>
      <c r="T616" s="5" t="s">
        <v>458</v>
      </c>
    </row>
    <row r="617" customFormat="false" ht="17.15" hidden="false" customHeight="false" outlineLevel="0" collapsed="false">
      <c r="A617" s="5" t="s">
        <v>459</v>
      </c>
      <c r="B617" s="0" t="s">
        <v>27</v>
      </c>
      <c r="C617" s="13" t="n">
        <f aca="false">C615-C616</f>
        <v>0.0935659429280397</v>
      </c>
      <c r="D617" s="13" t="n">
        <f aca="false">D615-D616</f>
        <v>0.153044665012407</v>
      </c>
      <c r="E617" s="13" t="n">
        <f aca="false">E615-E616</f>
        <v>0.51026482630273</v>
      </c>
      <c r="F617" s="13" t="n">
        <f aca="false">F615-F616</f>
        <v>1.03548629032258</v>
      </c>
      <c r="G617" s="13" t="n">
        <f aca="false">G615-G616</f>
        <v>0.868102694377567</v>
      </c>
      <c r="H617" s="13" t="n">
        <f aca="false">H615-H616</f>
        <v>0.980030282765779</v>
      </c>
      <c r="I617" s="13" t="n">
        <f aca="false">I615-I616</f>
        <v>1.07987340788686</v>
      </c>
      <c r="J617" s="13" t="n">
        <f aca="false">J615-J616</f>
        <v>1.1418271096532</v>
      </c>
      <c r="K617" s="13" t="n">
        <f aca="false">K615-K616</f>
        <v>0.959463335859709</v>
      </c>
      <c r="L617" s="13" t="n">
        <f aca="false">L615-L616</f>
        <v>0.943493332486474</v>
      </c>
      <c r="M617" s="13" t="n">
        <f aca="false">M615-M616</f>
        <v>0.947741600168022</v>
      </c>
      <c r="N617" s="13" t="n">
        <f aca="false">N615-N616</f>
        <v>0.952008996525601</v>
      </c>
      <c r="O617" s="13" t="n">
        <f aca="false">O615-O616</f>
        <v>0.881409888080571</v>
      </c>
      <c r="P617" s="13" t="n">
        <f aca="false">P615-P616</f>
        <v>0.885378612620321</v>
      </c>
      <c r="Q617" s="13" t="n">
        <f aca="false">Q615-Q616</f>
        <v>0.894763323265645</v>
      </c>
      <c r="R617" s="13" t="n">
        <f aca="false">R615-R616</f>
        <v>0.912157568132935</v>
      </c>
    </row>
    <row r="618" customFormat="false" ht="15" hidden="false" customHeight="false" outlineLevel="0" collapsed="false">
      <c r="A618" s="5" t="s">
        <v>460</v>
      </c>
      <c r="B618" s="0" t="s">
        <v>27</v>
      </c>
      <c r="C618" s="13" t="n">
        <f aca="false">q1_cs</f>
        <v>0.652</v>
      </c>
      <c r="D618" s="13" t="n">
        <f aca="false">q2_cs</f>
        <v>0.907</v>
      </c>
      <c r="E618" s="13" t="n">
        <f aca="false">q3_cs</f>
        <v>0.82</v>
      </c>
      <c r="F618" s="13" t="n">
        <f aca="false">q4_cs</f>
        <v>0.556</v>
      </c>
      <c r="G618" s="13" t="n">
        <f aca="false">G614*cssh_27</f>
        <v>0.661836897144706</v>
      </c>
      <c r="H618" s="13" t="n">
        <f aca="false">H614*cssh_27</f>
        <v>0.747169897817925</v>
      </c>
      <c r="I618" s="13" t="n">
        <f aca="false">I614*cssh_27</f>
        <v>0.82328976768971</v>
      </c>
      <c r="J618" s="13" t="n">
        <f aca="false">J614*cssh_27</f>
        <v>0.87052294183976</v>
      </c>
      <c r="K618" s="13" t="n">
        <f aca="false">K614*cssh_28</f>
        <v>0.874442645723751</v>
      </c>
      <c r="L618" s="13" t="n">
        <f aca="false">L614*cssh_28</f>
        <v>0.859887788357163</v>
      </c>
      <c r="M618" s="13" t="n">
        <f aca="false">M614*cssh_28</f>
        <v>0.863759605332708</v>
      </c>
      <c r="N618" s="13" t="n">
        <f aca="false">N614*cssh_28</f>
        <v>0.867648855939591</v>
      </c>
      <c r="O618" s="13" t="n">
        <f aca="false">O614*cssh_29</f>
        <v>0.871555618676226</v>
      </c>
      <c r="P618" s="13" t="n">
        <f aca="false">P614*cssh_29</f>
        <v>0.875479972394484</v>
      </c>
      <c r="Q618" s="13" t="n">
        <f aca="false">Q614*cssh_29</f>
        <v>0.88475976083706</v>
      </c>
      <c r="R618" s="13" t="n">
        <f aca="false">R614*cssh_29</f>
        <v>0.901959535937984</v>
      </c>
      <c r="T618" s="5" t="s">
        <v>461</v>
      </c>
    </row>
    <row r="619" customFormat="false" ht="15" hidden="false" customHeight="false" outlineLevel="0" collapsed="false">
      <c r="A619" s="5" t="s">
        <v>462</v>
      </c>
      <c r="B619" s="0" t="s">
        <v>27</v>
      </c>
      <c r="C619" s="13" t="n">
        <f aca="false">q1_ed</f>
        <v>1.387</v>
      </c>
      <c r="D619" s="13" t="n">
        <f aca="false">q2_ed</f>
        <v>1.678</v>
      </c>
      <c r="E619" s="13" t="n">
        <f aca="false">q3_ed</f>
        <v>3.663</v>
      </c>
      <c r="F619" s="13" t="n">
        <f aca="false">q4_ed</f>
        <v>5.432</v>
      </c>
      <c r="G619" s="13" t="n">
        <f aca="false">G614-G615-G618</f>
        <v>6.17714437335059</v>
      </c>
      <c r="H619" s="13" t="n">
        <f aca="false">H614-H615-H618</f>
        <v>6.9735857129673</v>
      </c>
      <c r="I619" s="13" t="n">
        <f aca="false">I614-I615-I618</f>
        <v>7.68403783177063</v>
      </c>
      <c r="J619" s="13" t="n">
        <f aca="false">J614-J615-J618</f>
        <v>8.12488079050442</v>
      </c>
      <c r="K619" s="13" t="n">
        <f aca="false">K614-K615-K618</f>
        <v>7.57850292960584</v>
      </c>
      <c r="L619" s="13" t="n">
        <f aca="false">L614-L615-L618</f>
        <v>7.45236083242874</v>
      </c>
      <c r="M619" s="13" t="n">
        <f aca="false">M614-M615-M618</f>
        <v>7.48591657955014</v>
      </c>
      <c r="N619" s="13" t="n">
        <f aca="false">N614-N615-N618</f>
        <v>7.51962341814312</v>
      </c>
      <c r="O619" s="13" t="n">
        <f aca="false">O614-O615-O618</f>
        <v>7.11770421918918</v>
      </c>
      <c r="P619" s="13" t="n">
        <f aca="false">P614-P615-P618</f>
        <v>7.14975310788828</v>
      </c>
      <c r="Q619" s="13" t="n">
        <f aca="false">Q614-Q615-Q618</f>
        <v>7.22553804683599</v>
      </c>
      <c r="R619" s="13" t="n">
        <f aca="false">R614-R615-R618</f>
        <v>7.36600287682687</v>
      </c>
      <c r="T619" s="5" t="s">
        <v>463</v>
      </c>
    </row>
    <row r="620" customFormat="false" ht="15" hidden="false" customHeight="false" outlineLevel="0" collapsed="false">
      <c r="A620" s="5" t="s">
        <v>464</v>
      </c>
      <c r="B620" s="0" t="s">
        <v>27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465</v>
      </c>
      <c r="B621" s="0" t="s">
        <v>466</v>
      </c>
      <c r="C621" s="19" t="n">
        <f aca="false">C622/C613</f>
        <v>0.0520045391183812</v>
      </c>
      <c r="D621" s="19" t="n">
        <f aca="false">D622/D613</f>
        <v>0.0443170902760084</v>
      </c>
      <c r="E621" s="19" t="n">
        <f aca="false">E622/E613</f>
        <v>0.0337594565796481</v>
      </c>
      <c r="F621" s="19" t="n">
        <f aca="false">F622/F613</f>
        <v>0.0410685412637144</v>
      </c>
      <c r="G621" s="19" t="n">
        <f aca="false">(1-g_gm)*G614/G613</f>
        <v>0.049900535931346</v>
      </c>
      <c r="H621" s="19" t="n">
        <f aca="false">$G621*(1-cd_A)^(1/4)</f>
        <v>0.0480540308412442</v>
      </c>
      <c r="I621" s="19" t="n">
        <f aca="false">$G621*(1-cd_A)^(2/4)</f>
        <v>0.0462758532948078</v>
      </c>
      <c r="J621" s="19" t="n">
        <f aca="false">$G621*(1-cd_A)^(3/4)</f>
        <v>0.0445634749192484</v>
      </c>
      <c r="K621" s="19" t="n">
        <f aca="false">$G621*(1-cd_A)^(4/4)</f>
        <v>0.0429144609009575</v>
      </c>
      <c r="L621" s="19" t="n">
        <f aca="false">$G621*(1-cd_A)^(5/4)</f>
        <v>0.04132646652347</v>
      </c>
      <c r="M621" s="19" t="n">
        <f aca="false">$G621*(1-cd_A)^(6/4)</f>
        <v>0.0397972338335347</v>
      </c>
      <c r="N621" s="19" t="n">
        <f aca="false">$G621*(1-cd_A)^(7/4)</f>
        <v>0.0383245884305536</v>
      </c>
      <c r="O621" s="19" t="n">
        <f aca="false">$G621*(1-cd_A)^(8/4)</f>
        <v>0.0369064363748235</v>
      </c>
      <c r="P621" s="19" t="n">
        <f aca="false">$G621*(1-cd_A)^(9/4)</f>
        <v>0.0355407612101842</v>
      </c>
      <c r="Q621" s="19" t="n">
        <f aca="false">$G621*(1-cd_A)^(10/4)</f>
        <v>0.0342256210968399</v>
      </c>
      <c r="R621" s="19" t="n">
        <f aca="false">$G621*(1-cd_A)^(11/4)</f>
        <v>0.0329591460502761</v>
      </c>
    </row>
    <row r="622" customFormat="false" ht="15" hidden="false" customHeight="false" outlineLevel="0" collapsed="false">
      <c r="A622" s="5" t="s">
        <v>467</v>
      </c>
      <c r="B622" s="0" t="s">
        <v>27</v>
      </c>
      <c r="C622" s="13" t="n">
        <f aca="false">q1_rev*(1-q1_gm)</f>
        <v>1.620216</v>
      </c>
      <c r="D622" s="13" t="n">
        <f aca="false">q2_rev*(1-q2_gm)</f>
        <v>1.485275</v>
      </c>
      <c r="E622" s="13" t="n">
        <f aca="false">q3_rev*(1-q3_gm)</f>
        <v>1.2852</v>
      </c>
      <c r="F622" s="13" t="n">
        <f aca="false">q4_rev*(1-q4_gm)</f>
        <v>1.38061</v>
      </c>
      <c r="G622" s="13" t="n">
        <f aca="false">G613*G621</f>
        <v>1.65128305837604</v>
      </c>
      <c r="H622" s="13" t="n">
        <f aca="false">H613*H621</f>
        <v>1.66069101290866</v>
      </c>
      <c r="I622" s="13" t="n">
        <f aca="false">I613*I621</f>
        <v>1.71084070538025</v>
      </c>
      <c r="J622" s="13" t="n">
        <f aca="false">J613*J621</f>
        <v>1.7420543115931</v>
      </c>
      <c r="K622" s="13" t="n">
        <f aca="false">K613*K621</f>
        <v>1.77383739760017</v>
      </c>
      <c r="L622" s="13" t="n">
        <f aca="false">L613*L621</f>
        <v>1.80620035333311</v>
      </c>
      <c r="M622" s="13" t="n">
        <f aca="false">M613*M621</f>
        <v>1.83915375828377</v>
      </c>
      <c r="N622" s="13" t="n">
        <f aca="false">N613*N621</f>
        <v>1.87270838496259</v>
      </c>
      <c r="O622" s="13" t="n">
        <f aca="false">O613*O621</f>
        <v>1.90687520242018</v>
      </c>
      <c r="P622" s="13" t="n">
        <f aca="false">P613*P621</f>
        <v>1.94166537983309</v>
      </c>
      <c r="Q622" s="13" t="n">
        <f aca="false">Q613*Q621</f>
        <v>1.94807831799005</v>
      </c>
      <c r="R622" s="13" t="n">
        <f aca="false">R613*R621</f>
        <v>1.97160986812469</v>
      </c>
    </row>
    <row r="623" customFormat="false" ht="15" hidden="false" customHeight="false" outlineLevel="0" collapsed="false">
      <c r="A623" s="5" t="s">
        <v>423</v>
      </c>
      <c r="B623" s="0" t="s">
        <v>33</v>
      </c>
      <c r="C623" s="14" t="n">
        <f aca="false">1-C622/C614</f>
        <v>0.298</v>
      </c>
      <c r="D623" s="14" t="n">
        <f aca="false">1-D622/D614</f>
        <v>0.509</v>
      </c>
      <c r="E623" s="14" t="n">
        <f aca="false">1-E622/E614</f>
        <v>0.784</v>
      </c>
      <c r="F623" s="14" t="n">
        <f aca="false">1-F622/F614</f>
        <v>0.846</v>
      </c>
      <c r="G623" s="14" t="n">
        <f aca="false">1-G622/G614</f>
        <v>0.8503</v>
      </c>
      <c r="H623" s="14" t="n">
        <f aca="false">1-H622/H614</f>
        <v>0.866641494704862</v>
      </c>
      <c r="I623" s="14" t="n">
        <f aca="false">1-I622/I614</f>
        <v>0.875316751948868</v>
      </c>
      <c r="J623" s="14" t="n">
        <f aca="false">1-J622/J614</f>
        <v>0.879930495025568</v>
      </c>
      <c r="K623" s="14" t="n">
        <f aca="false">1-K622/K614</f>
        <v>0.878287907873111</v>
      </c>
      <c r="L623" s="14" t="n">
        <f aca="false">1-L622/L614</f>
        <v>0.873969577580542</v>
      </c>
      <c r="M623" s="14" t="n">
        <f aca="false">1-M622/M614</f>
        <v>0.872245443274091</v>
      </c>
      <c r="N623" s="14" t="n">
        <f aca="false">1-N622/N614</f>
        <v>0.870497722288729</v>
      </c>
      <c r="O623" s="14" t="n">
        <f aca="false">1-O622/O614</f>
        <v>0.868726091951553</v>
      </c>
      <c r="P623" s="14" t="n">
        <f aca="false">1-P622/P614</f>
        <v>0.866930225175395</v>
      </c>
      <c r="Q623" s="14" t="n">
        <f aca="false">1-Q622/Q614</f>
        <v>0.867891031833523</v>
      </c>
      <c r="R623" s="14" t="n">
        <f aca="false">1-R622/R614</f>
        <v>0.868844901157944</v>
      </c>
    </row>
    <row r="624" customFormat="false" ht="17.15" hidden="false" customHeight="false" outlineLevel="0" collapsed="false">
      <c r="A624" s="5" t="s">
        <v>468</v>
      </c>
      <c r="B624" s="0" t="s">
        <v>27</v>
      </c>
      <c r="C624" s="13" t="n">
        <f aca="false">q1_rev-q1_rev*(1-q1_gm)-q1_op</f>
        <v>0.511784</v>
      </c>
      <c r="D624" s="13" t="n">
        <f aca="false">q2_rev-q2_rev*(1-q2_gm)-q2_op</f>
        <v>0.474725</v>
      </c>
      <c r="E624" s="13" t="n">
        <f aca="false">q3_rev-q3_rev*(1-q3_gm)-q3_op</f>
        <v>0.553800000000001</v>
      </c>
      <c r="F624" s="13" t="n">
        <f aca="false">q4_rev-q4_rev*(1-q4_gm)-q4_op</f>
        <v>0.54739</v>
      </c>
      <c r="G624" s="13" t="n">
        <f aca="false">(g_ox-ox_var*g_rev)*(1+ox_g)^(0/4)+ox_var*G614</f>
        <v>0.581996149524118</v>
      </c>
      <c r="H624" s="13" t="n">
        <f aca="false">(g_ox-ox_var*g_rev)*(1+ox_g)^(1/4)+ox_var*H614</f>
        <v>0.607592502307229</v>
      </c>
      <c r="I624" s="13" t="n">
        <f aca="false">(g_ox-ox_var*g_rev)*(1+ox_g)^(2/4)+ox_var*I614</f>
        <v>0.631927606874997</v>
      </c>
      <c r="J624" s="13" t="n">
        <f aca="false">(g_ox-ox_var*g_rev)*(1+ox_g)^(3/4)+ox_var*J614</f>
        <v>0.651729149488654</v>
      </c>
      <c r="K624" s="13" t="n">
        <f aca="false">(g_ox-ox_var*g_rev)*(1+ox_g)^(4/4)+ox_var*K614</f>
        <v>0.664599440953958</v>
      </c>
      <c r="L624" s="13" t="n">
        <f aca="false">(g_ox-ox_var*g_rev)*(1+ox_g)^(5/4)+ox_var*L614</f>
        <v>0.674685235997527</v>
      </c>
      <c r="M624" s="13" t="n">
        <f aca="false">(g_ox-ox_var*g_rev)*(1+ox_g)^(6/4)+ox_var*M614</f>
        <v>0.688143844374835</v>
      </c>
      <c r="N624" s="13" t="n">
        <f aca="false">(g_ox-ox_var*g_rev)*(1+ox_g)^(7/4)+ox_var*N614</f>
        <v>0.701914334423495</v>
      </c>
      <c r="O624" s="13" t="n">
        <f aca="false">(g_ox-ox_var*g_rev)*(1+ox_g)^(8/4)+ox_var*O614</f>
        <v>0.716004169779371</v>
      </c>
      <c r="P624" s="13" t="n">
        <f aca="false">(g_ox-ox_var*g_rev)*(1+ox_g)^(9/4)+ox_var*P614</f>
        <v>0.730420993797547</v>
      </c>
      <c r="Q624" s="13" t="n">
        <f aca="false">(g_ox-ox_var*g_rev)*(1+ox_g)^(10/4)+ox_var*Q614</f>
        <v>0.746062261307498</v>
      </c>
      <c r="R624" s="13" t="n">
        <f aca="false">(g_ox-ox_var*g_rev)*(1+ox_g)^(11/4)+ox_var*R614</f>
        <v>0.763363400266584</v>
      </c>
      <c r="T624" s="5" t="s">
        <v>469</v>
      </c>
    </row>
    <row r="625" customFormat="false" ht="15" hidden="false" customHeight="false" outlineLevel="0" collapsed="false">
      <c r="A625" s="5" t="s">
        <v>424</v>
      </c>
      <c r="B625" s="0" t="s">
        <v>27</v>
      </c>
      <c r="C625" s="13" t="n">
        <f aca="false">C614-C622-C624</f>
        <v>0.176</v>
      </c>
      <c r="D625" s="13" t="n">
        <f aca="false">D614-D622-D624</f>
        <v>1.065</v>
      </c>
      <c r="E625" s="13" t="n">
        <f aca="false">E614-E622-E624</f>
        <v>4.111</v>
      </c>
      <c r="F625" s="13" t="n">
        <f aca="false">F614-F622-F624</f>
        <v>7.037</v>
      </c>
      <c r="G625" s="13" t="n">
        <f aca="false">G614-G622-G624</f>
        <v>8.79733574451161</v>
      </c>
      <c r="H625" s="13" t="n">
        <f aca="false">H614-H622-H624</f>
        <v>10.1845481150829</v>
      </c>
      <c r="I625" s="13" t="n">
        <f aca="false">I614-I622-I624</f>
        <v>11.3787278159066</v>
      </c>
      <c r="J625" s="13" t="n">
        <f aca="false">J614-J622-J624</f>
        <v>12.1149322362476</v>
      </c>
      <c r="K625" s="13" t="n">
        <f aca="false">K614-K622-K624</f>
        <v>12.1356072568417</v>
      </c>
      <c r="L625" s="13" t="n">
        <f aca="false">L614-L622-L624</f>
        <v>11.8505775499554</v>
      </c>
      <c r="M625" s="13" t="n">
        <f aca="false">M614-M622-M624</f>
        <v>11.8686958195532</v>
      </c>
      <c r="N625" s="13" t="n">
        <f aca="false">N614-N622-N624</f>
        <v>11.8861915462738</v>
      </c>
      <c r="O625" s="13" t="n">
        <f aca="false">O614-O622-O624</f>
        <v>11.9030476057375</v>
      </c>
      <c r="P625" s="13" t="n">
        <f aca="false">P614-P622-P624</f>
        <v>11.9192464996108</v>
      </c>
      <c r="Q625" s="13" t="n">
        <f aca="false">Q614-Q622-Q624</f>
        <v>12.0518554346534</v>
      </c>
      <c r="R625" s="13" t="n">
        <f aca="false">R614-R622-R624</f>
        <v>12.2976856639085</v>
      </c>
    </row>
    <row r="627" customFormat="false" ht="17.15" hidden="false" customHeight="false" outlineLevel="0" collapsed="false">
      <c r="A627" s="5" t="s">
        <v>426</v>
      </c>
      <c r="B627" s="0" t="s">
        <v>27</v>
      </c>
      <c r="C627" s="13" t="n">
        <f aca="false">q1_ni</f>
        <v>0.112</v>
      </c>
      <c r="D627" s="13" t="n">
        <f aca="false">q2_ni</f>
        <v>0.803</v>
      </c>
      <c r="E627" s="13" t="n">
        <f aca="false">q3_ni</f>
        <v>3.615</v>
      </c>
      <c r="F627" s="13" t="n">
        <f aca="false">q4_ni</f>
        <v>6.903</v>
      </c>
      <c r="G627" s="13" t="n">
        <f aca="false">(G625+rf*$D648/4)*(1-tax)</f>
        <v>7.51821238283487</v>
      </c>
      <c r="H627" s="13" t="n">
        <f aca="false">(H625+rf*$D648/4)*(1-tax)</f>
        <v>8.69734289782044</v>
      </c>
      <c r="I627" s="13" t="n">
        <f aca="false">(I625+rf*$D648/4)*(1-tax)</f>
        <v>9.7123956435206</v>
      </c>
      <c r="J627" s="13" t="n">
        <f aca="false">(J625+rf*$D648/4)*(1-tax)</f>
        <v>10.3381694008104</v>
      </c>
      <c r="K627" s="13" t="n">
        <f aca="false">(K625+rf*$E648/4)*(1-tax)</f>
        <v>10.4123927797103</v>
      </c>
      <c r="L627" s="13" t="n">
        <f aca="false">(L625+rf*$E648/4)*(1-tax)</f>
        <v>10.1701175288569</v>
      </c>
      <c r="M627" s="13" t="n">
        <f aca="false">(M625+rf*$E648/4)*(1-tax)</f>
        <v>10.1855180580151</v>
      </c>
      <c r="N627" s="13" t="n">
        <f aca="false">(N625+rf*$E648/4)*(1-tax)</f>
        <v>10.2003894257275</v>
      </c>
      <c r="O627" s="13" t="n">
        <f aca="false">(O625+rf*$F648/4)*(1-tax)</f>
        <v>10.2787436303966</v>
      </c>
      <c r="P627" s="13" t="n">
        <f aca="false">(P625+rf*$F648/4)*(1-tax)</f>
        <v>10.2925126901888</v>
      </c>
      <c r="Q627" s="13" t="n">
        <f aca="false">(Q625+rf*$F648/4)*(1-tax)</f>
        <v>10.4052302849751</v>
      </c>
      <c r="R627" s="13" t="n">
        <f aca="false">(R625+rf*$F648/4)*(1-tax)</f>
        <v>10.6141859798419</v>
      </c>
      <c r="T627" s="5" t="s">
        <v>470</v>
      </c>
    </row>
    <row r="628" customFormat="false" ht="17.15" hidden="false" customHeight="false" outlineLevel="0" collapsed="false">
      <c r="A628" s="5" t="s">
        <v>471</v>
      </c>
      <c r="B628" s="0" t="s">
        <v>40</v>
      </c>
      <c r="G628" s="15" t="n">
        <f aca="false">G627/(sh0+dil)*1000</f>
        <v>49.7894859790389</v>
      </c>
      <c r="H628" s="15" t="n">
        <f aca="false">H627/(sh0+dil)*1000</f>
        <v>57.5982973365592</v>
      </c>
      <c r="I628" s="15" t="n">
        <f aca="false">I627/(sh0+dil)*1000</f>
        <v>64.3205009504675</v>
      </c>
      <c r="J628" s="15" t="n">
        <f aca="false">J627/(sh0+dil)*1000</f>
        <v>68.4646980186121</v>
      </c>
      <c r="K628" s="15" t="n">
        <f aca="false">K627/(sh0+dil)*1000</f>
        <v>68.9562435742404</v>
      </c>
      <c r="L628" s="15" t="n">
        <f aca="false">L627/(sh0+dil)*1000</f>
        <v>67.3517717142844</v>
      </c>
      <c r="M628" s="15" t="n">
        <f aca="false">M627/(sh0+dil)*1000</f>
        <v>67.4537619736097</v>
      </c>
      <c r="N628" s="15" t="n">
        <f aca="false">N627/(sh0+dil)*1000</f>
        <v>67.5522478525002</v>
      </c>
      <c r="O628" s="15" t="n">
        <f aca="false">O627/(sh0+dil)*1000</f>
        <v>68.071149870176</v>
      </c>
      <c r="P628" s="15" t="n">
        <f aca="false">P627/(sh0+dil)*1000</f>
        <v>68.1623356966146</v>
      </c>
      <c r="Q628" s="15" t="n">
        <f aca="false">Q627/(sh0+dil)*1000</f>
        <v>68.9088098342721</v>
      </c>
      <c r="R628" s="15" t="n">
        <f aca="false">R627/(sh0+dil)*1000</f>
        <v>70.2926223830587</v>
      </c>
    </row>
    <row r="630" customFormat="false" ht="17.15" hidden="false" customHeight="false" outlineLevel="0" collapsed="false">
      <c r="A630" s="12" t="s">
        <v>472</v>
      </c>
      <c r="B630" s="6" t="s">
        <v>17</v>
      </c>
      <c r="C630" s="12" t="s">
        <v>413</v>
      </c>
      <c r="D630" s="12" t="s">
        <v>414</v>
      </c>
      <c r="E630" s="12" t="s">
        <v>415</v>
      </c>
      <c r="F630" s="12" t="s">
        <v>416</v>
      </c>
      <c r="G630" s="12" t="s">
        <v>417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321</v>
      </c>
    </row>
    <row r="631" customFormat="false" ht="15" hidden="false" customHeight="false" outlineLevel="0" collapsed="false">
      <c r="A631" s="5" t="s">
        <v>344</v>
      </c>
      <c r="B631" s="0" t="s">
        <v>27</v>
      </c>
      <c r="C631" s="13" t="n">
        <f aca="false">a25_rev</f>
        <v>7.355</v>
      </c>
      <c r="D631" s="13" t="n">
        <f aca="false">SUM(C614:F614)</f>
        <v>20.248</v>
      </c>
      <c r="E631" s="13" t="n">
        <f aca="false">SUM(G614:J614)</f>
        <v>51.7136584082017</v>
      </c>
      <c r="F631" s="13" t="n">
        <f aca="false">SUM(K614:N614)</f>
        <v>57.7623149225535</v>
      </c>
      <c r="G631" s="13" t="n">
        <f aca="false">SUM(O614:R614)</f>
        <v>58.8959147974292</v>
      </c>
    </row>
    <row r="632" customFormat="false" ht="15" hidden="false" customHeight="false" outlineLevel="0" collapsed="false">
      <c r="A632" s="5" t="s">
        <v>473</v>
      </c>
      <c r="B632" s="0" t="s">
        <v>27</v>
      </c>
      <c r="D632" s="13" t="n">
        <f aca="false">SUM(C615:F615)</f>
        <v>5.153</v>
      </c>
      <c r="E632" s="13" t="n">
        <f aca="false">SUM(G615:J615)</f>
        <v>19.6511901951166</v>
      </c>
      <c r="F632" s="13" t="n">
        <f aca="false">SUM(K615:N615)</f>
        <v>24.2601722674725</v>
      </c>
      <c r="G632" s="13" t="n">
        <f aca="false">SUM(O615:R615)</f>
        <v>26.5031616588432</v>
      </c>
    </row>
    <row r="633" customFormat="false" ht="17.15" hidden="false" customHeight="false" outlineLevel="0" collapsed="false">
      <c r="A633" s="5" t="s">
        <v>474</v>
      </c>
      <c r="B633" s="0" t="s">
        <v>27</v>
      </c>
      <c r="D633" s="13" t="n">
        <f aca="false">SUM(C616:F616)</f>
        <v>3.36063827543424</v>
      </c>
      <c r="E633" s="13" t="n">
        <f aca="false">SUM(G616:J616)</f>
        <v>15.5813567004332</v>
      </c>
      <c r="F633" s="13" t="n">
        <f aca="false">SUM(K616:N616)</f>
        <v>20.4574650024327</v>
      </c>
      <c r="G633" s="13" t="n">
        <f aca="false">SUM(O616:R616)</f>
        <v>22.9294522667437</v>
      </c>
    </row>
    <row r="634" customFormat="false" ht="15" hidden="false" customHeight="false" outlineLevel="0" collapsed="false">
      <c r="A634" s="5" t="s">
        <v>475</v>
      </c>
      <c r="B634" s="0" t="s">
        <v>27</v>
      </c>
      <c r="D634" s="13" t="n">
        <f aca="false">SUM(C619:F619)</f>
        <v>12.16</v>
      </c>
      <c r="E634" s="13" t="n">
        <f aca="false">SUM(G619:J619)</f>
        <v>28.9596487085929</v>
      </c>
      <c r="F634" s="13" t="n">
        <f aca="false">SUM(K619:N619)</f>
        <v>30.0364037597278</v>
      </c>
      <c r="G634" s="13" t="n">
        <f aca="false">SUM(O619:R619)</f>
        <v>28.8589982507403</v>
      </c>
    </row>
    <row r="635" customFormat="false" ht="15" hidden="false" customHeight="false" outlineLevel="0" collapsed="false">
      <c r="A635" s="5" t="s">
        <v>476</v>
      </c>
      <c r="B635" s="0" t="s">
        <v>27</v>
      </c>
      <c r="D635" s="13" t="n">
        <f aca="false">SUM(C618:F618)</f>
        <v>2.935</v>
      </c>
      <c r="E635" s="13" t="n">
        <f aca="false">SUM(G618:J618)</f>
        <v>3.1028195044921</v>
      </c>
      <c r="F635" s="13" t="n">
        <f aca="false">SUM(K618:N618)</f>
        <v>3.46573889535321</v>
      </c>
      <c r="G635" s="13" t="n">
        <f aca="false">SUM(O618:R618)</f>
        <v>3.53375488784575</v>
      </c>
    </row>
    <row r="636" customFormat="false" ht="17.15" hidden="false" customHeight="false" outlineLevel="0" collapsed="false">
      <c r="A636" s="5" t="s">
        <v>477</v>
      </c>
      <c r="B636" s="0" t="s">
        <v>27</v>
      </c>
      <c r="D636" s="18" t="n">
        <f aca="false">D632+D634+D635-D631+ABS(D632-a26_dc)+ABS(D634-a26_ed)+ABS(D635-a26_cs)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467</v>
      </c>
      <c r="B637" s="0" t="s">
        <v>27</v>
      </c>
      <c r="D637" s="13" t="n">
        <f aca="false">SUM(C622:F622)</f>
        <v>5.771301</v>
      </c>
      <c r="E637" s="13" t="n">
        <f aca="false">SUM(G622:J622)</f>
        <v>6.76486908825806</v>
      </c>
      <c r="F637" s="13" t="n">
        <f aca="false">SUM(K622:N622)</f>
        <v>7.29189989417963</v>
      </c>
      <c r="G637" s="13" t="n">
        <f aca="false">SUM(O622:R622)</f>
        <v>7.76822876836801</v>
      </c>
    </row>
    <row r="638" customFormat="false" ht="15" hidden="false" customHeight="false" outlineLevel="0" collapsed="false">
      <c r="A638" s="5" t="s">
        <v>423</v>
      </c>
      <c r="B638" s="0" t="s">
        <v>33</v>
      </c>
      <c r="D638" s="14" t="n">
        <f aca="false">1-D637/D631</f>
        <v>0.714969330304228</v>
      </c>
      <c r="E638" s="14" t="n">
        <f aca="false">1-E637/E631</f>
        <v>0.869186027512121</v>
      </c>
      <c r="F638" s="14" t="n">
        <f aca="false">1-F637/F631</f>
        <v>0.873760255212132</v>
      </c>
      <c r="G638" s="14" t="n">
        <f aca="false">1-G637/G631</f>
        <v>0.868102417712899</v>
      </c>
    </row>
    <row r="639" customFormat="false" ht="15" hidden="false" customHeight="false" outlineLevel="0" collapsed="false">
      <c r="A639" s="5" t="s">
        <v>468</v>
      </c>
      <c r="B639" s="0" t="s">
        <v>27</v>
      </c>
      <c r="D639" s="13" t="n">
        <f aca="false">SUM(C624:F624)</f>
        <v>2.087699</v>
      </c>
      <c r="E639" s="13" t="n">
        <f aca="false">SUM(G624:J624)</f>
        <v>2.473245408195</v>
      </c>
      <c r="F639" s="13" t="n">
        <f aca="false">SUM(K624:N624)</f>
        <v>2.72934285574982</v>
      </c>
      <c r="G639" s="13" t="n">
        <f aca="false">SUM(O624:R624)</f>
        <v>2.955850825151</v>
      </c>
    </row>
    <row r="640" customFormat="false" ht="15" hidden="false" customHeight="false" outlineLevel="0" collapsed="false">
      <c r="A640" s="5" t="s">
        <v>424</v>
      </c>
      <c r="B640" s="0" t="s">
        <v>27</v>
      </c>
      <c r="D640" s="13" t="n">
        <f aca="false">SUM(C625:F625)</f>
        <v>12.389</v>
      </c>
      <c r="E640" s="13" t="n">
        <f aca="false">SUM(G625:J625)</f>
        <v>42.4755439117486</v>
      </c>
      <c r="F640" s="13" t="n">
        <f aca="false">SUM(K625:N625)</f>
        <v>47.7410721726241</v>
      </c>
      <c r="G640" s="13" t="n">
        <f aca="false">SUM(O625:R625)</f>
        <v>48.1718352039102</v>
      </c>
    </row>
    <row r="641" customFormat="false" ht="15" hidden="false" customHeight="false" outlineLevel="0" collapsed="false">
      <c r="A641" s="5" t="s">
        <v>425</v>
      </c>
      <c r="B641" s="0" t="s">
        <v>33</v>
      </c>
      <c r="D641" s="14" t="n">
        <f aca="false">D640/D631</f>
        <v>0.61186290003951</v>
      </c>
      <c r="E641" s="14" t="n">
        <f aca="false">E640/E631</f>
        <v>0.821360259923365</v>
      </c>
      <c r="F641" s="14" t="n">
        <f aca="false">F640/F631</f>
        <v>0.826508983177601</v>
      </c>
      <c r="G641" s="14" t="n">
        <f aca="false">G640/G631</f>
        <v>0.817914712244403</v>
      </c>
    </row>
    <row r="642" customFormat="false" ht="15" hidden="false" customHeight="false" outlineLevel="0" collapsed="false">
      <c r="A642" s="5" t="s">
        <v>426</v>
      </c>
      <c r="B642" s="0" t="s">
        <v>27</v>
      </c>
      <c r="C642" s="13" t="n">
        <f aca="false">a25_ni</f>
        <v>-1.641</v>
      </c>
      <c r="D642" s="13" t="n">
        <f aca="false">SUM(C627:F627)</f>
        <v>11.433</v>
      </c>
      <c r="E642" s="13" t="n">
        <f aca="false">SUM(G627:J627)</f>
        <v>36.2661203249863</v>
      </c>
      <c r="F642" s="13" t="n">
        <f aca="false">SUM(K627:N627)</f>
        <v>40.9684177923098</v>
      </c>
      <c r="G642" s="13" t="n">
        <f aca="false">SUM(O627:R627)</f>
        <v>41.5906725854023</v>
      </c>
    </row>
    <row r="643" customFormat="false" ht="15" hidden="false" customHeight="false" outlineLevel="0" collapsed="false">
      <c r="A643" s="5" t="s">
        <v>478</v>
      </c>
      <c r="B643" s="0" t="s">
        <v>27</v>
      </c>
      <c r="D643" s="13" t="n">
        <f aca="false">da_y</f>
        <v>0.16</v>
      </c>
      <c r="E643" s="13" t="n">
        <f aca="false">da_y</f>
        <v>0.16</v>
      </c>
      <c r="F643" s="13" t="n">
        <f aca="false">da_y</f>
        <v>0.16</v>
      </c>
      <c r="G643" s="13" t="n">
        <f aca="false">da_y</f>
        <v>0.16</v>
      </c>
    </row>
    <row r="644" customFormat="false" ht="17.15" hidden="false" customHeight="false" outlineLevel="0" collapsed="false">
      <c r="A644" s="5" t="s">
        <v>479</v>
      </c>
      <c r="B644" s="0" t="s">
        <v>27</v>
      </c>
      <c r="D644" s="13" t="n">
        <v>0.562</v>
      </c>
      <c r="E644" s="13" t="n">
        <f aca="false">cap_r*E631</f>
        <v>3.1028195044921</v>
      </c>
      <c r="F644" s="13" t="n">
        <f aca="false">cap_r*F631</f>
        <v>3.46573889535321</v>
      </c>
      <c r="G644" s="13" t="n">
        <f aca="false">cap_r*G631</f>
        <v>3.53375488784575</v>
      </c>
      <c r="T644" s="8" t="s">
        <v>480</v>
      </c>
    </row>
    <row r="645" customFormat="false" ht="15" hidden="false" customHeight="false" outlineLevel="0" collapsed="false">
      <c r="A645" s="5" t="s">
        <v>481</v>
      </c>
      <c r="B645" s="0" t="s">
        <v>27</v>
      </c>
      <c r="D645" s="13" t="n">
        <f aca="false">D642+D643-D644</f>
        <v>11.031</v>
      </c>
      <c r="E645" s="13" t="n">
        <f aca="false">E642+E643-E644</f>
        <v>33.3233008204942</v>
      </c>
      <c r="F645" s="13" t="n">
        <f aca="false">F642+F643-F644</f>
        <v>37.6626788969566</v>
      </c>
      <c r="G645" s="13" t="n">
        <f aca="false">G642+G643-G644</f>
        <v>38.2169176975566</v>
      </c>
    </row>
    <row r="646" customFormat="false" ht="17.15" hidden="false" customHeight="false" outlineLevel="0" collapsed="false">
      <c r="A646" s="5" t="s">
        <v>482</v>
      </c>
      <c r="B646" s="0" t="s">
        <v>27</v>
      </c>
      <c r="D646" s="13" t="n">
        <v>4.524</v>
      </c>
      <c r="E646" s="13" t="n">
        <f aca="false">MAX(0,payout_hi*E645)</f>
        <v>26.6586406563954</v>
      </c>
      <c r="F646" s="13" t="n">
        <f aca="false">MAX(0,payout_hi*F645)</f>
        <v>30.1301431175653</v>
      </c>
      <c r="G646" s="13" t="n">
        <f aca="false">MAX(0,payout_hi*G645)</f>
        <v>30.5735341580453</v>
      </c>
      <c r="T646" s="8" t="s">
        <v>483</v>
      </c>
    </row>
    <row r="647" customFormat="false" ht="15" hidden="false" customHeight="false" outlineLevel="0" collapsed="false">
      <c r="A647" s="5" t="s">
        <v>484</v>
      </c>
      <c r="B647" s="0" t="s">
        <v>27</v>
      </c>
      <c r="D647" s="13" t="n">
        <f aca="false">eq0</f>
        <v>15.736</v>
      </c>
      <c r="E647" s="13" t="n">
        <f aca="false">D647+E642-E646</f>
        <v>25.343479668591</v>
      </c>
      <c r="F647" s="13" t="n">
        <f aca="false">E647+F642-F646</f>
        <v>36.1817543433355</v>
      </c>
      <c r="G647" s="13" t="n">
        <f aca="false">F647+G642-G646</f>
        <v>47.1988927706926</v>
      </c>
    </row>
    <row r="648" customFormat="false" ht="15" hidden="false" customHeight="false" outlineLevel="0" collapsed="false">
      <c r="A648" s="5" t="s">
        <v>485</v>
      </c>
      <c r="B648" s="0" t="s">
        <v>27</v>
      </c>
      <c r="D648" s="13" t="n">
        <f aca="false">nc0</f>
        <v>4.762</v>
      </c>
      <c r="E648" s="13" t="n">
        <f aca="false">D648+E645-E646</f>
        <v>11.4266601640988</v>
      </c>
      <c r="F648" s="13" t="n">
        <f aca="false">E648+F645-F646</f>
        <v>18.9591959434902</v>
      </c>
      <c r="G648" s="13" t="n">
        <f aca="false">F648+G645-G646</f>
        <v>26.6025794830015</v>
      </c>
    </row>
    <row r="649" customFormat="false" ht="15" hidden="false" customHeight="false" outlineLevel="0" collapsed="false">
      <c r="A649" s="5" t="s">
        <v>486</v>
      </c>
      <c r="B649" s="5" t="s">
        <v>152</v>
      </c>
      <c r="D649" s="20" t="n">
        <f aca="false">sh0</f>
        <v>146.42</v>
      </c>
      <c r="E649" s="20" t="n">
        <f aca="false">D649-E646/bb_px*1000</f>
        <v>124.886886378848</v>
      </c>
      <c r="F649" s="20" t="n">
        <f aca="false">E649-F646/bb_px*1000</f>
        <v>100.549719171619</v>
      </c>
      <c r="G649" s="20" t="n">
        <f aca="false">F649-G646/bb_px*1000</f>
        <v>75.8544095603451</v>
      </c>
    </row>
    <row r="650" customFormat="false" ht="17.15" hidden="false" customHeight="false" outlineLevel="0" collapsed="false">
      <c r="A650" s="0" t="s">
        <v>487</v>
      </c>
      <c r="B650" s="0" t="s">
        <v>40</v>
      </c>
      <c r="C650" s="15" t="n">
        <f aca="false">a25_eps</f>
        <v>-11.32</v>
      </c>
      <c r="D650" s="15" t="n">
        <f aca="false">a26_eps</f>
        <v>73.76</v>
      </c>
      <c r="E650" s="15" t="n">
        <f aca="false">E642/(E649+dil)*1000</f>
        <v>280.118888615765</v>
      </c>
      <c r="F650" s="15" t="n">
        <f aca="false">F642/(F649+dil)*1000</f>
        <v>389.693971553667</v>
      </c>
      <c r="G650" s="15" t="n">
        <f aca="false">G642/(G649+dil)*1000</f>
        <v>517.075624881654</v>
      </c>
    </row>
    <row r="651" customFormat="false" ht="17.15" hidden="false" customHeight="false" outlineLevel="0" collapsed="false">
      <c r="A651" s="5" t="s">
        <v>488</v>
      </c>
      <c r="B651" s="0" t="s">
        <v>40</v>
      </c>
      <c r="D651" s="15" t="n">
        <f aca="false">D647/D649*1000</f>
        <v>107.471656877476</v>
      </c>
      <c r="E651" s="15" t="n">
        <f aca="false">E647/E649*1000</f>
        <v>202.931471857749</v>
      </c>
      <c r="F651" s="15" t="n">
        <f aca="false">F647/F649*1000</f>
        <v>359.839437060786</v>
      </c>
      <c r="G651" s="15" t="n">
        <f aca="false">G647/G649*1000</f>
        <v>622.230046272314</v>
      </c>
    </row>
    <row r="652" customFormat="false" ht="17.15" hidden="false" customHeight="false" outlineLevel="0" collapsed="false">
      <c r="A652" s="0" t="s">
        <v>489</v>
      </c>
      <c r="B652" s="0" t="s">
        <v>33</v>
      </c>
      <c r="D652" s="21" t="n">
        <f aca="false">D642/D647</f>
        <v>0.72655058464667</v>
      </c>
      <c r="E652" s="21" t="n">
        <f aca="false">E642/E647</f>
        <v>1.43098425311865</v>
      </c>
      <c r="F652" s="21" t="n">
        <f aca="false">F642/F647</f>
        <v>1.13229495185758</v>
      </c>
      <c r="G652" s="21" t="n">
        <f aca="false">G642/G647</f>
        <v>0.881178988402614</v>
      </c>
    </row>
    <row r="653" customFormat="false" ht="15" hidden="false" customHeight="false" outlineLevel="0" collapsed="false">
      <c r="A653" s="5" t="s">
        <v>490</v>
      </c>
      <c r="B653" s="0" t="s">
        <v>40</v>
      </c>
      <c r="E653" s="15" t="n">
        <f aca="false">E645/(E649+dil)*1000</f>
        <v>257.388601460478</v>
      </c>
      <c r="F653" s="15" t="n">
        <f aca="false">F645/(F649+dil)*1000</f>
        <v>358.249591016925</v>
      </c>
      <c r="G653" s="15" t="n">
        <f aca="false">G645/(G649+dil)*1000</f>
        <v>475.131450662104</v>
      </c>
    </row>
    <row r="654" customFormat="false" ht="17.15" hidden="false" customHeight="false" outlineLevel="0" collapsed="false">
      <c r="A654" s="5" t="s">
        <v>491</v>
      </c>
      <c r="B654" s="0" t="s">
        <v>27</v>
      </c>
      <c r="D654" s="18" t="n">
        <f aca="false">ABS(D631-a26_rev)+ABS(D642-a26_ni)</f>
        <v>0</v>
      </c>
    </row>
    <row r="660" customFormat="false" ht="17.15" hidden="false" customHeight="false" outlineLevel="0" collapsed="false">
      <c r="A660" s="3" t="s">
        <v>810</v>
      </c>
    </row>
    <row r="661" customFormat="false" ht="17.15" hidden="false" customHeight="false" outlineLevel="0" collapsed="false">
      <c r="A661" s="12" t="s">
        <v>434</v>
      </c>
      <c r="B661" s="6" t="s">
        <v>17</v>
      </c>
      <c r="C661" s="12" t="s">
        <v>435</v>
      </c>
      <c r="D661" s="12" t="s">
        <v>436</v>
      </c>
      <c r="E661" s="12" t="s">
        <v>437</v>
      </c>
      <c r="F661" s="12" t="s">
        <v>438</v>
      </c>
      <c r="G661" s="12" t="s">
        <v>439</v>
      </c>
      <c r="H661" s="12" t="s">
        <v>440</v>
      </c>
      <c r="I661" s="12" t="s">
        <v>441</v>
      </c>
      <c r="J661" s="12" t="s">
        <v>442</v>
      </c>
      <c r="K661" s="12" t="s">
        <v>443</v>
      </c>
      <c r="L661" s="12" t="s">
        <v>444</v>
      </c>
      <c r="M661" s="12" t="s">
        <v>445</v>
      </c>
      <c r="N661" s="12" t="s">
        <v>446</v>
      </c>
      <c r="O661" s="12" t="s">
        <v>447</v>
      </c>
      <c r="P661" s="12" t="s">
        <v>448</v>
      </c>
      <c r="Q661" s="12" t="s">
        <v>449</v>
      </c>
      <c r="R661" s="12" t="s">
        <v>450</v>
      </c>
      <c r="S661" s="12"/>
      <c r="T661" s="6" t="s">
        <v>321</v>
      </c>
    </row>
    <row r="662" customFormat="false" ht="17.15" hidden="false" customHeight="false" outlineLevel="0" collapsed="false">
      <c r="A662" s="5" t="s">
        <v>451</v>
      </c>
      <c r="B662" s="0" t="s">
        <v>27</v>
      </c>
      <c r="C662" s="13" t="n">
        <f aca="false">Units!E4*1</f>
        <v>2.31</v>
      </c>
      <c r="D662" s="13" t="n">
        <f aca="false">Units!F4*1</f>
        <v>3.03</v>
      </c>
      <c r="E662" s="13" t="n">
        <f aca="false">Units!G4*1</f>
        <v>5.95</v>
      </c>
      <c r="F662" s="13" t="n">
        <f aca="false">Units!H4*1</f>
        <v>8.97</v>
      </c>
      <c r="G662" s="13" t="n">
        <f aca="false">Units!I4*1</f>
        <v>11.0371522587842</v>
      </c>
      <c r="H662" s="13" t="n">
        <f aca="false">Units!J4*1*1</f>
        <v>12.4602118149868</v>
      </c>
      <c r="I662" s="13" t="n">
        <f aca="false">Units!K4*1*1</f>
        <v>13.7296281882931</v>
      </c>
      <c r="J662" s="13" t="n">
        <f aca="false">Units!L4*1*1</f>
        <v>14.5173143040247</v>
      </c>
      <c r="K662" s="13" t="n">
        <f aca="false">Units!M4*1*1</f>
        <v>14.5826814190399</v>
      </c>
      <c r="L662" s="13" t="n">
        <f aca="false">Units!N4*1*1</f>
        <v>14.3399566970533</v>
      </c>
      <c r="M662" s="13" t="n">
        <f aca="false">Units!O4*1*1</f>
        <v>14.4045252239239</v>
      </c>
      <c r="N662" s="13" t="n">
        <f aca="false">Units!P4*1*1</f>
        <v>14.4693844835178</v>
      </c>
      <c r="O662" s="13" t="n">
        <f aca="false">Units!Q4*1*1</f>
        <v>14.5345357849173</v>
      </c>
      <c r="P662" s="13" t="n">
        <f aca="false">Units!R4*1*1</f>
        <v>14.5999804430991</v>
      </c>
      <c r="Q662" s="13" t="n">
        <f aca="false">Units!S4*1*1</f>
        <v>14.7547352450932</v>
      </c>
      <c r="R662" s="13" t="n">
        <f aca="false">Units!T4*1*1</f>
        <v>15.0415680545433</v>
      </c>
      <c r="T662" s="8" t="s">
        <v>452</v>
      </c>
    </row>
    <row r="663" customFormat="false" ht="15" hidden="false" customHeight="false" outlineLevel="0" collapsed="false">
      <c r="A663" s="5" t="s">
        <v>453</v>
      </c>
      <c r="B663" s="0" t="s">
        <v>386</v>
      </c>
      <c r="C663" s="13" t="n">
        <f aca="false">Units!E7*1</f>
        <v>31.1552804325753</v>
      </c>
      <c r="D663" s="13" t="n">
        <f aca="false">Units!F7*1</f>
        <v>33.5147228924475</v>
      </c>
      <c r="E663" s="13" t="n">
        <f aca="false">Units!G7*1</f>
        <v>38.0693331650007</v>
      </c>
      <c r="F663" s="13" t="n">
        <f aca="false">Units!H7*1</f>
        <v>33.6172154529341</v>
      </c>
      <c r="G663" s="13" t="n">
        <f aca="false">Units!I7*1</f>
        <v>33.0914894510934</v>
      </c>
      <c r="H663" s="13" t="n">
        <f aca="false">Units!J7*1</f>
        <v>34.5588285485368</v>
      </c>
      <c r="I663" s="13" t="n">
        <f aca="false">Units!K7*1</f>
        <v>36.9704842497676</v>
      </c>
      <c r="J663" s="13" t="n">
        <f aca="false">Units!L7*1</f>
        <v>39.0915276411862</v>
      </c>
      <c r="K663" s="13" t="n">
        <f aca="false">Units!M7*1</f>
        <v>41.3342579717828</v>
      </c>
      <c r="L663" s="13" t="n">
        <f aca="false">Units!N7*1</f>
        <v>43.7056565750022</v>
      </c>
      <c r="M663" s="13" t="n">
        <f aca="false">Units!O7*1</f>
        <v>46.2131053122095</v>
      </c>
      <c r="N663" s="13" t="n">
        <f aca="false">Units!P7*1</f>
        <v>48.8644095514828</v>
      </c>
      <c r="O663" s="13" t="n">
        <f aca="false">Units!Q7*1</f>
        <v>51.6678224647285</v>
      </c>
      <c r="P663" s="13" t="n">
        <f aca="false">Units!R7*1</f>
        <v>54.6320707187528</v>
      </c>
      <c r="Q663" s="13" t="n">
        <f aca="false">Units!S7*1</f>
        <v>56.9187133953845</v>
      </c>
      <c r="R663" s="13" t="n">
        <f aca="false">Units!T7*1</f>
        <v>59.8198104136917</v>
      </c>
    </row>
    <row r="664" customFormat="false" ht="17.15" hidden="false" customHeight="false" outlineLevel="0" collapsed="false">
      <c r="A664" s="5" t="s">
        <v>344</v>
      </c>
      <c r="B664" s="0" t="s">
        <v>27</v>
      </c>
      <c r="C664" s="13" t="n">
        <f aca="false">q1_rev</f>
        <v>2.308</v>
      </c>
      <c r="D664" s="13" t="n">
        <f aca="false">q2_rev</f>
        <v>3.025</v>
      </c>
      <c r="E664" s="13" t="n">
        <f aca="false">q3_rev</f>
        <v>5.95</v>
      </c>
      <c r="F664" s="13" t="n">
        <f aca="false">q4_rev</f>
        <v>8.965</v>
      </c>
      <c r="G664" s="13" t="n">
        <f aca="false">G662*sd_k</f>
        <v>11.0306149524118</v>
      </c>
      <c r="H664" s="13" t="n">
        <f aca="false">H662*sd_k</f>
        <v>12.4528316302988</v>
      </c>
      <c r="I664" s="13" t="n">
        <f aca="false">I662*sd_k</f>
        <v>13.7214961281618</v>
      </c>
      <c r="J664" s="13" t="n">
        <f aca="false">J662*sd_k</f>
        <v>14.5087156973293</v>
      </c>
      <c r="K664" s="13" t="n">
        <f aca="false">K662*sd_k</f>
        <v>14.5740440953959</v>
      </c>
      <c r="L664" s="13" t="n">
        <f aca="false">L662*sd_k</f>
        <v>14.331463139286</v>
      </c>
      <c r="M664" s="13" t="n">
        <f aca="false">M662*sd_k</f>
        <v>14.3959934222118</v>
      </c>
      <c r="N664" s="13" t="n">
        <f aca="false">N662*sd_k</f>
        <v>14.4608142656598</v>
      </c>
      <c r="O664" s="13" t="n">
        <f aca="false">O662*sd_k</f>
        <v>14.5259269779371</v>
      </c>
      <c r="P664" s="13" t="n">
        <f aca="false">P662*sd_k</f>
        <v>14.5913328732414</v>
      </c>
      <c r="Q664" s="13" t="n">
        <f aca="false">Q662*sd_k</f>
        <v>14.745996013951</v>
      </c>
      <c r="R664" s="13" t="n">
        <f aca="false">R662*sd_k</f>
        <v>15.0326589322997</v>
      </c>
      <c r="T664" s="5" t="s">
        <v>454</v>
      </c>
    </row>
    <row r="665" customFormat="false" ht="17.15" hidden="false" customHeight="false" outlineLevel="0" collapsed="false">
      <c r="A665" s="5" t="s">
        <v>455</v>
      </c>
      <c r="B665" s="0" t="s">
        <v>27</v>
      </c>
      <c r="C665" s="13" t="n">
        <f aca="false">q1_dc</f>
        <v>0.269</v>
      </c>
      <c r="D665" s="13" t="n">
        <f aca="false">q2_dc</f>
        <v>0.44</v>
      </c>
      <c r="E665" s="13" t="n">
        <f aca="false">q3_dc</f>
        <v>1.467</v>
      </c>
      <c r="F665" s="13" t="n">
        <f aca="false">q4_dc</f>
        <v>2.977</v>
      </c>
      <c r="G665" s="13" t="n">
        <f aca="false">G664*dcsh_27</f>
        <v>4.19163368191647</v>
      </c>
      <c r="H665" s="13" t="n">
        <f aca="false">H664*dcsh_27</f>
        <v>4.73207601951353</v>
      </c>
      <c r="I665" s="13" t="n">
        <f aca="false">I664*dcsh_27</f>
        <v>5.2141685287015</v>
      </c>
      <c r="J665" s="13" t="n">
        <f aca="false">J664*dcsh_27</f>
        <v>5.51331196498514</v>
      </c>
      <c r="K665" s="13" t="n">
        <f aca="false">K664*dcsh_28</f>
        <v>6.12109852006626</v>
      </c>
      <c r="L665" s="13" t="n">
        <f aca="false">L664*dcsh_28</f>
        <v>6.01921451850014</v>
      </c>
      <c r="M665" s="13" t="n">
        <f aca="false">M664*dcsh_28</f>
        <v>6.04631723732896</v>
      </c>
      <c r="N665" s="13" t="n">
        <f aca="false">N664*dcsh_28</f>
        <v>6.07354199157713</v>
      </c>
      <c r="O665" s="13" t="n">
        <f aca="false">O664*dcsh_29</f>
        <v>6.53666714007169</v>
      </c>
      <c r="P665" s="13" t="n">
        <f aca="false">P664*dcsh_29</f>
        <v>6.56609979295863</v>
      </c>
      <c r="Q665" s="13" t="n">
        <f aca="false">Q664*dcsh_29</f>
        <v>6.63569820627795</v>
      </c>
      <c r="R665" s="13" t="n">
        <f aca="false">R664*dcsh_29</f>
        <v>6.76469651953488</v>
      </c>
      <c r="T665" s="5" t="s">
        <v>456</v>
      </c>
    </row>
    <row r="666" customFormat="false" ht="17.15" hidden="false" customHeight="false" outlineLevel="0" collapsed="false">
      <c r="A666" s="5" t="s">
        <v>457</v>
      </c>
      <c r="B666" s="0" t="s">
        <v>27</v>
      </c>
      <c r="C666" s="13" t="n">
        <f aca="false">C665*(Units!C16+Units!D16)/2</f>
        <v>0.17543405707196</v>
      </c>
      <c r="D666" s="13" t="n">
        <f aca="false">D665*(Units!C16+Units!D16)/2</f>
        <v>0.286955334987593</v>
      </c>
      <c r="E666" s="13" t="n">
        <f aca="false">E665*(Units!C16+Units!D16)/2</f>
        <v>0.956735173697271</v>
      </c>
      <c r="F666" s="13" t="n">
        <f aca="false">F665*(Units!C16+Units!D16)/2</f>
        <v>1.94151370967742</v>
      </c>
      <c r="G666" s="13" t="n">
        <f aca="false">G665*(Units!D16+Units!E16)/2</f>
        <v>3.32353098753891</v>
      </c>
      <c r="H666" s="13" t="n">
        <f aca="false">H665*(Units!D16+Units!E16)/2</f>
        <v>3.75204573674775</v>
      </c>
      <c r="I666" s="13" t="n">
        <f aca="false">I665*(Units!D16+Units!E16)/2</f>
        <v>4.13429512081464</v>
      </c>
      <c r="J666" s="13" t="n">
        <f aca="false">J665*(Units!D16+Units!E16)/2</f>
        <v>4.37148485533195</v>
      </c>
      <c r="K666" s="13" t="n">
        <f aca="false">K665*(Units!E16+Units!F16)/2</f>
        <v>5.16163518420655</v>
      </c>
      <c r="L666" s="13" t="n">
        <f aca="false">L665*(Units!E16+Units!F16)/2</f>
        <v>5.07572118601366</v>
      </c>
      <c r="M666" s="13" t="n">
        <f aca="false">M665*(Units!E16+Units!F16)/2</f>
        <v>5.09857563716094</v>
      </c>
      <c r="N666" s="13" t="n">
        <f aca="false">N665*(Units!E16+Units!F16)/2</f>
        <v>5.12153299505153</v>
      </c>
      <c r="O666" s="13" t="n">
        <f aca="false">O665*(Units!F16+Units!G16)/2</f>
        <v>5.65525725199112</v>
      </c>
      <c r="P666" s="13" t="n">
        <f aca="false">P665*(Units!F16+Units!G16)/2</f>
        <v>5.68072118033831</v>
      </c>
      <c r="Q666" s="13" t="n">
        <f aca="false">Q665*(Units!F16+Units!G16)/2</f>
        <v>5.7409348830123</v>
      </c>
      <c r="R666" s="13" t="n">
        <f aca="false">R665*(Units!F16+Units!G16)/2</f>
        <v>5.85253895140195</v>
      </c>
      <c r="T666" s="5" t="s">
        <v>458</v>
      </c>
    </row>
    <row r="667" customFormat="false" ht="17.15" hidden="false" customHeight="false" outlineLevel="0" collapsed="false">
      <c r="A667" s="5" t="s">
        <v>459</v>
      </c>
      <c r="B667" s="0" t="s">
        <v>27</v>
      </c>
      <c r="C667" s="13" t="n">
        <f aca="false">C665-C666</f>
        <v>0.0935659429280397</v>
      </c>
      <c r="D667" s="13" t="n">
        <f aca="false">D665-D666</f>
        <v>0.153044665012407</v>
      </c>
      <c r="E667" s="13" t="n">
        <f aca="false">E665-E666</f>
        <v>0.51026482630273</v>
      </c>
      <c r="F667" s="13" t="n">
        <f aca="false">F665-F666</f>
        <v>1.03548629032258</v>
      </c>
      <c r="G667" s="13" t="n">
        <f aca="false">G665-G666</f>
        <v>0.868102694377567</v>
      </c>
      <c r="H667" s="13" t="n">
        <f aca="false">H665-H666</f>
        <v>0.980030282765779</v>
      </c>
      <c r="I667" s="13" t="n">
        <f aca="false">I665-I666</f>
        <v>1.07987340788686</v>
      </c>
      <c r="J667" s="13" t="n">
        <f aca="false">J665-J666</f>
        <v>1.1418271096532</v>
      </c>
      <c r="K667" s="13" t="n">
        <f aca="false">K665-K666</f>
        <v>0.959463335859709</v>
      </c>
      <c r="L667" s="13" t="n">
        <f aca="false">L665-L666</f>
        <v>0.943493332486474</v>
      </c>
      <c r="M667" s="13" t="n">
        <f aca="false">M665-M666</f>
        <v>0.947741600168022</v>
      </c>
      <c r="N667" s="13" t="n">
        <f aca="false">N665-N666</f>
        <v>0.952008996525601</v>
      </c>
      <c r="O667" s="13" t="n">
        <f aca="false">O665-O666</f>
        <v>0.881409888080571</v>
      </c>
      <c r="P667" s="13" t="n">
        <f aca="false">P665-P666</f>
        <v>0.885378612620321</v>
      </c>
      <c r="Q667" s="13" t="n">
        <f aca="false">Q665-Q666</f>
        <v>0.894763323265645</v>
      </c>
      <c r="R667" s="13" t="n">
        <f aca="false">R665-R666</f>
        <v>0.912157568132935</v>
      </c>
    </row>
    <row r="668" customFormat="false" ht="15" hidden="false" customHeight="false" outlineLevel="0" collapsed="false">
      <c r="A668" s="5" t="s">
        <v>460</v>
      </c>
      <c r="B668" s="0" t="s">
        <v>27</v>
      </c>
      <c r="C668" s="13" t="n">
        <f aca="false">q1_cs</f>
        <v>0.652</v>
      </c>
      <c r="D668" s="13" t="n">
        <f aca="false">q2_cs</f>
        <v>0.907</v>
      </c>
      <c r="E668" s="13" t="n">
        <f aca="false">q3_cs</f>
        <v>0.82</v>
      </c>
      <c r="F668" s="13" t="n">
        <f aca="false">q4_cs</f>
        <v>0.556</v>
      </c>
      <c r="G668" s="13" t="n">
        <f aca="false">G664*cssh_27</f>
        <v>0.661836897144706</v>
      </c>
      <c r="H668" s="13" t="n">
        <f aca="false">H664*cssh_27</f>
        <v>0.747169897817925</v>
      </c>
      <c r="I668" s="13" t="n">
        <f aca="false">I664*cssh_27</f>
        <v>0.82328976768971</v>
      </c>
      <c r="J668" s="13" t="n">
        <f aca="false">J664*cssh_27</f>
        <v>0.87052294183976</v>
      </c>
      <c r="K668" s="13" t="n">
        <f aca="false">K664*cssh_28</f>
        <v>0.874442645723751</v>
      </c>
      <c r="L668" s="13" t="n">
        <f aca="false">L664*cssh_28</f>
        <v>0.859887788357163</v>
      </c>
      <c r="M668" s="13" t="n">
        <f aca="false">M664*cssh_28</f>
        <v>0.863759605332708</v>
      </c>
      <c r="N668" s="13" t="n">
        <f aca="false">N664*cssh_28</f>
        <v>0.867648855939591</v>
      </c>
      <c r="O668" s="13" t="n">
        <f aca="false">O664*cssh_29</f>
        <v>0.871555618676226</v>
      </c>
      <c r="P668" s="13" t="n">
        <f aca="false">P664*cssh_29</f>
        <v>0.875479972394484</v>
      </c>
      <c r="Q668" s="13" t="n">
        <f aca="false">Q664*cssh_29</f>
        <v>0.88475976083706</v>
      </c>
      <c r="R668" s="13" t="n">
        <f aca="false">R664*cssh_29</f>
        <v>0.901959535937984</v>
      </c>
      <c r="T668" s="5" t="s">
        <v>461</v>
      </c>
    </row>
    <row r="669" customFormat="false" ht="15" hidden="false" customHeight="false" outlineLevel="0" collapsed="false">
      <c r="A669" s="5" t="s">
        <v>462</v>
      </c>
      <c r="B669" s="0" t="s">
        <v>27</v>
      </c>
      <c r="C669" s="13" t="n">
        <f aca="false">q1_ed</f>
        <v>1.387</v>
      </c>
      <c r="D669" s="13" t="n">
        <f aca="false">q2_ed</f>
        <v>1.678</v>
      </c>
      <c r="E669" s="13" t="n">
        <f aca="false">q3_ed</f>
        <v>3.663</v>
      </c>
      <c r="F669" s="13" t="n">
        <f aca="false">q4_ed</f>
        <v>5.432</v>
      </c>
      <c r="G669" s="13" t="n">
        <f aca="false">G664-G665-G668</f>
        <v>6.17714437335059</v>
      </c>
      <c r="H669" s="13" t="n">
        <f aca="false">H664-H665-H668</f>
        <v>6.9735857129673</v>
      </c>
      <c r="I669" s="13" t="n">
        <f aca="false">I664-I665-I668</f>
        <v>7.68403783177063</v>
      </c>
      <c r="J669" s="13" t="n">
        <f aca="false">J664-J665-J668</f>
        <v>8.12488079050442</v>
      </c>
      <c r="K669" s="13" t="n">
        <f aca="false">K664-K665-K668</f>
        <v>7.57850292960584</v>
      </c>
      <c r="L669" s="13" t="n">
        <f aca="false">L664-L665-L668</f>
        <v>7.45236083242874</v>
      </c>
      <c r="M669" s="13" t="n">
        <f aca="false">M664-M665-M668</f>
        <v>7.48591657955014</v>
      </c>
      <c r="N669" s="13" t="n">
        <f aca="false">N664-N665-N668</f>
        <v>7.51962341814312</v>
      </c>
      <c r="O669" s="13" t="n">
        <f aca="false">O664-O665-O668</f>
        <v>7.11770421918918</v>
      </c>
      <c r="P669" s="13" t="n">
        <f aca="false">P664-P665-P668</f>
        <v>7.14975310788828</v>
      </c>
      <c r="Q669" s="13" t="n">
        <f aca="false">Q664-Q665-Q668</f>
        <v>7.22553804683599</v>
      </c>
      <c r="R669" s="13" t="n">
        <f aca="false">R664-R665-R668</f>
        <v>7.36600287682687</v>
      </c>
      <c r="T669" s="5" t="s">
        <v>463</v>
      </c>
    </row>
    <row r="670" customFormat="false" ht="15" hidden="false" customHeight="false" outlineLevel="0" collapsed="false">
      <c r="A670" s="5" t="s">
        <v>464</v>
      </c>
      <c r="B670" s="0" t="s">
        <v>27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465</v>
      </c>
      <c r="B671" s="0" t="s">
        <v>466</v>
      </c>
      <c r="C671" s="19" t="n">
        <f aca="false">C672/C663</f>
        <v>0.0520045391183812</v>
      </c>
      <c r="D671" s="19" t="n">
        <f aca="false">D672/D663</f>
        <v>0.0443170902760084</v>
      </c>
      <c r="E671" s="19" t="n">
        <f aca="false">E672/E663</f>
        <v>0.0337594565796481</v>
      </c>
      <c r="F671" s="19" t="n">
        <f aca="false">F672/F663</f>
        <v>0.0410685412637144</v>
      </c>
      <c r="G671" s="19" t="n">
        <f aca="false">(1-g_gm)*G664/G663</f>
        <v>0.049900535931346</v>
      </c>
      <c r="H671" s="19" t="n">
        <f aca="false">$G671*(1-cd_A)^(1/4)</f>
        <v>0.0480540308412442</v>
      </c>
      <c r="I671" s="19" t="n">
        <f aca="false">$G671*(1-cd_A)^(2/4)</f>
        <v>0.0462758532948078</v>
      </c>
      <c r="J671" s="19" t="n">
        <f aca="false">$G671*(1-cd_A)^(3/4)</f>
        <v>0.0445634749192484</v>
      </c>
      <c r="K671" s="19" t="n">
        <f aca="false">$G671*(1-cd_A)^(4/4)</f>
        <v>0.0429144609009575</v>
      </c>
      <c r="L671" s="19" t="n">
        <f aca="false">$G671*(1-cd_A)^(5/4)</f>
        <v>0.04132646652347</v>
      </c>
      <c r="M671" s="19" t="n">
        <f aca="false">$G671*(1-cd_A)^(6/4)</f>
        <v>0.0397972338335347</v>
      </c>
      <c r="N671" s="19" t="n">
        <f aca="false">$G671*(1-cd_A)^(7/4)</f>
        <v>0.0383245884305536</v>
      </c>
      <c r="O671" s="19" t="n">
        <f aca="false">$G671*(1-cd_A)^(8/4)</f>
        <v>0.0369064363748235</v>
      </c>
      <c r="P671" s="19" t="n">
        <f aca="false">$G671*(1-cd_A)^(9/4)</f>
        <v>0.0355407612101842</v>
      </c>
      <c r="Q671" s="19" t="n">
        <f aca="false">$G671*(1-cd_A)^(10/4)</f>
        <v>0.0342256210968399</v>
      </c>
      <c r="R671" s="19" t="n">
        <f aca="false">$G671*(1-cd_A)^(11/4)</f>
        <v>0.0329591460502761</v>
      </c>
    </row>
    <row r="672" customFormat="false" ht="15" hidden="false" customHeight="false" outlineLevel="0" collapsed="false">
      <c r="A672" s="5" t="s">
        <v>467</v>
      </c>
      <c r="B672" s="0" t="s">
        <v>27</v>
      </c>
      <c r="C672" s="13" t="n">
        <f aca="false">q1_rev*(1-q1_gm)</f>
        <v>1.620216</v>
      </c>
      <c r="D672" s="13" t="n">
        <f aca="false">q2_rev*(1-q2_gm)</f>
        <v>1.485275</v>
      </c>
      <c r="E672" s="13" t="n">
        <f aca="false">q3_rev*(1-q3_gm)</f>
        <v>1.2852</v>
      </c>
      <c r="F672" s="13" t="n">
        <f aca="false">q4_rev*(1-q4_gm)</f>
        <v>1.38061</v>
      </c>
      <c r="G672" s="13" t="n">
        <f aca="false">G663*G671</f>
        <v>1.65128305837604</v>
      </c>
      <c r="H672" s="13" t="n">
        <f aca="false">H663*H671</f>
        <v>1.66069101290866</v>
      </c>
      <c r="I672" s="13" t="n">
        <f aca="false">I663*I671</f>
        <v>1.71084070538025</v>
      </c>
      <c r="J672" s="13" t="n">
        <f aca="false">J663*J671</f>
        <v>1.7420543115931</v>
      </c>
      <c r="K672" s="13" t="n">
        <f aca="false">K663*K671</f>
        <v>1.77383739760017</v>
      </c>
      <c r="L672" s="13" t="n">
        <f aca="false">L663*L671</f>
        <v>1.80620035333311</v>
      </c>
      <c r="M672" s="13" t="n">
        <f aca="false">M663*M671</f>
        <v>1.83915375828377</v>
      </c>
      <c r="N672" s="13" t="n">
        <f aca="false">N663*N671</f>
        <v>1.87270838496259</v>
      </c>
      <c r="O672" s="13" t="n">
        <f aca="false">O663*O671</f>
        <v>1.90687520242018</v>
      </c>
      <c r="P672" s="13" t="n">
        <f aca="false">P663*P671</f>
        <v>1.94166537983309</v>
      </c>
      <c r="Q672" s="13" t="n">
        <f aca="false">Q663*Q671</f>
        <v>1.94807831799005</v>
      </c>
      <c r="R672" s="13" t="n">
        <f aca="false">R663*R671</f>
        <v>1.97160986812469</v>
      </c>
    </row>
    <row r="673" customFormat="false" ht="15" hidden="false" customHeight="false" outlineLevel="0" collapsed="false">
      <c r="A673" s="5" t="s">
        <v>423</v>
      </c>
      <c r="B673" s="0" t="s">
        <v>33</v>
      </c>
      <c r="C673" s="14" t="n">
        <f aca="false">1-C672/C664</f>
        <v>0.298</v>
      </c>
      <c r="D673" s="14" t="n">
        <f aca="false">1-D672/D664</f>
        <v>0.509</v>
      </c>
      <c r="E673" s="14" t="n">
        <f aca="false">1-E672/E664</f>
        <v>0.784</v>
      </c>
      <c r="F673" s="14" t="n">
        <f aca="false">1-F672/F664</f>
        <v>0.846</v>
      </c>
      <c r="G673" s="14" t="n">
        <f aca="false">1-G672/G664</f>
        <v>0.8503</v>
      </c>
      <c r="H673" s="14" t="n">
        <f aca="false">1-H672/H664</f>
        <v>0.866641494704862</v>
      </c>
      <c r="I673" s="14" t="n">
        <f aca="false">1-I672/I664</f>
        <v>0.875316751948868</v>
      </c>
      <c r="J673" s="14" t="n">
        <f aca="false">1-J672/J664</f>
        <v>0.879930495025568</v>
      </c>
      <c r="K673" s="14" t="n">
        <f aca="false">1-K672/K664</f>
        <v>0.878287907873111</v>
      </c>
      <c r="L673" s="14" t="n">
        <f aca="false">1-L672/L664</f>
        <v>0.873969577580542</v>
      </c>
      <c r="M673" s="14" t="n">
        <f aca="false">1-M672/M664</f>
        <v>0.872245443274091</v>
      </c>
      <c r="N673" s="14" t="n">
        <f aca="false">1-N672/N664</f>
        <v>0.870497722288729</v>
      </c>
      <c r="O673" s="14" t="n">
        <f aca="false">1-O672/O664</f>
        <v>0.868726091951553</v>
      </c>
      <c r="P673" s="14" t="n">
        <f aca="false">1-P672/P664</f>
        <v>0.866930225175395</v>
      </c>
      <c r="Q673" s="14" t="n">
        <f aca="false">1-Q672/Q664</f>
        <v>0.867891031833523</v>
      </c>
      <c r="R673" s="14" t="n">
        <f aca="false">1-R672/R664</f>
        <v>0.868844901157944</v>
      </c>
    </row>
    <row r="674" customFormat="false" ht="17.15" hidden="false" customHeight="false" outlineLevel="0" collapsed="false">
      <c r="A674" s="5" t="s">
        <v>468</v>
      </c>
      <c r="B674" s="0" t="s">
        <v>27</v>
      </c>
      <c r="C674" s="13" t="n">
        <f aca="false">q1_rev-q1_rev*(1-q1_gm)-q1_op</f>
        <v>0.511784</v>
      </c>
      <c r="D674" s="13" t="n">
        <f aca="false">q2_rev-q2_rev*(1-q2_gm)-q2_op</f>
        <v>0.474725</v>
      </c>
      <c r="E674" s="13" t="n">
        <f aca="false">q3_rev-q3_rev*(1-q3_gm)-q3_op</f>
        <v>0.553800000000001</v>
      </c>
      <c r="F674" s="13" t="n">
        <f aca="false">q4_rev-q4_rev*(1-q4_gm)-q4_op</f>
        <v>0.54739</v>
      </c>
      <c r="G674" s="13" t="n">
        <f aca="false">(g_ox-ox_var*g_rev)*(1+ox_g)^(0/4)+ox_var*G664</f>
        <v>0.581996149524118</v>
      </c>
      <c r="H674" s="13" t="n">
        <f aca="false">(g_ox-ox_var*g_rev)*(1+ox_g)^(1/4)+ox_var*H664</f>
        <v>0.607592502307229</v>
      </c>
      <c r="I674" s="13" t="n">
        <f aca="false">(g_ox-ox_var*g_rev)*(1+ox_g)^(2/4)+ox_var*I664</f>
        <v>0.631927606874997</v>
      </c>
      <c r="J674" s="13" t="n">
        <f aca="false">(g_ox-ox_var*g_rev)*(1+ox_g)^(3/4)+ox_var*J664</f>
        <v>0.651729149488654</v>
      </c>
      <c r="K674" s="13" t="n">
        <f aca="false">(g_ox-ox_var*g_rev)*(1+ox_g)^(4/4)+ox_var*K664</f>
        <v>0.664599440953958</v>
      </c>
      <c r="L674" s="13" t="n">
        <f aca="false">(g_ox-ox_var*g_rev)*(1+ox_g)^(5/4)+ox_var*L664</f>
        <v>0.674685235997527</v>
      </c>
      <c r="M674" s="13" t="n">
        <f aca="false">(g_ox-ox_var*g_rev)*(1+ox_g)^(6/4)+ox_var*M664</f>
        <v>0.688143844374835</v>
      </c>
      <c r="N674" s="13" t="n">
        <f aca="false">(g_ox-ox_var*g_rev)*(1+ox_g)^(7/4)+ox_var*N664</f>
        <v>0.701914334423495</v>
      </c>
      <c r="O674" s="13" t="n">
        <f aca="false">(g_ox-ox_var*g_rev)*(1+ox_g)^(8/4)+ox_var*O664</f>
        <v>0.716004169779371</v>
      </c>
      <c r="P674" s="13" t="n">
        <f aca="false">(g_ox-ox_var*g_rev)*(1+ox_g)^(9/4)+ox_var*P664</f>
        <v>0.730420993797547</v>
      </c>
      <c r="Q674" s="13" t="n">
        <f aca="false">(g_ox-ox_var*g_rev)*(1+ox_g)^(10/4)+ox_var*Q664</f>
        <v>0.746062261307498</v>
      </c>
      <c r="R674" s="13" t="n">
        <f aca="false">(g_ox-ox_var*g_rev)*(1+ox_g)^(11/4)+ox_var*R664</f>
        <v>0.763363400266584</v>
      </c>
      <c r="T674" s="5" t="s">
        <v>469</v>
      </c>
    </row>
    <row r="675" customFormat="false" ht="15" hidden="false" customHeight="false" outlineLevel="0" collapsed="false">
      <c r="A675" s="5" t="s">
        <v>424</v>
      </c>
      <c r="B675" s="0" t="s">
        <v>27</v>
      </c>
      <c r="C675" s="13" t="n">
        <f aca="false">C664-C672-C674</f>
        <v>0.176</v>
      </c>
      <c r="D675" s="13" t="n">
        <f aca="false">D664-D672-D674</f>
        <v>1.065</v>
      </c>
      <c r="E675" s="13" t="n">
        <f aca="false">E664-E672-E674</f>
        <v>4.111</v>
      </c>
      <c r="F675" s="13" t="n">
        <f aca="false">F664-F672-F674</f>
        <v>7.037</v>
      </c>
      <c r="G675" s="13" t="n">
        <f aca="false">G664-G672-G674</f>
        <v>8.79733574451161</v>
      </c>
      <c r="H675" s="13" t="n">
        <f aca="false">H664-H672-H674</f>
        <v>10.1845481150829</v>
      </c>
      <c r="I675" s="13" t="n">
        <f aca="false">I664-I672-I674</f>
        <v>11.3787278159066</v>
      </c>
      <c r="J675" s="13" t="n">
        <f aca="false">J664-J672-J674</f>
        <v>12.1149322362476</v>
      </c>
      <c r="K675" s="13" t="n">
        <f aca="false">K664-K672-K674</f>
        <v>12.1356072568417</v>
      </c>
      <c r="L675" s="13" t="n">
        <f aca="false">L664-L672-L674</f>
        <v>11.8505775499554</v>
      </c>
      <c r="M675" s="13" t="n">
        <f aca="false">M664-M672-M674</f>
        <v>11.8686958195532</v>
      </c>
      <c r="N675" s="13" t="n">
        <f aca="false">N664-N672-N674</f>
        <v>11.8861915462738</v>
      </c>
      <c r="O675" s="13" t="n">
        <f aca="false">O664-O672-O674</f>
        <v>11.9030476057375</v>
      </c>
      <c r="P675" s="13" t="n">
        <f aca="false">P664-P672-P674</f>
        <v>11.9192464996108</v>
      </c>
      <c r="Q675" s="13" t="n">
        <f aca="false">Q664-Q672-Q674</f>
        <v>12.0518554346534</v>
      </c>
      <c r="R675" s="13" t="n">
        <f aca="false">R664-R672-R674</f>
        <v>12.2976856639085</v>
      </c>
    </row>
    <row r="677" customFormat="false" ht="17.15" hidden="false" customHeight="false" outlineLevel="0" collapsed="false">
      <c r="A677" s="5" t="s">
        <v>426</v>
      </c>
      <c r="B677" s="0" t="s">
        <v>27</v>
      </c>
      <c r="C677" s="13" t="n">
        <f aca="false">q1_ni</f>
        <v>0.112</v>
      </c>
      <c r="D677" s="13" t="n">
        <f aca="false">q2_ni</f>
        <v>0.803</v>
      </c>
      <c r="E677" s="13" t="n">
        <f aca="false">q3_ni</f>
        <v>3.615</v>
      </c>
      <c r="F677" s="13" t="n">
        <f aca="false">q4_ni</f>
        <v>6.903</v>
      </c>
      <c r="G677" s="13" t="n">
        <f aca="false">(G675+rf*$D698/4)*(1-tax)</f>
        <v>7.51821238283487</v>
      </c>
      <c r="H677" s="13" t="n">
        <f aca="false">(H675+rf*$D698/4)*(1-tax)</f>
        <v>8.69734289782044</v>
      </c>
      <c r="I677" s="13" t="n">
        <f aca="false">(I675+rf*$D698/4)*(1-tax)</f>
        <v>9.7123956435206</v>
      </c>
      <c r="J677" s="13" t="n">
        <f aca="false">(J675+rf*$D698/4)*(1-tax)</f>
        <v>10.3381694008104</v>
      </c>
      <c r="K677" s="13" t="n">
        <f aca="false">(K675+rf*$E698/4)*(1-tax)</f>
        <v>10.5540168081974</v>
      </c>
      <c r="L677" s="13" t="n">
        <f aca="false">(L675+rf*$E698/4)*(1-tax)</f>
        <v>10.311741557344</v>
      </c>
      <c r="M677" s="13" t="n">
        <f aca="false">(M675+rf*$E698/4)*(1-tax)</f>
        <v>10.3271420865022</v>
      </c>
      <c r="N677" s="13" t="n">
        <f aca="false">(N675+rf*$E698/4)*(1-tax)</f>
        <v>10.3420134542146</v>
      </c>
      <c r="O677" s="13" t="n">
        <f aca="false">(O675+rf*$F698/4)*(1-tax)</f>
        <v>10.5838046960737</v>
      </c>
      <c r="P677" s="13" t="n">
        <f aca="false">(P675+rf*$F698/4)*(1-tax)</f>
        <v>10.597573755866</v>
      </c>
      <c r="Q677" s="13" t="n">
        <f aca="false">(Q675+rf*$F698/4)*(1-tax)</f>
        <v>10.7102913506523</v>
      </c>
      <c r="R677" s="13" t="n">
        <f aca="false">(R675+rf*$F698/4)*(1-tax)</f>
        <v>10.919247045519</v>
      </c>
      <c r="T677" s="5" t="s">
        <v>470</v>
      </c>
    </row>
    <row r="678" customFormat="false" ht="17.15" hidden="false" customHeight="false" outlineLevel="0" collapsed="false">
      <c r="A678" s="5" t="s">
        <v>471</v>
      </c>
      <c r="B678" s="0" t="s">
        <v>40</v>
      </c>
      <c r="G678" s="15" t="n">
        <f aca="false">G677/(sh0+dil)*1000</f>
        <v>49.7894859790389</v>
      </c>
      <c r="H678" s="15" t="n">
        <f aca="false">H677/(sh0+dil)*1000</f>
        <v>57.5982973365592</v>
      </c>
      <c r="I678" s="15" t="n">
        <f aca="false">I677/(sh0+dil)*1000</f>
        <v>64.3205009504675</v>
      </c>
      <c r="J678" s="15" t="n">
        <f aca="false">J677/(sh0+dil)*1000</f>
        <v>68.4646980186121</v>
      </c>
      <c r="K678" s="15" t="n">
        <f aca="false">K677/(sh0+dil)*1000</f>
        <v>69.894151047665</v>
      </c>
      <c r="L678" s="15" t="n">
        <f aca="false">L677/(sh0+dil)*1000</f>
        <v>68.2896791877089</v>
      </c>
      <c r="M678" s="15" t="n">
        <f aca="false">M677/(sh0+dil)*1000</f>
        <v>68.3916694470342</v>
      </c>
      <c r="N678" s="15" t="n">
        <f aca="false">N677/(sh0+dil)*1000</f>
        <v>68.4901553259248</v>
      </c>
      <c r="O678" s="15" t="n">
        <f aca="false">O677/(sh0+dil)*1000</f>
        <v>70.0914218283029</v>
      </c>
      <c r="P678" s="15" t="n">
        <f aca="false">P677/(sh0+dil)*1000</f>
        <v>70.1826076547415</v>
      </c>
      <c r="Q678" s="15" t="n">
        <f aca="false">Q677/(sh0+dil)*1000</f>
        <v>70.929081792399</v>
      </c>
      <c r="R678" s="15" t="n">
        <f aca="false">R677/(sh0+dil)*1000</f>
        <v>72.3128943411856</v>
      </c>
    </row>
    <row r="680" customFormat="false" ht="17.15" hidden="false" customHeight="false" outlineLevel="0" collapsed="false">
      <c r="A680" s="12" t="s">
        <v>472</v>
      </c>
      <c r="B680" s="6" t="s">
        <v>17</v>
      </c>
      <c r="C680" s="12" t="s">
        <v>413</v>
      </c>
      <c r="D680" s="12" t="s">
        <v>414</v>
      </c>
      <c r="E680" s="12" t="s">
        <v>415</v>
      </c>
      <c r="F680" s="12" t="s">
        <v>416</v>
      </c>
      <c r="G680" s="12" t="s">
        <v>417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321</v>
      </c>
    </row>
    <row r="681" customFormat="false" ht="15" hidden="false" customHeight="false" outlineLevel="0" collapsed="false">
      <c r="A681" s="5" t="s">
        <v>344</v>
      </c>
      <c r="B681" s="0" t="s">
        <v>27</v>
      </c>
      <c r="C681" s="13" t="n">
        <f aca="false">a25_rev</f>
        <v>7.355</v>
      </c>
      <c r="D681" s="13" t="n">
        <f aca="false">SUM(C664:F664)</f>
        <v>20.248</v>
      </c>
      <c r="E681" s="13" t="n">
        <f aca="false">SUM(G664:J664)</f>
        <v>51.7136584082017</v>
      </c>
      <c r="F681" s="13" t="n">
        <f aca="false">SUM(K664:N664)</f>
        <v>57.7623149225535</v>
      </c>
      <c r="G681" s="13" t="n">
        <f aca="false">SUM(O664:R664)</f>
        <v>58.8959147974292</v>
      </c>
    </row>
    <row r="682" customFormat="false" ht="15" hidden="false" customHeight="false" outlineLevel="0" collapsed="false">
      <c r="A682" s="5" t="s">
        <v>473</v>
      </c>
      <c r="B682" s="0" t="s">
        <v>27</v>
      </c>
      <c r="D682" s="13" t="n">
        <f aca="false">SUM(C665:F665)</f>
        <v>5.153</v>
      </c>
      <c r="E682" s="13" t="n">
        <f aca="false">SUM(G665:J665)</f>
        <v>19.6511901951166</v>
      </c>
      <c r="F682" s="13" t="n">
        <f aca="false">SUM(K665:N665)</f>
        <v>24.2601722674725</v>
      </c>
      <c r="G682" s="13" t="n">
        <f aca="false">SUM(O665:R665)</f>
        <v>26.5031616588432</v>
      </c>
    </row>
    <row r="683" customFormat="false" ht="17.15" hidden="false" customHeight="false" outlineLevel="0" collapsed="false">
      <c r="A683" s="5" t="s">
        <v>474</v>
      </c>
      <c r="B683" s="0" t="s">
        <v>27</v>
      </c>
      <c r="D683" s="13" t="n">
        <f aca="false">SUM(C666:F666)</f>
        <v>3.36063827543424</v>
      </c>
      <c r="E683" s="13" t="n">
        <f aca="false">SUM(G666:J666)</f>
        <v>15.5813567004332</v>
      </c>
      <c r="F683" s="13" t="n">
        <f aca="false">SUM(K666:N666)</f>
        <v>20.4574650024327</v>
      </c>
      <c r="G683" s="13" t="n">
        <f aca="false">SUM(O666:R666)</f>
        <v>22.9294522667437</v>
      </c>
    </row>
    <row r="684" customFormat="false" ht="15" hidden="false" customHeight="false" outlineLevel="0" collapsed="false">
      <c r="A684" s="5" t="s">
        <v>475</v>
      </c>
      <c r="B684" s="0" t="s">
        <v>27</v>
      </c>
      <c r="D684" s="13" t="n">
        <f aca="false">SUM(C669:F669)</f>
        <v>12.16</v>
      </c>
      <c r="E684" s="13" t="n">
        <f aca="false">SUM(G669:J669)</f>
        <v>28.9596487085929</v>
      </c>
      <c r="F684" s="13" t="n">
        <f aca="false">SUM(K669:N669)</f>
        <v>30.0364037597278</v>
      </c>
      <c r="G684" s="13" t="n">
        <f aca="false">SUM(O669:R669)</f>
        <v>28.8589982507403</v>
      </c>
    </row>
    <row r="685" customFormat="false" ht="15" hidden="false" customHeight="false" outlineLevel="0" collapsed="false">
      <c r="A685" s="5" t="s">
        <v>476</v>
      </c>
      <c r="B685" s="0" t="s">
        <v>27</v>
      </c>
      <c r="D685" s="13" t="n">
        <f aca="false">SUM(C668:F668)</f>
        <v>2.935</v>
      </c>
      <c r="E685" s="13" t="n">
        <f aca="false">SUM(G668:J668)</f>
        <v>3.1028195044921</v>
      </c>
      <c r="F685" s="13" t="n">
        <f aca="false">SUM(K668:N668)</f>
        <v>3.46573889535321</v>
      </c>
      <c r="G685" s="13" t="n">
        <f aca="false">SUM(O668:R668)</f>
        <v>3.53375488784575</v>
      </c>
    </row>
    <row r="686" customFormat="false" ht="17.15" hidden="false" customHeight="false" outlineLevel="0" collapsed="false">
      <c r="A686" s="5" t="s">
        <v>477</v>
      </c>
      <c r="B686" s="0" t="s">
        <v>27</v>
      </c>
      <c r="D686" s="18" t="n">
        <f aca="false">D682+D684+D685-D681+ABS(D682-a26_dc)+ABS(D684-a26_ed)+ABS(D685-a26_cs)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467</v>
      </c>
      <c r="B687" s="0" t="s">
        <v>27</v>
      </c>
      <c r="D687" s="13" t="n">
        <f aca="false">SUM(C672:F672)</f>
        <v>5.771301</v>
      </c>
      <c r="E687" s="13" t="n">
        <f aca="false">SUM(G672:J672)</f>
        <v>6.76486908825806</v>
      </c>
      <c r="F687" s="13" t="n">
        <f aca="false">SUM(K672:N672)</f>
        <v>7.29189989417963</v>
      </c>
      <c r="G687" s="13" t="n">
        <f aca="false">SUM(O672:R672)</f>
        <v>7.76822876836801</v>
      </c>
    </row>
    <row r="688" customFormat="false" ht="15" hidden="false" customHeight="false" outlineLevel="0" collapsed="false">
      <c r="A688" s="5" t="s">
        <v>423</v>
      </c>
      <c r="B688" s="0" t="s">
        <v>33</v>
      </c>
      <c r="D688" s="14" t="n">
        <f aca="false">1-D687/D681</f>
        <v>0.714969330304228</v>
      </c>
      <c r="E688" s="14" t="n">
        <f aca="false">1-E687/E681</f>
        <v>0.869186027512121</v>
      </c>
      <c r="F688" s="14" t="n">
        <f aca="false">1-F687/F681</f>
        <v>0.873760255212132</v>
      </c>
      <c r="G688" s="14" t="n">
        <f aca="false">1-G687/G681</f>
        <v>0.868102417712899</v>
      </c>
    </row>
    <row r="689" customFormat="false" ht="15" hidden="false" customHeight="false" outlineLevel="0" collapsed="false">
      <c r="A689" s="5" t="s">
        <v>468</v>
      </c>
      <c r="B689" s="0" t="s">
        <v>27</v>
      </c>
      <c r="D689" s="13" t="n">
        <f aca="false">SUM(C674:F674)</f>
        <v>2.087699</v>
      </c>
      <c r="E689" s="13" t="n">
        <f aca="false">SUM(G674:J674)</f>
        <v>2.473245408195</v>
      </c>
      <c r="F689" s="13" t="n">
        <f aca="false">SUM(K674:N674)</f>
        <v>2.72934285574982</v>
      </c>
      <c r="G689" s="13" t="n">
        <f aca="false">SUM(O674:R674)</f>
        <v>2.955850825151</v>
      </c>
    </row>
    <row r="690" customFormat="false" ht="15" hidden="false" customHeight="false" outlineLevel="0" collapsed="false">
      <c r="A690" s="5" t="s">
        <v>424</v>
      </c>
      <c r="B690" s="0" t="s">
        <v>27</v>
      </c>
      <c r="D690" s="13" t="n">
        <f aca="false">SUM(C675:F675)</f>
        <v>12.389</v>
      </c>
      <c r="E690" s="13" t="n">
        <f aca="false">SUM(G675:J675)</f>
        <v>42.4755439117486</v>
      </c>
      <c r="F690" s="13" t="n">
        <f aca="false">SUM(K675:N675)</f>
        <v>47.7410721726241</v>
      </c>
      <c r="G690" s="13" t="n">
        <f aca="false">SUM(O675:R675)</f>
        <v>48.1718352039102</v>
      </c>
    </row>
    <row r="691" customFormat="false" ht="15" hidden="false" customHeight="false" outlineLevel="0" collapsed="false">
      <c r="A691" s="5" t="s">
        <v>425</v>
      </c>
      <c r="B691" s="0" t="s">
        <v>33</v>
      </c>
      <c r="D691" s="14" t="n">
        <f aca="false">D690/D681</f>
        <v>0.61186290003951</v>
      </c>
      <c r="E691" s="14" t="n">
        <f aca="false">E690/E681</f>
        <v>0.821360259923365</v>
      </c>
      <c r="F691" s="14" t="n">
        <f aca="false">F690/F681</f>
        <v>0.826508983177601</v>
      </c>
      <c r="G691" s="14" t="n">
        <f aca="false">G690/G681</f>
        <v>0.817914712244403</v>
      </c>
    </row>
    <row r="692" customFormat="false" ht="15" hidden="false" customHeight="false" outlineLevel="0" collapsed="false">
      <c r="A692" s="5" t="s">
        <v>426</v>
      </c>
      <c r="B692" s="0" t="s">
        <v>27</v>
      </c>
      <c r="C692" s="13" t="n">
        <f aca="false">a25_ni</f>
        <v>-1.641</v>
      </c>
      <c r="D692" s="13" t="n">
        <f aca="false">SUM(C677:F677)</f>
        <v>11.433</v>
      </c>
      <c r="E692" s="13" t="n">
        <f aca="false">SUM(G677:J677)</f>
        <v>36.2661203249863</v>
      </c>
      <c r="F692" s="13" t="n">
        <f aca="false">SUM(K677:N677)</f>
        <v>41.5349139062583</v>
      </c>
      <c r="G692" s="13" t="n">
        <f aca="false">SUM(O677:R677)</f>
        <v>42.810916848111</v>
      </c>
    </row>
    <row r="693" customFormat="false" ht="15" hidden="false" customHeight="false" outlineLevel="0" collapsed="false">
      <c r="A693" s="5" t="s">
        <v>478</v>
      </c>
      <c r="B693" s="0" t="s">
        <v>27</v>
      </c>
      <c r="D693" s="13" t="n">
        <f aca="false">da_y</f>
        <v>0.16</v>
      </c>
      <c r="E693" s="13" t="n">
        <f aca="false">da_y</f>
        <v>0.16</v>
      </c>
      <c r="F693" s="13" t="n">
        <f aca="false">da_y</f>
        <v>0.16</v>
      </c>
      <c r="G693" s="13" t="n">
        <f aca="false">da_y</f>
        <v>0.16</v>
      </c>
    </row>
    <row r="694" customFormat="false" ht="17.15" hidden="false" customHeight="false" outlineLevel="0" collapsed="false">
      <c r="A694" s="5" t="s">
        <v>479</v>
      </c>
      <c r="B694" s="0" t="s">
        <v>27</v>
      </c>
      <c r="D694" s="13" t="n">
        <v>0.562</v>
      </c>
      <c r="E694" s="13" t="n">
        <f aca="false">cap_r*E681</f>
        <v>3.1028195044921</v>
      </c>
      <c r="F694" s="13" t="n">
        <f aca="false">cap_r*F681</f>
        <v>3.46573889535321</v>
      </c>
      <c r="G694" s="13" t="n">
        <f aca="false">cap_r*G681</f>
        <v>3.53375488784575</v>
      </c>
      <c r="T694" s="8" t="s">
        <v>480</v>
      </c>
    </row>
    <row r="695" customFormat="false" ht="15" hidden="false" customHeight="false" outlineLevel="0" collapsed="false">
      <c r="A695" s="5" t="s">
        <v>481</v>
      </c>
      <c r="B695" s="0" t="s">
        <v>27</v>
      </c>
      <c r="D695" s="13" t="n">
        <f aca="false">D692+D693-D694</f>
        <v>11.031</v>
      </c>
      <c r="E695" s="13" t="n">
        <f aca="false">E692+E693-E694</f>
        <v>33.3233008204942</v>
      </c>
      <c r="F695" s="13" t="n">
        <f aca="false">F692+F693-F694</f>
        <v>38.229175010905</v>
      </c>
      <c r="G695" s="13" t="n">
        <f aca="false">G692+G693-G694</f>
        <v>39.4371619602652</v>
      </c>
    </row>
    <row r="696" customFormat="false" ht="17.15" hidden="false" customHeight="false" outlineLevel="0" collapsed="false">
      <c r="A696" s="5" t="s">
        <v>482</v>
      </c>
      <c r="B696" s="0" t="s">
        <v>27</v>
      </c>
      <c r="D696" s="13" t="n">
        <v>4.524</v>
      </c>
      <c r="E696" s="13" t="n">
        <f aca="false">MAX(0,payout_lo*E695)</f>
        <v>9.99699024614827</v>
      </c>
      <c r="F696" s="13" t="n">
        <f aca="false">MAX(0,payout_lo*F695)</f>
        <v>11.4687525032715</v>
      </c>
      <c r="G696" s="13" t="n">
        <f aca="false">MAX(0,payout_lo*G695)</f>
        <v>11.8311485880796</v>
      </c>
      <c r="T696" s="8" t="s">
        <v>483</v>
      </c>
    </row>
    <row r="697" customFormat="false" ht="15" hidden="false" customHeight="false" outlineLevel="0" collapsed="false">
      <c r="A697" s="5" t="s">
        <v>484</v>
      </c>
      <c r="B697" s="0" t="s">
        <v>27</v>
      </c>
      <c r="D697" s="13" t="n">
        <f aca="false">eq0</f>
        <v>15.736</v>
      </c>
      <c r="E697" s="13" t="n">
        <f aca="false">D697+E692-E696</f>
        <v>42.0051300788381</v>
      </c>
      <c r="F697" s="13" t="n">
        <f aca="false">E697+F692-F696</f>
        <v>72.0712914818248</v>
      </c>
      <c r="G697" s="13" t="n">
        <f aca="false">F697+G692-G696</f>
        <v>103.051059741856</v>
      </c>
    </row>
    <row r="698" customFormat="false" ht="15" hidden="false" customHeight="false" outlineLevel="0" collapsed="false">
      <c r="A698" s="5" t="s">
        <v>485</v>
      </c>
      <c r="B698" s="0" t="s">
        <v>27</v>
      </c>
      <c r="D698" s="13" t="n">
        <f aca="false">nc0</f>
        <v>4.762</v>
      </c>
      <c r="E698" s="13" t="n">
        <f aca="false">D698+E695-E696</f>
        <v>28.088310574346</v>
      </c>
      <c r="F698" s="13" t="n">
        <f aca="false">E698+F695-F696</f>
        <v>54.8487330819795</v>
      </c>
      <c r="G698" s="13" t="n">
        <f aca="false">F698+G695-G696</f>
        <v>82.4547464541651</v>
      </c>
    </row>
    <row r="699" customFormat="false" ht="15" hidden="false" customHeight="false" outlineLevel="0" collapsed="false">
      <c r="A699" s="5" t="s">
        <v>486</v>
      </c>
      <c r="B699" s="5" t="s">
        <v>152</v>
      </c>
      <c r="D699" s="20" t="n">
        <f aca="false">sh0</f>
        <v>146.42</v>
      </c>
      <c r="E699" s="20" t="n">
        <f aca="false">D699-E696/bb_px*1000</f>
        <v>138.345082392068</v>
      </c>
      <c r="F699" s="20" t="n">
        <f aca="false">E699-F696/bb_px*1000</f>
        <v>129.081371090022</v>
      </c>
      <c r="G699" s="20" t="n">
        <f aca="false">F699-G696/bb_px*1000</f>
        <v>119.524939833849</v>
      </c>
    </row>
    <row r="700" customFormat="false" ht="17.15" hidden="false" customHeight="false" outlineLevel="0" collapsed="false">
      <c r="A700" s="0" t="s">
        <v>487</v>
      </c>
      <c r="B700" s="0" t="s">
        <v>40</v>
      </c>
      <c r="C700" s="15" t="n">
        <f aca="false">a25_eps</f>
        <v>-11.32</v>
      </c>
      <c r="D700" s="15" t="n">
        <f aca="false">a26_eps</f>
        <v>73.76</v>
      </c>
      <c r="E700" s="15" t="n">
        <f aca="false">E692/(E699+dil)*1000</f>
        <v>253.74216840052</v>
      </c>
      <c r="F700" s="15" t="n">
        <f aca="false">F692/(F699+dil)*1000</f>
        <v>310.747327874439</v>
      </c>
      <c r="G700" s="15" t="n">
        <f aca="false">G692/(G699+dil)*1000</f>
        <v>344.957395776718</v>
      </c>
    </row>
    <row r="701" customFormat="false" ht="17.15" hidden="false" customHeight="false" outlineLevel="0" collapsed="false">
      <c r="A701" s="5" t="s">
        <v>488</v>
      </c>
      <c r="B701" s="0" t="s">
        <v>40</v>
      </c>
      <c r="D701" s="15" t="n">
        <f aca="false">D697/D699*1000</f>
        <v>107.471656877476</v>
      </c>
      <c r="E701" s="15" t="n">
        <f aca="false">E697/E699*1000</f>
        <v>303.625754906099</v>
      </c>
      <c r="F701" s="15" t="n">
        <f aca="false">F697/F699*1000</f>
        <v>558.339990296213</v>
      </c>
      <c r="G701" s="15" t="n">
        <f aca="false">G697/G699*1000</f>
        <v>862.172027738367</v>
      </c>
    </row>
    <row r="702" customFormat="false" ht="17.15" hidden="false" customHeight="false" outlineLevel="0" collapsed="false">
      <c r="A702" s="0" t="s">
        <v>489</v>
      </c>
      <c r="B702" s="0" t="s">
        <v>33</v>
      </c>
      <c r="D702" s="21" t="n">
        <f aca="false">D692/D697</f>
        <v>0.72655058464667</v>
      </c>
      <c r="E702" s="21" t="n">
        <f aca="false">E692/E697</f>
        <v>0.86337359881804</v>
      </c>
      <c r="F702" s="21" t="n">
        <f aca="false">F692/F697</f>
        <v>0.576303172210153</v>
      </c>
      <c r="G702" s="21" t="n">
        <f aca="false">G692/G697</f>
        <v>0.415434028095904</v>
      </c>
    </row>
    <row r="703" customFormat="false" ht="15" hidden="false" customHeight="false" outlineLevel="0" collapsed="false">
      <c r="A703" s="5" t="s">
        <v>490</v>
      </c>
      <c r="B703" s="0" t="s">
        <v>40</v>
      </c>
      <c r="E703" s="15" t="n">
        <f aca="false">E695/(E699+dil)*1000</f>
        <v>233.152223967818</v>
      </c>
      <c r="F703" s="15" t="n">
        <f aca="false">F695/(F699+dil)*1000</f>
        <v>286.015134358882</v>
      </c>
      <c r="G703" s="15" t="n">
        <f aca="false">G695/(G699+dil)*1000</f>
        <v>317.772701175822</v>
      </c>
    </row>
    <row r="704" customFormat="false" ht="17.15" hidden="false" customHeight="false" outlineLevel="0" collapsed="false">
      <c r="A704" s="5" t="s">
        <v>491</v>
      </c>
      <c r="B704" s="0" t="s">
        <v>27</v>
      </c>
      <c r="D704" s="18" t="n">
        <f aca="false">ABS(D681-a26_rev)+ABS(D692-a26_ni)</f>
        <v>0</v>
      </c>
    </row>
    <row r="707" customFormat="false" ht="17.15" hidden="false" customHeight="false" outlineLevel="0" collapsed="false">
      <c r="A707" s="3" t="s">
        <v>811</v>
      </c>
    </row>
    <row r="708" customFormat="false" ht="17.15" hidden="false" customHeight="false" outlineLevel="0" collapsed="false">
      <c r="A708" s="6" t="s">
        <v>758</v>
      </c>
      <c r="B708" s="6" t="s">
        <v>759</v>
      </c>
      <c r="C708" s="12" t="s">
        <v>812</v>
      </c>
      <c r="D708" s="12" t="s">
        <v>725</v>
      </c>
      <c r="E708" s="6" t="s">
        <v>813</v>
      </c>
      <c r="F708" s="6" t="s">
        <v>762</v>
      </c>
    </row>
    <row r="709" customFormat="false" ht="17.15" hidden="false" customHeight="false" outlineLevel="0" collapsed="false">
      <c r="A709" s="5" t="s">
        <v>19</v>
      </c>
      <c r="B709" s="0" t="s">
        <v>814</v>
      </c>
      <c r="C709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1121.87126205322</v>
      </c>
      <c r="D709" s="24" t="n">
        <f aca="false">tp_comp_adj</f>
        <v>738.836066282592</v>
      </c>
      <c r="E709" s="24" t="n">
        <f aca="false">tp_w_dcf*C709+(1-tp_w_dcf)*D709</f>
        <v>930.353664167904</v>
      </c>
      <c r="F709" s="14" t="n">
        <f aca="false">E709/E$709-1</f>
        <v>0</v>
      </c>
    </row>
    <row r="710" customFormat="false" ht="17.15" hidden="false" customHeight="false" outlineLevel="0" collapsed="false">
      <c r="A710" s="5" t="s">
        <v>815</v>
      </c>
      <c r="B710" s="0" t="s">
        <v>816</v>
      </c>
      <c r="C710" s="24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1041.55696892906</v>
      </c>
      <c r="D710" s="24" t="n">
        <f aca="false">tp_comp_adj</f>
        <v>738.836066282592</v>
      </c>
      <c r="E710" s="24" t="n">
        <f aca="false">tp_w_dcf*C710+(1-tp_w_dcf)*D710</f>
        <v>890.196517605828</v>
      </c>
      <c r="F710" s="14" t="n">
        <f aca="false">E710/E$709-1</f>
        <v>-0.0431633131664956</v>
      </c>
    </row>
    <row r="711" customFormat="false" ht="17.15" hidden="false" customHeight="false" outlineLevel="0" collapsed="false">
      <c r="A711" s="5" t="s">
        <v>817</v>
      </c>
      <c r="B711" s="0" t="s">
        <v>818</v>
      </c>
      <c r="C711" s="24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1232.21969259918</v>
      </c>
      <c r="D711" s="24" t="n">
        <f aca="false">tp_comp_adj</f>
        <v>738.836066282592</v>
      </c>
      <c r="E711" s="24" t="n">
        <f aca="false">tp_w_dcf*C711+(1-tp_w_dcf)*D711</f>
        <v>985.527879440886</v>
      </c>
      <c r="F711" s="14" t="n">
        <f aca="false">E711/E$709-1</f>
        <v>0.0593045606181697</v>
      </c>
    </row>
    <row r="712" customFormat="false" ht="17.15" hidden="false" customHeight="false" outlineLevel="0" collapsed="false">
      <c r="A712" s="5" t="s">
        <v>819</v>
      </c>
      <c r="B712" s="0" t="s">
        <v>820</v>
      </c>
      <c r="C712" s="24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1178.69054981877</v>
      </c>
      <c r="D712" s="24" t="n">
        <f aca="false">tp_comp_adj</f>
        <v>738.836066282592</v>
      </c>
      <c r="E712" s="24" t="n">
        <f aca="false">tp_w_dcf*C712+(1-tp_w_dcf)*D712</f>
        <v>958.763308050682</v>
      </c>
      <c r="F712" s="14" t="n">
        <f aca="false">E712/E$709-1</f>
        <v>0.0305363916722867</v>
      </c>
    </row>
    <row r="713" customFormat="false" ht="17.15" hidden="false" customHeight="false" outlineLevel="0" collapsed="false">
      <c r="A713" s="5" t="s">
        <v>821</v>
      </c>
      <c r="B713" s="0" t="s">
        <v>822</v>
      </c>
      <c r="C713" s="24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1082.80222022604</v>
      </c>
      <c r="D713" s="24" t="n">
        <f aca="false">tp_comp_adj</f>
        <v>738.836066282592</v>
      </c>
      <c r="E713" s="24" t="n">
        <f aca="false">tp_w_dcf*C713+(1-tp_w_dcf)*D713</f>
        <v>910.819143254315</v>
      </c>
      <c r="F713" s="14" t="n">
        <f aca="false">E713/E$709-1</f>
        <v>-0.0209968764201733</v>
      </c>
    </row>
    <row r="714" customFormat="false" ht="17.15" hidden="false" customHeight="false" outlineLevel="0" collapsed="false">
      <c r="A714" s="0" t="s">
        <v>823</v>
      </c>
      <c r="B714" s="0" t="s">
        <v>824</v>
      </c>
      <c r="C714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1121.87126205322</v>
      </c>
      <c r="D714" s="24" t="n">
        <f aca="false">tp_comp_adj</f>
        <v>738.836066282592</v>
      </c>
      <c r="E714" s="24" t="n">
        <f aca="false">0.3*C714+(1-0.3)*D714</f>
        <v>853.746625013779</v>
      </c>
      <c r="F714" s="14" t="n">
        <f aca="false">E714/E$709-1</f>
        <v>-0.0823418470895596</v>
      </c>
    </row>
    <row r="715" customFormat="false" ht="17.15" hidden="false" customHeight="false" outlineLevel="0" collapsed="false">
      <c r="A715" s="0" t="s">
        <v>825</v>
      </c>
      <c r="B715" s="0" t="s">
        <v>826</v>
      </c>
      <c r="C715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1121.87126205322</v>
      </c>
      <c r="D715" s="24" t="n">
        <f aca="false">tp_comp_adj</f>
        <v>738.836066282592</v>
      </c>
      <c r="E715" s="24" t="n">
        <f aca="false">0.7*C715+(1-0.7)*D715</f>
        <v>1006.96070332203</v>
      </c>
      <c r="F715" s="14" t="n">
        <f aca="false">E715/E$709-1</f>
        <v>0.0823418470895594</v>
      </c>
    </row>
    <row r="716" customFormat="false" ht="17.15" hidden="false" customHeight="false" outlineLevel="0" collapsed="false">
      <c r="A716" s="5" t="s">
        <v>827</v>
      </c>
      <c r="C716" s="0" t="n">
        <f aca="false">C709-Val!B24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343</v>
      </c>
    </row>
    <row r="2" customFormat="false" ht="17.15" hidden="false" customHeight="false" outlineLevel="0" collapsed="false">
      <c r="A2" s="0" t="s">
        <v>53</v>
      </c>
      <c r="B2" s="0" t="s">
        <v>828</v>
      </c>
    </row>
    <row r="3" customFormat="false" ht="17.15" hidden="false" customHeight="false" outlineLevel="0" collapsed="false">
      <c r="A3" s="0" t="s">
        <v>29</v>
      </c>
      <c r="B3" s="0" t="s">
        <v>829</v>
      </c>
    </row>
    <row r="4" customFormat="false" ht="17.15" hidden="false" customHeight="false" outlineLevel="0" collapsed="false">
      <c r="A4" s="0" t="s">
        <v>830</v>
      </c>
      <c r="B4" s="0" t="s">
        <v>831</v>
      </c>
    </row>
    <row r="5" customFormat="false" ht="17.15" hidden="false" customHeight="false" outlineLevel="0" collapsed="false">
      <c r="A5" s="0" t="s">
        <v>832</v>
      </c>
      <c r="B5" s="0" t="s">
        <v>833</v>
      </c>
    </row>
    <row r="6" customFormat="false" ht="17.15" hidden="false" customHeight="false" outlineLevel="0" collapsed="false">
      <c r="A6" s="0" t="s">
        <v>834</v>
      </c>
      <c r="B6" s="0" t="s">
        <v>835</v>
      </c>
    </row>
    <row r="7" customFormat="false" ht="17.15" hidden="false" customHeight="false" outlineLevel="0" collapsed="false">
      <c r="A7" s="0" t="s">
        <v>836</v>
      </c>
      <c r="B7" s="0" t="s">
        <v>837</v>
      </c>
    </row>
    <row r="8" customFormat="false" ht="17.15" hidden="false" customHeight="false" outlineLevel="0" collapsed="false">
      <c r="A8" s="0" t="s">
        <v>838</v>
      </c>
      <c r="B8" s="0" t="s">
        <v>839</v>
      </c>
    </row>
    <row r="9" customFormat="false" ht="17.15" hidden="false" customHeight="false" outlineLevel="0" collapsed="false">
      <c r="A9" s="0" t="s">
        <v>840</v>
      </c>
      <c r="B9" s="0" t="s">
        <v>841</v>
      </c>
    </row>
    <row r="10" customFormat="false" ht="17.15" hidden="false" customHeight="false" outlineLevel="0" collapsed="false">
      <c r="A10" s="5" t="s">
        <v>842</v>
      </c>
      <c r="B10" s="5" t="s">
        <v>843</v>
      </c>
    </row>
    <row r="11" customFormat="false" ht="17.15" hidden="false" customHeight="false" outlineLevel="0" collapsed="false">
      <c r="A11" s="5" t="s">
        <v>844</v>
      </c>
      <c r="B11" s="5" t="s">
        <v>843</v>
      </c>
    </row>
    <row r="12" customFormat="false" ht="15" hidden="false" customHeight="false" outlineLevel="0" collapsed="false">
      <c r="A12" s="0" t="s">
        <v>845</v>
      </c>
      <c r="B12" s="5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2026-10-31T02:55:00Z</dcterms:created>
  <dc:creator>openpyxl</dc:creator>
  <dc:description/>
  <dc:language>en-US</dc:language>
  <cp:lastModifiedBy/>
  <dcterms:modified xsi:type="dcterms:W3CDTF">2026-10-31T02:55:01Z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