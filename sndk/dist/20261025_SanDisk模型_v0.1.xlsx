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eps" vbProcedure="false">In!$E$32</definedName>
    <definedName function="false" hidden="false" name="a25_ni" vbProcedure="false">In!$E$31</definedName>
    <definedName function="false" hidden="false" name="a25_rev" vbProcedure="false">In!$E$30</definedName>
    <definedName function="false" hidden="false" name="a26_eps" vbProcedure="false">In!$E$27</definedName>
    <definedName function="false" hidden="false" name="a26_gm" vbProcedure="false">In!$E$29</definedName>
    <definedName function="false" hidden="false" name="a26_ni" vbProcedure="false">In!$E$26</definedName>
    <definedName function="false" hidden="false" name="a26_op" vbProcedure="false">In!$E$28</definedName>
    <definedName function="false" hidden="false" name="a26_rev" vbProcedure="false">In!$E$25</definedName>
    <definedName function="false" hidden="false" name="bb_px" vbProcedure="false">In!$E$56</definedName>
    <definedName function="false" hidden="false" name="cap_r" vbProcedure="false">In!$E$53</definedName>
    <definedName function="false" hidden="false" name="cap_r_hi" vbProcedure="false">In!$F$53</definedName>
    <definedName function="false" hidden="false" name="cap_r_lo" vbProcedure="false">In!$D$53</definedName>
    <definedName function="false" hidden="false" name="cd_A" vbProcedure="false">In!$E$39</definedName>
    <definedName function="false" hidden="false" name="cd_A_hi" vbProcedure="false">In!$F$39</definedName>
    <definedName function="false" hidden="false" name="cd_A_lo" vbProcedure="false">In!$D$39</definedName>
    <definedName function="false" hidden="false" name="cd_B" vbProcedure="false">In!$E$40</definedName>
    <definedName function="false" hidden="false" name="cd_B_hi" vbProcedure="false">In!$F$40</definedName>
    <definedName function="false" hidden="false" name="cd_B_lo" vbProcedure="false">In!$D$40</definedName>
    <definedName function="false" hidden="false" name="cd_C" vbProcedure="false">In!$E$41</definedName>
    <definedName function="false" hidden="false" name="cd_C_hi" vbProcedure="false">In!$F$41</definedName>
    <definedName function="false" hidden="false" name="cd_C_lo" vbProcedure="false">In!$D$41</definedName>
    <definedName function="false" hidden="false" name="cons_bv27" vbProcedure="false">In!$E$63</definedName>
    <definedName function="false" hidden="false" name="cons_bv28" vbProcedure="false">In!$E$64</definedName>
    <definedName function="false" hidden="false" name="cons_bv29" vbProcedure="false">In!$E$65</definedName>
    <definedName function="false" hidden="false" name="cons_eps27" vbProcedure="false">In!$E$60</definedName>
    <definedName function="false" hidden="false" name="cons_eps27_hi" vbProcedure="false">In!$F$60</definedName>
    <definedName function="false" hidden="false" name="cons_eps27_lo" vbProcedure="false">In!$D$60</definedName>
    <definedName function="false" hidden="false" name="cons_eps28" vbProcedure="false">In!$E$61</definedName>
    <definedName function="false" hidden="false" name="cons_eps29" vbProcedure="false">In!$E$62</definedName>
    <definedName function="false" hidden="false" name="cons_ni27" vbProcedure="false">In!$E$66</definedName>
    <definedName function="false" hidden="false" name="cons_ni28" vbProcedure="false">In!$E$67</definedName>
    <definedName function="false" hidden="false" name="cons_rev27" vbProcedure="false">In!$E$58</definedName>
    <definedName function="false" hidden="false" name="cons_rev27_hi" vbProcedure="false">In!$F$58</definedName>
    <definedName function="false" hidden="false" name="cons_rev27_lo" vbProcedure="false">In!$D$58</definedName>
    <definedName function="false" hidden="false" name="cons_rev28" vbProcedure="false">In!$E$59</definedName>
    <definedName function="false" hidden="false" name="cons_tp" vbProcedure="false">In!$E$85</definedName>
    <definedName function="false" hidden="false" name="cons_tp_hi" vbProcedure="false">In!$F$85</definedName>
    <definedName function="false" hidden="false" name="cons_tp_lo" vbProcedure="false">In!$D$85</definedName>
    <definedName function="false" hidden="false" name="cyc_mA" vbProcedure="false">In!$E$77</definedName>
    <definedName function="false" hidden="false" name="cyc_mC" vbProcedure="false">In!$E$78</definedName>
    <definedName function="false" hidden="false" name="da_y" vbProcedure="false">In!$E$52</definedName>
    <definedName function="false" hidden="false" name="da_y_hi" vbProcedure="false">In!$F$52</definedName>
    <definedName function="false" hidden="false" name="da_y_lo" vbProcedure="false">In!$D$52</definedName>
    <definedName function="false" hidden="false" name="dil" vbProcedure="false">In!$E$51</definedName>
    <definedName function="false" hidden="false" name="eq0" vbProcedure="false">In!$E$48</definedName>
    <definedName function="false" hidden="false" name="fade_gA" vbProcedure="false">In!$E$82</definedName>
    <definedName function="false" hidden="false" name="fade_gB" vbProcedure="false">In!$E$83</definedName>
    <definedName function="false" hidden="false" name="fade_gC" vbProcedure="false">In!$E$84</definedName>
    <definedName function="false" hidden="false" name="fade_mA" vbProcedure="false">In!$E$79</definedName>
    <definedName function="false" hidden="false" name="fade_mB" vbProcedure="false">In!$E$80</definedName>
    <definedName function="false" hidden="false" name="fade_mC" vbProcedure="false">In!$E$81</definedName>
    <definedName function="false" hidden="false" name="g_eps" vbProcedure="false">In!$E$36</definedName>
    <definedName function="false" hidden="false" name="g_eps_hi" vbProcedure="false">In!$F$36</definedName>
    <definedName function="false" hidden="false" name="g_eps_lo" vbProcedure="false">In!$D$36</definedName>
    <definedName function="false" hidden="false" name="g_gm" vbProcedure="false">In!$E$34</definedName>
    <definedName function="false" hidden="false" name="g_gm_hi" vbProcedure="false">In!$F$34</definedName>
    <definedName function="false" hidden="false" name="g_gm_lo" vbProcedure="false">In!$D$34</definedName>
    <definedName function="false" hidden="false" name="g_ox" vbProcedure="false">In!$E$35</definedName>
    <definedName function="false" hidden="false" name="g_ox_hi" vbProcedure="false">In!$F$35</definedName>
    <definedName function="false" hidden="false" name="g_ox_lo" vbProcedure="false">In!$D$35</definedName>
    <definedName function="false" hidden="false" name="g_rev" vbProcedure="false">In!$E$33</definedName>
    <definedName function="false" hidden="false" name="g_rev_hi" vbProcedure="false">In!$F$33</definedName>
    <definedName function="false" hidden="false" name="g_rev_lo" vbProcedure="false">In!$D$33</definedName>
    <definedName function="false" hidden="false" name="g_sh" vbProcedure="false">In!$E$37</definedName>
    <definedName function="false" hidden="false" name="nc0" vbProcedure="false">In!$E$49</definedName>
    <definedName function="false" hidden="false" name="nim10" vbProcedure="false">In!$E$76</definedName>
    <definedName function="false" hidden="false" name="ox_g" vbProcedure="false">In!$E$43</definedName>
    <definedName function="false" hidden="false" name="ox_g_hi" vbProcedure="false">In!$F$43</definedName>
    <definedName function="false" hidden="false" name="ox_g_lo" vbProcedure="false">In!$D$43</definedName>
    <definedName function="false" hidden="false" name="ox_var" vbProcedure="false">In!$E$42</definedName>
    <definedName function="false" hidden="false" name="ox_var_hi" vbProcedure="false">In!$F$42</definedName>
    <definedName function="false" hidden="false" name="ox_var_lo" vbProcedure="false">In!$D$42</definedName>
    <definedName function="false" hidden="false" name="payout" vbProcedure="false">In!$E$54</definedName>
    <definedName function="false" hidden="false" name="payout_hi" vbProcedure="false">In!$F$54</definedName>
    <definedName function="false" hidden="false" name="payout_lo" vbProcedure="false">In!$D$54</definedName>
    <definedName function="false" hidden="false" name="px" vbProcedure="false">In!$E$55</definedName>
    <definedName function="false" hidden="false" name="q1_eps" vbProcedure="false">In!$E$9</definedName>
    <definedName function="false" hidden="false" name="q1_gm" vbProcedure="false">In!$E$6</definedName>
    <definedName function="false" hidden="false" name="q1_ni" vbProcedure="false">In!$E$8</definedName>
    <definedName function="false" hidden="false" name="q1_op" vbProcedure="false">In!$E$7</definedName>
    <definedName function="false" hidden="false" name="q1_rev" vbProcedure="false">In!$E$5</definedName>
    <definedName function="false" hidden="false" name="q2_eps" vbProcedure="false">In!$E$14</definedName>
    <definedName function="false" hidden="false" name="q2_gm" vbProcedure="false">In!$E$11</definedName>
    <definedName function="false" hidden="false" name="q2_ni" vbProcedure="false">In!$E$13</definedName>
    <definedName function="false" hidden="false" name="q2_op" vbProcedure="false">In!$E$12</definedName>
    <definedName function="false" hidden="false" name="q2_rev" vbProcedure="false">In!$E$10</definedName>
    <definedName function="false" hidden="false" name="q3_eps" vbProcedure="false">In!$E$19</definedName>
    <definedName function="false" hidden="false" name="q3_gm" vbProcedure="false">In!$E$16</definedName>
    <definedName function="false" hidden="false" name="q3_ni" vbProcedure="false">In!$E$18</definedName>
    <definedName function="false" hidden="false" name="q3_op" vbProcedure="false">In!$E$17</definedName>
    <definedName function="false" hidden="false" name="q3_rev" vbProcedure="false">In!$E$15</definedName>
    <definedName function="false" hidden="false" name="q4_eps" vbProcedure="false">In!$E$24</definedName>
    <definedName function="false" hidden="false" name="q4_gm" vbProcedure="false">In!$E$21</definedName>
    <definedName function="false" hidden="false" name="q4_ni" vbProcedure="false">In!$E$23</definedName>
    <definedName function="false" hidden="false" name="q4_op" vbProcedure="false">In!$E$22</definedName>
    <definedName function="false" hidden="false" name="q4_rev" vbProcedure="false">In!$E$20</definedName>
    <definedName function="false" hidden="false" name="rf" vbProcedure="false">In!$E$45</definedName>
    <definedName function="false" hidden="false" name="rf_hi" vbProcedure="false">In!$F$45</definedName>
    <definedName function="false" hidden="false" name="rf_lo" vbProcedure="false">In!$D$45</definedName>
    <definedName function="false" hidden="false" name="sd_k" vbProcedure="false">In!$E$46</definedName>
    <definedName function="false" hidden="false" name="sh0" vbProcedure="false">In!$E$50</definedName>
    <definedName function="false" hidden="false" name="tax" vbProcedure="false">In!$E$44</definedName>
    <definedName function="false" hidden="false" name="tax_hi" vbProcedure="false">In!$F$44</definedName>
    <definedName function="false" hidden="false" name="tax_lo" vbProcedure="false">In!$D$44</definedName>
    <definedName function="false" hidden="false" name="tp_g" vbProcedure="false">In!$E$73</definedName>
    <definedName function="false" hidden="false" name="tp_r" vbProcedure="false">In!$E$72</definedName>
    <definedName function="false" hidden="false" name="tp_roe" vbProcedure="false">In!$E$74</definedName>
    <definedName function="false" hidden="false" name="tp_wA" vbProcedure="false">In!$E$69</definedName>
    <definedName function="false" hidden="false" name="tp_wB" vbProcedure="false">In!$E$70</definedName>
    <definedName function="false" hidden="false" name="tp_wC" vbProcedure="false">In!$E$71</definedName>
    <definedName function="false" hidden="false" name="tp_w_dcf" vbProcedure="false">In!$E$75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<sst xmlns="http://schemas.openxmlformats.org/spreadsheetml/2006/main" count="2496" uniqueCount="698">
  <si>
    <r>
      <rPr>
        <b val="true"/>
        <sz val="11"/>
        <rFont val="Cambria"/>
        <family val="0"/>
        <charset val="1"/>
      </rPr>
      <t xml:space="preserve">SanDisk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SNDK US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：記憶體——</t>
    </r>
    <r>
      <rPr>
        <b val="true"/>
        <sz val="11"/>
        <rFont val="Cambria"/>
        <family val="0"/>
        <charset val="1"/>
      </rPr>
      <t xml:space="preserve">NAND</t>
    </r>
    <r>
      <rPr>
        <b val="true"/>
        <sz val="11"/>
        <rFont val="Noto Sans CJK SC"/>
        <family val="2"/>
      </rPr>
      <t xml:space="preserve">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</si>
  <si>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模型命題：</t>
    </r>
    <r>
      <rPr>
        <sz val="11"/>
        <rFont val="Cambria"/>
        <family val="0"/>
        <charset val="1"/>
      </rPr>
      <t xml:space="preserve">SanDisk </t>
    </r>
    <r>
      <rPr>
        <sz val="11"/>
        <rFont val="Noto Sans CJK SC"/>
        <family val="2"/>
      </rPr>
      <t xml:space="preserve">是純 </t>
    </r>
    <r>
      <rPr>
        <sz val="11"/>
        <rFont val="Cambria"/>
        <family val="0"/>
        <charset val="1"/>
      </rPr>
      <t xml:space="preserve">NAND </t>
    </r>
    <r>
      <rPr>
        <sz val="11"/>
        <rFont val="Noto Sans CJK SC"/>
        <family val="2"/>
      </rPr>
      <t xml:space="preserve">公司，盈餘由 </t>
    </r>
    <r>
      <rPr>
        <sz val="11"/>
        <rFont val="Cambria"/>
        <family val="0"/>
        <charset val="1"/>
      </rPr>
      <t xml:space="preserve">NAND </t>
    </r>
    <r>
      <rPr>
        <sz val="11"/>
        <rFont val="Noto Sans CJK SC"/>
        <family val="2"/>
      </rPr>
      <t xml:space="preserve">合約價循環與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推論帶動的企業級 </t>
    </r>
    <r>
      <rPr>
        <sz val="11"/>
        <rFont val="Cambria"/>
        <family val="0"/>
        <charset val="1"/>
      </rPr>
      <t xml:space="preserve">SSD </t>
    </r>
    <r>
      <rPr>
        <sz val="11"/>
        <rFont val="Noto Sans CJK SC"/>
        <family val="2"/>
      </rPr>
      <t xml:space="preserve">位元決定，產能與 </t>
    </r>
    <r>
      <rPr>
        <sz val="11"/>
        <rFont val="Cambria"/>
        <family val="0"/>
        <charset val="1"/>
      </rPr>
      <t xml:space="preserve">Kioxia </t>
    </r>
    <r>
      <rPr>
        <sz val="11"/>
        <rFont val="Noto Sans CJK SC"/>
        <family val="2"/>
      </rPr>
      <t xml:space="preserve">合資（</t>
    </r>
    <r>
      <rPr>
        <sz val="11"/>
        <rFont val="Cambria"/>
        <family val="0"/>
        <charset val="1"/>
      </rPr>
      <t xml:space="preserve">Flash Ventures 49.9%</t>
    </r>
    <r>
      <rPr>
        <sz val="11"/>
        <rFont val="Noto Sans CJK SC"/>
        <family val="2"/>
      </rPr>
      <t xml:space="preserve">）；問題是 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年的高價能維持多久（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起三情境分歧），以及現價隱含的倍數是否已反映循環見頂。</t>
    </r>
  </si>
  <si>
    <t xml:space="preserve">重點觀察</t>
  </si>
  <si>
    <t xml:space="preserve">驅動因子 → 推導量（因果方向：左邊決定右邊）</t>
  </si>
  <si>
    <r>
      <rPr>
        <sz val="11"/>
        <rFont val="Cambria"/>
        <family val="0"/>
        <charset val="1"/>
      </rPr>
      <t xml:space="preserve">Units</t>
    </r>
    <r>
      <rPr>
        <sz val="11"/>
        <rFont val="Noto Sans CJK SC"/>
        <family val="2"/>
      </rPr>
      <t xml:space="preserve">｜</t>
    </r>
    <r>
      <rPr>
        <sz val="11"/>
        <rFont val="Cambria"/>
        <family val="0"/>
        <charset val="1"/>
      </rPr>
      <t xml:space="preserve">markets/nand </t>
    </r>
    <r>
      <rPr>
        <sz val="11"/>
        <rFont val="Noto Sans CJK SC"/>
        <family val="2"/>
      </rPr>
      <t xml:space="preserve">成品：</t>
    </r>
    <r>
      <rPr>
        <sz val="11"/>
        <rFont val="Cambria"/>
        <family val="0"/>
        <charset val="1"/>
      </rPr>
      <t xml:space="preserve">SanDisk </t>
    </r>
    <r>
      <rPr>
        <sz val="11"/>
        <rFont val="Noto Sans CJK SC"/>
        <family val="2"/>
      </rPr>
      <t xml:space="preserve">季度營收（市場營收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份額；同字母情境）與位元（季度出貨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份額）</t>
    </r>
  </si>
  <si>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區塊｜營收＝市場層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公司口徑係數；營業成本＝位元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EB </t>
    </r>
    <r>
      <rPr>
        <sz val="11"/>
        <rFont val="Noto Sans CJK SC"/>
        <family val="2"/>
      </rPr>
      <t xml:space="preserve">成本（</t>
    </r>
    <r>
      <rPr>
        <sz val="11"/>
        <rFont val="Cambria"/>
        <family val="0"/>
        <charset val="1"/>
      </rPr>
      <t xml:space="preserve">FQ1 FY27 </t>
    </r>
    <r>
      <rPr>
        <sz val="11"/>
        <rFont val="Noto Sans CJK SC"/>
        <family val="2"/>
      </rPr>
      <t xml:space="preserve">以指引毛利率校準，之後每年 </t>
    </r>
    <r>
      <rPr>
        <sz val="11"/>
        <rFont val="Cambria"/>
        <family val="0"/>
        <charset val="1"/>
      </rPr>
      <t xml:space="preserve">× (1 − </t>
    </r>
    <r>
      <rPr>
        <sz val="11"/>
        <rFont val="Noto Sans CJK SC"/>
        <family val="2"/>
      </rPr>
      <t xml:space="preserve">成本年降</t>
    </r>
    <r>
      <rPr>
        <sz val="11"/>
        <rFont val="Cambria"/>
        <family val="0"/>
        <charset val="1"/>
      </rPr>
      <t xml:space="preserve">)</t>
    </r>
    <r>
      <rPr>
        <sz val="11"/>
        <rFont val="Noto Sans CJK SC"/>
        <family val="2"/>
      </rPr>
      <t xml:space="preserve">）；營業費用＝固定（指引校準）＋變動</t>
    </r>
  </si>
  <si>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區塊｜淨利＝（營業利益＋淨現金收益）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</t>
    </r>
    <r>
      <rPr>
        <sz val="11"/>
        <rFont val="Noto Sans CJK SC"/>
        <family val="2"/>
      </rPr>
      <t xml:space="preserve">稅率）；自由現金流＝淨利＋折舊 − 資本支出（含合資群分攤）；買回＝回饋比例 </t>
    </r>
    <r>
      <rPr>
        <sz val="11"/>
        <rFont val="Cambria"/>
        <family val="0"/>
        <charset val="1"/>
      </rPr>
      <t xml:space="preserve">× FCF → </t>
    </r>
    <r>
      <rPr>
        <sz val="11"/>
        <rFont val="Noto Sans CJK SC"/>
        <family val="2"/>
      </rPr>
      <t xml:space="preserve">股數 →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、每股淨值</t>
    </r>
  </si>
  <si>
    <r>
      <rPr>
        <sz val="11"/>
        <rFont val="Cambria"/>
        <family val="0"/>
        <charset val="1"/>
      </rPr>
      <t xml:space="preserve">Val</t>
    </r>
    <r>
      <rPr>
        <sz val="11"/>
        <rFont val="Noto Sans CJK SC"/>
        <family val="2"/>
      </rPr>
      <t xml:space="preserve">｜第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節目標價＝</t>
    </r>
    <r>
      <rPr>
        <sz val="11"/>
        <rFont val="Cambria"/>
        <family val="0"/>
        <charset val="1"/>
      </rPr>
      <t xml:space="preserve">DCF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FY2027–FY2032</t>
    </r>
    <r>
      <rPr>
        <sz val="11"/>
        <rFont val="Noto Sans CJK SC"/>
        <family val="2"/>
      </rPr>
      <t xml:space="preserve">＋永續）與 </t>
    </r>
    <r>
      <rPr>
        <sz val="11"/>
        <rFont val="Cambria"/>
        <family val="0"/>
        <charset val="1"/>
      </rPr>
      <t xml:space="preserve">Comparable</t>
    </r>
    <r>
      <rPr>
        <sz val="11"/>
        <rFont val="Noto Sans CJK SC"/>
        <family val="2"/>
      </rPr>
      <t xml:space="preserve">（同業前瞻 </t>
    </r>
    <r>
      <rPr>
        <sz val="11"/>
        <rFont val="Cambria"/>
        <family val="0"/>
        <charset val="1"/>
      </rPr>
      <t xml:space="preserve">P/B × </t>
    </r>
    <r>
      <rPr>
        <sz val="11"/>
        <rFont val="Noto Sans CJK SC"/>
        <family val="2"/>
      </rPr>
      <t xml:space="preserve">約 </t>
    </r>
    <r>
      <rPr>
        <sz val="11"/>
        <rFont val="Cambria"/>
        <family val="0"/>
        <charset val="1"/>
      </rPr>
      <t xml:space="preserve">2028 </t>
    </r>
    <r>
      <rPr>
        <sz val="11"/>
        <rFont val="Noto Sans CJK SC"/>
        <family val="2"/>
      </rPr>
      <t xml:space="preserve">年底每股淨值）各半；第 </t>
    </r>
    <r>
      <rPr>
        <sz val="11"/>
        <rFont val="Cambria"/>
        <family val="0"/>
        <charset val="1"/>
      </rPr>
      <t xml:space="preserve">5–6 </t>
    </r>
    <r>
      <rPr>
        <sz val="11"/>
        <rFont val="Noto Sans CJK SC"/>
        <family val="2"/>
      </rPr>
      <t xml:space="preserve">節目前倍數、十年倍數規則值（美光 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）</t>
    </r>
  </si>
  <si>
    <r>
      <rPr>
        <sz val="11"/>
        <rFont val="Noto Sans CJK SC"/>
        <family val="2"/>
      </rPr>
      <t xml:space="preserve">會計年度：約 </t>
    </r>
    <r>
      <rPr>
        <sz val="11"/>
        <rFont val="Cambria"/>
        <family val="0"/>
        <charset val="1"/>
      </rPr>
      <t xml:space="preserve">6 </t>
    </r>
    <r>
      <rPr>
        <sz val="11"/>
        <rFont val="Noto Sans CJK SC"/>
        <family val="2"/>
      </rPr>
      <t xml:space="preserve">月底結束（</t>
    </r>
    <r>
      <rPr>
        <sz val="11"/>
        <rFont val="Cambria"/>
        <family val="0"/>
        <charset val="1"/>
      </rPr>
      <t xml:space="preserve">FY2027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2026-07</t>
    </r>
    <r>
      <rPr>
        <sz val="11"/>
        <rFont val="Noto Sans CJK SC"/>
        <family val="2"/>
      </rPr>
      <t xml:space="preserve">～</t>
    </r>
    <r>
      <rPr>
        <sz val="11"/>
        <rFont val="Cambria"/>
        <family val="0"/>
        <charset val="1"/>
      </rPr>
      <t xml:space="preserve">2027-06 ≈ CY2026Q3–CY2027Q2</t>
    </r>
    <r>
      <rPr>
        <sz val="11"/>
        <rFont val="Noto Sans CJK SC"/>
        <family val="2"/>
      </rPr>
      <t xml:space="preserve">）。前瞻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依月份調整：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個月後（約 </t>
    </r>
    <r>
      <rPr>
        <sz val="11"/>
        <rFont val="Cambria"/>
        <family val="0"/>
        <charset val="1"/>
      </rPr>
      <t xml:space="preserve">2027-10</t>
    </r>
    <r>
      <rPr>
        <sz val="11"/>
        <rFont val="Noto Sans CJK SC"/>
        <family val="2"/>
      </rPr>
      <t xml:space="preserve">）的未來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月＝</t>
    </r>
    <r>
      <rPr>
        <sz val="11"/>
        <rFont val="Cambria"/>
        <family val="0"/>
        <charset val="1"/>
      </rPr>
      <t xml:space="preserve">8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12 FY2028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4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12 FY2029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</si>
  <si>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情境：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＝順利、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＝平平、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＝不如預期，讀 </t>
    </r>
    <r>
      <rPr>
        <sz val="11"/>
        <rFont val="Cambria"/>
        <family val="0"/>
        <charset val="1"/>
      </rPr>
      <t xml:space="preserve">markets/nand </t>
    </r>
    <r>
      <rPr>
        <sz val="11"/>
        <rFont val="Noto Sans CJK SC"/>
        <family val="2"/>
      </rPr>
      <t xml:space="preserve">同字母（價格＝</t>
    </r>
    <r>
      <rPr>
        <sz val="11"/>
        <rFont val="Cambria"/>
        <family val="0"/>
        <charset val="1"/>
      </rPr>
      <t xml:space="preserve">markets/memory NAND_S</t>
    </r>
    <r>
      <rPr>
        <sz val="11"/>
        <rFont val="Noto Sans CJK SC"/>
        <family val="2"/>
      </rPr>
      <t xml:space="preserve">；顆數＝</t>
    </r>
    <r>
      <rPr>
        <sz val="11"/>
        <rFont val="Cambria"/>
        <family val="0"/>
        <charset val="1"/>
      </rPr>
      <t xml:space="preserve">SCEN_UNITS</t>
    </r>
    <r>
      <rPr>
        <sz val="11"/>
        <rFont val="Noto Sans CJK SC"/>
        <family val="2"/>
      </rPr>
      <t xml:space="preserve">；合資群份額年變動）；公司特有變數（每位元成本年降 </t>
    </r>
    <r>
      <rPr>
        <sz val="11"/>
        <rFont val="Cambria"/>
        <family val="0"/>
        <charset val="1"/>
      </rPr>
      <t xml:space="preserve">14%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12%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10%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最有利、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最不利。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EPS </t>
    </r>
    <r>
      <rPr>
        <sz val="11"/>
        <rFont val="Noto Sans CJK SC"/>
        <family val="2"/>
      </rPr>
      <t xml:space="preserve">略高於 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：上游 </t>
    </r>
    <r>
      <rPr>
        <sz val="11"/>
        <rFont val="Cambria"/>
        <family val="0"/>
        <charset val="1"/>
      </rPr>
      <t xml:space="preserve">markets/memory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價格路徑 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上半年漲幅較大、下半年才回落（行業情境，不在公司層調整）。</t>
    </r>
    <r>
      <rPr>
        <sz val="11"/>
        <rFont val="Cambria"/>
        <family val="0"/>
        <charset val="1"/>
      </rPr>
      <t xml:space="preserve">FY2030 </t>
    </r>
    <r>
      <rPr>
        <sz val="11"/>
        <rFont val="Noto Sans CJK SC"/>
        <family val="2"/>
      </rPr>
      <t xml:space="preserve">起為收斂法，非驅動因子推導。</t>
    </r>
  </si>
  <si>
    <r>
      <rPr>
        <sz val="11"/>
        <rFont val="Noto Sans CJK SC"/>
        <family val="2"/>
      </rPr>
      <t xml:space="preserve">十年歷史不足：</t>
    </r>
    <r>
      <rPr>
        <sz val="11"/>
        <rFont val="Cambria"/>
        <family val="0"/>
        <charset val="1"/>
      </rPr>
      <t xml:space="preserve">2025-02 </t>
    </r>
    <r>
      <rPr>
        <sz val="11"/>
        <rFont val="Noto Sans CJK SC"/>
        <family val="2"/>
      </rPr>
      <t xml:space="preserve">自 </t>
    </r>
    <r>
      <rPr>
        <sz val="11"/>
        <rFont val="Cambria"/>
        <family val="0"/>
        <charset val="1"/>
      </rPr>
      <t xml:space="preserve">WDC </t>
    </r>
    <r>
      <rPr>
        <sz val="11"/>
        <rFont val="Noto Sans CJK SC"/>
        <family val="2"/>
      </rPr>
      <t xml:space="preserve">分拆上市，十年 </t>
    </r>
    <r>
      <rPr>
        <sz val="11"/>
        <rFont val="Cambria"/>
        <family val="0"/>
        <charset val="1"/>
      </rPr>
      <t xml:space="preserve">P/B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與十年平均淨利率以美光為 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</si>
  <si>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）。金額：十億美元（</t>
    </r>
    <r>
      <rPr>
        <sz val="11"/>
        <color theme="1"/>
        <rFont val="Calibri"/>
        <family val="2"/>
        <charset val="1"/>
      </rPr>
      <t xml:space="preserve">$B</t>
    </r>
    <r>
      <rPr>
        <sz val="11"/>
        <color theme="1"/>
        <rFont val="Noto Sans CJK SC"/>
        <family val="2"/>
      </rPr>
      <t xml:space="preserve">）；每股：美元；股數：百萬股。每個輸入附標記與來源；找不到者寫「未找到」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</si>
  <si>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（公司文件、交易所資料）／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（寫明是誰、立場）／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（寫明對照與差異）／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（給低／高區間）／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（寫明換算）。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</si>
  <si>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</si>
  <si>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</si>
  <si>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</si>
  <si>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</si>
  <si>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</si>
  <si>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</si>
  <si>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</si>
  <si>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</si>
  <si>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</si>
  <si>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季度實績與公司指引（</t>
    </r>
    <r>
      <rPr>
        <b val="true"/>
        <sz val="11"/>
        <rFont val="Cambria"/>
        <family val="0"/>
        <charset val="1"/>
      </rPr>
      <t xml:space="preserve">$B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美元）</t>
    </r>
  </si>
  <si>
    <t xml:space="preserve">q1_rev</t>
  </si>
  <si>
    <r>
      <rPr>
        <sz val="11"/>
        <color theme="1"/>
        <rFont val="Calibri"/>
        <family val="2"/>
        <charset val="1"/>
      </rPr>
      <t xml:space="preserve">FQ1 FY26 </t>
    </r>
    <r>
      <rPr>
        <sz val="11"/>
        <color theme="1"/>
        <rFont val="Noto Sans CJK SC"/>
        <family val="2"/>
      </rPr>
      <t xml:space="preserve">營收</t>
    </r>
  </si>
  <si>
    <t xml:space="preserve">$B</t>
  </si>
  <si>
    <t xml:space="preserve">Verified</t>
  </si>
  <si>
    <r>
      <rPr>
        <sz val="11"/>
        <color theme="1"/>
        <rFont val="Calibri"/>
        <family val="2"/>
        <charset val="1"/>
      </rPr>
      <t xml:space="preserve">SanDisk FQ2 FY26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2026-01-29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</si>
  <si>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20.248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FQ4 </t>
    </r>
    <r>
      <rPr>
        <sz val="11"/>
        <color theme="1"/>
        <rFont val="Noto Sans CJK SC"/>
        <family val="2"/>
      </rPr>
      <t xml:space="preserve">新聞稿）</t>
    </r>
  </si>
  <si>
    <t xml:space="preserve">q1_gm</t>
  </si>
  <si>
    <r>
      <rPr>
        <sz val="11"/>
        <color theme="1"/>
        <rFont val="Calibri"/>
        <family val="2"/>
        <charset val="1"/>
      </rPr>
      <t xml:space="preserve">FQ1 FY26 GAAP </t>
    </r>
    <r>
      <rPr>
        <sz val="11"/>
        <color theme="1"/>
        <rFont val="Noto Sans CJK SC"/>
        <family val="2"/>
      </rPr>
      <t xml:space="preserve">毛利率</t>
    </r>
  </si>
  <si>
    <t xml:space="preserve">%</t>
  </si>
  <si>
    <t xml:space="preserve">q1_op</t>
  </si>
  <si>
    <r>
      <rPr>
        <sz val="11"/>
        <color theme="1"/>
        <rFont val="Calibri"/>
        <family val="2"/>
        <charset val="1"/>
      </rPr>
      <t xml:space="preserve">FQ1 FY26 GAAP </t>
    </r>
    <r>
      <rPr>
        <sz val="11"/>
        <color theme="1"/>
        <rFont val="Noto Sans CJK SC"/>
        <family val="2"/>
      </rPr>
      <t xml:space="preserve">營業利益</t>
    </r>
  </si>
  <si>
    <t xml:space="preserve">q1_ni</t>
  </si>
  <si>
    <r>
      <rPr>
        <sz val="11"/>
        <color theme="1"/>
        <rFont val="Calibri"/>
        <family val="2"/>
        <charset val="1"/>
      </rPr>
      <t xml:space="preserve">FQ1 FY26 GAAP </t>
    </r>
    <r>
      <rPr>
        <sz val="11"/>
        <color theme="1"/>
        <rFont val="Noto Sans CJK SC"/>
        <family val="2"/>
      </rPr>
      <t xml:space="preserve">淨利</t>
    </r>
  </si>
  <si>
    <t xml:space="preserve">q1_eps</t>
  </si>
  <si>
    <r>
      <rPr>
        <sz val="11"/>
        <color theme="1"/>
        <rFont val="Calibri"/>
        <family val="2"/>
        <charset val="1"/>
      </rPr>
      <t xml:space="preserve">FQ1 FY26 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</si>
  <si>
    <t xml:space="preserve">USD</t>
  </si>
  <si>
    <t xml:space="preserve">q2_rev</t>
  </si>
  <si>
    <r>
      <rPr>
        <sz val="11"/>
        <color theme="1"/>
        <rFont val="Calibri"/>
        <family val="2"/>
        <charset val="1"/>
      </rPr>
      <t xml:space="preserve">FQ2 FY26 </t>
    </r>
    <r>
      <rPr>
        <sz val="11"/>
        <color theme="1"/>
        <rFont val="Noto Sans CJK SC"/>
        <family val="2"/>
      </rPr>
      <t xml:space="preserve">營收</t>
    </r>
  </si>
  <si>
    <t xml:space="preserve">q2_gm</t>
  </si>
  <si>
    <r>
      <rPr>
        <sz val="11"/>
        <color theme="1"/>
        <rFont val="Calibri"/>
        <family val="2"/>
        <charset val="1"/>
      </rPr>
      <t xml:space="preserve">FQ2 FY26 GAAP </t>
    </r>
    <r>
      <rPr>
        <sz val="11"/>
        <color theme="1"/>
        <rFont val="Noto Sans CJK SC"/>
        <family val="2"/>
      </rPr>
      <t xml:space="preserve">毛利率</t>
    </r>
  </si>
  <si>
    <t xml:space="preserve">q2_op</t>
  </si>
  <si>
    <r>
      <rPr>
        <sz val="11"/>
        <color theme="1"/>
        <rFont val="Calibri"/>
        <family val="2"/>
        <charset val="1"/>
      </rPr>
      <t xml:space="preserve">FQ2 FY26 GAAP </t>
    </r>
    <r>
      <rPr>
        <sz val="11"/>
        <color theme="1"/>
        <rFont val="Noto Sans CJK SC"/>
        <family val="2"/>
      </rPr>
      <t xml:space="preserve">營業利益</t>
    </r>
  </si>
  <si>
    <t xml:space="preserve">q2_ni</t>
  </si>
  <si>
    <r>
      <rPr>
        <sz val="11"/>
        <color theme="1"/>
        <rFont val="Calibri"/>
        <family val="2"/>
        <charset val="1"/>
      </rPr>
      <t xml:space="preserve">FQ2 FY26 GAAP </t>
    </r>
    <r>
      <rPr>
        <sz val="11"/>
        <color theme="1"/>
        <rFont val="Noto Sans CJK SC"/>
        <family val="2"/>
      </rPr>
      <t xml:space="preserve">淨利</t>
    </r>
  </si>
  <si>
    <t xml:space="preserve">q2_eps</t>
  </si>
  <si>
    <r>
      <rPr>
        <sz val="11"/>
        <color theme="1"/>
        <rFont val="Calibri"/>
        <family val="2"/>
        <charset val="1"/>
      </rPr>
      <t xml:space="preserve">FQ2 FY26 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</si>
  <si>
    <t xml:space="preserve">q3_rev</t>
  </si>
  <si>
    <r>
      <rPr>
        <sz val="11"/>
        <color theme="1"/>
        <rFont val="Calibri"/>
        <family val="2"/>
        <charset val="1"/>
      </rPr>
      <t xml:space="preserve">FQ3 FY26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</si>
  <si>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SanDisk FQ4 FY26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）</t>
    </r>
  </si>
  <si>
    <t xml:space="preserve">q3_gm</t>
  </si>
  <si>
    <r>
      <rPr>
        <sz val="11"/>
        <color theme="1"/>
        <rFont val="Calibri"/>
        <family val="2"/>
        <charset val="1"/>
      </rPr>
      <t xml:space="preserve">FQ3 FY26 GAAP </t>
    </r>
    <r>
      <rPr>
        <sz val="11"/>
        <color theme="1"/>
        <rFont val="Noto Sans CJK SC"/>
        <family val="2"/>
      </rPr>
      <t xml:space="preserve">毛利率</t>
    </r>
  </si>
  <si>
    <t xml:space="preserve">q3_op</t>
  </si>
  <si>
    <r>
      <rPr>
        <sz val="11"/>
        <color theme="1"/>
        <rFont val="Calibri"/>
        <family val="2"/>
        <charset val="1"/>
      </rPr>
      <t xml:space="preserve">FQ3 FY26 GAAP </t>
    </r>
    <r>
      <rPr>
        <sz val="11"/>
        <color theme="1"/>
        <rFont val="Noto Sans CJK SC"/>
        <family val="2"/>
      </rPr>
      <t xml:space="preserve">營業利益</t>
    </r>
  </si>
  <si>
    <t xml:space="preserve">q3_ni</t>
  </si>
  <si>
    <r>
      <rPr>
        <sz val="11"/>
        <color theme="1"/>
        <rFont val="Calibri"/>
        <family val="2"/>
        <charset val="1"/>
      </rPr>
      <t xml:space="preserve">FQ3 FY26 GAAP </t>
    </r>
    <r>
      <rPr>
        <sz val="11"/>
        <color theme="1"/>
        <rFont val="Noto Sans CJK SC"/>
        <family val="2"/>
      </rPr>
      <t xml:space="preserve">淨利</t>
    </r>
  </si>
  <si>
    <t xml:space="preserve">q3_eps</t>
  </si>
  <si>
    <r>
      <rPr>
        <sz val="11"/>
        <color theme="1"/>
        <rFont val="Calibri"/>
        <family val="2"/>
        <charset val="1"/>
      </rPr>
      <t xml:space="preserve">FQ3 FY26 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</si>
  <si>
    <t xml:space="preserve">q4_rev</t>
  </si>
  <si>
    <r>
      <rPr>
        <sz val="11"/>
        <color theme="1"/>
        <rFont val="Calibri"/>
        <family val="2"/>
        <charset val="1"/>
      </rPr>
      <t xml:space="preserve">FQ4 FY26 </t>
    </r>
    <r>
      <rPr>
        <sz val="11"/>
        <color theme="1"/>
        <rFont val="Noto Sans CJK SC"/>
        <family val="2"/>
      </rPr>
      <t xml:space="preserve">營收</t>
    </r>
  </si>
  <si>
    <t xml:space="preserve">q4_gm</t>
  </si>
  <si>
    <r>
      <rPr>
        <sz val="11"/>
        <color theme="1"/>
        <rFont val="Calibri"/>
        <family val="2"/>
        <charset val="1"/>
      </rPr>
      <t xml:space="preserve">FQ4 FY26 GAAP </t>
    </r>
    <r>
      <rPr>
        <sz val="11"/>
        <color theme="1"/>
        <rFont val="Noto Sans CJK SC"/>
        <family val="2"/>
      </rPr>
      <t xml:space="preserve">毛利率</t>
    </r>
  </si>
  <si>
    <t xml:space="preserve">q4_op</t>
  </si>
  <si>
    <r>
      <rPr>
        <sz val="11"/>
        <color theme="1"/>
        <rFont val="Calibri"/>
        <family val="2"/>
        <charset val="1"/>
      </rPr>
      <t xml:space="preserve">FQ4 FY26 GAAP </t>
    </r>
    <r>
      <rPr>
        <sz val="11"/>
        <color theme="1"/>
        <rFont val="Noto Sans CJK SC"/>
        <family val="2"/>
      </rPr>
      <t xml:space="preserve">營業利益</t>
    </r>
  </si>
  <si>
    <t xml:space="preserve">q4_ni</t>
  </si>
  <si>
    <r>
      <rPr>
        <sz val="11"/>
        <color theme="1"/>
        <rFont val="Calibri"/>
        <family val="2"/>
        <charset val="1"/>
      </rPr>
      <t xml:space="preserve">FQ4 FY26 GAAP </t>
    </r>
    <r>
      <rPr>
        <sz val="11"/>
        <color theme="1"/>
        <rFont val="Noto Sans CJK SC"/>
        <family val="2"/>
      </rPr>
      <t xml:space="preserve">淨利</t>
    </r>
  </si>
  <si>
    <t xml:space="preserve">q4_eps</t>
  </si>
  <si>
    <r>
      <rPr>
        <sz val="11"/>
        <color theme="1"/>
        <rFont val="Calibri"/>
        <family val="2"/>
        <charset val="1"/>
      </rPr>
      <t xml:space="preserve">FQ4 FY26 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</si>
  <si>
    <t xml:space="preserve">a26_rev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</si>
  <si>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2025-07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2026-07-03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</si>
  <si>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SanDisk FQ4 FY26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）：資料中心 </t>
    </r>
    <r>
      <rPr>
        <sz val="11"/>
        <color theme="1"/>
        <rFont val="Calibri"/>
        <family val="2"/>
        <charset val="1"/>
      </rPr>
      <t xml:space="preserve">5.153</t>
    </r>
    <r>
      <rPr>
        <sz val="11"/>
        <color theme="1"/>
        <rFont val="Noto Sans CJK SC"/>
        <family val="2"/>
      </rPr>
      <t xml:space="preserve">、邊緣 </t>
    </r>
    <r>
      <rPr>
        <sz val="11"/>
        <color theme="1"/>
        <rFont val="Calibri"/>
        <family val="2"/>
        <charset val="1"/>
      </rPr>
      <t xml:space="preserve">12.160</t>
    </r>
    <r>
      <rPr>
        <sz val="11"/>
        <color theme="1"/>
        <rFont val="Noto Sans CJK SC"/>
        <family val="2"/>
      </rPr>
      <t xml:space="preserve">、消費 </t>
    </r>
    <r>
      <rPr>
        <sz val="11"/>
        <color theme="1"/>
        <rFont val="Calibri"/>
        <family val="2"/>
        <charset val="1"/>
      </rPr>
      <t xml:space="preserve">2.935</t>
    </r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</si>
  <si>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同值</t>
    </r>
  </si>
  <si>
    <t xml:space="preserve">a26_ni</t>
  </si>
  <si>
    <r>
      <rPr>
        <sz val="11"/>
        <color theme="1"/>
        <rFont val="Calibri"/>
        <family val="2"/>
        <charset val="1"/>
      </rPr>
      <t xml:space="preserve">FY2026 GAAP </t>
    </r>
    <r>
      <rPr>
        <sz val="11"/>
        <color theme="1"/>
        <rFont val="Noto Sans CJK SC"/>
        <family val="2"/>
      </rPr>
      <t xml:space="preserve">淨利</t>
    </r>
  </si>
  <si>
    <t xml:space="preserve">a26_eps</t>
  </si>
  <si>
    <r>
      <rPr>
        <sz val="11"/>
        <color theme="1"/>
        <rFont val="Calibri"/>
        <family val="2"/>
        <charset val="1"/>
      </rPr>
      <t xml:space="preserve">FY2026 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</si>
  <si>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SanDisk FQ4 FY26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non-GAAP 70.88</t>
    </r>
    <r>
      <rPr>
        <sz val="11"/>
        <color theme="1"/>
        <rFont val="Noto Sans CJK SC"/>
        <family val="2"/>
      </rPr>
      <t xml:space="preserve">）</t>
    </r>
  </si>
  <si>
    <t xml:space="preserve">MarketScreener 73.76</t>
  </si>
  <si>
    <t xml:space="preserve">a26_op</t>
  </si>
  <si>
    <r>
      <rPr>
        <sz val="11"/>
        <color theme="1"/>
        <rFont val="Calibri"/>
        <family val="2"/>
        <charset val="1"/>
      </rPr>
      <t xml:space="preserve">FY2026 GAAP </t>
    </r>
    <r>
      <rPr>
        <sz val="11"/>
        <color theme="1"/>
        <rFont val="Noto Sans CJK SC"/>
        <family val="2"/>
      </rPr>
      <t xml:space="preserve">營業利益</t>
    </r>
  </si>
  <si>
    <t xml:space="preserve">a26_gm</t>
  </si>
  <si>
    <r>
      <rPr>
        <sz val="11"/>
        <color theme="1"/>
        <rFont val="Calibri"/>
        <family val="2"/>
        <charset val="1"/>
      </rPr>
      <t xml:space="preserve">FY2026 GAAP </t>
    </r>
    <r>
      <rPr>
        <sz val="11"/>
        <color theme="1"/>
        <rFont val="Noto Sans CJK SC"/>
        <family val="2"/>
      </rPr>
      <t xml:space="preserve">毛利率</t>
    </r>
  </si>
  <si>
    <t xml:space="preserve">a25_rev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</si>
  <si>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</si>
  <si>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SanDisk FQ4 FY26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）（前期欄）</t>
    </r>
  </si>
  <si>
    <t xml:space="preserve">MarketScreener 7,355</t>
  </si>
  <si>
    <t xml:space="preserve">a25_ni</t>
  </si>
  <si>
    <r>
      <rPr>
        <sz val="11"/>
        <color theme="1"/>
        <rFont val="Calibri"/>
        <family val="2"/>
        <charset val="1"/>
      </rPr>
      <t xml:space="preserve">FY2025 GAAP </t>
    </r>
    <r>
      <rPr>
        <sz val="11"/>
        <color theme="1"/>
        <rFont val="Noto Sans CJK SC"/>
        <family val="2"/>
      </rPr>
      <t xml:space="preserve">淨利</t>
    </r>
  </si>
  <si>
    <r>
      <rPr>
        <sz val="11"/>
        <color theme="1"/>
        <rFont val="Calibri"/>
        <family val="2"/>
        <charset val="1"/>
      </rPr>
      <t xml:space="preserve">SanDisk FQ4 FY26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）（含商譽減損）</t>
    </r>
  </si>
  <si>
    <t xml:space="preserve">MarketScreener −1,641</t>
  </si>
  <si>
    <t xml:space="preserve">a25_eps</t>
  </si>
  <si>
    <r>
      <rPr>
        <sz val="11"/>
        <color theme="1"/>
        <rFont val="Calibri"/>
        <family val="2"/>
        <charset val="1"/>
      </rPr>
      <t xml:space="preserve">FY2025 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</si>
  <si>
    <t xml:space="preserve">g_rev</t>
  </si>
  <si>
    <r>
      <rPr>
        <sz val="11"/>
        <color theme="1"/>
        <rFont val="Noto Sans CJK SC"/>
        <family val="2"/>
      </rPr>
      <t xml:space="preserve">公司指引：</t>
    </r>
    <r>
      <rPr>
        <sz val="11"/>
        <color theme="1"/>
        <rFont val="Calibri"/>
        <family val="2"/>
        <charset val="1"/>
      </rPr>
      <t xml:space="preserve">FQ1 FY27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09</t>
    </r>
    <r>
      <rPr>
        <sz val="11"/>
        <color theme="1"/>
        <rFont val="Noto Sans CJK SC"/>
        <family val="2"/>
      </rPr>
      <t xml:space="preserve">）營收中值</t>
    </r>
  </si>
  <si>
    <t xml:space="preserve">Interested-party</t>
  </si>
  <si>
    <r>
      <rPr>
        <sz val="11"/>
        <color theme="1"/>
        <rFont val="Calibri"/>
        <family val="2"/>
        <charset val="1"/>
      </rPr>
      <t xml:space="preserve">SanDisk FQ4 FY26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$10.3–10.8B</t>
    </r>
  </si>
  <si>
    <r>
      <rPr>
        <sz val="11"/>
        <color theme="1"/>
        <rFont val="Noto Sans CJK SC"/>
        <family val="2"/>
      </rPr>
      <t xml:space="preserve">公司指引（立場：公司）；市場層 </t>
    </r>
    <r>
      <rPr>
        <sz val="11"/>
        <color theme="1"/>
        <rFont val="Calibri"/>
        <family val="2"/>
        <charset val="1"/>
      </rPr>
      <t xml:space="preserve">markets/nand </t>
    </r>
    <r>
      <rPr>
        <sz val="11"/>
        <color theme="1"/>
        <rFont val="Noto Sans CJK SC"/>
        <family val="2"/>
      </rPr>
      <t xml:space="preserve">以此推 </t>
    </r>
    <r>
      <rPr>
        <sz val="11"/>
        <color theme="1"/>
        <rFont val="Calibri"/>
        <family val="2"/>
        <charset val="1"/>
      </rPr>
      <t xml:space="preserve">SanDisk 2026Q3 </t>
    </r>
    <r>
      <rPr>
        <sz val="11"/>
        <color theme="1"/>
        <rFont val="Noto Sans CJK SC"/>
        <family val="2"/>
      </rPr>
      <t xml:space="preserve">份額，因此本模型 </t>
    </r>
    <r>
      <rPr>
        <sz val="11"/>
        <color theme="1"/>
        <rFont val="Calibri"/>
        <family val="2"/>
        <charset val="1"/>
      </rPr>
      <t xml:space="preserve">FQ1 FY27 </t>
    </r>
    <r>
      <rPr>
        <sz val="11"/>
        <color theme="1"/>
        <rFont val="Noto Sans CJK SC"/>
        <family val="2"/>
      </rPr>
      <t xml:space="preserve">營收＝指引（恆等式）</t>
    </r>
  </si>
  <si>
    <t xml:space="preserve">g_gm</t>
  </si>
  <si>
    <r>
      <rPr>
        <sz val="11"/>
        <color theme="1"/>
        <rFont val="Noto Sans CJK SC"/>
        <family val="2"/>
      </rPr>
      <t xml:space="preserve">公司指引：</t>
    </r>
    <r>
      <rPr>
        <sz val="11"/>
        <color theme="1"/>
        <rFont val="Calibri"/>
        <family val="2"/>
        <charset val="1"/>
      </rPr>
      <t xml:space="preserve">FQ1 FY27 GAAP </t>
    </r>
    <r>
      <rPr>
        <sz val="11"/>
        <color theme="1"/>
        <rFont val="Noto Sans CJK SC"/>
        <family val="2"/>
      </rPr>
      <t xml:space="preserve">毛利率中值</t>
    </r>
  </si>
  <si>
    <r>
      <rPr>
        <sz val="11"/>
        <color theme="1"/>
        <rFont val="Calibri"/>
        <family val="2"/>
        <charset val="1"/>
      </rPr>
      <t xml:space="preserve">SanDisk FQ4 FY26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GAAP 83.0–84.9%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 83.0–85.0%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</si>
  <si>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用來校準單位成本（</t>
    </r>
    <r>
      <rPr>
        <sz val="11"/>
        <color theme="1"/>
        <rFont val="Calibri"/>
        <family val="2"/>
        <charset val="1"/>
      </rPr>
      <t xml:space="preserve">FQ1 FY27 </t>
    </r>
    <r>
      <rPr>
        <sz val="11"/>
        <color theme="1"/>
        <rFont val="Noto Sans CJK SC"/>
        <family val="2"/>
      </rPr>
      <t xml:space="preserve">為基準季）</t>
    </r>
  </si>
  <si>
    <t xml:space="preserve">g_ox</t>
  </si>
  <si>
    <r>
      <rPr>
        <sz val="11"/>
        <color theme="1"/>
        <rFont val="Noto Sans CJK SC"/>
        <family val="2"/>
      </rPr>
      <t xml:space="preserve">公司指引：</t>
    </r>
    <r>
      <rPr>
        <sz val="11"/>
        <color theme="1"/>
        <rFont val="Calibri"/>
        <family val="2"/>
        <charset val="1"/>
      </rPr>
      <t xml:space="preserve">FQ1 FY27 GAAP </t>
    </r>
    <r>
      <rPr>
        <sz val="11"/>
        <color theme="1"/>
        <rFont val="Noto Sans CJK SC"/>
        <family val="2"/>
      </rPr>
      <t xml:space="preserve">營業費用中值</t>
    </r>
  </si>
  <si>
    <r>
      <rPr>
        <sz val="11"/>
        <color theme="1"/>
        <rFont val="Calibri"/>
        <family val="2"/>
        <charset val="1"/>
      </rPr>
      <t xml:space="preserve">SanDisk FQ4 FY26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GAAP $574–614M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 $520–540M</t>
    </r>
    <r>
      <rPr>
        <sz val="11"/>
        <color theme="1"/>
        <rFont val="Noto Sans CJK SC"/>
        <family val="2"/>
      </rPr>
      <t xml:space="preserve">）</t>
    </r>
  </si>
  <si>
    <t xml:space="preserve">g_eps</t>
  </si>
  <si>
    <r>
      <rPr>
        <sz val="11"/>
        <color theme="1"/>
        <rFont val="Noto Sans CJK SC"/>
        <family val="2"/>
      </rPr>
      <t xml:space="preserve">公司指引：</t>
    </r>
    <r>
      <rPr>
        <sz val="11"/>
        <color theme="1"/>
        <rFont val="Calibri"/>
        <family val="2"/>
        <charset val="1"/>
      </rPr>
      <t xml:space="preserve">FQ1 FY27 non-GAAP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中值</t>
    </r>
  </si>
  <si>
    <r>
      <rPr>
        <sz val="11"/>
        <color theme="1"/>
        <rFont val="Calibri"/>
        <family val="2"/>
        <charset val="1"/>
      </rPr>
      <t xml:space="preserve">SanDisk FQ4 FY26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$44.00–46.00</t>
    </r>
    <r>
      <rPr>
        <sz val="11"/>
        <color theme="1"/>
        <rFont val="Noto Sans CJK SC"/>
        <family val="2"/>
      </rPr>
      <t xml:space="preserve">；稀釋股數約 </t>
    </r>
    <r>
      <rPr>
        <sz val="11"/>
        <color theme="1"/>
        <rFont val="Calibri"/>
        <family val="2"/>
        <charset val="1"/>
      </rPr>
      <t xml:space="preserve">155 </t>
    </r>
    <r>
      <rPr>
        <sz val="11"/>
        <color theme="1"/>
        <rFont val="Noto Sans CJK SC"/>
        <family val="2"/>
      </rPr>
      <t xml:space="preserve">百萬股、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15%</t>
    </r>
  </si>
  <si>
    <t xml:space="preserve">g_sh</t>
  </si>
  <si>
    <r>
      <rPr>
        <sz val="11"/>
        <color theme="1"/>
        <rFont val="Noto Sans CJK SC"/>
        <family val="2"/>
      </rPr>
      <t xml:space="preserve">公司指引：</t>
    </r>
    <r>
      <rPr>
        <sz val="11"/>
        <color theme="1"/>
        <rFont val="Calibri"/>
        <family val="2"/>
        <charset val="1"/>
      </rPr>
      <t xml:space="preserve">FQ1 FY27 </t>
    </r>
    <r>
      <rPr>
        <sz val="11"/>
        <color theme="1"/>
        <rFont val="Noto Sans CJK SC"/>
        <family val="2"/>
      </rPr>
      <t xml:space="preserve">稀釋股數</t>
    </r>
  </si>
  <si>
    <t xml:space="preserve">百萬股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</si>
  <si>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成本、費用、稅（公司特有；隨情境者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最有利、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最不利）</t>
    </r>
  </si>
  <si>
    <t xml:space="preserve">cd_A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</si>
  <si>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：每位元成本年降</t>
    </r>
  </si>
  <si>
    <t xml:space="preserve">Assumed</t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</si>
  <si>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BiCS8→BiCS10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332 </t>
    </r>
    <r>
      <rPr>
        <sz val="11"/>
        <color theme="1"/>
        <rFont val="Noto Sans CJK SC"/>
        <family val="2"/>
      </rPr>
      <t xml:space="preserve">層，密度約 </t>
    </r>
    <r>
      <rPr>
        <sz val="11"/>
        <color theme="1"/>
        <rFont val="Calibri"/>
        <family val="2"/>
        <charset val="1"/>
      </rPr>
      <t xml:space="preserve">+59%</t>
    </r>
    <r>
      <rPr>
        <sz val="11"/>
        <color theme="1"/>
        <rFont val="Noto Sans CJK SC"/>
        <family val="2"/>
      </rPr>
      <t xml:space="preserve">）如期量產，每位元成本年降約 </t>
    </r>
    <r>
      <rPr>
        <sz val="11"/>
        <color theme="1"/>
        <rFont val="Calibri"/>
        <family val="2"/>
        <charset val="1"/>
      </rPr>
      <t xml:space="preserve">14%</t>
    </r>
  </si>
  <si>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FQ1 FY27 </t>
    </r>
    <r>
      <rPr>
        <sz val="11"/>
        <color theme="1"/>
        <rFont val="Noto Sans CJK SC"/>
        <family val="2"/>
      </rPr>
      <t xml:space="preserve">指引毛利率校準的單位成本為起點；歷史每位元成本年降約 </t>
    </r>
    <r>
      <rPr>
        <sz val="11"/>
        <color theme="1"/>
        <rFont val="Calibri"/>
        <family val="2"/>
        <charset val="1"/>
      </rPr>
      <t xml:space="preserve">15–20%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：產業製程轉換）</t>
    </r>
  </si>
  <si>
    <t xml:space="preserve">cd_B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</si>
  <si>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：每位元成本年降</t>
    </r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</si>
  <si>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：轉換略延後</t>
    </r>
  </si>
  <si>
    <t xml:space="preserve">同上</t>
  </si>
  <si>
    <t xml:space="preserve">cd_C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</si>
  <si>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：每位元成本年降</t>
    </r>
  </si>
  <si>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：需求轉弱、稼動率下降，固定成本攤提使年降縮小</t>
    </r>
  </si>
  <si>
    <t xml:space="preserve">ox_var</t>
  </si>
  <si>
    <r>
      <rPr>
        <sz val="11"/>
        <color theme="1"/>
        <rFont val="Noto Sans CJK SC"/>
        <family val="2"/>
      </rPr>
      <t xml:space="preserve">營業費用變動率（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</si>
  <si>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r>
      <rPr>
        <sz val="11"/>
        <color theme="1"/>
        <rFont val="Calibri"/>
        <family val="2"/>
        <charset val="1"/>
      </rPr>
      <t xml:space="preserve">FY26 GAAP </t>
    </r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2.083 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20.248 ≈ 10%</t>
    </r>
    <r>
      <rPr>
        <sz val="11"/>
        <color theme="1"/>
        <rFont val="Noto Sans CJK SC"/>
        <family val="2"/>
      </rPr>
      <t xml:space="preserve">，但多為固定；</t>
    </r>
    <r>
      <rPr>
        <sz val="11"/>
        <color theme="1"/>
        <rFont val="Calibri"/>
        <family val="2"/>
        <charset val="1"/>
      </rPr>
      <t xml:space="preserve">FQ4 0.545 ÷ 8.965 ≈ 6%</t>
    </r>
  </si>
  <si>
    <r>
      <rPr>
        <sz val="11"/>
        <color theme="1"/>
        <rFont val="Noto Sans CJK SC"/>
        <family val="2"/>
      </rPr>
      <t xml:space="preserve">固定部分＝指引營業費用 − 變動率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指引營收（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</si>
  <si>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ox_g</t>
  </si>
  <si>
    <t xml:space="preserve">營業費用固定部分年增</t>
  </si>
  <si>
    <r>
      <rPr>
        <sz val="11"/>
        <color theme="1"/>
        <rFont val="Noto Sans CJK SC"/>
        <family val="2"/>
      </rPr>
      <t xml:space="preserve">研發（</t>
    </r>
    <r>
      <rPr>
        <sz val="11"/>
        <color theme="1"/>
        <rFont val="Calibri"/>
        <family val="2"/>
        <charset val="1"/>
      </rPr>
      <t xml:space="preserve">BiCS10</t>
    </r>
    <r>
      <rPr>
        <sz val="11"/>
        <color theme="1"/>
        <rFont val="Noto Sans CJK SC"/>
        <family val="2"/>
      </rPr>
      <t xml:space="preserve">、企業級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控制晶片）與獎金</t>
    </r>
  </si>
  <si>
    <t xml:space="preserve">tax</t>
  </si>
  <si>
    <t xml:space="preserve">有效稅率</t>
  </si>
  <si>
    <r>
      <rPr>
        <sz val="11"/>
        <color theme="1"/>
        <rFont val="Noto Sans CJK SC"/>
        <family val="2"/>
      </rPr>
      <t xml:space="preserve">公司指引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FQ1 FY27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</si>
  <si>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稅率未指引</t>
    </r>
  </si>
  <si>
    <t xml:space="preserve">rf</t>
  </si>
  <si>
    <t xml:space="preserve">淨現金收益率</t>
  </si>
  <si>
    <t xml:space="preserve">美元短期利率</t>
  </si>
  <si>
    <t xml:space="preserve">sd_k</t>
  </si>
  <si>
    <r>
      <rPr>
        <sz val="11"/>
        <color theme="1"/>
        <rFont val="Noto Sans CJK SC"/>
        <family val="2"/>
      </rPr>
      <t xml:space="preserve">公司營收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市場層 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口徑）</t>
    </r>
  </si>
  <si>
    <t xml:space="preserve">x</t>
  </si>
  <si>
    <t xml:space="preserve">Derived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</si>
  <si>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市場層 </t>
    </r>
    <r>
      <rPr>
        <sz val="11"/>
        <color theme="1"/>
        <rFont val="Calibri"/>
        <family val="2"/>
        <charset val="1"/>
      </rPr>
      <t xml:space="preserve">2025Q3–2026Q2 SanDisk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</si>
  <si>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以公司財報為準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</si>
  <si>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資本、股東回饋（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年底＝</t>
    </r>
    <r>
      <rPr>
        <b val="true"/>
        <sz val="11"/>
        <rFont val="Cambria"/>
        <family val="0"/>
        <charset val="1"/>
      </rPr>
      <t xml:space="preserve">2026-07-03</t>
    </r>
    <r>
      <rPr>
        <b val="true"/>
        <sz val="11"/>
        <rFont val="Noto Sans CJK SC"/>
        <family val="2"/>
      </rPr>
      <t xml:space="preserve">）</t>
    </r>
  </si>
  <si>
    <t xml:space="preserve">eq0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</si>
  <si>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年底股東權益</t>
    </r>
  </si>
  <si>
    <t xml:space="preserve">nc0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</si>
  <si>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年底淨現金（現金 − 負債）</t>
    </r>
  </si>
  <si>
    <r>
      <rPr>
        <sz val="11"/>
        <color theme="1"/>
        <rFont val="Calibri"/>
        <family val="2"/>
        <charset val="1"/>
      </rPr>
      <t xml:space="preserve">SanDisk FQ4 FY26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）：現金 </t>
    </r>
    <r>
      <rPr>
        <sz val="11"/>
        <color theme="1"/>
        <rFont val="Calibri"/>
        <family val="2"/>
        <charset val="1"/>
      </rPr>
      <t xml:space="preserve">4.762</t>
    </r>
    <r>
      <rPr>
        <sz val="11"/>
        <color theme="1"/>
        <rFont val="Noto Sans CJK SC"/>
        <family val="2"/>
      </rPr>
      <t xml:space="preserve">、負債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（已全數清償）</t>
    </r>
  </si>
  <si>
    <t xml:space="preserve">sh0</t>
  </si>
  <si>
    <r>
      <rPr>
        <sz val="11"/>
        <color theme="1"/>
        <rFont val="Noto Sans CJK SC"/>
        <family val="2"/>
      </rPr>
      <t xml:space="preserve">流通股數（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年底後）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</si>
  <si>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統計頁（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146.42M</t>
    </r>
  </si>
  <si>
    <r>
      <rPr>
        <sz val="11"/>
        <color theme="1"/>
        <rFont val="Calibri"/>
        <family val="2"/>
        <charset val="1"/>
      </rPr>
      <t xml:space="preserve">MarketScreener FY2027 </t>
    </r>
    <r>
      <rPr>
        <sz val="11"/>
        <color theme="1"/>
        <rFont val="Noto Sans CJK SC"/>
        <family val="2"/>
      </rPr>
      <t xml:space="preserve">股數 </t>
    </r>
    <r>
      <rPr>
        <sz val="11"/>
        <color theme="1"/>
        <rFont val="Calibri"/>
        <family val="2"/>
        <charset val="1"/>
      </rPr>
      <t xml:space="preserve">146.419M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FQ4 </t>
    </r>
    <r>
      <rPr>
        <sz val="11"/>
        <color theme="1"/>
        <rFont val="Noto Sans CJK SC"/>
        <family val="2"/>
      </rPr>
      <t xml:space="preserve">已買回 </t>
    </r>
    <r>
      <rPr>
        <sz val="11"/>
        <color theme="1"/>
        <rFont val="Calibri"/>
        <family val="2"/>
        <charset val="1"/>
      </rPr>
      <t xml:space="preserve">$4.524B</t>
    </r>
  </si>
  <si>
    <t xml:space="preserve">dil</t>
  </si>
  <si>
    <t xml:space="preserve">稀釋股數 − 流通股數</t>
  </si>
  <si>
    <r>
      <rPr>
        <sz val="11"/>
        <color theme="1"/>
        <rFont val="Noto Sans CJK SC"/>
        <family val="2"/>
      </rPr>
      <t xml:space="preserve">公司指引稀釋約 </t>
    </r>
    <r>
      <rPr>
        <sz val="11"/>
        <color theme="1"/>
        <rFont val="Calibri"/>
        <family val="2"/>
        <charset val="1"/>
      </rPr>
      <t xml:space="preserve">155 − </t>
    </r>
    <r>
      <rPr>
        <sz val="11"/>
        <color theme="1"/>
        <rFont val="Noto Sans CJK SC"/>
        <family val="2"/>
      </rPr>
      <t xml:space="preserve">流通 </t>
    </r>
    <r>
      <rPr>
        <sz val="11"/>
        <color theme="1"/>
        <rFont val="Calibri"/>
        <family val="2"/>
        <charset val="1"/>
      </rPr>
      <t xml:space="preserve">146.42</t>
    </r>
  </si>
  <si>
    <t xml:space="preserve">各年固定</t>
  </si>
  <si>
    <t xml:space="preserve">da_y</t>
  </si>
  <si>
    <t xml:space="preserve">折舊攤銷（公司本身；年）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</si>
  <si>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</si>
  <si>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SanDisk FQ4 FY26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FY26 0.149</t>
    </r>
  </si>
  <si>
    <t xml:space="preserve">合資廠折舊在晶圓成本（營業成本）內</t>
  </si>
  <si>
    <t xml:space="preserve">cap_r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</si>
  <si>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營收（含合資群分攤；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</si>
  <si>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Motley Fool 2026-08-29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SanDisk FY27 </t>
    </r>
    <r>
      <rPr>
        <sz val="11"/>
        <color theme="1"/>
        <rFont val="Noto Sans CJK SC"/>
        <family val="2"/>
      </rPr>
      <t xml:space="preserve">毛資本支出約營收 </t>
    </r>
    <r>
      <rPr>
        <sz val="11"/>
        <color theme="1"/>
        <rFont val="Calibri"/>
        <family val="2"/>
        <charset val="1"/>
      </rPr>
      <t xml:space="preserve">6%</t>
    </r>
    <r>
      <rPr>
        <sz val="11"/>
        <color theme="1"/>
        <rFont val="Noto Sans CJK SC"/>
        <family val="2"/>
      </rPr>
      <t xml:space="preserve">（含與 </t>
    </r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合資的分攤）</t>
    </r>
  </si>
  <si>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毛資本支出 </t>
    </r>
    <r>
      <rPr>
        <sz val="11"/>
        <color theme="1"/>
        <rFont val="Calibri"/>
        <family val="2"/>
        <charset val="1"/>
      </rPr>
      <t xml:space="preserve">0.562</t>
    </r>
    <r>
      <rPr>
        <sz val="11"/>
        <color theme="1"/>
        <rFont val="Noto Sans CJK SC"/>
        <family val="2"/>
      </rPr>
      <t xml:space="preserve">（其中合資分攤 </t>
    </r>
    <r>
      <rPr>
        <sz val="11"/>
        <color theme="1"/>
        <rFont val="Calibri"/>
        <family val="2"/>
        <charset val="1"/>
      </rPr>
      <t xml:space="preserve">0.519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SanDisk FQ4 FY26 </t>
    </r>
    <r>
      <rPr>
        <sz val="11"/>
        <color theme="1"/>
        <rFont val="Noto Sans CJK SC"/>
        <family val="2"/>
      </rPr>
      <t xml:space="preserve">簡報，</t>
    </r>
    <r>
      <rPr>
        <sz val="11"/>
        <color theme="1"/>
        <rFont val="Calibri"/>
        <family val="2"/>
        <charset val="1"/>
      </rPr>
      <t xml:space="preserve">markets/equipment In </t>
    </r>
    <r>
      <rPr>
        <sz val="11"/>
        <color theme="1"/>
        <rFont val="Noto Sans CJK SC"/>
        <family val="2"/>
      </rPr>
      <t xml:space="preserve">頁）</t>
    </r>
  </si>
  <si>
    <t xml:space="preserve">payout</t>
  </si>
  <si>
    <r>
      <rPr>
        <sz val="11"/>
        <color theme="1"/>
        <rFont val="Noto Sans CJK SC"/>
        <family val="2"/>
      </rPr>
      <t xml:space="preserve">買回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自由現金流</t>
    </r>
  </si>
  <si>
    <r>
      <rPr>
        <sz val="11"/>
        <color theme="1"/>
        <rFont val="Calibri"/>
        <family val="2"/>
        <charset val="1"/>
      </rPr>
      <t xml:space="preserve">SanDisk FQ4 FY26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）：新增 </t>
    </r>
    <r>
      <rPr>
        <sz val="11"/>
        <color theme="1"/>
        <rFont val="Calibri"/>
        <family val="2"/>
        <charset val="1"/>
      </rPr>
      <t xml:space="preserve">$14B </t>
    </r>
    <r>
      <rPr>
        <sz val="11"/>
        <color theme="1"/>
        <rFont val="Noto Sans CJK SC"/>
        <family val="2"/>
      </rPr>
      <t xml:space="preserve">授權（合計剩餘 </t>
    </r>
    <r>
      <rPr>
        <sz val="11"/>
        <color theme="1"/>
        <rFont val="Calibri"/>
        <family val="2"/>
        <charset val="1"/>
      </rPr>
      <t xml:space="preserve">$15.5B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FQ4 </t>
    </r>
    <r>
      <rPr>
        <sz val="11"/>
        <color theme="1"/>
        <rFont val="Noto Sans CJK SC"/>
        <family val="2"/>
      </rPr>
      <t xml:space="preserve">買回 </t>
    </r>
    <r>
      <rPr>
        <sz val="11"/>
        <color theme="1"/>
        <rFont val="Calibri"/>
        <family val="2"/>
        <charset val="1"/>
      </rPr>
      <t xml:space="preserve">$4.524B</t>
    </r>
  </si>
  <si>
    <t xml:space="preserve">無現金股利</t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</si>
  <si>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</si>
  <si>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</si>
  <si>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歷史股價（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1,238.03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</si>
  <si>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參考價 </t>
    </r>
    <r>
      <rPr>
        <sz val="11"/>
        <color theme="1"/>
        <rFont val="Calibri"/>
        <family val="2"/>
        <charset val="1"/>
      </rPr>
      <t xml:space="preserve">1,238.03</t>
    </r>
    <r>
      <rPr>
        <sz val="11"/>
        <color theme="1"/>
        <rFont val="Noto Sans CJK SC"/>
        <family val="2"/>
      </rPr>
      <t xml:space="preserve">（同日）；</t>
    </r>
    <r>
      <rPr>
        <sz val="11"/>
        <color theme="1"/>
        <rFont val="Calibri"/>
        <family val="2"/>
        <charset val="1"/>
      </rPr>
      <t xml:space="preserve">10-09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1,581.82</t>
    </r>
  </si>
  <si>
    <t xml:space="preserve">bb_px</t>
  </si>
  <si>
    <t xml:space="preserve">未來買回均價</t>
  </si>
  <si>
    <t xml:space="preserve">＝現價</t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</si>
  <si>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共識與對帳參考（只放 </t>
    </r>
    <r>
      <rPr>
        <b val="true"/>
        <sz val="11"/>
        <rFont val="Cambria"/>
        <family val="0"/>
        <charset val="1"/>
      </rPr>
      <t xml:space="preserve">Recon</t>
    </r>
    <r>
      <rPr>
        <b val="true"/>
        <sz val="11"/>
        <rFont val="Noto Sans CJK SC"/>
        <family val="2"/>
      </rPr>
      <t xml:space="preserve">，不作校準）</t>
    </r>
  </si>
  <si>
    <t xml:space="preserve">cons_rev27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</si>
  <si>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</si>
  <si>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預估頁（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擷取；頁面為 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收盤；會計年度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月）：</t>
    </r>
    <r>
      <rPr>
        <sz val="11"/>
        <color theme="1"/>
        <rFont val="Calibri"/>
        <family val="2"/>
        <charset val="1"/>
      </rPr>
      <t xml:space="preserve">49,135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21 </t>
    </r>
    <r>
      <rPr>
        <sz val="11"/>
        <color theme="1"/>
        <rFont val="Noto Sans CJK SC"/>
        <family val="2"/>
      </rPr>
      <t xml:space="preserve">位）平均 </t>
    </r>
    <r>
      <rPr>
        <sz val="11"/>
        <color theme="1"/>
        <rFont val="Calibri"/>
        <family val="2"/>
        <charset val="1"/>
      </rPr>
      <t xml:space="preserve">49.1</t>
    </r>
    <r>
      <rPr>
        <sz val="11"/>
        <color theme="1"/>
        <rFont val="Noto Sans CJK SC"/>
        <family val="2"/>
      </rPr>
      <t xml:space="preserve">、區間 </t>
    </r>
    <r>
      <rPr>
        <sz val="11"/>
        <color theme="1"/>
        <rFont val="Calibri"/>
        <family val="2"/>
        <charset val="1"/>
      </rPr>
      <t xml:space="preserve">43.4–53.2</t>
    </r>
  </si>
  <si>
    <t xml:space="preserve">cons_rev28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</si>
  <si>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FY2028</t>
    </r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</si>
  <si>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預估頁（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擷取；頁面為 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收盤；會計年度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月）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</si>
  <si>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</si>
  <si>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FY2027</t>
    </r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</si>
  <si>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預估頁（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擷取；頁面為 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收盤；會計年度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月）：</t>
    </r>
    <r>
      <rPr>
        <sz val="11"/>
        <color theme="1"/>
        <rFont val="Calibri"/>
        <family val="2"/>
        <charset val="1"/>
      </rPr>
      <t xml:space="preserve">217.4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21 </t>
    </r>
    <r>
      <rPr>
        <sz val="11"/>
        <color theme="1"/>
        <rFont val="Noto Sans CJK SC"/>
        <family val="2"/>
      </rPr>
      <t xml:space="preserve">位）</t>
    </r>
    <r>
      <rPr>
        <sz val="11"/>
        <color theme="1"/>
        <rFont val="Calibri"/>
        <family val="2"/>
        <charset val="1"/>
      </rPr>
      <t xml:space="preserve">non-GAAP 214.82</t>
    </r>
    <r>
      <rPr>
        <sz val="11"/>
        <color theme="1"/>
        <rFont val="Noto Sans CJK SC"/>
        <family val="2"/>
      </rPr>
      <t xml:space="preserve">、區間 </t>
    </r>
    <r>
      <rPr>
        <sz val="11"/>
        <color theme="1"/>
        <rFont val="Calibri"/>
        <family val="2"/>
        <charset val="1"/>
      </rPr>
      <t xml:space="preserve">186.97–238.36</t>
    </r>
  </si>
  <si>
    <t xml:space="preserve">cons_eps28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</si>
  <si>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FY2028</t>
    </r>
  </si>
  <si>
    <t xml:space="preserve">cons_eps29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</si>
  <si>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FY2029</t>
    </r>
  </si>
  <si>
    <t xml:space="preserve">cons_bv27</t>
  </si>
  <si>
    <r>
      <rPr>
        <sz val="11"/>
        <color theme="1"/>
        <rFont val="Noto Sans CJK SC"/>
        <family val="2"/>
      </rPr>
      <t xml:space="preserve">共識每股淨值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年底（</t>
    </r>
    <r>
      <rPr>
        <sz val="11"/>
        <color theme="1"/>
        <rFont val="Calibri"/>
        <family val="2"/>
        <charset val="1"/>
      </rPr>
      <t xml:space="preserve">2027-06</t>
    </r>
    <r>
      <rPr>
        <sz val="11"/>
        <color theme="1"/>
        <rFont val="Noto Sans CJK SC"/>
        <family val="2"/>
      </rPr>
      <t xml:space="preserve">）</t>
    </r>
  </si>
  <si>
    <t xml:space="preserve">cons_bv28</t>
  </si>
  <si>
    <r>
      <rPr>
        <sz val="11"/>
        <color theme="1"/>
        <rFont val="Noto Sans CJK SC"/>
        <family val="2"/>
      </rPr>
      <t xml:space="preserve">共識每股淨值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年底（</t>
    </r>
    <r>
      <rPr>
        <sz val="11"/>
        <color theme="1"/>
        <rFont val="Calibri"/>
        <family val="2"/>
        <charset val="1"/>
      </rPr>
      <t xml:space="preserve">2028-06</t>
    </r>
    <r>
      <rPr>
        <sz val="11"/>
        <color theme="1"/>
        <rFont val="Noto Sans CJK SC"/>
        <family val="2"/>
      </rPr>
      <t xml:space="preserve">）</t>
    </r>
  </si>
  <si>
    <t xml:space="preserve">cons_bv29</t>
  </si>
  <si>
    <r>
      <rPr>
        <sz val="11"/>
        <color theme="1"/>
        <rFont val="Noto Sans CJK SC"/>
        <family val="2"/>
      </rPr>
      <t xml:space="preserve">共識每股淨值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年底（</t>
    </r>
    <r>
      <rPr>
        <sz val="11"/>
        <color theme="1"/>
        <rFont val="Calibri"/>
        <family val="2"/>
        <charset val="1"/>
      </rPr>
      <t xml:space="preserve">2029-06</t>
    </r>
    <r>
      <rPr>
        <sz val="11"/>
        <color theme="1"/>
        <rFont val="Noto Sans CJK SC"/>
        <family val="2"/>
      </rPr>
      <t xml:space="preserve">）</t>
    </r>
  </si>
  <si>
    <t xml:space="preserve">cons_ni27</t>
  </si>
  <si>
    <r>
      <rPr>
        <sz val="11"/>
        <color theme="1"/>
        <rFont val="Noto Sans CJK SC"/>
        <family val="2"/>
      </rPr>
      <t xml:space="preserve">共識淨利 </t>
    </r>
    <r>
      <rPr>
        <sz val="11"/>
        <color theme="1"/>
        <rFont val="Calibri"/>
        <family val="2"/>
        <charset val="1"/>
      </rPr>
      <t xml:space="preserve">FY2027</t>
    </r>
  </si>
  <si>
    <t xml:space="preserve">cons_ni28</t>
  </si>
  <si>
    <r>
      <rPr>
        <sz val="11"/>
        <color theme="1"/>
        <rFont val="Noto Sans CJK SC"/>
        <family val="2"/>
      </rPr>
      <t xml:space="preserve">共識淨利 </t>
    </r>
    <r>
      <rPr>
        <sz val="11"/>
        <color theme="1"/>
        <rFont val="Calibri"/>
        <family val="2"/>
        <charset val="1"/>
      </rPr>
      <t xml:space="preserve">FY2028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</si>
  <si>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目標價參數（黃底；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頁第 </t>
    </r>
    <r>
      <rPr>
        <b val="true"/>
        <sz val="11"/>
        <rFont val="Cambria"/>
        <family val="0"/>
        <charset val="1"/>
      </rPr>
      <t xml:space="preserve">0 </t>
    </r>
    <r>
      <rPr>
        <b val="true"/>
        <sz val="11"/>
        <rFont val="Noto Sans CJK SC"/>
        <family val="2"/>
      </rPr>
      <t xml:space="preserve">節 </t>
    </r>
    <r>
      <rPr>
        <b val="true"/>
        <sz val="11"/>
        <rFont val="Cambria"/>
        <family val="0"/>
        <charset val="1"/>
      </rPr>
      <t xml:space="preserve">DCF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與收斂法用；</t>
    </r>
    <r>
      <rPr>
        <b val="true"/>
        <sz val="11"/>
        <rFont val="Cambria"/>
        <family val="0"/>
        <charset val="1"/>
      </rPr>
      <t xml:space="preserve">Assumed </t>
    </r>
    <r>
      <rPr>
        <b val="true"/>
        <sz val="11"/>
        <rFont val="Noto Sans CJK SC"/>
        <family val="2"/>
      </rPr>
      <t xml:space="preserve">者 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</si>
  <si>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</si>
  <si>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</si>
  <si>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</si>
  <si>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</si>
  <si>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</si>
  <si>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</si>
  <si>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</si>
  <si>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</si>
  <si>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tp_r</t>
  </si>
  <si>
    <t xml:space="preserve">折現率（股東權益要求報酬；美、台、日、韓同一值）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</si>
  <si>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）</t>
    </r>
  </si>
  <si>
    <t xml:space="preserve">記憶體循環股的盈餘波動大於一般大型股；依工作單不改值</t>
  </si>
  <si>
    <t xml:space="preserve">tp_g</t>
  </si>
  <si>
    <r>
      <rPr>
        <sz val="11"/>
        <color theme="1"/>
        <rFont val="Noto Sans CJK SC"/>
        <family val="2"/>
      </rPr>
      <t xml:space="preserve">長期成長率（永續；收斂法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</si>
  <si>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</si>
  <si>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</si>
  <si>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（近年平均；</t>
    </r>
    <r>
      <rPr>
        <sz val="11"/>
        <color theme="1"/>
        <rFont val="Calibri"/>
        <family val="2"/>
        <charset val="1"/>
      </rPr>
      <t xml:space="preserve">FY2025–FY2026</t>
    </r>
    <r>
      <rPr>
        <sz val="11"/>
        <color theme="1"/>
        <rFont val="Noto Sans CJK SC"/>
        <family val="2"/>
      </rPr>
      <t xml:space="preserve">，上市不足三年）</t>
    </r>
  </si>
  <si>
    <r>
      <rPr>
        <sz val="11"/>
        <color theme="1"/>
        <rFont val="Calibri"/>
        <family val="2"/>
        <charset val="1"/>
      </rPr>
      <t xml:space="preserve">SanDisk FQ4 FY26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淨利 −</t>
    </r>
    <r>
      <rPr>
        <sz val="11"/>
        <color theme="1"/>
        <rFont val="Calibri"/>
        <family val="2"/>
        <charset val="1"/>
      </rPr>
      <t xml:space="preserve">1.641 ÷ </t>
    </r>
    <r>
      <rPr>
        <sz val="11"/>
        <color theme="1"/>
        <rFont val="Noto Sans CJK SC"/>
        <family val="2"/>
      </rPr>
      <t xml:space="preserve">權益 </t>
    </r>
    <r>
      <rPr>
        <sz val="11"/>
        <color theme="1"/>
        <rFont val="Calibri"/>
        <family val="2"/>
        <charset val="1"/>
      </rPr>
      <t xml:space="preserve">9.216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11.433 ÷ 15.736</t>
    </r>
  </si>
  <si>
    <r>
      <rPr>
        <sz val="11"/>
        <color theme="1"/>
        <rFont val="Calibri"/>
        <family val="2"/>
        <charset val="1"/>
      </rPr>
      <t xml:space="preserve">2025-02 </t>
    </r>
    <r>
      <rPr>
        <sz val="11"/>
        <color theme="1"/>
        <rFont val="Noto Sans CJK SC"/>
        <family val="2"/>
      </rPr>
      <t xml:space="preserve">自 </t>
    </r>
    <r>
      <rPr>
        <sz val="11"/>
        <color theme="1"/>
        <rFont val="Calibri"/>
        <family val="2"/>
        <charset val="1"/>
      </rPr>
      <t xml:space="preserve">WDC </t>
    </r>
    <r>
      <rPr>
        <sz val="11"/>
        <color theme="1"/>
        <rFont val="Noto Sans CJK SC"/>
        <family val="2"/>
      </rPr>
      <t xml:space="preserve">分拆上市，</t>
    </r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以前為 </t>
    </r>
    <r>
      <rPr>
        <sz val="11"/>
        <color theme="1"/>
        <rFont val="Calibri"/>
        <family val="2"/>
        <charset val="1"/>
      </rPr>
      <t xml:space="preserve">WDC </t>
    </r>
    <r>
      <rPr>
        <sz val="11"/>
        <color theme="1"/>
        <rFont val="Noto Sans CJK SC"/>
        <family val="2"/>
      </rPr>
      <t xml:space="preserve">快閃記憶體事業（無獨立權益）；只用兩年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</si>
  <si>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</si>
  <si>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</si>
  <si>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11:53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</si>
  <si>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nim10</t>
  </si>
  <si>
    <r>
      <rPr>
        <sz val="11"/>
        <color theme="1"/>
        <rFont val="Noto Sans CJK SC"/>
        <family val="2"/>
      </rPr>
      <t xml:space="preserve">十年平均淨利率（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：美光 </t>
    </r>
    <r>
      <rPr>
        <sz val="11"/>
        <color theme="1"/>
        <rFont val="Calibri"/>
        <family val="2"/>
        <charset val="1"/>
      </rPr>
      <t xml:space="preserve">FY2016–FY2025</t>
    </r>
    <r>
      <rPr>
        <sz val="11"/>
        <color theme="1"/>
        <rFont val="Noto Sans CJK SC"/>
        <family val="2"/>
      </rPr>
      <t xml:space="preserve">）</t>
    </r>
  </si>
  <si>
    <t xml:space="preserve">Analogy</t>
  </si>
  <si>
    <r>
      <rPr>
        <sz val="11"/>
        <color theme="1"/>
        <rFont val="Calibri"/>
        <family val="2"/>
        <charset val="1"/>
      </rPr>
      <t xml:space="preserve">micron/dist/20261025_</t>
    </r>
    <r>
      <rPr>
        <sz val="11"/>
        <color theme="1"/>
        <rFont val="Noto Sans CJK SC"/>
        <family val="2"/>
      </rPr>
      <t xml:space="preserve">美光模型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In!E244</t>
    </r>
  </si>
  <si>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獨立上市不足十年（</t>
    </r>
    <r>
      <rPr>
        <sz val="11"/>
        <color theme="1"/>
        <rFont val="Calibri"/>
        <family val="2"/>
        <charset val="1"/>
      </rPr>
      <t xml:space="preserve">2025-02 </t>
    </r>
    <r>
      <rPr>
        <sz val="11"/>
        <color theme="1"/>
        <rFont val="Noto Sans CJK SC"/>
        <family val="2"/>
      </rPr>
      <t xml:space="preserve">分拆），以同為記憶體循環股的美光十年平均代替；差異：美光含 </t>
    </r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純度低</t>
    </r>
  </si>
  <si>
    <t xml:space="preserve">cyc_mA</t>
  </si>
  <si>
    <r>
      <rPr>
        <sz val="11"/>
        <color theme="1"/>
        <rFont val="Noto Sans CJK SC"/>
        <family val="2"/>
      </rPr>
      <t xml:space="preserve">循環中段係數：情境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淨利率收斂目標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十年平均</t>
    </r>
  </si>
  <si>
    <r>
      <rPr>
        <sz val="11"/>
        <color theme="1"/>
        <rFont val="Noto Sans CJK SC"/>
        <family val="2"/>
      </rPr>
      <t xml:space="preserve">記憶體樣板預設 </t>
    </r>
    <r>
      <rPr>
        <sz val="11"/>
        <color theme="1"/>
        <rFont val="Calibri"/>
        <family val="2"/>
        <charset val="1"/>
      </rPr>
      <t xml:space="preserve">1.2</t>
    </r>
    <r>
      <rPr>
        <sz val="11"/>
        <color theme="1"/>
        <rFont val="Noto Sans CJK SC"/>
        <family val="2"/>
      </rPr>
      <t xml:space="preserve">（循環股收斂到循環中段，不延續高峰利潤率）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</si>
  <si>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</t>
    </r>
  </si>
  <si>
    <t xml:space="preserve">cyc_mC</t>
  </si>
  <si>
    <r>
      <rPr>
        <sz val="11"/>
        <color theme="1"/>
        <rFont val="Noto Sans CJK SC"/>
        <family val="2"/>
      </rPr>
      <t xml:space="preserve">循環中段係數：情境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淨利率收斂目標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十年平均</t>
    </r>
  </si>
  <si>
    <r>
      <rPr>
        <sz val="11"/>
        <color theme="1"/>
        <rFont val="Noto Sans CJK SC"/>
        <family val="2"/>
      </rPr>
      <t xml:space="preserve">記憶體樣板預設 </t>
    </r>
    <r>
      <rPr>
        <sz val="11"/>
        <color theme="1"/>
        <rFont val="Calibri"/>
        <family val="2"/>
        <charset val="1"/>
      </rPr>
      <t xml:space="preserve">0.8</t>
    </r>
  </si>
  <si>
    <t xml:space="preserve">fade_mA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</si>
  <si>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淨利率收斂目標（循環中段：十年平均 </t>
    </r>
    <r>
      <rPr>
        <sz val="11"/>
        <color theme="1"/>
        <rFont val="Calibri"/>
        <family val="2"/>
        <charset val="1"/>
      </rPr>
      <t xml:space="preserve">× cyc_mA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</si>
  <si>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主串指示：循環產業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後收斂用十年平均（記憶體樣板的循環中段）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</si>
  <si>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淨利率線性收斂，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</t>
    </r>
  </si>
  <si>
    <t xml:space="preserve">fade_mB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</si>
  <si>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淨利率收斂目標（循環中段：＝十年平均）</t>
    </r>
  </si>
  <si>
    <t xml:space="preserve">fade_mC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</si>
  <si>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淨利率收斂目標（循環中段：十年平均 </t>
    </r>
    <r>
      <rPr>
        <sz val="11"/>
        <color theme="1"/>
        <rFont val="Calibri"/>
        <family val="2"/>
        <charset val="1"/>
      </rPr>
      <t xml:space="preserve">× cyc_mC</t>
    </r>
    <r>
      <rPr>
        <sz val="11"/>
        <color theme="1"/>
        <rFont val="Noto Sans CJK SC"/>
        <family val="2"/>
      </rPr>
      <t xml:space="preserve">）</t>
    </r>
  </si>
  <si>
    <t xml:space="preserve">fade_gA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</si>
  <si>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</si>
  <si>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</si>
  <si>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</t>
    </r>
  </si>
  <si>
    <t xml:space="preserve">fade_gB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</si>
  <si>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</si>
  <si>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</si>
  <si>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</si>
  <si>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cons_tp</t>
  </si>
  <si>
    <t xml:space="preserve">市場共識目標價（賣方平均；低／高＝最低／最高）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</si>
  <si>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位，</t>
    </r>
    <r>
      <rPr>
        <sz val="11"/>
        <color theme="1"/>
        <rFont val="Calibri"/>
        <family val="2"/>
        <charset val="1"/>
      </rPr>
      <t xml:space="preserve">2026-10-18 </t>
    </r>
    <r>
      <rPr>
        <sz val="11"/>
        <color theme="1"/>
        <rFont val="Noto Sans CJK SC"/>
        <family val="2"/>
      </rPr>
      <t xml:space="preserve">更新）：平均 </t>
    </r>
    <r>
      <rPr>
        <sz val="11"/>
        <color theme="1"/>
        <rFont val="Calibri"/>
        <family val="2"/>
        <charset val="1"/>
      </rPr>
      <t xml:space="preserve">2,144</t>
    </r>
    <r>
      <rPr>
        <sz val="11"/>
        <color theme="1"/>
        <rFont val="Noto Sans CJK SC"/>
        <family val="2"/>
      </rPr>
      <t xml:space="preserve">、中位數 </t>
    </r>
    <r>
      <rPr>
        <sz val="11"/>
        <color theme="1"/>
        <rFont val="Calibri"/>
        <family val="2"/>
        <charset val="1"/>
      </rPr>
      <t xml:space="preserve">2,150</t>
    </r>
    <r>
      <rPr>
        <sz val="11"/>
        <color theme="1"/>
        <rFont val="Noto Sans CJK SC"/>
        <family val="2"/>
      </rPr>
      <t xml:space="preserve">、區間 </t>
    </r>
    <r>
      <rPr>
        <sz val="11"/>
        <color theme="1"/>
        <rFont val="Calibri"/>
        <family val="2"/>
        <charset val="1"/>
      </rPr>
      <t xml:space="preserve">1,000–3,600</t>
    </r>
  </si>
  <si>
    <r>
      <rPr>
        <sz val="11"/>
        <color theme="1"/>
        <rFont val="Calibri"/>
        <family val="2"/>
        <charset val="1"/>
      </rPr>
      <t xml:space="preserve">MarketScreener 25 </t>
    </r>
    <r>
      <rPr>
        <sz val="11"/>
        <color theme="1"/>
        <rFont val="Noto Sans CJK SC"/>
        <family val="2"/>
      </rPr>
      <t xml:space="preserve">位平均 </t>
    </r>
    <r>
      <rPr>
        <sz val="11"/>
        <color theme="1"/>
        <rFont val="Calibri"/>
        <family val="2"/>
        <charset val="1"/>
      </rPr>
      <t xml:space="preserve">2,173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10-09 </t>
    </r>
    <r>
      <rPr>
        <sz val="11"/>
        <color theme="1"/>
        <rFont val="Noto Sans CJK SC"/>
        <family val="2"/>
      </rPr>
      <t xml:space="preserve">收盤時）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</si>
  <si>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季度實績（</t>
    </r>
    <r>
      <rPr>
        <sz val="11"/>
        <color theme="1"/>
        <rFont val="Calibri"/>
        <family val="2"/>
        <charset val="1"/>
      </rPr>
      <t xml:space="preserve">$B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美元）與公司指引。會計年度約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月底結束；</t>
    </r>
    <r>
      <rPr>
        <sz val="11"/>
        <color theme="1"/>
        <rFont val="Calibri"/>
        <family val="2"/>
        <charset val="1"/>
      </rPr>
      <t xml:space="preserve">FQ1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7–9 </t>
    </r>
    <r>
      <rPr>
        <sz val="11"/>
        <color theme="1"/>
        <rFont val="Noto Sans CJK SC"/>
        <family val="2"/>
      </rPr>
      <t xml:space="preserve">月</t>
    </r>
  </si>
  <si>
    <t xml:space="preserve">FQ1 FY26</t>
  </si>
  <si>
    <t xml:space="preserve">FQ2 FY26</t>
  </si>
  <si>
    <t xml:space="preserve">FQ3 FY26</t>
  </si>
  <si>
    <t xml:space="preserve">FQ4 FY26</t>
  </si>
  <si>
    <t xml:space="preserve">FY2026</t>
  </si>
  <si>
    <r>
      <rPr>
        <b val="true"/>
        <sz val="11"/>
        <rFont val="Cambria"/>
        <family val="0"/>
        <charset val="1"/>
      </rPr>
      <t xml:space="preserve">FQ1 FY27 </t>
    </r>
    <r>
      <rPr>
        <b val="true"/>
        <sz val="11"/>
        <rFont val="Noto Sans CJK SC"/>
        <family val="2"/>
      </rPr>
      <t xml:space="preserve">指引</t>
    </r>
  </si>
  <si>
    <t xml:space="preserve">來源</t>
  </si>
  <si>
    <t xml:space="preserve">營收</t>
  </si>
  <si>
    <r>
      <rPr>
        <sz val="11"/>
        <color theme="1"/>
        <rFont val="Calibri"/>
        <family val="2"/>
        <charset val="1"/>
      </rPr>
      <t xml:space="preserve">SanDisk FQ2 FY26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2026-01-29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SanDisk FQ4 FY26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</si>
  <si>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</si>
  <si>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</si>
  <si>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淨利</t>
    </r>
  </si>
  <si>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</si>
  <si>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Noto Sans CJK SC"/>
        <family val="2"/>
      </rPr>
      <t xml:space="preserve">檢查：四季營收、淨利合計 −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（應約為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</si>
  <si>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季增：營收</t>
  </si>
  <si>
    <r>
      <rPr>
        <sz val="11"/>
        <color theme="1"/>
        <rFont val="Calibri"/>
        <family val="2"/>
        <charset val="1"/>
      </rPr>
      <t xml:space="preserve">FQ1 FY27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09</t>
    </r>
    <r>
      <rPr>
        <sz val="11"/>
        <color theme="1"/>
        <rFont val="Noto Sans CJK SC"/>
        <family val="2"/>
      </rPr>
      <t xml:space="preserve">）財報 </t>
    </r>
    <r>
      <rPr>
        <sz val="11"/>
        <color theme="1"/>
        <rFont val="Calibri"/>
        <family val="2"/>
        <charset val="1"/>
      </rPr>
      <t xml:space="preserve">2026-10-29 </t>
    </r>
    <r>
      <rPr>
        <sz val="11"/>
        <color theme="1"/>
        <rFont val="Noto Sans CJK SC"/>
        <family val="2"/>
      </rPr>
      <t xml:space="preserve">盤後公布（公司 </t>
    </r>
    <r>
      <rPr>
        <sz val="11"/>
        <color theme="1"/>
        <rFont val="Calibri"/>
        <family val="2"/>
        <charset val="1"/>
      </rPr>
      <t xml:space="preserve">2026-09-29 </t>
    </r>
    <r>
      <rPr>
        <sz val="11"/>
        <color theme="1"/>
        <rFont val="Noto Sans CJK SC"/>
        <family val="2"/>
      </rPr>
      <t xml:space="preserve">公告）；本版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第一季＝市場層推導（營收等於公司指引中值，為恆等式）</t>
    </r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</si>
  <si>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市場層 </t>
    </r>
    <r>
      <rPr>
        <sz val="11"/>
        <color theme="1"/>
        <rFont val="Calibri"/>
        <family val="2"/>
        <charset val="1"/>
      </rPr>
      <t xml:space="preserve">markets/nand </t>
    </r>
    <r>
      <rPr>
        <sz val="11"/>
        <color theme="1"/>
        <rFont val="Noto Sans CJK SC"/>
        <family val="2"/>
      </rPr>
      <t xml:space="preserve">成品的 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季度營收與位元（三情境；唯讀抄錄，藍字）。來源：</t>
    </r>
    <r>
      <rPr>
        <sz val="11"/>
        <color theme="1"/>
        <rFont val="Calibri"/>
        <family val="2"/>
        <charset val="1"/>
      </rPr>
      <t xml:space="preserve">markets/nand/dist/20261025_NAND</t>
    </r>
    <r>
      <rPr>
        <sz val="11"/>
        <color theme="1"/>
        <rFont val="Noto Sans CJK SC"/>
        <family val="2"/>
      </rPr>
      <t xml:space="preserve">市場模型</t>
    </r>
    <r>
      <rPr>
        <sz val="11"/>
        <color theme="1"/>
        <rFont val="Calibri"/>
        <family val="2"/>
        <charset val="1"/>
      </rPr>
      <t xml:space="preserve">_v0.1.xlsx</t>
    </r>
  </si>
  <si>
    <r>
      <rPr>
        <sz val="11"/>
        <color theme="1"/>
        <rFont val="Calibri"/>
        <family val="2"/>
        <charset val="1"/>
      </rPr>
      <t xml:space="preserve">C..Z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CY2025Q1..CY2030Q4</t>
    </r>
    <r>
      <rPr>
        <sz val="11"/>
        <color theme="1"/>
        <rFont val="Noto Sans CJK SC"/>
        <family val="2"/>
      </rPr>
      <t xml:space="preserve">；營收為 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口徑（</t>
    </r>
    <r>
      <rPr>
        <sz val="11"/>
        <color theme="1"/>
        <rFont val="Calibri"/>
        <family val="2"/>
        <charset val="1"/>
      </rPr>
      <t xml:space="preserve">$B</t>
    </r>
    <r>
      <rPr>
        <sz val="11"/>
        <color theme="1"/>
        <rFont val="Noto Sans CJK SC"/>
        <family val="2"/>
      </rPr>
      <t xml:space="preserve">），位元為季度出貨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營收份額（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）。合資群份額＝</t>
    </r>
    <r>
      <rPr>
        <sz val="11"/>
        <color theme="1"/>
        <rFont val="Calibri"/>
        <family val="2"/>
        <charset val="1"/>
      </rPr>
      <t xml:space="preserve">Kioxia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SanDisk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kioxia/ </t>
    </r>
    <r>
      <rPr>
        <sz val="11"/>
        <color theme="1"/>
        <rFont val="Noto Sans CJK SC"/>
        <family val="2"/>
      </rPr>
      <t xml:space="preserve">模型讀同一列）</t>
    </r>
  </si>
  <si>
    <t xml:space="preserve">2025Q1</t>
  </si>
  <si>
    <t xml:space="preserve">2025Q2</t>
  </si>
  <si>
    <t xml:space="preserve">2025Q3</t>
  </si>
  <si>
    <t xml:space="preserve">2025Q4</t>
  </si>
  <si>
    <t xml:space="preserve">2026Q1</t>
  </si>
  <si>
    <t xml:space="preserve">2026Q2</t>
  </si>
  <si>
    <t xml:space="preserve">2026Q3</t>
  </si>
  <si>
    <t xml:space="preserve">2026Q4</t>
  </si>
  <si>
    <t xml:space="preserve">2027Q1</t>
  </si>
  <si>
    <t xml:space="preserve">2027Q2</t>
  </si>
  <si>
    <t xml:space="preserve">2027Q3</t>
  </si>
  <si>
    <t xml:space="preserve">2027Q4</t>
  </si>
  <si>
    <t xml:space="preserve">2028Q1</t>
  </si>
  <si>
    <t xml:space="preserve">2028Q2</t>
  </si>
  <si>
    <t xml:space="preserve">2028Q3</t>
  </si>
  <si>
    <t xml:space="preserve">2028Q4</t>
  </si>
  <si>
    <t xml:space="preserve">2029Q1</t>
  </si>
  <si>
    <t xml:space="preserve">2029Q2</t>
  </si>
  <si>
    <t xml:space="preserve">2029Q3</t>
  </si>
  <si>
    <t xml:space="preserve">2029Q4</t>
  </si>
  <si>
    <t xml:space="preserve">2030Q1</t>
  </si>
  <si>
    <t xml:space="preserve">2030Q2</t>
  </si>
  <si>
    <t xml:space="preserve">2030Q3</t>
  </si>
  <si>
    <t xml:space="preserve">2030Q4</t>
  </si>
  <si>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營收（情境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</si>
  <si>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markets/nand/dist/20261025_NAND</t>
    </r>
    <r>
      <rPr>
        <sz val="11"/>
        <color theme="1"/>
        <rFont val="Noto Sans CJK SC"/>
        <family val="2"/>
      </rPr>
      <t xml:space="preserve">市場模型</t>
    </r>
    <r>
      <rPr>
        <sz val="11"/>
        <color theme="1"/>
        <rFont val="Calibri"/>
        <family val="2"/>
        <charset val="1"/>
      </rPr>
      <t xml:space="preserve">_v0.1.xlsx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Mkt!C44:Z44</t>
    </r>
  </si>
  <si>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營收（情境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</si>
  <si>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markets/nand/dist/20261025_NAND</t>
    </r>
    <r>
      <rPr>
        <sz val="11"/>
        <color theme="1"/>
        <rFont val="Noto Sans CJK SC"/>
        <family val="2"/>
      </rPr>
      <t xml:space="preserve">市場模型</t>
    </r>
    <r>
      <rPr>
        <sz val="11"/>
        <color theme="1"/>
        <rFont val="Calibri"/>
        <family val="2"/>
        <charset val="1"/>
      </rPr>
      <t xml:space="preserve">_v0.1.xlsx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Mkt!C92:Z92</t>
    </r>
  </si>
  <si>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營收（情境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</si>
  <si>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markets/nand/dist/20261025_NAND</t>
    </r>
    <r>
      <rPr>
        <sz val="11"/>
        <color theme="1"/>
        <rFont val="Noto Sans CJK SC"/>
        <family val="2"/>
      </rPr>
      <t xml:space="preserve">市場模型</t>
    </r>
    <r>
      <rPr>
        <sz val="11"/>
        <color theme="1"/>
        <rFont val="Calibri"/>
        <family val="2"/>
        <charset val="1"/>
      </rPr>
      <t xml:space="preserve">_v0.1.xlsx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Mkt!C140:Z140</t>
    </r>
  </si>
  <si>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位元（情境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</si>
  <si>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EB</t>
  </si>
  <si>
    <r>
      <rPr>
        <sz val="11"/>
        <color theme="1"/>
        <rFont val="Calibri"/>
        <family val="2"/>
        <charset val="1"/>
      </rPr>
      <t xml:space="preserve">markets/nand/dist/20261025_NAND</t>
    </r>
    <r>
      <rPr>
        <sz val="11"/>
        <color theme="1"/>
        <rFont val="Noto Sans CJK SC"/>
        <family val="2"/>
      </rPr>
      <t xml:space="preserve">市場模型</t>
    </r>
    <r>
      <rPr>
        <sz val="11"/>
        <color theme="1"/>
        <rFont val="Calibri"/>
        <family val="2"/>
        <charset val="1"/>
      </rPr>
      <t xml:space="preserve">_v0.1.xlsx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Mkt!C48:Z48</t>
    </r>
  </si>
  <si>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位元（情境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</si>
  <si>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markets/nand/dist/20261025_NAND</t>
    </r>
    <r>
      <rPr>
        <sz val="11"/>
        <color theme="1"/>
        <rFont val="Noto Sans CJK SC"/>
        <family val="2"/>
      </rPr>
      <t xml:space="preserve">市場模型</t>
    </r>
    <r>
      <rPr>
        <sz val="11"/>
        <color theme="1"/>
        <rFont val="Calibri"/>
        <family val="2"/>
        <charset val="1"/>
      </rPr>
      <t xml:space="preserve">_v0.1.xlsx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Mkt!C96:Z96</t>
    </r>
  </si>
  <si>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位元（情境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</si>
  <si>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markets/nand/dist/20261025_NAND</t>
    </r>
    <r>
      <rPr>
        <sz val="11"/>
        <color theme="1"/>
        <rFont val="Noto Sans CJK SC"/>
        <family val="2"/>
      </rPr>
      <t xml:space="preserve">市場模型</t>
    </r>
    <r>
      <rPr>
        <sz val="11"/>
        <color theme="1"/>
        <rFont val="Calibri"/>
        <family val="2"/>
        <charset val="1"/>
      </rPr>
      <t xml:space="preserve">_v0.1.xlsx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Mkt!C144:Z144</t>
    </r>
  </si>
  <si>
    <r>
      <rPr>
        <sz val="11"/>
        <color theme="1"/>
        <rFont val="Calibri"/>
        <family val="2"/>
        <charset val="1"/>
      </rPr>
      <t xml:space="preserve">Kioxia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合資群份額（情境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</si>
  <si>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markets/nand/dist/20261025_NAND</t>
    </r>
    <r>
      <rPr>
        <sz val="11"/>
        <color theme="1"/>
        <rFont val="Noto Sans CJK SC"/>
        <family val="2"/>
      </rPr>
      <t xml:space="preserve">市場模型</t>
    </r>
    <r>
      <rPr>
        <sz val="11"/>
        <color theme="1"/>
        <rFont val="Calibri"/>
        <family val="2"/>
        <charset val="1"/>
      </rPr>
      <t xml:space="preserve">_v0.1.xlsx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Mkt!C46:Z46</t>
    </r>
  </si>
  <si>
    <r>
      <rPr>
        <sz val="11"/>
        <color theme="1"/>
        <rFont val="Calibri"/>
        <family val="2"/>
        <charset val="1"/>
      </rPr>
      <t xml:space="preserve">Kioxia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合資群份額（情境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</si>
  <si>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markets/nand/dist/20261025_NAND</t>
    </r>
    <r>
      <rPr>
        <sz val="11"/>
        <color theme="1"/>
        <rFont val="Noto Sans CJK SC"/>
        <family val="2"/>
      </rPr>
      <t xml:space="preserve">市場模型</t>
    </r>
    <r>
      <rPr>
        <sz val="11"/>
        <color theme="1"/>
        <rFont val="Calibri"/>
        <family val="2"/>
        <charset val="1"/>
      </rPr>
      <t xml:space="preserve">_v0.1.xlsx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Mkt!C94:Z94</t>
    </r>
  </si>
  <si>
    <r>
      <rPr>
        <sz val="11"/>
        <color theme="1"/>
        <rFont val="Calibri"/>
        <family val="2"/>
        <charset val="1"/>
      </rPr>
      <t xml:space="preserve">Kioxia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合資群份額（情境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</si>
  <si>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markets/nand/dist/20261025_NAND</t>
    </r>
    <r>
      <rPr>
        <sz val="11"/>
        <color theme="1"/>
        <rFont val="Noto Sans CJK SC"/>
        <family val="2"/>
      </rPr>
      <t xml:space="preserve">市場模型</t>
    </r>
    <r>
      <rPr>
        <sz val="11"/>
        <color theme="1"/>
        <rFont val="Calibri"/>
        <family val="2"/>
        <charset val="1"/>
      </rPr>
      <t xml:space="preserve">_v0.1.xlsx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Mkt!C142:Z142</t>
    </r>
  </si>
  <si>
    <r>
      <rPr>
        <sz val="11"/>
        <color theme="1"/>
        <rFont val="Calibri"/>
        <family val="2"/>
        <charset val="1"/>
      </rPr>
      <t xml:space="preserve">PL — SanDisk </t>
    </r>
    <r>
      <rPr>
        <sz val="11"/>
        <color theme="1"/>
        <rFont val="Noto Sans CJK SC"/>
        <family val="2"/>
      </rPr>
      <t xml:space="preserve">損益（</t>
    </r>
    <r>
      <rPr>
        <sz val="11"/>
        <color theme="1"/>
        <rFont val="Calibri"/>
        <family val="2"/>
        <charset val="1"/>
      </rPr>
      <t xml:space="preserve">$B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實績；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由市場層 </t>
    </r>
    <r>
      <rPr>
        <sz val="11"/>
        <color theme="1"/>
        <rFont val="Calibri"/>
        <family val="2"/>
        <charset val="1"/>
      </rPr>
      <t xml:space="preserve">markets/nand </t>
    </r>
    <r>
      <rPr>
        <sz val="11"/>
        <color theme="1"/>
        <rFont val="Noto Sans CJK SC"/>
        <family val="2"/>
      </rPr>
      <t xml:space="preserve">驅動；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收斂法見底部）。頂端摘要，下方三情境各一個完整推導區塊</t>
    </r>
  </si>
  <si>
    <t xml:space="preserve">情境／項目</t>
  </si>
  <si>
    <t xml:space="preserve">FY2025A</t>
  </si>
  <si>
    <t xml:space="preserve">FY2026A</t>
  </si>
  <si>
    <t xml:space="preserve">FY2027</t>
  </si>
  <si>
    <t xml:space="preserve">FY2028</t>
  </si>
  <si>
    <t xml:space="preserve">FY2029</t>
  </si>
  <si>
    <t xml:space="preserve">說明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</si>
  <si>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</si>
  <si>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t xml:space="preserve">毛利率</t>
  </si>
  <si>
    <t xml:space="preserve">營業利益</t>
  </si>
  <si>
    <t xml:space="preserve">營業利益率</t>
  </si>
  <si>
    <t xml:space="preserve">淨利</t>
  </si>
  <si>
    <t xml:space="preserve">EPS</t>
  </si>
  <si>
    <t xml:space="preserve">每股淨值</t>
  </si>
  <si>
    <t xml:space="preserve">自由現金流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</si>
  <si>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</si>
  <si>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</si>
  <si>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核對：三情境 </t>
    </r>
    <r>
      <rPr>
        <sz val="11"/>
        <color theme="1"/>
        <rFont val="Calibri"/>
        <family val="2"/>
        <charset val="1"/>
      </rPr>
      <t xml:space="preserve">FY2026 − </t>
    </r>
    <r>
      <rPr>
        <sz val="11"/>
        <color theme="1"/>
        <rFont val="Noto Sans CJK SC"/>
        <family val="2"/>
      </rPr>
      <t xml:space="preserve">實績（應為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</si>
  <si>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（順利）：</t>
    </r>
    <r>
      <rPr>
        <b val="true"/>
        <sz val="11"/>
        <rFont val="Cambria"/>
        <family val="0"/>
        <charset val="1"/>
      </rPr>
      <t xml:space="preserve">markets/nand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（價格路徑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2028–29 </t>
    </r>
    <r>
      <rPr>
        <b val="true"/>
        <sz val="11"/>
        <rFont val="Noto Sans CJK SC"/>
        <family val="2"/>
      </rPr>
      <t xml:space="preserve">顆數係數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、合資群份額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）；每位元成本年降 </t>
    </r>
    <r>
      <rPr>
        <b val="true"/>
        <sz val="11"/>
        <rFont val="Cambria"/>
        <family val="0"/>
        <charset val="1"/>
      </rPr>
      <t xml:space="preserve">cd_A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</si>
  <si>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季度</t>
    </r>
  </si>
  <si>
    <r>
      <rPr>
        <b val="true"/>
        <sz val="11"/>
        <rFont val="Cambria"/>
        <family val="0"/>
        <charset val="1"/>
      </rPr>
      <t xml:space="preserve">FQ1 FY26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2025Q3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</si>
  <si>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FQ2 FY26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2025Q4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</si>
  <si>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FQ3 FY26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2026Q1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</si>
  <si>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FQ4 FY26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2026Q2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</si>
  <si>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FQ1 FY27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2026Q3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</si>
  <si>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FQ2 FY27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2026Q4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</si>
  <si>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FQ3 FY27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2027Q1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</si>
  <si>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FQ4 FY27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2027Q2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</si>
  <si>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FQ1 FY28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2027Q3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</si>
  <si>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FQ2 FY28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2027Q4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</si>
  <si>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FQ3 FY28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2028Q1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</si>
  <si>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FQ4 FY28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2028Q2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</si>
  <si>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FQ1 FY29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2028Q3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</si>
  <si>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FQ2 FY29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2028Q4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</si>
  <si>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FQ3 FY29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2029Q1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</si>
  <si>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FQ4 FY29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2029Q2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</si>
  <si>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市場層營收（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口徑，同字母情境）</t>
    </r>
  </si>
  <si>
    <r>
      <rPr>
        <sz val="11"/>
        <color theme="1"/>
        <rFont val="Calibri"/>
        <family val="2"/>
        <charset val="1"/>
      </rPr>
      <t xml:space="preserve">markets/nand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可乘份額係數、價格係數（</t>
    </r>
    <r>
      <rPr>
        <sz val="11"/>
        <color theme="1"/>
        <rFont val="Calibri"/>
        <family val="2"/>
        <charset val="1"/>
      </rPr>
      <t xml:space="preserve">FQ2 FY27 </t>
    </r>
    <r>
      <rPr>
        <sz val="11"/>
        <color theme="1"/>
        <rFont val="Noto Sans CJK SC"/>
        <family val="2"/>
      </rPr>
      <t xml:space="preserve">起）</t>
    </r>
  </si>
  <si>
    <t xml:space="preserve">位元（市場層；同字母）</t>
  </si>
  <si>
    <r>
      <rPr>
        <sz val="11"/>
        <color theme="1"/>
        <rFont val="Noto Sans CJK SC"/>
        <family val="2"/>
      </rPr>
      <t xml:space="preserve">實績季＝公司財報；之後＝市場層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公司口徑係數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</si>
  <si>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EB </t>
    </r>
    <r>
      <rPr>
        <sz val="11"/>
        <color theme="1"/>
        <rFont val="Noto Sans CJK SC"/>
        <family val="2"/>
      </rPr>
      <t xml:space="preserve">營業成本（</t>
    </r>
    <r>
      <rPr>
        <sz val="11"/>
        <color theme="1"/>
        <rFont val="Calibri"/>
        <family val="2"/>
        <charset val="1"/>
      </rPr>
      <t xml:space="preserve">FQ1 FY27 </t>
    </r>
    <r>
      <rPr>
        <sz val="11"/>
        <color theme="1"/>
        <rFont val="Noto Sans CJK SC"/>
        <family val="2"/>
      </rPr>
      <t xml:space="preserve">以指引毛利率校準，之後每年 </t>
    </r>
    <r>
      <rPr>
        <sz val="11"/>
        <color theme="1"/>
        <rFont val="Calibri"/>
        <family val="2"/>
        <charset val="1"/>
      </rPr>
      <t xml:space="preserve">× (1 − </t>
    </r>
    <r>
      <rPr>
        <sz val="11"/>
        <color theme="1"/>
        <rFont val="Noto Sans CJK SC"/>
        <family val="2"/>
      </rPr>
      <t xml:space="preserve">成本年降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）</t>
    </r>
  </si>
  <si>
    <t xml:space="preserve">$B/EB</t>
  </si>
  <si>
    <t xml:space="preserve">營業成本</t>
  </si>
  <si>
    <t xml:space="preserve">營業費用</t>
  </si>
  <si>
    <r>
      <rPr>
        <sz val="11"/>
        <color theme="1"/>
        <rFont val="Noto Sans CJK SC"/>
        <family val="2"/>
      </rPr>
      <t xml:space="preserve">固定部分以 </t>
    </r>
    <r>
      <rPr>
        <sz val="11"/>
        <color theme="1"/>
        <rFont val="Calibri"/>
        <family val="2"/>
        <charset val="1"/>
      </rPr>
      <t xml:space="preserve">FQ1 FY27 </t>
    </r>
    <r>
      <rPr>
        <sz val="11"/>
        <color theme="1"/>
        <rFont val="Noto Sans CJK SC"/>
        <family val="2"/>
      </rPr>
      <t xml:space="preserve">指引營業費用校準（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</si>
  <si>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（營業利益＋上一年底淨現金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收益率 </t>
    </r>
    <r>
      <rPr>
        <sz val="11"/>
        <color theme="1"/>
        <rFont val="Calibri"/>
        <family val="2"/>
        <charset val="1"/>
      </rPr>
      <t xml:space="preserve">÷ 4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稅率）</t>
    </r>
  </si>
  <si>
    <r>
      <rPr>
        <sz val="11"/>
        <color theme="1"/>
        <rFont val="Noto Sans CJK SC"/>
        <family val="2"/>
      </rPr>
      <t xml:space="preserve">季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（稀釋）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</si>
  <si>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年度（會計年度）</t>
    </r>
  </si>
  <si>
    <t xml:space="preserve">折舊攤銷（公司本身）</t>
  </si>
  <si>
    <t xml:space="preserve">資本支出（含合資群分攤）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</si>
  <si>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毛資本支出 </t>
    </r>
    <r>
      <rPr>
        <sz val="11"/>
        <color theme="1"/>
        <rFont val="Calibri"/>
        <family val="2"/>
        <charset val="1"/>
      </rPr>
      <t xml:space="preserve">0.562</t>
    </r>
    <r>
      <rPr>
        <sz val="11"/>
        <color theme="1"/>
        <rFont val="Noto Sans CJK SC"/>
        <family val="2"/>
      </rPr>
      <t xml:space="preserve">（公司簡報；</t>
    </r>
    <r>
      <rPr>
        <sz val="11"/>
        <color theme="1"/>
        <rFont val="Calibri"/>
        <family val="2"/>
        <charset val="1"/>
      </rPr>
      <t xml:space="preserve">markets/equipment In </t>
    </r>
    <r>
      <rPr>
        <sz val="11"/>
        <color theme="1"/>
        <rFont val="Noto Sans CJK SC"/>
        <family val="2"/>
      </rPr>
      <t xml:space="preserve">頁）</t>
    </r>
  </si>
  <si>
    <t xml:space="preserve">自由現金流（淨利＋折舊 − 資本支出）</t>
  </si>
  <si>
    <t xml:space="preserve">買回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</si>
  <si>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4.524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FQ4</t>
    </r>
    <r>
      <rPr>
        <sz val="11"/>
        <color theme="1"/>
        <rFont val="Noto Sans CJK SC"/>
        <family val="2"/>
      </rPr>
      <t xml:space="preserve">）</t>
    </r>
  </si>
  <si>
    <t xml:space="preserve">期末權益</t>
  </si>
  <si>
    <t xml:space="preserve">期末淨現金</t>
  </si>
  <si>
    <t xml:space="preserve">期末流通股數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</si>
  <si>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（稀釋：期末流通股數＋</t>
    </r>
    <r>
      <rPr>
        <sz val="11"/>
        <color theme="1"/>
        <rFont val="Calibri"/>
        <family val="2"/>
        <charset val="1"/>
      </rPr>
      <t xml:space="preserve">dil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</si>
  <si>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每股淨值 </t>
    </r>
    <r>
      <rPr>
        <sz val="11"/>
        <color theme="1"/>
        <rFont val="Calibri"/>
        <family val="2"/>
        <charset val="1"/>
      </rPr>
      <t xml:space="preserve">BVPS</t>
    </r>
    <r>
      <rPr>
        <sz val="11"/>
        <color theme="1"/>
        <rFont val="Noto Sans CJK SC"/>
        <family val="2"/>
      </rPr>
      <t xml:space="preserve">（期末流通股數）</t>
    </r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</si>
  <si>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（期末權益）</t>
    </r>
  </si>
  <si>
    <t xml:space="preserve">每股自由現金流（稀釋）</t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</si>
  <si>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營收、淨利 − 實績（應為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</si>
  <si>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（平平）：</t>
    </r>
    <r>
      <rPr>
        <b val="true"/>
        <sz val="11"/>
        <rFont val="Cambria"/>
        <family val="0"/>
        <charset val="1"/>
      </rPr>
      <t xml:space="preserve">markets/nand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（價格路徑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2028–29 </t>
    </r>
    <r>
      <rPr>
        <b val="true"/>
        <sz val="11"/>
        <rFont val="Noto Sans CJK SC"/>
        <family val="2"/>
      </rPr>
      <t xml:space="preserve">顆數係數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、合資群份額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）；每位元成本年降 </t>
    </r>
    <r>
      <rPr>
        <b val="true"/>
        <sz val="11"/>
        <rFont val="Cambria"/>
        <family val="0"/>
        <charset val="1"/>
      </rPr>
      <t xml:space="preserve">cd_B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</si>
  <si>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（不如預期）：</t>
    </r>
    <r>
      <rPr>
        <b val="true"/>
        <sz val="11"/>
        <rFont val="Cambria"/>
        <family val="0"/>
        <charset val="1"/>
      </rPr>
      <t xml:space="preserve">markets/nand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（價格路徑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2028–29 </t>
    </r>
    <r>
      <rPr>
        <b val="true"/>
        <sz val="11"/>
        <rFont val="Noto Sans CJK SC"/>
        <family val="2"/>
      </rPr>
      <t xml:space="preserve">顆數係數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、合資群份額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）；每位元成本年降 </t>
    </r>
    <r>
      <rPr>
        <b val="true"/>
        <sz val="11"/>
        <rFont val="Cambria"/>
        <family val="0"/>
        <charset val="1"/>
      </rPr>
      <t xml:space="preserve">cd_C</t>
    </r>
  </si>
  <si>
    <r>
      <rPr>
        <b val="true"/>
        <sz val="11"/>
        <rFont val="Noto Sans CJK SC"/>
        <family val="2"/>
      </rPr>
      <t xml:space="preserve">延伸到 </t>
    </r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FY2026–FY2029 </t>
    </r>
    <r>
      <rPr>
        <b val="true"/>
        <sz val="11"/>
        <rFont val="Noto Sans CJK SC"/>
        <family val="2"/>
      </rPr>
      <t xml:space="preserve">引用本頁頂端摘要；灰底 </t>
    </r>
    <r>
      <rPr>
        <b val="true"/>
        <sz val="11"/>
        <rFont val="Cambria"/>
        <family val="0"/>
        <charset val="1"/>
      </rPr>
      <t xml:space="preserve">FY2030–FY2032 </t>
    </r>
    <r>
      <rPr>
        <b val="true"/>
        <sz val="11"/>
        <rFont val="Noto Sans CJK SC"/>
        <family val="2"/>
      </rPr>
      <t xml:space="preserve">為收斂法，非驅動因子推導</t>
    </r>
  </si>
  <si>
    <r>
      <rPr>
        <sz val="11"/>
        <color theme="1"/>
        <rFont val="Noto Sans CJK SC"/>
        <family val="2"/>
      </rPr>
      <t xml:space="preserve">收斂法：營收年增由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）；淨利率由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線性收斂到循環中段（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＝十年平均 </t>
    </r>
    <r>
      <rPr>
        <sz val="11"/>
        <color theme="1"/>
        <rFont val="Calibri"/>
        <family val="2"/>
        <charset val="1"/>
      </rPr>
      <t xml:space="preserve">× 1.2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＝十年平均、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＝十年平均 </t>
    </r>
    <r>
      <rPr>
        <sz val="11"/>
        <color theme="1"/>
        <rFont val="Calibri"/>
        <family val="2"/>
        <charset val="1"/>
      </rPr>
      <t xml:space="preserve">× 0.8</t>
    </r>
    <r>
      <rPr>
        <sz val="11"/>
        <color theme="1"/>
        <rFont val="Noto Sans CJK SC"/>
        <family val="2"/>
      </rPr>
      <t xml:space="preserve">；十年平均為美光 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）；股數維持 </t>
    </r>
    <r>
      <rPr>
        <sz val="11"/>
        <color theme="1"/>
        <rFont val="Calibri"/>
        <family val="2"/>
        <charset val="1"/>
      </rPr>
      <t xml:space="preserve">FY2029</t>
    </r>
  </si>
  <si>
    <t xml:space="preserve">情境（延伸）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</si>
  <si>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</si>
  <si>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</si>
  <si>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</si>
  <si>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</t>
    </r>
  </si>
  <si>
    <t xml:space="preserve">  營收年增</t>
  </si>
  <si>
    <r>
      <rPr>
        <sz val="11"/>
        <color theme="1"/>
        <rFont val="Noto Sans CJK SC"/>
        <family val="2"/>
      </rPr>
      <t xml:space="preserve">  淨利率（淨利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</si>
  <si>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t xml:space="preserve">淨利（收斂法延伸）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</si>
  <si>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（延伸）</t>
    </r>
  </si>
  <si>
    <r>
      <rPr>
        <sz val="11"/>
        <color theme="1"/>
        <rFont val="Calibri"/>
        <family val="2"/>
        <charset val="1"/>
      </rPr>
      <t xml:space="preserve">Val — </t>
    </r>
    <r>
      <rPr>
        <sz val="11"/>
        <color theme="1"/>
        <rFont val="Noto Sans CJK SC"/>
        <family val="2"/>
      </rPr>
      <t xml:space="preserve">估值。第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節為目標價（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加權；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依記憶體慣例用前瞻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）；第 </t>
    </r>
    <r>
      <rPr>
        <sz val="11"/>
        <color theme="1"/>
        <rFont val="Calibri"/>
        <family val="2"/>
        <charset val="1"/>
      </rPr>
      <t xml:space="preserve">5–6 </t>
    </r>
    <r>
      <rPr>
        <sz val="11"/>
        <color theme="1"/>
        <rFont val="Noto Sans CJK SC"/>
        <family val="2"/>
      </rPr>
      <t xml:space="preserve">節為目前倍數、十年倍數與規則值（舊法參考）</t>
    </r>
  </si>
  <si>
    <r>
      <rPr>
        <sz val="11"/>
        <color theme="1"/>
        <rFont val="Calibri"/>
        <family val="2"/>
        <charset val="1"/>
      </rPr>
      <t xml:space="preserve">SanDisk 2025-02 </t>
    </r>
    <r>
      <rPr>
        <sz val="11"/>
        <color theme="1"/>
        <rFont val="Noto Sans CJK SC"/>
        <family val="2"/>
      </rPr>
      <t xml:space="preserve">自 </t>
    </r>
    <r>
      <rPr>
        <sz val="11"/>
        <color theme="1"/>
        <rFont val="Calibri"/>
        <family val="2"/>
        <charset val="1"/>
      </rPr>
      <t xml:space="preserve">WDC </t>
    </r>
    <r>
      <rPr>
        <sz val="11"/>
        <color theme="1"/>
        <rFont val="Noto Sans CJK SC"/>
        <family val="2"/>
      </rPr>
      <t xml:space="preserve">分拆上市，無十年自身倍數歷史：十年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以美光（同為記憶體循環股）為 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，見第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</si>
  <si>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</si>
  <si>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</si>
  <si>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</si>
  <si>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</si>
  <si>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</si>
  <si>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</si>
  <si>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頁延伸區塊；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起為收斂法（灰底）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</si>
  <si>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</si>
  <si>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</si>
  <si>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</si>
  <si>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</si>
  <si>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</si>
  <si>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</si>
  <si>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</si>
  <si>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記憶體資本密集：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改用每股（淨利＋折舊－資本支出）＝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區塊每股自由現金流（資本支出含合資群分攤）；收斂期（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起）用 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再投資率）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</si>
  <si>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起用）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</si>
  <si>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FY2025–FY2026 </t>
    </r>
    <r>
      <rPr>
        <sz val="11"/>
        <color theme="1"/>
        <rFont val="Noto Sans CJK SC"/>
        <family val="2"/>
      </rPr>
      <t xml:space="preserve">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</si>
  <si>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FY2027</t>
    </r>
    <r>
      <rPr>
        <sz val="11"/>
        <color theme="1"/>
        <rFont val="Noto Sans CJK SC"/>
        <family val="2"/>
      </rPr>
      <t xml:space="preserve">（淨利＋折舊－資本支出，每股）</t>
    </r>
  </si>
  <si>
    <r>
      <rPr>
        <sz val="11"/>
        <color theme="1"/>
        <rFont val="Calibri"/>
        <family val="2"/>
        <charset val="1"/>
      </rPr>
      <t xml:space="preserve">  FY2028</t>
    </r>
    <r>
      <rPr>
        <sz val="11"/>
        <color theme="1"/>
        <rFont val="Noto Sans CJK SC"/>
        <family val="2"/>
      </rPr>
      <t xml:space="preserve">（淨利＋折舊－資本支出，每股）</t>
    </r>
  </si>
  <si>
    <r>
      <rPr>
        <sz val="11"/>
        <color theme="1"/>
        <rFont val="Calibri"/>
        <family val="2"/>
        <charset val="1"/>
      </rPr>
      <t xml:space="preserve">  FY2029</t>
    </r>
    <r>
      <rPr>
        <sz val="11"/>
        <color theme="1"/>
        <rFont val="Noto Sans CJK SC"/>
        <family val="2"/>
      </rPr>
      <t xml:space="preserve">（淨利＋折舊－資本支出，每股）</t>
    </r>
  </si>
  <si>
    <r>
      <rPr>
        <sz val="11"/>
        <color theme="1"/>
        <rFont val="Calibri"/>
        <family val="2"/>
        <charset val="1"/>
      </rPr>
      <t xml:space="preserve">  FY2030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再投資率））</t>
    </r>
  </si>
  <si>
    <r>
      <rPr>
        <sz val="11"/>
        <color theme="1"/>
        <rFont val="Calibri"/>
        <family val="2"/>
        <charset val="1"/>
      </rPr>
      <t xml:space="preserve">  FY2031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再投資率））</t>
    </r>
  </si>
  <si>
    <r>
      <rPr>
        <sz val="11"/>
        <color theme="1"/>
        <rFont val="Calibri"/>
        <family val="2"/>
        <charset val="1"/>
      </rPr>
      <t xml:space="preserve">  FY2032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再投資率））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</si>
  <si>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</si>
  <si>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2027-06 </t>
    </r>
    <r>
      <rPr>
        <sz val="11"/>
        <color theme="1"/>
        <rFont val="Noto Sans CJK SC"/>
        <family val="2"/>
      </rPr>
      <t xml:space="preserve">結束，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以會計年度計，略低估）；負值取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（股東有限責任）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</si>
  <si>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</si>
  <si>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</si>
  <si>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</si>
  <si>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；記憶體慣例）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</si>
  <si>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P/B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</si>
  <si>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</si>
  <si>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P/B</t>
    </r>
  </si>
  <si>
    <t xml:space="preserve">日期</t>
  </si>
  <si>
    <t xml:space="preserve">美光</t>
  </si>
  <si>
    <t xml:space="preserve">MU</t>
  </si>
  <si>
    <t xml:space="preserve">2026-10-23</t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</si>
  <si>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：現價 </t>
    </r>
    <r>
      <rPr>
        <sz val="11"/>
        <color theme="1"/>
        <rFont val="Calibri"/>
        <family val="2"/>
        <charset val="1"/>
      </rPr>
      <t xml:space="preserve">÷ FY2027E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2027-09</t>
    </r>
    <r>
      <rPr>
        <sz val="11"/>
        <color theme="1"/>
        <rFont val="Noto Sans CJK SC"/>
        <family val="2"/>
      </rPr>
      <t xml:space="preserve">）每股淨值（</t>
    </r>
    <r>
      <rPr>
        <sz val="11"/>
        <color theme="1"/>
        <rFont val="Calibri"/>
        <family val="2"/>
        <charset val="1"/>
      </rPr>
      <t xml:space="preserve">micron/ </t>
    </r>
    <r>
      <rPr>
        <sz val="11"/>
        <color theme="1"/>
        <rFont val="Noto Sans CJK SC"/>
        <family val="2"/>
      </rPr>
      <t xml:space="preserve">模型同值）</t>
    </r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</si>
  <si>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</t>
    </r>
  </si>
  <si>
    <t xml:space="preserve">000660.KS</t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</si>
  <si>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：現價 </t>
    </r>
    <r>
      <rPr>
        <sz val="11"/>
        <color theme="1"/>
        <rFont val="Calibri"/>
        <family val="2"/>
        <charset val="1"/>
      </rPr>
      <t xml:space="preserve">÷ 2027E </t>
    </r>
    <r>
      <rPr>
        <sz val="11"/>
        <color theme="1"/>
        <rFont val="Noto Sans CJK SC"/>
        <family val="2"/>
      </rPr>
      <t xml:space="preserve">每股淨值（</t>
    </r>
    <r>
      <rPr>
        <sz val="11"/>
        <color theme="1"/>
        <rFont val="Calibri"/>
        <family val="2"/>
        <charset val="1"/>
      </rPr>
      <t xml:space="preserve">skhynix/ </t>
    </r>
    <r>
      <rPr>
        <sz val="11"/>
        <color theme="1"/>
        <rFont val="Noto Sans CJK SC"/>
        <family val="2"/>
      </rPr>
      <t xml:space="preserve">模型同值）</t>
    </r>
  </si>
  <si>
    <t xml:space="preserve">三星電子</t>
  </si>
  <si>
    <t xml:space="preserve">005930.KS</t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</si>
  <si>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：現價 </t>
    </r>
    <r>
      <rPr>
        <sz val="11"/>
        <color theme="1"/>
        <rFont val="Calibri"/>
        <family val="2"/>
        <charset val="1"/>
      </rPr>
      <t xml:space="preserve">÷ 2027E </t>
    </r>
    <r>
      <rPr>
        <sz val="11"/>
        <color theme="1"/>
        <rFont val="Noto Sans CJK SC"/>
        <family val="2"/>
      </rPr>
      <t xml:space="preserve">每股淨值（</t>
    </r>
    <r>
      <rPr>
        <sz val="11"/>
        <color theme="1"/>
        <rFont val="Calibri"/>
        <family val="2"/>
        <charset val="1"/>
      </rPr>
      <t xml:space="preserve">samsung/ </t>
    </r>
    <r>
      <rPr>
        <sz val="11"/>
        <color theme="1"/>
        <rFont val="Noto Sans CJK SC"/>
        <family val="2"/>
      </rPr>
      <t xml:space="preserve">模型同值）</t>
    </r>
  </si>
  <si>
    <t xml:space="preserve">Kioxia</t>
  </si>
  <si>
    <t xml:space="preserve">285A.T</t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</si>
  <si>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¥12,755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，分割後）</t>
    </r>
    <r>
      <rPr>
        <sz val="11"/>
        <color theme="1"/>
        <rFont val="Calibri"/>
        <family val="2"/>
        <charset val="1"/>
      </rPr>
      <t xml:space="preserve">÷ MarketScreener FY2028E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2028-03</t>
    </r>
    <r>
      <rPr>
        <sz val="11"/>
        <color theme="1"/>
        <rFont val="Noto Sans CJK SC"/>
        <family val="2"/>
      </rPr>
      <t xml:space="preserve">）每股淨值 </t>
    </r>
    <r>
      <rPr>
        <sz val="11"/>
        <color theme="1"/>
        <rFont val="Calibri"/>
        <family val="2"/>
        <charset val="1"/>
      </rPr>
      <t xml:space="preserve">¥7,808</t>
    </r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</si>
  <si>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</si>
  <si>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記憶體同業（美光、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海力士、三星、</t>
    </r>
    <r>
      <rPr>
        <sz val="11"/>
        <color theme="1"/>
        <rFont val="Calibri"/>
        <family val="2"/>
        <charset val="1"/>
      </rPr>
      <t xml:space="preserve">Kioxia</t>
    </r>
    <r>
      <rPr>
        <sz val="11"/>
        <color theme="1"/>
        <rFont val="Noto Sans CJK SC"/>
        <family val="2"/>
      </rPr>
      <t xml:space="preserve">；無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股）。</t>
    </r>
    <r>
      <rPr>
        <sz val="11"/>
        <color theme="1"/>
        <rFont val="Calibri"/>
        <family val="2"/>
        <charset val="1"/>
      </rPr>
      <t xml:space="preserve">WDC</t>
    </r>
    <r>
      <rPr>
        <sz val="11"/>
        <color theme="1"/>
        <rFont val="Noto Sans CJK SC"/>
        <family val="2"/>
      </rPr>
      <t xml:space="preserve">（硬碟）不列入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：僅有落後 </t>
    </r>
    <r>
      <rPr>
        <sz val="11"/>
        <color theme="1"/>
        <rFont val="Calibri"/>
        <family val="2"/>
        <charset val="1"/>
      </rPr>
      <t xml:space="preserve">P/B 13.5x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），與記憶體不可比；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並列參考見下方。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自身現價 </t>
    </r>
    <r>
      <rPr>
        <sz val="11"/>
        <color theme="1"/>
        <rFont val="Calibri"/>
        <family val="2"/>
        <charset val="1"/>
      </rPr>
      <t xml:space="preserve">÷ 2027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FY27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FY28 </t>
    </r>
    <r>
      <rPr>
        <sz val="11"/>
        <color theme="1"/>
        <rFont val="Noto Sans CJK SC"/>
        <family val="2"/>
      </rPr>
      <t xml:space="preserve">共識平均）約 </t>
    </r>
    <r>
      <rPr>
        <sz val="11"/>
        <color theme="1"/>
        <rFont val="Calibri"/>
        <family val="2"/>
        <charset val="1"/>
      </rPr>
      <t xml:space="preserve">2.9x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</si>
  <si>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個月後的前瞻每股淨值（情境加權）</t>
    </r>
  </si>
  <si>
    <r>
      <rPr>
        <sz val="11"/>
        <color theme="1"/>
        <rFont val="Noto Sans CJK SC"/>
        <family val="2"/>
      </rPr>
      <t xml:space="preserve">同業倍數＝現價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個月後（約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年底）每股淨值；對應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個月後（約 </t>
    </r>
    <r>
      <rPr>
        <sz val="11"/>
        <color theme="1"/>
        <rFont val="Calibri"/>
        <family val="2"/>
        <charset val="1"/>
      </rPr>
      <t xml:space="preserve">2027-10</t>
    </r>
    <r>
      <rPr>
        <sz val="11"/>
        <color theme="1"/>
        <rFont val="Noto Sans CJK SC"/>
        <family val="2"/>
      </rPr>
      <t xml:space="preserve">）用約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年底每股淨值＝（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年底＋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÷ 2</t>
    </r>
    <r>
      <rPr>
        <sz val="11"/>
        <color theme="1"/>
        <rFont val="Noto Sans CJK SC"/>
        <family val="2"/>
      </rPr>
      <t xml:space="preserve">（會計年度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月，依月份調整）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</si>
  <si>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</si>
  <si>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前瞻每股淨值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</si>
  <si>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</si>
  <si>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月（</t>
    </r>
    <r>
      <rPr>
        <sz val="11"/>
        <color theme="1"/>
        <rFont val="Calibri"/>
        <family val="2"/>
        <charset val="1"/>
      </rPr>
      <t xml:space="preserve">2027-11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2028-10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2028-06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FY2029</t>
    </r>
    <r>
      <rPr>
        <sz val="11"/>
        <color theme="1"/>
        <rFont val="Noto Sans CJK SC"/>
        <family val="2"/>
      </rPr>
      <t xml:space="preserve">（會計年度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月，依月份調整）</t>
    </r>
  </si>
  <si>
    <r>
      <rPr>
        <b val="true"/>
        <sz val="11"/>
        <rFont val="Noto Sans CJK SC"/>
        <family val="2"/>
      </rPr>
      <t xml:space="preserve">並列參考：同業前瞻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（不進目標價）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</si>
  <si>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</si>
  <si>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P/E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</si>
  <si>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877.55 ÷ MarketScreener FY2027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173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micron/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</si>
  <si>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MarketScreener 2027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skhynix/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</si>
  <si>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MarketScreener 2027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samsung/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</si>
  <si>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¥12,755 ÷ MarketScreener 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2027-03</t>
    </r>
    <r>
      <rPr>
        <sz val="11"/>
        <color theme="1"/>
        <rFont val="Noto Sans CJK SC"/>
        <family val="2"/>
      </rPr>
      <t xml:space="preserve">）共識 </t>
    </r>
    <r>
      <rPr>
        <sz val="11"/>
        <color theme="1"/>
        <rFont val="Calibri"/>
        <family val="2"/>
        <charset val="1"/>
      </rPr>
      <t xml:space="preserve">EPS ¥3,486</t>
    </r>
  </si>
  <si>
    <t xml:space="preserve">Western Digital</t>
  </si>
  <si>
    <t xml:space="preserve">WDC</t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</si>
  <si>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統計頁 </t>
    </r>
    <r>
      <rPr>
        <sz val="11"/>
        <color theme="1"/>
        <rFont val="Calibri"/>
        <family val="2"/>
        <charset val="1"/>
      </rPr>
      <t xml:space="preserve">Forward P/E</t>
    </r>
    <r>
      <rPr>
        <sz val="11"/>
        <color theme="1"/>
        <rFont val="Noto Sans CJK SC"/>
        <family val="2"/>
      </rPr>
      <t xml:space="preserve">（硬碟為主，參考）</t>
    </r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</si>
  <si>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中位數（並列參考）</t>
    </r>
  </si>
  <si>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並列參考）＝中位數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</si>
  <si>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Noto Sans CJK SC"/>
        <family val="2"/>
      </rPr>
      <t xml:space="preserve">不進目標價：高峰期 </t>
    </r>
    <r>
      <rPr>
        <sz val="11"/>
        <color theme="1"/>
        <rFont val="Calibri"/>
        <family val="2"/>
        <charset val="1"/>
      </rPr>
      <t xml:space="preserve">EPS × </t>
    </r>
    <r>
      <rPr>
        <sz val="11"/>
        <color theme="1"/>
        <rFont val="Noto Sans CJK SC"/>
        <family val="2"/>
      </rPr>
      <t xml:space="preserve">低倍數，與 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法互相對照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</si>
  <si>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</si>
  <si>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</si>
  <si>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</si>
  <si>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 </t>
    </r>
    <r>
      <rPr>
        <sz val="11"/>
        <color theme="1"/>
        <rFont val="Noto Sans CJK SC"/>
        <family val="2"/>
      </rPr>
      <t xml:space="preserve">目標價＋（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 </t>
    </r>
    <r>
      <rPr>
        <sz val="11"/>
        <color theme="1"/>
        <rFont val="Noto Sans CJK SC"/>
        <family val="2"/>
      </rPr>
      <t xml:space="preserve">目標價；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</si>
  <si>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</si>
  <si>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0.2</t>
    </r>
    <r>
      <rPr>
        <sz val="11"/>
        <color theme="1"/>
        <rFont val="Noto Sans CJK SC"/>
        <family val="2"/>
      </rPr>
      <t xml:space="preserve">（前瞻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）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</si>
  <si>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</si>
  <si>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位，</t>
    </r>
    <r>
      <rPr>
        <sz val="11"/>
        <color theme="1"/>
        <rFont val="Calibri"/>
        <family val="2"/>
        <charset val="1"/>
      </rPr>
      <t xml:space="preserve">2026-10-18 </t>
    </r>
    <r>
      <rPr>
        <sz val="11"/>
        <color theme="1"/>
        <rFont val="Noto Sans CJK SC"/>
        <family val="2"/>
      </rPr>
      <t xml:space="preserve">更新）：平均 </t>
    </r>
    <r>
      <rPr>
        <sz val="11"/>
        <color theme="1"/>
        <rFont val="Calibri"/>
        <family val="2"/>
        <charset val="1"/>
      </rPr>
      <t xml:space="preserve">2,144</t>
    </r>
    <r>
      <rPr>
        <sz val="11"/>
        <color theme="1"/>
        <rFont val="Noto Sans CJK SC"/>
        <family val="2"/>
      </rPr>
      <t xml:space="preserve">（中位數 </t>
    </r>
    <r>
      <rPr>
        <sz val="11"/>
        <color theme="1"/>
        <rFont val="Calibri"/>
        <family val="2"/>
        <charset val="1"/>
      </rPr>
      <t xml:space="preserve">2,150</t>
    </r>
    <r>
      <rPr>
        <sz val="11"/>
        <color theme="1"/>
        <rFont val="Noto Sans CJK SC"/>
        <family val="2"/>
      </rPr>
      <t xml:space="preserve">；區間 </t>
    </r>
    <r>
      <rPr>
        <sz val="11"/>
        <color theme="1"/>
        <rFont val="Calibri"/>
        <family val="2"/>
        <charset val="1"/>
      </rPr>
      <t xml:space="preserve">1,000–3,600</t>
    </r>
    <r>
      <rPr>
        <sz val="11"/>
        <color theme="1"/>
        <rFont val="Noto Sans CJK SC"/>
        <family val="2"/>
      </rPr>
      <t xml:space="preserve">）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</si>
  <si>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</si>
  <si>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</si>
  <si>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</si>
  <si>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</si>
  <si>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</si>
  <si>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</si>
  <si>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&gt;+50%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</t>
    </r>
    <r>
      <rPr>
        <sz val="11"/>
        <color theme="1"/>
        <rFont val="Calibri"/>
        <family val="2"/>
        <charset val="1"/>
      </rPr>
      <t xml:space="preserve">&lt;−50% </t>
    </r>
    <r>
      <rPr>
        <sz val="11"/>
        <color theme="1"/>
        <rFont val="Noto Sans CJK SC"/>
        <family val="2"/>
      </rPr>
      <t xml:space="preserve">強力放空</t>
    </r>
  </si>
  <si>
    <r>
      <rPr>
        <sz val="11"/>
        <color theme="1"/>
        <rFont val="Calibri"/>
        <family val="2"/>
        <charset val="1"/>
      </rPr>
      <t xml:space="preserve">DCF ÷ </t>
    </r>
    <r>
      <rPr>
        <sz val="11"/>
        <color theme="1"/>
        <rFont val="Noto Sans CJK SC"/>
        <family val="2"/>
      </rPr>
      <t xml:space="preserve">現價</t>
    </r>
  </si>
  <si>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</si>
  <si>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因素（記憶體以每股淨值計）</t>
    </r>
  </si>
  <si>
    <r>
      <rPr>
        <sz val="11"/>
        <color theme="1"/>
        <rFont val="Noto Sans CJK SC"/>
        <family val="2"/>
      </rPr>
      <t xml:space="preserve">本模型約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年底每股淨值（情境加權）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年底平均 </t>
    </r>
    <r>
      <rPr>
        <sz val="11"/>
        <color theme="1"/>
        <rFont val="Calibri"/>
        <family val="2"/>
        <charset val="1"/>
      </rPr>
      <t xml:space="preserve">601.9</t>
    </r>
    <r>
      <rPr>
        <sz val="11"/>
        <color theme="1"/>
        <rFont val="Noto Sans CJK SC"/>
        <family val="2"/>
      </rPr>
      <t xml:space="preserve">）−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，故以每股淨值代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</si>
  <si>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對照：前瞻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</si>
  <si>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 267.6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FY2029 281.7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</si>
  <si>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</si>
  <si>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</si>
  <si>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</si>
  <si>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</si>
  <si>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年底每股淨值，在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節，美光 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）分布的分位（高於最大值記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、低於最小值記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）；只作檢查，不進目標價（記憶體主估值為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，故以 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代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</si>
  <si>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</si>
  <si>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 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用每股（淨利＋折舊－資本支出；資本支出含合資群分攤，約營收 </t>
    </r>
    <r>
      <rPr>
        <sz val="11"/>
        <color theme="1"/>
        <rFont val="Calibri"/>
        <family val="2"/>
        <charset val="1"/>
      </rPr>
      <t xml:space="preserve">6%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收斂期用 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FY2025–FY2026 </t>
    </r>
    <r>
      <rPr>
        <sz val="11"/>
        <color theme="1"/>
        <rFont val="Noto Sans CJK SC"/>
        <family val="2"/>
      </rPr>
      <t xml:space="preserve">平均；明確期＋永續，基準日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：美光、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海力士、三星、</t>
    </r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年底每股淨值（情境加權）；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並列參考不進目標價。偏誤：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為高峰期盈餘、收斂期淨利率以美光十年平均代替（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無自身歷史）；大量買回壓低帳面淨值，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法偏低估。</t>
    </r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</si>
  <si>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目前倍數（僅供參考）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</si>
  <si>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／數值</t>
    </r>
  </si>
  <si>
    <t xml:space="preserve">B</t>
  </si>
  <si>
    <t xml:space="preserve">C</t>
  </si>
  <si>
    <t xml:space="preserve">備註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</si>
  <si>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</si>
  <si>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MarketScreener</t>
    </r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</si>
  <si>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：現價 </t>
    </r>
    <r>
      <rPr>
        <sz val="11"/>
        <color theme="1"/>
        <rFont val="Calibri"/>
        <family val="2"/>
        <charset val="1"/>
      </rPr>
      <t xml:space="preserve">÷ FY2026 EPS 73.76</t>
    </r>
  </si>
  <si>
    <t xml:space="preserve">落後</t>
  </si>
  <si>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：現價 </t>
    </r>
    <r>
      <rPr>
        <sz val="11"/>
        <color theme="1"/>
        <rFont val="Calibri"/>
        <family val="2"/>
        <charset val="1"/>
      </rPr>
      <t xml:space="preserve">÷ FY2026 </t>
    </r>
    <r>
      <rPr>
        <sz val="11"/>
        <color theme="1"/>
        <rFont val="Noto Sans CJK SC"/>
        <family val="2"/>
      </rPr>
      <t xml:space="preserve">年底每股淨值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</si>
  <si>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年底權益 </t>
    </r>
    <r>
      <rPr>
        <sz val="11"/>
        <color theme="1"/>
        <rFont val="Calibri"/>
        <family val="2"/>
        <charset val="1"/>
      </rPr>
      <t xml:space="preserve">15.736 ÷ 146.42 </t>
    </r>
    <r>
      <rPr>
        <sz val="11"/>
        <color theme="1"/>
        <rFont val="Noto Sans CJK SC"/>
        <family val="2"/>
      </rPr>
      <t xml:space="preserve">百萬股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</si>
  <si>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</si>
  <si>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</si>
  <si>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</si>
  <si>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</t>
    </r>
    <r>
      <rPr>
        <sz val="11"/>
        <color theme="1"/>
        <rFont val="Noto Sans CJK SC"/>
        <family val="2"/>
      </rPr>
      <t xml:space="preserve">年底每股淨值（模型）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</si>
  <si>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節歷史分位檢查用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</si>
  <si>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</si>
  <si>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年底倍數依循環位置取分位。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無十年自身歷史，以美光為 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（同為記憶體循環股；差異：美光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為主）。見頂與中段用 </t>
    </r>
    <r>
      <rPr>
        <sz val="11"/>
        <color theme="1"/>
        <rFont val="Calibri"/>
        <family val="2"/>
        <charset val="1"/>
      </rPr>
      <t xml:space="preserve">FY2027 A</t>
    </r>
    <r>
      <rPr>
        <sz val="11"/>
        <color theme="1"/>
        <rFont val="Noto Sans CJK SC"/>
        <family val="2"/>
      </rPr>
      <t xml:space="preserve">、谷底用 </t>
    </r>
    <r>
      <rPr>
        <sz val="11"/>
        <color theme="1"/>
        <rFont val="Calibri"/>
        <family val="2"/>
        <charset val="1"/>
      </rPr>
      <t xml:space="preserve">FY2028 C</t>
    </r>
    <r>
      <rPr>
        <sz val="11"/>
        <color theme="1"/>
        <rFont val="Noto Sans CJK SC"/>
        <family val="2"/>
      </rPr>
      <t xml:space="preserve">。</t>
    </r>
  </si>
  <si>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（主）：十年歷史倍數</t>
    </r>
  </si>
  <si>
    <t xml:space="preserve">年底</t>
  </si>
  <si>
    <r>
      <rPr>
        <b val="true"/>
        <sz val="11"/>
        <rFont val="Noto Sans CJK SC"/>
        <family val="2"/>
      </rPr>
      <t xml:space="preserve">美光（</t>
    </r>
    <r>
      <rPr>
        <b val="true"/>
        <sz val="11"/>
        <rFont val="Cambria"/>
        <family val="0"/>
        <charset val="1"/>
      </rPr>
      <t xml:space="preserve">Analogy</t>
    </r>
    <r>
      <rPr>
        <b val="true"/>
        <sz val="11"/>
        <rFont val="Noto Sans CJK SC"/>
        <family val="2"/>
      </rPr>
      <t xml:space="preserve">；會計年度 </t>
    </r>
    <r>
      <rPr>
        <b val="true"/>
        <sz val="11"/>
        <rFont val="Cambria"/>
        <family val="0"/>
        <charset val="1"/>
      </rPr>
      <t xml:space="preserve">8 </t>
    </r>
    <r>
      <rPr>
        <b val="true"/>
        <sz val="11"/>
        <rFont val="Noto Sans CJK SC"/>
        <family val="2"/>
      </rPr>
      <t xml:space="preserve">月底）</t>
    </r>
  </si>
  <si>
    <t xml:space="preserve">標記／說明</t>
  </si>
  <si>
    <t xml:space="preserve">2016</t>
  </si>
  <si>
    <r>
      <rPr>
        <sz val="11"/>
        <color theme="1"/>
        <rFont val="Noto Sans CJK SC"/>
        <family val="2"/>
      </rPr>
      <t xml:space="preserve">美光（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；會計年度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月底）：</t>
    </r>
    <r>
      <rPr>
        <sz val="11"/>
        <color theme="1"/>
        <rFont val="Calibri"/>
        <family val="2"/>
        <charset val="1"/>
      </rPr>
      <t xml:space="preserve">Analogy</t>
    </r>
  </si>
  <si>
    <t xml:space="preserve">2017</t>
  </si>
  <si>
    <r>
      <rPr>
        <sz val="11"/>
        <color theme="1"/>
        <rFont val="Noto Sans CJK SC"/>
        <family val="2"/>
      </rPr>
      <t xml:space="preserve">來源：</t>
    </r>
    <r>
      <rPr>
        <sz val="11"/>
        <color theme="1"/>
        <rFont val="Calibri"/>
        <family val="2"/>
        <charset val="1"/>
      </rPr>
      <t xml:space="preserve">micron/dist/20261025_</t>
    </r>
    <r>
      <rPr>
        <sz val="11"/>
        <color theme="1"/>
        <rFont val="Noto Sans CJK SC"/>
        <family val="2"/>
      </rPr>
      <t xml:space="preserve">美光模型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Val!B82:B91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自身上市不足十年</t>
    </r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</si>
  <si>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</si>
  <si>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</si>
  <si>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</si>
  <si>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</si>
  <si>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</si>
  <si>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</si>
  <si>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</si>
  <si>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</si>
  <si>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</si>
  <si>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</si>
  <si>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</si>
  <si>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</si>
  <si>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</si>
  <si>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</si>
  <si>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</si>
  <si>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</si>
  <si>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</si>
  <si>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</si>
  <si>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（主）：規則值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</si>
  <si>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</si>
  <si>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</si>
  <si>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</si>
  <si>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</si>
  <si>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隱含股價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</si>
  <si>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</si>
  <si>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</si>
  <si>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</si>
  <si>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見頂年 →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</si>
  <si>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</si>
  <si>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）</t>
    </r>
  </si>
  <si>
    <t xml:space="preserve">中段 → 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</si>
  <si>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</si>
  <si>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谷底 →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</si>
  <si>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</si>
  <si>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（對照）：十年歷史倍數</t>
    </r>
  </si>
  <si>
    <r>
      <rPr>
        <b val="true"/>
        <sz val="11"/>
        <rFont val="Noto Sans CJK SC"/>
        <family val="2"/>
      </rPr>
      <t xml:space="preserve">美光（</t>
    </r>
    <r>
      <rPr>
        <b val="true"/>
        <sz val="11"/>
        <rFont val="Cambria"/>
        <family val="0"/>
        <charset val="1"/>
      </rPr>
      <t xml:space="preserve">Analogy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SEC 10-K </t>
    </r>
    <r>
      <rPr>
        <b val="true"/>
        <sz val="11"/>
        <rFont val="Noto Sans CJK SC"/>
        <family val="2"/>
      </rPr>
      <t xml:space="preserve">換算）</t>
    </r>
  </si>
  <si>
    <r>
      <rPr>
        <sz val="11"/>
        <color theme="1"/>
        <rFont val="Noto Sans CJK SC"/>
        <family val="2"/>
      </rPr>
      <t xml:space="preserve">美光（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SEC 10-K </t>
    </r>
    <r>
      <rPr>
        <sz val="11"/>
        <color theme="1"/>
        <rFont val="Noto Sans CJK SC"/>
        <family val="2"/>
      </rPr>
      <t xml:space="preserve">換算）：</t>
    </r>
    <r>
      <rPr>
        <sz val="11"/>
        <color theme="1"/>
        <rFont val="Calibri"/>
        <family val="2"/>
        <charset val="1"/>
      </rPr>
      <t xml:space="preserve">Analogy</t>
    </r>
  </si>
  <si>
    <r>
      <rPr>
        <sz val="11"/>
        <color theme="1"/>
        <rFont val="Noto Sans CJK SC"/>
        <family val="2"/>
      </rPr>
      <t xml:space="preserve">來源：</t>
    </r>
    <r>
      <rPr>
        <sz val="11"/>
        <color theme="1"/>
        <rFont val="Calibri"/>
        <family val="2"/>
        <charset val="1"/>
      </rPr>
      <t xml:space="preserve">micron/dist/20261025_</t>
    </r>
    <r>
      <rPr>
        <sz val="11"/>
        <color theme="1"/>
        <rFont val="Noto Sans CJK SC"/>
        <family val="2"/>
      </rPr>
      <t xml:space="preserve">美光模型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Val!B115:B124</t>
    </r>
    <r>
      <rPr>
        <sz val="11"/>
        <color theme="1"/>
        <rFont val="Noto Sans CJK SC"/>
        <family val="2"/>
      </rPr>
      <t xml:space="preserve">；虧損年不計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</si>
  <si>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</si>
  <si>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</si>
  <si>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</si>
  <si>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</si>
  <si>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</si>
  <si>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（對照）：規則值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</si>
  <si>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</si>
  <si>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</si>
  <si>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</si>
  <si>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</si>
  <si>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</si>
  <si>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舊法：規則值情境加權（參考）</t>
  </si>
  <si>
    <t xml:space="preserve">規則值情境加權價（參考，非目標價）</t>
  </si>
  <si>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各情境隱含價；約為年底價格、未折現</t>
    </r>
  </si>
  <si>
    <r>
      <rPr>
        <sz val="11"/>
        <color theme="1"/>
        <rFont val="Noto Sans CJK SC"/>
        <family val="2"/>
      </rPr>
      <t xml:space="preserve">相對現價（規則值情境加權價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</si>
  <si>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（順利）：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 </t>
    </r>
    <r>
      <rPr>
        <sz val="11"/>
        <color theme="1"/>
        <rFont val="Calibri"/>
        <family val="2"/>
        <charset val="1"/>
      </rPr>
      <t xml:space="preserve">× FY2027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</si>
  <si>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（平平）：中位數 </t>
    </r>
    <r>
      <rPr>
        <sz val="11"/>
        <color theme="1"/>
        <rFont val="Calibri"/>
        <family val="2"/>
        <charset val="1"/>
      </rPr>
      <t xml:space="preserve">× FY2027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</si>
  <si>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（不如預期）：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 </t>
    </r>
    <r>
      <rPr>
        <sz val="11"/>
        <color theme="1"/>
        <rFont val="Calibri"/>
        <family val="2"/>
        <charset val="1"/>
      </rPr>
      <t xml:space="preserve">× FY2027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</si>
  <si>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舊法說明</t>
  </si>
  <si>
    <r>
      <rPr>
        <sz val="11"/>
        <color theme="1"/>
        <rFont val="Noto Sans CJK SC"/>
        <family val="2"/>
      </rPr>
      <t xml:space="preserve">十年（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分位（美光 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年底每股淨值：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＝中位數、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分位。第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節見頂／中段／谷底規則值供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投資地圖抽數。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</si>
  <si>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公司實績、指引與共識（共識只作對照，未用於校準）。差距＝模型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對照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（百分點列為相減）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</si>
  <si>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</si>
  <si>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</si>
  <si>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</si>
  <si>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</si>
  <si>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</si>
  <si>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</si>
  <si>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</si>
  <si>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</si>
  <si>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實績與公司指引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</si>
  <si>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營收（實績重現）</t>
    </r>
  </si>
  <si>
    <t xml:space="preserve">恆等式</t>
  </si>
  <si>
    <r>
      <rPr>
        <sz val="11"/>
        <color theme="1"/>
        <rFont val="Calibri"/>
        <family val="2"/>
        <charset val="1"/>
      </rPr>
      <t xml:space="preserve">FQ1 FY27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公司指引中值</t>
    </r>
  </si>
  <si>
    <t xml:space="preserve">恆等式（市場層份額由指引推得）</t>
  </si>
  <si>
    <r>
      <rPr>
        <sz val="11"/>
        <color theme="1"/>
        <rFont val="Calibri"/>
        <family val="2"/>
        <charset val="1"/>
      </rPr>
      <t xml:space="preserve">FQ1 FY27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指引中值（百分點）</t>
    </r>
  </si>
  <si>
    <t xml:space="preserve">恆等式（單位成本以此校準）</t>
  </si>
  <si>
    <r>
      <rPr>
        <sz val="11"/>
        <color theme="1"/>
        <rFont val="Calibri"/>
        <family val="2"/>
        <charset val="1"/>
      </rPr>
      <t xml:space="preserve">FQ1 FY27 EPS vs </t>
    </r>
    <r>
      <rPr>
        <sz val="11"/>
        <color theme="1"/>
        <rFont val="Noto Sans CJK SC"/>
        <family val="2"/>
      </rPr>
      <t xml:space="preserve">指引中值（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</si>
  <si>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本模型為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營業費用＋</t>
    </r>
    <r>
      <rPr>
        <sz val="11"/>
        <color theme="1"/>
        <rFont val="Calibri"/>
        <family val="2"/>
        <charset val="1"/>
      </rPr>
      <t xml:space="preserve">15% </t>
    </r>
    <r>
      <rPr>
        <sz val="11"/>
        <color theme="1"/>
        <rFont val="Noto Sans CJK SC"/>
        <family val="2"/>
      </rPr>
      <t xml:space="preserve">稅率，近似 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（差約 </t>
    </r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</si>
  <si>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共識（</t>
    </r>
    <r>
      <rPr>
        <b val="true"/>
        <sz val="11"/>
        <rFont val="Cambria"/>
        <family val="0"/>
        <charset val="1"/>
      </rPr>
      <t xml:space="preserve">MarketScreener 2026-10-23</t>
    </r>
    <r>
      <rPr>
        <b val="true"/>
        <sz val="11"/>
        <rFont val="Noto Sans CJK SC"/>
        <family val="2"/>
      </rPr>
      <t xml:space="preserve">；只作參考）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</si>
  <si>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</si>
  <si>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</si>
  <si>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</si>
  <si>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差距超過 </t>
    </r>
    <r>
      <rPr>
        <sz val="11"/>
        <color theme="1"/>
        <rFont val="Calibri"/>
        <family val="2"/>
        <charset val="1"/>
      </rPr>
      <t xml:space="preserve">30%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README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</si>
  <si>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</si>
  <si>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年底每股淨值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</si>
  <si>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市場層一致性</t>
    </r>
  </si>
  <si>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市場層（公司口徑係數 </t>
    </r>
    <r>
      <rPr>
        <sz val="11"/>
        <color theme="1"/>
        <rFont val="Calibri"/>
        <family val="2"/>
        <charset val="1"/>
      </rPr>
      <t xml:space="preserve">sd_k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</si>
  <si>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</si>
  <si>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Kioxia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合資群份額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（市場層 </t>
    </r>
    <r>
      <rPr>
        <sz val="11"/>
        <color theme="1"/>
        <rFont val="Calibri"/>
        <family val="2"/>
        <charset val="1"/>
      </rPr>
      <t xml:space="preserve">Ann </t>
    </r>
    <r>
      <rPr>
        <sz val="11"/>
        <color theme="1"/>
        <rFont val="Noto Sans CJK SC"/>
        <family val="2"/>
      </rPr>
      <t xml:space="preserve">頁，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</si>
  <si>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markets/nand/dist/20261025_NAND</t>
    </r>
    <r>
      <rPr>
        <sz val="11"/>
        <color theme="1"/>
        <rFont val="Noto Sans CJK SC"/>
        <family val="2"/>
      </rPr>
      <t xml:space="preserve">市場模型</t>
    </r>
    <r>
      <rPr>
        <sz val="11"/>
        <color theme="1"/>
        <rFont val="Calibri"/>
        <family val="2"/>
        <charset val="1"/>
      </rPr>
      <t xml:space="preserve">_v0.1.xlsx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Ann!F27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kioxia/ </t>
    </r>
    <r>
      <rPr>
        <sz val="11"/>
        <color theme="1"/>
        <rFont val="Noto Sans CJK SC"/>
        <family val="2"/>
      </rPr>
      <t xml:space="preserve">模型讀同一組列）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</si>
  <si>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的影響。每個案例為一個完整推導區塊（本頁下方，與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同一引擎）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</si>
  <si>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</si>
  <si>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</si>
  <si>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$B</t>
    </r>
  </si>
  <si>
    <t xml:space="preserve">FY2027 EPS</t>
  </si>
  <si>
    <t xml:space="preserve">相對基準</t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</si>
  <si>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$B</t>
    </r>
  </si>
  <si>
    <t xml:space="preserve">FY2028 EPS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</si>
  <si>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</si>
  <si>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</si>
  <si>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</si>
  <si>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Noto Sans CJK SC"/>
        <family val="2"/>
      </rPr>
      <t xml:space="preserve">市場層營收 −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（價格；</t>
    </r>
    <r>
      <rPr>
        <sz val="11"/>
        <color theme="1"/>
        <rFont val="Calibri"/>
        <family val="2"/>
        <charset val="1"/>
      </rPr>
      <t xml:space="preserve">FQ2 FY27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</si>
  <si>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價格係數 </t>
    </r>
    <r>
      <rPr>
        <sz val="11"/>
        <color theme="1"/>
        <rFont val="Calibri"/>
        <family val="2"/>
        <charset val="1"/>
      </rPr>
      <t xml:space="preserve">0.8</t>
    </r>
  </si>
  <si>
    <r>
      <rPr>
        <sz val="11"/>
        <color theme="1"/>
        <rFont val="Noto Sans CJK SC"/>
        <family val="2"/>
      </rPr>
      <t xml:space="preserve">市場層營收 </t>
    </r>
    <r>
      <rPr>
        <sz val="11"/>
        <color theme="1"/>
        <rFont val="Calibri"/>
        <family val="2"/>
        <charset val="1"/>
      </rPr>
      <t xml:space="preserve">+20%</t>
    </r>
    <r>
      <rPr>
        <sz val="11"/>
        <color theme="1"/>
        <rFont val="Noto Sans CJK SC"/>
        <family val="2"/>
      </rPr>
      <t xml:space="preserve">（價格）</t>
    </r>
  </si>
  <si>
    <r>
      <rPr>
        <sz val="11"/>
        <color theme="1"/>
        <rFont val="Noto Sans CJK SC"/>
        <family val="2"/>
      </rPr>
      <t xml:space="preserve">價格係數 </t>
    </r>
    <r>
      <rPr>
        <sz val="11"/>
        <color theme="1"/>
        <rFont val="Calibri"/>
        <family val="2"/>
        <charset val="1"/>
      </rPr>
      <t xml:space="preserve">1.2</t>
    </r>
  </si>
  <si>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×0.9</t>
    </r>
    <r>
      <rPr>
        <sz val="11"/>
        <color theme="1"/>
        <rFont val="Noto Sans CJK SC"/>
        <family val="2"/>
      </rPr>
      <t xml:space="preserve">（營收與位元）</t>
    </r>
  </si>
  <si>
    <r>
      <rPr>
        <sz val="11"/>
        <color theme="1"/>
        <rFont val="Noto Sans CJK SC"/>
        <family val="2"/>
      </rPr>
      <t xml:space="preserve">份額係數 </t>
    </r>
    <r>
      <rPr>
        <sz val="11"/>
        <color theme="1"/>
        <rFont val="Calibri"/>
        <family val="2"/>
        <charset val="1"/>
      </rPr>
      <t xml:space="preserve">0.9</t>
    </r>
  </si>
  <si>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×1.1</t>
    </r>
  </si>
  <si>
    <r>
      <rPr>
        <sz val="11"/>
        <color theme="1"/>
        <rFont val="Noto Sans CJK SC"/>
        <family val="2"/>
      </rPr>
      <t xml:space="preserve">份額係數 </t>
    </r>
    <r>
      <rPr>
        <sz val="11"/>
        <color theme="1"/>
        <rFont val="Calibri"/>
        <family val="2"/>
        <charset val="1"/>
      </rPr>
      <t xml:space="preserve">1.1</t>
    </r>
  </si>
  <si>
    <r>
      <rPr>
        <sz val="11"/>
        <color theme="1"/>
        <rFont val="Noto Sans CJK SC"/>
        <family val="2"/>
      </rPr>
      <t xml:space="preserve">每位元成本年降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的值）</t>
    </r>
  </si>
  <si>
    <r>
      <rPr>
        <sz val="11"/>
        <color theme="1"/>
        <rFont val="Noto Sans CJK SC"/>
        <family val="2"/>
      </rPr>
      <t xml:space="preserve">每位元成本年降 </t>
    </r>
    <r>
      <rPr>
        <sz val="11"/>
        <color theme="1"/>
        <rFont val="Calibri"/>
        <family val="2"/>
        <charset val="1"/>
      </rPr>
      <t xml:space="preserve">18%</t>
    </r>
  </si>
  <si>
    <r>
      <rPr>
        <sz val="11"/>
        <color theme="1"/>
        <rFont val="Calibri"/>
        <family val="2"/>
        <charset val="1"/>
      </rPr>
      <t xml:space="preserve">cd_A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</si>
  <si>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指引毛利率 </t>
    </r>
    <r>
      <rPr>
        <sz val="11"/>
        <color theme="1"/>
        <rFont val="Calibri"/>
        <family val="2"/>
        <charset val="1"/>
      </rPr>
      <t xml:space="preserve">83.0%</t>
    </r>
    <r>
      <rPr>
        <sz val="11"/>
        <color theme="1"/>
        <rFont val="Noto Sans CJK SC"/>
        <family val="2"/>
      </rPr>
      <t xml:space="preserve">（校準）</t>
    </r>
  </si>
  <si>
    <r>
      <rPr>
        <sz val="11"/>
        <color theme="1"/>
        <rFont val="Calibri"/>
        <family val="2"/>
        <charset val="1"/>
      </rPr>
      <t xml:space="preserve">g_gm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</si>
  <si>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Noto Sans CJK SC"/>
        <family val="2"/>
      </rPr>
      <t xml:space="preserve">指引毛利率 </t>
    </r>
    <r>
      <rPr>
        <sz val="11"/>
        <color theme="1"/>
        <rFont val="Calibri"/>
        <family val="2"/>
        <charset val="1"/>
      </rPr>
      <t xml:space="preserve">84.9%</t>
    </r>
  </si>
  <si>
    <r>
      <rPr>
        <sz val="11"/>
        <color theme="1"/>
        <rFont val="Calibri"/>
        <family val="2"/>
        <charset val="1"/>
      </rPr>
      <t xml:space="preserve">g_gm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</si>
  <si>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營業費用變動率 </t>
    </r>
    <r>
      <rPr>
        <sz val="11"/>
        <color theme="1"/>
        <rFont val="Calibri"/>
        <family val="2"/>
        <charset val="1"/>
      </rPr>
      <t xml:space="preserve">2%</t>
    </r>
  </si>
  <si>
    <r>
      <rPr>
        <sz val="11"/>
        <color theme="1"/>
        <rFont val="Calibri"/>
        <family val="2"/>
        <charset val="1"/>
      </rPr>
      <t xml:space="preserve">ox_var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</si>
  <si>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20%</t>
    </r>
  </si>
  <si>
    <r>
      <rPr>
        <sz val="11"/>
        <color theme="1"/>
        <rFont val="Calibri"/>
        <family val="2"/>
        <charset val="1"/>
      </rPr>
      <t xml:space="preserve">tax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</si>
  <si>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12%</t>
    </r>
  </si>
  <si>
    <r>
      <rPr>
        <sz val="11"/>
        <color theme="1"/>
        <rFont val="Calibri"/>
        <family val="2"/>
        <charset val="1"/>
      </rPr>
      <t xml:space="preserve">tax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</si>
  <si>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Noto Sans CJK SC"/>
        <family val="2"/>
      </rPr>
      <t xml:space="preserve">買回 </t>
    </r>
    <r>
      <rPr>
        <sz val="11"/>
        <color theme="1"/>
        <rFont val="Calibri"/>
        <family val="2"/>
        <charset val="1"/>
      </rPr>
      <t xml:space="preserve">÷ FCF 80%</t>
    </r>
  </si>
  <si>
    <r>
      <rPr>
        <sz val="11"/>
        <color theme="1"/>
        <rFont val="Calibri"/>
        <family val="2"/>
        <charset val="1"/>
      </rPr>
      <t xml:space="preserve">payout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</si>
  <si>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買回 </t>
    </r>
    <r>
      <rPr>
        <sz val="11"/>
        <color theme="1"/>
        <rFont val="Calibri"/>
        <family val="2"/>
        <charset val="1"/>
      </rPr>
      <t xml:space="preserve">÷ FCF 30%</t>
    </r>
  </si>
  <si>
    <r>
      <rPr>
        <sz val="11"/>
        <color theme="1"/>
        <rFont val="Calibri"/>
        <family val="2"/>
        <charset val="1"/>
      </rPr>
      <t xml:space="preserve">payout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</si>
  <si>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</si>
  <si>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markets/nand B</t>
    </r>
    <r>
      <rPr>
        <sz val="11"/>
        <color theme="1"/>
        <rFont val="Noto Sans CJK SC"/>
        <family val="2"/>
      </rPr>
      <t xml:space="preserve">；成本年降 </t>
    </r>
    <r>
      <rPr>
        <sz val="11"/>
        <color theme="1"/>
        <rFont val="Calibri"/>
        <family val="2"/>
        <charset val="1"/>
      </rPr>
      <t xml:space="preserve">12%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</si>
  <si>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</si>
  <si>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markets/nand C</t>
    </r>
    <r>
      <rPr>
        <sz val="11"/>
        <color theme="1"/>
        <rFont val="Noto Sans CJK SC"/>
        <family val="2"/>
      </rPr>
      <t xml:space="preserve">；成本年降 </t>
    </r>
    <r>
      <rPr>
        <sz val="11"/>
        <color theme="1"/>
        <rFont val="Calibri"/>
        <family val="2"/>
        <charset val="1"/>
      </rPr>
      <t xml:space="preserve">10%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</si>
  <si>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FQ1 FY27 </t>
    </r>
    <r>
      <rPr>
        <sz val="11"/>
        <color theme="1"/>
        <rFont val="Noto Sans CJK SC"/>
        <family val="2"/>
      </rPr>
      <t xml:space="preserve">營收由市場層等於公司指引（恆等式），價格係數只作用在 </t>
    </r>
    <r>
      <rPr>
        <sz val="11"/>
        <color theme="1"/>
        <rFont val="Calibri"/>
        <family val="2"/>
        <charset val="1"/>
      </rPr>
      <t xml:space="preserve">FQ2 FY27 </t>
    </r>
    <r>
      <rPr>
        <sz val="11"/>
        <color theme="1"/>
        <rFont val="Noto Sans CJK SC"/>
        <family val="2"/>
      </rPr>
      <t xml:space="preserve">起；毛利率校準改變單位成本起點，之後每年依成本年降。</t>
    </r>
  </si>
  <si>
    <r>
      <rPr>
        <b val="true"/>
        <sz val="11"/>
        <rFont val="Noto Sans CJK SC"/>
        <family val="2"/>
      </rPr>
      <t xml:space="preserve">案例區塊：市場層營收 −</t>
    </r>
    <r>
      <rPr>
        <b val="true"/>
        <sz val="11"/>
        <rFont val="Cambria"/>
        <family val="0"/>
        <charset val="1"/>
      </rPr>
      <t xml:space="preserve">20%</t>
    </r>
    <r>
      <rPr>
        <b val="true"/>
        <sz val="11"/>
        <rFont val="Noto Sans CJK SC"/>
        <family val="2"/>
      </rPr>
      <t xml:space="preserve">（價格；</t>
    </r>
    <r>
      <rPr>
        <b val="true"/>
        <sz val="11"/>
        <rFont val="Cambria"/>
        <family val="0"/>
        <charset val="1"/>
      </rPr>
      <t xml:space="preserve">FQ2 FY27 </t>
    </r>
    <r>
      <rPr>
        <b val="true"/>
        <sz val="11"/>
        <rFont val="Noto Sans CJK SC"/>
        <family val="2"/>
      </rPr>
      <t xml:space="preserve">起）（情境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</si>
  <si>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案例區塊：市場層營收 </t>
    </r>
    <r>
      <rPr>
        <b val="true"/>
        <sz val="11"/>
        <rFont val="Cambria"/>
        <family val="0"/>
        <charset val="1"/>
      </rPr>
      <t xml:space="preserve">+20%</t>
    </r>
    <r>
      <rPr>
        <b val="true"/>
        <sz val="11"/>
        <rFont val="Noto Sans CJK SC"/>
        <family val="2"/>
      </rPr>
      <t xml:space="preserve">（價格）（情境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</si>
  <si>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 </t>
    </r>
    <r>
      <rPr>
        <b val="true"/>
        <sz val="11"/>
        <rFont val="Cambria"/>
        <family val="0"/>
        <charset val="1"/>
      </rPr>
      <t xml:space="preserve">×0.9</t>
    </r>
    <r>
      <rPr>
        <b val="true"/>
        <sz val="11"/>
        <rFont val="Noto Sans CJK SC"/>
        <family val="2"/>
      </rPr>
      <t xml:space="preserve">（營收與位元）（情境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</si>
  <si>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 </t>
    </r>
    <r>
      <rPr>
        <b val="true"/>
        <sz val="11"/>
        <rFont val="Cambria"/>
        <family val="0"/>
        <charset val="1"/>
      </rPr>
      <t xml:space="preserve">×1.1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</si>
  <si>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案例區塊：每位元成本年降 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的值）（情境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</si>
  <si>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案例區塊：每位元成本年降 </t>
    </r>
    <r>
      <rPr>
        <b val="true"/>
        <sz val="11"/>
        <rFont val="Cambria"/>
        <family val="0"/>
        <charset val="1"/>
      </rPr>
      <t xml:space="preserve">18%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</si>
  <si>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案例區塊：指引毛利率 </t>
    </r>
    <r>
      <rPr>
        <b val="true"/>
        <sz val="11"/>
        <rFont val="Cambria"/>
        <family val="0"/>
        <charset val="1"/>
      </rPr>
      <t xml:space="preserve">83.0%</t>
    </r>
    <r>
      <rPr>
        <b val="true"/>
        <sz val="11"/>
        <rFont val="Noto Sans CJK SC"/>
        <family val="2"/>
      </rPr>
      <t xml:space="preserve">（校準）（情境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</si>
  <si>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案例區塊：指引毛利率 </t>
    </r>
    <r>
      <rPr>
        <b val="true"/>
        <sz val="11"/>
        <rFont val="Cambria"/>
        <family val="0"/>
        <charset val="1"/>
      </rPr>
      <t xml:space="preserve">84.9%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</si>
  <si>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案例區塊：營業費用變動率 </t>
    </r>
    <r>
      <rPr>
        <b val="true"/>
        <sz val="11"/>
        <rFont val="Cambria"/>
        <family val="0"/>
        <charset val="1"/>
      </rPr>
      <t xml:space="preserve">2%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</si>
  <si>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案例區塊：稅率 </t>
    </r>
    <r>
      <rPr>
        <b val="true"/>
        <sz val="11"/>
        <rFont val="Cambria"/>
        <family val="0"/>
        <charset val="1"/>
      </rPr>
      <t xml:space="preserve">20%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</si>
  <si>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案例區塊：稅率 </t>
    </r>
    <r>
      <rPr>
        <b val="true"/>
        <sz val="11"/>
        <rFont val="Cambria"/>
        <family val="0"/>
        <charset val="1"/>
      </rPr>
      <t xml:space="preserve">12%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</si>
  <si>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案例區塊：買回 </t>
    </r>
    <r>
      <rPr>
        <b val="true"/>
        <sz val="11"/>
        <rFont val="Cambria"/>
        <family val="0"/>
        <charset val="1"/>
      </rPr>
      <t xml:space="preserve">÷ FCF 80%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</si>
  <si>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案例區塊：買回 </t>
    </r>
    <r>
      <rPr>
        <b val="true"/>
        <sz val="11"/>
        <rFont val="Cambria"/>
        <family val="0"/>
        <charset val="1"/>
      </rPr>
      <t xml:space="preserve">÷ FCF 30%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</si>
  <si>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參數與權重；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收斂法的長期成長不隨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</si>
  <si>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</si>
  <si>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</si>
  <si>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</si>
  <si>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</si>
  <si>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</si>
  <si>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</si>
  <si>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</si>
  <si>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</si>
  <si>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</si>
  <si>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r>
      <rPr>
        <sz val="11"/>
        <color theme="1"/>
        <rFont val="Calibri"/>
        <family val="2"/>
        <charset val="1"/>
      </rPr>
      <t xml:space="preserve">g 5%</t>
    </r>
    <r>
      <rPr>
        <sz val="11"/>
        <color theme="1"/>
        <rFont val="Noto Sans CJK SC"/>
        <family val="2"/>
      </rPr>
      <t xml:space="preserve">（永續與再投資率）</t>
    </r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</si>
  <si>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</si>
  <si>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</si>
  <si>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</si>
  <si>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t xml:space="preserve">Comparable 0.7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</si>
  <si>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</si>
  <si>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t xml:space="preserve">Comparable 0.3</t>
  </si>
  <si>
    <r>
      <rPr>
        <sz val="11"/>
        <color theme="1"/>
        <rFont val="Noto Sans CJK SC"/>
        <family val="2"/>
      </rPr>
      <t xml:space="preserve">核對：基準列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 −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</si>
  <si>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https://www.sec.gov/Archives/edgar/data/0002023554/000162828026053346/sndkq4-26ex991xpressrelease.htm</t>
  </si>
  <si>
    <t xml:space="preserve">https://www.sec.gov/Archives/edgar/data/2023554/000162828026004121/sndkq2fy26ex991-pressrelea.htm</t>
  </si>
  <si>
    <r>
      <rPr>
        <sz val="11"/>
        <color theme="1"/>
        <rFont val="Calibri"/>
        <family val="2"/>
        <charset val="1"/>
      </rPr>
      <t xml:space="preserve">SanDisk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FQ1 FY27 </t>
    </r>
    <r>
      <rPr>
        <sz val="11"/>
        <color theme="1"/>
        <rFont val="Noto Sans CJK SC"/>
        <family val="2"/>
      </rPr>
      <t xml:space="preserve">財報日 </t>
    </r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2026-09-29 </t>
    </r>
    <r>
      <rPr>
        <sz val="11"/>
        <color theme="1"/>
        <rFont val="Noto Sans CJK SC"/>
        <family val="2"/>
      </rPr>
      <t xml:space="preserve">公告）</t>
    </r>
  </si>
  <si>
    <t xml:space="preserve">https://investor.sandisk.com/news-releases/news-release-details/sandisk-report-first-quarter-fiscal-year-2027-results-october-29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</si>
  <si>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：歷史股價、統計、共識目標價</t>
    </r>
  </si>
  <si>
    <t xml:space="preserve">https://stockanalysis.com/stocks/sndk/forecast/</t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</si>
  <si>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預估（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、每股淨值、股數）</t>
    </r>
  </si>
  <si>
    <t xml:space="preserve">https://uk.marketscreener.com/quote/stock/SANDISK-CORPORATION-182801077/finances/</t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</si>
  <si>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預估（同業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</si>
  <si>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https://uk.marketscreener.com/quote/stock/KIOXIA-HOLDINGS-CORPORATI-180030735/finances/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</si>
  <si>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WDC </t>
    </r>
    <r>
      <rPr>
        <sz val="11"/>
        <color theme="1"/>
        <rFont val="Noto Sans CJK SC"/>
        <family val="2"/>
      </rPr>
      <t xml:space="preserve">統計（</t>
    </r>
    <r>
      <rPr>
        <sz val="11"/>
        <color theme="1"/>
        <rFont val="Calibri"/>
        <family val="2"/>
        <charset val="1"/>
      </rPr>
      <t xml:space="preserve">Forward P/E</t>
    </r>
    <r>
      <rPr>
        <sz val="11"/>
        <color theme="1"/>
        <rFont val="Noto Sans CJK SC"/>
        <family val="2"/>
      </rPr>
      <t xml:space="preserve">）</t>
    </r>
  </si>
  <si>
    <t xml:space="preserve">https://stockanalysis.com/stocks/wdc/statistics/</t>
  </si>
  <si>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SanDisk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日本投資、</t>
    </r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Noto Sans CJK SC"/>
        <family val="2"/>
      </rPr>
      <t xml:space="preserve">毛資本支出約營收 </t>
    </r>
    <r>
      <rPr>
        <sz val="11"/>
        <color theme="1"/>
        <rFont val="Calibri"/>
        <family val="2"/>
        <charset val="1"/>
      </rPr>
      <t xml:space="preserve">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2026-08-29</t>
    </r>
    <r>
      <rPr>
        <sz val="11"/>
        <color theme="1"/>
        <rFont val="Noto Sans CJK SC"/>
        <family val="2"/>
      </rPr>
      <t xml:space="preserve">）</t>
    </r>
  </si>
  <si>
    <t xml:space="preserve">https://www.fool.com/investing/2026/08/29/sandisk-and-kioxia-plan-to-invest-more-than-usd31-billion-in-japanese-memory-plants-about-60-of-what-they-have-spent-there-in-25-years/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</si>
  <si>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markets/nand/dist/20261025_NAND</t>
    </r>
    <r>
      <rPr>
        <sz val="11"/>
        <color theme="1"/>
        <rFont val="Noto Sans CJK SC"/>
        <family val="2"/>
      </rPr>
      <t xml:space="preserve">市場模型</t>
    </r>
    <r>
      <rPr>
        <sz val="11"/>
        <color theme="1"/>
        <rFont val="Calibri"/>
        <family val="2"/>
        <charset val="1"/>
      </rPr>
      <t xml:space="preserve">_v0.1.xlsx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markets/nand v0.1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</si>
  <si>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本 </t>
    </r>
    <r>
      <rPr>
        <sz val="11"/>
        <color theme="1"/>
        <rFont val="Calibri"/>
        <family val="2"/>
        <charset val="1"/>
      </rPr>
      <t xml:space="preserve">repo</t>
    </r>
  </si>
  <si>
    <r>
      <rPr>
        <sz val="11"/>
        <color theme="1"/>
        <rFont val="Noto Sans CJK SC"/>
        <family val="2"/>
      </rPr>
      <t xml:space="preserve">美光十年倍數與淨利率（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micron/dist/20261025_</t>
    </r>
    <r>
      <rPr>
        <sz val="11"/>
        <color theme="1"/>
        <rFont val="Noto Sans CJK SC"/>
        <family val="2"/>
      </rPr>
      <t xml:space="preserve">美光模型</t>
    </r>
    <r>
      <rPr>
        <sz val="11"/>
        <color theme="1"/>
        <rFont val="Calibri"/>
        <family val="2"/>
        <charset val="1"/>
      </rPr>
      <t xml:space="preserve">_v0.4.xlsx</t>
    </r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</si>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</sst>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.000"/>
    <numFmt numFmtId="166" formatCode="0.0%"/>
    <numFmt numFmtId="167" formatCode="#,##0.00"/>
    <numFmt numFmtId="168" formatCode="0.000"/>
    <numFmt numFmtId="169" formatCode="0.0000"/>
    <numFmt numFmtId="170" formatCode="#,##0.0"/>
    <numFmt numFmtId="171" formatCode="0%"/>
    <numFmt numFmtId="172" formatCode="#,##0"/>
    <numFmt numFmtId="173" formatCode="0.00"/>
    <numFmt numFmtId="174" formatCode="@"/>
    <numFmt numFmtId="175" formatCode="0.00\x"/>
    <numFmt numFmtId="176" formatCode="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4" customFormat="false" ht="17.15" hidden="false" customHeight="false" outlineLevel="0" collapsed="false">
      <c r="A4" s="2" t="str">
        <f aca="false">"1. 加權目標價 "&amp;TEXT(Val!B49,"#,##0")&amp;" 美元，相對現價 "&amp;TEXT(px,"#,##0.00")&amp;"（2026-10-23 收盤）"&amp;TEXT(Val!B52,"+0.0%;−0.0%")&amp;"，主因是 Comparable 偏低：同業前瞻 P/B 中位數 "&amp;TEXT(Val!B32,"0.00")&amp;"x，而共識目標價隱含約 "&amp;TEXT(cons_tp/((cons_bv28+cons_bv29)/2),"0.00")&amp;"x（倍數因素 "&amp;TEXT(Val!B59,"+0%;−0%")&amp;"）；DCF 目標價 "&amp;TEXT(Val!B24,"#,##0")&amp;" 高於 Comparable "&amp;TEXT(Val!B34,"#,##0")&amp;"。"</f>
        <v>1. 加權目標價 953 美元，相對現價 1,238.03（2026-10-23 收盤）−23.0%，主因是 Comparable 偏低：同業前瞻 P/B 中位數 1.49x，而共識目標價隱含約 3.56x（倍數因素 +139%）；DCF 目標價 1,139 高於 Comparable 767。</v>
      </c>
    </row>
    <row r="5" customFormat="false" ht="17.15" hidden="false" customHeight="false" outlineLevel="0" collapsed="false">
      <c r="A5" s="2" t="str">
        <f aca="false">"2. 本模型 FY2027 EPS（A）"&amp;TEXT(PL!E10,"0")&amp;" 美元，比共識 217.4 "&amp;TEXT(PL!E10/cons_eps27-1,"+0%;−0%")&amp;"；B、C 到 FY2028 才分歧（"&amp;TEXT(PL!F20,"0")&amp;"／"&amp;TEXT(PL!F30,"0")&amp;"），因為 2026Q3–2027Q2 的價格與位元三情境幾乎相同（markets/nand）。追蹤：2026-10-29 FQ1 FY27 財報與 FQ2 指引。"</f>
        <v>2. 本模型 FY2027 EPS（A）263 美元，比共識 217.4 +21%；B、C 到 FY2028 才分歧（220／195），因為 2026Q3–2027Q2 的價格與位元三情境幾乎相同（markets/nand）。追蹤：2026-10-29 FQ1 FY27 財報與 FQ2 指引。</v>
      </c>
    </row>
    <row r="6" customFormat="false" ht="17.15" hidden="false" customHeight="false" outlineLevel="0" collapsed="false">
      <c r="A6" s="2" t="str">
        <f aca="false">"3. 最敏感的是價格而非成本：2027 起季價 ±20% 使 FY2028 EPS（A）變動 "&amp;TEXT(Sens!H5,"+0%;−0%")&amp;"／"&amp;TEXT(Sens!H6,"+0%;−0%")&amp;"，成本年降 ±4pt 只有約 ±1%；情境 C 的 FY2029 毛利率降到 "&amp;TEXT(PL!G26,"0%")&amp;"（CY2028 NAND 價格跌回約 2025 年水準）。追蹤：TrendForce 每季初的 NAND 合約價與 Kioxia 2026-10-30 財報（合資群位元與價格）。"</f>
        <v>3. 最敏感的是價格而非成本：2027 起季價 ±20% 使 FY2028 EPS（A）變動 −28%／+31%，成本年降 ±4pt 只有約 ±1%；情境 C 的 FY2029 毛利率降到 49%（CY2028 NAND 價格跌回約 2025 年水準）。追蹤：TrendForce 每季初的 NAND 合約價與 Kioxia 2026-10-30 財報（合資群位元與價格）。</v>
      </c>
    </row>
    <row r="7" customFormat="false" ht="17.15" hidden="false" customHeight="false" outlineLevel="0" collapsed="false">
      <c r="A7" s="1" t="str">
        <f aca="false">"投資建議："&amp;Val!B55&amp;"（依上檔空間固定規則；上檔空間："&amp;TEXT(Val!B52,"+0.0%;−0.0%")&amp;"，級距："&amp;Val!B54&amp;"）"</f>
        <v>投資建議：中立（依上檔空間固定規則；上檔空間：−23.0%，級距：0%～−25%）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3" t="s">
        <v>3</v>
      </c>
    </row>
    <row r="10" customFormat="false" ht="17.15" hidden="false" customHeight="false" outlineLevel="0" collapsed="false">
      <c r="A10" s="4" t="s">
        <v>4</v>
      </c>
    </row>
    <row r="11" customFormat="false" ht="17.15" hidden="false" customHeight="false" outlineLevel="0" collapsed="false">
      <c r="A11" s="4" t="s">
        <v>5</v>
      </c>
    </row>
    <row r="12" customFormat="false" ht="17.15" hidden="false" customHeight="false" outlineLevel="0" collapsed="false">
      <c r="A12" s="4" t="s">
        <v>6</v>
      </c>
    </row>
    <row r="13" customFormat="false" ht="17.15" hidden="false" customHeight="false" outlineLevel="0" collapsed="false">
      <c r="A13" s="4" t="s">
        <v>7</v>
      </c>
    </row>
    <row r="14" customFormat="false" ht="15" hidden="false" customHeight="false" outlineLevel="0" collapsed="false">
      <c r="A14" s="2"/>
    </row>
    <row r="15" customFormat="false" ht="17.15" hidden="false" customHeight="false" outlineLevel="0" collapsed="false">
      <c r="A15" s="2" t="s">
        <v>8</v>
      </c>
    </row>
    <row r="16" customFormat="false" ht="17.15" hidden="false" customHeight="false" outlineLevel="0" collapsed="false">
      <c r="A16" s="2" t="s">
        <v>9</v>
      </c>
    </row>
    <row r="17" customFormat="false" ht="17.15" hidden="false" customHeight="false" outlineLevel="0" collapsed="false">
      <c r="A17" s="2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0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8" min="8" style="0" width="90"/>
    <col collapsed="false" customWidth="true" hidden="false" outlineLevel="0" max="9" min="9" style="0" width="70"/>
  </cols>
  <sheetData>
    <row r="1" customFormat="false" ht="17.15" hidden="false" customHeight="false" outlineLevel="0" collapsed="false">
      <c r="A1" s="0" t="s">
        <v>11</v>
      </c>
    </row>
    <row r="2" customFormat="false" ht="17.15" hidden="false" customHeight="false" outlineLevel="0" collapsed="false">
      <c r="A2" s="5" t="s">
        <v>12</v>
      </c>
    </row>
    <row r="3" customFormat="false" ht="17.15" hidden="false" customHeight="false" outlineLevel="0" collapsed="false">
      <c r="A3" s="6" t="s">
        <v>13</v>
      </c>
      <c r="B3" s="6" t="s">
        <v>14</v>
      </c>
      <c r="C3" s="6" t="s">
        <v>15</v>
      </c>
      <c r="D3" s="6" t="s">
        <v>16</v>
      </c>
      <c r="E3" s="6" t="s">
        <v>17</v>
      </c>
      <c r="F3" s="6" t="s">
        <v>18</v>
      </c>
      <c r="G3" s="6" t="s">
        <v>19</v>
      </c>
      <c r="H3" s="6" t="s">
        <v>20</v>
      </c>
      <c r="I3" s="6" t="s">
        <v>21</v>
      </c>
    </row>
    <row r="4" customFormat="false" ht="17.15" hidden="false" customHeight="false" outlineLevel="0" collapsed="false">
      <c r="A4" s="1" t="s">
        <v>22</v>
      </c>
    </row>
    <row r="5" customFormat="false" ht="17.15" hidden="false" customHeight="false" outlineLevel="0" collapsed="false">
      <c r="A5" s="0" t="s">
        <v>23</v>
      </c>
      <c r="B5" s="0" t="s">
        <v>24</v>
      </c>
      <c r="C5" s="0" t="s">
        <v>25</v>
      </c>
      <c r="E5" s="7" t="n">
        <v>2.308</v>
      </c>
      <c r="G5" s="8" t="s">
        <v>26</v>
      </c>
      <c r="H5" s="8" t="s">
        <v>27</v>
      </c>
      <c r="I5" s="8" t="s">
        <v>28</v>
      </c>
    </row>
    <row r="6" customFormat="false" ht="17.15" hidden="false" customHeight="false" outlineLevel="0" collapsed="false">
      <c r="A6" s="0" t="s">
        <v>29</v>
      </c>
      <c r="B6" s="0" t="s">
        <v>30</v>
      </c>
      <c r="C6" s="0" t="s">
        <v>31</v>
      </c>
      <c r="E6" s="7" t="n">
        <v>0.298</v>
      </c>
      <c r="G6" s="8" t="s">
        <v>26</v>
      </c>
      <c r="H6" s="8" t="s">
        <v>27</v>
      </c>
    </row>
    <row r="7" customFormat="false" ht="17.15" hidden="false" customHeight="false" outlineLevel="0" collapsed="false">
      <c r="A7" s="0" t="s">
        <v>32</v>
      </c>
      <c r="B7" s="0" t="s">
        <v>33</v>
      </c>
      <c r="C7" s="0" t="s">
        <v>25</v>
      </c>
      <c r="E7" s="7" t="n">
        <v>0.176</v>
      </c>
      <c r="G7" s="8" t="s">
        <v>26</v>
      </c>
      <c r="H7" s="8" t="s">
        <v>27</v>
      </c>
    </row>
    <row r="8" customFormat="false" ht="17.15" hidden="false" customHeight="false" outlineLevel="0" collapsed="false">
      <c r="A8" s="0" t="s">
        <v>34</v>
      </c>
      <c r="B8" s="0" t="s">
        <v>35</v>
      </c>
      <c r="C8" s="0" t="s">
        <v>25</v>
      </c>
      <c r="E8" s="7" t="n">
        <v>0.112</v>
      </c>
      <c r="G8" s="8" t="s">
        <v>26</v>
      </c>
      <c r="H8" s="8" t="s">
        <v>27</v>
      </c>
    </row>
    <row r="9" customFormat="false" ht="17.15" hidden="false" customHeight="false" outlineLevel="0" collapsed="false">
      <c r="A9" s="0" t="s">
        <v>36</v>
      </c>
      <c r="B9" s="0" t="s">
        <v>37</v>
      </c>
      <c r="C9" s="0" t="s">
        <v>38</v>
      </c>
      <c r="E9" s="7" t="n">
        <v>0.75</v>
      </c>
      <c r="G9" s="8" t="s">
        <v>26</v>
      </c>
      <c r="H9" s="8" t="s">
        <v>27</v>
      </c>
    </row>
    <row r="10" customFormat="false" ht="17.15" hidden="false" customHeight="false" outlineLevel="0" collapsed="false">
      <c r="A10" s="0" t="s">
        <v>39</v>
      </c>
      <c r="B10" s="0" t="s">
        <v>40</v>
      </c>
      <c r="C10" s="0" t="s">
        <v>25</v>
      </c>
      <c r="E10" s="7" t="n">
        <v>3.025</v>
      </c>
      <c r="G10" s="8" t="s">
        <v>26</v>
      </c>
      <c r="H10" s="8" t="s">
        <v>27</v>
      </c>
      <c r="I10" s="8" t="s">
        <v>28</v>
      </c>
    </row>
    <row r="11" customFormat="false" ht="17.15" hidden="false" customHeight="false" outlineLevel="0" collapsed="false">
      <c r="A11" s="0" t="s">
        <v>41</v>
      </c>
      <c r="B11" s="0" t="s">
        <v>42</v>
      </c>
      <c r="C11" s="0" t="s">
        <v>31</v>
      </c>
      <c r="E11" s="7" t="n">
        <v>0.509</v>
      </c>
      <c r="G11" s="8" t="s">
        <v>26</v>
      </c>
      <c r="H11" s="8" t="s">
        <v>27</v>
      </c>
    </row>
    <row r="12" customFormat="false" ht="17.15" hidden="false" customHeight="false" outlineLevel="0" collapsed="false">
      <c r="A12" s="0" t="s">
        <v>43</v>
      </c>
      <c r="B12" s="0" t="s">
        <v>44</v>
      </c>
      <c r="C12" s="0" t="s">
        <v>25</v>
      </c>
      <c r="E12" s="7" t="n">
        <v>1.065</v>
      </c>
      <c r="G12" s="8" t="s">
        <v>26</v>
      </c>
      <c r="H12" s="8" t="s">
        <v>27</v>
      </c>
    </row>
    <row r="13" customFormat="false" ht="17.15" hidden="false" customHeight="false" outlineLevel="0" collapsed="false">
      <c r="A13" s="0" t="s">
        <v>45</v>
      </c>
      <c r="B13" s="0" t="s">
        <v>46</v>
      </c>
      <c r="C13" s="0" t="s">
        <v>25</v>
      </c>
      <c r="E13" s="7" t="n">
        <v>0.803</v>
      </c>
      <c r="G13" s="8" t="s">
        <v>26</v>
      </c>
      <c r="H13" s="8" t="s">
        <v>27</v>
      </c>
    </row>
    <row r="14" customFormat="false" ht="17.15" hidden="false" customHeight="false" outlineLevel="0" collapsed="false">
      <c r="A14" s="0" t="s">
        <v>47</v>
      </c>
      <c r="B14" s="0" t="s">
        <v>48</v>
      </c>
      <c r="C14" s="0" t="s">
        <v>38</v>
      </c>
      <c r="E14" s="7" t="n">
        <v>5.15</v>
      </c>
      <c r="G14" s="8" t="s">
        <v>26</v>
      </c>
      <c r="H14" s="8" t="s">
        <v>27</v>
      </c>
    </row>
    <row r="15" customFormat="false" ht="17.15" hidden="false" customHeight="false" outlineLevel="0" collapsed="false">
      <c r="A15" s="0" t="s">
        <v>49</v>
      </c>
      <c r="B15" s="0" t="s">
        <v>50</v>
      </c>
      <c r="C15" s="0" t="s">
        <v>25</v>
      </c>
      <c r="E15" s="7" t="n">
        <v>5.95</v>
      </c>
      <c r="G15" s="8" t="s">
        <v>26</v>
      </c>
      <c r="H15" s="8" t="s">
        <v>51</v>
      </c>
      <c r="I15" s="8" t="s">
        <v>28</v>
      </c>
    </row>
    <row r="16" customFormat="false" ht="17.15" hidden="false" customHeight="false" outlineLevel="0" collapsed="false">
      <c r="A16" s="0" t="s">
        <v>52</v>
      </c>
      <c r="B16" s="0" t="s">
        <v>53</v>
      </c>
      <c r="C16" s="0" t="s">
        <v>31</v>
      </c>
      <c r="E16" s="7" t="n">
        <v>0.784</v>
      </c>
      <c r="G16" s="8" t="s">
        <v>26</v>
      </c>
      <c r="H16" s="8" t="s">
        <v>51</v>
      </c>
    </row>
    <row r="17" customFormat="false" ht="17.15" hidden="false" customHeight="false" outlineLevel="0" collapsed="false">
      <c r="A17" s="0" t="s">
        <v>54</v>
      </c>
      <c r="B17" s="0" t="s">
        <v>55</v>
      </c>
      <c r="C17" s="0" t="s">
        <v>25</v>
      </c>
      <c r="E17" s="7" t="n">
        <v>4.111</v>
      </c>
      <c r="G17" s="8" t="s">
        <v>26</v>
      </c>
      <c r="H17" s="8" t="s">
        <v>51</v>
      </c>
    </row>
    <row r="18" customFormat="false" ht="17.15" hidden="false" customHeight="false" outlineLevel="0" collapsed="false">
      <c r="A18" s="0" t="s">
        <v>56</v>
      </c>
      <c r="B18" s="0" t="s">
        <v>57</v>
      </c>
      <c r="C18" s="0" t="s">
        <v>25</v>
      </c>
      <c r="E18" s="7" t="n">
        <v>3.615</v>
      </c>
      <c r="G18" s="8" t="s">
        <v>26</v>
      </c>
      <c r="H18" s="8" t="s">
        <v>51</v>
      </c>
    </row>
    <row r="19" customFormat="false" ht="17.15" hidden="false" customHeight="false" outlineLevel="0" collapsed="false">
      <c r="A19" s="0" t="s">
        <v>58</v>
      </c>
      <c r="B19" s="0" t="s">
        <v>59</v>
      </c>
      <c r="C19" s="0" t="s">
        <v>38</v>
      </c>
      <c r="E19" s="7" t="n">
        <v>23.03</v>
      </c>
      <c r="G19" s="8" t="s">
        <v>26</v>
      </c>
      <c r="H19" s="8" t="s">
        <v>51</v>
      </c>
    </row>
    <row r="20" customFormat="false" ht="17.15" hidden="false" customHeight="false" outlineLevel="0" collapsed="false">
      <c r="A20" s="0" t="s">
        <v>60</v>
      </c>
      <c r="B20" s="0" t="s">
        <v>61</v>
      </c>
      <c r="C20" s="0" t="s">
        <v>25</v>
      </c>
      <c r="E20" s="7" t="n">
        <v>8.965</v>
      </c>
      <c r="G20" s="8" t="s">
        <v>26</v>
      </c>
      <c r="H20" s="8" t="s">
        <v>51</v>
      </c>
      <c r="I20" s="8" t="s">
        <v>28</v>
      </c>
    </row>
    <row r="21" customFormat="false" ht="17.15" hidden="false" customHeight="false" outlineLevel="0" collapsed="false">
      <c r="A21" s="0" t="s">
        <v>62</v>
      </c>
      <c r="B21" s="0" t="s">
        <v>63</v>
      </c>
      <c r="C21" s="0" t="s">
        <v>31</v>
      </c>
      <c r="E21" s="7" t="n">
        <v>0.846</v>
      </c>
      <c r="G21" s="8" t="s">
        <v>26</v>
      </c>
      <c r="H21" s="8" t="s">
        <v>51</v>
      </c>
    </row>
    <row r="22" customFormat="false" ht="17.15" hidden="false" customHeight="false" outlineLevel="0" collapsed="false">
      <c r="A22" s="0" t="s">
        <v>64</v>
      </c>
      <c r="B22" s="0" t="s">
        <v>65</v>
      </c>
      <c r="C22" s="0" t="s">
        <v>25</v>
      </c>
      <c r="E22" s="7" t="n">
        <v>7.037</v>
      </c>
      <c r="G22" s="8" t="s">
        <v>26</v>
      </c>
      <c r="H22" s="8" t="s">
        <v>51</v>
      </c>
    </row>
    <row r="23" customFormat="false" ht="17.15" hidden="false" customHeight="false" outlineLevel="0" collapsed="false">
      <c r="A23" s="0" t="s">
        <v>66</v>
      </c>
      <c r="B23" s="0" t="s">
        <v>67</v>
      </c>
      <c r="C23" s="0" t="s">
        <v>25</v>
      </c>
      <c r="E23" s="7" t="n">
        <v>6.903</v>
      </c>
      <c r="G23" s="8" t="s">
        <v>26</v>
      </c>
      <c r="H23" s="8" t="s">
        <v>51</v>
      </c>
    </row>
    <row r="24" customFormat="false" ht="17.15" hidden="false" customHeight="false" outlineLevel="0" collapsed="false">
      <c r="A24" s="0" t="s">
        <v>68</v>
      </c>
      <c r="B24" s="0" t="s">
        <v>69</v>
      </c>
      <c r="C24" s="0" t="s">
        <v>38</v>
      </c>
      <c r="E24" s="7" t="n">
        <v>43.97</v>
      </c>
      <c r="G24" s="8" t="s">
        <v>26</v>
      </c>
      <c r="H24" s="8" t="s">
        <v>51</v>
      </c>
    </row>
    <row r="25" customFormat="false" ht="17.15" hidden="false" customHeight="false" outlineLevel="0" collapsed="false">
      <c r="A25" s="0" t="s">
        <v>70</v>
      </c>
      <c r="B25" s="0" t="s">
        <v>71</v>
      </c>
      <c r="C25" s="0" t="s">
        <v>25</v>
      </c>
      <c r="E25" s="7" t="n">
        <v>20.248</v>
      </c>
      <c r="G25" s="8" t="s">
        <v>26</v>
      </c>
      <c r="H25" s="8" t="s">
        <v>72</v>
      </c>
      <c r="I25" s="8" t="s">
        <v>73</v>
      </c>
    </row>
    <row r="26" customFormat="false" ht="17.15" hidden="false" customHeight="false" outlineLevel="0" collapsed="false">
      <c r="A26" s="0" t="s">
        <v>74</v>
      </c>
      <c r="B26" s="0" t="s">
        <v>75</v>
      </c>
      <c r="C26" s="0" t="s">
        <v>25</v>
      </c>
      <c r="E26" s="7" t="n">
        <v>11.433</v>
      </c>
      <c r="G26" s="8" t="s">
        <v>26</v>
      </c>
      <c r="H26" s="8" t="s">
        <v>51</v>
      </c>
      <c r="I26" s="8" t="s">
        <v>73</v>
      </c>
    </row>
    <row r="27" customFormat="false" ht="17.15" hidden="false" customHeight="false" outlineLevel="0" collapsed="false">
      <c r="A27" s="0" t="s">
        <v>76</v>
      </c>
      <c r="B27" s="0" t="s">
        <v>77</v>
      </c>
      <c r="C27" s="0" t="s">
        <v>38</v>
      </c>
      <c r="E27" s="7" t="n">
        <v>73.76</v>
      </c>
      <c r="G27" s="8" t="s">
        <v>26</v>
      </c>
      <c r="H27" s="8" t="s">
        <v>78</v>
      </c>
      <c r="I27" s="8" t="s">
        <v>79</v>
      </c>
    </row>
    <row r="28" customFormat="false" ht="17.15" hidden="false" customHeight="false" outlineLevel="0" collapsed="false">
      <c r="A28" s="0" t="s">
        <v>80</v>
      </c>
      <c r="B28" s="0" t="s">
        <v>81</v>
      </c>
      <c r="C28" s="0" t="s">
        <v>25</v>
      </c>
      <c r="E28" s="7" t="n">
        <v>12.389</v>
      </c>
      <c r="G28" s="8" t="s">
        <v>26</v>
      </c>
      <c r="H28" s="8" t="s">
        <v>51</v>
      </c>
    </row>
    <row r="29" customFormat="false" ht="17.15" hidden="false" customHeight="false" outlineLevel="0" collapsed="false">
      <c r="A29" s="0" t="s">
        <v>82</v>
      </c>
      <c r="B29" s="0" t="s">
        <v>83</v>
      </c>
      <c r="C29" s="0" t="s">
        <v>31</v>
      </c>
      <c r="E29" s="7" t="n">
        <v>0.715</v>
      </c>
      <c r="G29" s="8" t="s">
        <v>26</v>
      </c>
      <c r="H29" s="8" t="s">
        <v>51</v>
      </c>
    </row>
    <row r="30" customFormat="false" ht="17.15" hidden="false" customHeight="false" outlineLevel="0" collapsed="false">
      <c r="A30" s="0" t="s">
        <v>84</v>
      </c>
      <c r="B30" s="0" t="s">
        <v>85</v>
      </c>
      <c r="C30" s="0" t="s">
        <v>25</v>
      </c>
      <c r="E30" s="7" t="n">
        <v>7.355</v>
      </c>
      <c r="G30" s="8" t="s">
        <v>26</v>
      </c>
      <c r="H30" s="8" t="s">
        <v>86</v>
      </c>
      <c r="I30" s="8" t="s">
        <v>87</v>
      </c>
    </row>
    <row r="31" customFormat="false" ht="17.15" hidden="false" customHeight="false" outlineLevel="0" collapsed="false">
      <c r="A31" s="0" t="s">
        <v>88</v>
      </c>
      <c r="B31" s="0" t="s">
        <v>89</v>
      </c>
      <c r="C31" s="0" t="s">
        <v>25</v>
      </c>
      <c r="E31" s="7" t="n">
        <v>-1.641</v>
      </c>
      <c r="G31" s="8" t="s">
        <v>26</v>
      </c>
      <c r="H31" s="8" t="s">
        <v>90</v>
      </c>
      <c r="I31" s="8" t="s">
        <v>91</v>
      </c>
    </row>
    <row r="32" customFormat="false" ht="17.15" hidden="false" customHeight="false" outlineLevel="0" collapsed="false">
      <c r="A32" s="0" t="s">
        <v>92</v>
      </c>
      <c r="B32" s="0" t="s">
        <v>93</v>
      </c>
      <c r="C32" s="0" t="s">
        <v>38</v>
      </c>
      <c r="E32" s="7" t="n">
        <v>-11.32</v>
      </c>
      <c r="G32" s="8" t="s">
        <v>26</v>
      </c>
      <c r="H32" s="8" t="s">
        <v>51</v>
      </c>
    </row>
    <row r="33" customFormat="false" ht="17.15" hidden="false" customHeight="false" outlineLevel="0" collapsed="false">
      <c r="A33" s="0" t="s">
        <v>94</v>
      </c>
      <c r="B33" s="5" t="s">
        <v>95</v>
      </c>
      <c r="C33" s="0" t="s">
        <v>25</v>
      </c>
      <c r="D33" s="7" t="n">
        <v>10.3</v>
      </c>
      <c r="E33" s="7" t="n">
        <v>10.55</v>
      </c>
      <c r="F33" s="7" t="n">
        <v>10.8</v>
      </c>
      <c r="G33" s="8" t="s">
        <v>96</v>
      </c>
      <c r="H33" s="8" t="s">
        <v>97</v>
      </c>
      <c r="I33" s="5" t="s">
        <v>98</v>
      </c>
    </row>
    <row r="34" customFormat="false" ht="17.15" hidden="false" customHeight="false" outlineLevel="0" collapsed="false">
      <c r="A34" s="0" t="s">
        <v>99</v>
      </c>
      <c r="B34" s="5" t="s">
        <v>100</v>
      </c>
      <c r="C34" s="0" t="s">
        <v>31</v>
      </c>
      <c r="D34" s="7" t="n">
        <v>0.83</v>
      </c>
      <c r="E34" s="7" t="n">
        <v>0.84</v>
      </c>
      <c r="F34" s="7" t="n">
        <v>0.849</v>
      </c>
      <c r="G34" s="8" t="s">
        <v>96</v>
      </c>
      <c r="H34" s="8" t="s">
        <v>101</v>
      </c>
      <c r="I34" s="5" t="s">
        <v>102</v>
      </c>
    </row>
    <row r="35" customFormat="false" ht="17.15" hidden="false" customHeight="false" outlineLevel="0" collapsed="false">
      <c r="A35" s="0" t="s">
        <v>103</v>
      </c>
      <c r="B35" s="5" t="s">
        <v>104</v>
      </c>
      <c r="C35" s="0" t="s">
        <v>25</v>
      </c>
      <c r="D35" s="7" t="n">
        <v>0.574</v>
      </c>
      <c r="E35" s="7" t="n">
        <v>0.594</v>
      </c>
      <c r="F35" s="7" t="n">
        <v>0.614</v>
      </c>
      <c r="G35" s="8" t="s">
        <v>96</v>
      </c>
      <c r="H35" s="8" t="s">
        <v>105</v>
      </c>
    </row>
    <row r="36" customFormat="false" ht="17.15" hidden="false" customHeight="false" outlineLevel="0" collapsed="false">
      <c r="A36" s="0" t="s">
        <v>106</v>
      </c>
      <c r="B36" s="5" t="s">
        <v>107</v>
      </c>
      <c r="C36" s="0" t="s">
        <v>38</v>
      </c>
      <c r="D36" s="7" t="n">
        <v>44</v>
      </c>
      <c r="E36" s="7" t="n">
        <v>45</v>
      </c>
      <c r="F36" s="7" t="n">
        <v>46</v>
      </c>
      <c r="G36" s="8" t="s">
        <v>96</v>
      </c>
      <c r="H36" s="8" t="s">
        <v>108</v>
      </c>
    </row>
    <row r="37" customFormat="false" ht="17.15" hidden="false" customHeight="false" outlineLevel="0" collapsed="false">
      <c r="A37" s="0" t="s">
        <v>109</v>
      </c>
      <c r="B37" s="5" t="s">
        <v>110</v>
      </c>
      <c r="C37" s="5" t="s">
        <v>111</v>
      </c>
      <c r="E37" s="7" t="n">
        <v>155</v>
      </c>
      <c r="G37" s="8" t="s">
        <v>96</v>
      </c>
      <c r="H37" s="8" t="s">
        <v>51</v>
      </c>
    </row>
    <row r="38" customFormat="false" ht="17.15" hidden="false" customHeight="false" outlineLevel="0" collapsed="false">
      <c r="A38" s="1" t="s">
        <v>112</v>
      </c>
    </row>
    <row r="39" customFormat="false" ht="17.15" hidden="false" customHeight="false" outlineLevel="0" collapsed="false">
      <c r="A39" s="0" t="s">
        <v>113</v>
      </c>
      <c r="B39" s="5" t="s">
        <v>114</v>
      </c>
      <c r="C39" s="0" t="s">
        <v>31</v>
      </c>
      <c r="D39" s="7" t="n">
        <v>0.1</v>
      </c>
      <c r="E39" s="7" t="n">
        <v>0.14</v>
      </c>
      <c r="F39" s="7" t="n">
        <v>0.18</v>
      </c>
      <c r="G39" s="8" t="s">
        <v>115</v>
      </c>
      <c r="H39" s="8" t="s">
        <v>116</v>
      </c>
      <c r="I39" s="5" t="s">
        <v>117</v>
      </c>
    </row>
    <row r="40" customFormat="false" ht="17.15" hidden="false" customHeight="false" outlineLevel="0" collapsed="false">
      <c r="A40" s="0" t="s">
        <v>118</v>
      </c>
      <c r="B40" s="5" t="s">
        <v>119</v>
      </c>
      <c r="C40" s="0" t="s">
        <v>31</v>
      </c>
      <c r="D40" s="7" t="n">
        <v>0.08</v>
      </c>
      <c r="E40" s="7" t="n">
        <v>0.12</v>
      </c>
      <c r="F40" s="7" t="n">
        <v>0.16</v>
      </c>
      <c r="G40" s="8" t="s">
        <v>115</v>
      </c>
      <c r="H40" s="8" t="s">
        <v>120</v>
      </c>
      <c r="I40" s="5" t="s">
        <v>121</v>
      </c>
    </row>
    <row r="41" customFormat="false" ht="17.15" hidden="false" customHeight="false" outlineLevel="0" collapsed="false">
      <c r="A41" s="0" t="s">
        <v>122</v>
      </c>
      <c r="B41" s="5" t="s">
        <v>123</v>
      </c>
      <c r="C41" s="0" t="s">
        <v>31</v>
      </c>
      <c r="D41" s="7" t="n">
        <v>0.06</v>
      </c>
      <c r="E41" s="7" t="n">
        <v>0.1</v>
      </c>
      <c r="F41" s="7" t="n">
        <v>0.14</v>
      </c>
      <c r="G41" s="8" t="s">
        <v>115</v>
      </c>
      <c r="H41" s="8" t="s">
        <v>124</v>
      </c>
      <c r="I41" s="5" t="s">
        <v>121</v>
      </c>
    </row>
    <row r="42" customFormat="false" ht="17.15" hidden="false" customHeight="false" outlineLevel="0" collapsed="false">
      <c r="A42" s="0" t="s">
        <v>125</v>
      </c>
      <c r="B42" s="5" t="s">
        <v>126</v>
      </c>
      <c r="C42" s="0" t="s">
        <v>31</v>
      </c>
      <c r="D42" s="7" t="n">
        <v>0.005</v>
      </c>
      <c r="E42" s="7" t="n">
        <v>0.01</v>
      </c>
      <c r="F42" s="7" t="n">
        <v>0.02</v>
      </c>
      <c r="G42" s="8" t="s">
        <v>115</v>
      </c>
      <c r="H42" s="8" t="s">
        <v>127</v>
      </c>
      <c r="I42" s="5" t="s">
        <v>128</v>
      </c>
    </row>
    <row r="43" customFormat="false" ht="17.15" hidden="false" customHeight="false" outlineLevel="0" collapsed="false">
      <c r="A43" s="0" t="s">
        <v>129</v>
      </c>
      <c r="B43" s="5" t="s">
        <v>130</v>
      </c>
      <c r="C43" s="0" t="s">
        <v>31</v>
      </c>
      <c r="D43" s="7" t="n">
        <v>0.05</v>
      </c>
      <c r="E43" s="7" t="n">
        <v>0.1</v>
      </c>
      <c r="F43" s="7" t="n">
        <v>0.15</v>
      </c>
      <c r="G43" s="8" t="s">
        <v>115</v>
      </c>
      <c r="H43" s="5" t="s">
        <v>131</v>
      </c>
    </row>
    <row r="44" customFormat="false" ht="17.15" hidden="false" customHeight="false" outlineLevel="0" collapsed="false">
      <c r="A44" s="0" t="s">
        <v>132</v>
      </c>
      <c r="B44" s="5" t="s">
        <v>133</v>
      </c>
      <c r="C44" s="0" t="s">
        <v>31</v>
      </c>
      <c r="D44" s="7" t="n">
        <v>0.12</v>
      </c>
      <c r="E44" s="7" t="n">
        <v>0.15</v>
      </c>
      <c r="F44" s="7" t="n">
        <v>0.2</v>
      </c>
      <c r="G44" s="8" t="s">
        <v>96</v>
      </c>
      <c r="H44" s="5" t="s">
        <v>134</v>
      </c>
      <c r="I44" s="8" t="s">
        <v>135</v>
      </c>
    </row>
    <row r="45" customFormat="false" ht="15" hidden="false" customHeight="false" outlineLevel="0" collapsed="false">
      <c r="A45" s="0" t="s">
        <v>136</v>
      </c>
      <c r="B45" s="5" t="s">
        <v>137</v>
      </c>
      <c r="C45" s="0" t="s">
        <v>31</v>
      </c>
      <c r="D45" s="7" t="n">
        <v>0.03</v>
      </c>
      <c r="E45" s="7" t="n">
        <v>0.04</v>
      </c>
      <c r="F45" s="7" t="n">
        <v>0.05</v>
      </c>
      <c r="G45" s="8" t="s">
        <v>115</v>
      </c>
      <c r="H45" s="5" t="s">
        <v>138</v>
      </c>
    </row>
    <row r="46" customFormat="false" ht="17.15" hidden="false" customHeight="false" outlineLevel="0" collapsed="false">
      <c r="A46" s="0" t="s">
        <v>139</v>
      </c>
      <c r="B46" s="5" t="s">
        <v>140</v>
      </c>
      <c r="C46" s="0" t="s">
        <v>141</v>
      </c>
      <c r="E46" s="0" t="n">
        <f aca="false">a26_rev/SUM(Units!E4:H4)</f>
        <v>0.999407699901283</v>
      </c>
      <c r="G46" s="0" t="s">
        <v>142</v>
      </c>
      <c r="H46" s="0" t="s">
        <v>143</v>
      </c>
      <c r="I46" s="5" t="s">
        <v>144</v>
      </c>
    </row>
    <row r="47" customFormat="false" ht="17.15" hidden="false" customHeight="false" outlineLevel="0" collapsed="false">
      <c r="A47" s="1" t="s">
        <v>145</v>
      </c>
    </row>
    <row r="48" customFormat="false" ht="17.15" hidden="false" customHeight="false" outlineLevel="0" collapsed="false">
      <c r="A48" s="0" t="s">
        <v>146</v>
      </c>
      <c r="B48" s="0" t="s">
        <v>147</v>
      </c>
      <c r="C48" s="0" t="s">
        <v>25</v>
      </c>
      <c r="E48" s="7" t="n">
        <v>15.736</v>
      </c>
      <c r="G48" s="8" t="s">
        <v>26</v>
      </c>
      <c r="H48" s="8" t="s">
        <v>51</v>
      </c>
    </row>
    <row r="49" customFormat="false" ht="17.15" hidden="false" customHeight="false" outlineLevel="0" collapsed="false">
      <c r="A49" s="0" t="s">
        <v>148</v>
      </c>
      <c r="B49" s="0" t="s">
        <v>149</v>
      </c>
      <c r="C49" s="0" t="s">
        <v>25</v>
      </c>
      <c r="E49" s="7" t="n">
        <v>4.762</v>
      </c>
      <c r="G49" s="8" t="s">
        <v>26</v>
      </c>
      <c r="H49" s="8" t="s">
        <v>150</v>
      </c>
    </row>
    <row r="50" customFormat="false" ht="17.15" hidden="false" customHeight="false" outlineLevel="0" collapsed="false">
      <c r="A50" s="0" t="s">
        <v>151</v>
      </c>
      <c r="B50" s="5" t="s">
        <v>152</v>
      </c>
      <c r="C50" s="5" t="s">
        <v>111</v>
      </c>
      <c r="E50" s="7" t="n">
        <v>146.42</v>
      </c>
      <c r="G50" s="8" t="s">
        <v>26</v>
      </c>
      <c r="H50" s="8" t="s">
        <v>153</v>
      </c>
      <c r="I50" s="8" t="s">
        <v>154</v>
      </c>
    </row>
    <row r="51" customFormat="false" ht="17.15" hidden="false" customHeight="false" outlineLevel="0" collapsed="false">
      <c r="A51" s="0" t="s">
        <v>155</v>
      </c>
      <c r="B51" s="5" t="s">
        <v>156</v>
      </c>
      <c r="C51" s="5" t="s">
        <v>111</v>
      </c>
      <c r="E51" s="0" t="n">
        <f aca="false">g_sh-sh0</f>
        <v>8.58000000000001</v>
      </c>
      <c r="G51" s="0" t="s">
        <v>142</v>
      </c>
      <c r="H51" s="5" t="s">
        <v>157</v>
      </c>
      <c r="I51" s="5" t="s">
        <v>158</v>
      </c>
    </row>
    <row r="52" customFormat="false" ht="17.15" hidden="false" customHeight="false" outlineLevel="0" collapsed="false">
      <c r="A52" s="0" t="s">
        <v>159</v>
      </c>
      <c r="B52" s="5" t="s">
        <v>160</v>
      </c>
      <c r="C52" s="0" t="s">
        <v>25</v>
      </c>
      <c r="D52" s="7" t="n">
        <v>0.12</v>
      </c>
      <c r="E52" s="7" t="n">
        <v>0.16</v>
      </c>
      <c r="F52" s="7" t="n">
        <v>0.25</v>
      </c>
      <c r="G52" s="8" t="s">
        <v>161</v>
      </c>
      <c r="H52" s="8" t="s">
        <v>162</v>
      </c>
      <c r="I52" s="5" t="s">
        <v>163</v>
      </c>
    </row>
    <row r="53" customFormat="false" ht="17.15" hidden="false" customHeight="false" outlineLevel="0" collapsed="false">
      <c r="A53" s="0" t="s">
        <v>164</v>
      </c>
      <c r="B53" s="5" t="s">
        <v>165</v>
      </c>
      <c r="C53" s="0" t="s">
        <v>31</v>
      </c>
      <c r="D53" s="7" t="n">
        <v>0.03</v>
      </c>
      <c r="E53" s="7" t="n">
        <v>0.06</v>
      </c>
      <c r="F53" s="7" t="n">
        <v>0.09</v>
      </c>
      <c r="G53" s="8" t="s">
        <v>96</v>
      </c>
      <c r="H53" s="8" t="s">
        <v>166</v>
      </c>
      <c r="I53" s="8" t="s">
        <v>167</v>
      </c>
    </row>
    <row r="54" customFormat="false" ht="17.15" hidden="false" customHeight="false" outlineLevel="0" collapsed="false">
      <c r="A54" s="0" t="s">
        <v>168</v>
      </c>
      <c r="B54" s="5" t="s">
        <v>169</v>
      </c>
      <c r="C54" s="0" t="s">
        <v>31</v>
      </c>
      <c r="D54" s="7" t="n">
        <v>0.3</v>
      </c>
      <c r="E54" s="7" t="n">
        <v>0.5</v>
      </c>
      <c r="F54" s="7" t="n">
        <v>0.8</v>
      </c>
      <c r="G54" s="8" t="s">
        <v>115</v>
      </c>
      <c r="H54" s="8" t="s">
        <v>170</v>
      </c>
      <c r="I54" s="5" t="s">
        <v>171</v>
      </c>
    </row>
    <row r="55" customFormat="false" ht="17.15" hidden="false" customHeight="false" outlineLevel="0" collapsed="false">
      <c r="A55" s="0" t="s">
        <v>172</v>
      </c>
      <c r="B55" s="5" t="s">
        <v>173</v>
      </c>
      <c r="C55" s="0" t="s">
        <v>38</v>
      </c>
      <c r="E55" s="7" t="n">
        <v>1238.03</v>
      </c>
      <c r="G55" s="8" t="s">
        <v>26</v>
      </c>
      <c r="H55" s="8" t="s">
        <v>174</v>
      </c>
      <c r="I55" s="8" t="s">
        <v>175</v>
      </c>
    </row>
    <row r="56" customFormat="false" ht="15" hidden="false" customHeight="false" outlineLevel="0" collapsed="false">
      <c r="A56" s="0" t="s">
        <v>176</v>
      </c>
      <c r="B56" s="5" t="s">
        <v>177</v>
      </c>
      <c r="C56" s="0" t="s">
        <v>38</v>
      </c>
      <c r="E56" s="0" t="n">
        <f aca="false">px</f>
        <v>1238.03</v>
      </c>
      <c r="G56" s="0" t="s">
        <v>115</v>
      </c>
      <c r="H56" s="5" t="s">
        <v>178</v>
      </c>
    </row>
    <row r="57" customFormat="false" ht="17.15" hidden="false" customHeight="false" outlineLevel="0" collapsed="false">
      <c r="A57" s="1" t="s">
        <v>179</v>
      </c>
    </row>
    <row r="58" customFormat="false" ht="17.15" hidden="false" customHeight="false" outlineLevel="0" collapsed="false">
      <c r="A58" s="0" t="s">
        <v>180</v>
      </c>
      <c r="B58" s="5" t="s">
        <v>181</v>
      </c>
      <c r="C58" s="0" t="s">
        <v>25</v>
      </c>
      <c r="D58" s="7" t="n">
        <v>43.4</v>
      </c>
      <c r="E58" s="7" t="n">
        <v>49.135</v>
      </c>
      <c r="F58" s="7" t="n">
        <v>53.2</v>
      </c>
      <c r="G58" s="8" t="s">
        <v>96</v>
      </c>
      <c r="H58" s="8" t="s">
        <v>182</v>
      </c>
    </row>
    <row r="59" customFormat="false" ht="17.15" hidden="false" customHeight="false" outlineLevel="0" collapsed="false">
      <c r="A59" s="0" t="s">
        <v>183</v>
      </c>
      <c r="B59" s="5" t="s">
        <v>184</v>
      </c>
      <c r="C59" s="0" t="s">
        <v>25</v>
      </c>
      <c r="E59" s="7" t="n">
        <v>58.436</v>
      </c>
      <c r="G59" s="8" t="s">
        <v>96</v>
      </c>
      <c r="H59" s="8" t="s">
        <v>185</v>
      </c>
    </row>
    <row r="60" customFormat="false" ht="17.15" hidden="false" customHeight="false" outlineLevel="0" collapsed="false">
      <c r="A60" s="0" t="s">
        <v>186</v>
      </c>
      <c r="B60" s="5" t="s">
        <v>187</v>
      </c>
      <c r="C60" s="0" t="s">
        <v>38</v>
      </c>
      <c r="D60" s="7" t="n">
        <v>186.97</v>
      </c>
      <c r="E60" s="7" t="n">
        <v>217.4</v>
      </c>
      <c r="F60" s="7" t="n">
        <v>238.36</v>
      </c>
      <c r="G60" s="8" t="s">
        <v>96</v>
      </c>
      <c r="H60" s="8" t="s">
        <v>188</v>
      </c>
    </row>
    <row r="61" customFormat="false" ht="17.15" hidden="false" customHeight="false" outlineLevel="0" collapsed="false">
      <c r="A61" s="0" t="s">
        <v>189</v>
      </c>
      <c r="B61" s="5" t="s">
        <v>190</v>
      </c>
      <c r="C61" s="0" t="s">
        <v>38</v>
      </c>
      <c r="E61" s="7" t="n">
        <v>267.6</v>
      </c>
      <c r="G61" s="8" t="s">
        <v>96</v>
      </c>
      <c r="H61" s="8" t="s">
        <v>185</v>
      </c>
    </row>
    <row r="62" customFormat="false" ht="17.15" hidden="false" customHeight="false" outlineLevel="0" collapsed="false">
      <c r="A62" s="0" t="s">
        <v>191</v>
      </c>
      <c r="B62" s="5" t="s">
        <v>192</v>
      </c>
      <c r="C62" s="0" t="s">
        <v>38</v>
      </c>
      <c r="E62" s="7" t="n">
        <v>281.7</v>
      </c>
      <c r="G62" s="8" t="s">
        <v>96</v>
      </c>
      <c r="H62" s="8" t="s">
        <v>185</v>
      </c>
    </row>
    <row r="63" customFormat="false" ht="17.15" hidden="false" customHeight="false" outlineLevel="0" collapsed="false">
      <c r="A63" s="0" t="s">
        <v>193</v>
      </c>
      <c r="B63" s="5" t="s">
        <v>194</v>
      </c>
      <c r="C63" s="0" t="s">
        <v>38</v>
      </c>
      <c r="E63" s="7" t="n">
        <v>313.8</v>
      </c>
      <c r="G63" s="8" t="s">
        <v>96</v>
      </c>
      <c r="H63" s="8" t="s">
        <v>185</v>
      </c>
    </row>
    <row r="64" customFormat="false" ht="17.15" hidden="false" customHeight="false" outlineLevel="0" collapsed="false">
      <c r="A64" s="0" t="s">
        <v>195</v>
      </c>
      <c r="B64" s="5" t="s">
        <v>196</v>
      </c>
      <c r="C64" s="0" t="s">
        <v>38</v>
      </c>
      <c r="E64" s="7" t="n">
        <v>553.1</v>
      </c>
      <c r="G64" s="8" t="s">
        <v>96</v>
      </c>
      <c r="H64" s="8" t="s">
        <v>185</v>
      </c>
    </row>
    <row r="65" customFormat="false" ht="17.15" hidden="false" customHeight="false" outlineLevel="0" collapsed="false">
      <c r="A65" s="0" t="s">
        <v>197</v>
      </c>
      <c r="B65" s="5" t="s">
        <v>198</v>
      </c>
      <c r="C65" s="0" t="s">
        <v>38</v>
      </c>
      <c r="E65" s="7" t="n">
        <v>650.6</v>
      </c>
      <c r="G65" s="8" t="s">
        <v>96</v>
      </c>
      <c r="H65" s="8" t="s">
        <v>185</v>
      </c>
    </row>
    <row r="66" customFormat="false" ht="17.15" hidden="false" customHeight="false" outlineLevel="0" collapsed="false">
      <c r="A66" s="0" t="s">
        <v>199</v>
      </c>
      <c r="B66" s="5" t="s">
        <v>200</v>
      </c>
      <c r="C66" s="0" t="s">
        <v>25</v>
      </c>
      <c r="E66" s="7" t="n">
        <v>33.336</v>
      </c>
      <c r="G66" s="8" t="s">
        <v>96</v>
      </c>
      <c r="H66" s="8" t="s">
        <v>185</v>
      </c>
    </row>
    <row r="67" customFormat="false" ht="17.15" hidden="false" customHeight="false" outlineLevel="0" collapsed="false">
      <c r="A67" s="0" t="s">
        <v>201</v>
      </c>
      <c r="B67" s="5" t="s">
        <v>202</v>
      </c>
      <c r="C67" s="0" t="s">
        <v>25</v>
      </c>
      <c r="E67" s="7" t="n">
        <v>38.384</v>
      </c>
      <c r="G67" s="8" t="s">
        <v>96</v>
      </c>
      <c r="H67" s="8" t="s">
        <v>185</v>
      </c>
    </row>
    <row r="68" customFormat="false" ht="17.15" hidden="false" customHeight="false" outlineLevel="0" collapsed="false">
      <c r="A68" s="1" t="s">
        <v>203</v>
      </c>
    </row>
    <row r="69" customFormat="false" ht="17.15" hidden="false" customHeight="false" outlineLevel="0" collapsed="false">
      <c r="A69" s="9" t="s">
        <v>204</v>
      </c>
      <c r="B69" s="10" t="s">
        <v>205</v>
      </c>
      <c r="C69" s="9" t="s">
        <v>31</v>
      </c>
      <c r="D69" s="9"/>
      <c r="E69" s="11" t="n">
        <v>0.3</v>
      </c>
      <c r="F69" s="9"/>
      <c r="G69" s="9" t="s">
        <v>115</v>
      </c>
      <c r="H69" s="9" t="s">
        <v>206</v>
      </c>
      <c r="I69" s="10" t="s">
        <v>207</v>
      </c>
    </row>
    <row r="70" customFormat="false" ht="17.15" hidden="false" customHeight="false" outlineLevel="0" collapsed="false">
      <c r="A70" s="9" t="s">
        <v>208</v>
      </c>
      <c r="B70" s="10" t="s">
        <v>209</v>
      </c>
      <c r="C70" s="9" t="s">
        <v>31</v>
      </c>
      <c r="D70" s="9"/>
      <c r="E70" s="11" t="n">
        <v>0.5</v>
      </c>
      <c r="F70" s="9"/>
      <c r="G70" s="9" t="s">
        <v>115</v>
      </c>
      <c r="H70" s="9" t="s">
        <v>206</v>
      </c>
      <c r="I70" s="10" t="s">
        <v>207</v>
      </c>
    </row>
    <row r="71" customFormat="false" ht="17.15" hidden="false" customHeight="false" outlineLevel="0" collapsed="false">
      <c r="A71" s="9" t="s">
        <v>210</v>
      </c>
      <c r="B71" s="10" t="s">
        <v>211</v>
      </c>
      <c r="C71" s="9" t="s">
        <v>31</v>
      </c>
      <c r="D71" s="9"/>
      <c r="E71" s="11" t="n">
        <v>0.2</v>
      </c>
      <c r="F71" s="9"/>
      <c r="G71" s="9" t="s">
        <v>115</v>
      </c>
      <c r="H71" s="9" t="s">
        <v>206</v>
      </c>
      <c r="I71" s="10" t="s">
        <v>207</v>
      </c>
    </row>
    <row r="72" customFormat="false" ht="17.15" hidden="false" customHeight="false" outlineLevel="0" collapsed="false">
      <c r="A72" s="9" t="s">
        <v>212</v>
      </c>
      <c r="B72" s="10" t="s">
        <v>213</v>
      </c>
      <c r="C72" s="9" t="s">
        <v>31</v>
      </c>
      <c r="D72" s="9"/>
      <c r="E72" s="11" t="n">
        <v>0.1</v>
      </c>
      <c r="F72" s="9"/>
      <c r="G72" s="9" t="s">
        <v>115</v>
      </c>
      <c r="H72" s="9" t="s">
        <v>214</v>
      </c>
      <c r="I72" s="10" t="s">
        <v>215</v>
      </c>
    </row>
    <row r="73" customFormat="false" ht="17.15" hidden="false" customHeight="false" outlineLevel="0" collapsed="false">
      <c r="A73" s="9" t="s">
        <v>216</v>
      </c>
      <c r="B73" s="10" t="s">
        <v>217</v>
      </c>
      <c r="C73" s="9" t="s">
        <v>31</v>
      </c>
      <c r="D73" s="9"/>
      <c r="E73" s="11" t="n">
        <v>0.04</v>
      </c>
      <c r="F73" s="9"/>
      <c r="G73" s="9" t="s">
        <v>115</v>
      </c>
      <c r="H73" s="9" t="s">
        <v>218</v>
      </c>
      <c r="I73" s="9"/>
    </row>
    <row r="74" customFormat="false" ht="17.15" hidden="false" customHeight="false" outlineLevel="0" collapsed="false">
      <c r="A74" s="9" t="s">
        <v>219</v>
      </c>
      <c r="B74" s="9" t="s">
        <v>220</v>
      </c>
      <c r="C74" s="9" t="s">
        <v>31</v>
      </c>
      <c r="D74" s="9"/>
      <c r="E74" s="9" t="n">
        <f aca="false">AVERAGE(-1.641/9.216,11.433/15.736)</f>
        <v>0.274245344406668</v>
      </c>
      <c r="F74" s="9"/>
      <c r="G74" s="9" t="s">
        <v>142</v>
      </c>
      <c r="H74" s="9" t="s">
        <v>221</v>
      </c>
      <c r="I74" s="9" t="s">
        <v>222</v>
      </c>
    </row>
    <row r="75" customFormat="false" ht="17.15" hidden="false" customHeight="false" outlineLevel="0" collapsed="false">
      <c r="A75" s="9" t="s">
        <v>223</v>
      </c>
      <c r="B75" s="10" t="s">
        <v>224</v>
      </c>
      <c r="C75" s="9" t="s">
        <v>31</v>
      </c>
      <c r="D75" s="9"/>
      <c r="E75" s="11" t="n">
        <v>0.5</v>
      </c>
      <c r="F75" s="9"/>
      <c r="G75" s="9" t="s">
        <v>115</v>
      </c>
      <c r="H75" s="9" t="s">
        <v>225</v>
      </c>
      <c r="I75" s="9"/>
    </row>
    <row r="76" customFormat="false" ht="17.15" hidden="false" customHeight="false" outlineLevel="0" collapsed="false">
      <c r="A76" s="9" t="s">
        <v>226</v>
      </c>
      <c r="B76" s="10" t="s">
        <v>227</v>
      </c>
      <c r="C76" s="9" t="s">
        <v>31</v>
      </c>
      <c r="D76" s="9"/>
      <c r="E76" s="11" t="n">
        <v>0.146628636185545</v>
      </c>
      <c r="F76" s="9"/>
      <c r="G76" s="9" t="s">
        <v>228</v>
      </c>
      <c r="H76" s="9" t="s">
        <v>229</v>
      </c>
      <c r="I76" s="9" t="s">
        <v>230</v>
      </c>
    </row>
    <row r="77" customFormat="false" ht="17.15" hidden="false" customHeight="false" outlineLevel="0" collapsed="false">
      <c r="A77" s="9" t="s">
        <v>231</v>
      </c>
      <c r="B77" s="10" t="s">
        <v>232</v>
      </c>
      <c r="C77" s="9" t="s">
        <v>141</v>
      </c>
      <c r="D77" s="9"/>
      <c r="E77" s="11" t="n">
        <v>1.2</v>
      </c>
      <c r="F77" s="9"/>
      <c r="G77" s="9" t="s">
        <v>115</v>
      </c>
      <c r="H77" s="10" t="s">
        <v>233</v>
      </c>
      <c r="I77" s="9" t="s">
        <v>234</v>
      </c>
    </row>
    <row r="78" customFormat="false" ht="17.15" hidden="false" customHeight="false" outlineLevel="0" collapsed="false">
      <c r="A78" s="9" t="s">
        <v>235</v>
      </c>
      <c r="B78" s="10" t="s">
        <v>236</v>
      </c>
      <c r="C78" s="9" t="s">
        <v>141</v>
      </c>
      <c r="D78" s="9"/>
      <c r="E78" s="11" t="n">
        <v>0.8</v>
      </c>
      <c r="F78" s="9"/>
      <c r="G78" s="9" t="s">
        <v>115</v>
      </c>
      <c r="H78" s="10" t="s">
        <v>237</v>
      </c>
      <c r="I78" s="9" t="s">
        <v>234</v>
      </c>
    </row>
    <row r="79" customFormat="false" ht="17.15" hidden="false" customHeight="false" outlineLevel="0" collapsed="false">
      <c r="A79" s="9" t="s">
        <v>238</v>
      </c>
      <c r="B79" s="10" t="s">
        <v>239</v>
      </c>
      <c r="C79" s="9" t="s">
        <v>31</v>
      </c>
      <c r="D79" s="9"/>
      <c r="E79" s="9" t="n">
        <f aca="false">nim10*cyc_mA</f>
        <v>0.175954363422654</v>
      </c>
      <c r="F79" s="9"/>
      <c r="G79" s="9" t="s">
        <v>142</v>
      </c>
      <c r="H79" s="10" t="s">
        <v>240</v>
      </c>
      <c r="I79" s="9" t="s">
        <v>241</v>
      </c>
    </row>
    <row r="80" customFormat="false" ht="17.15" hidden="false" customHeight="false" outlineLevel="0" collapsed="false">
      <c r="A80" s="9" t="s">
        <v>242</v>
      </c>
      <c r="B80" s="10" t="s">
        <v>243</v>
      </c>
      <c r="C80" s="9" t="s">
        <v>31</v>
      </c>
      <c r="D80" s="9"/>
      <c r="E80" s="9" t="n">
        <f aca="false">nim10</f>
        <v>0.146628636185545</v>
      </c>
      <c r="F80" s="9"/>
      <c r="G80" s="9" t="s">
        <v>142</v>
      </c>
      <c r="H80" s="10" t="s">
        <v>240</v>
      </c>
      <c r="I80" s="9" t="s">
        <v>241</v>
      </c>
    </row>
    <row r="81" customFormat="false" ht="17.15" hidden="false" customHeight="false" outlineLevel="0" collapsed="false">
      <c r="A81" s="9" t="s">
        <v>244</v>
      </c>
      <c r="B81" s="10" t="s">
        <v>245</v>
      </c>
      <c r="C81" s="9" t="s">
        <v>31</v>
      </c>
      <c r="D81" s="9"/>
      <c r="E81" s="9" t="n">
        <f aca="false">nim10*cyc_mC</f>
        <v>0.117302908948436</v>
      </c>
      <c r="F81" s="9"/>
      <c r="G81" s="9" t="s">
        <v>142</v>
      </c>
      <c r="H81" s="10" t="s">
        <v>240</v>
      </c>
      <c r="I81" s="9" t="s">
        <v>241</v>
      </c>
    </row>
    <row r="82" customFormat="false" ht="17.15" hidden="false" customHeight="false" outlineLevel="0" collapsed="false">
      <c r="A82" s="9" t="s">
        <v>246</v>
      </c>
      <c r="B82" s="10" t="s">
        <v>247</v>
      </c>
      <c r="C82" s="9" t="s">
        <v>31</v>
      </c>
      <c r="D82" s="9"/>
      <c r="E82" s="9" t="n">
        <f aca="false">tp_g+0.02</f>
        <v>0.06</v>
      </c>
      <c r="F82" s="9"/>
      <c r="G82" s="9" t="s">
        <v>115</v>
      </c>
      <c r="H82" s="10" t="s">
        <v>248</v>
      </c>
      <c r="I82" s="9" t="s">
        <v>249</v>
      </c>
    </row>
    <row r="83" customFormat="false" ht="17.15" hidden="false" customHeight="false" outlineLevel="0" collapsed="false">
      <c r="A83" s="9" t="s">
        <v>250</v>
      </c>
      <c r="B83" s="10" t="s">
        <v>251</v>
      </c>
      <c r="C83" s="9" t="s">
        <v>31</v>
      </c>
      <c r="D83" s="9"/>
      <c r="E83" s="9" t="n">
        <f aca="false">tp_g</f>
        <v>0.04</v>
      </c>
      <c r="F83" s="9"/>
      <c r="G83" s="9" t="s">
        <v>115</v>
      </c>
      <c r="H83" s="10" t="s">
        <v>248</v>
      </c>
      <c r="I83" s="9" t="s">
        <v>249</v>
      </c>
    </row>
    <row r="84" customFormat="false" ht="17.15" hidden="false" customHeight="false" outlineLevel="0" collapsed="false">
      <c r="A84" s="9" t="s">
        <v>252</v>
      </c>
      <c r="B84" s="10" t="s">
        <v>253</v>
      </c>
      <c r="C84" s="9" t="s">
        <v>31</v>
      </c>
      <c r="D84" s="9"/>
      <c r="E84" s="9" t="n">
        <f aca="false">tp_g-0.02</f>
        <v>0.02</v>
      </c>
      <c r="F84" s="9"/>
      <c r="G84" s="9" t="s">
        <v>115</v>
      </c>
      <c r="H84" s="10" t="s">
        <v>248</v>
      </c>
      <c r="I84" s="9" t="s">
        <v>249</v>
      </c>
    </row>
    <row r="85" customFormat="false" ht="17.15" hidden="false" customHeight="false" outlineLevel="0" collapsed="false">
      <c r="A85" s="9" t="s">
        <v>254</v>
      </c>
      <c r="B85" s="10" t="s">
        <v>255</v>
      </c>
      <c r="C85" s="9" t="s">
        <v>38</v>
      </c>
      <c r="D85" s="11" t="n">
        <v>1000</v>
      </c>
      <c r="E85" s="11" t="n">
        <v>2144</v>
      </c>
      <c r="F85" s="11" t="n">
        <v>3600</v>
      </c>
      <c r="G85" s="9" t="s">
        <v>96</v>
      </c>
      <c r="H85" s="9" t="s">
        <v>256</v>
      </c>
      <c r="I85" s="9" t="s">
        <v>257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7" min="2" style="0" width="13"/>
    <col collapsed="false" customWidth="true" hidden="false" outlineLevel="0" max="9" min="9" style="0" width="70"/>
  </cols>
  <sheetData>
    <row r="1" customFormat="false" ht="17.15" hidden="false" customHeight="false" outlineLevel="0" collapsed="false">
      <c r="A1" s="0" t="s">
        <v>258</v>
      </c>
    </row>
    <row r="3" customFormat="false" ht="17.15" hidden="false" customHeight="false" outlineLevel="0" collapsed="false">
      <c r="A3" s="6" t="s">
        <v>14</v>
      </c>
      <c r="B3" s="12" t="s">
        <v>259</v>
      </c>
      <c r="C3" s="12" t="s">
        <v>260</v>
      </c>
      <c r="D3" s="12" t="s">
        <v>261</v>
      </c>
      <c r="E3" s="12" t="s">
        <v>262</v>
      </c>
      <c r="F3" s="12" t="s">
        <v>263</v>
      </c>
      <c r="G3" s="12" t="s">
        <v>264</v>
      </c>
      <c r="H3" s="6" t="s">
        <v>19</v>
      </c>
      <c r="I3" s="6" t="s">
        <v>265</v>
      </c>
    </row>
    <row r="4" customFormat="false" ht="17.15" hidden="false" customHeight="false" outlineLevel="0" collapsed="false">
      <c r="A4" s="5" t="s">
        <v>266</v>
      </c>
      <c r="B4" s="13" t="n">
        <f aca="false">q1_rev</f>
        <v>2.308</v>
      </c>
      <c r="C4" s="13" t="n">
        <f aca="false">q2_rev</f>
        <v>3.025</v>
      </c>
      <c r="D4" s="13" t="n">
        <f aca="false">q3_rev</f>
        <v>5.95</v>
      </c>
      <c r="E4" s="13" t="n">
        <f aca="false">q4_rev</f>
        <v>8.965</v>
      </c>
      <c r="F4" s="13" t="n">
        <f aca="false">SUM(B4:E4)</f>
        <v>20.248</v>
      </c>
      <c r="G4" s="13" t="n">
        <f aca="false">g_rev</f>
        <v>10.55</v>
      </c>
      <c r="H4" s="8" t="s">
        <v>26</v>
      </c>
      <c r="I4" s="8" t="s">
        <v>267</v>
      </c>
    </row>
    <row r="5" customFormat="false" ht="17.15" hidden="false" customHeight="false" outlineLevel="0" collapsed="false">
      <c r="A5" s="0" t="s">
        <v>268</v>
      </c>
      <c r="B5" s="14" t="n">
        <f aca="false">q1_gm</f>
        <v>0.298</v>
      </c>
      <c r="C5" s="14" t="n">
        <f aca="false">q2_gm</f>
        <v>0.509</v>
      </c>
      <c r="D5" s="14" t="n">
        <f aca="false">q3_gm</f>
        <v>0.784</v>
      </c>
      <c r="E5" s="14" t="n">
        <f aca="false">q4_gm</f>
        <v>0.846</v>
      </c>
      <c r="F5" s="14" t="n">
        <f aca="false">SUMPRODUCT(B4:E4,B5:E5)/F4</f>
        <v>0.714969330304228</v>
      </c>
      <c r="G5" s="14" t="n">
        <f aca="false">g_gm</f>
        <v>0.84</v>
      </c>
      <c r="H5" s="8" t="s">
        <v>26</v>
      </c>
      <c r="I5" s="8" t="s">
        <v>267</v>
      </c>
    </row>
    <row r="6" customFormat="false" ht="17.15" hidden="false" customHeight="false" outlineLevel="0" collapsed="false">
      <c r="A6" s="0" t="s">
        <v>269</v>
      </c>
      <c r="B6" s="13" t="n">
        <f aca="false">q1_op</f>
        <v>0.176</v>
      </c>
      <c r="C6" s="13" t="n">
        <f aca="false">q2_op</f>
        <v>1.065</v>
      </c>
      <c r="D6" s="13" t="n">
        <f aca="false">q3_op</f>
        <v>4.111</v>
      </c>
      <c r="E6" s="13" t="n">
        <f aca="false">q4_op</f>
        <v>7.037</v>
      </c>
      <c r="F6" s="13" t="n">
        <f aca="false">SUM(B6:E6)</f>
        <v>12.389</v>
      </c>
      <c r="H6" s="8" t="s">
        <v>26</v>
      </c>
      <c r="I6" s="8" t="s">
        <v>267</v>
      </c>
    </row>
    <row r="7" customFormat="false" ht="17.15" hidden="false" customHeight="false" outlineLevel="0" collapsed="false">
      <c r="A7" s="0" t="s">
        <v>270</v>
      </c>
      <c r="B7" s="13" t="n">
        <f aca="false">q1_ni</f>
        <v>0.112</v>
      </c>
      <c r="C7" s="13" t="n">
        <f aca="false">q2_ni</f>
        <v>0.803</v>
      </c>
      <c r="D7" s="13" t="n">
        <f aca="false">q3_ni</f>
        <v>3.615</v>
      </c>
      <c r="E7" s="13" t="n">
        <f aca="false">q4_ni</f>
        <v>6.903</v>
      </c>
      <c r="F7" s="13" t="n">
        <f aca="false">SUM(B7:E7)</f>
        <v>11.433</v>
      </c>
      <c r="H7" s="8" t="s">
        <v>26</v>
      </c>
      <c r="I7" s="8" t="s">
        <v>267</v>
      </c>
    </row>
    <row r="8" customFormat="false" ht="17.15" hidden="false" customHeight="false" outlineLevel="0" collapsed="false">
      <c r="A8" s="0" t="s">
        <v>271</v>
      </c>
      <c r="B8" s="15" t="n">
        <f aca="false">q1_eps</f>
        <v>0.75</v>
      </c>
      <c r="C8" s="15" t="n">
        <f aca="false">q2_eps</f>
        <v>5.15</v>
      </c>
      <c r="D8" s="15" t="n">
        <f aca="false">q3_eps</f>
        <v>23.03</v>
      </c>
      <c r="E8" s="15" t="n">
        <f aca="false">q4_eps</f>
        <v>43.97</v>
      </c>
      <c r="F8" s="15" t="n">
        <f aca="false">a26_eps</f>
        <v>73.76</v>
      </c>
      <c r="G8" s="15" t="n">
        <f aca="false">g_eps</f>
        <v>45</v>
      </c>
      <c r="H8" s="8" t="s">
        <v>26</v>
      </c>
      <c r="I8" s="8" t="s">
        <v>267</v>
      </c>
    </row>
    <row r="9" customFormat="false" ht="17.15" hidden="false" customHeight="false" outlineLevel="0" collapsed="false">
      <c r="A9" s="5" t="s">
        <v>272</v>
      </c>
      <c r="B9" s="0" t="n">
        <f aca="false">F4-a26_rev</f>
        <v>0</v>
      </c>
      <c r="C9" s="0" t="n">
        <f aca="false">F7-a26_ni</f>
        <v>0</v>
      </c>
    </row>
    <row r="10" customFormat="false" ht="15" hidden="false" customHeight="false" outlineLevel="0" collapsed="false">
      <c r="A10" s="5" t="s">
        <v>273</v>
      </c>
      <c r="C10" s="14" t="n">
        <f aca="false">C4/B4-1</f>
        <v>0.310658578856153</v>
      </c>
      <c r="D10" s="14" t="n">
        <f aca="false">D4/C4-1</f>
        <v>0.966942148760331</v>
      </c>
      <c r="E10" s="14" t="n">
        <f aca="false">E4/D4-1</f>
        <v>0.50672268907563</v>
      </c>
    </row>
    <row r="12" customFormat="false" ht="17.15" hidden="false" customHeight="false" outlineLevel="0" collapsed="false">
      <c r="A12" s="0" t="s">
        <v>274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7" min="27" style="0" width="70"/>
  </cols>
  <sheetData>
    <row r="1" customFormat="false" ht="17.15" hidden="false" customHeight="false" outlineLevel="0" collapsed="false">
      <c r="A1" s="0" t="s">
        <v>275</v>
      </c>
    </row>
    <row r="2" customFormat="false" ht="17.15" hidden="false" customHeight="false" outlineLevel="0" collapsed="false">
      <c r="A2" s="0" t="s">
        <v>276</v>
      </c>
    </row>
    <row r="3" customFormat="false" ht="15" hidden="false" customHeight="false" outlineLevel="0" collapsed="false">
      <c r="A3" s="6" t="s">
        <v>14</v>
      </c>
      <c r="B3" s="6" t="s">
        <v>15</v>
      </c>
      <c r="C3" s="12" t="s">
        <v>277</v>
      </c>
      <c r="D3" s="12" t="s">
        <v>278</v>
      </c>
      <c r="E3" s="12" t="s">
        <v>279</v>
      </c>
      <c r="F3" s="12" t="s">
        <v>280</v>
      </c>
      <c r="G3" s="12" t="s">
        <v>281</v>
      </c>
      <c r="H3" s="12" t="s">
        <v>282</v>
      </c>
      <c r="I3" s="12" t="s">
        <v>283</v>
      </c>
      <c r="J3" s="12" t="s">
        <v>284</v>
      </c>
      <c r="K3" s="12" t="s">
        <v>285</v>
      </c>
      <c r="L3" s="12" t="s">
        <v>286</v>
      </c>
      <c r="M3" s="12" t="s">
        <v>287</v>
      </c>
      <c r="N3" s="12" t="s">
        <v>288</v>
      </c>
      <c r="O3" s="12" t="s">
        <v>289</v>
      </c>
      <c r="P3" s="12" t="s">
        <v>290</v>
      </c>
      <c r="Q3" s="12" t="s">
        <v>291</v>
      </c>
      <c r="R3" s="12" t="s">
        <v>292</v>
      </c>
      <c r="S3" s="12" t="s">
        <v>293</v>
      </c>
      <c r="T3" s="12" t="s">
        <v>294</v>
      </c>
      <c r="U3" s="12" t="s">
        <v>295</v>
      </c>
      <c r="V3" s="12" t="s">
        <v>296</v>
      </c>
      <c r="W3" s="12" t="s">
        <v>297</v>
      </c>
      <c r="X3" s="12" t="s">
        <v>298</v>
      </c>
      <c r="Y3" s="12" t="s">
        <v>299</v>
      </c>
      <c r="Z3" s="12" t="s">
        <v>300</v>
      </c>
      <c r="AA3" s="6" t="s">
        <v>265</v>
      </c>
    </row>
    <row r="4" customFormat="false" ht="17.15" hidden="false" customHeight="false" outlineLevel="0" collapsed="false">
      <c r="A4" s="0" t="s">
        <v>301</v>
      </c>
      <c r="B4" s="0" t="s">
        <v>25</v>
      </c>
      <c r="C4" s="16" t="n">
        <v>1.69</v>
      </c>
      <c r="D4" s="16" t="n">
        <v>1.9</v>
      </c>
      <c r="E4" s="16" t="n">
        <v>2.31</v>
      </c>
      <c r="F4" s="16" t="n">
        <v>3.03</v>
      </c>
      <c r="G4" s="16" t="n">
        <v>5.95</v>
      </c>
      <c r="H4" s="16" t="n">
        <v>8.97</v>
      </c>
      <c r="I4" s="16" t="n">
        <v>10.5558839933073</v>
      </c>
      <c r="J4" s="16" t="n">
        <v>13.0085478256151</v>
      </c>
      <c r="K4" s="16" t="n">
        <v>14.3338273511937</v>
      </c>
      <c r="L4" s="16" t="n">
        <v>15.1561771362706</v>
      </c>
      <c r="M4" s="16" t="n">
        <v>15.224420859132</v>
      </c>
      <c r="N4" s="16" t="n">
        <v>14.9710145606433</v>
      </c>
      <c r="O4" s="16" t="n">
        <v>15.0384245519258</v>
      </c>
      <c r="P4" s="16" t="n">
        <v>15.1061380701941</v>
      </c>
      <c r="Q4" s="16" t="n">
        <v>15.1741564821393</v>
      </c>
      <c r="R4" s="16" t="n">
        <v>15.2424811606062</v>
      </c>
      <c r="S4" s="16" t="n">
        <v>15.3696532550844</v>
      </c>
      <c r="T4" s="16" t="n">
        <v>15.6540842486561</v>
      </c>
      <c r="U4" s="16" t="n">
        <v>15.943778925719</v>
      </c>
      <c r="V4" s="16" t="n">
        <v>16.2388346960649</v>
      </c>
      <c r="W4" s="16" t="n">
        <v>15.8788556672779</v>
      </c>
      <c r="X4" s="16" t="n">
        <v>15.8917081703626</v>
      </c>
      <c r="Y4" s="16" t="n">
        <v>15.9045710763906</v>
      </c>
      <c r="Z4" s="16" t="n">
        <v>15.9174443937821</v>
      </c>
      <c r="AA4" s="8" t="s">
        <v>302</v>
      </c>
    </row>
    <row r="5" customFormat="false" ht="17.15" hidden="false" customHeight="false" outlineLevel="0" collapsed="false">
      <c r="A5" s="0" t="s">
        <v>303</v>
      </c>
      <c r="B5" s="0" t="s">
        <v>25</v>
      </c>
      <c r="C5" s="16" t="n">
        <v>1.69</v>
      </c>
      <c r="D5" s="16" t="n">
        <v>1.9</v>
      </c>
      <c r="E5" s="16" t="n">
        <v>2.31</v>
      </c>
      <c r="F5" s="16" t="n">
        <v>3.03</v>
      </c>
      <c r="G5" s="16" t="n">
        <v>5.95</v>
      </c>
      <c r="H5" s="16" t="n">
        <v>8.97</v>
      </c>
      <c r="I5" s="16" t="n">
        <v>10.5558839933073</v>
      </c>
      <c r="J5" s="16" t="n">
        <v>13.0085478256151</v>
      </c>
      <c r="K5" s="16" t="n">
        <v>14.4448731108338</v>
      </c>
      <c r="L5" s="16" t="n">
        <v>15.5790656060697</v>
      </c>
      <c r="M5" s="16" t="n">
        <v>14.8255706548021</v>
      </c>
      <c r="N5" s="16" t="n">
        <v>12.5409058995963</v>
      </c>
      <c r="O5" s="16" t="n">
        <v>8.71869566091344</v>
      </c>
      <c r="P5" s="16" t="n">
        <v>6.77138066196284</v>
      </c>
      <c r="Q5" s="16" t="n">
        <v>5.60959701343223</v>
      </c>
      <c r="R5" s="16" t="n">
        <v>5.22803660760145</v>
      </c>
      <c r="S5" s="16" t="n">
        <v>5.78331322430948</v>
      </c>
      <c r="T5" s="16" t="n">
        <v>6.36321490653485</v>
      </c>
      <c r="U5" s="16" t="n">
        <v>6.86790680566433</v>
      </c>
      <c r="V5" s="16" t="n">
        <v>7.41262782793176</v>
      </c>
      <c r="W5" s="16" t="n">
        <v>7.16589400090849</v>
      </c>
      <c r="X5" s="16" t="n">
        <v>7.16460761675993</v>
      </c>
      <c r="Y5" s="16" t="n">
        <v>7.16332146353638</v>
      </c>
      <c r="Z5" s="16" t="n">
        <v>7.1620355411964</v>
      </c>
      <c r="AA5" s="8" t="s">
        <v>304</v>
      </c>
    </row>
    <row r="6" customFormat="false" ht="17.15" hidden="false" customHeight="false" outlineLevel="0" collapsed="false">
      <c r="A6" s="0" t="s">
        <v>305</v>
      </c>
      <c r="B6" s="0" t="s">
        <v>25</v>
      </c>
      <c r="C6" s="16" t="n">
        <v>1.69</v>
      </c>
      <c r="D6" s="16" t="n">
        <v>1.9</v>
      </c>
      <c r="E6" s="16" t="n">
        <v>2.31</v>
      </c>
      <c r="F6" s="16" t="n">
        <v>3.03</v>
      </c>
      <c r="G6" s="16" t="n">
        <v>5.95</v>
      </c>
      <c r="H6" s="16" t="n">
        <v>8.97</v>
      </c>
      <c r="I6" s="16" t="n">
        <v>10.5558839933073</v>
      </c>
      <c r="J6" s="16" t="n">
        <v>13.0085478256151</v>
      </c>
      <c r="K6" s="16" t="n">
        <v>14.2775921257905</v>
      </c>
      <c r="L6" s="16" t="n">
        <v>15.3986499374349</v>
      </c>
      <c r="M6" s="16" t="n">
        <v>14.653880945662</v>
      </c>
      <c r="N6" s="16" t="n">
        <v>12.3956740878578</v>
      </c>
      <c r="O6" s="16" t="n">
        <v>7.29482926973798</v>
      </c>
      <c r="P6" s="16" t="n">
        <v>4.75312963912733</v>
      </c>
      <c r="Q6" s="16" t="n">
        <v>3.57348607396044</v>
      </c>
      <c r="R6" s="16" t="n">
        <v>2.86571668276147</v>
      </c>
      <c r="S6" s="16" t="n">
        <v>3.04469115475764</v>
      </c>
      <c r="T6" s="16" t="n">
        <v>3.31317412872458</v>
      </c>
      <c r="U6" s="16" t="n">
        <v>3.70834160627888</v>
      </c>
      <c r="V6" s="16" t="n">
        <v>4.22750505731519</v>
      </c>
      <c r="W6" s="16" t="n">
        <v>4.07746231168348</v>
      </c>
      <c r="X6" s="16" t="n">
        <v>4.06792229460515</v>
      </c>
      <c r="Y6" s="16" t="n">
        <v>4.0584045982545</v>
      </c>
      <c r="Z6" s="16" t="n">
        <v>4.04890917040784</v>
      </c>
      <c r="AA6" s="8" t="s">
        <v>306</v>
      </c>
    </row>
    <row r="7" customFormat="false" ht="17.15" hidden="false" customHeight="false" outlineLevel="0" collapsed="false">
      <c r="A7" s="0" t="s">
        <v>307</v>
      </c>
      <c r="B7" s="0" t="s">
        <v>308</v>
      </c>
      <c r="C7" s="16" t="n">
        <v>31.2873958850745</v>
      </c>
      <c r="D7" s="16" t="n">
        <v>29.6152942833619</v>
      </c>
      <c r="E7" s="16" t="n">
        <v>31.1552804325753</v>
      </c>
      <c r="F7" s="16" t="n">
        <v>33.5147228924475</v>
      </c>
      <c r="G7" s="16" t="n">
        <v>38.0693331650007</v>
      </c>
      <c r="H7" s="16" t="n">
        <v>33.6172154529341</v>
      </c>
      <c r="I7" s="16" t="n">
        <v>34.4006036061451</v>
      </c>
      <c r="J7" s="16" t="n">
        <v>36.079657444519</v>
      </c>
      <c r="K7" s="16" t="n">
        <v>38.597442775475</v>
      </c>
      <c r="L7" s="16" t="n">
        <v>40.8118268330789</v>
      </c>
      <c r="M7" s="16" t="n">
        <v>43.1532529018101</v>
      </c>
      <c r="N7" s="16" t="n">
        <v>45.6290095423572</v>
      </c>
      <c r="O7" s="16" t="n">
        <v>48.2468034693437</v>
      </c>
      <c r="P7" s="16" t="n">
        <v>51.0147835413486</v>
      </c>
      <c r="Q7" s="16" t="n">
        <v>53.9415661272627</v>
      </c>
      <c r="R7" s="16" t="n">
        <v>57.0362619279465</v>
      </c>
      <c r="S7" s="16" t="n">
        <v>59.2908563983564</v>
      </c>
      <c r="T7" s="16" t="n">
        <v>62.2557667231854</v>
      </c>
      <c r="U7" s="16" t="n">
        <v>65.3689409417794</v>
      </c>
      <c r="V7" s="16" t="n">
        <v>68.6377931678167</v>
      </c>
      <c r="W7" s="16" t="n">
        <v>69.2958113229694</v>
      </c>
      <c r="X7" s="16" t="n">
        <v>71.6040679350321</v>
      </c>
      <c r="Y7" s="16" t="n">
        <v>73.9892130124351</v>
      </c>
      <c r="Z7" s="16" t="n">
        <v>76.4538077245352</v>
      </c>
      <c r="AA7" s="8" t="s">
        <v>309</v>
      </c>
    </row>
    <row r="8" customFormat="false" ht="17.15" hidden="false" customHeight="false" outlineLevel="0" collapsed="false">
      <c r="A8" s="0" t="s">
        <v>310</v>
      </c>
      <c r="B8" s="0" t="s">
        <v>308</v>
      </c>
      <c r="C8" s="16" t="n">
        <v>31.2873958850745</v>
      </c>
      <c r="D8" s="16" t="n">
        <v>29.6152942833619</v>
      </c>
      <c r="E8" s="16" t="n">
        <v>31.1552804325753</v>
      </c>
      <c r="F8" s="16" t="n">
        <v>33.5147228924475</v>
      </c>
      <c r="G8" s="16" t="n">
        <v>38.0693331650007</v>
      </c>
      <c r="H8" s="16" t="n">
        <v>33.6172154529341</v>
      </c>
      <c r="I8" s="16" t="n">
        <v>34.4006036061451</v>
      </c>
      <c r="J8" s="16" t="n">
        <v>36.079657444519</v>
      </c>
      <c r="K8" s="16" t="n">
        <v>38.1555764903765</v>
      </c>
      <c r="L8" s="16" t="n">
        <v>40.3446101209324</v>
      </c>
      <c r="M8" s="16" t="n">
        <v>42.6592313765873</v>
      </c>
      <c r="N8" s="16" t="n">
        <v>45.1066453780655</v>
      </c>
      <c r="O8" s="16" t="n">
        <v>44.7986677112786</v>
      </c>
      <c r="P8" s="16" t="n">
        <v>46.3905525963455</v>
      </c>
      <c r="Q8" s="16" t="n">
        <v>48.039003839672</v>
      </c>
      <c r="R8" s="16" t="n">
        <v>49.7460314816301</v>
      </c>
      <c r="S8" s="16" t="n">
        <v>52.4091644300165</v>
      </c>
      <c r="T8" s="16" t="n">
        <v>54.9183920812081</v>
      </c>
      <c r="U8" s="16" t="n">
        <v>57.5477556566027</v>
      </c>
      <c r="V8" s="16" t="n">
        <v>60.3030069819771</v>
      </c>
      <c r="W8" s="16" t="n">
        <v>60.1889108462319</v>
      </c>
      <c r="X8" s="16" t="n">
        <v>62.1323596182698</v>
      </c>
      <c r="Y8" s="16" t="n">
        <v>64.1385606992701</v>
      </c>
      <c r="Z8" s="16" t="n">
        <v>66.2095403079513</v>
      </c>
      <c r="AA8" s="8" t="s">
        <v>311</v>
      </c>
    </row>
    <row r="9" customFormat="false" ht="17.15" hidden="false" customHeight="false" outlineLevel="0" collapsed="false">
      <c r="A9" s="0" t="s">
        <v>312</v>
      </c>
      <c r="B9" s="0" t="s">
        <v>308</v>
      </c>
      <c r="C9" s="16" t="n">
        <v>31.2873958850745</v>
      </c>
      <c r="D9" s="16" t="n">
        <v>29.6152942833619</v>
      </c>
      <c r="E9" s="16" t="n">
        <v>31.1552804325753</v>
      </c>
      <c r="F9" s="16" t="n">
        <v>33.5147228924475</v>
      </c>
      <c r="G9" s="16" t="n">
        <v>38.0693331650007</v>
      </c>
      <c r="H9" s="16" t="n">
        <v>33.6172154529341</v>
      </c>
      <c r="I9" s="16" t="n">
        <v>34.4006036061451</v>
      </c>
      <c r="J9" s="16" t="n">
        <v>36.079657444519</v>
      </c>
      <c r="K9" s="16" t="n">
        <v>37.7137102052779</v>
      </c>
      <c r="L9" s="16" t="n">
        <v>39.877393408786</v>
      </c>
      <c r="M9" s="16" t="n">
        <v>42.1652098513645</v>
      </c>
      <c r="N9" s="16" t="n">
        <v>44.5842812137738</v>
      </c>
      <c r="O9" s="16" t="n">
        <v>40.3657843439542</v>
      </c>
      <c r="P9" s="16" t="n">
        <v>40.4636044513173</v>
      </c>
      <c r="Q9" s="16" t="n">
        <v>40.5616616102716</v>
      </c>
      <c r="R9" s="16" t="n">
        <v>40.6599563952741</v>
      </c>
      <c r="S9" s="16" t="n">
        <v>43.1993191560824</v>
      </c>
      <c r="T9" s="16" t="n">
        <v>44.7701571691272</v>
      </c>
      <c r="U9" s="16" t="n">
        <v>46.3981148801541</v>
      </c>
      <c r="V9" s="16" t="n">
        <v>48.0852693078439</v>
      </c>
      <c r="W9" s="16" t="n">
        <v>47.8847477956092</v>
      </c>
      <c r="X9" s="16" t="n">
        <v>49.3241067797042</v>
      </c>
      <c r="Y9" s="16" t="n">
        <v>50.8067311954965</v>
      </c>
      <c r="Z9" s="16" t="n">
        <v>52.3339215507821</v>
      </c>
      <c r="AA9" s="8" t="s">
        <v>313</v>
      </c>
    </row>
    <row r="10" customFormat="false" ht="17.15" hidden="false" customHeight="false" outlineLevel="0" collapsed="false">
      <c r="A10" s="0" t="s">
        <v>314</v>
      </c>
      <c r="B10" s="0" t="s">
        <v>31</v>
      </c>
      <c r="C10" s="17" t="n">
        <v>0.279077306733167</v>
      </c>
      <c r="D10" s="17" t="n">
        <v>0.255607692307692</v>
      </c>
      <c r="E10" s="17" t="n">
        <v>0.27406432748538</v>
      </c>
      <c r="F10" s="17" t="n">
        <v>0.268969696969697</v>
      </c>
      <c r="G10" s="17" t="n">
        <v>0.270960154241645</v>
      </c>
      <c r="H10" s="17" t="n">
        <v>0.250180832610581</v>
      </c>
      <c r="I10" s="17" t="n">
        <v>0.262052870362358</v>
      </c>
      <c r="J10" s="17" t="n">
        <v>0.262052870362358</v>
      </c>
      <c r="K10" s="17" t="n">
        <v>0.262052870362358</v>
      </c>
      <c r="L10" s="17" t="n">
        <v>0.262052870362358</v>
      </c>
      <c r="M10" s="17" t="n">
        <v>0.262052870362358</v>
      </c>
      <c r="N10" s="17" t="n">
        <v>0.262052870362358</v>
      </c>
      <c r="O10" s="17" t="n">
        <v>0.262052870362358</v>
      </c>
      <c r="P10" s="17" t="n">
        <v>0.262052870362358</v>
      </c>
      <c r="Q10" s="17" t="n">
        <v>0.262052870362358</v>
      </c>
      <c r="R10" s="17" t="n">
        <v>0.262052870362358</v>
      </c>
      <c r="S10" s="17" t="n">
        <v>0.262052870362358</v>
      </c>
      <c r="T10" s="17" t="n">
        <v>0.262052870362358</v>
      </c>
      <c r="U10" s="17" t="n">
        <v>0.262052870362358</v>
      </c>
      <c r="V10" s="17" t="n">
        <v>0.262052870362358</v>
      </c>
      <c r="W10" s="17" t="n">
        <v>0.262052870362358</v>
      </c>
      <c r="X10" s="17" t="n">
        <v>0.262052870362358</v>
      </c>
      <c r="Y10" s="17" t="n">
        <v>0.262052870362358</v>
      </c>
      <c r="Z10" s="17" t="n">
        <v>0.262052870362358</v>
      </c>
      <c r="AA10" s="8" t="s">
        <v>315</v>
      </c>
    </row>
    <row r="11" customFormat="false" ht="17.15" hidden="false" customHeight="false" outlineLevel="0" collapsed="false">
      <c r="A11" s="0" t="s">
        <v>316</v>
      </c>
      <c r="B11" s="0" t="s">
        <v>31</v>
      </c>
      <c r="C11" s="17" t="n">
        <v>0.279077306733167</v>
      </c>
      <c r="D11" s="17" t="n">
        <v>0.255607692307692</v>
      </c>
      <c r="E11" s="17" t="n">
        <v>0.27406432748538</v>
      </c>
      <c r="F11" s="17" t="n">
        <v>0.268969696969697</v>
      </c>
      <c r="G11" s="17" t="n">
        <v>0.270960154241645</v>
      </c>
      <c r="H11" s="17" t="n">
        <v>0.250180832610581</v>
      </c>
      <c r="I11" s="17" t="n">
        <v>0.262052870362358</v>
      </c>
      <c r="J11" s="17" t="n">
        <v>0.262052870362358</v>
      </c>
      <c r="K11" s="17" t="n">
        <v>0.259052870362358</v>
      </c>
      <c r="L11" s="17" t="n">
        <v>0.259052870362358</v>
      </c>
      <c r="M11" s="17" t="n">
        <v>0.259052870362358</v>
      </c>
      <c r="N11" s="17" t="n">
        <v>0.259052870362358</v>
      </c>
      <c r="O11" s="17" t="n">
        <v>0.256052870362358</v>
      </c>
      <c r="P11" s="17" t="n">
        <v>0.256052870362358</v>
      </c>
      <c r="Q11" s="17" t="n">
        <v>0.256052870362358</v>
      </c>
      <c r="R11" s="17" t="n">
        <v>0.256052870362358</v>
      </c>
      <c r="S11" s="17" t="n">
        <v>0.253052870362358</v>
      </c>
      <c r="T11" s="17" t="n">
        <v>0.253052870362358</v>
      </c>
      <c r="U11" s="17" t="n">
        <v>0.253052870362358</v>
      </c>
      <c r="V11" s="17" t="n">
        <v>0.253052870362358</v>
      </c>
      <c r="W11" s="17" t="n">
        <v>0.250052870362358</v>
      </c>
      <c r="X11" s="17" t="n">
        <v>0.250052870362358</v>
      </c>
      <c r="Y11" s="17" t="n">
        <v>0.250052870362358</v>
      </c>
      <c r="Z11" s="17" t="n">
        <v>0.250052870362358</v>
      </c>
      <c r="AA11" s="8" t="s">
        <v>317</v>
      </c>
    </row>
    <row r="12" customFormat="false" ht="17.15" hidden="false" customHeight="false" outlineLevel="0" collapsed="false">
      <c r="A12" s="0" t="s">
        <v>318</v>
      </c>
      <c r="B12" s="0" t="s">
        <v>31</v>
      </c>
      <c r="C12" s="17" t="n">
        <v>0.279077306733167</v>
      </c>
      <c r="D12" s="17" t="n">
        <v>0.255607692307692</v>
      </c>
      <c r="E12" s="17" t="n">
        <v>0.27406432748538</v>
      </c>
      <c r="F12" s="17" t="n">
        <v>0.268969696969697</v>
      </c>
      <c r="G12" s="17" t="n">
        <v>0.270960154241645</v>
      </c>
      <c r="H12" s="17" t="n">
        <v>0.250180832610581</v>
      </c>
      <c r="I12" s="17" t="n">
        <v>0.262052870362358</v>
      </c>
      <c r="J12" s="17" t="n">
        <v>0.262052870362358</v>
      </c>
      <c r="K12" s="17" t="n">
        <v>0.256052870362358</v>
      </c>
      <c r="L12" s="17" t="n">
        <v>0.256052870362358</v>
      </c>
      <c r="M12" s="17" t="n">
        <v>0.256052870362358</v>
      </c>
      <c r="N12" s="17" t="n">
        <v>0.256052870362358</v>
      </c>
      <c r="O12" s="17" t="n">
        <v>0.250052870362358</v>
      </c>
      <c r="P12" s="17" t="n">
        <v>0.250052870362358</v>
      </c>
      <c r="Q12" s="17" t="n">
        <v>0.250052870362358</v>
      </c>
      <c r="R12" s="17" t="n">
        <v>0.250052870362358</v>
      </c>
      <c r="S12" s="17" t="n">
        <v>0.244052870362358</v>
      </c>
      <c r="T12" s="17" t="n">
        <v>0.244052870362358</v>
      </c>
      <c r="U12" s="17" t="n">
        <v>0.244052870362358</v>
      </c>
      <c r="V12" s="17" t="n">
        <v>0.244052870362358</v>
      </c>
      <c r="W12" s="17" t="n">
        <v>0.238052870362358</v>
      </c>
      <c r="X12" s="17" t="n">
        <v>0.238052870362358</v>
      </c>
      <c r="Y12" s="17" t="n">
        <v>0.238052870362358</v>
      </c>
      <c r="Z12" s="17" t="n">
        <v>0.238052870362358</v>
      </c>
      <c r="AA12" s="8" t="s">
        <v>319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0"/>
    <col collapsed="false" customWidth="true" hidden="false" outlineLevel="0" max="18" min="3" style="0" width="12"/>
    <col collapsed="false" customWidth="true" hidden="false" outlineLevel="0" max="20" min="20" style="0" width="60"/>
  </cols>
  <sheetData>
    <row r="1" customFormat="false" ht="17.15" hidden="false" customHeight="false" outlineLevel="0" collapsed="false">
      <c r="A1" s="0" t="s">
        <v>320</v>
      </c>
    </row>
    <row r="3" customFormat="false" ht="15" hidden="false" customHeight="false" outlineLevel="0" collapsed="false">
      <c r="A3" s="6" t="s">
        <v>321</v>
      </c>
      <c r="B3" s="6" t="s">
        <v>15</v>
      </c>
      <c r="C3" s="12" t="s">
        <v>322</v>
      </c>
      <c r="D3" s="12" t="s">
        <v>323</v>
      </c>
      <c r="E3" s="12" t="s">
        <v>324</v>
      </c>
      <c r="F3" s="12" t="s">
        <v>325</v>
      </c>
      <c r="G3" s="12" t="s">
        <v>326</v>
      </c>
      <c r="H3" s="6" t="s">
        <v>327</v>
      </c>
    </row>
    <row r="4" customFormat="false" ht="17.15" hidden="false" customHeight="false" outlineLevel="0" collapsed="false">
      <c r="A4" s="3" t="s">
        <v>328</v>
      </c>
    </row>
    <row r="5" customFormat="false" ht="15" hidden="false" customHeight="false" outlineLevel="0" collapsed="false">
      <c r="A5" s="5" t="s">
        <v>266</v>
      </c>
      <c r="B5" s="0" t="s">
        <v>25</v>
      </c>
      <c r="C5" s="15" t="n">
        <f aca="false">C55</f>
        <v>7.355</v>
      </c>
      <c r="D5" s="15" t="n">
        <f aca="false">D55</f>
        <v>20.248</v>
      </c>
      <c r="E5" s="15" t="n">
        <f aca="false">E55</f>
        <v>53.0230121585251</v>
      </c>
      <c r="F5" s="15" t="n">
        <f aca="false">F55</f>
        <v>60.3042586550984</v>
      </c>
      <c r="G5" s="15" t="n">
        <f aca="false">G55</f>
        <v>61.4039840062216</v>
      </c>
    </row>
    <row r="6" customFormat="false" ht="15" hidden="false" customHeight="false" outlineLevel="0" collapsed="false">
      <c r="A6" s="5" t="s">
        <v>329</v>
      </c>
      <c r="B6" s="0" t="s">
        <v>31</v>
      </c>
      <c r="D6" s="14" t="n">
        <f aca="false">D57</f>
        <v>0.714969330304228</v>
      </c>
      <c r="E6" s="14" t="n">
        <f aca="false">E57</f>
        <v>0.86916237142415</v>
      </c>
      <c r="F6" s="14" t="n">
        <f aca="false">F57</f>
        <v>0.875868467382939</v>
      </c>
      <c r="G6" s="14" t="n">
        <f aca="false">G57</f>
        <v>0.870304645283164</v>
      </c>
    </row>
    <row r="7" customFormat="false" ht="15" hidden="false" customHeight="false" outlineLevel="0" collapsed="false">
      <c r="A7" s="5" t="s">
        <v>330</v>
      </c>
      <c r="B7" s="0" t="s">
        <v>25</v>
      </c>
      <c r="D7" s="15" t="n">
        <f aca="false">D59</f>
        <v>12.389</v>
      </c>
      <c r="E7" s="15" t="n">
        <f aca="false">E59</f>
        <v>43.5295566016335</v>
      </c>
      <c r="F7" s="15" t="n">
        <f aca="false">F59</f>
        <v>49.9871537273643</v>
      </c>
      <c r="G7" s="15" t="n">
        <f aca="false">G59</f>
        <v>50.3748901593564</v>
      </c>
    </row>
    <row r="8" customFormat="false" ht="15" hidden="false" customHeight="false" outlineLevel="0" collapsed="false">
      <c r="A8" s="5" t="s">
        <v>331</v>
      </c>
      <c r="B8" s="0" t="s">
        <v>31</v>
      </c>
      <c r="D8" s="14" t="n">
        <f aca="false">D60</f>
        <v>0.61186290003951</v>
      </c>
      <c r="E8" s="14" t="n">
        <f aca="false">E60</f>
        <v>0.820955936480775</v>
      </c>
      <c r="F8" s="14" t="n">
        <f aca="false">F60</f>
        <v>0.828915815270339</v>
      </c>
      <c r="G8" s="14" t="n">
        <f aca="false">G60</f>
        <v>0.820384718917463</v>
      </c>
    </row>
    <row r="9" customFormat="false" ht="15" hidden="false" customHeight="false" outlineLevel="0" collapsed="false">
      <c r="A9" s="5" t="s">
        <v>332</v>
      </c>
      <c r="B9" s="0" t="s">
        <v>25</v>
      </c>
      <c r="C9" s="15" t="n">
        <f aca="false">C61</f>
        <v>-1.641</v>
      </c>
      <c r="D9" s="15" t="n">
        <f aca="false">D61</f>
        <v>11.433</v>
      </c>
      <c r="E9" s="15" t="n">
        <f aca="false">E61</f>
        <v>37.1620311113885</v>
      </c>
      <c r="F9" s="15" t="n">
        <f aca="false">F61</f>
        <v>43.2313797247516</v>
      </c>
      <c r="G9" s="15" t="n">
        <f aca="false">G61</f>
        <v>44.2370988034375</v>
      </c>
    </row>
    <row r="10" customFormat="false" ht="15" hidden="false" customHeight="false" outlineLevel="0" collapsed="false">
      <c r="A10" s="0" t="s">
        <v>333</v>
      </c>
      <c r="B10" s="0" t="s">
        <v>38</v>
      </c>
      <c r="C10" s="15" t="n">
        <f aca="false">C69</f>
        <v>-11.32</v>
      </c>
      <c r="D10" s="15" t="n">
        <f aca="false">D69</f>
        <v>73.76</v>
      </c>
      <c r="E10" s="15" t="n">
        <f aca="false">E69</f>
        <v>263.1653771698</v>
      </c>
      <c r="F10" s="15" t="n">
        <f aca="false">F69</f>
        <v>345.440285865471</v>
      </c>
      <c r="G10" s="15" t="n">
        <f aca="false">G69</f>
        <v>406.942436087428</v>
      </c>
    </row>
    <row r="11" customFormat="false" ht="15" hidden="false" customHeight="false" outlineLevel="0" collapsed="false">
      <c r="A11" s="5" t="s">
        <v>334</v>
      </c>
      <c r="B11" s="0" t="s">
        <v>38</v>
      </c>
      <c r="D11" s="15" t="n">
        <f aca="false">D70</f>
        <v>107.471656877476</v>
      </c>
      <c r="E11" s="15" t="n">
        <f aca="false">E70</f>
        <v>270.129275871821</v>
      </c>
      <c r="F11" s="15" t="n">
        <f aca="false">F70</f>
        <v>507.619603801931</v>
      </c>
      <c r="G11" s="15" t="n">
        <f aca="false">G70</f>
        <v>829.486479257523</v>
      </c>
    </row>
    <row r="12" customFormat="false" ht="15" hidden="false" customHeight="false" outlineLevel="0" collapsed="false">
      <c r="A12" s="5" t="s">
        <v>335</v>
      </c>
      <c r="B12" s="0" t="s">
        <v>25</v>
      </c>
      <c r="D12" s="15" t="n">
        <f aca="false">D64</f>
        <v>11.031</v>
      </c>
      <c r="E12" s="15" t="n">
        <f aca="false">E64</f>
        <v>34.140650381877</v>
      </c>
      <c r="F12" s="15" t="n">
        <f aca="false">F64</f>
        <v>39.7731242054457</v>
      </c>
      <c r="G12" s="15" t="n">
        <f aca="false">G64</f>
        <v>40.7128597630642</v>
      </c>
    </row>
    <row r="14" customFormat="false" ht="17.15" hidden="false" customHeight="false" outlineLevel="0" collapsed="false">
      <c r="A14" s="3" t="s">
        <v>336</v>
      </c>
    </row>
    <row r="15" customFormat="false" ht="15" hidden="false" customHeight="false" outlineLevel="0" collapsed="false">
      <c r="A15" s="5" t="s">
        <v>266</v>
      </c>
      <c r="B15" s="0" t="s">
        <v>25</v>
      </c>
      <c r="C15" s="15" t="n">
        <f aca="false">C91</f>
        <v>7.355</v>
      </c>
      <c r="D15" s="15" t="n">
        <f aca="false">D91</f>
        <v>20.248</v>
      </c>
      <c r="E15" s="15" t="n">
        <f aca="false">E91</f>
        <v>53.5566301386675</v>
      </c>
      <c r="F15" s="15" t="n">
        <f aca="false">F91</f>
        <v>42.8311689367748</v>
      </c>
      <c r="G15" s="15" t="n">
        <f aca="false">G91</f>
        <v>22.9705482306035</v>
      </c>
    </row>
    <row r="16" customFormat="false" ht="15" hidden="false" customHeight="false" outlineLevel="0" collapsed="false">
      <c r="A16" s="5" t="s">
        <v>329</v>
      </c>
      <c r="B16" s="0" t="s">
        <v>31</v>
      </c>
      <c r="D16" s="14" t="n">
        <f aca="false">D93</f>
        <v>0.714969330304228</v>
      </c>
      <c r="E16" s="14" t="n">
        <f aca="false">E93</f>
        <v>0.870091327309117</v>
      </c>
      <c r="F16" s="14" t="n">
        <f aca="false">F93</f>
        <v>0.828093255273843</v>
      </c>
      <c r="G16" s="14" t="n">
        <f aca="false">G93</f>
        <v>0.676966372448314</v>
      </c>
    </row>
    <row r="17" customFormat="false" ht="15" hidden="false" customHeight="false" outlineLevel="0" collapsed="false">
      <c r="A17" s="5" t="s">
        <v>330</v>
      </c>
      <c r="B17" s="0" t="s">
        <v>25</v>
      </c>
      <c r="D17" s="15" t="n">
        <f aca="false">D95</f>
        <v>12.389</v>
      </c>
      <c r="E17" s="15" t="n">
        <f aca="false">E95</f>
        <v>44.0377728376335</v>
      </c>
      <c r="F17" s="15" t="n">
        <f aca="false">F95</f>
        <v>32.8114881316799</v>
      </c>
      <c r="G17" s="15" t="n">
        <f aca="false">G95</f>
        <v>12.8693407064255</v>
      </c>
    </row>
    <row r="18" customFormat="false" ht="15" hidden="false" customHeight="false" outlineLevel="0" collapsed="false">
      <c r="A18" s="5" t="s">
        <v>331</v>
      </c>
      <c r="B18" s="0" t="s">
        <v>31</v>
      </c>
      <c r="D18" s="14" t="n">
        <f aca="false">D96</f>
        <v>0.61186290003951</v>
      </c>
      <c r="E18" s="14" t="n">
        <f aca="false">E96</f>
        <v>0.822265566814268</v>
      </c>
      <c r="F18" s="14" t="n">
        <f aca="false">F96</f>
        <v>0.766065670075793</v>
      </c>
      <c r="G18" s="14" t="n">
        <f aca="false">G96</f>
        <v>0.560253964216659</v>
      </c>
    </row>
    <row r="19" customFormat="false" ht="15" hidden="false" customHeight="false" outlineLevel="0" collapsed="false">
      <c r="A19" s="5" t="s">
        <v>332</v>
      </c>
      <c r="B19" s="0" t="s">
        <v>25</v>
      </c>
      <c r="C19" s="15" t="n">
        <f aca="false">C97</f>
        <v>-1.641</v>
      </c>
      <c r="D19" s="15" t="n">
        <f aca="false">D97</f>
        <v>11.433</v>
      </c>
      <c r="E19" s="15" t="n">
        <f aca="false">E97</f>
        <v>37.5940149119885</v>
      </c>
      <c r="F19" s="15" t="n">
        <f aca="false">F97</f>
        <v>28.6388634026903</v>
      </c>
      <c r="G19" s="15" t="n">
        <f aca="false">G97</f>
        <v>12.1339309767543</v>
      </c>
    </row>
    <row r="20" customFormat="false" ht="15" hidden="false" customHeight="false" outlineLevel="0" collapsed="false">
      <c r="A20" s="0" t="s">
        <v>333</v>
      </c>
      <c r="B20" s="0" t="s">
        <v>38</v>
      </c>
      <c r="C20" s="15" t="n">
        <f aca="false">C105</f>
        <v>-11.32</v>
      </c>
      <c r="D20" s="15" t="n">
        <f aca="false">D105</f>
        <v>73.76</v>
      </c>
      <c r="E20" s="15" t="n">
        <f aca="false">E105</f>
        <v>266.529384709545</v>
      </c>
      <c r="F20" s="15" t="n">
        <f aca="false">F105</f>
        <v>219.527002202633</v>
      </c>
      <c r="G20" s="15" t="n">
        <f aca="false">G105</f>
        <v>96.263879822199</v>
      </c>
    </row>
    <row r="21" customFormat="false" ht="15" hidden="false" customHeight="false" outlineLevel="0" collapsed="false">
      <c r="A21" s="5" t="s">
        <v>334</v>
      </c>
      <c r="B21" s="0" t="s">
        <v>38</v>
      </c>
      <c r="D21" s="15" t="n">
        <f aca="false">D106</f>
        <v>107.471656877476</v>
      </c>
      <c r="E21" s="15" t="n">
        <f aca="false">E106</f>
        <v>272.21001130907</v>
      </c>
      <c r="F21" s="15" t="n">
        <f aca="false">F106</f>
        <v>423.246524652077</v>
      </c>
      <c r="G21" s="15" t="n">
        <f aca="false">G106</f>
        <v>495.963483261656</v>
      </c>
    </row>
    <row r="22" customFormat="false" ht="15" hidden="false" customHeight="false" outlineLevel="0" collapsed="false">
      <c r="A22" s="5" t="s">
        <v>335</v>
      </c>
      <c r="B22" s="0" t="s">
        <v>25</v>
      </c>
      <c r="D22" s="15" t="n">
        <f aca="false">D100</f>
        <v>11.031</v>
      </c>
      <c r="E22" s="15" t="n">
        <f aca="false">E100</f>
        <v>34.5406171036684</v>
      </c>
      <c r="F22" s="15" t="n">
        <f aca="false">F100</f>
        <v>26.2289932664838</v>
      </c>
      <c r="G22" s="15" t="n">
        <f aca="false">G100</f>
        <v>10.9156980829181</v>
      </c>
    </row>
    <row r="24" customFormat="false" ht="17.15" hidden="false" customHeight="false" outlineLevel="0" collapsed="false">
      <c r="A24" s="3" t="s">
        <v>337</v>
      </c>
    </row>
    <row r="25" customFormat="false" ht="15" hidden="false" customHeight="false" outlineLevel="0" collapsed="false">
      <c r="A25" s="5" t="s">
        <v>266</v>
      </c>
      <c r="B25" s="0" t="s">
        <v>25</v>
      </c>
      <c r="C25" s="15" t="n">
        <f aca="false">C127</f>
        <v>7.355</v>
      </c>
      <c r="D25" s="15" t="n">
        <f aca="false">D127</f>
        <v>20.248</v>
      </c>
      <c r="E25" s="15" t="n">
        <f aca="false">E127</f>
        <v>53.2091394257517</v>
      </c>
      <c r="F25" s="15" t="n">
        <f aca="false">F127</f>
        <v>39.0743564810175</v>
      </c>
      <c r="G25" s="15" t="n">
        <f aca="false">G127</f>
        <v>12.7894883355406</v>
      </c>
    </row>
    <row r="26" customFormat="false" ht="15" hidden="false" customHeight="false" outlineLevel="0" collapsed="false">
      <c r="A26" s="5" t="s">
        <v>329</v>
      </c>
      <c r="B26" s="0" t="s">
        <v>31</v>
      </c>
      <c r="D26" s="14" t="n">
        <f aca="false">D129</f>
        <v>0.714969330304228</v>
      </c>
      <c r="E26" s="14" t="n">
        <f aca="false">E129</f>
        <v>0.86889852273067</v>
      </c>
      <c r="F26" s="14" t="n">
        <f aca="false">F129</f>
        <v>0.817733711860646</v>
      </c>
      <c r="G26" s="14" t="n">
        <f aca="false">G129</f>
        <v>0.494968733211702</v>
      </c>
    </row>
    <row r="27" customFormat="false" ht="15" hidden="false" customHeight="false" outlineLevel="0" collapsed="false">
      <c r="A27" s="5" t="s">
        <v>330</v>
      </c>
      <c r="B27" s="0" t="s">
        <v>25</v>
      </c>
      <c r="D27" s="15" t="n">
        <f aca="false">D131</f>
        <v>12.389</v>
      </c>
      <c r="E27" s="15" t="n">
        <f aca="false">E131</f>
        <v>43.6754309840119</v>
      </c>
      <c r="F27" s="15" t="n">
        <f aca="false">F131</f>
        <v>29.3332727079882</v>
      </c>
      <c r="G27" s="15" t="n">
        <f aca="false">G131</f>
        <v>3.75125943642389</v>
      </c>
    </row>
    <row r="28" customFormat="false" ht="15" hidden="false" customHeight="false" outlineLevel="0" collapsed="false">
      <c r="A28" s="5" t="s">
        <v>331</v>
      </c>
      <c r="B28" s="0" t="s">
        <v>31</v>
      </c>
      <c r="D28" s="14" t="n">
        <f aca="false">D132</f>
        <v>0.61186290003951</v>
      </c>
      <c r="E28" s="14" t="n">
        <f aca="false">E132</f>
        <v>0.820825735115616</v>
      </c>
      <c r="F28" s="14" t="n">
        <f aca="false">F132</f>
        <v>0.750703923230022</v>
      </c>
      <c r="G28" s="14" t="n">
        <f aca="false">G132</f>
        <v>0.293308014989117</v>
      </c>
    </row>
    <row r="29" customFormat="false" ht="15" hidden="false" customHeight="false" outlineLevel="0" collapsed="false">
      <c r="A29" s="5" t="s">
        <v>332</v>
      </c>
      <c r="B29" s="0" t="s">
        <v>25</v>
      </c>
      <c r="C29" s="15" t="n">
        <f aca="false">C133</f>
        <v>-1.641</v>
      </c>
      <c r="D29" s="15" t="n">
        <f aca="false">D133</f>
        <v>11.433</v>
      </c>
      <c r="E29" s="15" t="n">
        <f aca="false">E133</f>
        <v>37.2860243364101</v>
      </c>
      <c r="F29" s="15" t="n">
        <f aca="false">F133</f>
        <v>25.6774988932947</v>
      </c>
      <c r="G29" s="15" t="n">
        <f aca="false">G133</f>
        <v>4.33216925004039</v>
      </c>
    </row>
    <row r="30" customFormat="false" ht="15" hidden="false" customHeight="false" outlineLevel="0" collapsed="false">
      <c r="A30" s="0" t="s">
        <v>333</v>
      </c>
      <c r="B30" s="0" t="s">
        <v>38</v>
      </c>
      <c r="C30" s="15" t="n">
        <f aca="false">C141</f>
        <v>-11.32</v>
      </c>
      <c r="D30" s="15" t="n">
        <f aca="false">D141</f>
        <v>73.76</v>
      </c>
      <c r="E30" s="15" t="n">
        <f aca="false">E141</f>
        <v>264.128673147724</v>
      </c>
      <c r="F30" s="15" t="n">
        <f aca="false">F141</f>
        <v>195.002099532463</v>
      </c>
      <c r="G30" s="15" t="n">
        <f aca="false">G141</f>
        <v>33.2799019603142</v>
      </c>
    </row>
    <row r="31" customFormat="false" ht="15" hidden="false" customHeight="false" outlineLevel="0" collapsed="false">
      <c r="A31" s="5" t="s">
        <v>334</v>
      </c>
      <c r="B31" s="0" t="s">
        <v>38</v>
      </c>
      <c r="D31" s="15" t="n">
        <f aca="false">D142</f>
        <v>107.471656877476</v>
      </c>
      <c r="E31" s="15" t="n">
        <f aca="false">E142</f>
        <v>270.731822263115</v>
      </c>
      <c r="F31" s="15" t="n">
        <f aca="false">F142</f>
        <v>404.768888923564</v>
      </c>
      <c r="G31" s="15" t="n">
        <f aca="false">G142</f>
        <v>430.088230508421</v>
      </c>
    </row>
    <row r="32" customFormat="false" ht="15" hidden="false" customHeight="false" outlineLevel="0" collapsed="false">
      <c r="A32" s="5" t="s">
        <v>335</v>
      </c>
      <c r="B32" s="0" t="s">
        <v>25</v>
      </c>
      <c r="D32" s="15" t="n">
        <f aca="false">D136</f>
        <v>11.031</v>
      </c>
      <c r="E32" s="15" t="n">
        <f aca="false">E136</f>
        <v>34.253475970865</v>
      </c>
      <c r="F32" s="15" t="n">
        <f aca="false">F136</f>
        <v>23.4930375044336</v>
      </c>
      <c r="G32" s="15" t="n">
        <f aca="false">G136</f>
        <v>3.72479994990795</v>
      </c>
    </row>
    <row r="34" customFormat="false" ht="17.15" hidden="false" customHeight="false" outlineLevel="0" collapsed="false">
      <c r="A34" s="5" t="s">
        <v>338</v>
      </c>
      <c r="D34" s="18" t="n">
        <f aca="false">D73+D109+D145</f>
        <v>0</v>
      </c>
    </row>
    <row r="40" customFormat="false" ht="17.15" hidden="false" customHeight="false" outlineLevel="0" collapsed="false">
      <c r="A40" s="3" t="s">
        <v>339</v>
      </c>
    </row>
    <row r="41" customFormat="false" ht="17.15" hidden="false" customHeight="false" outlineLevel="0" collapsed="false">
      <c r="A41" s="12" t="s">
        <v>340</v>
      </c>
      <c r="B41" s="6" t="s">
        <v>15</v>
      </c>
      <c r="C41" s="12" t="s">
        <v>341</v>
      </c>
      <c r="D41" s="12" t="s">
        <v>342</v>
      </c>
      <c r="E41" s="12" t="s">
        <v>343</v>
      </c>
      <c r="F41" s="12" t="s">
        <v>344</v>
      </c>
      <c r="G41" s="12" t="s">
        <v>345</v>
      </c>
      <c r="H41" s="12" t="s">
        <v>346</v>
      </c>
      <c r="I41" s="12" t="s">
        <v>347</v>
      </c>
      <c r="J41" s="12" t="s">
        <v>348</v>
      </c>
      <c r="K41" s="12" t="s">
        <v>349</v>
      </c>
      <c r="L41" s="12" t="s">
        <v>350</v>
      </c>
      <c r="M41" s="12" t="s">
        <v>351</v>
      </c>
      <c r="N41" s="12" t="s">
        <v>352</v>
      </c>
      <c r="O41" s="12" t="s">
        <v>353</v>
      </c>
      <c r="P41" s="12" t="s">
        <v>354</v>
      </c>
      <c r="Q41" s="12" t="s">
        <v>355</v>
      </c>
      <c r="R41" s="12" t="s">
        <v>356</v>
      </c>
      <c r="S41" s="12"/>
      <c r="T41" s="6" t="s">
        <v>327</v>
      </c>
    </row>
    <row r="42" customFormat="false" ht="17.15" hidden="false" customHeight="false" outlineLevel="0" collapsed="false">
      <c r="A42" s="5" t="s">
        <v>357</v>
      </c>
      <c r="B42" s="0" t="s">
        <v>25</v>
      </c>
      <c r="C42" s="13" t="n">
        <f aca="false">Units!E4*1</f>
        <v>2.31</v>
      </c>
      <c r="D42" s="13" t="n">
        <f aca="false">Units!F4*1</f>
        <v>3.03</v>
      </c>
      <c r="E42" s="13" t="n">
        <f aca="false">Units!G4*1</f>
        <v>5.95</v>
      </c>
      <c r="F42" s="13" t="n">
        <f aca="false">Units!H4*1</f>
        <v>8.97</v>
      </c>
      <c r="G42" s="13" t="n">
        <f aca="false">Units!I4*1</f>
        <v>10.5558839933073</v>
      </c>
      <c r="H42" s="13" t="n">
        <f aca="false">Units!J4*1*1</f>
        <v>13.0085478256151</v>
      </c>
      <c r="I42" s="13" t="n">
        <f aca="false">Units!K4*1*1</f>
        <v>14.3338273511937</v>
      </c>
      <c r="J42" s="13" t="n">
        <f aca="false">Units!L4*1*1</f>
        <v>15.1561771362706</v>
      </c>
      <c r="K42" s="13" t="n">
        <f aca="false">Units!M4*1*1</f>
        <v>15.224420859132</v>
      </c>
      <c r="L42" s="13" t="n">
        <f aca="false">Units!N4*1*1</f>
        <v>14.9710145606433</v>
      </c>
      <c r="M42" s="13" t="n">
        <f aca="false">Units!O4*1*1</f>
        <v>15.0384245519258</v>
      </c>
      <c r="N42" s="13" t="n">
        <f aca="false">Units!P4*1*1</f>
        <v>15.1061380701941</v>
      </c>
      <c r="O42" s="13" t="n">
        <f aca="false">Units!Q4*1*1</f>
        <v>15.1741564821393</v>
      </c>
      <c r="P42" s="13" t="n">
        <f aca="false">Units!R4*1*1</f>
        <v>15.2424811606062</v>
      </c>
      <c r="Q42" s="13" t="n">
        <f aca="false">Units!S4*1*1</f>
        <v>15.3696532550844</v>
      </c>
      <c r="R42" s="13" t="n">
        <f aca="false">Units!T4*1*1</f>
        <v>15.6540842486561</v>
      </c>
      <c r="T42" s="8" t="s">
        <v>358</v>
      </c>
    </row>
    <row r="43" customFormat="false" ht="15" hidden="false" customHeight="false" outlineLevel="0" collapsed="false">
      <c r="A43" s="5" t="s">
        <v>359</v>
      </c>
      <c r="B43" s="0" t="s">
        <v>308</v>
      </c>
      <c r="C43" s="13" t="n">
        <f aca="false">Units!E7*1</f>
        <v>31.1552804325753</v>
      </c>
      <c r="D43" s="13" t="n">
        <f aca="false">Units!F7*1</f>
        <v>33.5147228924475</v>
      </c>
      <c r="E43" s="13" t="n">
        <f aca="false">Units!G7*1</f>
        <v>38.0693331650007</v>
      </c>
      <c r="F43" s="13" t="n">
        <f aca="false">Units!H7*1</f>
        <v>33.6172154529341</v>
      </c>
      <c r="G43" s="13" t="n">
        <f aca="false">Units!I7*1</f>
        <v>34.4006036061451</v>
      </c>
      <c r="H43" s="13" t="n">
        <f aca="false">Units!J7*1</f>
        <v>36.079657444519</v>
      </c>
      <c r="I43" s="13" t="n">
        <f aca="false">Units!K7*1</f>
        <v>38.597442775475</v>
      </c>
      <c r="J43" s="13" t="n">
        <f aca="false">Units!L7*1</f>
        <v>40.8118268330789</v>
      </c>
      <c r="K43" s="13" t="n">
        <f aca="false">Units!M7*1</f>
        <v>43.1532529018101</v>
      </c>
      <c r="L43" s="13" t="n">
        <f aca="false">Units!N7*1</f>
        <v>45.6290095423572</v>
      </c>
      <c r="M43" s="13" t="n">
        <f aca="false">Units!O7*1</f>
        <v>48.2468034693437</v>
      </c>
      <c r="N43" s="13" t="n">
        <f aca="false">Units!P7*1</f>
        <v>51.0147835413486</v>
      </c>
      <c r="O43" s="13" t="n">
        <f aca="false">Units!Q7*1</f>
        <v>53.9415661272627</v>
      </c>
      <c r="P43" s="13" t="n">
        <f aca="false">Units!R7*1</f>
        <v>57.0362619279465</v>
      </c>
      <c r="Q43" s="13" t="n">
        <f aca="false">Units!S7*1</f>
        <v>59.2908563983564</v>
      </c>
      <c r="R43" s="13" t="n">
        <f aca="false">Units!T7*1</f>
        <v>62.2557667231854</v>
      </c>
    </row>
    <row r="44" customFormat="false" ht="17.15" hidden="false" customHeight="false" outlineLevel="0" collapsed="false">
      <c r="A44" s="5" t="s">
        <v>266</v>
      </c>
      <c r="B44" s="0" t="s">
        <v>25</v>
      </c>
      <c r="C44" s="13" t="n">
        <f aca="false">q1_rev</f>
        <v>2.308</v>
      </c>
      <c r="D44" s="13" t="n">
        <f aca="false">q2_rev</f>
        <v>3.025</v>
      </c>
      <c r="E44" s="13" t="n">
        <f aca="false">q3_rev</f>
        <v>5.95</v>
      </c>
      <c r="F44" s="13" t="n">
        <f aca="false">q4_rev</f>
        <v>8.965</v>
      </c>
      <c r="G44" s="13" t="n">
        <f aca="false">G42*sd_k</f>
        <v>10.549631742176</v>
      </c>
      <c r="H44" s="13" t="n">
        <f aca="false">H42*sd_k</f>
        <v>13.0008428614538</v>
      </c>
      <c r="I44" s="13" t="n">
        <f aca="false">I42*sd_k</f>
        <v>14.3253374238386</v>
      </c>
      <c r="J44" s="13" t="n">
        <f aca="false">J42*sd_k</f>
        <v>15.1472001310566</v>
      </c>
      <c r="K44" s="13" t="n">
        <f aca="false">K42*sd_k</f>
        <v>15.2154034331542</v>
      </c>
      <c r="L44" s="13" t="n">
        <f aca="false">L42*sd_k</f>
        <v>14.9621472272411</v>
      </c>
      <c r="M44" s="13" t="n">
        <f aca="false">M42*sd_k</f>
        <v>15.0295172915792</v>
      </c>
      <c r="N44" s="13" t="n">
        <f aca="false">N42*sd_k</f>
        <v>15.0971907031239</v>
      </c>
      <c r="O44" s="13" t="n">
        <f aca="false">O42*sd_k</f>
        <v>15.165168827757</v>
      </c>
      <c r="P44" s="13" t="n">
        <f aca="false">P42*sd_k</f>
        <v>15.2334530375101</v>
      </c>
      <c r="Q44" s="13" t="n">
        <f aca="false">Q42*sd_k</f>
        <v>15.3605498079442</v>
      </c>
      <c r="R44" s="13" t="n">
        <f aca="false">R42*sd_k</f>
        <v>15.6448123330103</v>
      </c>
      <c r="T44" s="5" t="s">
        <v>360</v>
      </c>
    </row>
    <row r="45" customFormat="false" ht="17.15" hidden="false" customHeight="false" outlineLevel="0" collapsed="false">
      <c r="A45" s="5" t="s">
        <v>361</v>
      </c>
      <c r="B45" s="0" t="s">
        <v>362</v>
      </c>
      <c r="C45" s="19" t="n">
        <f aca="false">C46/C43</f>
        <v>0.0520045391183812</v>
      </c>
      <c r="D45" s="19" t="n">
        <f aca="false">D46/D43</f>
        <v>0.0443170902760084</v>
      </c>
      <c r="E45" s="19" t="n">
        <f aca="false">E46/E43</f>
        <v>0.0337594565796481</v>
      </c>
      <c r="F45" s="19" t="n">
        <f aca="false">F46/F43</f>
        <v>0.0410685412637144</v>
      </c>
      <c r="G45" s="19" t="n">
        <f aca="false">(1-g_gm)*G44/G43</f>
        <v>0.0490671936479231</v>
      </c>
      <c r="H45" s="19" t="n">
        <f aca="false">$G45*(1-cd_A)^(1/4)</f>
        <v>0.0472515253161731</v>
      </c>
      <c r="I45" s="19" t="n">
        <f aca="false">$G45*(1-cd_A)^(2/4)</f>
        <v>0.0455030434535449</v>
      </c>
      <c r="J45" s="19" t="n">
        <f aca="false">$G45*(1-cd_A)^(3/4)</f>
        <v>0.0438192619112447</v>
      </c>
      <c r="K45" s="19" t="n">
        <f aca="false">$G45*(1-cd_A)^(4/4)</f>
        <v>0.0421977865372139</v>
      </c>
      <c r="L45" s="19" t="n">
        <f aca="false">$G45*(1-cd_A)^(5/4)</f>
        <v>0.0406363117719089</v>
      </c>
      <c r="M45" s="19" t="n">
        <f aca="false">$G45*(1-cd_A)^(6/4)</f>
        <v>0.0391326173700486</v>
      </c>
      <c r="N45" s="19" t="n">
        <f aca="false">$G45*(1-cd_A)^(7/4)</f>
        <v>0.0376845652436704</v>
      </c>
      <c r="O45" s="19" t="n">
        <f aca="false">$G45*(1-cd_A)^(8/4)</f>
        <v>0.0362900964220039</v>
      </c>
      <c r="P45" s="19" t="n">
        <f aca="false">$G45*(1-cd_A)^(9/4)</f>
        <v>0.0349472281238416</v>
      </c>
      <c r="Q45" s="19" t="n">
        <f aca="false">$G45*(1-cd_A)^(10/4)</f>
        <v>0.0336540509382418</v>
      </c>
      <c r="R45" s="19" t="n">
        <f aca="false">$G45*(1-cd_A)^(11/4)</f>
        <v>0.0324087261095565</v>
      </c>
    </row>
    <row r="46" customFormat="false" ht="15" hidden="false" customHeight="false" outlineLevel="0" collapsed="false">
      <c r="A46" s="5" t="s">
        <v>363</v>
      </c>
      <c r="B46" s="0" t="s">
        <v>25</v>
      </c>
      <c r="C46" s="13" t="n">
        <f aca="false">q1_rev*(1-q1_gm)</f>
        <v>1.620216</v>
      </c>
      <c r="D46" s="13" t="n">
        <f aca="false">q2_rev*(1-q2_gm)</f>
        <v>1.485275</v>
      </c>
      <c r="E46" s="13" t="n">
        <f aca="false">q3_rev*(1-q3_gm)</f>
        <v>1.2852</v>
      </c>
      <c r="F46" s="13" t="n">
        <f aca="false">q4_rev*(1-q4_gm)</f>
        <v>1.38061</v>
      </c>
      <c r="G46" s="13" t="n">
        <f aca="false">G43*G45</f>
        <v>1.68794107874816</v>
      </c>
      <c r="H46" s="13" t="n">
        <f aca="false">H43*H45</f>
        <v>1.70481884713854</v>
      </c>
      <c r="I46" s="13" t="n">
        <f aca="false">I43*I45</f>
        <v>1.75630111580815</v>
      </c>
      <c r="J46" s="13" t="n">
        <f aca="false">J43*J45</f>
        <v>1.78834412907505</v>
      </c>
      <c r="K46" s="13" t="n">
        <f aca="false">K43*K45</f>
        <v>1.82097175433699</v>
      </c>
      <c r="L46" s="13" t="n">
        <f aca="false">L43*L45</f>
        <v>1.85419465760663</v>
      </c>
      <c r="M46" s="13" t="n">
        <f aca="false">M43*M45</f>
        <v>1.88802369949376</v>
      </c>
      <c r="N46" s="13" t="n">
        <f aca="false">N43*N45</f>
        <v>1.92246993875567</v>
      </c>
      <c r="O46" s="13" t="n">
        <f aca="false">O43*O45</f>
        <v>1.95754463591226</v>
      </c>
      <c r="P46" s="13" t="n">
        <f aca="false">P43*P45</f>
        <v>1.99325925692713</v>
      </c>
      <c r="Q46" s="13" t="n">
        <f aca="false">Q43*Q45</f>
        <v>1.99537750140227</v>
      </c>
      <c r="R46" s="13" t="n">
        <f aca="false">R43*R45</f>
        <v>2.01763009247216</v>
      </c>
    </row>
    <row r="47" customFormat="false" ht="15" hidden="false" customHeight="false" outlineLevel="0" collapsed="false">
      <c r="A47" s="5" t="s">
        <v>329</v>
      </c>
      <c r="B47" s="0" t="s">
        <v>31</v>
      </c>
      <c r="C47" s="14" t="n">
        <f aca="false">1-C46/C44</f>
        <v>0.298</v>
      </c>
      <c r="D47" s="14" t="n">
        <f aca="false">1-D46/D44</f>
        <v>0.509</v>
      </c>
      <c r="E47" s="14" t="n">
        <f aca="false">1-E46/E44</f>
        <v>0.784</v>
      </c>
      <c r="F47" s="14" t="n">
        <f aca="false">1-F46/F44</f>
        <v>0.846</v>
      </c>
      <c r="G47" s="14" t="n">
        <f aca="false">1-G46/G44</f>
        <v>0.84</v>
      </c>
      <c r="H47" s="14" t="n">
        <f aca="false">1-H46/H44</f>
        <v>0.868868590651676</v>
      </c>
      <c r="I47" s="14" t="n">
        <f aca="false">1-I46/I44</f>
        <v>0.877398970520198</v>
      </c>
      <c r="J47" s="14" t="n">
        <f aca="false">1-J46/J44</f>
        <v>0.881935663779317</v>
      </c>
      <c r="K47" s="14" t="n">
        <f aca="false">1-K46/K44</f>
        <v>0.88032050794203</v>
      </c>
      <c r="L47" s="14" t="n">
        <f aca="false">1-L46/L44</f>
        <v>0.876074294053814</v>
      </c>
      <c r="M47" s="14" t="n">
        <f aca="false">1-M46/M44</f>
        <v>0.874378952905454</v>
      </c>
      <c r="N47" s="14" t="n">
        <f aca="false">1-N46/N44</f>
        <v>0.872660418977295</v>
      </c>
      <c r="O47" s="14" t="n">
        <f aca="false">1-O46/O44</f>
        <v>0.870918374985094</v>
      </c>
      <c r="P47" s="14" t="n">
        <f aca="false">1-P46/P44</f>
        <v>0.869152499304063</v>
      </c>
      <c r="Q47" s="14" t="n">
        <f aca="false">1-Q46/Q44</f>
        <v>0.870097260426818</v>
      </c>
      <c r="R47" s="14" t="n">
        <f aca="false">1-R46/R44</f>
        <v>0.871035200069803</v>
      </c>
    </row>
    <row r="48" customFormat="false" ht="17.15" hidden="false" customHeight="false" outlineLevel="0" collapsed="false">
      <c r="A48" s="5" t="s">
        <v>364</v>
      </c>
      <c r="B48" s="0" t="s">
        <v>25</v>
      </c>
      <c r="C48" s="13" t="n">
        <f aca="false">q1_rev-q1_rev*(1-q1_gm)-q1_op</f>
        <v>0.511784</v>
      </c>
      <c r="D48" s="13" t="n">
        <f aca="false">q2_rev-q2_rev*(1-q2_gm)-q2_op</f>
        <v>0.474725</v>
      </c>
      <c r="E48" s="13" t="n">
        <f aca="false">q3_rev-q3_rev*(1-q3_gm)-q3_op</f>
        <v>0.553800000000001</v>
      </c>
      <c r="F48" s="13" t="n">
        <f aca="false">q4_rev-q4_rev*(1-q4_gm)-q4_op</f>
        <v>0.54739</v>
      </c>
      <c r="G48" s="13" t="n">
        <f aca="false">(g_ox-ox_var*g_rev)*(1+ox_g)^(0/4)+ox_var*G44</f>
        <v>0.59399631742176</v>
      </c>
      <c r="H48" s="13" t="n">
        <f aca="false">(g_ox-ox_var*g_rev)*(1+ox_g)^(1/4)+ox_var*H44</f>
        <v>0.63028796573229</v>
      </c>
      <c r="I48" s="13" t="n">
        <f aca="false">(g_ox-ox_var*g_rev)*(1+ox_g)^(2/4)+ox_var*I44</f>
        <v>0.655596496569505</v>
      </c>
      <c r="J48" s="13" t="n">
        <f aca="false">(g_ox-ox_var*g_rev)*(1+ox_g)^(3/4)+ox_var*J44</f>
        <v>0.676169606398132</v>
      </c>
      <c r="K48" s="13" t="n">
        <f aca="false">(g_ox-ox_var*g_rev)*(1+ox_g)^(4/4)+ox_var*K44</f>
        <v>0.689504034331542</v>
      </c>
      <c r="L48" s="13" t="n">
        <f aca="false">(g_ox-ox_var*g_rev)*(1+ox_g)^(5/4)+ox_var*L44</f>
        <v>0.699928963101938</v>
      </c>
      <c r="M48" s="13" t="n">
        <f aca="false">(g_ox-ox_var*g_rev)*(1+ox_g)^(6/4)+ox_var*M44</f>
        <v>0.713872607480023</v>
      </c>
      <c r="N48" s="13" t="n">
        <f aca="false">(g_ox-ox_var*g_rev)*(1+ox_g)^(7/4)+ox_var*N44</f>
        <v>0.728139272627561</v>
      </c>
      <c r="O48" s="13" t="n">
        <f aca="false">(g_ox-ox_var*g_rev)*(1+ox_g)^(8/4)+ox_var*O44</f>
        <v>0.74273668827757</v>
      </c>
      <c r="P48" s="13" t="n">
        <f aca="false">(g_ox-ox_var*g_rev)*(1+ox_g)^(9/4)+ox_var*P44</f>
        <v>0.75767277028758</v>
      </c>
      <c r="Q48" s="13" t="n">
        <f aca="false">(g_ox-ox_var*g_rev)*(1+ox_g)^(10/4)+ox_var*Q44</f>
        <v>0.773540676100096</v>
      </c>
      <c r="R48" s="13" t="n">
        <f aca="false">(g_ox-ox_var*g_rev)*(1+ox_g)^(11/4)+ox_var*R44</f>
        <v>0.791332225486057</v>
      </c>
      <c r="T48" s="5" t="s">
        <v>365</v>
      </c>
    </row>
    <row r="49" customFormat="false" ht="15" hidden="false" customHeight="false" outlineLevel="0" collapsed="false">
      <c r="A49" s="5" t="s">
        <v>330</v>
      </c>
      <c r="B49" s="0" t="s">
        <v>25</v>
      </c>
      <c r="C49" s="13" t="n">
        <f aca="false">C44-C46-C48</f>
        <v>0.176</v>
      </c>
      <c r="D49" s="13" t="n">
        <f aca="false">D44-D46-D48</f>
        <v>1.065</v>
      </c>
      <c r="E49" s="13" t="n">
        <f aca="false">E44-E46-E48</f>
        <v>4.111</v>
      </c>
      <c r="F49" s="13" t="n">
        <f aca="false">F44-F46-F48</f>
        <v>7.037</v>
      </c>
      <c r="G49" s="13" t="n">
        <f aca="false">G44-G46-G48</f>
        <v>8.2676943460061</v>
      </c>
      <c r="H49" s="13" t="n">
        <f aca="false">H44-H46-H48</f>
        <v>10.665736048583</v>
      </c>
      <c r="I49" s="13" t="n">
        <f aca="false">I44-I46-I48</f>
        <v>11.9134398114609</v>
      </c>
      <c r="J49" s="13" t="n">
        <f aca="false">J44-J46-J48</f>
        <v>12.6826863955834</v>
      </c>
      <c r="K49" s="13" t="n">
        <f aca="false">K44-K46-K48</f>
        <v>12.7049276444857</v>
      </c>
      <c r="L49" s="13" t="n">
        <f aca="false">L44-L46-L48</f>
        <v>12.4080236065326</v>
      </c>
      <c r="M49" s="13" t="n">
        <f aca="false">M44-M46-M48</f>
        <v>12.4276209846054</v>
      </c>
      <c r="N49" s="13" t="n">
        <f aca="false">N44-N46-N48</f>
        <v>12.4465814917407</v>
      </c>
      <c r="O49" s="13" t="n">
        <f aca="false">O44-O46-O48</f>
        <v>12.4648875035672</v>
      </c>
      <c r="P49" s="13" t="n">
        <f aca="false">P44-P46-P48</f>
        <v>12.4825210102954</v>
      </c>
      <c r="Q49" s="13" t="n">
        <f aca="false">Q44-Q46-Q48</f>
        <v>12.5916316304418</v>
      </c>
      <c r="R49" s="13" t="n">
        <f aca="false">R44-R46-R48</f>
        <v>12.8358500150521</v>
      </c>
    </row>
    <row r="51" customFormat="false" ht="17.15" hidden="false" customHeight="false" outlineLevel="0" collapsed="false">
      <c r="A51" s="5" t="s">
        <v>332</v>
      </c>
      <c r="B51" s="0" t="s">
        <v>25</v>
      </c>
      <c r="C51" s="13" t="n">
        <f aca="false">q1_ni</f>
        <v>0.112</v>
      </c>
      <c r="D51" s="13" t="n">
        <f aca="false">q2_ni</f>
        <v>0.803</v>
      </c>
      <c r="E51" s="13" t="n">
        <f aca="false">q3_ni</f>
        <v>3.615</v>
      </c>
      <c r="F51" s="13" t="n">
        <f aca="false">q4_ni</f>
        <v>6.903</v>
      </c>
      <c r="G51" s="13" t="n">
        <f aca="false">(G49+rf*$D67/4)*(1-tax)</f>
        <v>7.06801719410518</v>
      </c>
      <c r="H51" s="13" t="n">
        <f aca="false">(H49+rf*$D67/4)*(1-tax)</f>
        <v>9.10635264129555</v>
      </c>
      <c r="I51" s="13" t="n">
        <f aca="false">(I49+rf*$D67/4)*(1-tax)</f>
        <v>10.1669008397418</v>
      </c>
      <c r="J51" s="13" t="n">
        <f aca="false">(J49+rf*$D67/4)*(1-tax)</f>
        <v>10.8207604362459</v>
      </c>
      <c r="K51" s="13" t="n">
        <f aca="false">(K49+rf*$E67/4)*(1-tax)</f>
        <v>10.9847632619358</v>
      </c>
      <c r="L51" s="13" t="n">
        <f aca="false">(L49+rf*$E67/4)*(1-tax)</f>
        <v>10.7323948296757</v>
      </c>
      <c r="M51" s="13" t="n">
        <f aca="false">(M49+rf*$E67/4)*(1-tax)</f>
        <v>10.7490526010375</v>
      </c>
      <c r="N51" s="13" t="n">
        <f aca="false">(N49+rf*$E67/4)*(1-tax)</f>
        <v>10.7651690321025</v>
      </c>
      <c r="O51" s="13" t="n">
        <f aca="false">(O49+rf*$F67/4)*(1-tax)</f>
        <v>10.9497649200282</v>
      </c>
      <c r="P51" s="13" t="n">
        <f aca="false">(P49+rf*$F67/4)*(1-tax)</f>
        <v>10.9647534007472</v>
      </c>
      <c r="Q51" s="13" t="n">
        <f aca="false">(Q49+rf*$F67/4)*(1-tax)</f>
        <v>11.0574974278717</v>
      </c>
      <c r="R51" s="13" t="n">
        <f aca="false">(R49+rf*$F67/4)*(1-tax)</f>
        <v>11.2650830547904</v>
      </c>
      <c r="T51" s="5" t="s">
        <v>366</v>
      </c>
    </row>
    <row r="52" customFormat="false" ht="17.15" hidden="false" customHeight="false" outlineLevel="0" collapsed="false">
      <c r="A52" s="5" t="s">
        <v>367</v>
      </c>
      <c r="B52" s="0" t="s">
        <v>38</v>
      </c>
      <c r="G52" s="15" t="n">
        <f aca="false">G51/(sh0+dil)*1000</f>
        <v>45.6001109297109</v>
      </c>
      <c r="H52" s="15" t="n">
        <f aca="false">H51/(sh0+dil)*1000</f>
        <v>58.7506622019068</v>
      </c>
      <c r="I52" s="15" t="n">
        <f aca="false">I51/(sh0+dil)*1000</f>
        <v>65.5929086434955</v>
      </c>
      <c r="J52" s="15" t="n">
        <f aca="false">J51/(sh0+dil)*1000</f>
        <v>69.8113576531995</v>
      </c>
      <c r="K52" s="15" t="n">
        <f aca="false">K51/(sh0+dil)*1000</f>
        <v>70.869440399586</v>
      </c>
      <c r="L52" s="15" t="n">
        <f aca="false">L51/(sh0+dil)*1000</f>
        <v>69.2412569656495</v>
      </c>
      <c r="M52" s="15" t="n">
        <f aca="false">M51/(sh0+dil)*1000</f>
        <v>69.3487264583067</v>
      </c>
      <c r="N52" s="15" t="n">
        <f aca="false">N51/(sh0+dil)*1000</f>
        <v>69.4527034329196</v>
      </c>
      <c r="O52" s="15" t="n">
        <f aca="false">O51/(sh0+dil)*1000</f>
        <v>70.6436446453432</v>
      </c>
      <c r="P52" s="15" t="n">
        <f aca="false">P51/(sh0+dil)*1000</f>
        <v>70.7403445209496</v>
      </c>
      <c r="Q52" s="15" t="n">
        <f aca="false">Q51/(sh0+dil)*1000</f>
        <v>71.338693083043</v>
      </c>
      <c r="R52" s="15" t="n">
        <f aca="false">R51/(sh0+dil)*1000</f>
        <v>72.6779551921961</v>
      </c>
    </row>
    <row r="54" customFormat="false" ht="17.15" hidden="false" customHeight="false" outlineLevel="0" collapsed="false">
      <c r="A54" s="12" t="s">
        <v>368</v>
      </c>
      <c r="B54" s="6" t="s">
        <v>15</v>
      </c>
      <c r="C54" s="12" t="s">
        <v>322</v>
      </c>
      <c r="D54" s="12" t="s">
        <v>323</v>
      </c>
      <c r="E54" s="12" t="s">
        <v>324</v>
      </c>
      <c r="F54" s="12" t="s">
        <v>325</v>
      </c>
      <c r="G54" s="12" t="s">
        <v>326</v>
      </c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6" t="s">
        <v>327</v>
      </c>
    </row>
    <row r="55" customFormat="false" ht="15" hidden="false" customHeight="false" outlineLevel="0" collapsed="false">
      <c r="A55" s="5" t="s">
        <v>266</v>
      </c>
      <c r="B55" s="0" t="s">
        <v>25</v>
      </c>
      <c r="C55" s="13" t="n">
        <f aca="false">a25_rev</f>
        <v>7.355</v>
      </c>
      <c r="D55" s="13" t="n">
        <f aca="false">SUM(C44:F44)</f>
        <v>20.248</v>
      </c>
      <c r="E55" s="13" t="n">
        <f aca="false">SUM(G44:J44)</f>
        <v>53.0230121585251</v>
      </c>
      <c r="F55" s="13" t="n">
        <f aca="false">SUM(K44:N44)</f>
        <v>60.3042586550984</v>
      </c>
      <c r="G55" s="13" t="n">
        <f aca="false">SUM(O44:R44)</f>
        <v>61.4039840062216</v>
      </c>
    </row>
    <row r="56" customFormat="false" ht="15" hidden="false" customHeight="false" outlineLevel="0" collapsed="false">
      <c r="A56" s="5" t="s">
        <v>363</v>
      </c>
      <c r="B56" s="0" t="s">
        <v>25</v>
      </c>
      <c r="D56" s="13" t="n">
        <f aca="false">SUM(C46:F46)</f>
        <v>5.771301</v>
      </c>
      <c r="E56" s="13" t="n">
        <f aca="false">SUM(G46:J46)</f>
        <v>6.93740517076991</v>
      </c>
      <c r="F56" s="13" t="n">
        <f aca="false">SUM(K46:N46)</f>
        <v>7.48566005019306</v>
      </c>
      <c r="G56" s="13" t="n">
        <f aca="false">SUM(O46:R46)</f>
        <v>7.96381148671382</v>
      </c>
    </row>
    <row r="57" customFormat="false" ht="15" hidden="false" customHeight="false" outlineLevel="0" collapsed="false">
      <c r="A57" s="5" t="s">
        <v>329</v>
      </c>
      <c r="B57" s="0" t="s">
        <v>31</v>
      </c>
      <c r="D57" s="14" t="n">
        <f aca="false">1-D56/D55</f>
        <v>0.714969330304228</v>
      </c>
      <c r="E57" s="14" t="n">
        <f aca="false">1-E56/E55</f>
        <v>0.86916237142415</v>
      </c>
      <c r="F57" s="14" t="n">
        <f aca="false">1-F56/F55</f>
        <v>0.875868467382939</v>
      </c>
      <c r="G57" s="14" t="n">
        <f aca="false">1-G56/G55</f>
        <v>0.870304645283164</v>
      </c>
    </row>
    <row r="58" customFormat="false" ht="15" hidden="false" customHeight="false" outlineLevel="0" collapsed="false">
      <c r="A58" s="5" t="s">
        <v>364</v>
      </c>
      <c r="B58" s="0" t="s">
        <v>25</v>
      </c>
      <c r="D58" s="13" t="n">
        <f aca="false">SUM(C48:F48)</f>
        <v>2.087699</v>
      </c>
      <c r="E58" s="13" t="n">
        <f aca="false">SUM(G48:J48)</f>
        <v>2.55605038612169</v>
      </c>
      <c r="F58" s="13" t="n">
        <f aca="false">SUM(K48:N48)</f>
        <v>2.83144487754106</v>
      </c>
      <c r="G58" s="13" t="n">
        <f aca="false">SUM(O48:R48)</f>
        <v>3.0652823601513</v>
      </c>
    </row>
    <row r="59" customFormat="false" ht="15" hidden="false" customHeight="false" outlineLevel="0" collapsed="false">
      <c r="A59" s="5" t="s">
        <v>330</v>
      </c>
      <c r="B59" s="0" t="s">
        <v>25</v>
      </c>
      <c r="D59" s="13" t="n">
        <f aca="false">SUM(C49:F49)</f>
        <v>12.389</v>
      </c>
      <c r="E59" s="13" t="n">
        <f aca="false">SUM(G49:J49)</f>
        <v>43.5295566016335</v>
      </c>
      <c r="F59" s="13" t="n">
        <f aca="false">SUM(K49:N49)</f>
        <v>49.9871537273643</v>
      </c>
      <c r="G59" s="13" t="n">
        <f aca="false">SUM(O49:R49)</f>
        <v>50.3748901593564</v>
      </c>
    </row>
    <row r="60" customFormat="false" ht="15" hidden="false" customHeight="false" outlineLevel="0" collapsed="false">
      <c r="A60" s="5" t="s">
        <v>331</v>
      </c>
      <c r="B60" s="0" t="s">
        <v>31</v>
      </c>
      <c r="D60" s="14" t="n">
        <f aca="false">D59/D55</f>
        <v>0.61186290003951</v>
      </c>
      <c r="E60" s="14" t="n">
        <f aca="false">E59/E55</f>
        <v>0.820955936480775</v>
      </c>
      <c r="F60" s="14" t="n">
        <f aca="false">F59/F55</f>
        <v>0.828915815270339</v>
      </c>
      <c r="G60" s="14" t="n">
        <f aca="false">G59/G55</f>
        <v>0.820384718917463</v>
      </c>
    </row>
    <row r="61" customFormat="false" ht="15" hidden="false" customHeight="false" outlineLevel="0" collapsed="false">
      <c r="A61" s="5" t="s">
        <v>332</v>
      </c>
      <c r="B61" s="0" t="s">
        <v>25</v>
      </c>
      <c r="C61" s="13" t="n">
        <f aca="false">a25_ni</f>
        <v>-1.641</v>
      </c>
      <c r="D61" s="13" t="n">
        <f aca="false">SUM(C51:F51)</f>
        <v>11.433</v>
      </c>
      <c r="E61" s="13" t="n">
        <f aca="false">SUM(G51:J51)</f>
        <v>37.1620311113885</v>
      </c>
      <c r="F61" s="13" t="n">
        <f aca="false">SUM(K51:N51)</f>
        <v>43.2313797247516</v>
      </c>
      <c r="G61" s="13" t="n">
        <f aca="false">SUM(O51:R51)</f>
        <v>44.2370988034375</v>
      </c>
    </row>
    <row r="62" customFormat="false" ht="15" hidden="false" customHeight="false" outlineLevel="0" collapsed="false">
      <c r="A62" s="5" t="s">
        <v>369</v>
      </c>
      <c r="B62" s="0" t="s">
        <v>25</v>
      </c>
      <c r="D62" s="13" t="n">
        <f aca="false">da_y</f>
        <v>0.16</v>
      </c>
      <c r="E62" s="13" t="n">
        <f aca="false">da_y</f>
        <v>0.16</v>
      </c>
      <c r="F62" s="13" t="n">
        <f aca="false">da_y</f>
        <v>0.16</v>
      </c>
      <c r="G62" s="13" t="n">
        <f aca="false">da_y</f>
        <v>0.16</v>
      </c>
    </row>
    <row r="63" customFormat="false" ht="17.15" hidden="false" customHeight="false" outlineLevel="0" collapsed="false">
      <c r="A63" s="5" t="s">
        <v>370</v>
      </c>
      <c r="B63" s="0" t="s">
        <v>25</v>
      </c>
      <c r="D63" s="13" t="n">
        <v>0.562</v>
      </c>
      <c r="E63" s="13" t="n">
        <f aca="false">cap_r*E55</f>
        <v>3.1813807295115</v>
      </c>
      <c r="F63" s="13" t="n">
        <f aca="false">cap_r*F55</f>
        <v>3.61825551930591</v>
      </c>
      <c r="G63" s="13" t="n">
        <f aca="false">cap_r*G55</f>
        <v>3.68423904037329</v>
      </c>
      <c r="T63" s="8" t="s">
        <v>371</v>
      </c>
    </row>
    <row r="64" customFormat="false" ht="15" hidden="false" customHeight="false" outlineLevel="0" collapsed="false">
      <c r="A64" s="5" t="s">
        <v>372</v>
      </c>
      <c r="B64" s="0" t="s">
        <v>25</v>
      </c>
      <c r="D64" s="13" t="n">
        <f aca="false">D61+D62-D63</f>
        <v>11.031</v>
      </c>
      <c r="E64" s="13" t="n">
        <f aca="false">E61+E62-E63</f>
        <v>34.140650381877</v>
      </c>
      <c r="F64" s="13" t="n">
        <f aca="false">F61+F62-F63</f>
        <v>39.7731242054457</v>
      </c>
      <c r="G64" s="13" t="n">
        <f aca="false">G61+G62-G63</f>
        <v>40.7128597630642</v>
      </c>
    </row>
    <row r="65" customFormat="false" ht="17.15" hidden="false" customHeight="false" outlineLevel="0" collapsed="false">
      <c r="A65" s="5" t="s">
        <v>373</v>
      </c>
      <c r="B65" s="0" t="s">
        <v>25</v>
      </c>
      <c r="D65" s="13" t="n">
        <v>4.524</v>
      </c>
      <c r="E65" s="13" t="n">
        <f aca="false">MAX(0,payout*E64)</f>
        <v>17.0703251909385</v>
      </c>
      <c r="F65" s="13" t="n">
        <f aca="false">MAX(0,payout*F64)</f>
        <v>19.8865621027228</v>
      </c>
      <c r="G65" s="13" t="n">
        <f aca="false">MAX(0,payout*G64)</f>
        <v>20.3564298815321</v>
      </c>
      <c r="T65" s="8" t="s">
        <v>374</v>
      </c>
    </row>
    <row r="66" customFormat="false" ht="15" hidden="false" customHeight="false" outlineLevel="0" collapsed="false">
      <c r="A66" s="5" t="s">
        <v>375</v>
      </c>
      <c r="B66" s="0" t="s">
        <v>25</v>
      </c>
      <c r="D66" s="13" t="n">
        <f aca="false">eq0</f>
        <v>15.736</v>
      </c>
      <c r="E66" s="13" t="n">
        <f aca="false">D66+E61-E65</f>
        <v>35.82770592045</v>
      </c>
      <c r="F66" s="13" t="n">
        <f aca="false">E66+F61-F65</f>
        <v>59.1725235424787</v>
      </c>
      <c r="G66" s="13" t="n">
        <f aca="false">F66+G61-G65</f>
        <v>83.0531924643841</v>
      </c>
    </row>
    <row r="67" customFormat="false" ht="15" hidden="false" customHeight="false" outlineLevel="0" collapsed="false">
      <c r="A67" s="5" t="s">
        <v>376</v>
      </c>
      <c r="B67" s="0" t="s">
        <v>25</v>
      </c>
      <c r="D67" s="13" t="n">
        <f aca="false">nc0</f>
        <v>4.762</v>
      </c>
      <c r="E67" s="13" t="n">
        <f aca="false">D67+E64-E65</f>
        <v>21.8323251909385</v>
      </c>
      <c r="F67" s="13" t="n">
        <f aca="false">E67+F64-F65</f>
        <v>41.7188872936613</v>
      </c>
      <c r="G67" s="13" t="n">
        <f aca="false">F67+G64-G65</f>
        <v>62.0753171751934</v>
      </c>
    </row>
    <row r="68" customFormat="false" ht="15" hidden="false" customHeight="false" outlineLevel="0" collapsed="false">
      <c r="A68" s="5" t="s">
        <v>377</v>
      </c>
      <c r="B68" s="5" t="s">
        <v>111</v>
      </c>
      <c r="D68" s="20" t="n">
        <f aca="false">sh0</f>
        <v>146.42</v>
      </c>
      <c r="E68" s="20" t="n">
        <f aca="false">D68-E65/bb_px*1000</f>
        <v>132.631703116291</v>
      </c>
      <c r="F68" s="20" t="n">
        <f aca="false">E68-F65/bb_px*1000</f>
        <v>116.568633479268</v>
      </c>
      <c r="G68" s="20" t="n">
        <f aca="false">F68-G65/bb_px*1000</f>
        <v>100.126035253432</v>
      </c>
    </row>
    <row r="69" customFormat="false" ht="17.15" hidden="false" customHeight="false" outlineLevel="0" collapsed="false">
      <c r="A69" s="0" t="s">
        <v>378</v>
      </c>
      <c r="B69" s="0" t="s">
        <v>38</v>
      </c>
      <c r="C69" s="15" t="n">
        <f aca="false">a25_eps</f>
        <v>-11.32</v>
      </c>
      <c r="D69" s="15" t="n">
        <f aca="false">a26_eps</f>
        <v>73.76</v>
      </c>
      <c r="E69" s="15" t="n">
        <f aca="false">E61/(E68+dil)*1000</f>
        <v>263.1653771698</v>
      </c>
      <c r="F69" s="15" t="n">
        <f aca="false">F61/(F68+dil)*1000</f>
        <v>345.440285865471</v>
      </c>
      <c r="G69" s="15" t="n">
        <f aca="false">G61/(G68+dil)*1000</f>
        <v>406.942436087428</v>
      </c>
    </row>
    <row r="70" customFormat="false" ht="17.15" hidden="false" customHeight="false" outlineLevel="0" collapsed="false">
      <c r="A70" s="5" t="s">
        <v>379</v>
      </c>
      <c r="B70" s="0" t="s">
        <v>38</v>
      </c>
      <c r="D70" s="15" t="n">
        <f aca="false">D66/D68*1000</f>
        <v>107.471656877476</v>
      </c>
      <c r="E70" s="15" t="n">
        <f aca="false">E66/E68*1000</f>
        <v>270.129275871821</v>
      </c>
      <c r="F70" s="15" t="n">
        <f aca="false">F66/F68*1000</f>
        <v>507.619603801931</v>
      </c>
      <c r="G70" s="15" t="n">
        <f aca="false">G66/G68*1000</f>
        <v>829.486479257523</v>
      </c>
    </row>
    <row r="71" customFormat="false" ht="17.15" hidden="false" customHeight="false" outlineLevel="0" collapsed="false">
      <c r="A71" s="0" t="s">
        <v>380</v>
      </c>
      <c r="B71" s="0" t="s">
        <v>31</v>
      </c>
      <c r="D71" s="21" t="n">
        <f aca="false">D61/D66</f>
        <v>0.72655058464667</v>
      </c>
      <c r="E71" s="21" t="n">
        <f aca="false">E61/E66</f>
        <v>1.03724283083882</v>
      </c>
      <c r="F71" s="21" t="n">
        <f aca="false">F61/F66</f>
        <v>0.730598885033468</v>
      </c>
      <c r="G71" s="21" t="n">
        <f aca="false">G61/G66</f>
        <v>0.53263574211681</v>
      </c>
    </row>
    <row r="72" customFormat="false" ht="15" hidden="false" customHeight="false" outlineLevel="0" collapsed="false">
      <c r="A72" s="5" t="s">
        <v>381</v>
      </c>
      <c r="B72" s="0" t="s">
        <v>38</v>
      </c>
      <c r="E72" s="15" t="n">
        <f aca="false">E64/(E68+dil)*1000</f>
        <v>241.769270028288</v>
      </c>
      <c r="F72" s="15" t="n">
        <f aca="false">F64/(F68+dil)*1000</f>
        <v>317.807099444153</v>
      </c>
      <c r="G72" s="15" t="n">
        <f aca="false">G64/(G68+dil)*1000</f>
        <v>374.522533805488</v>
      </c>
    </row>
    <row r="73" customFormat="false" ht="17.15" hidden="false" customHeight="false" outlineLevel="0" collapsed="false">
      <c r="A73" s="5" t="s">
        <v>382</v>
      </c>
      <c r="B73" s="0" t="s">
        <v>25</v>
      </c>
      <c r="D73" s="18" t="n">
        <f aca="false">ABS(D55-a26_rev)+ABS(D61-a26_ni)</f>
        <v>0</v>
      </c>
    </row>
    <row r="76" customFormat="false" ht="17.15" hidden="false" customHeight="false" outlineLevel="0" collapsed="false">
      <c r="A76" s="3" t="s">
        <v>383</v>
      </c>
    </row>
    <row r="77" customFormat="false" ht="17.15" hidden="false" customHeight="false" outlineLevel="0" collapsed="false">
      <c r="A77" s="12" t="s">
        <v>340</v>
      </c>
      <c r="B77" s="6" t="s">
        <v>15</v>
      </c>
      <c r="C77" s="12" t="s">
        <v>341</v>
      </c>
      <c r="D77" s="12" t="s">
        <v>342</v>
      </c>
      <c r="E77" s="12" t="s">
        <v>343</v>
      </c>
      <c r="F77" s="12" t="s">
        <v>344</v>
      </c>
      <c r="G77" s="12" t="s">
        <v>345</v>
      </c>
      <c r="H77" s="12" t="s">
        <v>346</v>
      </c>
      <c r="I77" s="12" t="s">
        <v>347</v>
      </c>
      <c r="J77" s="12" t="s">
        <v>348</v>
      </c>
      <c r="K77" s="12" t="s">
        <v>349</v>
      </c>
      <c r="L77" s="12" t="s">
        <v>350</v>
      </c>
      <c r="M77" s="12" t="s">
        <v>351</v>
      </c>
      <c r="N77" s="12" t="s">
        <v>352</v>
      </c>
      <c r="O77" s="12" t="s">
        <v>353</v>
      </c>
      <c r="P77" s="12" t="s">
        <v>354</v>
      </c>
      <c r="Q77" s="12" t="s">
        <v>355</v>
      </c>
      <c r="R77" s="12" t="s">
        <v>356</v>
      </c>
      <c r="S77" s="12"/>
      <c r="T77" s="6" t="s">
        <v>327</v>
      </c>
    </row>
    <row r="78" customFormat="false" ht="17.15" hidden="false" customHeight="false" outlineLevel="0" collapsed="false">
      <c r="A78" s="5" t="s">
        <v>357</v>
      </c>
      <c r="B78" s="0" t="s">
        <v>25</v>
      </c>
      <c r="C78" s="13" t="n">
        <f aca="false">Units!E5*1</f>
        <v>2.31</v>
      </c>
      <c r="D78" s="13" t="n">
        <f aca="false">Units!F5*1</f>
        <v>3.03</v>
      </c>
      <c r="E78" s="13" t="n">
        <f aca="false">Units!G5*1</f>
        <v>5.95</v>
      </c>
      <c r="F78" s="13" t="n">
        <f aca="false">Units!H5*1</f>
        <v>8.97</v>
      </c>
      <c r="G78" s="13" t="n">
        <f aca="false">Units!I5*1</f>
        <v>10.5558839933073</v>
      </c>
      <c r="H78" s="13" t="n">
        <f aca="false">Units!J5*1*1</f>
        <v>13.0085478256151</v>
      </c>
      <c r="I78" s="13" t="n">
        <f aca="false">Units!K5*1*1</f>
        <v>14.4448731108338</v>
      </c>
      <c r="J78" s="13" t="n">
        <f aca="false">Units!L5*1*1</f>
        <v>15.5790656060697</v>
      </c>
      <c r="K78" s="13" t="n">
        <f aca="false">Units!M5*1*1</f>
        <v>14.8255706548021</v>
      </c>
      <c r="L78" s="13" t="n">
        <f aca="false">Units!N5*1*1</f>
        <v>12.5409058995963</v>
      </c>
      <c r="M78" s="13" t="n">
        <f aca="false">Units!O5*1*1</f>
        <v>8.71869566091344</v>
      </c>
      <c r="N78" s="13" t="n">
        <f aca="false">Units!P5*1*1</f>
        <v>6.77138066196284</v>
      </c>
      <c r="O78" s="13" t="n">
        <f aca="false">Units!Q5*1*1</f>
        <v>5.60959701343223</v>
      </c>
      <c r="P78" s="13" t="n">
        <f aca="false">Units!R5*1*1</f>
        <v>5.22803660760145</v>
      </c>
      <c r="Q78" s="13" t="n">
        <f aca="false">Units!S5*1*1</f>
        <v>5.78331322430948</v>
      </c>
      <c r="R78" s="13" t="n">
        <f aca="false">Units!T5*1*1</f>
        <v>6.36321490653485</v>
      </c>
      <c r="T78" s="8" t="s">
        <v>358</v>
      </c>
    </row>
    <row r="79" customFormat="false" ht="15" hidden="false" customHeight="false" outlineLevel="0" collapsed="false">
      <c r="A79" s="5" t="s">
        <v>359</v>
      </c>
      <c r="B79" s="0" t="s">
        <v>308</v>
      </c>
      <c r="C79" s="13" t="n">
        <f aca="false">Units!E8*1</f>
        <v>31.1552804325753</v>
      </c>
      <c r="D79" s="13" t="n">
        <f aca="false">Units!F8*1</f>
        <v>33.5147228924475</v>
      </c>
      <c r="E79" s="13" t="n">
        <f aca="false">Units!G8*1</f>
        <v>38.0693331650007</v>
      </c>
      <c r="F79" s="13" t="n">
        <f aca="false">Units!H8*1</f>
        <v>33.6172154529341</v>
      </c>
      <c r="G79" s="13" t="n">
        <f aca="false">Units!I8*1</f>
        <v>34.4006036061451</v>
      </c>
      <c r="H79" s="13" t="n">
        <f aca="false">Units!J8*1</f>
        <v>36.079657444519</v>
      </c>
      <c r="I79" s="13" t="n">
        <f aca="false">Units!K8*1</f>
        <v>38.1555764903765</v>
      </c>
      <c r="J79" s="13" t="n">
        <f aca="false">Units!L8*1</f>
        <v>40.3446101209324</v>
      </c>
      <c r="K79" s="13" t="n">
        <f aca="false">Units!M8*1</f>
        <v>42.6592313765873</v>
      </c>
      <c r="L79" s="13" t="n">
        <f aca="false">Units!N8*1</f>
        <v>45.1066453780655</v>
      </c>
      <c r="M79" s="13" t="n">
        <f aca="false">Units!O8*1</f>
        <v>44.7986677112786</v>
      </c>
      <c r="N79" s="13" t="n">
        <f aca="false">Units!P8*1</f>
        <v>46.3905525963455</v>
      </c>
      <c r="O79" s="13" t="n">
        <f aca="false">Units!Q8*1</f>
        <v>48.039003839672</v>
      </c>
      <c r="P79" s="13" t="n">
        <f aca="false">Units!R8*1</f>
        <v>49.7460314816301</v>
      </c>
      <c r="Q79" s="13" t="n">
        <f aca="false">Units!S8*1</f>
        <v>52.4091644300165</v>
      </c>
      <c r="R79" s="13" t="n">
        <f aca="false">Units!T8*1</f>
        <v>54.9183920812081</v>
      </c>
    </row>
    <row r="80" customFormat="false" ht="17.15" hidden="false" customHeight="false" outlineLevel="0" collapsed="false">
      <c r="A80" s="5" t="s">
        <v>266</v>
      </c>
      <c r="B80" s="0" t="s">
        <v>25</v>
      </c>
      <c r="C80" s="13" t="n">
        <f aca="false">q1_rev</f>
        <v>2.308</v>
      </c>
      <c r="D80" s="13" t="n">
        <f aca="false">q2_rev</f>
        <v>3.025</v>
      </c>
      <c r="E80" s="13" t="n">
        <f aca="false">q3_rev</f>
        <v>5.95</v>
      </c>
      <c r="F80" s="13" t="n">
        <f aca="false">q4_rev</f>
        <v>8.965</v>
      </c>
      <c r="G80" s="13" t="n">
        <f aca="false">G78*sd_k</f>
        <v>10.549631742176</v>
      </c>
      <c r="H80" s="13" t="n">
        <f aca="false">H78*sd_k</f>
        <v>13.0008428614538</v>
      </c>
      <c r="I80" s="13" t="n">
        <f aca="false">I78*sd_k</f>
        <v>14.4363174110643</v>
      </c>
      <c r="J80" s="13" t="n">
        <f aca="false">J78*sd_k</f>
        <v>15.5698381239733</v>
      </c>
      <c r="K80" s="13" t="n">
        <f aca="false">K78*sd_k</f>
        <v>14.8167894678397</v>
      </c>
      <c r="L80" s="13" t="n">
        <f aca="false">L78*sd_k</f>
        <v>12.533477919794</v>
      </c>
      <c r="M80" s="13" t="n">
        <f aca="false">M78*sd_k</f>
        <v>8.7135315766128</v>
      </c>
      <c r="N80" s="13" t="n">
        <f aca="false">N78*sd_k</f>
        <v>6.76736997252831</v>
      </c>
      <c r="O80" s="13" t="n">
        <f aca="false">O78*sd_k</f>
        <v>5.60627444856741</v>
      </c>
      <c r="P80" s="13" t="n">
        <f aca="false">P78*sd_k</f>
        <v>5.22494004100267</v>
      </c>
      <c r="Q80" s="13" t="n">
        <f aca="false">Q78*sd_k</f>
        <v>5.77988776731581</v>
      </c>
      <c r="R80" s="13" t="n">
        <f aca="false">R78*sd_k</f>
        <v>6.35944597371756</v>
      </c>
      <c r="T80" s="5" t="s">
        <v>360</v>
      </c>
    </row>
    <row r="81" customFormat="false" ht="17.15" hidden="false" customHeight="false" outlineLevel="0" collapsed="false">
      <c r="A81" s="5" t="s">
        <v>361</v>
      </c>
      <c r="B81" s="0" t="s">
        <v>362</v>
      </c>
      <c r="C81" s="19" t="n">
        <f aca="false">C82/C79</f>
        <v>0.0520045391183812</v>
      </c>
      <c r="D81" s="19" t="n">
        <f aca="false">D82/D79</f>
        <v>0.0443170902760084</v>
      </c>
      <c r="E81" s="19" t="n">
        <f aca="false">E82/E79</f>
        <v>0.0337594565796481</v>
      </c>
      <c r="F81" s="19" t="n">
        <f aca="false">F82/F79</f>
        <v>0.0410685412637144</v>
      </c>
      <c r="G81" s="19" t="n">
        <f aca="false">(1-g_gm)*G80/G79</f>
        <v>0.0490671936479231</v>
      </c>
      <c r="H81" s="19" t="n">
        <f aca="false">$G81*(1-cd_B)^(1/4)</f>
        <v>0.0475238796790131</v>
      </c>
      <c r="I81" s="19" t="n">
        <f aca="false">$G81*(1-cd_B)^(2/4)</f>
        <v>0.0460291076753053</v>
      </c>
      <c r="J81" s="19" t="n">
        <f aca="false">$G81*(1-cd_B)^(3/4)</f>
        <v>0.0445813508428791</v>
      </c>
      <c r="K81" s="19" t="n">
        <f aca="false">$G81*(1-cd_B)^(4/4)</f>
        <v>0.0431791304101723</v>
      </c>
      <c r="L81" s="19" t="n">
        <f aca="false">$G81*(1-cd_B)^(5/4)</f>
        <v>0.0418210141175315</v>
      </c>
      <c r="M81" s="19" t="n">
        <f aca="false">$G81*(1-cd_B)^(6/4)</f>
        <v>0.0405056147542687</v>
      </c>
      <c r="N81" s="19" t="n">
        <f aca="false">$G81*(1-cd_B)^(7/4)</f>
        <v>0.0392315887417336</v>
      </c>
      <c r="O81" s="19" t="n">
        <f aca="false">$G81*(1-cd_B)^(8/4)</f>
        <v>0.0379976347609517</v>
      </c>
      <c r="P81" s="19" t="n">
        <f aca="false">$G81*(1-cd_B)^(9/4)</f>
        <v>0.0368024924234277</v>
      </c>
      <c r="Q81" s="19" t="n">
        <f aca="false">$G81*(1-cd_B)^(10/4)</f>
        <v>0.0356449409837565</v>
      </c>
      <c r="R81" s="19" t="n">
        <f aca="false">$G81*(1-cd_B)^(11/4)</f>
        <v>0.0345237980927255</v>
      </c>
    </row>
    <row r="82" customFormat="false" ht="15" hidden="false" customHeight="false" outlineLevel="0" collapsed="false">
      <c r="A82" s="5" t="s">
        <v>363</v>
      </c>
      <c r="B82" s="0" t="s">
        <v>25</v>
      </c>
      <c r="C82" s="13" t="n">
        <f aca="false">q1_rev*(1-q1_gm)</f>
        <v>1.620216</v>
      </c>
      <c r="D82" s="13" t="n">
        <f aca="false">q2_rev*(1-q2_gm)</f>
        <v>1.485275</v>
      </c>
      <c r="E82" s="13" t="n">
        <f aca="false">q3_rev*(1-q3_gm)</f>
        <v>1.2852</v>
      </c>
      <c r="F82" s="13" t="n">
        <f aca="false">q4_rev*(1-q4_gm)</f>
        <v>1.38061</v>
      </c>
      <c r="G82" s="13" t="n">
        <f aca="false">G79*G81</f>
        <v>1.68794107874816</v>
      </c>
      <c r="H82" s="13" t="n">
        <f aca="false">H79*H81</f>
        <v>1.71464529925333</v>
      </c>
      <c r="I82" s="13" t="n">
        <f aca="false">I79*I81</f>
        <v>1.75626713868889</v>
      </c>
      <c r="J82" s="13" t="n">
        <f aca="false">J79*J81</f>
        <v>1.79861721842046</v>
      </c>
      <c r="K82" s="13" t="n">
        <f aca="false">K79*K81</f>
        <v>1.84198851480738</v>
      </c>
      <c r="L82" s="13" t="n">
        <f aca="false">L79*L81</f>
        <v>1.88640565315056</v>
      </c>
      <c r="M82" s="13" t="n">
        <f aca="false">M79*M81</f>
        <v>1.81459757581755</v>
      </c>
      <c r="N82" s="13" t="n">
        <f aca="false">N79*N81</f>
        <v>1.81997508096159</v>
      </c>
      <c r="O82" s="13" t="n">
        <f aca="false">O79*O81</f>
        <v>1.82536852217981</v>
      </c>
      <c r="P82" s="13" t="n">
        <f aca="false">P79*P81</f>
        <v>1.83077794669829</v>
      </c>
      <c r="Q82" s="13" t="n">
        <f aca="false">Q79*Q81</f>
        <v>1.86812157311593</v>
      </c>
      <c r="R82" s="13" t="n">
        <f aca="false">R79*R81</f>
        <v>1.89599147978877</v>
      </c>
    </row>
    <row r="83" customFormat="false" ht="15" hidden="false" customHeight="false" outlineLevel="0" collapsed="false">
      <c r="A83" s="5" t="s">
        <v>329</v>
      </c>
      <c r="B83" s="0" t="s">
        <v>31</v>
      </c>
      <c r="C83" s="14" t="n">
        <f aca="false">1-C82/C80</f>
        <v>0.298</v>
      </c>
      <c r="D83" s="14" t="n">
        <f aca="false">1-D82/D80</f>
        <v>0.509</v>
      </c>
      <c r="E83" s="14" t="n">
        <f aca="false">1-E82/E80</f>
        <v>0.784</v>
      </c>
      <c r="F83" s="14" t="n">
        <f aca="false">1-F82/F80</f>
        <v>0.846</v>
      </c>
      <c r="G83" s="14" t="n">
        <f aca="false">1-G82/G80</f>
        <v>0.84</v>
      </c>
      <c r="H83" s="14" t="n">
        <f aca="false">1-H82/H80</f>
        <v>0.868112758724507</v>
      </c>
      <c r="I83" s="14" t="n">
        <f aca="false">1-I82/I80</f>
        <v>0.878343826290294</v>
      </c>
      <c r="J83" s="14" t="n">
        <f aca="false">1-J82/J80</f>
        <v>0.884480673202949</v>
      </c>
      <c r="K83" s="14" t="n">
        <f aca="false">1-K82/K80</f>
        <v>0.875682345436205</v>
      </c>
      <c r="L83" s="14" t="n">
        <f aca="false">1-L82/L80</f>
        <v>0.849490646951922</v>
      </c>
      <c r="M83" s="14" t="n">
        <f aca="false">1-M82/M80</f>
        <v>0.791749469217746</v>
      </c>
      <c r="N83" s="14" t="n">
        <f aca="false">1-N82/N80</f>
        <v>0.731066117509512</v>
      </c>
      <c r="O83" s="14" t="n">
        <f aca="false">1-O82/O80</f>
        <v>0.674406142809107</v>
      </c>
      <c r="P83" s="14" t="n">
        <f aca="false">1-P82/P80</f>
        <v>0.649607855337808</v>
      </c>
      <c r="Q83" s="14" t="n">
        <f aca="false">1-Q82/Q80</f>
        <v>0.676789299667754</v>
      </c>
      <c r="R83" s="14" t="n">
        <f aca="false">1-R82/R80</f>
        <v>0.701862161008277</v>
      </c>
    </row>
    <row r="84" customFormat="false" ht="17.15" hidden="false" customHeight="false" outlineLevel="0" collapsed="false">
      <c r="A84" s="5" t="s">
        <v>364</v>
      </c>
      <c r="B84" s="0" t="s">
        <v>25</v>
      </c>
      <c r="C84" s="13" t="n">
        <f aca="false">q1_rev-q1_rev*(1-q1_gm)-q1_op</f>
        <v>0.511784</v>
      </c>
      <c r="D84" s="13" t="n">
        <f aca="false">q2_rev-q2_rev*(1-q2_gm)-q2_op</f>
        <v>0.474725</v>
      </c>
      <c r="E84" s="13" t="n">
        <f aca="false">q3_rev-q3_rev*(1-q3_gm)-q3_op</f>
        <v>0.553800000000001</v>
      </c>
      <c r="F84" s="13" t="n">
        <f aca="false">q4_rev-q4_rev*(1-q4_gm)-q4_op</f>
        <v>0.54739</v>
      </c>
      <c r="G84" s="13" t="n">
        <f aca="false">(g_ox-ox_var*g_rev)*(1+ox_g)^(0/4)+ox_var*G80</f>
        <v>0.59399631742176</v>
      </c>
      <c r="H84" s="13" t="n">
        <f aca="false">(g_ox-ox_var*g_rev)*(1+ox_g)^(1/4)+ox_var*H80</f>
        <v>0.63028796573229</v>
      </c>
      <c r="I84" s="13" t="n">
        <f aca="false">(g_ox-ox_var*g_rev)*(1+ox_g)^(2/4)+ox_var*I80</f>
        <v>0.656706296441762</v>
      </c>
      <c r="J84" s="13" t="n">
        <f aca="false">(g_ox-ox_var*g_rev)*(1+ox_g)^(3/4)+ox_var*J80</f>
        <v>0.680395986327299</v>
      </c>
      <c r="K84" s="13" t="n">
        <f aca="false">(g_ox-ox_var*g_rev)*(1+ox_g)^(4/4)+ox_var*K80</f>
        <v>0.685517894678397</v>
      </c>
      <c r="L84" s="13" t="n">
        <f aca="false">(g_ox-ox_var*g_rev)*(1+ox_g)^(5/4)+ox_var*L80</f>
        <v>0.675642270027466</v>
      </c>
      <c r="M84" s="13" t="n">
        <f aca="false">(g_ox-ox_var*g_rev)*(1+ox_g)^(6/4)+ox_var*M80</f>
        <v>0.650712750330359</v>
      </c>
      <c r="N84" s="13" t="n">
        <f aca="false">(g_ox-ox_var*g_rev)*(1+ox_g)^(7/4)+ox_var*N80</f>
        <v>0.644841065321605</v>
      </c>
      <c r="O84" s="13" t="n">
        <f aca="false">(g_ox-ox_var*g_rev)*(1+ox_g)^(8/4)+ox_var*O80</f>
        <v>0.647147744485674</v>
      </c>
      <c r="P84" s="13" t="n">
        <f aca="false">(g_ox-ox_var*g_rev)*(1+ox_g)^(9/4)+ox_var*P80</f>
        <v>0.657587640322506</v>
      </c>
      <c r="Q84" s="13" t="n">
        <f aca="false">(g_ox-ox_var*g_rev)*(1+ox_g)^(10/4)+ox_var*Q80</f>
        <v>0.677734055693812</v>
      </c>
      <c r="R84" s="13" t="n">
        <f aca="false">(g_ox-ox_var*g_rev)*(1+ox_g)^(11/4)+ox_var*R80</f>
        <v>0.69847856189313</v>
      </c>
      <c r="T84" s="5" t="s">
        <v>365</v>
      </c>
    </row>
    <row r="85" customFormat="false" ht="15" hidden="false" customHeight="false" outlineLevel="0" collapsed="false">
      <c r="A85" s="5" t="s">
        <v>330</v>
      </c>
      <c r="B85" s="0" t="s">
        <v>25</v>
      </c>
      <c r="C85" s="13" t="n">
        <f aca="false">C80-C82-C84</f>
        <v>0.176</v>
      </c>
      <c r="D85" s="13" t="n">
        <f aca="false">D80-D82-D84</f>
        <v>1.065</v>
      </c>
      <c r="E85" s="13" t="n">
        <f aca="false">E80-E82-E84</f>
        <v>4.111</v>
      </c>
      <c r="F85" s="13" t="n">
        <f aca="false">F80-F82-F84</f>
        <v>7.037</v>
      </c>
      <c r="G85" s="13" t="n">
        <f aca="false">G80-G82-G84</f>
        <v>8.2676943460061</v>
      </c>
      <c r="H85" s="13" t="n">
        <f aca="false">H80-H82-H84</f>
        <v>10.6559095964682</v>
      </c>
      <c r="I85" s="13" t="n">
        <f aca="false">I80-I82-I84</f>
        <v>12.0233439759337</v>
      </c>
      <c r="J85" s="13" t="n">
        <f aca="false">J80-J82-J84</f>
        <v>13.0908249192256</v>
      </c>
      <c r="K85" s="13" t="n">
        <f aca="false">K80-K82-K84</f>
        <v>12.289283058354</v>
      </c>
      <c r="L85" s="13" t="n">
        <f aca="false">L80-L82-L84</f>
        <v>9.97142999661594</v>
      </c>
      <c r="M85" s="13" t="n">
        <f aca="false">M80-M82-M84</f>
        <v>6.2482212504649</v>
      </c>
      <c r="N85" s="13" t="n">
        <f aca="false">N80-N82-N84</f>
        <v>4.30255382624512</v>
      </c>
      <c r="O85" s="13" t="n">
        <f aca="false">O80-O82-O84</f>
        <v>3.13375818190193</v>
      </c>
      <c r="P85" s="13" t="n">
        <f aca="false">P80-P82-P84</f>
        <v>2.73657445398188</v>
      </c>
      <c r="Q85" s="13" t="n">
        <f aca="false">Q80-Q82-Q84</f>
        <v>3.23403213850607</v>
      </c>
      <c r="R85" s="13" t="n">
        <f aca="false">R80-R82-R84</f>
        <v>3.76497593203566</v>
      </c>
    </row>
    <row r="87" customFormat="false" ht="17.15" hidden="false" customHeight="false" outlineLevel="0" collapsed="false">
      <c r="A87" s="5" t="s">
        <v>332</v>
      </c>
      <c r="B87" s="0" t="s">
        <v>25</v>
      </c>
      <c r="C87" s="13" t="n">
        <f aca="false">q1_ni</f>
        <v>0.112</v>
      </c>
      <c r="D87" s="13" t="n">
        <f aca="false">q2_ni</f>
        <v>0.803</v>
      </c>
      <c r="E87" s="13" t="n">
        <f aca="false">q3_ni</f>
        <v>3.615</v>
      </c>
      <c r="F87" s="13" t="n">
        <f aca="false">q4_ni</f>
        <v>6.903</v>
      </c>
      <c r="G87" s="13" t="n">
        <f aca="false">(G85+rf*$D103/4)*(1-tax)</f>
        <v>7.06801719410518</v>
      </c>
      <c r="H87" s="13" t="n">
        <f aca="false">(H85+rf*$D103/4)*(1-tax)</f>
        <v>9.09800015699798</v>
      </c>
      <c r="I87" s="13" t="n">
        <f aca="false">(I85+rf*$D103/4)*(1-tax)</f>
        <v>10.2603193795436</v>
      </c>
      <c r="J87" s="13" t="n">
        <f aca="false">(J85+rf*$D103/4)*(1-tax)</f>
        <v>11.1676781813417</v>
      </c>
      <c r="K87" s="13" t="n">
        <f aca="false">(K85+rf*$E103/4)*(1-tax)</f>
        <v>10.6331652222915</v>
      </c>
      <c r="L87" s="13" t="n">
        <f aca="false">(L85+rf*$E103/4)*(1-tax)</f>
        <v>8.66299011981414</v>
      </c>
      <c r="M87" s="13" t="n">
        <f aca="false">(M85+rf*$E103/4)*(1-tax)</f>
        <v>5.49826268558575</v>
      </c>
      <c r="N87" s="13" t="n">
        <f aca="false">(N85+rf*$E103/4)*(1-tax)</f>
        <v>3.84444537499894</v>
      </c>
      <c r="O87" s="13" t="n">
        <f aca="false">(O85+rf*$F103/4)*(1-tax)</f>
        <v>2.96244229868979</v>
      </c>
      <c r="P87" s="13" t="n">
        <f aca="false">(P85+rf*$F103/4)*(1-tax)</f>
        <v>2.62483612995774</v>
      </c>
      <c r="Q87" s="13" t="n">
        <f aca="false">(Q85+rf*$F103/4)*(1-tax)</f>
        <v>3.04767516180331</v>
      </c>
      <c r="R87" s="13" t="n">
        <f aca="false">(R85+rf*$F103/4)*(1-tax)</f>
        <v>3.49897738630346</v>
      </c>
      <c r="T87" s="5" t="s">
        <v>366</v>
      </c>
    </row>
    <row r="88" customFormat="false" ht="17.15" hidden="false" customHeight="false" outlineLevel="0" collapsed="false">
      <c r="A88" s="5" t="s">
        <v>367</v>
      </c>
      <c r="B88" s="0" t="s">
        <v>38</v>
      </c>
      <c r="G88" s="15" t="n">
        <f aca="false">G87/(sh0+dil)*1000</f>
        <v>45.6001109297109</v>
      </c>
      <c r="H88" s="15" t="n">
        <f aca="false">H87/(sh0+dil)*1000</f>
        <v>58.6967752064386</v>
      </c>
      <c r="I88" s="15" t="n">
        <f aca="false">I87/(sh0+dil)*1000</f>
        <v>66.1956089002813</v>
      </c>
      <c r="J88" s="15" t="n">
        <f aca="false">J87/(sh0+dil)*1000</f>
        <v>72.0495366538176</v>
      </c>
      <c r="K88" s="15" t="n">
        <f aca="false">K87/(sh0+dil)*1000</f>
        <v>68.6010659502674</v>
      </c>
      <c r="L88" s="15" t="n">
        <f aca="false">L87/(sh0+dil)*1000</f>
        <v>55.8902588375106</v>
      </c>
      <c r="M88" s="15" t="n">
        <f aca="false">M87/(sh0+dil)*1000</f>
        <v>35.47266248765</v>
      </c>
      <c r="N88" s="15" t="n">
        <f aca="false">N87/(sh0+dil)*1000</f>
        <v>24.80287338709</v>
      </c>
      <c r="O88" s="15" t="n">
        <f aca="false">O87/(sh0+dil)*1000</f>
        <v>19.1125309592889</v>
      </c>
      <c r="P88" s="15" t="n">
        <f aca="false">P87/(sh0+dil)*1000</f>
        <v>16.9344266448887</v>
      </c>
      <c r="Q88" s="15" t="n">
        <f aca="false">Q87/(sh0+dil)*1000</f>
        <v>19.662420398731</v>
      </c>
      <c r="R88" s="15" t="n">
        <f aca="false">R87/(sh0+dil)*1000</f>
        <v>22.5740476535707</v>
      </c>
    </row>
    <row r="90" customFormat="false" ht="17.15" hidden="false" customHeight="false" outlineLevel="0" collapsed="false">
      <c r="A90" s="12" t="s">
        <v>368</v>
      </c>
      <c r="B90" s="6" t="s">
        <v>15</v>
      </c>
      <c r="C90" s="12" t="s">
        <v>322</v>
      </c>
      <c r="D90" s="12" t="s">
        <v>323</v>
      </c>
      <c r="E90" s="12" t="s">
        <v>324</v>
      </c>
      <c r="F90" s="12" t="s">
        <v>325</v>
      </c>
      <c r="G90" s="12" t="s">
        <v>326</v>
      </c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6" t="s">
        <v>327</v>
      </c>
    </row>
    <row r="91" customFormat="false" ht="15" hidden="false" customHeight="false" outlineLevel="0" collapsed="false">
      <c r="A91" s="5" t="s">
        <v>266</v>
      </c>
      <c r="B91" s="0" t="s">
        <v>25</v>
      </c>
      <c r="C91" s="13" t="n">
        <f aca="false">a25_rev</f>
        <v>7.355</v>
      </c>
      <c r="D91" s="13" t="n">
        <f aca="false">SUM(C80:F80)</f>
        <v>20.248</v>
      </c>
      <c r="E91" s="13" t="n">
        <f aca="false">SUM(G80:J80)</f>
        <v>53.5566301386675</v>
      </c>
      <c r="F91" s="13" t="n">
        <f aca="false">SUM(K80:N80)</f>
        <v>42.8311689367748</v>
      </c>
      <c r="G91" s="13" t="n">
        <f aca="false">SUM(O80:R80)</f>
        <v>22.9705482306035</v>
      </c>
    </row>
    <row r="92" customFormat="false" ht="15" hidden="false" customHeight="false" outlineLevel="0" collapsed="false">
      <c r="A92" s="5" t="s">
        <v>363</v>
      </c>
      <c r="B92" s="0" t="s">
        <v>25</v>
      </c>
      <c r="D92" s="13" t="n">
        <f aca="false">SUM(C82:F82)</f>
        <v>5.771301</v>
      </c>
      <c r="E92" s="13" t="n">
        <f aca="false">SUM(G82:J82)</f>
        <v>6.95747073511084</v>
      </c>
      <c r="F92" s="13" t="n">
        <f aca="false">SUM(K82:N82)</f>
        <v>7.36296682473708</v>
      </c>
      <c r="G92" s="13" t="n">
        <f aca="false">SUM(O82:R82)</f>
        <v>7.42025952178279</v>
      </c>
    </row>
    <row r="93" customFormat="false" ht="15" hidden="false" customHeight="false" outlineLevel="0" collapsed="false">
      <c r="A93" s="5" t="s">
        <v>329</v>
      </c>
      <c r="B93" s="0" t="s">
        <v>31</v>
      </c>
      <c r="D93" s="14" t="n">
        <f aca="false">1-D92/D91</f>
        <v>0.714969330304228</v>
      </c>
      <c r="E93" s="14" t="n">
        <f aca="false">1-E92/E91</f>
        <v>0.870091327309117</v>
      </c>
      <c r="F93" s="14" t="n">
        <f aca="false">1-F92/F91</f>
        <v>0.828093255273843</v>
      </c>
      <c r="G93" s="14" t="n">
        <f aca="false">1-G92/G91</f>
        <v>0.676966372448314</v>
      </c>
    </row>
    <row r="94" customFormat="false" ht="15" hidden="false" customHeight="false" outlineLevel="0" collapsed="false">
      <c r="A94" s="5" t="s">
        <v>364</v>
      </c>
      <c r="B94" s="0" t="s">
        <v>25</v>
      </c>
      <c r="D94" s="13" t="n">
        <f aca="false">SUM(C84:F84)</f>
        <v>2.087699</v>
      </c>
      <c r="E94" s="13" t="n">
        <f aca="false">SUM(G84:J84)</f>
        <v>2.56138656592311</v>
      </c>
      <c r="F94" s="13" t="n">
        <f aca="false">SUM(K84:N84)</f>
        <v>2.65671398035783</v>
      </c>
      <c r="G94" s="13" t="n">
        <f aca="false">SUM(O84:R84)</f>
        <v>2.68094800239512</v>
      </c>
    </row>
    <row r="95" customFormat="false" ht="15" hidden="false" customHeight="false" outlineLevel="0" collapsed="false">
      <c r="A95" s="5" t="s">
        <v>330</v>
      </c>
      <c r="B95" s="0" t="s">
        <v>25</v>
      </c>
      <c r="D95" s="13" t="n">
        <f aca="false">SUM(C85:F85)</f>
        <v>12.389</v>
      </c>
      <c r="E95" s="13" t="n">
        <f aca="false">SUM(G85:J85)</f>
        <v>44.0377728376335</v>
      </c>
      <c r="F95" s="13" t="n">
        <f aca="false">SUM(K85:N85)</f>
        <v>32.8114881316799</v>
      </c>
      <c r="G95" s="13" t="n">
        <f aca="false">SUM(O85:R85)</f>
        <v>12.8693407064255</v>
      </c>
    </row>
    <row r="96" customFormat="false" ht="15" hidden="false" customHeight="false" outlineLevel="0" collapsed="false">
      <c r="A96" s="5" t="s">
        <v>331</v>
      </c>
      <c r="B96" s="0" t="s">
        <v>31</v>
      </c>
      <c r="D96" s="14" t="n">
        <f aca="false">D95/D91</f>
        <v>0.61186290003951</v>
      </c>
      <c r="E96" s="14" t="n">
        <f aca="false">E95/E91</f>
        <v>0.822265566814268</v>
      </c>
      <c r="F96" s="14" t="n">
        <f aca="false">F95/F91</f>
        <v>0.766065670075793</v>
      </c>
      <c r="G96" s="14" t="n">
        <f aca="false">G95/G91</f>
        <v>0.560253964216659</v>
      </c>
    </row>
    <row r="97" customFormat="false" ht="15" hidden="false" customHeight="false" outlineLevel="0" collapsed="false">
      <c r="A97" s="5" t="s">
        <v>332</v>
      </c>
      <c r="B97" s="0" t="s">
        <v>25</v>
      </c>
      <c r="C97" s="13" t="n">
        <f aca="false">a25_ni</f>
        <v>-1.641</v>
      </c>
      <c r="D97" s="13" t="n">
        <f aca="false">SUM(C87:F87)</f>
        <v>11.433</v>
      </c>
      <c r="E97" s="13" t="n">
        <f aca="false">SUM(G87:J87)</f>
        <v>37.5940149119885</v>
      </c>
      <c r="F97" s="13" t="n">
        <f aca="false">SUM(K87:N87)</f>
        <v>28.6388634026903</v>
      </c>
      <c r="G97" s="13" t="n">
        <f aca="false">SUM(O87:R87)</f>
        <v>12.1339309767543</v>
      </c>
    </row>
    <row r="98" customFormat="false" ht="15" hidden="false" customHeight="false" outlineLevel="0" collapsed="false">
      <c r="A98" s="5" t="s">
        <v>369</v>
      </c>
      <c r="B98" s="0" t="s">
        <v>25</v>
      </c>
      <c r="D98" s="13" t="n">
        <f aca="false">da_y</f>
        <v>0.16</v>
      </c>
      <c r="E98" s="13" t="n">
        <f aca="false">da_y</f>
        <v>0.16</v>
      </c>
      <c r="F98" s="13" t="n">
        <f aca="false">da_y</f>
        <v>0.16</v>
      </c>
      <c r="G98" s="13" t="n">
        <f aca="false">da_y</f>
        <v>0.16</v>
      </c>
    </row>
    <row r="99" customFormat="false" ht="17.15" hidden="false" customHeight="false" outlineLevel="0" collapsed="false">
      <c r="A99" s="5" t="s">
        <v>370</v>
      </c>
      <c r="B99" s="0" t="s">
        <v>25</v>
      </c>
      <c r="D99" s="13" t="n">
        <v>0.562</v>
      </c>
      <c r="E99" s="13" t="n">
        <f aca="false">cap_r*E91</f>
        <v>3.21339780832005</v>
      </c>
      <c r="F99" s="13" t="n">
        <f aca="false">cap_r*F91</f>
        <v>2.56987013620649</v>
      </c>
      <c r="G99" s="13" t="n">
        <f aca="false">cap_r*G91</f>
        <v>1.37823289383621</v>
      </c>
      <c r="T99" s="8" t="s">
        <v>371</v>
      </c>
    </row>
    <row r="100" customFormat="false" ht="15" hidden="false" customHeight="false" outlineLevel="0" collapsed="false">
      <c r="A100" s="5" t="s">
        <v>372</v>
      </c>
      <c r="B100" s="0" t="s">
        <v>25</v>
      </c>
      <c r="D100" s="13" t="n">
        <f aca="false">D97+D98-D99</f>
        <v>11.031</v>
      </c>
      <c r="E100" s="13" t="n">
        <f aca="false">E97+E98-E99</f>
        <v>34.5406171036684</v>
      </c>
      <c r="F100" s="13" t="n">
        <f aca="false">F97+F98-F99</f>
        <v>26.2289932664838</v>
      </c>
      <c r="G100" s="13" t="n">
        <f aca="false">G97+G98-G99</f>
        <v>10.9156980829181</v>
      </c>
    </row>
    <row r="101" customFormat="false" ht="17.15" hidden="false" customHeight="false" outlineLevel="0" collapsed="false">
      <c r="A101" s="5" t="s">
        <v>373</v>
      </c>
      <c r="B101" s="0" t="s">
        <v>25</v>
      </c>
      <c r="D101" s="13" t="n">
        <v>4.524</v>
      </c>
      <c r="E101" s="13" t="n">
        <f aca="false">MAX(0,payout*E100)</f>
        <v>17.2703085518342</v>
      </c>
      <c r="F101" s="13" t="n">
        <f aca="false">MAX(0,payout*F100)</f>
        <v>13.1144966332419</v>
      </c>
      <c r="G101" s="13" t="n">
        <f aca="false">MAX(0,payout*G100)</f>
        <v>5.45784904145905</v>
      </c>
      <c r="T101" s="8" t="s">
        <v>374</v>
      </c>
    </row>
    <row r="102" customFormat="false" ht="15" hidden="false" customHeight="false" outlineLevel="0" collapsed="false">
      <c r="A102" s="5" t="s">
        <v>375</v>
      </c>
      <c r="B102" s="0" t="s">
        <v>25</v>
      </c>
      <c r="D102" s="13" t="n">
        <f aca="false">eq0</f>
        <v>15.736</v>
      </c>
      <c r="E102" s="13" t="n">
        <f aca="false">D102+E97-E101</f>
        <v>36.0597063601543</v>
      </c>
      <c r="F102" s="13" t="n">
        <f aca="false">E102+F97-F101</f>
        <v>51.5840731296027</v>
      </c>
      <c r="G102" s="13" t="n">
        <f aca="false">F102+G97-G101</f>
        <v>58.2601550648979</v>
      </c>
    </row>
    <row r="103" customFormat="false" ht="15" hidden="false" customHeight="false" outlineLevel="0" collapsed="false">
      <c r="A103" s="5" t="s">
        <v>376</v>
      </c>
      <c r="B103" s="0" t="s">
        <v>25</v>
      </c>
      <c r="D103" s="13" t="n">
        <f aca="false">nc0</f>
        <v>4.762</v>
      </c>
      <c r="E103" s="13" t="n">
        <f aca="false">D103+E100-E101</f>
        <v>22.0323085518342</v>
      </c>
      <c r="F103" s="13" t="n">
        <f aca="false">E103+F100-F101</f>
        <v>35.1468051850761</v>
      </c>
      <c r="G103" s="13" t="n">
        <f aca="false">F103+G100-G101</f>
        <v>40.6046542265352</v>
      </c>
    </row>
    <row r="104" customFormat="false" ht="15" hidden="false" customHeight="false" outlineLevel="0" collapsed="false">
      <c r="A104" s="5" t="s">
        <v>377</v>
      </c>
      <c r="B104" s="5" t="s">
        <v>111</v>
      </c>
      <c r="D104" s="20" t="n">
        <f aca="false">sh0</f>
        <v>146.42</v>
      </c>
      <c r="E104" s="20" t="n">
        <f aca="false">D104-E101/bb_px*1000</f>
        <v>132.470169582454</v>
      </c>
      <c r="F104" s="20" t="n">
        <f aca="false">E104-F101/bb_px*1000</f>
        <v>121.877133361004</v>
      </c>
      <c r="G104" s="20" t="n">
        <f aca="false">F104-G101/bb_px*1000</f>
        <v>117.468638379898</v>
      </c>
    </row>
    <row r="105" customFormat="false" ht="17.15" hidden="false" customHeight="false" outlineLevel="0" collapsed="false">
      <c r="A105" s="0" t="s">
        <v>378</v>
      </c>
      <c r="B105" s="0" t="s">
        <v>38</v>
      </c>
      <c r="C105" s="15" t="n">
        <f aca="false">a25_eps</f>
        <v>-11.32</v>
      </c>
      <c r="D105" s="15" t="n">
        <f aca="false">a26_eps</f>
        <v>73.76</v>
      </c>
      <c r="E105" s="15" t="n">
        <f aca="false">E97/(E104+dil)*1000</f>
        <v>266.529384709545</v>
      </c>
      <c r="F105" s="15" t="n">
        <f aca="false">F97/(F104+dil)*1000</f>
        <v>219.527002202633</v>
      </c>
      <c r="G105" s="15" t="n">
        <f aca="false">G97/(G104+dil)*1000</f>
        <v>96.263879822199</v>
      </c>
    </row>
    <row r="106" customFormat="false" ht="17.15" hidden="false" customHeight="false" outlineLevel="0" collapsed="false">
      <c r="A106" s="5" t="s">
        <v>379</v>
      </c>
      <c r="B106" s="0" t="s">
        <v>38</v>
      </c>
      <c r="D106" s="15" t="n">
        <f aca="false">D102/D104*1000</f>
        <v>107.471656877476</v>
      </c>
      <c r="E106" s="15" t="n">
        <f aca="false">E102/E104*1000</f>
        <v>272.21001130907</v>
      </c>
      <c r="F106" s="15" t="n">
        <f aca="false">F102/F104*1000</f>
        <v>423.246524652077</v>
      </c>
      <c r="G106" s="15" t="n">
        <f aca="false">G102/G104*1000</f>
        <v>495.963483261656</v>
      </c>
    </row>
    <row r="107" customFormat="false" ht="17.15" hidden="false" customHeight="false" outlineLevel="0" collapsed="false">
      <c r="A107" s="0" t="s">
        <v>380</v>
      </c>
      <c r="B107" s="0" t="s">
        <v>31</v>
      </c>
      <c r="D107" s="21" t="n">
        <f aca="false">D97/D102</f>
        <v>0.72655058464667</v>
      </c>
      <c r="E107" s="21" t="n">
        <f aca="false">E97/E102</f>
        <v>1.04254911386438</v>
      </c>
      <c r="F107" s="21" t="n">
        <f aca="false">F97/F102</f>
        <v>0.555188097123242</v>
      </c>
      <c r="G107" s="21" t="n">
        <f aca="false">G97/G102</f>
        <v>0.208271518729017</v>
      </c>
    </row>
    <row r="108" customFormat="false" ht="15" hidden="false" customHeight="false" outlineLevel="0" collapsed="false">
      <c r="A108" s="5" t="s">
        <v>381</v>
      </c>
      <c r="B108" s="0" t="s">
        <v>38</v>
      </c>
      <c r="E108" s="15" t="n">
        <f aca="false">E100/(E104+dil)*1000</f>
        <v>244.881783594574</v>
      </c>
      <c r="F108" s="15" t="n">
        <f aca="false">F100/(F104+dil)*1000</f>
        <v>201.054496528774</v>
      </c>
      <c r="G108" s="15" t="n">
        <f aca="false">G100/(G104+dil)*1000</f>
        <v>86.5990955810192</v>
      </c>
    </row>
    <row r="109" customFormat="false" ht="17.15" hidden="false" customHeight="false" outlineLevel="0" collapsed="false">
      <c r="A109" s="5" t="s">
        <v>382</v>
      </c>
      <c r="B109" s="0" t="s">
        <v>25</v>
      </c>
      <c r="D109" s="18" t="n">
        <f aca="false">ABS(D91-a26_rev)+ABS(D97-a26_ni)</f>
        <v>0</v>
      </c>
    </row>
    <row r="112" customFormat="false" ht="17.15" hidden="false" customHeight="false" outlineLevel="0" collapsed="false">
      <c r="A112" s="3" t="s">
        <v>384</v>
      </c>
    </row>
    <row r="113" customFormat="false" ht="17.15" hidden="false" customHeight="false" outlineLevel="0" collapsed="false">
      <c r="A113" s="12" t="s">
        <v>340</v>
      </c>
      <c r="B113" s="6" t="s">
        <v>15</v>
      </c>
      <c r="C113" s="12" t="s">
        <v>341</v>
      </c>
      <c r="D113" s="12" t="s">
        <v>342</v>
      </c>
      <c r="E113" s="12" t="s">
        <v>343</v>
      </c>
      <c r="F113" s="12" t="s">
        <v>344</v>
      </c>
      <c r="G113" s="12" t="s">
        <v>345</v>
      </c>
      <c r="H113" s="12" t="s">
        <v>346</v>
      </c>
      <c r="I113" s="12" t="s">
        <v>347</v>
      </c>
      <c r="J113" s="12" t="s">
        <v>348</v>
      </c>
      <c r="K113" s="12" t="s">
        <v>349</v>
      </c>
      <c r="L113" s="12" t="s">
        <v>350</v>
      </c>
      <c r="M113" s="12" t="s">
        <v>351</v>
      </c>
      <c r="N113" s="12" t="s">
        <v>352</v>
      </c>
      <c r="O113" s="12" t="s">
        <v>353</v>
      </c>
      <c r="P113" s="12" t="s">
        <v>354</v>
      </c>
      <c r="Q113" s="12" t="s">
        <v>355</v>
      </c>
      <c r="R113" s="12" t="s">
        <v>356</v>
      </c>
      <c r="S113" s="12"/>
      <c r="T113" s="6" t="s">
        <v>327</v>
      </c>
    </row>
    <row r="114" customFormat="false" ht="17.15" hidden="false" customHeight="false" outlineLevel="0" collapsed="false">
      <c r="A114" s="5" t="s">
        <v>357</v>
      </c>
      <c r="B114" s="0" t="s">
        <v>25</v>
      </c>
      <c r="C114" s="13" t="n">
        <f aca="false">Units!E6*1</f>
        <v>2.31</v>
      </c>
      <c r="D114" s="13" t="n">
        <f aca="false">Units!F6*1</f>
        <v>3.03</v>
      </c>
      <c r="E114" s="13" t="n">
        <f aca="false">Units!G6*1</f>
        <v>5.95</v>
      </c>
      <c r="F114" s="13" t="n">
        <f aca="false">Units!H6*1</f>
        <v>8.97</v>
      </c>
      <c r="G114" s="13" t="n">
        <f aca="false">Units!I6*1</f>
        <v>10.5558839933073</v>
      </c>
      <c r="H114" s="13" t="n">
        <f aca="false">Units!J6*1*1</f>
        <v>13.0085478256151</v>
      </c>
      <c r="I114" s="13" t="n">
        <f aca="false">Units!K6*1*1</f>
        <v>14.2775921257905</v>
      </c>
      <c r="J114" s="13" t="n">
        <f aca="false">Units!L6*1*1</f>
        <v>15.3986499374349</v>
      </c>
      <c r="K114" s="13" t="n">
        <f aca="false">Units!M6*1*1</f>
        <v>14.653880945662</v>
      </c>
      <c r="L114" s="13" t="n">
        <f aca="false">Units!N6*1*1</f>
        <v>12.3956740878578</v>
      </c>
      <c r="M114" s="13" t="n">
        <f aca="false">Units!O6*1*1</f>
        <v>7.29482926973798</v>
      </c>
      <c r="N114" s="13" t="n">
        <f aca="false">Units!P6*1*1</f>
        <v>4.75312963912733</v>
      </c>
      <c r="O114" s="13" t="n">
        <f aca="false">Units!Q6*1*1</f>
        <v>3.57348607396044</v>
      </c>
      <c r="P114" s="13" t="n">
        <f aca="false">Units!R6*1*1</f>
        <v>2.86571668276147</v>
      </c>
      <c r="Q114" s="13" t="n">
        <f aca="false">Units!S6*1*1</f>
        <v>3.04469115475764</v>
      </c>
      <c r="R114" s="13" t="n">
        <f aca="false">Units!T6*1*1</f>
        <v>3.31317412872458</v>
      </c>
      <c r="T114" s="8" t="s">
        <v>358</v>
      </c>
    </row>
    <row r="115" customFormat="false" ht="15" hidden="false" customHeight="false" outlineLevel="0" collapsed="false">
      <c r="A115" s="5" t="s">
        <v>359</v>
      </c>
      <c r="B115" s="0" t="s">
        <v>308</v>
      </c>
      <c r="C115" s="13" t="n">
        <f aca="false">Units!E9*1</f>
        <v>31.1552804325753</v>
      </c>
      <c r="D115" s="13" t="n">
        <f aca="false">Units!F9*1</f>
        <v>33.5147228924475</v>
      </c>
      <c r="E115" s="13" t="n">
        <f aca="false">Units!G9*1</f>
        <v>38.0693331650007</v>
      </c>
      <c r="F115" s="13" t="n">
        <f aca="false">Units!H9*1</f>
        <v>33.6172154529341</v>
      </c>
      <c r="G115" s="13" t="n">
        <f aca="false">Units!I9*1</f>
        <v>34.4006036061451</v>
      </c>
      <c r="H115" s="13" t="n">
        <f aca="false">Units!J9*1</f>
        <v>36.079657444519</v>
      </c>
      <c r="I115" s="13" t="n">
        <f aca="false">Units!K9*1</f>
        <v>37.7137102052779</v>
      </c>
      <c r="J115" s="13" t="n">
        <f aca="false">Units!L9*1</f>
        <v>39.877393408786</v>
      </c>
      <c r="K115" s="13" t="n">
        <f aca="false">Units!M9*1</f>
        <v>42.1652098513645</v>
      </c>
      <c r="L115" s="13" t="n">
        <f aca="false">Units!N9*1</f>
        <v>44.5842812137738</v>
      </c>
      <c r="M115" s="13" t="n">
        <f aca="false">Units!O9*1</f>
        <v>40.3657843439542</v>
      </c>
      <c r="N115" s="13" t="n">
        <f aca="false">Units!P9*1</f>
        <v>40.4636044513173</v>
      </c>
      <c r="O115" s="13" t="n">
        <f aca="false">Units!Q9*1</f>
        <v>40.5616616102716</v>
      </c>
      <c r="P115" s="13" t="n">
        <f aca="false">Units!R9*1</f>
        <v>40.6599563952741</v>
      </c>
      <c r="Q115" s="13" t="n">
        <f aca="false">Units!S9*1</f>
        <v>43.1993191560824</v>
      </c>
      <c r="R115" s="13" t="n">
        <f aca="false">Units!T9*1</f>
        <v>44.7701571691272</v>
      </c>
    </row>
    <row r="116" customFormat="false" ht="17.15" hidden="false" customHeight="false" outlineLevel="0" collapsed="false">
      <c r="A116" s="5" t="s">
        <v>266</v>
      </c>
      <c r="B116" s="0" t="s">
        <v>25</v>
      </c>
      <c r="C116" s="13" t="n">
        <f aca="false">q1_rev</f>
        <v>2.308</v>
      </c>
      <c r="D116" s="13" t="n">
        <f aca="false">q2_rev</f>
        <v>3.025</v>
      </c>
      <c r="E116" s="13" t="n">
        <f aca="false">q3_rev</f>
        <v>5.95</v>
      </c>
      <c r="F116" s="13" t="n">
        <f aca="false">q4_rev</f>
        <v>8.965</v>
      </c>
      <c r="G116" s="13" t="n">
        <f aca="false">G114*sd_k</f>
        <v>10.549631742176</v>
      </c>
      <c r="H116" s="13" t="n">
        <f aca="false">H114*sd_k</f>
        <v>13.0008428614538</v>
      </c>
      <c r="I116" s="13" t="n">
        <f aca="false">I114*sd_k</f>
        <v>14.269135506565</v>
      </c>
      <c r="J116" s="13" t="n">
        <f aca="false">J114*sd_k</f>
        <v>15.3895293155569</v>
      </c>
      <c r="K116" s="13" t="n">
        <f aca="false">K114*sd_k</f>
        <v>14.6452014505313</v>
      </c>
      <c r="L116" s="13" t="n">
        <f aca="false">L114*sd_k</f>
        <v>12.3883321288719</v>
      </c>
      <c r="M116" s="13" t="n">
        <f aca="false">M114*sd_k</f>
        <v>7.29050854164139</v>
      </c>
      <c r="N116" s="13" t="n">
        <f aca="false">N114*sd_k</f>
        <v>4.75031435997286</v>
      </c>
      <c r="O116" s="13" t="n">
        <f aca="false">O114*sd_k</f>
        <v>3.57136949780607</v>
      </c>
      <c r="P116" s="13" t="n">
        <f aca="false">P114*sd_k</f>
        <v>2.86401931848738</v>
      </c>
      <c r="Q116" s="13" t="n">
        <f aca="false">Q114*sd_k</f>
        <v>3.04288778388612</v>
      </c>
      <c r="R116" s="13" t="n">
        <f aca="false">R114*sd_k</f>
        <v>3.31121173536107</v>
      </c>
      <c r="T116" s="5" t="s">
        <v>360</v>
      </c>
    </row>
    <row r="117" customFormat="false" ht="17.15" hidden="false" customHeight="false" outlineLevel="0" collapsed="false">
      <c r="A117" s="5" t="s">
        <v>361</v>
      </c>
      <c r="B117" s="0" t="s">
        <v>362</v>
      </c>
      <c r="C117" s="19" t="n">
        <f aca="false">C118/C115</f>
        <v>0.0520045391183812</v>
      </c>
      <c r="D117" s="19" t="n">
        <f aca="false">D118/D115</f>
        <v>0.0443170902760084</v>
      </c>
      <c r="E117" s="19" t="n">
        <f aca="false">E118/E115</f>
        <v>0.0337594565796481</v>
      </c>
      <c r="F117" s="19" t="n">
        <f aca="false">F118/F115</f>
        <v>0.0410685412637144</v>
      </c>
      <c r="G117" s="19" t="n">
        <f aca="false">(1-g_gm)*G116/G115</f>
        <v>0.0490671936479231</v>
      </c>
      <c r="H117" s="19" t="n">
        <f aca="false">$G117*(1-cd_C)^(1/4)</f>
        <v>0.0477916304396526</v>
      </c>
      <c r="I117" s="19" t="n">
        <f aca="false">$G117*(1-cd_C)^(2/4)</f>
        <v>0.0465492270959949</v>
      </c>
      <c r="J117" s="19" t="n">
        <f aca="false">$G117*(1-cd_C)^(3/4)</f>
        <v>0.045339121584701</v>
      </c>
      <c r="K117" s="19" t="n">
        <f aca="false">$G117*(1-cd_C)^(4/4)</f>
        <v>0.0441604742831308</v>
      </c>
      <c r="L117" s="19" t="n">
        <f aca="false">$G117*(1-cd_C)^(5/4)</f>
        <v>0.0430124673956874</v>
      </c>
      <c r="M117" s="19" t="n">
        <f aca="false">$G117*(1-cd_C)^(6/4)</f>
        <v>0.0418943043863954</v>
      </c>
      <c r="N117" s="19" t="n">
        <f aca="false">$G117*(1-cd_C)^(7/4)</f>
        <v>0.0408052094262309</v>
      </c>
      <c r="O117" s="19" t="n">
        <f aca="false">$G117*(1-cd_C)^(8/4)</f>
        <v>0.0397444268548177</v>
      </c>
      <c r="P117" s="19" t="n">
        <f aca="false">$G117*(1-cd_C)^(9/4)</f>
        <v>0.0387112206561186</v>
      </c>
      <c r="Q117" s="19" t="n">
        <f aca="false">$G117*(1-cd_C)^(10/4)</f>
        <v>0.0377048739477559</v>
      </c>
      <c r="R117" s="19" t="n">
        <f aca="false">$G117*(1-cd_C)^(11/4)</f>
        <v>0.0367246884836078</v>
      </c>
    </row>
    <row r="118" customFormat="false" ht="15" hidden="false" customHeight="false" outlineLevel="0" collapsed="false">
      <c r="A118" s="5" t="s">
        <v>363</v>
      </c>
      <c r="B118" s="0" t="s">
        <v>25</v>
      </c>
      <c r="C118" s="13" t="n">
        <f aca="false">q1_rev*(1-q1_gm)</f>
        <v>1.620216</v>
      </c>
      <c r="D118" s="13" t="n">
        <f aca="false">q2_rev*(1-q2_gm)</f>
        <v>1.485275</v>
      </c>
      <c r="E118" s="13" t="n">
        <f aca="false">q3_rev*(1-q3_gm)</f>
        <v>1.2852</v>
      </c>
      <c r="F118" s="13" t="n">
        <f aca="false">q4_rev*(1-q4_gm)</f>
        <v>1.38061</v>
      </c>
      <c r="G118" s="13" t="n">
        <f aca="false">G115*G117</f>
        <v>1.68794107874816</v>
      </c>
      <c r="H118" s="13" t="n">
        <f aca="false">H115*H117</f>
        <v>1.72430565497771</v>
      </c>
      <c r="I118" s="13" t="n">
        <f aca="false">I115*I117</f>
        <v>1.75554406097802</v>
      </c>
      <c r="J118" s="13" t="n">
        <f aca="false">J115*J117</f>
        <v>1.8080059882419</v>
      </c>
      <c r="K118" s="13" t="n">
        <f aca="false">K115*K117</f>
        <v>1.862035665284</v>
      </c>
      <c r="L118" s="13" t="n">
        <f aca="false">L115*L117</f>
        <v>1.9176799420676</v>
      </c>
      <c r="M118" s="13" t="n">
        <f aca="false">M115*M117</f>
        <v>1.69109645610121</v>
      </c>
      <c r="N118" s="13" t="n">
        <f aca="false">N115*N117</f>
        <v>1.65112585377617</v>
      </c>
      <c r="O118" s="13" t="n">
        <f aca="false">O115*O117</f>
        <v>1.61209999297931</v>
      </c>
      <c r="P118" s="13" t="n">
        <f aca="false">P115*P117</f>
        <v>1.57399654388562</v>
      </c>
      <c r="Q118" s="13" t="n">
        <f aca="false">Q115*Q117</f>
        <v>1.62882488340896</v>
      </c>
      <c r="R118" s="13" t="n">
        <f aca="false">R115*R117</f>
        <v>1.64417007539836</v>
      </c>
    </row>
    <row r="119" customFormat="false" ht="15" hidden="false" customHeight="false" outlineLevel="0" collapsed="false">
      <c r="A119" s="5" t="s">
        <v>329</v>
      </c>
      <c r="B119" s="0" t="s">
        <v>31</v>
      </c>
      <c r="C119" s="14" t="n">
        <f aca="false">1-C118/C116</f>
        <v>0.298</v>
      </c>
      <c r="D119" s="14" t="n">
        <f aca="false">1-D118/D116</f>
        <v>0.509</v>
      </c>
      <c r="E119" s="14" t="n">
        <f aca="false">1-E118/E116</f>
        <v>0.784</v>
      </c>
      <c r="F119" s="14" t="n">
        <f aca="false">1-F118/F116</f>
        <v>0.846</v>
      </c>
      <c r="G119" s="14" t="n">
        <f aca="false">1-G118/G116</f>
        <v>0.84</v>
      </c>
      <c r="H119" s="14" t="n">
        <f aca="false">1-H118/H116</f>
        <v>0.867369702614428</v>
      </c>
      <c r="I119" s="14" t="n">
        <f aca="false">1-I118/I116</f>
        <v>0.876969136625668</v>
      </c>
      <c r="J119" s="14" t="n">
        <f aca="false">1-J118/J116</f>
        <v>0.882517135438688</v>
      </c>
      <c r="K119" s="14" t="n">
        <f aca="false">1-K118/K116</f>
        <v>0.872856944196118</v>
      </c>
      <c r="L119" s="14" t="n">
        <f aca="false">1-L118/L116</f>
        <v>0.845202734143823</v>
      </c>
      <c r="M119" s="14" t="n">
        <f aca="false">1-M118/M116</f>
        <v>0.768041358645679</v>
      </c>
      <c r="N119" s="14" t="n">
        <f aca="false">1-N118/N116</f>
        <v>0.652417560469492</v>
      </c>
      <c r="O119" s="14" t="n">
        <f aca="false">1-O118/O116</f>
        <v>0.54860453560752</v>
      </c>
      <c r="P119" s="14" t="n">
        <f aca="false">1-P118/P116</f>
        <v>0.450423908202924</v>
      </c>
      <c r="Q119" s="14" t="n">
        <f aca="false">1-Q118/Q116</f>
        <v>0.464710827643875</v>
      </c>
      <c r="R119" s="14" t="n">
        <f aca="false">1-R118/R116</f>
        <v>0.503453657813559</v>
      </c>
    </row>
    <row r="120" customFormat="false" ht="17.15" hidden="false" customHeight="false" outlineLevel="0" collapsed="false">
      <c r="A120" s="5" t="s">
        <v>364</v>
      </c>
      <c r="B120" s="0" t="s">
        <v>25</v>
      </c>
      <c r="C120" s="13" t="n">
        <f aca="false">q1_rev-q1_rev*(1-q1_gm)-q1_op</f>
        <v>0.511784</v>
      </c>
      <c r="D120" s="13" t="n">
        <f aca="false">q2_rev-q2_rev*(1-q2_gm)-q2_op</f>
        <v>0.474725</v>
      </c>
      <c r="E120" s="13" t="n">
        <f aca="false">q3_rev-q3_rev*(1-q3_gm)-q3_op</f>
        <v>0.553800000000001</v>
      </c>
      <c r="F120" s="13" t="n">
        <f aca="false">q4_rev-q4_rev*(1-q4_gm)-q4_op</f>
        <v>0.54739</v>
      </c>
      <c r="G120" s="13" t="n">
        <f aca="false">(g_ox-ox_var*g_rev)*(1+ox_g)^(0/4)+ox_var*G116</f>
        <v>0.59399631742176</v>
      </c>
      <c r="H120" s="13" t="n">
        <f aca="false">(g_ox-ox_var*g_rev)*(1+ox_g)^(1/4)+ox_var*H116</f>
        <v>0.63028796573229</v>
      </c>
      <c r="I120" s="13" t="n">
        <f aca="false">(g_ox-ox_var*g_rev)*(1+ox_g)^(2/4)+ox_var*I116</f>
        <v>0.655034477396769</v>
      </c>
      <c r="J120" s="13" t="n">
        <f aca="false">(g_ox-ox_var*g_rev)*(1+ox_g)^(3/4)+ox_var*J116</f>
        <v>0.678592898243134</v>
      </c>
      <c r="K120" s="13" t="n">
        <f aca="false">(g_ox-ox_var*g_rev)*(1+ox_g)^(4/4)+ox_var*K116</f>
        <v>0.683802014505313</v>
      </c>
      <c r="L120" s="13" t="n">
        <f aca="false">(g_ox-ox_var*g_rev)*(1+ox_g)^(5/4)+ox_var*L116</f>
        <v>0.674190812118246</v>
      </c>
      <c r="M120" s="13" t="n">
        <f aca="false">(g_ox-ox_var*g_rev)*(1+ox_g)^(6/4)+ox_var*M116</f>
        <v>0.636482519980645</v>
      </c>
      <c r="N120" s="13" t="n">
        <f aca="false">(g_ox-ox_var*g_rev)*(1+ox_g)^(7/4)+ox_var*N116</f>
        <v>0.624670509196051</v>
      </c>
      <c r="O120" s="13" t="n">
        <f aca="false">(g_ox-ox_var*g_rev)*(1+ox_g)^(8/4)+ox_var*O116</f>
        <v>0.626798694978061</v>
      </c>
      <c r="P120" s="13" t="n">
        <f aca="false">(g_ox-ox_var*g_rev)*(1+ox_g)^(9/4)+ox_var*P116</f>
        <v>0.633978433097353</v>
      </c>
      <c r="Q120" s="13" t="n">
        <f aca="false">(g_ox-ox_var*g_rev)*(1+ox_g)^(10/4)+ox_var*Q116</f>
        <v>0.650364055859515</v>
      </c>
      <c r="R120" s="13" t="n">
        <f aca="false">(g_ox-ox_var*g_rev)*(1+ox_g)^(11/4)+ox_var*R116</f>
        <v>0.667996219509565</v>
      </c>
      <c r="T120" s="5" t="s">
        <v>365</v>
      </c>
    </row>
    <row r="121" customFormat="false" ht="15" hidden="false" customHeight="false" outlineLevel="0" collapsed="false">
      <c r="A121" s="5" t="s">
        <v>330</v>
      </c>
      <c r="B121" s="0" t="s">
        <v>25</v>
      </c>
      <c r="C121" s="13" t="n">
        <f aca="false">C116-C118-C120</f>
        <v>0.176</v>
      </c>
      <c r="D121" s="13" t="n">
        <f aca="false">D116-D118-D120</f>
        <v>1.065</v>
      </c>
      <c r="E121" s="13" t="n">
        <f aca="false">E116-E118-E120</f>
        <v>4.111</v>
      </c>
      <c r="F121" s="13" t="n">
        <f aca="false">F116-F118-F120</f>
        <v>7.037</v>
      </c>
      <c r="G121" s="13" t="n">
        <f aca="false">G116-G118-G120</f>
        <v>8.2676943460061</v>
      </c>
      <c r="H121" s="13" t="n">
        <f aca="false">H116-H118-H120</f>
        <v>10.6462492407438</v>
      </c>
      <c r="I121" s="13" t="n">
        <f aca="false">I116-I118-I120</f>
        <v>11.8585569681902</v>
      </c>
      <c r="J121" s="13" t="n">
        <f aca="false">J116-J118-J120</f>
        <v>12.9029304290718</v>
      </c>
      <c r="K121" s="13" t="n">
        <f aca="false">K116-K118-K120</f>
        <v>12.099363770742</v>
      </c>
      <c r="L121" s="13" t="n">
        <f aca="false">L116-L118-L120</f>
        <v>9.79646137468606</v>
      </c>
      <c r="M121" s="13" t="n">
        <f aca="false">M116-M118-M120</f>
        <v>4.96292956555954</v>
      </c>
      <c r="N121" s="13" t="n">
        <f aca="false">N116-N118-N120</f>
        <v>2.47451799700064</v>
      </c>
      <c r="O121" s="13" t="n">
        <f aca="false">O116-O118-O120</f>
        <v>1.3324708098487</v>
      </c>
      <c r="P121" s="13" t="n">
        <f aca="false">P116-P118-P120</f>
        <v>0.656044341504406</v>
      </c>
      <c r="Q121" s="13" t="n">
        <f aca="false">Q116-Q118-Q120</f>
        <v>0.763698844617637</v>
      </c>
      <c r="R121" s="13" t="n">
        <f aca="false">R116-R118-R120</f>
        <v>0.999045440453149</v>
      </c>
    </row>
    <row r="123" customFormat="false" ht="17.15" hidden="false" customHeight="false" outlineLevel="0" collapsed="false">
      <c r="A123" s="5" t="s">
        <v>332</v>
      </c>
      <c r="B123" s="0" t="s">
        <v>25</v>
      </c>
      <c r="C123" s="13" t="n">
        <f aca="false">q1_ni</f>
        <v>0.112</v>
      </c>
      <c r="D123" s="13" t="n">
        <f aca="false">q2_ni</f>
        <v>0.803</v>
      </c>
      <c r="E123" s="13" t="n">
        <f aca="false">q3_ni</f>
        <v>3.615</v>
      </c>
      <c r="F123" s="13" t="n">
        <f aca="false">q4_ni</f>
        <v>6.903</v>
      </c>
      <c r="G123" s="13" t="n">
        <f aca="false">(G121+rf*$D139/4)*(1-tax)</f>
        <v>7.06801719410518</v>
      </c>
      <c r="H123" s="13" t="n">
        <f aca="false">(H121+rf*$D139/4)*(1-tax)</f>
        <v>9.08978885463225</v>
      </c>
      <c r="I123" s="13" t="n">
        <f aca="false">(I121+rf*$D139/4)*(1-tax)</f>
        <v>10.1202504229616</v>
      </c>
      <c r="J123" s="13" t="n">
        <f aca="false">(J121+rf*$D139/4)*(1-tax)</f>
        <v>11.007967864711</v>
      </c>
      <c r="K123" s="13" t="n">
        <f aca="false">(K121+rf*$E139/4)*(1-tax)</f>
        <v>10.4705134780069</v>
      </c>
      <c r="L123" s="13" t="n">
        <f aca="false">(L121+rf*$E139/4)*(1-tax)</f>
        <v>8.51304644135932</v>
      </c>
      <c r="M123" s="13" t="n">
        <f aca="false">(M121+rf*$E139/4)*(1-tax)</f>
        <v>4.40454440360178</v>
      </c>
      <c r="N123" s="13" t="n">
        <f aca="false">(N121+rf*$E139/4)*(1-tax)</f>
        <v>2.28939457032672</v>
      </c>
      <c r="O123" s="13" t="n">
        <f aca="false">(O121+rf*$F139/4)*(1-tax)</f>
        <v>1.41849987064142</v>
      </c>
      <c r="P123" s="13" t="n">
        <f aca="false">(P121+rf*$F139/4)*(1-tax)</f>
        <v>0.843537372548764</v>
      </c>
      <c r="Q123" s="13" t="n">
        <f aca="false">(Q121+rf*$F139/4)*(1-tax)</f>
        <v>0.935043700195011</v>
      </c>
      <c r="R123" s="13" t="n">
        <f aca="false">(R121+rf*$F139/4)*(1-tax)</f>
        <v>1.1350883066552</v>
      </c>
      <c r="T123" s="5" t="s">
        <v>366</v>
      </c>
    </row>
    <row r="124" customFormat="false" ht="17.15" hidden="false" customHeight="false" outlineLevel="0" collapsed="false">
      <c r="A124" s="5" t="s">
        <v>367</v>
      </c>
      <c r="B124" s="0" t="s">
        <v>38</v>
      </c>
      <c r="G124" s="15" t="n">
        <f aca="false">G123/(sh0+dil)*1000</f>
        <v>45.6001109297109</v>
      </c>
      <c r="H124" s="15" t="n">
        <f aca="false">H123/(sh0+dil)*1000</f>
        <v>58.6437990621436</v>
      </c>
      <c r="I124" s="15" t="n">
        <f aca="false">I123/(sh0+dil)*1000</f>
        <v>65.2919382126558</v>
      </c>
      <c r="J124" s="15" t="n">
        <f aca="false">J123/(sh0+dil)*1000</f>
        <v>71.0191475142648</v>
      </c>
      <c r="K124" s="15" t="n">
        <f aca="false">K123/(sh0+dil)*1000</f>
        <v>67.5516998581089</v>
      </c>
      <c r="L124" s="15" t="n">
        <f aca="false">L123/(sh0+dil)*1000</f>
        <v>54.9228802668344</v>
      </c>
      <c r="M124" s="15" t="n">
        <f aca="false">M123/(sh0+dil)*1000</f>
        <v>28.4164155071083</v>
      </c>
      <c r="N124" s="15" t="n">
        <f aca="false">N123/(sh0+dil)*1000</f>
        <v>14.770287550495</v>
      </c>
      <c r="O124" s="15" t="n">
        <f aca="false">O123/(sh0+dil)*1000</f>
        <v>9.1516120686543</v>
      </c>
      <c r="P124" s="15" t="n">
        <f aca="false">P123/(sh0+dil)*1000</f>
        <v>5.4421765970888</v>
      </c>
      <c r="Q124" s="15" t="n">
        <f aca="false">Q123/(sh0+dil)*1000</f>
        <v>6.03254000125813</v>
      </c>
      <c r="R124" s="15" t="n">
        <f aca="false">R123/(sh0+dil)*1000</f>
        <v>7.32315036551739</v>
      </c>
    </row>
    <row r="126" customFormat="false" ht="17.15" hidden="false" customHeight="false" outlineLevel="0" collapsed="false">
      <c r="A126" s="12" t="s">
        <v>368</v>
      </c>
      <c r="B126" s="6" t="s">
        <v>15</v>
      </c>
      <c r="C126" s="12" t="s">
        <v>322</v>
      </c>
      <c r="D126" s="12" t="s">
        <v>323</v>
      </c>
      <c r="E126" s="12" t="s">
        <v>324</v>
      </c>
      <c r="F126" s="12" t="s">
        <v>325</v>
      </c>
      <c r="G126" s="12" t="s">
        <v>326</v>
      </c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6" t="s">
        <v>327</v>
      </c>
    </row>
    <row r="127" customFormat="false" ht="15" hidden="false" customHeight="false" outlineLevel="0" collapsed="false">
      <c r="A127" s="5" t="s">
        <v>266</v>
      </c>
      <c r="B127" s="0" t="s">
        <v>25</v>
      </c>
      <c r="C127" s="13" t="n">
        <f aca="false">a25_rev</f>
        <v>7.355</v>
      </c>
      <c r="D127" s="13" t="n">
        <f aca="false">SUM(C116:F116)</f>
        <v>20.248</v>
      </c>
      <c r="E127" s="13" t="n">
        <f aca="false">SUM(G116:J116)</f>
        <v>53.2091394257517</v>
      </c>
      <c r="F127" s="13" t="n">
        <f aca="false">SUM(K116:N116)</f>
        <v>39.0743564810175</v>
      </c>
      <c r="G127" s="13" t="n">
        <f aca="false">SUM(O116:R116)</f>
        <v>12.7894883355406</v>
      </c>
    </row>
    <row r="128" customFormat="false" ht="15" hidden="false" customHeight="false" outlineLevel="0" collapsed="false">
      <c r="A128" s="5" t="s">
        <v>363</v>
      </c>
      <c r="B128" s="0" t="s">
        <v>25</v>
      </c>
      <c r="D128" s="13" t="n">
        <f aca="false">SUM(C118:F118)</f>
        <v>5.771301</v>
      </c>
      <c r="E128" s="13" t="n">
        <f aca="false">SUM(G118:J118)</f>
        <v>6.9757967829458</v>
      </c>
      <c r="F128" s="13" t="n">
        <f aca="false">SUM(K118:N118)</f>
        <v>7.12193791722898</v>
      </c>
      <c r="G128" s="13" t="n">
        <f aca="false">SUM(O118:R118)</f>
        <v>6.45909149567225</v>
      </c>
    </row>
    <row r="129" customFormat="false" ht="15" hidden="false" customHeight="false" outlineLevel="0" collapsed="false">
      <c r="A129" s="5" t="s">
        <v>329</v>
      </c>
      <c r="B129" s="0" t="s">
        <v>31</v>
      </c>
      <c r="D129" s="14" t="n">
        <f aca="false">1-D128/D127</f>
        <v>0.714969330304228</v>
      </c>
      <c r="E129" s="14" t="n">
        <f aca="false">1-E128/E127</f>
        <v>0.86889852273067</v>
      </c>
      <c r="F129" s="14" t="n">
        <f aca="false">1-F128/F127</f>
        <v>0.817733711860646</v>
      </c>
      <c r="G129" s="14" t="n">
        <f aca="false">1-G128/G127</f>
        <v>0.494968733211702</v>
      </c>
    </row>
    <row r="130" customFormat="false" ht="15" hidden="false" customHeight="false" outlineLevel="0" collapsed="false">
      <c r="A130" s="5" t="s">
        <v>364</v>
      </c>
      <c r="B130" s="0" t="s">
        <v>25</v>
      </c>
      <c r="D130" s="13" t="n">
        <f aca="false">SUM(C120:F120)</f>
        <v>2.087699</v>
      </c>
      <c r="E130" s="13" t="n">
        <f aca="false">SUM(G120:J120)</f>
        <v>2.55791165879395</v>
      </c>
      <c r="F130" s="13" t="n">
        <f aca="false">SUM(K120:N120)</f>
        <v>2.61914585580025</v>
      </c>
      <c r="G130" s="13" t="n">
        <f aca="false">SUM(O120:R120)</f>
        <v>2.57913740344449</v>
      </c>
    </row>
    <row r="131" customFormat="false" ht="15" hidden="false" customHeight="false" outlineLevel="0" collapsed="false">
      <c r="A131" s="5" t="s">
        <v>330</v>
      </c>
      <c r="B131" s="0" t="s">
        <v>25</v>
      </c>
      <c r="D131" s="13" t="n">
        <f aca="false">SUM(C121:F121)</f>
        <v>12.389</v>
      </c>
      <c r="E131" s="13" t="n">
        <f aca="false">SUM(G121:J121)</f>
        <v>43.6754309840119</v>
      </c>
      <c r="F131" s="13" t="n">
        <f aca="false">SUM(K121:N121)</f>
        <v>29.3332727079882</v>
      </c>
      <c r="G131" s="13" t="n">
        <f aca="false">SUM(O121:R121)</f>
        <v>3.75125943642389</v>
      </c>
    </row>
    <row r="132" customFormat="false" ht="15" hidden="false" customHeight="false" outlineLevel="0" collapsed="false">
      <c r="A132" s="5" t="s">
        <v>331</v>
      </c>
      <c r="B132" s="0" t="s">
        <v>31</v>
      </c>
      <c r="D132" s="14" t="n">
        <f aca="false">D131/D127</f>
        <v>0.61186290003951</v>
      </c>
      <c r="E132" s="14" t="n">
        <f aca="false">E131/E127</f>
        <v>0.820825735115616</v>
      </c>
      <c r="F132" s="14" t="n">
        <f aca="false">F131/F127</f>
        <v>0.750703923230022</v>
      </c>
      <c r="G132" s="14" t="n">
        <f aca="false">G131/G127</f>
        <v>0.293308014989117</v>
      </c>
    </row>
    <row r="133" customFormat="false" ht="15" hidden="false" customHeight="false" outlineLevel="0" collapsed="false">
      <c r="A133" s="5" t="s">
        <v>332</v>
      </c>
      <c r="B133" s="0" t="s">
        <v>25</v>
      </c>
      <c r="C133" s="13" t="n">
        <f aca="false">a25_ni</f>
        <v>-1.641</v>
      </c>
      <c r="D133" s="13" t="n">
        <f aca="false">SUM(C123:F123)</f>
        <v>11.433</v>
      </c>
      <c r="E133" s="13" t="n">
        <f aca="false">SUM(G123:J123)</f>
        <v>37.2860243364101</v>
      </c>
      <c r="F133" s="13" t="n">
        <f aca="false">SUM(K123:N123)</f>
        <v>25.6774988932947</v>
      </c>
      <c r="G133" s="13" t="n">
        <f aca="false">SUM(O123:R123)</f>
        <v>4.33216925004039</v>
      </c>
    </row>
    <row r="134" customFormat="false" ht="15" hidden="false" customHeight="false" outlineLevel="0" collapsed="false">
      <c r="A134" s="5" t="s">
        <v>369</v>
      </c>
      <c r="B134" s="0" t="s">
        <v>25</v>
      </c>
      <c r="D134" s="13" t="n">
        <f aca="false">da_y</f>
        <v>0.16</v>
      </c>
      <c r="E134" s="13" t="n">
        <f aca="false">da_y</f>
        <v>0.16</v>
      </c>
      <c r="F134" s="13" t="n">
        <f aca="false">da_y</f>
        <v>0.16</v>
      </c>
      <c r="G134" s="13" t="n">
        <f aca="false">da_y</f>
        <v>0.16</v>
      </c>
    </row>
    <row r="135" customFormat="false" ht="17.15" hidden="false" customHeight="false" outlineLevel="0" collapsed="false">
      <c r="A135" s="5" t="s">
        <v>370</v>
      </c>
      <c r="B135" s="0" t="s">
        <v>25</v>
      </c>
      <c r="D135" s="13" t="n">
        <v>0.562</v>
      </c>
      <c r="E135" s="13" t="n">
        <f aca="false">cap_r*E127</f>
        <v>3.1925483655451</v>
      </c>
      <c r="F135" s="13" t="n">
        <f aca="false">cap_r*F127</f>
        <v>2.34446138886105</v>
      </c>
      <c r="G135" s="13" t="n">
        <f aca="false">cap_r*G127</f>
        <v>0.767369300132438</v>
      </c>
      <c r="T135" s="8" t="s">
        <v>371</v>
      </c>
    </row>
    <row r="136" customFormat="false" ht="15" hidden="false" customHeight="false" outlineLevel="0" collapsed="false">
      <c r="A136" s="5" t="s">
        <v>372</v>
      </c>
      <c r="B136" s="0" t="s">
        <v>25</v>
      </c>
      <c r="D136" s="13" t="n">
        <f aca="false">D133+D134-D135</f>
        <v>11.031</v>
      </c>
      <c r="E136" s="13" t="n">
        <f aca="false">E133+E134-E135</f>
        <v>34.253475970865</v>
      </c>
      <c r="F136" s="13" t="n">
        <f aca="false">F133+F134-F135</f>
        <v>23.4930375044336</v>
      </c>
      <c r="G136" s="13" t="n">
        <f aca="false">G133+G134-G135</f>
        <v>3.72479994990795</v>
      </c>
    </row>
    <row r="137" customFormat="false" ht="17.15" hidden="false" customHeight="false" outlineLevel="0" collapsed="false">
      <c r="A137" s="5" t="s">
        <v>373</v>
      </c>
      <c r="B137" s="0" t="s">
        <v>25</v>
      </c>
      <c r="D137" s="13" t="n">
        <v>4.524</v>
      </c>
      <c r="E137" s="13" t="n">
        <f aca="false">MAX(0,payout*E136)</f>
        <v>17.1267379854325</v>
      </c>
      <c r="F137" s="13" t="n">
        <f aca="false">MAX(0,payout*F136)</f>
        <v>11.7465187522168</v>
      </c>
      <c r="G137" s="13" t="n">
        <f aca="false">MAX(0,payout*G136)</f>
        <v>1.86239997495397</v>
      </c>
      <c r="T137" s="8" t="s">
        <v>374</v>
      </c>
    </row>
    <row r="138" customFormat="false" ht="15" hidden="false" customHeight="false" outlineLevel="0" collapsed="false">
      <c r="A138" s="5" t="s">
        <v>375</v>
      </c>
      <c r="B138" s="0" t="s">
        <v>25</v>
      </c>
      <c r="D138" s="13" t="n">
        <f aca="false">eq0</f>
        <v>15.736</v>
      </c>
      <c r="E138" s="13" t="n">
        <f aca="false">D138+E133-E137</f>
        <v>35.8952863509776</v>
      </c>
      <c r="F138" s="13" t="n">
        <f aca="false">E138+F133-F137</f>
        <v>49.8262664920555</v>
      </c>
      <c r="G138" s="13" t="n">
        <f aca="false">F138+G133-G137</f>
        <v>52.2960357671419</v>
      </c>
    </row>
    <row r="139" customFormat="false" ht="15" hidden="false" customHeight="false" outlineLevel="0" collapsed="false">
      <c r="A139" s="5" t="s">
        <v>376</v>
      </c>
      <c r="B139" s="0" t="s">
        <v>25</v>
      </c>
      <c r="D139" s="13" t="n">
        <f aca="false">nc0</f>
        <v>4.762</v>
      </c>
      <c r="E139" s="13" t="n">
        <f aca="false">D139+E136-E137</f>
        <v>21.8887379854325</v>
      </c>
      <c r="F139" s="13" t="n">
        <f aca="false">E139+F136-F137</f>
        <v>33.6352567376493</v>
      </c>
      <c r="G139" s="13" t="n">
        <f aca="false">F139+G136-G137</f>
        <v>35.4976567126033</v>
      </c>
    </row>
    <row r="140" customFormat="false" ht="15" hidden="false" customHeight="false" outlineLevel="0" collapsed="false">
      <c r="A140" s="5" t="s">
        <v>377</v>
      </c>
      <c r="B140" s="5" t="s">
        <v>111</v>
      </c>
      <c r="D140" s="20" t="n">
        <f aca="false">sh0</f>
        <v>146.42</v>
      </c>
      <c r="E140" s="20" t="n">
        <f aca="false">D140-E137/bb_px*1000</f>
        <v>132.586136535114</v>
      </c>
      <c r="F140" s="20" t="n">
        <f aca="false">E140-F137/bb_px*1000</f>
        <v>123.098063748335</v>
      </c>
      <c r="G140" s="20" t="n">
        <f aca="false">F140-G137/bb_px*1000</f>
        <v>121.593738348341</v>
      </c>
    </row>
    <row r="141" customFormat="false" ht="17.15" hidden="false" customHeight="false" outlineLevel="0" collapsed="false">
      <c r="A141" s="0" t="s">
        <v>378</v>
      </c>
      <c r="B141" s="0" t="s">
        <v>38</v>
      </c>
      <c r="C141" s="15" t="n">
        <f aca="false">a25_eps</f>
        <v>-11.32</v>
      </c>
      <c r="D141" s="15" t="n">
        <f aca="false">a26_eps</f>
        <v>73.76</v>
      </c>
      <c r="E141" s="15" t="n">
        <f aca="false">E133/(E140+dil)*1000</f>
        <v>264.128673147724</v>
      </c>
      <c r="F141" s="15" t="n">
        <f aca="false">F133/(F140+dil)*1000</f>
        <v>195.002099532463</v>
      </c>
      <c r="G141" s="15" t="n">
        <f aca="false">G133/(G140+dil)*1000</f>
        <v>33.2799019603142</v>
      </c>
    </row>
    <row r="142" customFormat="false" ht="17.15" hidden="false" customHeight="false" outlineLevel="0" collapsed="false">
      <c r="A142" s="5" t="s">
        <v>379</v>
      </c>
      <c r="B142" s="0" t="s">
        <v>38</v>
      </c>
      <c r="D142" s="15" t="n">
        <f aca="false">D138/D140*1000</f>
        <v>107.471656877476</v>
      </c>
      <c r="E142" s="15" t="n">
        <f aca="false">E138/E140*1000</f>
        <v>270.731822263115</v>
      </c>
      <c r="F142" s="15" t="n">
        <f aca="false">F138/F140*1000</f>
        <v>404.768888923564</v>
      </c>
      <c r="G142" s="15" t="n">
        <f aca="false">G138/G140*1000</f>
        <v>430.088230508421</v>
      </c>
    </row>
    <row r="143" customFormat="false" ht="17.15" hidden="false" customHeight="false" outlineLevel="0" collapsed="false">
      <c r="A143" s="0" t="s">
        <v>380</v>
      </c>
      <c r="B143" s="0" t="s">
        <v>31</v>
      </c>
      <c r="D143" s="21" t="n">
        <f aca="false">D133/D138</f>
        <v>0.72655058464667</v>
      </c>
      <c r="E143" s="21" t="n">
        <f aca="false">E133/E138</f>
        <v>1.03874430675477</v>
      </c>
      <c r="F143" s="21" t="n">
        <f aca="false">F133/F138</f>
        <v>0.515340616527807</v>
      </c>
      <c r="G143" s="21" t="n">
        <f aca="false">G133/G138</f>
        <v>0.0828393431068121</v>
      </c>
    </row>
    <row r="144" customFormat="false" ht="15" hidden="false" customHeight="false" outlineLevel="0" collapsed="false">
      <c r="A144" s="5" t="s">
        <v>381</v>
      </c>
      <c r="B144" s="0" t="s">
        <v>38</v>
      </c>
      <c r="E144" s="15" t="n">
        <f aca="false">E136/(E140+dil)*1000</f>
        <v>242.646549743498</v>
      </c>
      <c r="F144" s="15" t="n">
        <f aca="false">F136/(F140+dil)*1000</f>
        <v>178.412689522333</v>
      </c>
      <c r="G144" s="15" t="n">
        <f aca="false">G136/(G140+dil)*1000</f>
        <v>28.614066071764</v>
      </c>
    </row>
    <row r="145" customFormat="false" ht="17.15" hidden="false" customHeight="false" outlineLevel="0" collapsed="false">
      <c r="A145" s="5" t="s">
        <v>382</v>
      </c>
      <c r="B145" s="0" t="s">
        <v>25</v>
      </c>
      <c r="D145" s="18" t="n">
        <f aca="false">ABS(D127-a26_rev)+ABS(D133-a26_ni)</f>
        <v>0</v>
      </c>
    </row>
    <row r="148" customFormat="false" ht="17.15" hidden="false" customHeight="false" outlineLevel="0" collapsed="false">
      <c r="A148" s="3" t="s">
        <v>385</v>
      </c>
    </row>
    <row r="149" customFormat="false" ht="17.15" hidden="false" customHeight="false" outlineLevel="0" collapsed="false">
      <c r="A149" s="5" t="s">
        <v>386</v>
      </c>
    </row>
    <row r="150" customFormat="false" ht="17.15" hidden="false" customHeight="false" outlineLevel="0" collapsed="false">
      <c r="A150" s="6" t="s">
        <v>387</v>
      </c>
      <c r="B150" s="6" t="s">
        <v>15</v>
      </c>
      <c r="C150" s="12" t="s">
        <v>323</v>
      </c>
      <c r="D150" s="12" t="s">
        <v>324</v>
      </c>
      <c r="E150" s="12" t="s">
        <v>325</v>
      </c>
      <c r="F150" s="12" t="s">
        <v>326</v>
      </c>
      <c r="G150" s="12" t="s">
        <v>388</v>
      </c>
      <c r="H150" s="12" t="s">
        <v>389</v>
      </c>
      <c r="I150" s="12" t="s">
        <v>390</v>
      </c>
      <c r="J150" s="6" t="s">
        <v>327</v>
      </c>
    </row>
    <row r="151" customFormat="false" ht="17.15" hidden="false" customHeight="false" outlineLevel="0" collapsed="false">
      <c r="A151" s="3" t="s">
        <v>328</v>
      </c>
    </row>
    <row r="152" customFormat="false" ht="17.15" hidden="false" customHeight="false" outlineLevel="0" collapsed="false">
      <c r="A152" s="5" t="s">
        <v>266</v>
      </c>
      <c r="B152" s="0" t="s">
        <v>25</v>
      </c>
      <c r="C152" s="15" t="n">
        <f aca="false">D5</f>
        <v>20.248</v>
      </c>
      <c r="D152" s="15" t="n">
        <f aca="false">E5</f>
        <v>53.0230121585251</v>
      </c>
      <c r="E152" s="15" t="n">
        <f aca="false">F5</f>
        <v>60.3042586550984</v>
      </c>
      <c r="F152" s="15" t="n">
        <f aca="false">G5</f>
        <v>61.4039840062216</v>
      </c>
      <c r="G152" s="22" t="n">
        <f aca="false">F152*(1+G153)</f>
        <v>63.3785838534408</v>
      </c>
      <c r="H152" s="22" t="n">
        <f aca="false">G152*(1+H153)</f>
        <v>66.2989904097488</v>
      </c>
      <c r="I152" s="22" t="n">
        <f aca="false">H152*(1+I153)</f>
        <v>70.2769298343337</v>
      </c>
      <c r="J152" s="8" t="s">
        <v>391</v>
      </c>
    </row>
    <row r="153" customFormat="false" ht="15" hidden="false" customHeight="false" outlineLevel="0" collapsed="false">
      <c r="A153" s="5" t="s">
        <v>392</v>
      </c>
      <c r="B153" s="0" t="s">
        <v>31</v>
      </c>
      <c r="D153" s="14" t="n">
        <f aca="false">D152/C152-1</f>
        <v>1.61867898846924</v>
      </c>
      <c r="E153" s="14" t="n">
        <f aca="false">E152/D152-1</f>
        <v>0.13732238513354</v>
      </c>
      <c r="F153" s="14" t="n">
        <f aca="false">F152/E152-1</f>
        <v>0.0182362800845102</v>
      </c>
      <c r="G153" s="23" t="n">
        <f aca="false">$F153+(fade_gA-$F153)*1/3</f>
        <v>0.0321575200563401</v>
      </c>
      <c r="H153" s="23" t="n">
        <f aca="false">$F153+(fade_gA-$F153)*2/3</f>
        <v>0.0460787600281701</v>
      </c>
      <c r="I153" s="23" t="n">
        <f aca="false">$F153+(fade_gA-$F153)*3/3</f>
        <v>0.06</v>
      </c>
    </row>
    <row r="154" customFormat="false" ht="17.15" hidden="false" customHeight="false" outlineLevel="0" collapsed="false">
      <c r="A154" s="5" t="s">
        <v>393</v>
      </c>
      <c r="B154" s="0" t="s">
        <v>31</v>
      </c>
      <c r="C154" s="14" t="n">
        <f aca="false">C155/C152</f>
        <v>0.564648360331885</v>
      </c>
      <c r="D154" s="14" t="n">
        <f aca="false">D155/D152</f>
        <v>0.700866088110642</v>
      </c>
      <c r="E154" s="14" t="n">
        <f aca="false">E155/E152</f>
        <v>0.716887674086291</v>
      </c>
      <c r="F154" s="14" t="n">
        <f aca="false">F155/F152</f>
        <v>0.720427176174029</v>
      </c>
      <c r="G154" s="23" t="n">
        <f aca="false">$F154+(fade_mA-$F154)*1/3</f>
        <v>0.538936238590238</v>
      </c>
      <c r="H154" s="23" t="n">
        <f aca="false">$F154+(fade_mA-$F154)*2/3</f>
        <v>0.357445301006446</v>
      </c>
      <c r="I154" s="23" t="n">
        <f aca="false">$F154+(fade_mA-$F154)*3/3</f>
        <v>0.175954363422654</v>
      </c>
    </row>
    <row r="155" customFormat="false" ht="15" hidden="false" customHeight="false" outlineLevel="0" collapsed="false">
      <c r="A155" s="5" t="s">
        <v>394</v>
      </c>
      <c r="B155" s="0" t="s">
        <v>25</v>
      </c>
      <c r="C155" s="15" t="n">
        <f aca="false">D9</f>
        <v>11.433</v>
      </c>
      <c r="D155" s="15" t="n">
        <f aca="false">E9</f>
        <v>37.1620311113885</v>
      </c>
      <c r="E155" s="15" t="n">
        <f aca="false">F9</f>
        <v>43.2313797247516</v>
      </c>
      <c r="F155" s="15" t="n">
        <f aca="false">G9</f>
        <v>44.2370988034375</v>
      </c>
      <c r="G155" s="22" t="n">
        <f aca="false">G152*G154</f>
        <v>34.1570155891494</v>
      </c>
      <c r="H155" s="22" t="n">
        <f aca="false">H152*H154</f>
        <v>23.6982625834361</v>
      </c>
      <c r="I155" s="22" t="n">
        <f aca="false">I152*I154</f>
        <v>12.3655324522987</v>
      </c>
    </row>
    <row r="156" customFormat="false" ht="17.15" hidden="false" customHeight="false" outlineLevel="0" collapsed="false">
      <c r="A156" s="0" t="s">
        <v>395</v>
      </c>
      <c r="B156" s="0" t="s">
        <v>38</v>
      </c>
      <c r="C156" s="15" t="n">
        <f aca="false">D10</f>
        <v>73.76</v>
      </c>
      <c r="D156" s="15" t="n">
        <f aca="false">E10</f>
        <v>263.1653771698</v>
      </c>
      <c r="E156" s="15" t="n">
        <f aca="false">F10</f>
        <v>345.440285865471</v>
      </c>
      <c r="F156" s="15" t="n">
        <f aca="false">G10</f>
        <v>406.942436087428</v>
      </c>
      <c r="G156" s="22" t="n">
        <f aca="false">$F156*G155/$F155</f>
        <v>314.214528287388</v>
      </c>
      <c r="H156" s="22" t="n">
        <f aca="false">$F156*H155/$F155</f>
        <v>218.003191158495</v>
      </c>
      <c r="I156" s="22" t="n">
        <f aca="false">$F156*I155/$F155</f>
        <v>113.752032474281</v>
      </c>
    </row>
    <row r="158" customFormat="false" ht="17.15" hidden="false" customHeight="false" outlineLevel="0" collapsed="false">
      <c r="A158" s="3" t="s">
        <v>336</v>
      </c>
    </row>
    <row r="159" customFormat="false" ht="17.15" hidden="false" customHeight="false" outlineLevel="0" collapsed="false">
      <c r="A159" s="5" t="s">
        <v>266</v>
      </c>
      <c r="B159" s="0" t="s">
        <v>25</v>
      </c>
      <c r="C159" s="15" t="n">
        <f aca="false">D15</f>
        <v>20.248</v>
      </c>
      <c r="D159" s="15" t="n">
        <f aca="false">E15</f>
        <v>53.5566301386675</v>
      </c>
      <c r="E159" s="15" t="n">
        <f aca="false">F15</f>
        <v>42.8311689367748</v>
      </c>
      <c r="F159" s="15" t="n">
        <f aca="false">G15</f>
        <v>22.9705482306035</v>
      </c>
      <c r="G159" s="22" t="n">
        <f aca="false">F159*(1+G160)</f>
        <v>16.1759288288852</v>
      </c>
      <c r="H159" s="22" t="n">
        <f aca="false">G159*(1+H160)</f>
        <v>14.107051743893</v>
      </c>
      <c r="I159" s="22" t="n">
        <f aca="false">H159*(1+I160)</f>
        <v>14.6713338136487</v>
      </c>
      <c r="J159" s="8" t="s">
        <v>391</v>
      </c>
    </row>
    <row r="160" customFormat="false" ht="15" hidden="false" customHeight="false" outlineLevel="0" collapsed="false">
      <c r="A160" s="5" t="s">
        <v>392</v>
      </c>
      <c r="B160" s="0" t="s">
        <v>31</v>
      </c>
      <c r="D160" s="14" t="n">
        <f aca="false">D159/C159-1</f>
        <v>1.64503309653632</v>
      </c>
      <c r="E160" s="14" t="n">
        <f aca="false">E159/D159-1</f>
        <v>-0.200263929491504</v>
      </c>
      <c r="F160" s="14" t="n">
        <f aca="false">F159/E159-1</f>
        <v>-0.463695509582953</v>
      </c>
      <c r="G160" s="23" t="n">
        <f aca="false">$F160+(fade_gB-$F160)*1/3</f>
        <v>-0.295797006388636</v>
      </c>
      <c r="H160" s="23" t="n">
        <f aca="false">$F160+(fade_gB-$F160)*2/3</f>
        <v>-0.127898503194318</v>
      </c>
      <c r="I160" s="23" t="n">
        <f aca="false">$F160+(fade_gB-$F160)*3/3</f>
        <v>0.04</v>
      </c>
    </row>
    <row r="161" customFormat="false" ht="17.15" hidden="false" customHeight="false" outlineLevel="0" collapsed="false">
      <c r="A161" s="5" t="s">
        <v>393</v>
      </c>
      <c r="B161" s="0" t="s">
        <v>31</v>
      </c>
      <c r="C161" s="14" t="n">
        <f aca="false">C162/C159</f>
        <v>0.564648360331885</v>
      </c>
      <c r="D161" s="14" t="n">
        <f aca="false">D162/D159</f>
        <v>0.701948849557021</v>
      </c>
      <c r="E161" s="14" t="n">
        <f aca="false">E162/E159</f>
        <v>0.66864538404183</v>
      </c>
      <c r="F161" s="14" t="n">
        <f aca="false">F162/F159</f>
        <v>0.528238632136275</v>
      </c>
      <c r="G161" s="23" t="n">
        <f aca="false">$F161+(fade_mB-$F161)*1/3</f>
        <v>0.401035300152698</v>
      </c>
      <c r="H161" s="23" t="n">
        <f aca="false">$F161+(fade_mB-$F161)*2/3</f>
        <v>0.273831968169122</v>
      </c>
      <c r="I161" s="23" t="n">
        <f aca="false">$F161+(fade_mB-$F161)*3/3</f>
        <v>0.146628636185545</v>
      </c>
    </row>
    <row r="162" customFormat="false" ht="15" hidden="false" customHeight="false" outlineLevel="0" collapsed="false">
      <c r="A162" s="5" t="s">
        <v>394</v>
      </c>
      <c r="B162" s="0" t="s">
        <v>25</v>
      </c>
      <c r="C162" s="15" t="n">
        <f aca="false">D19</f>
        <v>11.433</v>
      </c>
      <c r="D162" s="15" t="n">
        <f aca="false">E19</f>
        <v>37.5940149119885</v>
      </c>
      <c r="E162" s="15" t="n">
        <f aca="false">F19</f>
        <v>28.6388634026903</v>
      </c>
      <c r="F162" s="15" t="n">
        <f aca="false">G19</f>
        <v>12.1339309767543</v>
      </c>
      <c r="G162" s="22" t="n">
        <f aca="false">G159*G161</f>
        <v>6.48711847314065</v>
      </c>
      <c r="H162" s="22" t="n">
        <f aca="false">H159*H161</f>
        <v>3.86296174409385</v>
      </c>
      <c r="I162" s="22" t="n">
        <f aca="false">I159*I161</f>
        <v>2.15123766811818</v>
      </c>
    </row>
    <row r="163" customFormat="false" ht="17.15" hidden="false" customHeight="false" outlineLevel="0" collapsed="false">
      <c r="A163" s="0" t="s">
        <v>395</v>
      </c>
      <c r="B163" s="0" t="s">
        <v>38</v>
      </c>
      <c r="C163" s="15" t="n">
        <f aca="false">D20</f>
        <v>73.76</v>
      </c>
      <c r="D163" s="15" t="n">
        <f aca="false">E20</f>
        <v>266.529384709545</v>
      </c>
      <c r="E163" s="15" t="n">
        <f aca="false">F20</f>
        <v>219.527002202633</v>
      </c>
      <c r="F163" s="15" t="n">
        <f aca="false">G20</f>
        <v>96.263879822199</v>
      </c>
      <c r="G163" s="22" t="n">
        <f aca="false">$F163*G162/$F162</f>
        <v>51.4652007075962</v>
      </c>
      <c r="H163" s="22" t="n">
        <f aca="false">$F163*H162/$F162</f>
        <v>30.6465963753712</v>
      </c>
      <c r="I163" s="22" t="n">
        <f aca="false">$F163*I162/$F162</f>
        <v>17.0667267474526</v>
      </c>
    </row>
    <row r="165" customFormat="false" ht="17.15" hidden="false" customHeight="false" outlineLevel="0" collapsed="false">
      <c r="A165" s="3" t="s">
        <v>337</v>
      </c>
    </row>
    <row r="166" customFormat="false" ht="17.15" hidden="false" customHeight="false" outlineLevel="0" collapsed="false">
      <c r="A166" s="5" t="s">
        <v>266</v>
      </c>
      <c r="B166" s="0" t="s">
        <v>25</v>
      </c>
      <c r="C166" s="15" t="n">
        <f aca="false">D25</f>
        <v>20.248</v>
      </c>
      <c r="D166" s="15" t="n">
        <f aca="false">E25</f>
        <v>53.2091394257517</v>
      </c>
      <c r="E166" s="15" t="n">
        <f aca="false">F25</f>
        <v>39.0743564810175</v>
      </c>
      <c r="F166" s="15" t="n">
        <f aca="false">G25</f>
        <v>12.7894883355406</v>
      </c>
      <c r="G166" s="22" t="n">
        <f aca="false">F166*(1+G167)</f>
        <v>7.13919090079623</v>
      </c>
      <c r="H166" s="22" t="n">
        <f aca="false">G166*(1+H167)</f>
        <v>5.63356303486828</v>
      </c>
      <c r="I166" s="22" t="n">
        <f aca="false">H166*(1+I167)</f>
        <v>5.74623429556564</v>
      </c>
      <c r="J166" s="8" t="s">
        <v>391</v>
      </c>
    </row>
    <row r="167" customFormat="false" ht="15" hidden="false" customHeight="false" outlineLevel="0" collapsed="false">
      <c r="A167" s="5" t="s">
        <v>392</v>
      </c>
      <c r="B167" s="0" t="s">
        <v>31</v>
      </c>
      <c r="D167" s="14" t="n">
        <f aca="false">D166/C166-1</f>
        <v>1.62787136634491</v>
      </c>
      <c r="E167" s="14" t="n">
        <f aca="false">E166/D166-1</f>
        <v>-0.265645772460913</v>
      </c>
      <c r="F167" s="14" t="n">
        <f aca="false">F166/E166-1</f>
        <v>-0.672688446148721</v>
      </c>
      <c r="G167" s="23" t="n">
        <f aca="false">$F167+(fade_gC-$F167)*1/3</f>
        <v>-0.44179229743248</v>
      </c>
      <c r="H167" s="23" t="n">
        <f aca="false">$F167+(fade_gC-$F167)*2/3</f>
        <v>-0.21089614871624</v>
      </c>
      <c r="I167" s="23" t="n">
        <f aca="false">$F167+(fade_gC-$F167)*3/3</f>
        <v>0.02</v>
      </c>
    </row>
    <row r="168" customFormat="false" ht="17.15" hidden="false" customHeight="false" outlineLevel="0" collapsed="false">
      <c r="A168" s="5" t="s">
        <v>393</v>
      </c>
      <c r="B168" s="0" t="s">
        <v>31</v>
      </c>
      <c r="C168" s="14" t="n">
        <f aca="false">C169/C166</f>
        <v>0.564648360331885</v>
      </c>
      <c r="D168" s="14" t="n">
        <f aca="false">D169/D166</f>
        <v>0.700744735562567</v>
      </c>
      <c r="E168" s="14" t="n">
        <f aca="false">E169/E166</f>
        <v>0.657144511279897</v>
      </c>
      <c r="F168" s="14" t="n">
        <f aca="false">F169/F166</f>
        <v>0.338728894884852</v>
      </c>
      <c r="G168" s="23" t="n">
        <f aca="false">$F168+(fade_mC-$F168)*1/3</f>
        <v>0.264920232906047</v>
      </c>
      <c r="H168" s="23" t="n">
        <f aca="false">$F168+(fade_mC-$F168)*2/3</f>
        <v>0.191111570927241</v>
      </c>
      <c r="I168" s="23" t="n">
        <f aca="false">$F168+(fade_mC-$F168)*3/3</f>
        <v>0.117302908948436</v>
      </c>
    </row>
    <row r="169" customFormat="false" ht="15" hidden="false" customHeight="false" outlineLevel="0" collapsed="false">
      <c r="A169" s="5" t="s">
        <v>394</v>
      </c>
      <c r="B169" s="0" t="s">
        <v>25</v>
      </c>
      <c r="C169" s="15" t="n">
        <f aca="false">D29</f>
        <v>11.433</v>
      </c>
      <c r="D169" s="15" t="n">
        <f aca="false">E29</f>
        <v>37.2860243364101</v>
      </c>
      <c r="E169" s="15" t="n">
        <f aca="false">F29</f>
        <v>25.6774988932947</v>
      </c>
      <c r="F169" s="15" t="n">
        <f aca="false">G29</f>
        <v>4.33216925004039</v>
      </c>
      <c r="G169" s="22" t="n">
        <f aca="false">G166*G168</f>
        <v>1.89131611619967</v>
      </c>
      <c r="H169" s="22" t="n">
        <f aca="false">H166*H168</f>
        <v>1.07663908151131</v>
      </c>
      <c r="I169" s="22" t="n">
        <f aca="false">I166*I168</f>
        <v>0.674049998369117</v>
      </c>
    </row>
    <row r="170" customFormat="false" ht="17.15" hidden="false" customHeight="false" outlineLevel="0" collapsed="false">
      <c r="A170" s="0" t="s">
        <v>395</v>
      </c>
      <c r="B170" s="0" t="s">
        <v>38</v>
      </c>
      <c r="C170" s="15" t="n">
        <f aca="false">D30</f>
        <v>73.76</v>
      </c>
      <c r="D170" s="15" t="n">
        <f aca="false">E30</f>
        <v>264.128673147724</v>
      </c>
      <c r="E170" s="15" t="n">
        <f aca="false">F30</f>
        <v>195.002099532463</v>
      </c>
      <c r="F170" s="15" t="n">
        <f aca="false">G30</f>
        <v>33.2799019603142</v>
      </c>
      <c r="G170" s="22" t="n">
        <f aca="false">$F170*G169/$F169</f>
        <v>14.5291680195783</v>
      </c>
      <c r="H170" s="22" t="n">
        <f aca="false">$F170*H169/$F169</f>
        <v>8.27078560677316</v>
      </c>
      <c r="I170" s="22" t="n">
        <f aca="false">$F170*I169/$F169</f>
        <v>5.17807974881523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4" min="2" style="0" width="15"/>
    <col collapsed="false" customWidth="true" hidden="false" outlineLevel="0" max="5" min="5" style="0" width="70"/>
    <col collapsed="false" customWidth="true" hidden="false" outlineLevel="0" max="8" min="6" style="0" width="15"/>
  </cols>
  <sheetData>
    <row r="1" customFormat="false" ht="17.15" hidden="false" customHeight="false" outlineLevel="0" collapsed="false">
      <c r="A1" s="0" t="s">
        <v>396</v>
      </c>
    </row>
    <row r="2" customFormat="false" ht="17.15" hidden="false" customHeight="false" outlineLevel="0" collapsed="false">
      <c r="A2" s="0" t="s">
        <v>397</v>
      </c>
    </row>
    <row r="4" customFormat="false" ht="17.15" hidden="false" customHeight="false" outlineLevel="0" collapsed="false">
      <c r="A4" s="1" t="s">
        <v>398</v>
      </c>
    </row>
    <row r="5" customFormat="false" ht="17.15" hidden="false" customHeight="false" outlineLevel="0" collapsed="false">
      <c r="A5" s="1" t="s">
        <v>399</v>
      </c>
    </row>
    <row r="6" customFormat="false" ht="17.15" hidden="false" customHeight="false" outlineLevel="0" collapsed="false">
      <c r="A6" s="6" t="s">
        <v>14</v>
      </c>
      <c r="B6" s="12" t="s">
        <v>400</v>
      </c>
      <c r="C6" s="12" t="s">
        <v>401</v>
      </c>
      <c r="D6" s="12" t="s">
        <v>402</v>
      </c>
      <c r="E6" s="6" t="s">
        <v>327</v>
      </c>
    </row>
    <row r="7" customFormat="false" ht="17.15" hidden="false" customHeight="false" outlineLevel="0" collapsed="false">
      <c r="A7" s="5" t="s">
        <v>403</v>
      </c>
      <c r="E7" s="0" t="s">
        <v>404</v>
      </c>
    </row>
    <row r="8" customFormat="false" ht="15" hidden="false" customHeight="false" outlineLevel="0" collapsed="false">
      <c r="A8" s="0" t="s">
        <v>405</v>
      </c>
      <c r="B8" s="15" t="n">
        <f aca="false">PL!D156</f>
        <v>263.1653771698</v>
      </c>
      <c r="C8" s="15" t="n">
        <f aca="false">PL!D163</f>
        <v>266.529384709545</v>
      </c>
      <c r="D8" s="15" t="n">
        <f aca="false">PL!D170</f>
        <v>264.128673147724</v>
      </c>
    </row>
    <row r="9" customFormat="false" ht="15" hidden="false" customHeight="false" outlineLevel="0" collapsed="false">
      <c r="A9" s="0" t="s">
        <v>406</v>
      </c>
      <c r="B9" s="15" t="n">
        <f aca="false">PL!E156</f>
        <v>345.440285865471</v>
      </c>
      <c r="C9" s="15" t="n">
        <f aca="false">PL!E163</f>
        <v>219.527002202633</v>
      </c>
      <c r="D9" s="15" t="n">
        <f aca="false">PL!E170</f>
        <v>195.002099532463</v>
      </c>
    </row>
    <row r="10" customFormat="false" ht="15" hidden="false" customHeight="false" outlineLevel="0" collapsed="false">
      <c r="A10" s="0" t="s">
        <v>407</v>
      </c>
      <c r="B10" s="15" t="n">
        <f aca="false">PL!F156</f>
        <v>406.942436087428</v>
      </c>
      <c r="C10" s="15" t="n">
        <f aca="false">PL!F163</f>
        <v>96.263879822199</v>
      </c>
      <c r="D10" s="15" t="n">
        <f aca="false">PL!F170</f>
        <v>33.2799019603142</v>
      </c>
    </row>
    <row r="11" customFormat="false" ht="15" hidden="false" customHeight="false" outlineLevel="0" collapsed="false">
      <c r="A11" s="0" t="s">
        <v>408</v>
      </c>
      <c r="B11" s="15" t="n">
        <f aca="false">PL!G156</f>
        <v>314.214528287388</v>
      </c>
      <c r="C11" s="15" t="n">
        <f aca="false">PL!G163</f>
        <v>51.4652007075962</v>
      </c>
      <c r="D11" s="15" t="n">
        <f aca="false">PL!G170</f>
        <v>14.5291680195783</v>
      </c>
    </row>
    <row r="12" customFormat="false" ht="15" hidden="false" customHeight="false" outlineLevel="0" collapsed="false">
      <c r="A12" s="0" t="s">
        <v>409</v>
      </c>
      <c r="B12" s="15" t="n">
        <f aca="false">PL!H156</f>
        <v>218.003191158495</v>
      </c>
      <c r="C12" s="15" t="n">
        <f aca="false">PL!H163</f>
        <v>30.6465963753712</v>
      </c>
      <c r="D12" s="15" t="n">
        <f aca="false">PL!H170</f>
        <v>8.27078560677316</v>
      </c>
    </row>
    <row r="13" customFormat="false" ht="15" hidden="false" customHeight="false" outlineLevel="0" collapsed="false">
      <c r="A13" s="0" t="s">
        <v>410</v>
      </c>
      <c r="B13" s="15" t="n">
        <f aca="false">PL!I156</f>
        <v>113.752032474281</v>
      </c>
      <c r="C13" s="15" t="n">
        <f aca="false">PL!I163</f>
        <v>17.0667267474526</v>
      </c>
      <c r="D13" s="15" t="n">
        <f aca="false">PL!I170</f>
        <v>5.17807974881523</v>
      </c>
    </row>
    <row r="14" customFormat="false" ht="17.15" hidden="false" customHeight="false" outlineLevel="0" collapsed="false">
      <c r="A14" s="5" t="s">
        <v>411</v>
      </c>
      <c r="E14" s="5" t="s">
        <v>412</v>
      </c>
    </row>
    <row r="15" customFormat="false" ht="17.15" hidden="false" customHeight="false" outlineLevel="0" collapsed="false">
      <c r="A15" s="5" t="s">
        <v>413</v>
      </c>
      <c r="B15" s="14" t="n">
        <f aca="false">MIN(tp_g/tp_roe,0.8)</f>
        <v>0.145854800512805</v>
      </c>
      <c r="E15" s="8" t="s">
        <v>414</v>
      </c>
    </row>
    <row r="16" customFormat="false" ht="17.15" hidden="false" customHeight="false" outlineLevel="0" collapsed="false">
      <c r="A16" s="0" t="s">
        <v>415</v>
      </c>
      <c r="B16" s="15" t="n">
        <f aca="false">PL!E72</f>
        <v>241.769270028288</v>
      </c>
      <c r="C16" s="15" t="n">
        <f aca="false">PL!E108</f>
        <v>244.881783594574</v>
      </c>
      <c r="D16" s="15" t="n">
        <f aca="false">PL!E144</f>
        <v>242.646549743498</v>
      </c>
    </row>
    <row r="17" customFormat="false" ht="17.15" hidden="false" customHeight="false" outlineLevel="0" collapsed="false">
      <c r="A17" s="0" t="s">
        <v>416</v>
      </c>
      <c r="B17" s="15" t="n">
        <f aca="false">PL!F72</f>
        <v>317.807099444153</v>
      </c>
      <c r="C17" s="15" t="n">
        <f aca="false">PL!F108</f>
        <v>201.054496528774</v>
      </c>
      <c r="D17" s="15" t="n">
        <f aca="false">PL!F144</f>
        <v>178.412689522333</v>
      </c>
    </row>
    <row r="18" customFormat="false" ht="17.15" hidden="false" customHeight="false" outlineLevel="0" collapsed="false">
      <c r="A18" s="0" t="s">
        <v>417</v>
      </c>
      <c r="B18" s="15" t="n">
        <f aca="false">PL!G72</f>
        <v>374.522533805488</v>
      </c>
      <c r="C18" s="15" t="n">
        <f aca="false">PL!G108</f>
        <v>86.5990955810192</v>
      </c>
      <c r="D18" s="15" t="n">
        <f aca="false">PL!G144</f>
        <v>28.614066071764</v>
      </c>
    </row>
    <row r="19" customFormat="false" ht="17.15" hidden="false" customHeight="false" outlineLevel="0" collapsed="false">
      <c r="A19" s="0" t="s">
        <v>418</v>
      </c>
      <c r="B19" s="15" t="n">
        <f aca="false">B11*(1-$B$15)</f>
        <v>268.384830945806</v>
      </c>
      <c r="C19" s="15" t="n">
        <f aca="false">C11*(1-$B$15)</f>
        <v>43.9587541250383</v>
      </c>
      <c r="D19" s="15" t="n">
        <f aca="false">D11*(1-$B$15)</f>
        <v>12.4100191164657</v>
      </c>
    </row>
    <row r="20" customFormat="false" ht="17.15" hidden="false" customHeight="false" outlineLevel="0" collapsed="false">
      <c r="A20" s="0" t="s">
        <v>419</v>
      </c>
      <c r="B20" s="15" t="n">
        <f aca="false">B12*(1-$B$15)</f>
        <v>186.206379200918</v>
      </c>
      <c r="C20" s="15" t="n">
        <f aca="false">C12*(1-$B$15)</f>
        <v>26.176643174645</v>
      </c>
      <c r="D20" s="15" t="n">
        <f aca="false">D12*(1-$B$15)</f>
        <v>7.06445182201308</v>
      </c>
    </row>
    <row r="21" customFormat="false" ht="17.15" hidden="false" customHeight="false" outlineLevel="0" collapsed="false">
      <c r="A21" s="0" t="s">
        <v>420</v>
      </c>
      <c r="B21" s="15" t="n">
        <f aca="false">B13*(1-$B$15)</f>
        <v>97.1607524698184</v>
      </c>
      <c r="C21" s="15" t="n">
        <f aca="false">C13*(1-$B$15)</f>
        <v>14.5774627222963</v>
      </c>
      <c r="D21" s="15" t="n">
        <f aca="false">D13*(1-$B$15)</f>
        <v>4.42283196001239</v>
      </c>
    </row>
    <row r="22" customFormat="false" ht="17.15" hidden="false" customHeight="false" outlineLevel="0" collapsed="false">
      <c r="A22" s="0" t="s">
        <v>421</v>
      </c>
      <c r="B22" s="24" t="n">
        <f aca="false">MAX(0,SUMPRODUCT(B16:B21,1/(1+tp_r)^{1;2;3;4;5;6})+B21*(1+tp_g)/(tp_r-tp_g)/(1+tp_r)^6)</f>
        <v>2068.24140877828</v>
      </c>
      <c r="C22" s="24" t="n">
        <f aca="false">MAX(0,SUMPRODUCT(C16:C21,1/(1+tp_r)^{1;2;3;4;5;6})+C21*(1+tp_g)/(tp_r-tp_g)/(1+tp_r)^6)</f>
        <v>650.979406923338</v>
      </c>
      <c r="D22" s="24" t="n">
        <f aca="false">MAX(0,SUMPRODUCT(D16:D21,1/(1+tp_r)^{1;2;3;4;5;6})+D21*(1+tp_g)/(tp_r-tp_g)/(1+tp_r)^6)</f>
        <v>448.167637599796</v>
      </c>
      <c r="E22" s="8" t="s">
        <v>422</v>
      </c>
    </row>
    <row r="23" customFormat="false" ht="17.15" hidden="false" customHeight="false" outlineLevel="0" collapsed="false">
      <c r="A23" s="0" t="s">
        <v>423</v>
      </c>
      <c r="B23" s="24" t="n">
        <f aca="false">B22*(1+tp_r)</f>
        <v>2275.0655496561</v>
      </c>
      <c r="C23" s="24" t="n">
        <f aca="false">C22*(1+tp_r)</f>
        <v>716.077347615672</v>
      </c>
      <c r="D23" s="24" t="n">
        <f aca="false">D22*(1+tp_r)</f>
        <v>492.984401359775</v>
      </c>
    </row>
    <row r="24" customFormat="false" ht="17.15" hidden="false" customHeight="false" outlineLevel="0" collapsed="false">
      <c r="A24" s="0" t="s">
        <v>424</v>
      </c>
      <c r="B24" s="25" t="n">
        <f aca="false">tp_wA*B23+tp_wB*C23+tp_wC*D23</f>
        <v>1139.15521897662</v>
      </c>
      <c r="E24" s="8" t="s">
        <v>425</v>
      </c>
    </row>
    <row r="26" customFormat="false" ht="17.15" hidden="false" customHeight="false" outlineLevel="0" collapsed="false">
      <c r="A26" s="1" t="s">
        <v>426</v>
      </c>
    </row>
    <row r="27" customFormat="false" ht="17.15" hidden="false" customHeight="false" outlineLevel="0" collapsed="false">
      <c r="A27" s="6" t="s">
        <v>427</v>
      </c>
      <c r="B27" s="6" t="s">
        <v>428</v>
      </c>
      <c r="C27" s="6" t="s">
        <v>429</v>
      </c>
      <c r="D27" s="6" t="s">
        <v>430</v>
      </c>
      <c r="E27" s="6" t="s">
        <v>265</v>
      </c>
      <c r="F27" s="6" t="s">
        <v>19</v>
      </c>
    </row>
    <row r="28" customFormat="false" ht="17.15" hidden="false" customHeight="false" outlineLevel="0" collapsed="false">
      <c r="A28" s="5" t="s">
        <v>431</v>
      </c>
      <c r="B28" s="0" t="s">
        <v>432</v>
      </c>
      <c r="C28" s="26" t="n">
        <v>3.35</v>
      </c>
      <c r="D28" s="8" t="s">
        <v>433</v>
      </c>
      <c r="E28" s="8" t="s">
        <v>434</v>
      </c>
      <c r="F28" s="8" t="s">
        <v>96</v>
      </c>
    </row>
    <row r="29" customFormat="false" ht="17.15" hidden="false" customHeight="false" outlineLevel="0" collapsed="false">
      <c r="A29" s="0" t="s">
        <v>435</v>
      </c>
      <c r="B29" s="0" t="s">
        <v>436</v>
      </c>
      <c r="C29" s="26" t="n">
        <v>1.35</v>
      </c>
      <c r="D29" s="8" t="s">
        <v>433</v>
      </c>
      <c r="E29" s="8" t="s">
        <v>437</v>
      </c>
      <c r="F29" s="8" t="s">
        <v>96</v>
      </c>
    </row>
    <row r="30" customFormat="false" ht="17.15" hidden="false" customHeight="false" outlineLevel="0" collapsed="false">
      <c r="A30" s="5" t="s">
        <v>438</v>
      </c>
      <c r="B30" s="0" t="s">
        <v>439</v>
      </c>
      <c r="C30" s="26" t="n">
        <v>1.26</v>
      </c>
      <c r="D30" s="8" t="s">
        <v>433</v>
      </c>
      <c r="E30" s="8" t="s">
        <v>440</v>
      </c>
      <c r="F30" s="8" t="s">
        <v>96</v>
      </c>
    </row>
    <row r="31" customFormat="false" ht="17.15" hidden="false" customHeight="false" outlineLevel="0" collapsed="false">
      <c r="A31" s="0" t="s">
        <v>441</v>
      </c>
      <c r="B31" s="0" t="s">
        <v>442</v>
      </c>
      <c r="C31" s="27" t="n">
        <f aca="false">12755/7808</f>
        <v>1.63358094262295</v>
      </c>
      <c r="D31" s="8" t="s">
        <v>433</v>
      </c>
      <c r="E31" s="5" t="s">
        <v>443</v>
      </c>
      <c r="F31" s="8" t="s">
        <v>96</v>
      </c>
    </row>
    <row r="32" customFormat="false" ht="17.15" hidden="false" customHeight="false" outlineLevel="0" collapsed="false">
      <c r="A32" s="5" t="s">
        <v>444</v>
      </c>
      <c r="B32" s="27" t="n">
        <f aca="false">MEDIAN(C28:C31)</f>
        <v>1.49179047131148</v>
      </c>
      <c r="E32" s="5" t="s">
        <v>445</v>
      </c>
    </row>
    <row r="33" customFormat="false" ht="17.15" hidden="false" customHeight="false" outlineLevel="0" collapsed="false">
      <c r="A33" s="0" t="s">
        <v>446</v>
      </c>
      <c r="B33" s="15" t="n">
        <f aca="false">tp_wA*(PL!F70+PL!G70)/2+tp_wB*(PL!F106+PL!G106)/2+tp_wC*(PL!F142+PL!G142)/2</f>
        <v>513.85412638055</v>
      </c>
      <c r="E33" s="5" t="s">
        <v>447</v>
      </c>
    </row>
    <row r="34" customFormat="false" ht="17.15" hidden="false" customHeight="false" outlineLevel="0" collapsed="false">
      <c r="A34" s="0" t="s">
        <v>448</v>
      </c>
      <c r="B34" s="25" t="n">
        <f aca="false">B32*B33</f>
        <v>766.562689378587</v>
      </c>
      <c r="E34" s="5" t="s">
        <v>449</v>
      </c>
    </row>
    <row r="35" customFormat="false" ht="17.15" hidden="false" customHeight="false" outlineLevel="0" collapsed="false">
      <c r="A35" s="0" t="s">
        <v>450</v>
      </c>
      <c r="B35" s="15" t="n">
        <f aca="false">tp_wA*(8/12*B9+4/12*B10)+tp_wB*(8/12*C9+4/12*C10)+tp_wC*(8/12*D9+4/12*D10)</f>
        <v>227.22088822143</v>
      </c>
      <c r="E35" s="5" t="s">
        <v>451</v>
      </c>
    </row>
    <row r="37" customFormat="false" ht="17.15" hidden="false" customHeight="false" outlineLevel="0" collapsed="false">
      <c r="A37" s="3" t="s">
        <v>452</v>
      </c>
    </row>
    <row r="38" customFormat="false" ht="17.15" hidden="false" customHeight="false" outlineLevel="0" collapsed="false">
      <c r="A38" s="6" t="s">
        <v>453</v>
      </c>
      <c r="B38" s="6" t="s">
        <v>428</v>
      </c>
      <c r="C38" s="6" t="s">
        <v>454</v>
      </c>
      <c r="D38" s="6" t="s">
        <v>430</v>
      </c>
      <c r="E38" s="6" t="s">
        <v>265</v>
      </c>
      <c r="F38" s="6" t="s">
        <v>19</v>
      </c>
    </row>
    <row r="39" customFormat="false" ht="17.15" hidden="false" customHeight="false" outlineLevel="0" collapsed="false">
      <c r="A39" s="5" t="s">
        <v>431</v>
      </c>
      <c r="B39" s="0" t="s">
        <v>432</v>
      </c>
      <c r="C39" s="27" t="n">
        <f aca="false">877.55/173</f>
        <v>5.07254335260116</v>
      </c>
      <c r="D39" s="8" t="s">
        <v>433</v>
      </c>
      <c r="E39" s="5" t="s">
        <v>455</v>
      </c>
      <c r="F39" s="8" t="s">
        <v>96</v>
      </c>
    </row>
    <row r="40" customFormat="false" ht="17.15" hidden="false" customHeight="false" outlineLevel="0" collapsed="false">
      <c r="A40" s="0" t="s">
        <v>435</v>
      </c>
      <c r="B40" s="0" t="s">
        <v>436</v>
      </c>
      <c r="C40" s="27" t="n">
        <f aca="false">1277000/475721</f>
        <v>2.6843464972116</v>
      </c>
      <c r="D40" s="8" t="s">
        <v>433</v>
      </c>
      <c r="E40" s="5" t="s">
        <v>456</v>
      </c>
      <c r="F40" s="8" t="s">
        <v>96</v>
      </c>
    </row>
    <row r="41" customFormat="false" ht="17.15" hidden="false" customHeight="false" outlineLevel="0" collapsed="false">
      <c r="A41" s="5" t="s">
        <v>438</v>
      </c>
      <c r="B41" s="0" t="s">
        <v>439</v>
      </c>
      <c r="C41" s="27" t="n">
        <f aca="false">215500/72279</f>
        <v>2.98150223439727</v>
      </c>
      <c r="D41" s="8" t="s">
        <v>433</v>
      </c>
      <c r="E41" s="5" t="s">
        <v>457</v>
      </c>
      <c r="F41" s="8" t="s">
        <v>96</v>
      </c>
    </row>
    <row r="42" customFormat="false" ht="17.15" hidden="false" customHeight="false" outlineLevel="0" collapsed="false">
      <c r="A42" s="0" t="s">
        <v>441</v>
      </c>
      <c r="B42" s="0" t="s">
        <v>442</v>
      </c>
      <c r="C42" s="27" t="n">
        <f aca="false">12755/3486</f>
        <v>3.65892139988526</v>
      </c>
      <c r="D42" s="8" t="s">
        <v>433</v>
      </c>
      <c r="E42" s="5" t="s">
        <v>458</v>
      </c>
      <c r="F42" s="8" t="s">
        <v>96</v>
      </c>
    </row>
    <row r="43" customFormat="false" ht="17.15" hidden="false" customHeight="false" outlineLevel="0" collapsed="false">
      <c r="A43" s="0" t="s">
        <v>459</v>
      </c>
      <c r="B43" s="0" t="s">
        <v>460</v>
      </c>
      <c r="C43" s="26" t="n">
        <v>11.91</v>
      </c>
      <c r="D43" s="8" t="s">
        <v>433</v>
      </c>
      <c r="E43" s="8" t="s">
        <v>461</v>
      </c>
      <c r="F43" s="8" t="s">
        <v>96</v>
      </c>
    </row>
    <row r="44" customFormat="false" ht="17.15" hidden="false" customHeight="false" outlineLevel="0" collapsed="false">
      <c r="A44" s="5" t="s">
        <v>462</v>
      </c>
      <c r="B44" s="27" t="n">
        <f aca="false">MEDIAN(C39:C43)</f>
        <v>3.65892139988526</v>
      </c>
    </row>
    <row r="45" customFormat="false" ht="17.15" hidden="false" customHeight="false" outlineLevel="0" collapsed="false">
      <c r="A45" s="0" t="s">
        <v>463</v>
      </c>
      <c r="B45" s="24" t="n">
        <f aca="false">B44*B35</f>
        <v>831.383370414327</v>
      </c>
      <c r="E45" s="5" t="s">
        <v>464</v>
      </c>
    </row>
    <row r="47" customFormat="false" ht="17.15" hidden="false" customHeight="false" outlineLevel="0" collapsed="false">
      <c r="A47" s="1" t="s">
        <v>465</v>
      </c>
    </row>
    <row r="48" customFormat="false" ht="15" hidden="false" customHeight="false" outlineLevel="0" collapsed="false">
      <c r="A48" s="6" t="s">
        <v>14</v>
      </c>
      <c r="B48" s="6" t="s">
        <v>466</v>
      </c>
      <c r="C48" s="12"/>
      <c r="D48" s="12"/>
      <c r="E48" s="6" t="s">
        <v>327</v>
      </c>
    </row>
    <row r="49" customFormat="false" ht="17.15" hidden="false" customHeight="false" outlineLevel="0" collapsed="false">
      <c r="A49" s="5" t="s">
        <v>467</v>
      </c>
      <c r="B49" s="25" t="n">
        <f aca="false">tp_w_dcf*B24+(1-tp_w_dcf)*B34</f>
        <v>952.858954177605</v>
      </c>
      <c r="E49" s="8" t="s">
        <v>468</v>
      </c>
    </row>
    <row r="50" customFormat="false" ht="17.15" hidden="false" customHeight="false" outlineLevel="0" collapsed="false">
      <c r="A50" s="0" t="s">
        <v>469</v>
      </c>
      <c r="B50" s="24" t="n">
        <f aca="false">B34</f>
        <v>766.562689378587</v>
      </c>
      <c r="E50" s="5" t="s">
        <v>470</v>
      </c>
    </row>
    <row r="51" customFormat="false" ht="17.15" hidden="false" customHeight="false" outlineLevel="0" collapsed="false">
      <c r="A51" s="5" t="s">
        <v>471</v>
      </c>
      <c r="B51" s="24" t="n">
        <f aca="false">cons_tp</f>
        <v>2144</v>
      </c>
      <c r="E51" s="8" t="s">
        <v>472</v>
      </c>
    </row>
    <row r="52" customFormat="false" ht="17.15" hidden="false" customHeight="false" outlineLevel="0" collapsed="false">
      <c r="A52" s="5" t="s">
        <v>473</v>
      </c>
      <c r="B52" s="14" t="n">
        <f aca="false">B49/px-1</f>
        <v>-0.230342597370335</v>
      </c>
      <c r="E52" s="5" t="s">
        <v>474</v>
      </c>
    </row>
    <row r="53" customFormat="false" ht="17.15" hidden="false" customHeight="false" outlineLevel="0" collapsed="false">
      <c r="A53" s="5" t="s">
        <v>475</v>
      </c>
      <c r="B53" s="14" t="n">
        <f aca="false">B50/px-1</f>
        <v>-0.380820586432811</v>
      </c>
    </row>
    <row r="54" customFormat="false" ht="17.15" hidden="false" customHeight="false" outlineLevel="0" collapsed="false">
      <c r="A54" s="5" t="s">
        <v>476</v>
      </c>
      <c r="B54" s="28" t="str">
        <f aca="false">IF(B52&gt;0.5,"大於 50%",IF(B52&gt;0.25,"25%–50%",IF(B52&gt;=0,"0%–25%",IF(B52&gt;=-0.25,"0%～−25%",IF(B52&gt;=-0.5,"−25%～−50%","小於 −50%")))))</f>
        <v>0%～−25%</v>
      </c>
      <c r="E54" s="5" t="s">
        <v>477</v>
      </c>
    </row>
    <row r="55" customFormat="false" ht="17.15" hidden="false" customHeight="false" outlineLevel="0" collapsed="false">
      <c r="A55" s="5" t="s">
        <v>478</v>
      </c>
      <c r="B55" s="28" t="str">
        <f aca="false">IF(B52&gt;0.5,"強力買進",IF(B52&gt;0.25,"買進",IF(B52&gt;=-0.25,"中立",IF(B52&gt;=-0.5,"放空","強力放空"))))</f>
        <v>中立</v>
      </c>
      <c r="E55" s="5" t="s">
        <v>479</v>
      </c>
    </row>
    <row r="56" customFormat="false" ht="17.15" hidden="false" customHeight="false" outlineLevel="0" collapsed="false">
      <c r="A56" s="0" t="s">
        <v>480</v>
      </c>
      <c r="B56" s="29" t="n">
        <f aca="false">B23/px</f>
        <v>1.83764977396033</v>
      </c>
      <c r="C56" s="29" t="n">
        <f aca="false">C23/px</f>
        <v>0.578400642646521</v>
      </c>
      <c r="D56" s="29" t="n">
        <f aca="false">D23/px</f>
        <v>0.398200690903916</v>
      </c>
      <c r="E56" s="5" t="s">
        <v>481</v>
      </c>
    </row>
    <row r="57" customFormat="false" ht="17.15" hidden="false" customHeight="false" outlineLevel="0" collapsed="false">
      <c r="A57" s="5" t="s">
        <v>482</v>
      </c>
      <c r="B57" s="14" t="n">
        <f aca="false">B33/((cons_bv28+cons_bv29)/2)-1</f>
        <v>-0.146208978349174</v>
      </c>
      <c r="E57" s="5" t="s">
        <v>483</v>
      </c>
    </row>
    <row r="58" customFormat="false" ht="17.15" hidden="false" customHeight="false" outlineLevel="0" collapsed="false">
      <c r="A58" s="5" t="s">
        <v>484</v>
      </c>
      <c r="B58" s="14" t="n">
        <f aca="false">B35/(8/12*cons_eps28+4/12*cons_eps29)-1</f>
        <v>-0.165549437306536</v>
      </c>
      <c r="E58" s="5" t="s">
        <v>485</v>
      </c>
    </row>
    <row r="59" customFormat="false" ht="17.15" hidden="false" customHeight="false" outlineLevel="0" collapsed="false">
      <c r="A59" s="5" t="s">
        <v>486</v>
      </c>
      <c r="B59" s="14" t="n">
        <f aca="false">(cons_tp/((cons_bv28+cons_bv29)/2))/B32-1</f>
        <v>1.38796901516729</v>
      </c>
      <c r="E59" s="0" t="str">
        <f aca="false">"共識目標價隱含 P/B "&amp;TEXT(cons_tp/((cons_bv28+cons_bv29)/2),"0.00")&amp;"x（÷ 共識約 2028 年底每股淨值），同業中位數 "&amp;TEXT(B32,"0.00")&amp;"x"</f>
        <v>共識目標價隱含 P/B 3.56x（÷ 共識約 2028 年底每股淨值），同業中位數 1.49x</v>
      </c>
    </row>
    <row r="60" customFormat="false" ht="17.15" hidden="false" customHeight="false" outlineLevel="0" collapsed="false">
      <c r="A60" s="5" t="s">
        <v>487</v>
      </c>
      <c r="B60" s="28" t="str">
        <f aca="false">TEXT(D23,"#,##0")&amp;"～"&amp;TEXT(B23,"#,##0")</f>
        <v>493～2,275</v>
      </c>
      <c r="E60" s="8" t="s">
        <v>488</v>
      </c>
    </row>
    <row r="61" customFormat="false" ht="17.15" hidden="false" customHeight="false" outlineLevel="0" collapsed="false">
      <c r="A61" s="5" t="s">
        <v>489</v>
      </c>
      <c r="B61" s="21" t="n">
        <f aca="false">IF(px/PL!F11&gt;=MAX($B$95:$B$104),1,IF(px/PL!F11&lt;=MIN($B$95:$B$104),0,PERCENTRANK($B$95:$B$104,px/PL!F11)))</f>
        <v>0.979</v>
      </c>
      <c r="C61" s="21" t="n">
        <f aca="false">IF(px/PL!F21&gt;=MAX($B$95:$B$104),1,IF(px/PL!F21&lt;=MIN($B$95:$B$104),0,PERCENTRANK($B$95:$B$104,px/PL!F21)))</f>
        <v>1</v>
      </c>
      <c r="D61" s="21" t="n">
        <f aca="false">IF(px/PL!F31&gt;=MAX($B$95:$B$104),1,IF(px/PL!F31&lt;=MIN($B$95:$B$104),0,PERCENTRANK($B$95:$B$104,px/PL!F31)))</f>
        <v>1</v>
      </c>
      <c r="E61" s="5" t="s">
        <v>490</v>
      </c>
    </row>
    <row r="62" customFormat="false" ht="17.15" hidden="false" customHeight="false" outlineLevel="0" collapsed="false">
      <c r="A62" s="5" t="s">
        <v>491</v>
      </c>
      <c r="B62" s="0" t="s">
        <v>492</v>
      </c>
    </row>
    <row r="80" customFormat="false" ht="17.15" hidden="false" customHeight="false" outlineLevel="0" collapsed="false">
      <c r="A80" s="1" t="s">
        <v>493</v>
      </c>
    </row>
    <row r="81" customFormat="false" ht="17.15" hidden="false" customHeight="false" outlineLevel="0" collapsed="false">
      <c r="A81" s="6" t="s">
        <v>14</v>
      </c>
      <c r="B81" s="12" t="s">
        <v>494</v>
      </c>
      <c r="C81" s="12" t="s">
        <v>495</v>
      </c>
      <c r="D81" s="12" t="s">
        <v>496</v>
      </c>
      <c r="E81" s="6" t="s">
        <v>497</v>
      </c>
    </row>
    <row r="82" customFormat="false" ht="17.15" hidden="false" customHeight="false" outlineLevel="0" collapsed="false">
      <c r="A82" s="5" t="s">
        <v>498</v>
      </c>
      <c r="B82" s="15" t="n">
        <f aca="false">px</f>
        <v>1238.03</v>
      </c>
      <c r="E82" s="8" t="s">
        <v>499</v>
      </c>
    </row>
    <row r="83" customFormat="false" ht="17.15" hidden="false" customHeight="false" outlineLevel="0" collapsed="false">
      <c r="A83" s="0" t="s">
        <v>500</v>
      </c>
      <c r="B83" s="30" t="n">
        <f aca="false">px/a26_eps</f>
        <v>16.7845715835141</v>
      </c>
      <c r="E83" s="5" t="s">
        <v>501</v>
      </c>
    </row>
    <row r="84" customFormat="false" ht="17.15" hidden="false" customHeight="false" outlineLevel="0" collapsed="false">
      <c r="A84" s="0" t="s">
        <v>502</v>
      </c>
      <c r="B84" s="27" t="n">
        <f aca="false">px/PL!D70</f>
        <v>11.5195953609558</v>
      </c>
      <c r="E84" s="8" t="s">
        <v>503</v>
      </c>
    </row>
    <row r="85" customFormat="false" ht="17.15" hidden="false" customHeight="false" outlineLevel="0" collapsed="false">
      <c r="A85" s="5" t="s">
        <v>504</v>
      </c>
      <c r="B85" s="30" t="n">
        <f aca="false">px/PL!E10</f>
        <v>4.70438023920296</v>
      </c>
      <c r="C85" s="30" t="n">
        <f aca="false">px/PL!E20</f>
        <v>4.64500378203764</v>
      </c>
      <c r="D85" s="30" t="n">
        <f aca="false">px/PL!E30</f>
        <v>4.68722303128213</v>
      </c>
      <c r="E85" s="8" t="s">
        <v>505</v>
      </c>
    </row>
    <row r="86" customFormat="false" ht="17.15" hidden="false" customHeight="false" outlineLevel="0" collapsed="false">
      <c r="A86" s="5" t="s">
        <v>506</v>
      </c>
      <c r="B86" s="30" t="n">
        <f aca="false">px/PL!F10</f>
        <v>3.58391898877174</v>
      </c>
      <c r="C86" s="30" t="n">
        <f aca="false">px/PL!F20</f>
        <v>5.63953403261639</v>
      </c>
      <c r="D86" s="30" t="n">
        <f aca="false">px/PL!F30</f>
        <v>6.34880343836453</v>
      </c>
      <c r="E86" s="8" t="s">
        <v>505</v>
      </c>
    </row>
    <row r="87" customFormat="false" ht="17.15" hidden="false" customHeight="false" outlineLevel="0" collapsed="false">
      <c r="A87" s="5" t="s">
        <v>507</v>
      </c>
      <c r="B87" s="27" t="n">
        <f aca="false">px/PL!F11</f>
        <v>2.43889320019853</v>
      </c>
      <c r="C87" s="27" t="n">
        <f aca="false">px/PL!F21</f>
        <v>2.92508013153257</v>
      </c>
      <c r="D87" s="27" t="n">
        <f aca="false">px/PL!F31</f>
        <v>3.05860957667077</v>
      </c>
      <c r="E87" s="8" t="s">
        <v>508</v>
      </c>
    </row>
    <row r="90" customFormat="false" ht="17.15" hidden="false" customHeight="false" outlineLevel="0" collapsed="false">
      <c r="A90" s="1" t="s">
        <v>509</v>
      </c>
    </row>
    <row r="91" customFormat="false" ht="17.15" hidden="false" customHeight="false" outlineLevel="0" collapsed="false">
      <c r="A91" s="5" t="s">
        <v>510</v>
      </c>
    </row>
    <row r="93" customFormat="false" ht="17.15" hidden="false" customHeight="false" outlineLevel="0" collapsed="false">
      <c r="A93" s="1" t="s">
        <v>511</v>
      </c>
    </row>
    <row r="94" customFormat="false" ht="17.15" hidden="false" customHeight="false" outlineLevel="0" collapsed="false">
      <c r="A94" s="6" t="s">
        <v>512</v>
      </c>
      <c r="B94" s="6" t="s">
        <v>513</v>
      </c>
      <c r="C94" s="6" t="s">
        <v>514</v>
      </c>
    </row>
    <row r="95" customFormat="false" ht="17.15" hidden="false" customHeight="false" outlineLevel="0" collapsed="false">
      <c r="A95" s="0" t="s">
        <v>515</v>
      </c>
      <c r="B95" s="26" t="n">
        <v>1.29</v>
      </c>
      <c r="C95" s="5" t="s">
        <v>516</v>
      </c>
    </row>
    <row r="96" customFormat="false" ht="17.15" hidden="false" customHeight="false" outlineLevel="0" collapsed="false">
      <c r="A96" s="0" t="s">
        <v>517</v>
      </c>
      <c r="B96" s="26" t="n">
        <v>1.78</v>
      </c>
      <c r="C96" s="5" t="s">
        <v>518</v>
      </c>
    </row>
    <row r="97" customFormat="false" ht="15" hidden="false" customHeight="false" outlineLevel="0" collapsed="false">
      <c r="A97" s="0" t="s">
        <v>519</v>
      </c>
      <c r="B97" s="26" t="n">
        <v>1.79</v>
      </c>
    </row>
    <row r="98" customFormat="false" ht="15" hidden="false" customHeight="false" outlineLevel="0" collapsed="false">
      <c r="A98" s="0" t="s">
        <v>520</v>
      </c>
      <c r="B98" s="26" t="n">
        <v>1.33</v>
      </c>
    </row>
    <row r="99" customFormat="false" ht="15" hidden="false" customHeight="false" outlineLevel="0" collapsed="false">
      <c r="A99" s="0" t="s">
        <v>521</v>
      </c>
      <c r="B99" s="26" t="n">
        <v>1.27</v>
      </c>
    </row>
    <row r="100" customFormat="false" ht="15" hidden="false" customHeight="false" outlineLevel="0" collapsed="false">
      <c r="A100" s="0" t="s">
        <v>522</v>
      </c>
      <c r="B100" s="26" t="n">
        <v>1.83</v>
      </c>
    </row>
    <row r="101" customFormat="false" ht="15" hidden="false" customHeight="false" outlineLevel="0" collapsed="false">
      <c r="A101" s="0" t="s">
        <v>523</v>
      </c>
      <c r="B101" s="26" t="n">
        <v>1.22</v>
      </c>
    </row>
    <row r="102" customFormat="false" ht="15" hidden="false" customHeight="false" outlineLevel="0" collapsed="false">
      <c r="A102" s="0" t="s">
        <v>524</v>
      </c>
      <c r="B102" s="26" t="n">
        <v>1.72</v>
      </c>
    </row>
    <row r="103" customFormat="false" ht="15" hidden="false" customHeight="false" outlineLevel="0" collapsed="false">
      <c r="A103" s="0" t="s">
        <v>525</v>
      </c>
      <c r="B103" s="26" t="n">
        <v>2.35</v>
      </c>
    </row>
    <row r="104" customFormat="false" ht="15" hidden="false" customHeight="false" outlineLevel="0" collapsed="false">
      <c r="A104" s="0" t="s">
        <v>526</v>
      </c>
      <c r="B104" s="26" t="n">
        <v>2.46</v>
      </c>
    </row>
    <row r="105" customFormat="false" ht="17.15" hidden="false" customHeight="false" outlineLevel="0" collapsed="false">
      <c r="A105" s="0" t="s">
        <v>527</v>
      </c>
      <c r="B105" s="27" t="n">
        <f aca="false">PERCENTILE(B95:B104,0.25)</f>
        <v>1.3</v>
      </c>
    </row>
    <row r="106" customFormat="false" ht="15" hidden="false" customHeight="false" outlineLevel="0" collapsed="false">
      <c r="A106" s="5" t="s">
        <v>528</v>
      </c>
      <c r="B106" s="27" t="n">
        <f aca="false">MEDIAN(B95:B104)</f>
        <v>1.75</v>
      </c>
    </row>
    <row r="107" customFormat="false" ht="17.15" hidden="false" customHeight="false" outlineLevel="0" collapsed="false">
      <c r="A107" s="0" t="s">
        <v>529</v>
      </c>
      <c r="B107" s="27" t="n">
        <f aca="false">PERCENTILE(B95:B104,0.75)</f>
        <v>1.82</v>
      </c>
    </row>
    <row r="108" customFormat="false" ht="15" hidden="false" customHeight="false" outlineLevel="0" collapsed="false">
      <c r="A108" s="5" t="s">
        <v>530</v>
      </c>
      <c r="B108" s="27" t="n">
        <f aca="false">MIN(B95:B104)</f>
        <v>1.22</v>
      </c>
    </row>
    <row r="109" customFormat="false" ht="15" hidden="false" customHeight="false" outlineLevel="0" collapsed="false">
      <c r="A109" s="5" t="s">
        <v>531</v>
      </c>
      <c r="B109" s="27" t="n">
        <f aca="false">MAX(B95:B104)</f>
        <v>2.46</v>
      </c>
    </row>
    <row r="110" customFormat="false" ht="17.15" hidden="false" customHeight="false" outlineLevel="0" collapsed="false">
      <c r="A110" s="3" t="s">
        <v>532</v>
      </c>
      <c r="B110" s="27" t="n">
        <f aca="false">ROUND(AVERAGE(B105),2)</f>
        <v>1.3</v>
      </c>
    </row>
    <row r="111" customFormat="false" ht="17.15" hidden="false" customHeight="false" outlineLevel="0" collapsed="false">
      <c r="A111" s="3" t="s">
        <v>533</v>
      </c>
      <c r="B111" s="27" t="n">
        <f aca="false">ROUND(AVERAGE(B106),2)</f>
        <v>1.75</v>
      </c>
    </row>
    <row r="112" customFormat="false" ht="17.15" hidden="false" customHeight="false" outlineLevel="0" collapsed="false">
      <c r="A112" s="3" t="s">
        <v>534</v>
      </c>
      <c r="B112" s="27" t="n">
        <f aca="false">ROUND(AVERAGE(B107),2)</f>
        <v>1.82</v>
      </c>
    </row>
    <row r="113" customFormat="false" ht="17.15" hidden="false" customHeight="false" outlineLevel="0" collapsed="false">
      <c r="A113" s="3" t="s">
        <v>535</v>
      </c>
      <c r="B113" s="27" t="n">
        <f aca="false">ROUND(MIN(B108),2)</f>
        <v>1.22</v>
      </c>
    </row>
    <row r="114" customFormat="false" ht="17.15" hidden="false" customHeight="false" outlineLevel="0" collapsed="false">
      <c r="A114" s="3" t="s">
        <v>536</v>
      </c>
      <c r="B114" s="27" t="n">
        <f aca="false">ROUND(MAX(B109),2)</f>
        <v>2.46</v>
      </c>
    </row>
    <row r="116" customFormat="false" ht="17.15" hidden="false" customHeight="false" outlineLevel="0" collapsed="false">
      <c r="A116" s="1" t="s">
        <v>537</v>
      </c>
    </row>
    <row r="117" customFormat="false" ht="17.15" hidden="false" customHeight="false" outlineLevel="0" collapsed="false">
      <c r="A117" s="6" t="s">
        <v>538</v>
      </c>
      <c r="B117" s="6" t="s">
        <v>539</v>
      </c>
      <c r="C117" s="6" t="s">
        <v>540</v>
      </c>
      <c r="D117" s="6" t="s">
        <v>17</v>
      </c>
      <c r="E117" s="6" t="s">
        <v>541</v>
      </c>
      <c r="F117" s="6" t="s">
        <v>542</v>
      </c>
      <c r="G117" s="6" t="s">
        <v>543</v>
      </c>
      <c r="H117" s="6" t="s">
        <v>544</v>
      </c>
    </row>
    <row r="118" customFormat="false" ht="17.15" hidden="false" customHeight="false" outlineLevel="0" collapsed="false">
      <c r="A118" s="5" t="s">
        <v>545</v>
      </c>
      <c r="B118" s="5" t="s">
        <v>546</v>
      </c>
      <c r="C118" s="27" t="n">
        <f aca="false">B110</f>
        <v>1.3</v>
      </c>
      <c r="D118" s="8" t="s">
        <v>547</v>
      </c>
      <c r="E118" s="15" t="n">
        <f aca="false">PL!E70</f>
        <v>270.129275871821</v>
      </c>
      <c r="F118" s="20" t="n">
        <f aca="false">C118*E118</f>
        <v>351.168058633367</v>
      </c>
      <c r="G118" s="14" t="n">
        <f aca="false">F118/px-1</f>
        <v>-0.716349314125371</v>
      </c>
      <c r="H118" s="27" t="n">
        <f aca="false">px/E118</f>
        <v>4.5831019092779</v>
      </c>
    </row>
    <row r="119" customFormat="false" ht="17.15" hidden="false" customHeight="false" outlineLevel="0" collapsed="false">
      <c r="A119" s="5" t="s">
        <v>548</v>
      </c>
      <c r="B119" s="5" t="s">
        <v>549</v>
      </c>
      <c r="C119" s="27" t="n">
        <f aca="false">B111</f>
        <v>1.75</v>
      </c>
      <c r="D119" s="8" t="s">
        <v>547</v>
      </c>
      <c r="E119" s="15" t="n">
        <f aca="false">PL!E70</f>
        <v>270.129275871821</v>
      </c>
      <c r="F119" s="20" t="n">
        <f aca="false">C119*E119</f>
        <v>472.726232775687</v>
      </c>
      <c r="G119" s="14" t="n">
        <f aca="false">F119/px-1</f>
        <v>-0.618162538245691</v>
      </c>
      <c r="H119" s="27" t="n">
        <f aca="false">px/E119</f>
        <v>4.5831019092779</v>
      </c>
    </row>
    <row r="120" customFormat="false" ht="17.15" hidden="false" customHeight="false" outlineLevel="0" collapsed="false">
      <c r="A120" s="5" t="s">
        <v>550</v>
      </c>
      <c r="B120" s="5" t="s">
        <v>551</v>
      </c>
      <c r="C120" s="27" t="n">
        <f aca="false">B112</f>
        <v>1.82</v>
      </c>
      <c r="D120" s="8" t="s">
        <v>552</v>
      </c>
      <c r="E120" s="15" t="n">
        <f aca="false">PL!F142</f>
        <v>404.768888923564</v>
      </c>
      <c r="F120" s="20" t="n">
        <f aca="false">C120*E120</f>
        <v>736.679377840887</v>
      </c>
      <c r="G120" s="14" t="n">
        <f aca="false">F120/px-1</f>
        <v>-0.404958379166186</v>
      </c>
      <c r="H120" s="27" t="n">
        <f aca="false">px/E120</f>
        <v>3.05860957667077</v>
      </c>
    </row>
    <row r="123" customFormat="false" ht="17.15" hidden="false" customHeight="false" outlineLevel="0" collapsed="false">
      <c r="A123" s="1" t="s">
        <v>553</v>
      </c>
    </row>
    <row r="124" customFormat="false" ht="17.15" hidden="false" customHeight="false" outlineLevel="0" collapsed="false">
      <c r="A124" s="6" t="s">
        <v>512</v>
      </c>
      <c r="B124" s="6" t="s">
        <v>554</v>
      </c>
      <c r="C124" s="6" t="s">
        <v>514</v>
      </c>
    </row>
    <row r="125" customFormat="false" ht="17.15" hidden="false" customHeight="false" outlineLevel="0" collapsed="false">
      <c r="A125" s="0" t="s">
        <v>515</v>
      </c>
      <c r="C125" s="5" t="s">
        <v>555</v>
      </c>
    </row>
    <row r="126" customFormat="false" ht="17.15" hidden="false" customHeight="false" outlineLevel="0" collapsed="false">
      <c r="A126" s="0" t="s">
        <v>517</v>
      </c>
      <c r="B126" s="26" t="n">
        <v>6.51314207113382</v>
      </c>
      <c r="C126" s="5" t="s">
        <v>556</v>
      </c>
    </row>
    <row r="127" customFormat="false" ht="15" hidden="false" customHeight="false" outlineLevel="0" collapsed="false">
      <c r="A127" s="0" t="s">
        <v>519</v>
      </c>
      <c r="B127" s="26" t="n">
        <v>4.08958330385568</v>
      </c>
    </row>
    <row r="128" customFormat="false" ht="15" hidden="false" customHeight="false" outlineLevel="0" collapsed="false">
      <c r="A128" s="0" t="s">
        <v>520</v>
      </c>
      <c r="B128" s="26" t="n">
        <v>7.55927926500871</v>
      </c>
    </row>
    <row r="129" customFormat="false" ht="15" hidden="false" customHeight="false" outlineLevel="0" collapsed="false">
      <c r="A129" s="0" t="s">
        <v>521</v>
      </c>
      <c r="B129" s="26" t="n">
        <v>18.4313062895422</v>
      </c>
    </row>
    <row r="130" customFormat="false" ht="15" hidden="false" customHeight="false" outlineLevel="0" collapsed="false">
      <c r="A130" s="0" t="s">
        <v>522</v>
      </c>
      <c r="B130" s="26" t="n">
        <v>13.7173502815219</v>
      </c>
    </row>
    <row r="131" customFormat="false" ht="15" hidden="false" customHeight="false" outlineLevel="0" collapsed="false">
      <c r="A131" s="0" t="s">
        <v>523</v>
      </c>
      <c r="B131" s="26" t="n">
        <v>7.00892598135145</v>
      </c>
    </row>
    <row r="132" customFormat="false" ht="15" hidden="false" customHeight="false" outlineLevel="0" collapsed="false">
      <c r="A132" s="0" t="s">
        <v>524</v>
      </c>
    </row>
    <row r="133" customFormat="false" ht="15" hidden="false" customHeight="false" outlineLevel="0" collapsed="false">
      <c r="A133" s="0" t="s">
        <v>525</v>
      </c>
      <c r="B133" s="26" t="n">
        <v>136.321143958869</v>
      </c>
    </row>
    <row r="134" customFormat="false" ht="15" hidden="false" customHeight="false" outlineLevel="0" collapsed="false">
      <c r="A134" s="0" t="s">
        <v>526</v>
      </c>
      <c r="B134" s="26" t="n">
        <v>15.6043916149432</v>
      </c>
    </row>
    <row r="135" customFormat="false" ht="17.15" hidden="false" customHeight="false" outlineLevel="0" collapsed="false">
      <c r="A135" s="0" t="s">
        <v>527</v>
      </c>
      <c r="B135" s="27" t="n">
        <f aca="false">PERCENTILE(B125:B134,0.25)</f>
        <v>6.88498000379704</v>
      </c>
    </row>
    <row r="136" customFormat="false" ht="15" hidden="false" customHeight="false" outlineLevel="0" collapsed="false">
      <c r="A136" s="5" t="s">
        <v>528</v>
      </c>
      <c r="B136" s="27" t="n">
        <f aca="false">MEDIAN(B125:B134)</f>
        <v>10.6383147732653</v>
      </c>
    </row>
    <row r="137" customFormat="false" ht="17.15" hidden="false" customHeight="false" outlineLevel="0" collapsed="false">
      <c r="A137" s="0" t="s">
        <v>529</v>
      </c>
      <c r="B137" s="27" t="n">
        <f aca="false">PERCENTILE(B125:B134,0.75)</f>
        <v>16.311120283593</v>
      </c>
    </row>
    <row r="138" customFormat="false" ht="15" hidden="false" customHeight="false" outlineLevel="0" collapsed="false">
      <c r="A138" s="5" t="s">
        <v>530</v>
      </c>
      <c r="B138" s="27" t="n">
        <f aca="false">MIN(B125:B134)</f>
        <v>4.08958330385568</v>
      </c>
    </row>
    <row r="139" customFormat="false" ht="15" hidden="false" customHeight="false" outlineLevel="0" collapsed="false">
      <c r="A139" s="5" t="s">
        <v>531</v>
      </c>
      <c r="B139" s="27" t="n">
        <f aca="false">MAX(B125:B134)</f>
        <v>136.321143958869</v>
      </c>
    </row>
    <row r="140" customFormat="false" ht="17.15" hidden="false" customHeight="false" outlineLevel="0" collapsed="false">
      <c r="A140" s="3" t="s">
        <v>557</v>
      </c>
      <c r="B140" s="27" t="n">
        <f aca="false">ROUND(AVERAGE(B135),2)</f>
        <v>6.88</v>
      </c>
    </row>
    <row r="141" customFormat="false" ht="17.15" hidden="false" customHeight="false" outlineLevel="0" collapsed="false">
      <c r="A141" s="3" t="s">
        <v>558</v>
      </c>
      <c r="B141" s="27" t="n">
        <f aca="false">ROUND(AVERAGE(B136),2)</f>
        <v>10.64</v>
      </c>
    </row>
    <row r="142" customFormat="false" ht="17.15" hidden="false" customHeight="false" outlineLevel="0" collapsed="false">
      <c r="A142" s="3" t="s">
        <v>559</v>
      </c>
      <c r="B142" s="27" t="n">
        <f aca="false">ROUND(AVERAGE(B137),2)</f>
        <v>16.31</v>
      </c>
    </row>
    <row r="143" customFormat="false" ht="17.15" hidden="false" customHeight="false" outlineLevel="0" collapsed="false">
      <c r="A143" s="3" t="s">
        <v>560</v>
      </c>
      <c r="B143" s="27" t="n">
        <f aca="false">ROUND(MIN(B138),2)</f>
        <v>4.09</v>
      </c>
    </row>
    <row r="144" customFormat="false" ht="17.15" hidden="false" customHeight="false" outlineLevel="0" collapsed="false">
      <c r="A144" s="3" t="s">
        <v>561</v>
      </c>
      <c r="B144" s="27" t="n">
        <f aca="false">ROUND(MAX(B139),2)</f>
        <v>136.32</v>
      </c>
    </row>
    <row r="146" customFormat="false" ht="17.15" hidden="false" customHeight="false" outlineLevel="0" collapsed="false">
      <c r="A146" s="1" t="s">
        <v>562</v>
      </c>
    </row>
    <row r="147" customFormat="false" ht="17.15" hidden="false" customHeight="false" outlineLevel="0" collapsed="false">
      <c r="A147" s="6" t="s">
        <v>538</v>
      </c>
      <c r="B147" s="6" t="s">
        <v>539</v>
      </c>
      <c r="C147" s="6" t="s">
        <v>540</v>
      </c>
      <c r="D147" s="6" t="s">
        <v>17</v>
      </c>
      <c r="E147" s="6" t="s">
        <v>541</v>
      </c>
      <c r="F147" s="6" t="s">
        <v>542</v>
      </c>
      <c r="G147" s="6" t="s">
        <v>543</v>
      </c>
      <c r="H147" s="6" t="s">
        <v>544</v>
      </c>
    </row>
    <row r="148" customFormat="false" ht="17.15" hidden="false" customHeight="false" outlineLevel="0" collapsed="false">
      <c r="A148" s="5" t="s">
        <v>563</v>
      </c>
      <c r="B148" s="5" t="s">
        <v>546</v>
      </c>
      <c r="C148" s="27" t="n">
        <f aca="false">B140</f>
        <v>6.88</v>
      </c>
      <c r="D148" s="8" t="s">
        <v>564</v>
      </c>
      <c r="E148" s="15" t="n">
        <f aca="false">PL!E69</f>
        <v>263.1653771698</v>
      </c>
      <c r="F148" s="20" t="n">
        <f aca="false">C148*E148</f>
        <v>1810.57779492822</v>
      </c>
      <c r="G148" s="14" t="n">
        <f aca="false">F148/px-1</f>
        <v>0.4624668181936</v>
      </c>
      <c r="H148" s="27" t="n">
        <f aca="false">px/E148</f>
        <v>4.70438023920296</v>
      </c>
    </row>
    <row r="149" customFormat="false" ht="17.15" hidden="false" customHeight="false" outlineLevel="0" collapsed="false">
      <c r="A149" s="5" t="s">
        <v>565</v>
      </c>
      <c r="B149" s="5" t="s">
        <v>549</v>
      </c>
      <c r="C149" s="27" t="n">
        <f aca="false">B141</f>
        <v>10.64</v>
      </c>
      <c r="D149" s="8" t="s">
        <v>564</v>
      </c>
      <c r="E149" s="15" t="n">
        <f aca="false">PL!E69</f>
        <v>263.1653771698</v>
      </c>
      <c r="F149" s="20" t="n">
        <f aca="false">C149*E149</f>
        <v>2800.07961308667</v>
      </c>
      <c r="G149" s="14" t="n">
        <f aca="false">F149/px-1</f>
        <v>1.26172193976452</v>
      </c>
      <c r="H149" s="27" t="n">
        <f aca="false">px/E149</f>
        <v>4.70438023920296</v>
      </c>
    </row>
    <row r="150" customFormat="false" ht="17.15" hidden="false" customHeight="false" outlineLevel="0" collapsed="false">
      <c r="A150" s="5" t="s">
        <v>566</v>
      </c>
      <c r="B150" s="5" t="s">
        <v>551</v>
      </c>
      <c r="C150" s="27" t="n">
        <f aca="false">B142</f>
        <v>16.31</v>
      </c>
      <c r="D150" s="8" t="s">
        <v>567</v>
      </c>
      <c r="E150" s="15" t="n">
        <f aca="false">PL!F141</f>
        <v>195.002099532463</v>
      </c>
      <c r="F150" s="20" t="n">
        <f aca="false">C150*E150</f>
        <v>3180.48424337446</v>
      </c>
      <c r="G150" s="14" t="n">
        <f aca="false">F150/px-1</f>
        <v>1.56898802401756</v>
      </c>
      <c r="H150" s="27" t="n">
        <f aca="false">px/E150</f>
        <v>6.34880343836453</v>
      </c>
    </row>
    <row r="153" customFormat="false" ht="15" hidden="false" customHeight="false" outlineLevel="0" collapsed="false">
      <c r="A153" s="3" t="s">
        <v>568</v>
      </c>
    </row>
    <row r="154" customFormat="false" ht="15" hidden="false" customHeight="false" outlineLevel="0" collapsed="false">
      <c r="A154" s="6" t="s">
        <v>14</v>
      </c>
      <c r="B154" s="6" t="s">
        <v>466</v>
      </c>
      <c r="C154" s="12"/>
      <c r="D154" s="12"/>
      <c r="E154" s="6" t="s">
        <v>327</v>
      </c>
    </row>
    <row r="155" customFormat="false" ht="17.15" hidden="false" customHeight="false" outlineLevel="0" collapsed="false">
      <c r="A155" s="5" t="s">
        <v>569</v>
      </c>
      <c r="B155" s="24" t="n">
        <f aca="false">tp_wA*B157+tp_wB*B158+tp_wC*B159</f>
        <v>456.06461830986</v>
      </c>
      <c r="E155" s="5" t="s">
        <v>570</v>
      </c>
    </row>
    <row r="156" customFormat="false" ht="17.15" hidden="false" customHeight="false" outlineLevel="0" collapsed="false">
      <c r="A156" s="5" t="s">
        <v>571</v>
      </c>
      <c r="B156" s="14" t="n">
        <f aca="false">B155/px-1</f>
        <v>-0.63162070522535</v>
      </c>
    </row>
    <row r="157" customFormat="false" ht="17.15" hidden="false" customHeight="false" outlineLevel="0" collapsed="false">
      <c r="A157" s="5" t="s">
        <v>572</v>
      </c>
      <c r="B157" s="24" t="n">
        <f aca="false">B112*PL!E11</f>
        <v>491.635282086714</v>
      </c>
    </row>
    <row r="158" customFormat="false" ht="17.15" hidden="false" customHeight="false" outlineLevel="0" collapsed="false">
      <c r="A158" s="5" t="s">
        <v>573</v>
      </c>
      <c r="B158" s="24" t="n">
        <f aca="false">B111*PL!E21</f>
        <v>476.367519790873</v>
      </c>
    </row>
    <row r="159" customFormat="false" ht="17.15" hidden="false" customHeight="false" outlineLevel="0" collapsed="false">
      <c r="A159" s="5" t="s">
        <v>574</v>
      </c>
      <c r="B159" s="24" t="n">
        <f aca="false">B110*PL!E31</f>
        <v>351.951368942049</v>
      </c>
    </row>
    <row r="160" customFormat="false" ht="17.15" hidden="false" customHeight="false" outlineLevel="0" collapsed="false">
      <c r="A160" s="5" t="s">
        <v>575</v>
      </c>
      <c r="B160" s="5" t="s">
        <v>576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8" min="2" style="0" width="12"/>
    <col collapsed="false" customWidth="true" hidden="false" outlineLevel="0" max="10" min="9" style="0" width="50"/>
  </cols>
  <sheetData>
    <row r="1" customFormat="false" ht="17.15" hidden="false" customHeight="false" outlineLevel="0" collapsed="false">
      <c r="A1" s="0" t="s">
        <v>577</v>
      </c>
    </row>
    <row r="3" customFormat="false" ht="17.15" hidden="false" customHeight="false" outlineLevel="0" collapsed="false">
      <c r="A3" s="6" t="s">
        <v>14</v>
      </c>
      <c r="B3" s="6" t="s">
        <v>578</v>
      </c>
      <c r="C3" s="6" t="s">
        <v>579</v>
      </c>
      <c r="D3" s="6" t="s">
        <v>580</v>
      </c>
      <c r="E3" s="6" t="s">
        <v>581</v>
      </c>
      <c r="F3" s="6" t="s">
        <v>582</v>
      </c>
      <c r="G3" s="6" t="s">
        <v>583</v>
      </c>
      <c r="H3" s="6" t="s">
        <v>584</v>
      </c>
      <c r="I3" s="6" t="s">
        <v>585</v>
      </c>
      <c r="J3" s="6" t="s">
        <v>327</v>
      </c>
    </row>
    <row r="4" customFormat="false" ht="17.15" hidden="false" customHeight="false" outlineLevel="0" collapsed="false">
      <c r="A4" s="1" t="s">
        <v>586</v>
      </c>
    </row>
    <row r="5" customFormat="false" ht="17.15" hidden="false" customHeight="false" outlineLevel="0" collapsed="false">
      <c r="A5" s="0" t="s">
        <v>587</v>
      </c>
      <c r="B5" s="15" t="n">
        <f aca="false">a26_rev</f>
        <v>20.248</v>
      </c>
      <c r="C5" s="15" t="n">
        <f aca="false">PL!D5</f>
        <v>20.248</v>
      </c>
      <c r="D5" s="14" t="n">
        <f aca="false">C5/B5-1</f>
        <v>0</v>
      </c>
      <c r="E5" s="15" t="n">
        <f aca="false">PL!D15</f>
        <v>20.248</v>
      </c>
      <c r="F5" s="14" t="n">
        <f aca="false">E5/B5-1</f>
        <v>0</v>
      </c>
      <c r="G5" s="15" t="n">
        <f aca="false">PL!D25</f>
        <v>20.248</v>
      </c>
      <c r="H5" s="14" t="n">
        <f aca="false">G5/B5-1</f>
        <v>0</v>
      </c>
      <c r="I5" s="8" t="s">
        <v>51</v>
      </c>
      <c r="J5" s="5" t="s">
        <v>588</v>
      </c>
    </row>
    <row r="6" customFormat="false" ht="17.15" hidden="false" customHeight="false" outlineLevel="0" collapsed="false">
      <c r="A6" s="0" t="s">
        <v>589</v>
      </c>
      <c r="B6" s="15" t="n">
        <f aca="false">g_rev</f>
        <v>10.55</v>
      </c>
      <c r="C6" s="15" t="n">
        <f aca="false">PL!G44</f>
        <v>10.549631742176</v>
      </c>
      <c r="D6" s="14" t="n">
        <f aca="false">C6/B6-1</f>
        <v>-3.49059548795383E-005</v>
      </c>
      <c r="E6" s="15" t="n">
        <f aca="false">PL!G80</f>
        <v>10.549631742176</v>
      </c>
      <c r="F6" s="14" t="n">
        <f aca="false">E6/B6-1</f>
        <v>-3.49059548795383E-005</v>
      </c>
      <c r="G6" s="15" t="n">
        <f aca="false">PL!G116</f>
        <v>10.549631742176</v>
      </c>
      <c r="H6" s="14" t="n">
        <f aca="false">G6/B6-1</f>
        <v>-3.49059548795383E-005</v>
      </c>
      <c r="I6" s="8" t="s">
        <v>51</v>
      </c>
      <c r="J6" s="5" t="s">
        <v>590</v>
      </c>
    </row>
    <row r="7" customFormat="false" ht="17.15" hidden="false" customHeight="false" outlineLevel="0" collapsed="false">
      <c r="A7" s="0" t="s">
        <v>591</v>
      </c>
      <c r="B7" s="14" t="n">
        <f aca="false">g_gm</f>
        <v>0.84</v>
      </c>
      <c r="C7" s="14" t="n">
        <f aca="false">PL!G47</f>
        <v>0.84</v>
      </c>
      <c r="D7" s="14" t="n">
        <f aca="false">C7-B7</f>
        <v>0</v>
      </c>
      <c r="E7" s="14" t="n">
        <f aca="false">PL!G83</f>
        <v>0.84</v>
      </c>
      <c r="F7" s="14" t="n">
        <f aca="false">E7-B7</f>
        <v>0</v>
      </c>
      <c r="G7" s="14" t="n">
        <f aca="false">PL!G119</f>
        <v>0.84</v>
      </c>
      <c r="H7" s="14" t="n">
        <f aca="false">G7-B7</f>
        <v>0</v>
      </c>
      <c r="I7" s="8" t="s">
        <v>51</v>
      </c>
      <c r="J7" s="5" t="s">
        <v>592</v>
      </c>
    </row>
    <row r="8" customFormat="false" ht="17.15" hidden="false" customHeight="false" outlineLevel="0" collapsed="false">
      <c r="A8" s="0" t="s">
        <v>593</v>
      </c>
      <c r="B8" s="15" t="n">
        <f aca="false">g_eps</f>
        <v>45</v>
      </c>
      <c r="C8" s="15" t="n">
        <f aca="false">PL!G52</f>
        <v>45.6001109297109</v>
      </c>
      <c r="D8" s="14" t="n">
        <f aca="false">C8/B8-1</f>
        <v>0.0133357984380191</v>
      </c>
      <c r="E8" s="15" t="n">
        <f aca="false">PL!G88</f>
        <v>45.6001109297109</v>
      </c>
      <c r="F8" s="14" t="n">
        <f aca="false">E8/B8-1</f>
        <v>0.0133357984380191</v>
      </c>
      <c r="G8" s="15" t="n">
        <f aca="false">PL!G124</f>
        <v>45.6001109297109</v>
      </c>
      <c r="H8" s="14" t="n">
        <f aca="false">G8/B8-1</f>
        <v>0.0133357984380191</v>
      </c>
      <c r="I8" s="8" t="s">
        <v>51</v>
      </c>
      <c r="J8" s="5" t="s">
        <v>594</v>
      </c>
    </row>
    <row r="9" customFormat="false" ht="17.15" hidden="false" customHeight="false" outlineLevel="0" collapsed="false">
      <c r="A9" s="1" t="s">
        <v>595</v>
      </c>
    </row>
    <row r="10" customFormat="false" ht="17.15" hidden="false" customHeight="false" outlineLevel="0" collapsed="false">
      <c r="A10" s="0" t="s">
        <v>596</v>
      </c>
      <c r="B10" s="15" t="n">
        <f aca="false">cons_rev27</f>
        <v>49.135</v>
      </c>
      <c r="C10" s="15" t="n">
        <f aca="false">PL!E5</f>
        <v>53.0230121585251</v>
      </c>
      <c r="D10" s="14" t="n">
        <f aca="false">C10/B10-1</f>
        <v>0.0791291779490195</v>
      </c>
      <c r="E10" s="15" t="n">
        <f aca="false">PL!E15</f>
        <v>53.5566301386675</v>
      </c>
      <c r="F10" s="14" t="n">
        <f aca="false">E10/B10-1</f>
        <v>0.0899894197347608</v>
      </c>
      <c r="G10" s="15" t="n">
        <f aca="false">PL!E25</f>
        <v>53.2091394257517</v>
      </c>
      <c r="H10" s="14" t="n">
        <f aca="false">G10/B10-1</f>
        <v>0.0829172570622097</v>
      </c>
      <c r="I10" s="8" t="s">
        <v>185</v>
      </c>
    </row>
    <row r="11" customFormat="false" ht="17.15" hidden="false" customHeight="false" outlineLevel="0" collapsed="false">
      <c r="A11" s="0" t="s">
        <v>597</v>
      </c>
      <c r="B11" s="15" t="n">
        <f aca="false">cons_rev28</f>
        <v>58.436</v>
      </c>
      <c r="C11" s="15" t="n">
        <f aca="false">PL!F5</f>
        <v>60.3042586550984</v>
      </c>
      <c r="D11" s="14" t="n">
        <f aca="false">C11/B11-1</f>
        <v>0.031971022231132</v>
      </c>
      <c r="E11" s="15" t="n">
        <f aca="false">PL!F15</f>
        <v>42.8311689367748</v>
      </c>
      <c r="F11" s="14" t="n">
        <f aca="false">E11/B11-1</f>
        <v>-0.267041396796926</v>
      </c>
      <c r="G11" s="15" t="n">
        <f aca="false">PL!F25</f>
        <v>39.0743564810175</v>
      </c>
      <c r="H11" s="14" t="n">
        <f aca="false">G11/B11-1</f>
        <v>-0.331330746782506</v>
      </c>
      <c r="I11" s="8" t="s">
        <v>185</v>
      </c>
    </row>
    <row r="12" customFormat="false" ht="17.15" hidden="false" customHeight="false" outlineLevel="0" collapsed="false">
      <c r="A12" s="0" t="s">
        <v>598</v>
      </c>
      <c r="B12" s="15" t="n">
        <f aca="false">cons_eps27</f>
        <v>217.4</v>
      </c>
      <c r="C12" s="15" t="n">
        <f aca="false">PL!E10</f>
        <v>263.1653771698</v>
      </c>
      <c r="D12" s="14" t="n">
        <f aca="false">C12/B12-1</f>
        <v>0.210512314488499</v>
      </c>
      <c r="E12" s="15" t="n">
        <f aca="false">PL!E20</f>
        <v>266.529384709545</v>
      </c>
      <c r="F12" s="14" t="n">
        <f aca="false">E12/B12-1</f>
        <v>0.225986130218698</v>
      </c>
      <c r="G12" s="15" t="n">
        <f aca="false">PL!E30</f>
        <v>264.128673147724</v>
      </c>
      <c r="H12" s="14" t="n">
        <f aca="false">G12/B12-1</f>
        <v>0.214943298747579</v>
      </c>
      <c r="I12" s="8" t="s">
        <v>185</v>
      </c>
      <c r="J12" s="5" t="s">
        <v>599</v>
      </c>
    </row>
    <row r="13" customFormat="false" ht="17.15" hidden="false" customHeight="false" outlineLevel="0" collapsed="false">
      <c r="A13" s="0" t="s">
        <v>600</v>
      </c>
      <c r="B13" s="15" t="n">
        <f aca="false">cons_eps28</f>
        <v>267.6</v>
      </c>
      <c r="C13" s="15" t="n">
        <f aca="false">PL!F10</f>
        <v>345.440285865471</v>
      </c>
      <c r="D13" s="14" t="n">
        <f aca="false">C13/B13-1</f>
        <v>0.290882981560057</v>
      </c>
      <c r="E13" s="15" t="n">
        <f aca="false">PL!F20</f>
        <v>219.527002202633</v>
      </c>
      <c r="F13" s="14" t="n">
        <f aca="false">E13/B13-1</f>
        <v>-0.179644984295095</v>
      </c>
      <c r="G13" s="15" t="n">
        <f aca="false">PL!F30</f>
        <v>195.002099532463</v>
      </c>
      <c r="H13" s="14" t="n">
        <f aca="false">G13/B13-1</f>
        <v>-0.271292602644011</v>
      </c>
      <c r="I13" s="8" t="s">
        <v>185</v>
      </c>
    </row>
    <row r="14" customFormat="false" ht="17.15" hidden="false" customHeight="false" outlineLevel="0" collapsed="false">
      <c r="A14" s="0" t="s">
        <v>601</v>
      </c>
      <c r="B14" s="15" t="n">
        <f aca="false">cons_bv28</f>
        <v>553.1</v>
      </c>
      <c r="C14" s="15" t="n">
        <f aca="false">PL!F11</f>
        <v>507.619603801931</v>
      </c>
      <c r="D14" s="14" t="n">
        <f aca="false">C14/B14-1</f>
        <v>-0.0822281616309333</v>
      </c>
      <c r="E14" s="15" t="n">
        <f aca="false">PL!F21</f>
        <v>423.246524652077</v>
      </c>
      <c r="F14" s="14" t="n">
        <f aca="false">E14/B14-1</f>
        <v>-0.234773956514054</v>
      </c>
      <c r="G14" s="15" t="n">
        <f aca="false">PL!F31</f>
        <v>404.768888923564</v>
      </c>
      <c r="H14" s="14" t="n">
        <f aca="false">G14/B14-1</f>
        <v>-0.26818136155566</v>
      </c>
      <c r="I14" s="8" t="s">
        <v>185</v>
      </c>
    </row>
    <row r="15" customFormat="false" ht="17.15" hidden="false" customHeight="false" outlineLevel="0" collapsed="false">
      <c r="A15" s="1" t="s">
        <v>602</v>
      </c>
    </row>
    <row r="16" customFormat="false" ht="17.15" hidden="false" customHeight="false" outlineLevel="0" collapsed="false">
      <c r="A16" s="0" t="s">
        <v>603</v>
      </c>
      <c r="C16" s="19" t="n">
        <f aca="false">sd_k</f>
        <v>0.999407699901283</v>
      </c>
      <c r="I16" s="8" t="s">
        <v>604</v>
      </c>
    </row>
    <row r="17" customFormat="false" ht="17.15" hidden="false" customHeight="false" outlineLevel="0" collapsed="false">
      <c r="A17" s="0" t="s">
        <v>605</v>
      </c>
      <c r="C17" s="14" t="n">
        <v>0.262052870362357</v>
      </c>
      <c r="E17" s="14" t="n">
        <v>0.259052870362357</v>
      </c>
      <c r="G17" s="14" t="n">
        <v>0.256052870362357</v>
      </c>
      <c r="I17" s="8" t="s">
        <v>606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7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30"/>
    <col collapsed="false" customWidth="true" hidden="false" outlineLevel="0" max="9" min="3" style="0" width="14"/>
  </cols>
  <sheetData>
    <row r="1" customFormat="false" ht="17.15" hidden="false" customHeight="false" outlineLevel="0" collapsed="false">
      <c r="A1" s="0" t="s">
        <v>607</v>
      </c>
    </row>
    <row r="3" customFormat="false" ht="17.15" hidden="false" customHeight="false" outlineLevel="0" collapsed="false">
      <c r="A3" s="6" t="s">
        <v>608</v>
      </c>
      <c r="B3" s="6" t="s">
        <v>609</v>
      </c>
      <c r="C3" s="12" t="s">
        <v>610</v>
      </c>
      <c r="D3" s="12" t="s">
        <v>611</v>
      </c>
      <c r="E3" s="6" t="s">
        <v>612</v>
      </c>
      <c r="F3" s="12" t="s">
        <v>613</v>
      </c>
      <c r="G3" s="12" t="s">
        <v>614</v>
      </c>
      <c r="H3" s="6" t="s">
        <v>612</v>
      </c>
      <c r="I3" s="12" t="s">
        <v>615</v>
      </c>
    </row>
    <row r="4" customFormat="false" ht="17.15" hidden="false" customHeight="false" outlineLevel="0" collapsed="false">
      <c r="A4" s="5" t="s">
        <v>616</v>
      </c>
      <c r="B4" s="0" t="s">
        <v>617</v>
      </c>
      <c r="C4" s="15" t="n">
        <f aca="false">PL!E55</f>
        <v>53.0230121585251</v>
      </c>
      <c r="D4" s="15" t="n">
        <f aca="false">PL!E69</f>
        <v>263.1653771698</v>
      </c>
      <c r="E4" s="14" t="n">
        <f aca="false">D4/D$4-1</f>
        <v>0</v>
      </c>
      <c r="F4" s="15" t="n">
        <f aca="false">PL!F55</f>
        <v>60.3042586550984</v>
      </c>
      <c r="G4" s="15" t="n">
        <f aca="false">PL!F69</f>
        <v>345.440285865471</v>
      </c>
      <c r="H4" s="14" t="n">
        <f aca="false">G4/G$4-1</f>
        <v>0</v>
      </c>
      <c r="I4" s="14" t="n">
        <f aca="false">PL!E57</f>
        <v>0.86916237142415</v>
      </c>
    </row>
    <row r="5" customFormat="false" ht="17.15" hidden="false" customHeight="false" outlineLevel="0" collapsed="false">
      <c r="A5" s="5" t="s">
        <v>618</v>
      </c>
      <c r="B5" s="5" t="s">
        <v>619</v>
      </c>
      <c r="C5" s="15" t="n">
        <f aca="false">E75</f>
        <v>44.5283360752553</v>
      </c>
      <c r="D5" s="15" t="n">
        <f aca="false">E89</f>
        <v>208.584157374842</v>
      </c>
      <c r="E5" s="14" t="n">
        <f aca="false">D5/D$4-1</f>
        <v>-0.207402738087924</v>
      </c>
      <c r="F5" s="15" t="n">
        <f aca="false">F75</f>
        <v>48.2434069240788</v>
      </c>
      <c r="G5" s="15" t="n">
        <f aca="false">F89</f>
        <v>250.370723647793</v>
      </c>
      <c r="H5" s="14" t="n">
        <f aca="false">G5/G$4-1</f>
        <v>-0.27521272447853</v>
      </c>
      <c r="I5" s="14" t="n">
        <f aca="false">E77</f>
        <v>0.844202461123961</v>
      </c>
    </row>
    <row r="6" customFormat="false" ht="17.15" hidden="false" customHeight="false" outlineLevel="0" collapsed="false">
      <c r="A6" s="5" t="s">
        <v>620</v>
      </c>
      <c r="B6" s="5" t="s">
        <v>621</v>
      </c>
      <c r="C6" s="15" t="n">
        <f aca="false">E125</f>
        <v>61.5176882417949</v>
      </c>
      <c r="D6" s="15" t="n">
        <f aca="false">E139</f>
        <v>319.859318117382</v>
      </c>
      <c r="E6" s="14" t="n">
        <f aca="false">D6/D$4-1</f>
        <v>0.215430850202616</v>
      </c>
      <c r="F6" s="15" t="n">
        <f aca="false">F125</f>
        <v>72.3651103861181</v>
      </c>
      <c r="G6" s="15" t="n">
        <f aca="false">F139</f>
        <v>450.982766915408</v>
      </c>
      <c r="H6" s="14" t="n">
        <f aca="false">G6/G$4-1</f>
        <v>0.305530319909008</v>
      </c>
      <c r="I6" s="14" t="n">
        <f aca="false">E127</f>
        <v>0.887229098344813</v>
      </c>
    </row>
    <row r="7" customFormat="false" ht="17.15" hidden="false" customHeight="false" outlineLevel="0" collapsed="false">
      <c r="A7" s="5" t="s">
        <v>622</v>
      </c>
      <c r="B7" s="5" t="s">
        <v>623</v>
      </c>
      <c r="C7" s="15" t="n">
        <f aca="false">E175</f>
        <v>47.7207109426726</v>
      </c>
      <c r="D7" s="15" t="n">
        <f aca="false">E189</f>
        <v>233.37193478481</v>
      </c>
      <c r="E7" s="14" t="n">
        <f aca="false">D7/D$4-1</f>
        <v>-0.113211862082324</v>
      </c>
      <c r="F7" s="15" t="n">
        <f aca="false">F175</f>
        <v>54.2738327895886</v>
      </c>
      <c r="G7" s="15" t="n">
        <f aca="false">F189</f>
        <v>301.997639138218</v>
      </c>
      <c r="H7" s="14" t="n">
        <f aca="false">G7/G$4-1</f>
        <v>-0.125760221099897</v>
      </c>
      <c r="I7" s="14" t="n">
        <f aca="false">E177</f>
        <v>0.86916237142415</v>
      </c>
    </row>
    <row r="8" customFormat="false" ht="17.15" hidden="false" customHeight="false" outlineLevel="0" collapsed="false">
      <c r="A8" s="5" t="s">
        <v>624</v>
      </c>
      <c r="B8" s="5" t="s">
        <v>625</v>
      </c>
      <c r="C8" s="15" t="n">
        <f aca="false">E225</f>
        <v>58.3253133743776</v>
      </c>
      <c r="D8" s="15" t="n">
        <f aca="false">E239</f>
        <v>293.570721356956</v>
      </c>
      <c r="E8" s="14" t="n">
        <f aca="false">D8/D$4-1</f>
        <v>0.115537022818689</v>
      </c>
      <c r="F8" s="15" t="n">
        <f aca="false">F225</f>
        <v>66.3346845206083</v>
      </c>
      <c r="G8" s="15" t="n">
        <f aca="false">F239</f>
        <v>391.094274952416</v>
      </c>
      <c r="H8" s="14" t="n">
        <f aca="false">G8/G$4-1</f>
        <v>0.132161739539331</v>
      </c>
      <c r="I8" s="14" t="n">
        <f aca="false">E227</f>
        <v>0.86916237142415</v>
      </c>
    </row>
    <row r="9" customFormat="false" ht="17.15" hidden="false" customHeight="false" outlineLevel="0" collapsed="false">
      <c r="A9" s="5" t="s">
        <v>626</v>
      </c>
      <c r="B9" s="0" t="s">
        <v>122</v>
      </c>
      <c r="C9" s="15" t="n">
        <f aca="false">E275</f>
        <v>53.0230121585251</v>
      </c>
      <c r="D9" s="15" t="n">
        <f aca="false">E289</f>
        <v>262.353907472608</v>
      </c>
      <c r="E9" s="14" t="n">
        <f aca="false">D9/D$4-1</f>
        <v>-0.00308349717549594</v>
      </c>
      <c r="F9" s="15" t="n">
        <f aca="false">F275</f>
        <v>60.3042586550984</v>
      </c>
      <c r="G9" s="15" t="n">
        <f aca="false">F289</f>
        <v>341.557259791644</v>
      </c>
      <c r="H9" s="14" t="n">
        <f aca="false">G9/G$4-1</f>
        <v>-0.0112408026298928</v>
      </c>
      <c r="I9" s="14" t="n">
        <f aca="false">E277</f>
        <v>0.86686346259282</v>
      </c>
    </row>
    <row r="10" customFormat="false" ht="17.15" hidden="false" customHeight="false" outlineLevel="0" collapsed="false">
      <c r="A10" s="5" t="s">
        <v>627</v>
      </c>
      <c r="B10" s="0" t="s">
        <v>628</v>
      </c>
      <c r="C10" s="15" t="n">
        <f aca="false">E325</f>
        <v>53.0230121585251</v>
      </c>
      <c r="D10" s="15" t="n">
        <f aca="false">E339</f>
        <v>263.99310869638</v>
      </c>
      <c r="E10" s="14" t="n">
        <f aca="false">D10/D$4-1</f>
        <v>0.00314529037019118</v>
      </c>
      <c r="F10" s="15" t="n">
        <f aca="false">F325</f>
        <v>60.3042586550984</v>
      </c>
      <c r="G10" s="15" t="n">
        <f aca="false">F339</f>
        <v>349.26300946449</v>
      </c>
      <c r="H10" s="14" t="n">
        <f aca="false">G10/G$4-1</f>
        <v>0.0110662356286586</v>
      </c>
      <c r="I10" s="14" t="n">
        <f aca="false">E327</f>
        <v>0.871505947469125</v>
      </c>
    </row>
    <row r="11" customFormat="false" ht="17.15" hidden="false" customHeight="false" outlineLevel="0" collapsed="false">
      <c r="A11" s="5" t="s">
        <v>629</v>
      </c>
      <c r="B11" s="0" t="s">
        <v>630</v>
      </c>
      <c r="C11" s="15" t="n">
        <f aca="false">E375</f>
        <v>53.0230121585251</v>
      </c>
      <c r="D11" s="15" t="n">
        <f aca="false">E389</f>
        <v>260.281117323971</v>
      </c>
      <c r="E11" s="14" t="n">
        <f aca="false">D11/D$4-1</f>
        <v>-0.0109598757893117</v>
      </c>
      <c r="F11" s="15" t="n">
        <f aca="false">F375</f>
        <v>60.3042586550984</v>
      </c>
      <c r="G11" s="15" t="n">
        <f aca="false">F389</f>
        <v>341.361612981067</v>
      </c>
      <c r="H11" s="14" t="n">
        <f aca="false">G11/G$4-1</f>
        <v>-0.0118071720389693</v>
      </c>
      <c r="I11" s="14" t="n">
        <f aca="false">E377</f>
        <v>0.860985019638159</v>
      </c>
    </row>
    <row r="12" customFormat="false" ht="17.15" hidden="false" customHeight="false" outlineLevel="0" collapsed="false">
      <c r="A12" s="5" t="s">
        <v>631</v>
      </c>
      <c r="B12" s="0" t="s">
        <v>632</v>
      </c>
      <c r="C12" s="15" t="n">
        <f aca="false">E425</f>
        <v>53.0230121585251</v>
      </c>
      <c r="D12" s="15" t="n">
        <f aca="false">E439</f>
        <v>265.766414666107</v>
      </c>
      <c r="E12" s="14" t="n">
        <f aca="false">D12/D$4-1</f>
        <v>0.00988366146139841</v>
      </c>
      <c r="F12" s="15" t="n">
        <f aca="false">F425</f>
        <v>60.3042586550984</v>
      </c>
      <c r="G12" s="15" t="n">
        <f aca="false">F439</f>
        <v>349.128517410697</v>
      </c>
      <c r="H12" s="14" t="n">
        <f aca="false">G12/G$4-1</f>
        <v>0.0106769004546901</v>
      </c>
      <c r="I12" s="14" t="n">
        <f aca="false">E427</f>
        <v>0.876521988031541</v>
      </c>
    </row>
    <row r="13" customFormat="false" ht="17.15" hidden="false" customHeight="false" outlineLevel="0" collapsed="false">
      <c r="A13" s="5" t="s">
        <v>633</v>
      </c>
      <c r="B13" s="0" t="s">
        <v>634</v>
      </c>
      <c r="C13" s="15" t="n">
        <f aca="false">E475</f>
        <v>53.0230121585251</v>
      </c>
      <c r="D13" s="15" t="n">
        <f aca="false">E489</f>
        <v>262.548090232992</v>
      </c>
      <c r="E13" s="14" t="n">
        <f aca="false">D13/D$4-1</f>
        <v>-0.00234562366617785</v>
      </c>
      <c r="F13" s="15" t="n">
        <f aca="false">F475</f>
        <v>60.3042586550984</v>
      </c>
      <c r="G13" s="15" t="n">
        <f aca="false">F489</f>
        <v>344.398328521647</v>
      </c>
      <c r="H13" s="14" t="n">
        <f aca="false">G13/G$4-1</f>
        <v>-0.00301631681786407</v>
      </c>
      <c r="I13" s="14" t="n">
        <f aca="false">E477</f>
        <v>0.86916237142415</v>
      </c>
    </row>
    <row r="14" customFormat="false" ht="17.15" hidden="false" customHeight="false" outlineLevel="0" collapsed="false">
      <c r="A14" s="5" t="s">
        <v>635</v>
      </c>
      <c r="B14" s="0" t="s">
        <v>636</v>
      </c>
      <c r="C14" s="15" t="n">
        <f aca="false">E525</f>
        <v>53.0230121585251</v>
      </c>
      <c r="D14" s="15" t="n">
        <f aca="false">E539</f>
        <v>246.146156172516</v>
      </c>
      <c r="E14" s="14" t="n">
        <f aca="false">D14/D$4-1</f>
        <v>-0.0646712009775614</v>
      </c>
      <c r="F14" s="15" t="n">
        <f aca="false">F525</f>
        <v>60.3042586550984</v>
      </c>
      <c r="G14" s="15" t="n">
        <f aca="false">F539</f>
        <v>319.922334145105</v>
      </c>
      <c r="H14" s="14" t="n">
        <f aca="false">G14/G$4-1</f>
        <v>-0.0738708042011761</v>
      </c>
      <c r="I14" s="14" t="n">
        <f aca="false">E527</f>
        <v>0.86916237142415</v>
      </c>
    </row>
    <row r="15" customFormat="false" ht="17.15" hidden="false" customHeight="false" outlineLevel="0" collapsed="false">
      <c r="A15" s="5" t="s">
        <v>637</v>
      </c>
      <c r="B15" s="0" t="s">
        <v>638</v>
      </c>
      <c r="C15" s="15" t="n">
        <f aca="false">E575</f>
        <v>53.0230121585251</v>
      </c>
      <c r="D15" s="15" t="n">
        <f aca="false">E589</f>
        <v>273.479442319527</v>
      </c>
      <c r="E15" s="14" t="n">
        <f aca="false">D15/D$4-1</f>
        <v>0.0391923332037407</v>
      </c>
      <c r="F15" s="15" t="n">
        <f aca="false">F575</f>
        <v>60.3042586550984</v>
      </c>
      <c r="G15" s="15" t="n">
        <f aca="false">F589</f>
        <v>361.150574961744</v>
      </c>
      <c r="H15" s="14" t="n">
        <f aca="false">G15/G$4-1</f>
        <v>0.0454790299194907</v>
      </c>
      <c r="I15" s="14" t="n">
        <f aca="false">E577</f>
        <v>0.86916237142415</v>
      </c>
    </row>
    <row r="16" customFormat="false" ht="17.15" hidden="false" customHeight="false" outlineLevel="0" collapsed="false">
      <c r="A16" s="5" t="s">
        <v>639</v>
      </c>
      <c r="B16" s="0" t="s">
        <v>640</v>
      </c>
      <c r="C16" s="15" t="n">
        <f aca="false">E625</f>
        <v>53.0230121585251</v>
      </c>
      <c r="D16" s="15" t="n">
        <f aca="false">E639</f>
        <v>279.542557033579</v>
      </c>
      <c r="E16" s="14" t="n">
        <f aca="false">D16/D$4-1</f>
        <v>0.0622315140384615</v>
      </c>
      <c r="F16" s="15" t="n">
        <f aca="false">F625</f>
        <v>60.3042586550984</v>
      </c>
      <c r="G16" s="15" t="n">
        <f aca="false">F639</f>
        <v>399.050924586699</v>
      </c>
      <c r="H16" s="14" t="n">
        <f aca="false">G16/G$4-1</f>
        <v>0.155195097140771</v>
      </c>
      <c r="I16" s="14" t="n">
        <f aca="false">E627</f>
        <v>0.86916237142415</v>
      </c>
    </row>
    <row r="17" customFormat="false" ht="17.15" hidden="false" customHeight="false" outlineLevel="0" collapsed="false">
      <c r="A17" s="5" t="s">
        <v>641</v>
      </c>
      <c r="B17" s="0" t="s">
        <v>642</v>
      </c>
      <c r="C17" s="15" t="n">
        <f aca="false">E675</f>
        <v>53.0230121585251</v>
      </c>
      <c r="D17" s="15" t="n">
        <f aca="false">E689</f>
        <v>253.273259675175</v>
      </c>
      <c r="E17" s="14" t="n">
        <f aca="false">D17/D$4-1</f>
        <v>-0.0375889777029531</v>
      </c>
      <c r="F17" s="15" t="n">
        <f aca="false">F675</f>
        <v>60.3042586550984</v>
      </c>
      <c r="G17" s="15" t="n">
        <f aca="false">F689</f>
        <v>317.175864971529</v>
      </c>
      <c r="H17" s="14" t="n">
        <f aca="false">G17/G$4-1</f>
        <v>-0.0818214378879644</v>
      </c>
      <c r="I17" s="14" t="n">
        <f aca="false">E677</f>
        <v>0.86916237142415</v>
      </c>
    </row>
    <row r="18" customFormat="false" ht="17.15" hidden="false" customHeight="false" outlineLevel="0" collapsed="false">
      <c r="A18" s="5" t="s">
        <v>643</v>
      </c>
      <c r="B18" s="0" t="s">
        <v>644</v>
      </c>
      <c r="C18" s="15" t="n">
        <f aca="false">PL!E91</f>
        <v>53.5566301386675</v>
      </c>
      <c r="D18" s="15" t="n">
        <f aca="false">PL!E105</f>
        <v>266.529384709545</v>
      </c>
      <c r="E18" s="14" t="n">
        <f aca="false">D18/D$4-1</f>
        <v>0.0127828651926909</v>
      </c>
      <c r="F18" s="15" t="n">
        <f aca="false">PL!F91</f>
        <v>42.8311689367748</v>
      </c>
      <c r="G18" s="15" t="n">
        <f aca="false">PL!F105</f>
        <v>219.527002202633</v>
      </c>
      <c r="H18" s="14" t="n">
        <f aca="false">G18/G$4-1</f>
        <v>-0.364500866907789</v>
      </c>
      <c r="I18" s="14" t="n">
        <f aca="false">PL!E93</f>
        <v>0.870091327309117</v>
      </c>
    </row>
    <row r="19" customFormat="false" ht="17.15" hidden="false" customHeight="false" outlineLevel="0" collapsed="false">
      <c r="A19" s="5" t="s">
        <v>645</v>
      </c>
      <c r="B19" s="0" t="s">
        <v>646</v>
      </c>
      <c r="C19" s="15" t="n">
        <f aca="false">PL!E127</f>
        <v>53.2091394257517</v>
      </c>
      <c r="D19" s="15" t="n">
        <f aca="false">PL!E141</f>
        <v>264.128673147724</v>
      </c>
      <c r="E19" s="14" t="n">
        <f aca="false">D19/D$4-1</f>
        <v>0.00366042063847316</v>
      </c>
      <c r="F19" s="15" t="n">
        <f aca="false">PL!F127</f>
        <v>39.0743564810175</v>
      </c>
      <c r="G19" s="15" t="n">
        <f aca="false">PL!F141</f>
        <v>195.002099532463</v>
      </c>
      <c r="H19" s="14" t="n">
        <f aca="false">G19/G$4-1</f>
        <v>-0.435496936774756</v>
      </c>
      <c r="I19" s="14" t="n">
        <f aca="false">PL!E129</f>
        <v>0.86889852273067</v>
      </c>
    </row>
    <row r="21" customFormat="false" ht="17.15" hidden="false" customHeight="false" outlineLevel="0" collapsed="false">
      <c r="A21" s="5" t="s">
        <v>647</v>
      </c>
    </row>
    <row r="60" customFormat="false" ht="17.15" hidden="false" customHeight="false" outlineLevel="0" collapsed="false">
      <c r="A60" s="3" t="s">
        <v>648</v>
      </c>
    </row>
    <row r="61" customFormat="false" ht="17.15" hidden="false" customHeight="false" outlineLevel="0" collapsed="false">
      <c r="A61" s="12" t="s">
        <v>340</v>
      </c>
      <c r="B61" s="6" t="s">
        <v>15</v>
      </c>
      <c r="C61" s="12" t="s">
        <v>341</v>
      </c>
      <c r="D61" s="12" t="s">
        <v>342</v>
      </c>
      <c r="E61" s="12" t="s">
        <v>343</v>
      </c>
      <c r="F61" s="12" t="s">
        <v>344</v>
      </c>
      <c r="G61" s="12" t="s">
        <v>345</v>
      </c>
      <c r="H61" s="12" t="s">
        <v>346</v>
      </c>
      <c r="I61" s="12" t="s">
        <v>347</v>
      </c>
      <c r="J61" s="12" t="s">
        <v>348</v>
      </c>
      <c r="K61" s="12" t="s">
        <v>349</v>
      </c>
      <c r="L61" s="12" t="s">
        <v>350</v>
      </c>
      <c r="M61" s="12" t="s">
        <v>351</v>
      </c>
      <c r="N61" s="12" t="s">
        <v>352</v>
      </c>
      <c r="O61" s="12" t="s">
        <v>353</v>
      </c>
      <c r="P61" s="12" t="s">
        <v>354</v>
      </c>
      <c r="Q61" s="12" t="s">
        <v>355</v>
      </c>
      <c r="R61" s="12" t="s">
        <v>356</v>
      </c>
      <c r="S61" s="12"/>
      <c r="T61" s="6" t="s">
        <v>327</v>
      </c>
    </row>
    <row r="62" customFormat="false" ht="17.15" hidden="false" customHeight="false" outlineLevel="0" collapsed="false">
      <c r="A62" s="5" t="s">
        <v>357</v>
      </c>
      <c r="B62" s="0" t="s">
        <v>25</v>
      </c>
      <c r="C62" s="13" t="n">
        <f aca="false">Units!E4*1</f>
        <v>2.31</v>
      </c>
      <c r="D62" s="13" t="n">
        <f aca="false">Units!F4*1</f>
        <v>3.03</v>
      </c>
      <c r="E62" s="13" t="n">
        <f aca="false">Units!G4*1</f>
        <v>5.95</v>
      </c>
      <c r="F62" s="13" t="n">
        <f aca="false">Units!H4*1</f>
        <v>8.97</v>
      </c>
      <c r="G62" s="13" t="n">
        <f aca="false">Units!I4*1</f>
        <v>10.5558839933073</v>
      </c>
      <c r="H62" s="13" t="n">
        <f aca="false">Units!J4*1*0.8</f>
        <v>10.4068382604921</v>
      </c>
      <c r="I62" s="13" t="n">
        <f aca="false">Units!K4*1*0.8</f>
        <v>11.467061880955</v>
      </c>
      <c r="J62" s="13" t="n">
        <f aca="false">Units!L4*1*0.8</f>
        <v>12.1249417090165</v>
      </c>
      <c r="K62" s="13" t="n">
        <f aca="false">Units!M4*1*0.8</f>
        <v>12.1795366873056</v>
      </c>
      <c r="L62" s="13" t="n">
        <f aca="false">Units!N4*1*0.8</f>
        <v>11.9768116485146</v>
      </c>
      <c r="M62" s="13" t="n">
        <f aca="false">Units!O4*1*0.8</f>
        <v>12.0307396415406</v>
      </c>
      <c r="N62" s="13" t="n">
        <f aca="false">Units!P4*1*0.8</f>
        <v>12.0849104561553</v>
      </c>
      <c r="O62" s="13" t="n">
        <f aca="false">Units!Q4*1*0.8</f>
        <v>12.1393251857114</v>
      </c>
      <c r="P62" s="13" t="n">
        <f aca="false">Units!R4*1*0.8</f>
        <v>12.193984928485</v>
      </c>
      <c r="Q62" s="13" t="n">
        <f aca="false">Units!S4*1*0.8</f>
        <v>12.2957226040675</v>
      </c>
      <c r="R62" s="13" t="n">
        <f aca="false">Units!T4*1*0.8</f>
        <v>12.5232673989249</v>
      </c>
      <c r="T62" s="8" t="s">
        <v>358</v>
      </c>
    </row>
    <row r="63" customFormat="false" ht="15" hidden="false" customHeight="false" outlineLevel="0" collapsed="false">
      <c r="A63" s="5" t="s">
        <v>359</v>
      </c>
      <c r="B63" s="0" t="s">
        <v>308</v>
      </c>
      <c r="C63" s="13" t="n">
        <f aca="false">Units!E7*1</f>
        <v>31.1552804325753</v>
      </c>
      <c r="D63" s="13" t="n">
        <f aca="false">Units!F7*1</f>
        <v>33.5147228924475</v>
      </c>
      <c r="E63" s="13" t="n">
        <f aca="false">Units!G7*1</f>
        <v>38.0693331650007</v>
      </c>
      <c r="F63" s="13" t="n">
        <f aca="false">Units!H7*1</f>
        <v>33.6172154529341</v>
      </c>
      <c r="G63" s="13" t="n">
        <f aca="false">Units!I7*1</f>
        <v>34.4006036061451</v>
      </c>
      <c r="H63" s="13" t="n">
        <f aca="false">Units!J7*1</f>
        <v>36.079657444519</v>
      </c>
      <c r="I63" s="13" t="n">
        <f aca="false">Units!K7*1</f>
        <v>38.597442775475</v>
      </c>
      <c r="J63" s="13" t="n">
        <f aca="false">Units!L7*1</f>
        <v>40.8118268330789</v>
      </c>
      <c r="K63" s="13" t="n">
        <f aca="false">Units!M7*1</f>
        <v>43.1532529018101</v>
      </c>
      <c r="L63" s="13" t="n">
        <f aca="false">Units!N7*1</f>
        <v>45.6290095423572</v>
      </c>
      <c r="M63" s="13" t="n">
        <f aca="false">Units!O7*1</f>
        <v>48.2468034693437</v>
      </c>
      <c r="N63" s="13" t="n">
        <f aca="false">Units!P7*1</f>
        <v>51.0147835413486</v>
      </c>
      <c r="O63" s="13" t="n">
        <f aca="false">Units!Q7*1</f>
        <v>53.9415661272627</v>
      </c>
      <c r="P63" s="13" t="n">
        <f aca="false">Units!R7*1</f>
        <v>57.0362619279465</v>
      </c>
      <c r="Q63" s="13" t="n">
        <f aca="false">Units!S7*1</f>
        <v>59.2908563983564</v>
      </c>
      <c r="R63" s="13" t="n">
        <f aca="false">Units!T7*1</f>
        <v>62.2557667231854</v>
      </c>
    </row>
    <row r="64" customFormat="false" ht="17.15" hidden="false" customHeight="false" outlineLevel="0" collapsed="false">
      <c r="A64" s="5" t="s">
        <v>266</v>
      </c>
      <c r="B64" s="0" t="s">
        <v>25</v>
      </c>
      <c r="C64" s="13" t="n">
        <f aca="false">q1_rev</f>
        <v>2.308</v>
      </c>
      <c r="D64" s="13" t="n">
        <f aca="false">q2_rev</f>
        <v>3.025</v>
      </c>
      <c r="E64" s="13" t="n">
        <f aca="false">q3_rev</f>
        <v>5.95</v>
      </c>
      <c r="F64" s="13" t="n">
        <f aca="false">q4_rev</f>
        <v>8.965</v>
      </c>
      <c r="G64" s="13" t="n">
        <f aca="false">G62*sd_k</f>
        <v>10.549631742176</v>
      </c>
      <c r="H64" s="13" t="n">
        <f aca="false">H62*sd_k</f>
        <v>10.4006742891631</v>
      </c>
      <c r="I64" s="13" t="n">
        <f aca="false">I62*sd_k</f>
        <v>11.4602699390709</v>
      </c>
      <c r="J64" s="13" t="n">
        <f aca="false">J62*sd_k</f>
        <v>12.1177601048453</v>
      </c>
      <c r="K64" s="13" t="n">
        <f aca="false">K62*sd_k</f>
        <v>12.1723227465234</v>
      </c>
      <c r="L64" s="13" t="n">
        <f aca="false">L62*sd_k</f>
        <v>11.9697177817929</v>
      </c>
      <c r="M64" s="13" t="n">
        <f aca="false">M62*sd_k</f>
        <v>12.0236138332633</v>
      </c>
      <c r="N64" s="13" t="n">
        <f aca="false">N62*sd_k</f>
        <v>12.0777525624991</v>
      </c>
      <c r="O64" s="13" t="n">
        <f aca="false">O62*sd_k</f>
        <v>12.1321350622056</v>
      </c>
      <c r="P64" s="13" t="n">
        <f aca="false">P62*sd_k</f>
        <v>12.1867624300081</v>
      </c>
      <c r="Q64" s="13" t="n">
        <f aca="false">Q62*sd_k</f>
        <v>12.2884398463553</v>
      </c>
      <c r="R64" s="13" t="n">
        <f aca="false">R62*sd_k</f>
        <v>12.5158498664082</v>
      </c>
      <c r="T64" s="5" t="s">
        <v>360</v>
      </c>
    </row>
    <row r="65" customFormat="false" ht="17.15" hidden="false" customHeight="false" outlineLevel="0" collapsed="false">
      <c r="A65" s="5" t="s">
        <v>361</v>
      </c>
      <c r="B65" s="0" t="s">
        <v>362</v>
      </c>
      <c r="C65" s="19" t="n">
        <f aca="false">C66/C63</f>
        <v>0.0520045391183812</v>
      </c>
      <c r="D65" s="19" t="n">
        <f aca="false">D66/D63</f>
        <v>0.0443170902760084</v>
      </c>
      <c r="E65" s="19" t="n">
        <f aca="false">E66/E63</f>
        <v>0.0337594565796481</v>
      </c>
      <c r="F65" s="19" t="n">
        <f aca="false">F66/F63</f>
        <v>0.0410685412637144</v>
      </c>
      <c r="G65" s="19" t="n">
        <f aca="false">(1-g_gm)*G64/G63</f>
        <v>0.0490671936479231</v>
      </c>
      <c r="H65" s="19" t="n">
        <f aca="false">$G65*(1-cd_A)^(1/4)</f>
        <v>0.0472515253161731</v>
      </c>
      <c r="I65" s="19" t="n">
        <f aca="false">$G65*(1-cd_A)^(2/4)</f>
        <v>0.0455030434535449</v>
      </c>
      <c r="J65" s="19" t="n">
        <f aca="false">$G65*(1-cd_A)^(3/4)</f>
        <v>0.0438192619112447</v>
      </c>
      <c r="K65" s="19" t="n">
        <f aca="false">$G65*(1-cd_A)^(4/4)</f>
        <v>0.0421977865372139</v>
      </c>
      <c r="L65" s="19" t="n">
        <f aca="false">$G65*(1-cd_A)^(5/4)</f>
        <v>0.0406363117719089</v>
      </c>
      <c r="M65" s="19" t="n">
        <f aca="false">$G65*(1-cd_A)^(6/4)</f>
        <v>0.0391326173700486</v>
      </c>
      <c r="N65" s="19" t="n">
        <f aca="false">$G65*(1-cd_A)^(7/4)</f>
        <v>0.0376845652436704</v>
      </c>
      <c r="O65" s="19" t="n">
        <f aca="false">$G65*(1-cd_A)^(8/4)</f>
        <v>0.0362900964220039</v>
      </c>
      <c r="P65" s="19" t="n">
        <f aca="false">$G65*(1-cd_A)^(9/4)</f>
        <v>0.0349472281238416</v>
      </c>
      <c r="Q65" s="19" t="n">
        <f aca="false">$G65*(1-cd_A)^(10/4)</f>
        <v>0.0336540509382418</v>
      </c>
      <c r="R65" s="19" t="n">
        <f aca="false">$G65*(1-cd_A)^(11/4)</f>
        <v>0.0324087261095565</v>
      </c>
    </row>
    <row r="66" customFormat="false" ht="15" hidden="false" customHeight="false" outlineLevel="0" collapsed="false">
      <c r="A66" s="5" t="s">
        <v>363</v>
      </c>
      <c r="B66" s="0" t="s">
        <v>25</v>
      </c>
      <c r="C66" s="13" t="n">
        <f aca="false">q1_rev*(1-q1_gm)</f>
        <v>1.620216</v>
      </c>
      <c r="D66" s="13" t="n">
        <f aca="false">q2_rev*(1-q2_gm)</f>
        <v>1.485275</v>
      </c>
      <c r="E66" s="13" t="n">
        <f aca="false">q3_rev*(1-q3_gm)</f>
        <v>1.2852</v>
      </c>
      <c r="F66" s="13" t="n">
        <f aca="false">q4_rev*(1-q4_gm)</f>
        <v>1.38061</v>
      </c>
      <c r="G66" s="13" t="n">
        <f aca="false">G63*G65</f>
        <v>1.68794107874816</v>
      </c>
      <c r="H66" s="13" t="n">
        <f aca="false">H63*H65</f>
        <v>1.70481884713854</v>
      </c>
      <c r="I66" s="13" t="n">
        <f aca="false">I63*I65</f>
        <v>1.75630111580815</v>
      </c>
      <c r="J66" s="13" t="n">
        <f aca="false">J63*J65</f>
        <v>1.78834412907505</v>
      </c>
      <c r="K66" s="13" t="n">
        <f aca="false">K63*K65</f>
        <v>1.82097175433699</v>
      </c>
      <c r="L66" s="13" t="n">
        <f aca="false">L63*L65</f>
        <v>1.85419465760663</v>
      </c>
      <c r="M66" s="13" t="n">
        <f aca="false">M63*M65</f>
        <v>1.88802369949376</v>
      </c>
      <c r="N66" s="13" t="n">
        <f aca="false">N63*N65</f>
        <v>1.92246993875567</v>
      </c>
      <c r="O66" s="13" t="n">
        <f aca="false">O63*O65</f>
        <v>1.95754463591226</v>
      </c>
      <c r="P66" s="13" t="n">
        <f aca="false">P63*P65</f>
        <v>1.99325925692713</v>
      </c>
      <c r="Q66" s="13" t="n">
        <f aca="false">Q63*Q65</f>
        <v>1.99537750140227</v>
      </c>
      <c r="R66" s="13" t="n">
        <f aca="false">R63*R65</f>
        <v>2.01763009247216</v>
      </c>
    </row>
    <row r="67" customFormat="false" ht="15" hidden="false" customHeight="false" outlineLevel="0" collapsed="false">
      <c r="A67" s="5" t="s">
        <v>329</v>
      </c>
      <c r="B67" s="0" t="s">
        <v>31</v>
      </c>
      <c r="C67" s="14" t="n">
        <f aca="false">1-C66/C64</f>
        <v>0.298</v>
      </c>
      <c r="D67" s="14" t="n">
        <f aca="false">1-D66/D64</f>
        <v>0.509</v>
      </c>
      <c r="E67" s="14" t="n">
        <f aca="false">1-E66/E64</f>
        <v>0.784</v>
      </c>
      <c r="F67" s="14" t="n">
        <f aca="false">1-F66/F64</f>
        <v>0.846</v>
      </c>
      <c r="G67" s="14" t="n">
        <f aca="false">1-G66/G64</f>
        <v>0.84</v>
      </c>
      <c r="H67" s="14" t="n">
        <f aca="false">1-H66/H64</f>
        <v>0.836085738314595</v>
      </c>
      <c r="I67" s="14" t="n">
        <f aca="false">1-I66/I64</f>
        <v>0.846748713150247</v>
      </c>
      <c r="J67" s="14" t="n">
        <f aca="false">1-J66/J64</f>
        <v>0.852419579724146</v>
      </c>
      <c r="K67" s="14" t="n">
        <f aca="false">1-K66/K64</f>
        <v>0.850400634927538</v>
      </c>
      <c r="L67" s="14" t="n">
        <f aca="false">1-L66/L64</f>
        <v>0.845092867567267</v>
      </c>
      <c r="M67" s="14" t="n">
        <f aca="false">1-M66/M64</f>
        <v>0.842973691131817</v>
      </c>
      <c r="N67" s="14" t="n">
        <f aca="false">1-N66/N64</f>
        <v>0.840825523721619</v>
      </c>
      <c r="O67" s="14" t="n">
        <f aca="false">1-O66/O64</f>
        <v>0.838647968731368</v>
      </c>
      <c r="P67" s="14" t="n">
        <f aca="false">1-P66/P64</f>
        <v>0.836440624130078</v>
      </c>
      <c r="Q67" s="14" t="n">
        <f aca="false">1-Q66/Q64</f>
        <v>0.837621575533522</v>
      </c>
      <c r="R67" s="14" t="n">
        <f aca="false">1-R66/R64</f>
        <v>0.838794000087253</v>
      </c>
    </row>
    <row r="68" customFormat="false" ht="17.15" hidden="false" customHeight="false" outlineLevel="0" collapsed="false">
      <c r="A68" s="5" t="s">
        <v>364</v>
      </c>
      <c r="B68" s="0" t="s">
        <v>25</v>
      </c>
      <c r="C68" s="13" t="n">
        <f aca="false">q1_rev-q1_rev*(1-q1_gm)-q1_op</f>
        <v>0.511784</v>
      </c>
      <c r="D68" s="13" t="n">
        <f aca="false">q2_rev-q2_rev*(1-q2_gm)-q2_op</f>
        <v>0.474725</v>
      </c>
      <c r="E68" s="13" t="n">
        <f aca="false">q3_rev-q3_rev*(1-q3_gm)-q3_op</f>
        <v>0.553800000000001</v>
      </c>
      <c r="F68" s="13" t="n">
        <f aca="false">q4_rev-q4_rev*(1-q4_gm)-q4_op</f>
        <v>0.54739</v>
      </c>
      <c r="G68" s="13" t="n">
        <f aca="false">(g_ox-ox_var*g_rev)*(1+ox_g)^(0/4)+ox_var*G64</f>
        <v>0.59399631742176</v>
      </c>
      <c r="H68" s="13" t="n">
        <f aca="false">(g_ox-ox_var*g_rev)*(1+ox_g)^(1/4)+ox_var*H64</f>
        <v>0.604286280009382</v>
      </c>
      <c r="I68" s="13" t="n">
        <f aca="false">(g_ox-ox_var*g_rev)*(1+ox_g)^(2/4)+ox_var*I64</f>
        <v>0.626945821721828</v>
      </c>
      <c r="J68" s="13" t="n">
        <f aca="false">(g_ox-ox_var*g_rev)*(1+ox_g)^(3/4)+ox_var*J64</f>
        <v>0.645875206136018</v>
      </c>
      <c r="K68" s="13" t="n">
        <f aca="false">(g_ox-ox_var*g_rev)*(1+ox_g)^(4/4)+ox_var*K64</f>
        <v>0.659073227465234</v>
      </c>
      <c r="L68" s="13" t="n">
        <f aca="false">(g_ox-ox_var*g_rev)*(1+ox_g)^(5/4)+ox_var*L64</f>
        <v>0.670004668647456</v>
      </c>
      <c r="M68" s="13" t="n">
        <f aca="false">(g_ox-ox_var*g_rev)*(1+ox_g)^(6/4)+ox_var*M64</f>
        <v>0.683813572896864</v>
      </c>
      <c r="N68" s="13" t="n">
        <f aca="false">(g_ox-ox_var*g_rev)*(1+ox_g)^(7/4)+ox_var*N64</f>
        <v>0.697944891221313</v>
      </c>
      <c r="O68" s="13" t="n">
        <f aca="false">(g_ox-ox_var*g_rev)*(1+ox_g)^(8/4)+ox_var*O64</f>
        <v>0.712406350622056</v>
      </c>
      <c r="P68" s="13" t="n">
        <f aca="false">(g_ox-ox_var*g_rev)*(1+ox_g)^(9/4)+ox_var*P64</f>
        <v>0.72720586421256</v>
      </c>
      <c r="Q68" s="13" t="n">
        <f aca="false">(g_ox-ox_var*g_rev)*(1+ox_g)^(10/4)+ox_var*Q64</f>
        <v>0.742819576484207</v>
      </c>
      <c r="R68" s="13" t="n">
        <f aca="false">(g_ox-ox_var*g_rev)*(1+ox_g)^(11/4)+ox_var*R64</f>
        <v>0.760042600820037</v>
      </c>
      <c r="T68" s="5" t="s">
        <v>365</v>
      </c>
    </row>
    <row r="69" customFormat="false" ht="15" hidden="false" customHeight="false" outlineLevel="0" collapsed="false">
      <c r="A69" s="5" t="s">
        <v>330</v>
      </c>
      <c r="B69" s="0" t="s">
        <v>25</v>
      </c>
      <c r="C69" s="13" t="n">
        <f aca="false">C64-C66-C68</f>
        <v>0.176</v>
      </c>
      <c r="D69" s="13" t="n">
        <f aca="false">D64-D66-D68</f>
        <v>1.065</v>
      </c>
      <c r="E69" s="13" t="n">
        <f aca="false">E64-E66-E68</f>
        <v>4.111</v>
      </c>
      <c r="F69" s="13" t="n">
        <f aca="false">F64-F66-F68</f>
        <v>7.037</v>
      </c>
      <c r="G69" s="13" t="n">
        <f aca="false">G64-G66-G68</f>
        <v>8.2676943460061</v>
      </c>
      <c r="H69" s="13" t="n">
        <f aca="false">H64-H66-H68</f>
        <v>8.09156916201514</v>
      </c>
      <c r="I69" s="13" t="n">
        <f aca="false">I64-I66-I68</f>
        <v>9.0770230015409</v>
      </c>
      <c r="J69" s="13" t="n">
        <f aca="false">J64-J66-J68</f>
        <v>9.68354076963423</v>
      </c>
      <c r="K69" s="13" t="n">
        <f aca="false">K64-K66-K68</f>
        <v>9.69227776472117</v>
      </c>
      <c r="L69" s="13" t="n">
        <f aca="false">L64-L66-L68</f>
        <v>9.44551845553883</v>
      </c>
      <c r="M69" s="13" t="n">
        <f aca="false">M64-M66-M68</f>
        <v>9.4517765608727</v>
      </c>
      <c r="N69" s="13" t="n">
        <f aca="false">N64-N66-N68</f>
        <v>9.45733773252213</v>
      </c>
      <c r="O69" s="13" t="n">
        <f aca="false">O64-O66-O68</f>
        <v>9.46218407567127</v>
      </c>
      <c r="P69" s="13" t="n">
        <f aca="false">P64-P66-P68</f>
        <v>9.46629730886838</v>
      </c>
      <c r="Q69" s="13" t="n">
        <f aca="false">Q64-Q66-Q68</f>
        <v>9.55024276846887</v>
      </c>
      <c r="R69" s="13" t="n">
        <f aca="false">R64-R66-R68</f>
        <v>9.73817717311604</v>
      </c>
    </row>
    <row r="71" customFormat="false" ht="17.15" hidden="false" customHeight="false" outlineLevel="0" collapsed="false">
      <c r="A71" s="5" t="s">
        <v>332</v>
      </c>
      <c r="B71" s="0" t="s">
        <v>25</v>
      </c>
      <c r="C71" s="13" t="n">
        <f aca="false">q1_ni</f>
        <v>0.112</v>
      </c>
      <c r="D71" s="13" t="n">
        <f aca="false">q2_ni</f>
        <v>0.803</v>
      </c>
      <c r="E71" s="13" t="n">
        <f aca="false">q3_ni</f>
        <v>3.615</v>
      </c>
      <c r="F71" s="13" t="n">
        <f aca="false">q4_ni</f>
        <v>6.903</v>
      </c>
      <c r="G71" s="13" t="n">
        <f aca="false">(G69+rf*$D87/4)*(1-tax)</f>
        <v>7.06801719410518</v>
      </c>
      <c r="H71" s="13" t="n">
        <f aca="false">(H69+rf*$D87/4)*(1-tax)</f>
        <v>6.91831078771287</v>
      </c>
      <c r="I71" s="13" t="n">
        <f aca="false">(I69+rf*$D87/4)*(1-tax)</f>
        <v>7.75594655130977</v>
      </c>
      <c r="J71" s="13" t="n">
        <f aca="false">(J69+rf*$D87/4)*(1-tax)</f>
        <v>8.2714866541891</v>
      </c>
      <c r="K71" s="13" t="n">
        <f aca="false">(K69+rf*$E87/4)*(1-tax)</f>
        <v>8.3957968593599</v>
      </c>
      <c r="L71" s="13" t="n">
        <f aca="false">(L69+rf*$E87/4)*(1-tax)</f>
        <v>8.18605144655491</v>
      </c>
      <c r="M71" s="13" t="n">
        <f aca="false">(M69+rf*$E87/4)*(1-tax)</f>
        <v>8.1913708360887</v>
      </c>
      <c r="N71" s="13" t="n">
        <f aca="false">(N69+rf*$E87/4)*(1-tax)</f>
        <v>8.19609783199072</v>
      </c>
      <c r="O71" s="13" t="n">
        <f aca="false">(O69+rf*$F87/4)*(1-tax)</f>
        <v>8.32871475204132</v>
      </c>
      <c r="P71" s="13" t="n">
        <f aca="false">(P69+rf*$F87/4)*(1-tax)</f>
        <v>8.33221100025886</v>
      </c>
      <c r="Q71" s="13" t="n">
        <f aca="false">(Q69+rf*$F87/4)*(1-tax)</f>
        <v>8.40356464091928</v>
      </c>
      <c r="R71" s="13" t="n">
        <f aca="false">(R69+rf*$F87/4)*(1-tax)</f>
        <v>8.56330888486938</v>
      </c>
      <c r="T71" s="5" t="s">
        <v>366</v>
      </c>
    </row>
    <row r="72" customFormat="false" ht="17.15" hidden="false" customHeight="false" outlineLevel="0" collapsed="false">
      <c r="A72" s="5" t="s">
        <v>367</v>
      </c>
      <c r="B72" s="0" t="s">
        <v>38</v>
      </c>
      <c r="G72" s="15" t="n">
        <f aca="false">G71/(sh0+dil)*1000</f>
        <v>45.6001109297109</v>
      </c>
      <c r="H72" s="15" t="n">
        <f aca="false">H71/(sh0+dil)*1000</f>
        <v>44.6342631465346</v>
      </c>
      <c r="I72" s="15" t="n">
        <f aca="false">I71/(sh0+dil)*1000</f>
        <v>50.0383648471598</v>
      </c>
      <c r="J72" s="15" t="n">
        <f aca="false">J71/(sh0+dil)*1000</f>
        <v>53.3644300270264</v>
      </c>
      <c r="K72" s="15" t="n">
        <f aca="false">K71/(sh0+dil)*1000</f>
        <v>54.166431350709</v>
      </c>
      <c r="L72" s="15" t="n">
        <f aca="false">L71/(sh0+dil)*1000</f>
        <v>52.8132351390639</v>
      </c>
      <c r="M72" s="15" t="n">
        <f aca="false">M71/(sh0+dil)*1000</f>
        <v>52.8475537812174</v>
      </c>
      <c r="N72" s="15" t="n">
        <f aca="false">N71/(sh0+dil)*1000</f>
        <v>52.8780505289724</v>
      </c>
      <c r="O72" s="15" t="n">
        <f aca="false">O71/(sh0+dil)*1000</f>
        <v>53.7336435615569</v>
      </c>
      <c r="P72" s="15" t="n">
        <f aca="false">P71/(sh0+dil)*1000</f>
        <v>53.7562000016701</v>
      </c>
      <c r="Q72" s="15" t="n">
        <f aca="false">Q71/(sh0+dil)*1000</f>
        <v>54.216546070447</v>
      </c>
      <c r="R72" s="15" t="n">
        <f aca="false">R71/(sh0+dil)*1000</f>
        <v>55.2471540959315</v>
      </c>
    </row>
    <row r="74" customFormat="false" ht="17.15" hidden="false" customHeight="false" outlineLevel="0" collapsed="false">
      <c r="A74" s="12" t="s">
        <v>368</v>
      </c>
      <c r="B74" s="6" t="s">
        <v>15</v>
      </c>
      <c r="C74" s="12" t="s">
        <v>322</v>
      </c>
      <c r="D74" s="12" t="s">
        <v>323</v>
      </c>
      <c r="E74" s="12" t="s">
        <v>324</v>
      </c>
      <c r="F74" s="12" t="s">
        <v>325</v>
      </c>
      <c r="G74" s="12" t="s">
        <v>326</v>
      </c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6" t="s">
        <v>327</v>
      </c>
    </row>
    <row r="75" customFormat="false" ht="15" hidden="false" customHeight="false" outlineLevel="0" collapsed="false">
      <c r="A75" s="5" t="s">
        <v>266</v>
      </c>
      <c r="B75" s="0" t="s">
        <v>25</v>
      </c>
      <c r="C75" s="13" t="n">
        <f aca="false">a25_rev</f>
        <v>7.355</v>
      </c>
      <c r="D75" s="13" t="n">
        <f aca="false">SUM(C64:F64)</f>
        <v>20.248</v>
      </c>
      <c r="E75" s="13" t="n">
        <f aca="false">SUM(G64:J64)</f>
        <v>44.5283360752553</v>
      </c>
      <c r="F75" s="13" t="n">
        <f aca="false">SUM(K64:N64)</f>
        <v>48.2434069240788</v>
      </c>
      <c r="G75" s="13" t="n">
        <f aca="false">SUM(O64:R64)</f>
        <v>49.1231872049772</v>
      </c>
    </row>
    <row r="76" customFormat="false" ht="15" hidden="false" customHeight="false" outlineLevel="0" collapsed="false">
      <c r="A76" s="5" t="s">
        <v>363</v>
      </c>
      <c r="B76" s="0" t="s">
        <v>25</v>
      </c>
      <c r="D76" s="13" t="n">
        <f aca="false">SUM(C66:F66)</f>
        <v>5.771301</v>
      </c>
      <c r="E76" s="13" t="n">
        <f aca="false">SUM(G66:J66)</f>
        <v>6.93740517076991</v>
      </c>
      <c r="F76" s="13" t="n">
        <f aca="false">SUM(K66:N66)</f>
        <v>7.48566005019306</v>
      </c>
      <c r="G76" s="13" t="n">
        <f aca="false">SUM(O66:R66)</f>
        <v>7.96381148671382</v>
      </c>
    </row>
    <row r="77" customFormat="false" ht="15" hidden="false" customHeight="false" outlineLevel="0" collapsed="false">
      <c r="A77" s="5" t="s">
        <v>329</v>
      </c>
      <c r="B77" s="0" t="s">
        <v>31</v>
      </c>
      <c r="D77" s="14" t="n">
        <f aca="false">1-D76/D75</f>
        <v>0.714969330304228</v>
      </c>
      <c r="E77" s="14" t="n">
        <f aca="false">1-E76/E75</f>
        <v>0.844202461123961</v>
      </c>
      <c r="F77" s="14" t="n">
        <f aca="false">1-F76/F75</f>
        <v>0.844835584228673</v>
      </c>
      <c r="G77" s="14" t="n">
        <f aca="false">1-G76/G75</f>
        <v>0.837880806603955</v>
      </c>
    </row>
    <row r="78" customFormat="false" ht="15" hidden="false" customHeight="false" outlineLevel="0" collapsed="false">
      <c r="A78" s="5" t="s">
        <v>364</v>
      </c>
      <c r="B78" s="0" t="s">
        <v>25</v>
      </c>
      <c r="D78" s="13" t="n">
        <f aca="false">SUM(C68:F68)</f>
        <v>2.087699</v>
      </c>
      <c r="E78" s="13" t="n">
        <f aca="false">SUM(G68:J68)</f>
        <v>2.47110362528899</v>
      </c>
      <c r="F78" s="13" t="n">
        <f aca="false">SUM(K68:N68)</f>
        <v>2.71083636023087</v>
      </c>
      <c r="G78" s="13" t="n">
        <f aca="false">SUM(O68:R68)</f>
        <v>2.94247439213886</v>
      </c>
    </row>
    <row r="79" customFormat="false" ht="15" hidden="false" customHeight="false" outlineLevel="0" collapsed="false">
      <c r="A79" s="5" t="s">
        <v>330</v>
      </c>
      <c r="B79" s="0" t="s">
        <v>25</v>
      </c>
      <c r="D79" s="13" t="n">
        <f aca="false">SUM(C69:F69)</f>
        <v>12.389</v>
      </c>
      <c r="E79" s="13" t="n">
        <f aca="false">SUM(G69:J69)</f>
        <v>35.1198272791964</v>
      </c>
      <c r="F79" s="13" t="n">
        <f aca="false">SUM(K69:N69)</f>
        <v>38.0469105136548</v>
      </c>
      <c r="G79" s="13" t="n">
        <f aca="false">SUM(O69:R69)</f>
        <v>38.2169013261246</v>
      </c>
    </row>
    <row r="80" customFormat="false" ht="15" hidden="false" customHeight="false" outlineLevel="0" collapsed="false">
      <c r="A80" s="5" t="s">
        <v>331</v>
      </c>
      <c r="B80" s="0" t="s">
        <v>31</v>
      </c>
      <c r="D80" s="14" t="n">
        <f aca="false">D79/D75</f>
        <v>0.61186290003951</v>
      </c>
      <c r="E80" s="14" t="n">
        <f aca="false">E79/E75</f>
        <v>0.788707379944357</v>
      </c>
      <c r="F80" s="14" t="n">
        <f aca="false">F79/F75</f>
        <v>0.788644769087924</v>
      </c>
      <c r="G80" s="14" t="n">
        <f aca="false">G79/G75</f>
        <v>0.777980898646828</v>
      </c>
    </row>
    <row r="81" customFormat="false" ht="15" hidden="false" customHeight="false" outlineLevel="0" collapsed="false">
      <c r="A81" s="5" t="s">
        <v>332</v>
      </c>
      <c r="B81" s="0" t="s">
        <v>25</v>
      </c>
      <c r="C81" s="13" t="n">
        <f aca="false">a25_ni</f>
        <v>-1.641</v>
      </c>
      <c r="D81" s="13" t="n">
        <f aca="false">SUM(C71:F71)</f>
        <v>11.433</v>
      </c>
      <c r="E81" s="13" t="n">
        <f aca="false">SUM(G71:J71)</f>
        <v>30.0137611873169</v>
      </c>
      <c r="F81" s="13" t="n">
        <f aca="false">SUM(K71:N71)</f>
        <v>32.9693169739942</v>
      </c>
      <c r="G81" s="13" t="n">
        <f aca="false">SUM(O71:R71)</f>
        <v>33.6277992780888</v>
      </c>
    </row>
    <row r="82" customFormat="false" ht="15" hidden="false" customHeight="false" outlineLevel="0" collapsed="false">
      <c r="A82" s="5" t="s">
        <v>369</v>
      </c>
      <c r="B82" s="0" t="s">
        <v>25</v>
      </c>
      <c r="D82" s="13" t="n">
        <f aca="false">da_y</f>
        <v>0.16</v>
      </c>
      <c r="E82" s="13" t="n">
        <f aca="false">da_y</f>
        <v>0.16</v>
      </c>
      <c r="F82" s="13" t="n">
        <f aca="false">da_y</f>
        <v>0.16</v>
      </c>
      <c r="G82" s="13" t="n">
        <f aca="false">da_y</f>
        <v>0.16</v>
      </c>
    </row>
    <row r="83" customFormat="false" ht="17.15" hidden="false" customHeight="false" outlineLevel="0" collapsed="false">
      <c r="A83" s="5" t="s">
        <v>370</v>
      </c>
      <c r="B83" s="0" t="s">
        <v>25</v>
      </c>
      <c r="D83" s="13" t="n">
        <v>0.562</v>
      </c>
      <c r="E83" s="13" t="n">
        <f aca="false">cap_r*E75</f>
        <v>2.67170016451532</v>
      </c>
      <c r="F83" s="13" t="n">
        <f aca="false">cap_r*F75</f>
        <v>2.89460441544472</v>
      </c>
      <c r="G83" s="13" t="n">
        <f aca="false">cap_r*G75</f>
        <v>2.94739123229863</v>
      </c>
      <c r="T83" s="8" t="s">
        <v>371</v>
      </c>
    </row>
    <row r="84" customFormat="false" ht="15" hidden="false" customHeight="false" outlineLevel="0" collapsed="false">
      <c r="A84" s="5" t="s">
        <v>372</v>
      </c>
      <c r="B84" s="0" t="s">
        <v>25</v>
      </c>
      <c r="D84" s="13" t="n">
        <f aca="false">D81+D82-D83</f>
        <v>11.031</v>
      </c>
      <c r="E84" s="13" t="n">
        <f aca="false">E81+E82-E83</f>
        <v>27.5020610228016</v>
      </c>
      <c r="F84" s="13" t="n">
        <f aca="false">F81+F82-F83</f>
        <v>30.2347125585495</v>
      </c>
      <c r="G84" s="13" t="n">
        <f aca="false">G81+G82-G83</f>
        <v>30.8404080457902</v>
      </c>
    </row>
    <row r="85" customFormat="false" ht="17.15" hidden="false" customHeight="false" outlineLevel="0" collapsed="false">
      <c r="A85" s="5" t="s">
        <v>373</v>
      </c>
      <c r="B85" s="0" t="s">
        <v>25</v>
      </c>
      <c r="D85" s="13" t="n">
        <v>4.524</v>
      </c>
      <c r="E85" s="13" t="n">
        <f aca="false">MAX(0,payout*E84)</f>
        <v>13.7510305114008</v>
      </c>
      <c r="F85" s="13" t="n">
        <f aca="false">MAX(0,payout*F84)</f>
        <v>15.1173562792747</v>
      </c>
      <c r="G85" s="13" t="n">
        <f aca="false">MAX(0,payout*G84)</f>
        <v>15.4202040228951</v>
      </c>
      <c r="T85" s="8" t="s">
        <v>374</v>
      </c>
    </row>
    <row r="86" customFormat="false" ht="15" hidden="false" customHeight="false" outlineLevel="0" collapsed="false">
      <c r="A86" s="5" t="s">
        <v>375</v>
      </c>
      <c r="B86" s="0" t="s">
        <v>25</v>
      </c>
      <c r="D86" s="13" t="n">
        <f aca="false">eq0</f>
        <v>15.736</v>
      </c>
      <c r="E86" s="13" t="n">
        <f aca="false">D86+E81-E85</f>
        <v>31.9987306759161</v>
      </c>
      <c r="F86" s="13" t="n">
        <f aca="false">E86+F81-F85</f>
        <v>49.8506913706356</v>
      </c>
      <c r="G86" s="13" t="n">
        <f aca="false">F86+G81-G85</f>
        <v>68.0582866258293</v>
      </c>
    </row>
    <row r="87" customFormat="false" ht="15" hidden="false" customHeight="false" outlineLevel="0" collapsed="false">
      <c r="A87" s="5" t="s">
        <v>376</v>
      </c>
      <c r="B87" s="0" t="s">
        <v>25</v>
      </c>
      <c r="D87" s="13" t="n">
        <f aca="false">nc0</f>
        <v>4.762</v>
      </c>
      <c r="E87" s="13" t="n">
        <f aca="false">D87+E84-E85</f>
        <v>18.5130305114008</v>
      </c>
      <c r="F87" s="13" t="n">
        <f aca="false">E87+F84-F85</f>
        <v>33.6303867906755</v>
      </c>
      <c r="G87" s="13" t="n">
        <f aca="false">F87+G84-G85</f>
        <v>49.0505908135707</v>
      </c>
    </row>
    <row r="88" customFormat="false" ht="15" hidden="false" customHeight="false" outlineLevel="0" collapsed="false">
      <c r="A88" s="5" t="s">
        <v>377</v>
      </c>
      <c r="B88" s="5" t="s">
        <v>111</v>
      </c>
      <c r="D88" s="20" t="n">
        <f aca="false">sh0</f>
        <v>146.42</v>
      </c>
      <c r="E88" s="20" t="n">
        <f aca="false">D88-E85/bb_px*1000</f>
        <v>135.312813169793</v>
      </c>
      <c r="F88" s="20" t="n">
        <f aca="false">E88-F85/bb_px*1000</f>
        <v>123.101997374316</v>
      </c>
      <c r="G88" s="20" t="n">
        <f aca="false">F88-G85/bb_px*1000</f>
        <v>110.646560896286</v>
      </c>
    </row>
    <row r="89" customFormat="false" ht="17.15" hidden="false" customHeight="false" outlineLevel="0" collapsed="false">
      <c r="A89" s="0" t="s">
        <v>378</v>
      </c>
      <c r="B89" s="0" t="s">
        <v>38</v>
      </c>
      <c r="C89" s="15" t="n">
        <f aca="false">a25_eps</f>
        <v>-11.32</v>
      </c>
      <c r="D89" s="15" t="n">
        <f aca="false">a26_eps</f>
        <v>73.76</v>
      </c>
      <c r="E89" s="15" t="n">
        <f aca="false">E81/(E88+dil)*1000</f>
        <v>208.584157374842</v>
      </c>
      <c r="F89" s="15" t="n">
        <f aca="false">F81/(F88+dil)*1000</f>
        <v>250.370723647793</v>
      </c>
      <c r="G89" s="15" t="n">
        <f aca="false">G81/(G88+dil)*1000</f>
        <v>282.049561987628</v>
      </c>
    </row>
    <row r="90" customFormat="false" ht="17.15" hidden="false" customHeight="false" outlineLevel="0" collapsed="false">
      <c r="A90" s="5" t="s">
        <v>379</v>
      </c>
      <c r="B90" s="0" t="s">
        <v>38</v>
      </c>
      <c r="D90" s="15" t="n">
        <f aca="false">D86/D88*1000</f>
        <v>107.471656877476</v>
      </c>
      <c r="E90" s="15" t="n">
        <f aca="false">E86/E88*1000</f>
        <v>236.479679391215</v>
      </c>
      <c r="F90" s="15" t="n">
        <f aca="false">F86/F88*1000</f>
        <v>404.954366573393</v>
      </c>
      <c r="G90" s="15" t="n">
        <f aca="false">G86/G88*1000</f>
        <v>615.096267561567</v>
      </c>
    </row>
    <row r="91" customFormat="false" ht="17.15" hidden="false" customHeight="false" outlineLevel="0" collapsed="false">
      <c r="A91" s="0" t="s">
        <v>380</v>
      </c>
      <c r="B91" s="0" t="s">
        <v>31</v>
      </c>
      <c r="D91" s="21" t="n">
        <f aca="false">D81/D86</f>
        <v>0.72655058464667</v>
      </c>
      <c r="E91" s="21" t="n">
        <f aca="false">E81/E86</f>
        <v>0.937967242866506</v>
      </c>
      <c r="F91" s="21" t="n">
        <f aca="false">F81/F86</f>
        <v>0.661361278399736</v>
      </c>
      <c r="G91" s="21" t="n">
        <f aca="false">G81/G86</f>
        <v>0.494102936545665</v>
      </c>
    </row>
    <row r="92" customFormat="false" ht="15" hidden="false" customHeight="false" outlineLevel="0" collapsed="false">
      <c r="A92" s="5" t="s">
        <v>381</v>
      </c>
      <c r="B92" s="0" t="s">
        <v>38</v>
      </c>
      <c r="E92" s="15" t="n">
        <f aca="false">E84/(E88+dil)*1000</f>
        <v>191.128802175472</v>
      </c>
      <c r="F92" s="15" t="n">
        <f aca="false">F84/(F88+dil)*1000</f>
        <v>229.603994178529</v>
      </c>
      <c r="G92" s="15" t="n">
        <f aca="false">G84/(G88+dil)*1000</f>
        <v>258.670616798365</v>
      </c>
    </row>
    <row r="93" customFormat="false" ht="17.15" hidden="false" customHeight="false" outlineLevel="0" collapsed="false">
      <c r="A93" s="5" t="s">
        <v>382</v>
      </c>
      <c r="B93" s="0" t="s">
        <v>25</v>
      </c>
      <c r="D93" s="18" t="n">
        <f aca="false">ABS(D75-a26_rev)+ABS(D81-a26_ni)</f>
        <v>0</v>
      </c>
    </row>
    <row r="110" customFormat="false" ht="17.15" hidden="false" customHeight="false" outlineLevel="0" collapsed="false">
      <c r="A110" s="3" t="s">
        <v>649</v>
      </c>
    </row>
    <row r="111" customFormat="false" ht="17.15" hidden="false" customHeight="false" outlineLevel="0" collapsed="false">
      <c r="A111" s="12" t="s">
        <v>340</v>
      </c>
      <c r="B111" s="6" t="s">
        <v>15</v>
      </c>
      <c r="C111" s="12" t="s">
        <v>341</v>
      </c>
      <c r="D111" s="12" t="s">
        <v>342</v>
      </c>
      <c r="E111" s="12" t="s">
        <v>343</v>
      </c>
      <c r="F111" s="12" t="s">
        <v>344</v>
      </c>
      <c r="G111" s="12" t="s">
        <v>345</v>
      </c>
      <c r="H111" s="12" t="s">
        <v>346</v>
      </c>
      <c r="I111" s="12" t="s">
        <v>347</v>
      </c>
      <c r="J111" s="12" t="s">
        <v>348</v>
      </c>
      <c r="K111" s="12" t="s">
        <v>349</v>
      </c>
      <c r="L111" s="12" t="s">
        <v>350</v>
      </c>
      <c r="M111" s="12" t="s">
        <v>351</v>
      </c>
      <c r="N111" s="12" t="s">
        <v>352</v>
      </c>
      <c r="O111" s="12" t="s">
        <v>353</v>
      </c>
      <c r="P111" s="12" t="s">
        <v>354</v>
      </c>
      <c r="Q111" s="12" t="s">
        <v>355</v>
      </c>
      <c r="R111" s="12" t="s">
        <v>356</v>
      </c>
      <c r="S111" s="12"/>
      <c r="T111" s="6" t="s">
        <v>327</v>
      </c>
    </row>
    <row r="112" customFormat="false" ht="17.15" hidden="false" customHeight="false" outlineLevel="0" collapsed="false">
      <c r="A112" s="5" t="s">
        <v>357</v>
      </c>
      <c r="B112" s="0" t="s">
        <v>25</v>
      </c>
      <c r="C112" s="13" t="n">
        <f aca="false">Units!E4*1</f>
        <v>2.31</v>
      </c>
      <c r="D112" s="13" t="n">
        <f aca="false">Units!F4*1</f>
        <v>3.03</v>
      </c>
      <c r="E112" s="13" t="n">
        <f aca="false">Units!G4*1</f>
        <v>5.95</v>
      </c>
      <c r="F112" s="13" t="n">
        <f aca="false">Units!H4*1</f>
        <v>8.97</v>
      </c>
      <c r="G112" s="13" t="n">
        <f aca="false">Units!I4*1</f>
        <v>10.5558839933073</v>
      </c>
      <c r="H112" s="13" t="n">
        <f aca="false">Units!J4*1*1.2</f>
        <v>15.6102573907381</v>
      </c>
      <c r="I112" s="13" t="n">
        <f aca="false">Units!K4*1*1.2</f>
        <v>17.2005928214324</v>
      </c>
      <c r="J112" s="13" t="n">
        <f aca="false">Units!L4*1*1.2</f>
        <v>18.1874125635247</v>
      </c>
      <c r="K112" s="13" t="n">
        <f aca="false">Units!M4*1*1.2</f>
        <v>18.2693050309584</v>
      </c>
      <c r="L112" s="13" t="n">
        <f aca="false">Units!N4*1*1.2</f>
        <v>17.965217472772</v>
      </c>
      <c r="M112" s="13" t="n">
        <f aca="false">Units!O4*1*1.2</f>
        <v>18.046109462311</v>
      </c>
      <c r="N112" s="13" t="n">
        <f aca="false">Units!P4*1*1.2</f>
        <v>18.1273656842329</v>
      </c>
      <c r="O112" s="13" t="n">
        <f aca="false">Units!Q4*1*1.2</f>
        <v>18.2089877785672</v>
      </c>
      <c r="P112" s="13" t="n">
        <f aca="false">Units!R4*1*1.2</f>
        <v>18.2909773927274</v>
      </c>
      <c r="Q112" s="13" t="n">
        <f aca="false">Units!S4*1*1.2</f>
        <v>18.4435839061013</v>
      </c>
      <c r="R112" s="13" t="n">
        <f aca="false">Units!T4*1*1.2</f>
        <v>18.7849010983873</v>
      </c>
      <c r="T112" s="8" t="s">
        <v>358</v>
      </c>
    </row>
    <row r="113" customFormat="false" ht="15" hidden="false" customHeight="false" outlineLevel="0" collapsed="false">
      <c r="A113" s="5" t="s">
        <v>359</v>
      </c>
      <c r="B113" s="0" t="s">
        <v>308</v>
      </c>
      <c r="C113" s="13" t="n">
        <f aca="false">Units!E7*1</f>
        <v>31.1552804325753</v>
      </c>
      <c r="D113" s="13" t="n">
        <f aca="false">Units!F7*1</f>
        <v>33.5147228924475</v>
      </c>
      <c r="E113" s="13" t="n">
        <f aca="false">Units!G7*1</f>
        <v>38.0693331650007</v>
      </c>
      <c r="F113" s="13" t="n">
        <f aca="false">Units!H7*1</f>
        <v>33.6172154529341</v>
      </c>
      <c r="G113" s="13" t="n">
        <f aca="false">Units!I7*1</f>
        <v>34.4006036061451</v>
      </c>
      <c r="H113" s="13" t="n">
        <f aca="false">Units!J7*1</f>
        <v>36.079657444519</v>
      </c>
      <c r="I113" s="13" t="n">
        <f aca="false">Units!K7*1</f>
        <v>38.597442775475</v>
      </c>
      <c r="J113" s="13" t="n">
        <f aca="false">Units!L7*1</f>
        <v>40.8118268330789</v>
      </c>
      <c r="K113" s="13" t="n">
        <f aca="false">Units!M7*1</f>
        <v>43.1532529018101</v>
      </c>
      <c r="L113" s="13" t="n">
        <f aca="false">Units!N7*1</f>
        <v>45.6290095423572</v>
      </c>
      <c r="M113" s="13" t="n">
        <f aca="false">Units!O7*1</f>
        <v>48.2468034693437</v>
      </c>
      <c r="N113" s="13" t="n">
        <f aca="false">Units!P7*1</f>
        <v>51.0147835413486</v>
      </c>
      <c r="O113" s="13" t="n">
        <f aca="false">Units!Q7*1</f>
        <v>53.9415661272627</v>
      </c>
      <c r="P113" s="13" t="n">
        <f aca="false">Units!R7*1</f>
        <v>57.0362619279465</v>
      </c>
      <c r="Q113" s="13" t="n">
        <f aca="false">Units!S7*1</f>
        <v>59.2908563983564</v>
      </c>
      <c r="R113" s="13" t="n">
        <f aca="false">Units!T7*1</f>
        <v>62.2557667231854</v>
      </c>
    </row>
    <row r="114" customFormat="false" ht="17.15" hidden="false" customHeight="false" outlineLevel="0" collapsed="false">
      <c r="A114" s="5" t="s">
        <v>266</v>
      </c>
      <c r="B114" s="0" t="s">
        <v>25</v>
      </c>
      <c r="C114" s="13" t="n">
        <f aca="false">q1_rev</f>
        <v>2.308</v>
      </c>
      <c r="D114" s="13" t="n">
        <f aca="false">q2_rev</f>
        <v>3.025</v>
      </c>
      <c r="E114" s="13" t="n">
        <f aca="false">q3_rev</f>
        <v>5.95</v>
      </c>
      <c r="F114" s="13" t="n">
        <f aca="false">q4_rev</f>
        <v>8.965</v>
      </c>
      <c r="G114" s="13" t="n">
        <f aca="false">G112*sd_k</f>
        <v>10.549631742176</v>
      </c>
      <c r="H114" s="13" t="n">
        <f aca="false">H112*sd_k</f>
        <v>15.6010114337446</v>
      </c>
      <c r="I114" s="13" t="n">
        <f aca="false">I112*sd_k</f>
        <v>17.1904049086063</v>
      </c>
      <c r="J114" s="13" t="n">
        <f aca="false">J112*sd_k</f>
        <v>18.1766401572679</v>
      </c>
      <c r="K114" s="13" t="n">
        <f aca="false">K112*sd_k</f>
        <v>18.2584841197851</v>
      </c>
      <c r="L114" s="13" t="n">
        <f aca="false">L112*sd_k</f>
        <v>17.9545766726894</v>
      </c>
      <c r="M114" s="13" t="n">
        <f aca="false">M112*sd_k</f>
        <v>18.035420749895</v>
      </c>
      <c r="N114" s="13" t="n">
        <f aca="false">N112*sd_k</f>
        <v>18.1166288437487</v>
      </c>
      <c r="O114" s="13" t="n">
        <f aca="false">O112*sd_k</f>
        <v>18.1982025933084</v>
      </c>
      <c r="P114" s="13" t="n">
        <f aca="false">P112*sd_k</f>
        <v>18.2801436450121</v>
      </c>
      <c r="Q114" s="13" t="n">
        <f aca="false">Q112*sd_k</f>
        <v>18.432659769533</v>
      </c>
      <c r="R114" s="13" t="n">
        <f aca="false">R112*sd_k</f>
        <v>18.7737747996124</v>
      </c>
      <c r="T114" s="5" t="s">
        <v>360</v>
      </c>
    </row>
    <row r="115" customFormat="false" ht="17.15" hidden="false" customHeight="false" outlineLevel="0" collapsed="false">
      <c r="A115" s="5" t="s">
        <v>361</v>
      </c>
      <c r="B115" s="0" t="s">
        <v>362</v>
      </c>
      <c r="C115" s="19" t="n">
        <f aca="false">C116/C113</f>
        <v>0.0520045391183812</v>
      </c>
      <c r="D115" s="19" t="n">
        <f aca="false">D116/D113</f>
        <v>0.0443170902760084</v>
      </c>
      <c r="E115" s="19" t="n">
        <f aca="false">E116/E113</f>
        <v>0.0337594565796481</v>
      </c>
      <c r="F115" s="19" t="n">
        <f aca="false">F116/F113</f>
        <v>0.0410685412637144</v>
      </c>
      <c r="G115" s="19" t="n">
        <f aca="false">(1-g_gm)*G114/G113</f>
        <v>0.0490671936479231</v>
      </c>
      <c r="H115" s="19" t="n">
        <f aca="false">$G115*(1-cd_A)^(1/4)</f>
        <v>0.0472515253161731</v>
      </c>
      <c r="I115" s="19" t="n">
        <f aca="false">$G115*(1-cd_A)^(2/4)</f>
        <v>0.0455030434535449</v>
      </c>
      <c r="J115" s="19" t="n">
        <f aca="false">$G115*(1-cd_A)^(3/4)</f>
        <v>0.0438192619112447</v>
      </c>
      <c r="K115" s="19" t="n">
        <f aca="false">$G115*(1-cd_A)^(4/4)</f>
        <v>0.0421977865372139</v>
      </c>
      <c r="L115" s="19" t="n">
        <f aca="false">$G115*(1-cd_A)^(5/4)</f>
        <v>0.0406363117719089</v>
      </c>
      <c r="M115" s="19" t="n">
        <f aca="false">$G115*(1-cd_A)^(6/4)</f>
        <v>0.0391326173700486</v>
      </c>
      <c r="N115" s="19" t="n">
        <f aca="false">$G115*(1-cd_A)^(7/4)</f>
        <v>0.0376845652436704</v>
      </c>
      <c r="O115" s="19" t="n">
        <f aca="false">$G115*(1-cd_A)^(8/4)</f>
        <v>0.0362900964220039</v>
      </c>
      <c r="P115" s="19" t="n">
        <f aca="false">$G115*(1-cd_A)^(9/4)</f>
        <v>0.0349472281238416</v>
      </c>
      <c r="Q115" s="19" t="n">
        <f aca="false">$G115*(1-cd_A)^(10/4)</f>
        <v>0.0336540509382418</v>
      </c>
      <c r="R115" s="19" t="n">
        <f aca="false">$G115*(1-cd_A)^(11/4)</f>
        <v>0.0324087261095565</v>
      </c>
    </row>
    <row r="116" customFormat="false" ht="15" hidden="false" customHeight="false" outlineLevel="0" collapsed="false">
      <c r="A116" s="5" t="s">
        <v>363</v>
      </c>
      <c r="B116" s="0" t="s">
        <v>25</v>
      </c>
      <c r="C116" s="13" t="n">
        <f aca="false">q1_rev*(1-q1_gm)</f>
        <v>1.620216</v>
      </c>
      <c r="D116" s="13" t="n">
        <f aca="false">q2_rev*(1-q2_gm)</f>
        <v>1.485275</v>
      </c>
      <c r="E116" s="13" t="n">
        <f aca="false">q3_rev*(1-q3_gm)</f>
        <v>1.2852</v>
      </c>
      <c r="F116" s="13" t="n">
        <f aca="false">q4_rev*(1-q4_gm)</f>
        <v>1.38061</v>
      </c>
      <c r="G116" s="13" t="n">
        <f aca="false">G113*G115</f>
        <v>1.68794107874816</v>
      </c>
      <c r="H116" s="13" t="n">
        <f aca="false">H113*H115</f>
        <v>1.70481884713854</v>
      </c>
      <c r="I116" s="13" t="n">
        <f aca="false">I113*I115</f>
        <v>1.75630111580815</v>
      </c>
      <c r="J116" s="13" t="n">
        <f aca="false">J113*J115</f>
        <v>1.78834412907505</v>
      </c>
      <c r="K116" s="13" t="n">
        <f aca="false">K113*K115</f>
        <v>1.82097175433699</v>
      </c>
      <c r="L116" s="13" t="n">
        <f aca="false">L113*L115</f>
        <v>1.85419465760663</v>
      </c>
      <c r="M116" s="13" t="n">
        <f aca="false">M113*M115</f>
        <v>1.88802369949376</v>
      </c>
      <c r="N116" s="13" t="n">
        <f aca="false">N113*N115</f>
        <v>1.92246993875567</v>
      </c>
      <c r="O116" s="13" t="n">
        <f aca="false">O113*O115</f>
        <v>1.95754463591226</v>
      </c>
      <c r="P116" s="13" t="n">
        <f aca="false">P113*P115</f>
        <v>1.99325925692713</v>
      </c>
      <c r="Q116" s="13" t="n">
        <f aca="false">Q113*Q115</f>
        <v>1.99537750140227</v>
      </c>
      <c r="R116" s="13" t="n">
        <f aca="false">R113*R115</f>
        <v>2.01763009247216</v>
      </c>
    </row>
    <row r="117" customFormat="false" ht="15" hidden="false" customHeight="false" outlineLevel="0" collapsed="false">
      <c r="A117" s="5" t="s">
        <v>329</v>
      </c>
      <c r="B117" s="0" t="s">
        <v>31</v>
      </c>
      <c r="C117" s="14" t="n">
        <f aca="false">1-C116/C114</f>
        <v>0.298</v>
      </c>
      <c r="D117" s="14" t="n">
        <f aca="false">1-D116/D114</f>
        <v>0.509</v>
      </c>
      <c r="E117" s="14" t="n">
        <f aca="false">1-E116/E114</f>
        <v>0.784</v>
      </c>
      <c r="F117" s="14" t="n">
        <f aca="false">1-F116/F114</f>
        <v>0.846</v>
      </c>
      <c r="G117" s="14" t="n">
        <f aca="false">1-G116/G114</f>
        <v>0.84</v>
      </c>
      <c r="H117" s="14" t="n">
        <f aca="false">1-H116/H114</f>
        <v>0.890723825543063</v>
      </c>
      <c r="I117" s="14" t="n">
        <f aca="false">1-I116/I114</f>
        <v>0.897832475433498</v>
      </c>
      <c r="J117" s="14" t="n">
        <f aca="false">1-J116/J114</f>
        <v>0.901613053149431</v>
      </c>
      <c r="K117" s="14" t="n">
        <f aca="false">1-K116/K114</f>
        <v>0.900267089951692</v>
      </c>
      <c r="L117" s="14" t="n">
        <f aca="false">1-L116/L114</f>
        <v>0.896728578378178</v>
      </c>
      <c r="M117" s="14" t="n">
        <f aca="false">1-M116/M114</f>
        <v>0.895315794087878</v>
      </c>
      <c r="N117" s="14" t="n">
        <f aca="false">1-N116/N114</f>
        <v>0.893883682481079</v>
      </c>
      <c r="O117" s="14" t="n">
        <f aca="false">1-O116/O114</f>
        <v>0.892431979154245</v>
      </c>
      <c r="P117" s="14" t="n">
        <f aca="false">1-P116/P114</f>
        <v>0.890960416086719</v>
      </c>
      <c r="Q117" s="14" t="n">
        <f aca="false">1-Q116/Q114</f>
        <v>0.891747717022348</v>
      </c>
      <c r="R117" s="14" t="n">
        <f aca="false">1-R116/R114</f>
        <v>0.892529333391502</v>
      </c>
    </row>
    <row r="118" customFormat="false" ht="17.15" hidden="false" customHeight="false" outlineLevel="0" collapsed="false">
      <c r="A118" s="5" t="s">
        <v>364</v>
      </c>
      <c r="B118" s="0" t="s">
        <v>25</v>
      </c>
      <c r="C118" s="13" t="n">
        <f aca="false">q1_rev-q1_rev*(1-q1_gm)-q1_op</f>
        <v>0.511784</v>
      </c>
      <c r="D118" s="13" t="n">
        <f aca="false">q2_rev-q2_rev*(1-q2_gm)-q2_op</f>
        <v>0.474725</v>
      </c>
      <c r="E118" s="13" t="n">
        <f aca="false">q3_rev-q3_rev*(1-q3_gm)-q3_op</f>
        <v>0.553800000000001</v>
      </c>
      <c r="F118" s="13" t="n">
        <f aca="false">q4_rev-q4_rev*(1-q4_gm)-q4_op</f>
        <v>0.54739</v>
      </c>
      <c r="G118" s="13" t="n">
        <f aca="false">(g_ox-ox_var*g_rev)*(1+ox_g)^(0/4)+ox_var*G114</f>
        <v>0.59399631742176</v>
      </c>
      <c r="H118" s="13" t="n">
        <f aca="false">(g_ox-ox_var*g_rev)*(1+ox_g)^(1/4)+ox_var*H114</f>
        <v>0.656289651455197</v>
      </c>
      <c r="I118" s="13" t="n">
        <f aca="false">(g_ox-ox_var*g_rev)*(1+ox_g)^(2/4)+ox_var*I114</f>
        <v>0.684247171417182</v>
      </c>
      <c r="J118" s="13" t="n">
        <f aca="false">(g_ox-ox_var*g_rev)*(1+ox_g)^(3/4)+ox_var*J114</f>
        <v>0.706464006660245</v>
      </c>
      <c r="K118" s="13" t="n">
        <f aca="false">(g_ox-ox_var*g_rev)*(1+ox_g)^(4/4)+ox_var*K114</f>
        <v>0.719934841197851</v>
      </c>
      <c r="L118" s="13" t="n">
        <f aca="false">(g_ox-ox_var*g_rev)*(1+ox_g)^(5/4)+ox_var*L114</f>
        <v>0.72985325755642</v>
      </c>
      <c r="M118" s="13" t="n">
        <f aca="false">(g_ox-ox_var*g_rev)*(1+ox_g)^(6/4)+ox_var*M114</f>
        <v>0.743931642063181</v>
      </c>
      <c r="N118" s="13" t="n">
        <f aca="false">(g_ox-ox_var*g_rev)*(1+ox_g)^(7/4)+ox_var*N114</f>
        <v>0.758333654033809</v>
      </c>
      <c r="O118" s="13" t="n">
        <f aca="false">(g_ox-ox_var*g_rev)*(1+ox_g)^(8/4)+ox_var*O114</f>
        <v>0.773067025933084</v>
      </c>
      <c r="P118" s="13" t="n">
        <f aca="false">(g_ox-ox_var*g_rev)*(1+ox_g)^(9/4)+ox_var*P114</f>
        <v>0.7881396763626</v>
      </c>
      <c r="Q118" s="13" t="n">
        <f aca="false">(g_ox-ox_var*g_rev)*(1+ox_g)^(10/4)+ox_var*Q114</f>
        <v>0.804261775715984</v>
      </c>
      <c r="R118" s="13" t="n">
        <f aca="false">(g_ox-ox_var*g_rev)*(1+ox_g)^(11/4)+ox_var*R114</f>
        <v>0.822621850152078</v>
      </c>
      <c r="T118" s="5" t="s">
        <v>365</v>
      </c>
    </row>
    <row r="119" customFormat="false" ht="15" hidden="false" customHeight="false" outlineLevel="0" collapsed="false">
      <c r="A119" s="5" t="s">
        <v>330</v>
      </c>
      <c r="B119" s="0" t="s">
        <v>25</v>
      </c>
      <c r="C119" s="13" t="n">
        <f aca="false">C114-C116-C118</f>
        <v>0.176</v>
      </c>
      <c r="D119" s="13" t="n">
        <f aca="false">D114-D116-D118</f>
        <v>1.065</v>
      </c>
      <c r="E119" s="13" t="n">
        <f aca="false">E114-E116-E118</f>
        <v>4.111</v>
      </c>
      <c r="F119" s="13" t="n">
        <f aca="false">F114-F116-F118</f>
        <v>7.037</v>
      </c>
      <c r="G119" s="13" t="n">
        <f aca="false">G114-G116-G118</f>
        <v>8.2676943460061</v>
      </c>
      <c r="H119" s="13" t="n">
        <f aca="false">H114-H116-H118</f>
        <v>13.2399029351509</v>
      </c>
      <c r="I119" s="13" t="n">
        <f aca="false">I114-I116-I118</f>
        <v>14.749856621381</v>
      </c>
      <c r="J119" s="13" t="n">
        <f aca="false">J114-J116-J118</f>
        <v>15.6818320215327</v>
      </c>
      <c r="K119" s="13" t="n">
        <f aca="false">K114-K116-K118</f>
        <v>15.7175775242502</v>
      </c>
      <c r="L119" s="13" t="n">
        <f aca="false">L114-L116-L118</f>
        <v>15.3705287575263</v>
      </c>
      <c r="M119" s="13" t="n">
        <f aca="false">M114-M116-M118</f>
        <v>15.403465408338</v>
      </c>
      <c r="N119" s="13" t="n">
        <f aca="false">N114-N116-N118</f>
        <v>15.4358252509592</v>
      </c>
      <c r="O119" s="13" t="n">
        <f aca="false">O114-O116-O118</f>
        <v>15.467590931463</v>
      </c>
      <c r="P119" s="13" t="n">
        <f aca="false">P114-P116-P118</f>
        <v>15.4987447117224</v>
      </c>
      <c r="Q119" s="13" t="n">
        <f aca="false">Q114-Q116-Q118</f>
        <v>15.6330204924148</v>
      </c>
      <c r="R119" s="13" t="n">
        <f aca="false">R114-R116-R118</f>
        <v>15.9335228569881</v>
      </c>
    </row>
    <row r="121" customFormat="false" ht="17.15" hidden="false" customHeight="false" outlineLevel="0" collapsed="false">
      <c r="A121" s="5" t="s">
        <v>332</v>
      </c>
      <c r="B121" s="0" t="s">
        <v>25</v>
      </c>
      <c r="C121" s="13" t="n">
        <f aca="false">q1_ni</f>
        <v>0.112</v>
      </c>
      <c r="D121" s="13" t="n">
        <f aca="false">q2_ni</f>
        <v>0.803</v>
      </c>
      <c r="E121" s="13" t="n">
        <f aca="false">q3_ni</f>
        <v>3.615</v>
      </c>
      <c r="F121" s="13" t="n">
        <f aca="false">q4_ni</f>
        <v>6.903</v>
      </c>
      <c r="G121" s="13" t="n">
        <f aca="false">(G119+rf*$D137/4)*(1-tax)</f>
        <v>7.06801719410518</v>
      </c>
      <c r="H121" s="13" t="n">
        <f aca="false">(H119+rf*$D137/4)*(1-tax)</f>
        <v>11.2943944948782</v>
      </c>
      <c r="I121" s="13" t="n">
        <f aca="false">(I119+rf*$D137/4)*(1-tax)</f>
        <v>12.5778551281738</v>
      </c>
      <c r="J121" s="13" t="n">
        <f aca="false">(J119+rf*$D137/4)*(1-tax)</f>
        <v>13.3700342183028</v>
      </c>
      <c r="K121" s="13" t="n">
        <f aca="false">(K119+rf*$E137/4)*(1-tax)</f>
        <v>13.5737296645118</v>
      </c>
      <c r="L121" s="13" t="n">
        <f aca="false">(L119+rf*$E137/4)*(1-tax)</f>
        <v>13.2787382127964</v>
      </c>
      <c r="M121" s="13" t="n">
        <f aca="false">(M119+rf*$E137/4)*(1-tax)</f>
        <v>13.3067343659864</v>
      </c>
      <c r="N121" s="13" t="n">
        <f aca="false">(N119+rf*$E137/4)*(1-tax)</f>
        <v>13.3342402322144</v>
      </c>
      <c r="O121" s="13" t="n">
        <f aca="false">(O119+rf*$F137/4)*(1-tax)</f>
        <v>13.5708150880151</v>
      </c>
      <c r="P121" s="13" t="n">
        <f aca="false">(P119+rf*$F137/4)*(1-tax)</f>
        <v>13.5972958012355</v>
      </c>
      <c r="Q121" s="13" t="n">
        <f aca="false">(Q119+rf*$F137/4)*(1-tax)</f>
        <v>13.711430214824</v>
      </c>
      <c r="R121" s="13" t="n">
        <f aca="false">(R119+rf*$F137/4)*(1-tax)</f>
        <v>13.9668572247114</v>
      </c>
      <c r="T121" s="5" t="s">
        <v>366</v>
      </c>
    </row>
    <row r="122" customFormat="false" ht="17.15" hidden="false" customHeight="false" outlineLevel="0" collapsed="false">
      <c r="A122" s="5" t="s">
        <v>367</v>
      </c>
      <c r="B122" s="0" t="s">
        <v>38</v>
      </c>
      <c r="G122" s="15" t="n">
        <f aca="false">G121/(sh0+dil)*1000</f>
        <v>45.6001109297109</v>
      </c>
      <c r="H122" s="15" t="n">
        <f aca="false">H121/(sh0+dil)*1000</f>
        <v>72.8670612572789</v>
      </c>
      <c r="I122" s="15" t="n">
        <f aca="false">I121/(sh0+dil)*1000</f>
        <v>81.1474524398312</v>
      </c>
      <c r="J122" s="15" t="n">
        <f aca="false">J121/(sh0+dil)*1000</f>
        <v>86.2582852793726</v>
      </c>
      <c r="K122" s="15" t="n">
        <f aca="false">K121/(sh0+dil)*1000</f>
        <v>87.5724494484629</v>
      </c>
      <c r="L122" s="15" t="n">
        <f aca="false">L121/(sh0+dil)*1000</f>
        <v>85.669278792235</v>
      </c>
      <c r="M122" s="15" t="n">
        <f aca="false">M121/(sh0+dil)*1000</f>
        <v>85.849899135396</v>
      </c>
      <c r="N122" s="15" t="n">
        <f aca="false">N121/(sh0+dil)*1000</f>
        <v>86.0273563368669</v>
      </c>
      <c r="O122" s="15" t="n">
        <f aca="false">O121/(sh0+dil)*1000</f>
        <v>87.5536457291296</v>
      </c>
      <c r="P122" s="15" t="n">
        <f aca="false">P121/(sh0+dil)*1000</f>
        <v>87.7244890402291</v>
      </c>
      <c r="Q122" s="15" t="n">
        <f aca="false">Q121/(sh0+dil)*1000</f>
        <v>88.460840095639</v>
      </c>
      <c r="R122" s="15" t="n">
        <f aca="false">R121/(sh0+dil)*1000</f>
        <v>90.1087562884607</v>
      </c>
    </row>
    <row r="124" customFormat="false" ht="17.15" hidden="false" customHeight="false" outlineLevel="0" collapsed="false">
      <c r="A124" s="12" t="s">
        <v>368</v>
      </c>
      <c r="B124" s="6" t="s">
        <v>15</v>
      </c>
      <c r="C124" s="12" t="s">
        <v>322</v>
      </c>
      <c r="D124" s="12" t="s">
        <v>323</v>
      </c>
      <c r="E124" s="12" t="s">
        <v>324</v>
      </c>
      <c r="F124" s="12" t="s">
        <v>325</v>
      </c>
      <c r="G124" s="12" t="s">
        <v>326</v>
      </c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6" t="s">
        <v>327</v>
      </c>
    </row>
    <row r="125" customFormat="false" ht="15" hidden="false" customHeight="false" outlineLevel="0" collapsed="false">
      <c r="A125" s="5" t="s">
        <v>266</v>
      </c>
      <c r="B125" s="0" t="s">
        <v>25</v>
      </c>
      <c r="C125" s="13" t="n">
        <f aca="false">a25_rev</f>
        <v>7.355</v>
      </c>
      <c r="D125" s="13" t="n">
        <f aca="false">SUM(C114:F114)</f>
        <v>20.248</v>
      </c>
      <c r="E125" s="13" t="n">
        <f aca="false">SUM(G114:J114)</f>
        <v>61.5176882417949</v>
      </c>
      <c r="F125" s="13" t="n">
        <f aca="false">SUM(K114:N114)</f>
        <v>72.3651103861181</v>
      </c>
      <c r="G125" s="13" t="n">
        <f aca="false">SUM(O114:R114)</f>
        <v>73.6847808074659</v>
      </c>
    </row>
    <row r="126" customFormat="false" ht="15" hidden="false" customHeight="false" outlineLevel="0" collapsed="false">
      <c r="A126" s="5" t="s">
        <v>363</v>
      </c>
      <c r="B126" s="0" t="s">
        <v>25</v>
      </c>
      <c r="D126" s="13" t="n">
        <f aca="false">SUM(C116:F116)</f>
        <v>5.771301</v>
      </c>
      <c r="E126" s="13" t="n">
        <f aca="false">SUM(G116:J116)</f>
        <v>6.93740517076991</v>
      </c>
      <c r="F126" s="13" t="n">
        <f aca="false">SUM(K116:N116)</f>
        <v>7.48566005019306</v>
      </c>
      <c r="G126" s="13" t="n">
        <f aca="false">SUM(O116:R116)</f>
        <v>7.96381148671382</v>
      </c>
    </row>
    <row r="127" customFormat="false" ht="15" hidden="false" customHeight="false" outlineLevel="0" collapsed="false">
      <c r="A127" s="5" t="s">
        <v>329</v>
      </c>
      <c r="B127" s="0" t="s">
        <v>31</v>
      </c>
      <c r="D127" s="14" t="n">
        <f aca="false">1-D126/D125</f>
        <v>0.714969330304228</v>
      </c>
      <c r="E127" s="14" t="n">
        <f aca="false">1-E126/E125</f>
        <v>0.887229098344813</v>
      </c>
      <c r="F127" s="14" t="n">
        <f aca="false">1-F126/F125</f>
        <v>0.896557056152449</v>
      </c>
      <c r="G127" s="14" t="n">
        <f aca="false">1-G126/G125</f>
        <v>0.89192053773597</v>
      </c>
    </row>
    <row r="128" customFormat="false" ht="15" hidden="false" customHeight="false" outlineLevel="0" collapsed="false">
      <c r="A128" s="5" t="s">
        <v>364</v>
      </c>
      <c r="B128" s="0" t="s">
        <v>25</v>
      </c>
      <c r="D128" s="13" t="n">
        <f aca="false">SUM(C118:F118)</f>
        <v>2.087699</v>
      </c>
      <c r="E128" s="13" t="n">
        <f aca="false">SUM(G118:J118)</f>
        <v>2.64099714695438</v>
      </c>
      <c r="F128" s="13" t="n">
        <f aca="false">SUM(K118:N118)</f>
        <v>2.95205339485126</v>
      </c>
      <c r="G128" s="13" t="n">
        <f aca="false">SUM(O118:R118)</f>
        <v>3.18809032816375</v>
      </c>
    </row>
    <row r="129" customFormat="false" ht="15" hidden="false" customHeight="false" outlineLevel="0" collapsed="false">
      <c r="A129" s="5" t="s">
        <v>330</v>
      </c>
      <c r="B129" s="0" t="s">
        <v>25</v>
      </c>
      <c r="D129" s="13" t="n">
        <f aca="false">SUM(C119:F119)</f>
        <v>12.389</v>
      </c>
      <c r="E129" s="13" t="n">
        <f aca="false">SUM(G119:J119)</f>
        <v>51.9392859240706</v>
      </c>
      <c r="F129" s="13" t="n">
        <f aca="false">SUM(K119:N119)</f>
        <v>61.9273969410738</v>
      </c>
      <c r="G129" s="13" t="n">
        <f aca="false">SUM(O119:R119)</f>
        <v>62.5328789925883</v>
      </c>
    </row>
    <row r="130" customFormat="false" ht="15" hidden="false" customHeight="false" outlineLevel="0" collapsed="false">
      <c r="A130" s="5" t="s">
        <v>331</v>
      </c>
      <c r="B130" s="0" t="s">
        <v>31</v>
      </c>
      <c r="D130" s="14" t="n">
        <f aca="false">D129/D125</f>
        <v>0.61186290003951</v>
      </c>
      <c r="E130" s="14" t="n">
        <f aca="false">E129/E125</f>
        <v>0.844298402760578</v>
      </c>
      <c r="F130" s="14" t="n">
        <f aca="false">F129/F125</f>
        <v>0.855763179391949</v>
      </c>
      <c r="G130" s="14" t="n">
        <f aca="false">G129/G125</f>
        <v>0.848653932431219</v>
      </c>
    </row>
    <row r="131" customFormat="false" ht="15" hidden="false" customHeight="false" outlineLevel="0" collapsed="false">
      <c r="A131" s="5" t="s">
        <v>332</v>
      </c>
      <c r="B131" s="0" t="s">
        <v>25</v>
      </c>
      <c r="C131" s="13" t="n">
        <f aca="false">a25_ni</f>
        <v>-1.641</v>
      </c>
      <c r="D131" s="13" t="n">
        <f aca="false">SUM(C121:F121)</f>
        <v>11.433</v>
      </c>
      <c r="E131" s="13" t="n">
        <f aca="false">SUM(G121:J121)</f>
        <v>44.31030103546</v>
      </c>
      <c r="F131" s="13" t="n">
        <f aca="false">SUM(K121:N121)</f>
        <v>53.4934424755089</v>
      </c>
      <c r="G131" s="13" t="n">
        <f aca="false">SUM(O121:R121)</f>
        <v>54.846398328786</v>
      </c>
    </row>
    <row r="132" customFormat="false" ht="15" hidden="false" customHeight="false" outlineLevel="0" collapsed="false">
      <c r="A132" s="5" t="s">
        <v>369</v>
      </c>
      <c r="B132" s="0" t="s">
        <v>25</v>
      </c>
      <c r="D132" s="13" t="n">
        <f aca="false">da_y</f>
        <v>0.16</v>
      </c>
      <c r="E132" s="13" t="n">
        <f aca="false">da_y</f>
        <v>0.16</v>
      </c>
      <c r="F132" s="13" t="n">
        <f aca="false">da_y</f>
        <v>0.16</v>
      </c>
      <c r="G132" s="13" t="n">
        <f aca="false">da_y</f>
        <v>0.16</v>
      </c>
    </row>
    <row r="133" customFormat="false" ht="17.15" hidden="false" customHeight="false" outlineLevel="0" collapsed="false">
      <c r="A133" s="5" t="s">
        <v>370</v>
      </c>
      <c r="B133" s="0" t="s">
        <v>25</v>
      </c>
      <c r="D133" s="13" t="n">
        <v>0.562</v>
      </c>
      <c r="E133" s="13" t="n">
        <f aca="false">cap_r*E125</f>
        <v>3.69106129450769</v>
      </c>
      <c r="F133" s="13" t="n">
        <f aca="false">cap_r*F125</f>
        <v>4.34190662316709</v>
      </c>
      <c r="G133" s="13" t="n">
        <f aca="false">cap_r*G125</f>
        <v>4.42108684844795</v>
      </c>
      <c r="T133" s="8" t="s">
        <v>371</v>
      </c>
    </row>
    <row r="134" customFormat="false" ht="15" hidden="false" customHeight="false" outlineLevel="0" collapsed="false">
      <c r="A134" s="5" t="s">
        <v>372</v>
      </c>
      <c r="B134" s="0" t="s">
        <v>25</v>
      </c>
      <c r="D134" s="13" t="n">
        <f aca="false">D131+D132-D133</f>
        <v>11.031</v>
      </c>
      <c r="E134" s="13" t="n">
        <f aca="false">E131+E132-E133</f>
        <v>40.7792397409523</v>
      </c>
      <c r="F134" s="13" t="n">
        <f aca="false">F131+F132-F133</f>
        <v>49.3115358523418</v>
      </c>
      <c r="G134" s="13" t="n">
        <f aca="false">G131+G132-G133</f>
        <v>50.5853114803381</v>
      </c>
    </row>
    <row r="135" customFormat="false" ht="17.15" hidden="false" customHeight="false" outlineLevel="0" collapsed="false">
      <c r="A135" s="5" t="s">
        <v>373</v>
      </c>
      <c r="B135" s="0" t="s">
        <v>25</v>
      </c>
      <c r="D135" s="13" t="n">
        <v>4.524</v>
      </c>
      <c r="E135" s="13" t="n">
        <f aca="false">MAX(0,payout*E134)</f>
        <v>20.3896198704762</v>
      </c>
      <c r="F135" s="13" t="n">
        <f aca="false">MAX(0,payout*F134)</f>
        <v>24.6557679261709</v>
      </c>
      <c r="G135" s="13" t="n">
        <f aca="false">MAX(0,payout*G134)</f>
        <v>25.292655740169</v>
      </c>
      <c r="T135" s="8" t="s">
        <v>374</v>
      </c>
    </row>
    <row r="136" customFormat="false" ht="15" hidden="false" customHeight="false" outlineLevel="0" collapsed="false">
      <c r="A136" s="5" t="s">
        <v>375</v>
      </c>
      <c r="B136" s="0" t="s">
        <v>25</v>
      </c>
      <c r="D136" s="13" t="n">
        <f aca="false">eq0</f>
        <v>15.736</v>
      </c>
      <c r="E136" s="13" t="n">
        <f aca="false">D136+E131-E135</f>
        <v>39.6566811649839</v>
      </c>
      <c r="F136" s="13" t="n">
        <f aca="false">E136+F131-F135</f>
        <v>68.4943557143219</v>
      </c>
      <c r="G136" s="13" t="n">
        <f aca="false">F136+G131-G135</f>
        <v>98.0480983029389</v>
      </c>
    </row>
    <row r="137" customFormat="false" ht="15" hidden="false" customHeight="false" outlineLevel="0" collapsed="false">
      <c r="A137" s="5" t="s">
        <v>376</v>
      </c>
      <c r="B137" s="0" t="s">
        <v>25</v>
      </c>
      <c r="D137" s="13" t="n">
        <f aca="false">nc0</f>
        <v>4.762</v>
      </c>
      <c r="E137" s="13" t="n">
        <f aca="false">D137+E134-E135</f>
        <v>25.1516198704762</v>
      </c>
      <c r="F137" s="13" t="n">
        <f aca="false">E137+F134-F135</f>
        <v>49.8073877966471</v>
      </c>
      <c r="G137" s="13" t="n">
        <f aca="false">F137+G134-G135</f>
        <v>75.1000435368161</v>
      </c>
    </row>
    <row r="138" customFormat="false" ht="15" hidden="false" customHeight="false" outlineLevel="0" collapsed="false">
      <c r="A138" s="5" t="s">
        <v>377</v>
      </c>
      <c r="B138" s="5" t="s">
        <v>111</v>
      </c>
      <c r="D138" s="20" t="n">
        <f aca="false">sh0</f>
        <v>146.42</v>
      </c>
      <c r="E138" s="20" t="n">
        <f aca="false">D138-E135/bb_px*1000</f>
        <v>129.950593062788</v>
      </c>
      <c r="F138" s="20" t="n">
        <f aca="false">E138-F135/bb_px*1000</f>
        <v>110.035269584221</v>
      </c>
      <c r="G138" s="20" t="n">
        <f aca="false">F138-G135/bb_px*1000</f>
        <v>89.605509610578</v>
      </c>
    </row>
    <row r="139" customFormat="false" ht="17.15" hidden="false" customHeight="false" outlineLevel="0" collapsed="false">
      <c r="A139" s="0" t="s">
        <v>378</v>
      </c>
      <c r="B139" s="0" t="s">
        <v>38</v>
      </c>
      <c r="C139" s="15" t="n">
        <f aca="false">a25_eps</f>
        <v>-11.32</v>
      </c>
      <c r="D139" s="15" t="n">
        <f aca="false">a26_eps</f>
        <v>73.76</v>
      </c>
      <c r="E139" s="15" t="n">
        <f aca="false">E131/(E138+dil)*1000</f>
        <v>319.859318117382</v>
      </c>
      <c r="F139" s="15" t="n">
        <f aca="false">F131/(F138+dil)*1000</f>
        <v>450.982766915408</v>
      </c>
      <c r="G139" s="15" t="n">
        <f aca="false">G131/(G138+dil)*1000</f>
        <v>558.599721550737</v>
      </c>
    </row>
    <row r="140" customFormat="false" ht="17.15" hidden="false" customHeight="false" outlineLevel="0" collapsed="false">
      <c r="A140" s="5" t="s">
        <v>379</v>
      </c>
      <c r="B140" s="0" t="s">
        <v>38</v>
      </c>
      <c r="D140" s="15" t="n">
        <f aca="false">D136/D138*1000</f>
        <v>107.471656877476</v>
      </c>
      <c r="E140" s="15" t="n">
        <f aca="false">E136/E138*1000</f>
        <v>305.167373463412</v>
      </c>
      <c r="F140" s="15" t="n">
        <f aca="false">F136/F138*1000</f>
        <v>622.476374830857</v>
      </c>
      <c r="G140" s="15" t="n">
        <f aca="false">G136/G138*1000</f>
        <v>1094.21952655648</v>
      </c>
    </row>
    <row r="141" customFormat="false" ht="17.15" hidden="false" customHeight="false" outlineLevel="0" collapsed="false">
      <c r="A141" s="0" t="s">
        <v>380</v>
      </c>
      <c r="B141" s="0" t="s">
        <v>31</v>
      </c>
      <c r="D141" s="21" t="n">
        <f aca="false">D131/D136</f>
        <v>0.72655058464667</v>
      </c>
      <c r="E141" s="21" t="n">
        <f aca="false">E131/E136</f>
        <v>1.11734768855507</v>
      </c>
      <c r="F141" s="21" t="n">
        <f aca="false">F131/F136</f>
        <v>0.780990519841092</v>
      </c>
      <c r="G141" s="21" t="n">
        <f aca="false">G131/G136</f>
        <v>0.559382581387018</v>
      </c>
    </row>
    <row r="142" customFormat="false" ht="15" hidden="false" customHeight="false" outlineLevel="0" collapsed="false">
      <c r="A142" s="5" t="s">
        <v>381</v>
      </c>
      <c r="B142" s="0" t="s">
        <v>38</v>
      </c>
      <c r="E142" s="15" t="n">
        <f aca="false">E134/(E138+dil)*1000</f>
        <v>294.369921035921</v>
      </c>
      <c r="F142" s="15" t="n">
        <f aca="false">F134/(F138+dil)*1000</f>
        <v>415.726710609792</v>
      </c>
      <c r="G142" s="15" t="n">
        <f aca="false">G134/(G138+dil)*1000</f>
        <v>515.201394594466</v>
      </c>
    </row>
    <row r="143" customFormat="false" ht="17.15" hidden="false" customHeight="false" outlineLevel="0" collapsed="false">
      <c r="A143" s="5" t="s">
        <v>382</v>
      </c>
      <c r="B143" s="0" t="s">
        <v>25</v>
      </c>
      <c r="D143" s="18" t="n">
        <f aca="false">ABS(D125-a26_rev)+ABS(D131-a26_ni)</f>
        <v>0</v>
      </c>
    </row>
    <row r="160" customFormat="false" ht="17.15" hidden="false" customHeight="false" outlineLevel="0" collapsed="false">
      <c r="A160" s="3" t="s">
        <v>650</v>
      </c>
    </row>
    <row r="161" customFormat="false" ht="17.15" hidden="false" customHeight="false" outlineLevel="0" collapsed="false">
      <c r="A161" s="12" t="s">
        <v>340</v>
      </c>
      <c r="B161" s="6" t="s">
        <v>15</v>
      </c>
      <c r="C161" s="12" t="s">
        <v>341</v>
      </c>
      <c r="D161" s="12" t="s">
        <v>342</v>
      </c>
      <c r="E161" s="12" t="s">
        <v>343</v>
      </c>
      <c r="F161" s="12" t="s">
        <v>344</v>
      </c>
      <c r="G161" s="12" t="s">
        <v>345</v>
      </c>
      <c r="H161" s="12" t="s">
        <v>346</v>
      </c>
      <c r="I161" s="12" t="s">
        <v>347</v>
      </c>
      <c r="J161" s="12" t="s">
        <v>348</v>
      </c>
      <c r="K161" s="12" t="s">
        <v>349</v>
      </c>
      <c r="L161" s="12" t="s">
        <v>350</v>
      </c>
      <c r="M161" s="12" t="s">
        <v>351</v>
      </c>
      <c r="N161" s="12" t="s">
        <v>352</v>
      </c>
      <c r="O161" s="12" t="s">
        <v>353</v>
      </c>
      <c r="P161" s="12" t="s">
        <v>354</v>
      </c>
      <c r="Q161" s="12" t="s">
        <v>355</v>
      </c>
      <c r="R161" s="12" t="s">
        <v>356</v>
      </c>
      <c r="S161" s="12"/>
      <c r="T161" s="6" t="s">
        <v>327</v>
      </c>
    </row>
    <row r="162" customFormat="false" ht="17.15" hidden="false" customHeight="false" outlineLevel="0" collapsed="false">
      <c r="A162" s="5" t="s">
        <v>357</v>
      </c>
      <c r="B162" s="0" t="s">
        <v>25</v>
      </c>
      <c r="C162" s="13" t="n">
        <f aca="false">Units!E4*0.9</f>
        <v>2.079</v>
      </c>
      <c r="D162" s="13" t="n">
        <f aca="false">Units!F4*0.9</f>
        <v>2.727</v>
      </c>
      <c r="E162" s="13" t="n">
        <f aca="false">Units!G4*0.9</f>
        <v>5.355</v>
      </c>
      <c r="F162" s="13" t="n">
        <f aca="false">Units!H4*0.9</f>
        <v>8.073</v>
      </c>
      <c r="G162" s="13" t="n">
        <f aca="false">Units!I4*0.9</f>
        <v>9.50029559397657</v>
      </c>
      <c r="H162" s="13" t="n">
        <f aca="false">Units!J4*0.9*1</f>
        <v>11.7076930430536</v>
      </c>
      <c r="I162" s="13" t="n">
        <f aca="false">Units!K4*0.9*1</f>
        <v>12.9004446160743</v>
      </c>
      <c r="J162" s="13" t="n">
        <f aca="false">Units!L4*0.9*1</f>
        <v>13.6405594226435</v>
      </c>
      <c r="K162" s="13" t="n">
        <f aca="false">Units!M4*0.9*1</f>
        <v>13.7019787732188</v>
      </c>
      <c r="L162" s="13" t="n">
        <f aca="false">Units!N4*0.9*1</f>
        <v>13.473913104579</v>
      </c>
      <c r="M162" s="13" t="n">
        <f aca="false">Units!O4*0.9*1</f>
        <v>13.5345820967332</v>
      </c>
      <c r="N162" s="13" t="n">
        <f aca="false">Units!P4*0.9*1</f>
        <v>13.5955242631747</v>
      </c>
      <c r="O162" s="13" t="n">
        <f aca="false">Units!Q4*0.9*1</f>
        <v>13.6567408339254</v>
      </c>
      <c r="P162" s="13" t="n">
        <f aca="false">Units!R4*0.9*1</f>
        <v>13.7182330445456</v>
      </c>
      <c r="Q162" s="13" t="n">
        <f aca="false">Units!S4*0.9*1</f>
        <v>13.832687929576</v>
      </c>
      <c r="R162" s="13" t="n">
        <f aca="false">Units!T4*0.9*1</f>
        <v>14.0886758237905</v>
      </c>
      <c r="T162" s="8" t="s">
        <v>358</v>
      </c>
    </row>
    <row r="163" customFormat="false" ht="15" hidden="false" customHeight="false" outlineLevel="0" collapsed="false">
      <c r="A163" s="5" t="s">
        <v>359</v>
      </c>
      <c r="B163" s="0" t="s">
        <v>308</v>
      </c>
      <c r="C163" s="13" t="n">
        <f aca="false">Units!E7*0.9</f>
        <v>28.0397523893178</v>
      </c>
      <c r="D163" s="13" t="n">
        <f aca="false">Units!F7*0.9</f>
        <v>30.1632506032028</v>
      </c>
      <c r="E163" s="13" t="n">
        <f aca="false">Units!G7*0.9</f>
        <v>34.2623998485006</v>
      </c>
      <c r="F163" s="13" t="n">
        <f aca="false">Units!H7*0.9</f>
        <v>30.2554939076407</v>
      </c>
      <c r="G163" s="13" t="n">
        <f aca="false">Units!I7*0.9</f>
        <v>30.9605432455306</v>
      </c>
      <c r="H163" s="13" t="n">
        <f aca="false">Units!J7*0.9</f>
        <v>32.4716917000671</v>
      </c>
      <c r="I163" s="13" t="n">
        <f aca="false">Units!K7*0.9</f>
        <v>34.7376984979275</v>
      </c>
      <c r="J163" s="13" t="n">
        <f aca="false">Units!L7*0.9</f>
        <v>36.730644149771</v>
      </c>
      <c r="K163" s="13" t="n">
        <f aca="false">Units!M7*0.9</f>
        <v>38.8379276116291</v>
      </c>
      <c r="L163" s="13" t="n">
        <f aca="false">Units!N7*0.9</f>
        <v>41.0661085881215</v>
      </c>
      <c r="M163" s="13" t="n">
        <f aca="false">Units!O7*0.9</f>
        <v>43.4221231224093</v>
      </c>
      <c r="N163" s="13" t="n">
        <f aca="false">Units!P7*0.9</f>
        <v>45.9133051872137</v>
      </c>
      <c r="O163" s="13" t="n">
        <f aca="false">Units!Q7*0.9</f>
        <v>48.5474095145364</v>
      </c>
      <c r="P163" s="13" t="n">
        <f aca="false">Units!R7*0.9</f>
        <v>51.3326357351519</v>
      </c>
      <c r="Q163" s="13" t="n">
        <f aca="false">Units!S7*0.9</f>
        <v>53.3617707585208</v>
      </c>
      <c r="R163" s="13" t="n">
        <f aca="false">Units!T7*0.9</f>
        <v>56.0301900508669</v>
      </c>
    </row>
    <row r="164" customFormat="false" ht="17.15" hidden="false" customHeight="false" outlineLevel="0" collapsed="false">
      <c r="A164" s="5" t="s">
        <v>266</v>
      </c>
      <c r="B164" s="0" t="s">
        <v>25</v>
      </c>
      <c r="C164" s="13" t="n">
        <f aca="false">q1_rev</f>
        <v>2.308</v>
      </c>
      <c r="D164" s="13" t="n">
        <f aca="false">q2_rev</f>
        <v>3.025</v>
      </c>
      <c r="E164" s="13" t="n">
        <f aca="false">q3_rev</f>
        <v>5.95</v>
      </c>
      <c r="F164" s="13" t="n">
        <f aca="false">q4_rev</f>
        <v>8.965</v>
      </c>
      <c r="G164" s="13" t="n">
        <f aca="false">G162*sd_k</f>
        <v>9.49466856795842</v>
      </c>
      <c r="H164" s="13" t="n">
        <f aca="false">H162*sd_k</f>
        <v>11.7007585753084</v>
      </c>
      <c r="I164" s="13" t="n">
        <f aca="false">I162*sd_k</f>
        <v>12.8928036814547</v>
      </c>
      <c r="J164" s="13" t="n">
        <f aca="false">J162*sd_k</f>
        <v>13.632480117951</v>
      </c>
      <c r="K164" s="13" t="n">
        <f aca="false">K162*sd_k</f>
        <v>13.6938630898388</v>
      </c>
      <c r="L164" s="13" t="n">
        <f aca="false">L162*sd_k</f>
        <v>13.465932504517</v>
      </c>
      <c r="M164" s="13" t="n">
        <f aca="false">M162*sd_k</f>
        <v>13.5265655624212</v>
      </c>
      <c r="N164" s="13" t="n">
        <f aca="false">N162*sd_k</f>
        <v>13.5874716328115</v>
      </c>
      <c r="O164" s="13" t="n">
        <f aca="false">O162*sd_k</f>
        <v>13.6486519449813</v>
      </c>
      <c r="P164" s="13" t="n">
        <f aca="false">P162*sd_k</f>
        <v>13.7101077337591</v>
      </c>
      <c r="Q164" s="13" t="n">
        <f aca="false">Q162*sd_k</f>
        <v>13.8244948271498</v>
      </c>
      <c r="R164" s="13" t="n">
        <f aca="false">R162*sd_k</f>
        <v>14.0803310997093</v>
      </c>
      <c r="T164" s="5" t="s">
        <v>360</v>
      </c>
    </row>
    <row r="165" customFormat="false" ht="17.15" hidden="false" customHeight="false" outlineLevel="0" collapsed="false">
      <c r="A165" s="5" t="s">
        <v>361</v>
      </c>
      <c r="B165" s="0" t="s">
        <v>362</v>
      </c>
      <c r="C165" s="19" t="n">
        <f aca="false">C166/C163</f>
        <v>0.0577828212426458</v>
      </c>
      <c r="D165" s="19" t="n">
        <f aca="false">D166/D163</f>
        <v>0.0492412114177871</v>
      </c>
      <c r="E165" s="19" t="n">
        <f aca="false">E166/E163</f>
        <v>0.0375105073107202</v>
      </c>
      <c r="F165" s="19" t="n">
        <f aca="false">F166/F163</f>
        <v>0.0456317125152382</v>
      </c>
      <c r="G165" s="19" t="n">
        <f aca="false">(1-g_gm)*G164/G163</f>
        <v>0.0490671936479231</v>
      </c>
      <c r="H165" s="19" t="n">
        <f aca="false">$G165*(1-cd_A)^(1/4)</f>
        <v>0.0472515253161731</v>
      </c>
      <c r="I165" s="19" t="n">
        <f aca="false">$G165*(1-cd_A)^(2/4)</f>
        <v>0.0455030434535449</v>
      </c>
      <c r="J165" s="19" t="n">
        <f aca="false">$G165*(1-cd_A)^(3/4)</f>
        <v>0.0438192619112447</v>
      </c>
      <c r="K165" s="19" t="n">
        <f aca="false">$G165*(1-cd_A)^(4/4)</f>
        <v>0.0421977865372139</v>
      </c>
      <c r="L165" s="19" t="n">
        <f aca="false">$G165*(1-cd_A)^(5/4)</f>
        <v>0.0406363117719089</v>
      </c>
      <c r="M165" s="19" t="n">
        <f aca="false">$G165*(1-cd_A)^(6/4)</f>
        <v>0.0391326173700486</v>
      </c>
      <c r="N165" s="19" t="n">
        <f aca="false">$G165*(1-cd_A)^(7/4)</f>
        <v>0.0376845652436704</v>
      </c>
      <c r="O165" s="19" t="n">
        <f aca="false">$G165*(1-cd_A)^(8/4)</f>
        <v>0.0362900964220039</v>
      </c>
      <c r="P165" s="19" t="n">
        <f aca="false">$G165*(1-cd_A)^(9/4)</f>
        <v>0.0349472281238416</v>
      </c>
      <c r="Q165" s="19" t="n">
        <f aca="false">$G165*(1-cd_A)^(10/4)</f>
        <v>0.0336540509382418</v>
      </c>
      <c r="R165" s="19" t="n">
        <f aca="false">$G165*(1-cd_A)^(11/4)</f>
        <v>0.0324087261095565</v>
      </c>
    </row>
    <row r="166" customFormat="false" ht="15" hidden="false" customHeight="false" outlineLevel="0" collapsed="false">
      <c r="A166" s="5" t="s">
        <v>363</v>
      </c>
      <c r="B166" s="0" t="s">
        <v>25</v>
      </c>
      <c r="C166" s="13" t="n">
        <f aca="false">q1_rev*(1-q1_gm)</f>
        <v>1.620216</v>
      </c>
      <c r="D166" s="13" t="n">
        <f aca="false">q2_rev*(1-q2_gm)</f>
        <v>1.485275</v>
      </c>
      <c r="E166" s="13" t="n">
        <f aca="false">q3_rev*(1-q3_gm)</f>
        <v>1.2852</v>
      </c>
      <c r="F166" s="13" t="n">
        <f aca="false">q4_rev*(1-q4_gm)</f>
        <v>1.38061</v>
      </c>
      <c r="G166" s="13" t="n">
        <f aca="false">G163*G165</f>
        <v>1.51914697087335</v>
      </c>
      <c r="H166" s="13" t="n">
        <f aca="false">H163*H165</f>
        <v>1.53433696242469</v>
      </c>
      <c r="I166" s="13" t="n">
        <f aca="false">I163*I165</f>
        <v>1.58067100422734</v>
      </c>
      <c r="J166" s="13" t="n">
        <f aca="false">J163*J165</f>
        <v>1.60950971616754</v>
      </c>
      <c r="K166" s="13" t="n">
        <f aca="false">K163*K165</f>
        <v>1.63887457890329</v>
      </c>
      <c r="L166" s="13" t="n">
        <f aca="false">L163*L165</f>
        <v>1.66877519184597</v>
      </c>
      <c r="M166" s="13" t="n">
        <f aca="false">M163*M165</f>
        <v>1.69922132954439</v>
      </c>
      <c r="N166" s="13" t="n">
        <f aca="false">N163*N165</f>
        <v>1.73022294488011</v>
      </c>
      <c r="O166" s="13" t="n">
        <f aca="false">O163*O165</f>
        <v>1.76179017232104</v>
      </c>
      <c r="P166" s="13" t="n">
        <f aca="false">P163*P165</f>
        <v>1.79393333123442</v>
      </c>
      <c r="Q166" s="13" t="n">
        <f aca="false">Q163*Q165</f>
        <v>1.79583975126204</v>
      </c>
      <c r="R166" s="13" t="n">
        <f aca="false">R163*R165</f>
        <v>1.81586708322494</v>
      </c>
    </row>
    <row r="167" customFormat="false" ht="15" hidden="false" customHeight="false" outlineLevel="0" collapsed="false">
      <c r="A167" s="5" t="s">
        <v>329</v>
      </c>
      <c r="B167" s="0" t="s">
        <v>31</v>
      </c>
      <c r="C167" s="14" t="n">
        <f aca="false">1-C166/C164</f>
        <v>0.298</v>
      </c>
      <c r="D167" s="14" t="n">
        <f aca="false">1-D166/D164</f>
        <v>0.509</v>
      </c>
      <c r="E167" s="14" t="n">
        <f aca="false">1-E166/E164</f>
        <v>0.784</v>
      </c>
      <c r="F167" s="14" t="n">
        <f aca="false">1-F166/F164</f>
        <v>0.846</v>
      </c>
      <c r="G167" s="14" t="n">
        <f aca="false">1-G166/G164</f>
        <v>0.84</v>
      </c>
      <c r="H167" s="14" t="n">
        <f aca="false">1-H166/H164</f>
        <v>0.868868590651676</v>
      </c>
      <c r="I167" s="14" t="n">
        <f aca="false">1-I166/I164</f>
        <v>0.877398970520198</v>
      </c>
      <c r="J167" s="14" t="n">
        <f aca="false">1-J166/J164</f>
        <v>0.881935663779317</v>
      </c>
      <c r="K167" s="14" t="n">
        <f aca="false">1-K166/K164</f>
        <v>0.88032050794203</v>
      </c>
      <c r="L167" s="14" t="n">
        <f aca="false">1-L166/L164</f>
        <v>0.876074294053814</v>
      </c>
      <c r="M167" s="14" t="n">
        <f aca="false">1-M166/M164</f>
        <v>0.874378952905454</v>
      </c>
      <c r="N167" s="14" t="n">
        <f aca="false">1-N166/N164</f>
        <v>0.872660418977295</v>
      </c>
      <c r="O167" s="14" t="n">
        <f aca="false">1-O166/O164</f>
        <v>0.870918374985094</v>
      </c>
      <c r="P167" s="14" t="n">
        <f aca="false">1-P166/P164</f>
        <v>0.869152499304063</v>
      </c>
      <c r="Q167" s="14" t="n">
        <f aca="false">1-Q166/Q164</f>
        <v>0.870097260426818</v>
      </c>
      <c r="R167" s="14" t="n">
        <f aca="false">1-R166/R164</f>
        <v>0.871035200069803</v>
      </c>
    </row>
    <row r="168" customFormat="false" ht="17.15" hidden="false" customHeight="false" outlineLevel="0" collapsed="false">
      <c r="A168" s="5" t="s">
        <v>364</v>
      </c>
      <c r="B168" s="0" t="s">
        <v>25</v>
      </c>
      <c r="C168" s="13" t="n">
        <f aca="false">q1_rev-q1_rev*(1-q1_gm)-q1_op</f>
        <v>0.511784</v>
      </c>
      <c r="D168" s="13" t="n">
        <f aca="false">q2_rev-q2_rev*(1-q2_gm)-q2_op</f>
        <v>0.474725</v>
      </c>
      <c r="E168" s="13" t="n">
        <f aca="false">q3_rev-q3_rev*(1-q3_gm)-q3_op</f>
        <v>0.553800000000001</v>
      </c>
      <c r="F168" s="13" t="n">
        <f aca="false">q4_rev-q4_rev*(1-q4_gm)-q4_op</f>
        <v>0.54739</v>
      </c>
      <c r="G168" s="13" t="n">
        <f aca="false">(g_ox-ox_var*g_rev)*(1+ox_g)^(0/4)+ox_var*G164</f>
        <v>0.583446685679584</v>
      </c>
      <c r="H168" s="13" t="n">
        <f aca="false">(g_ox-ox_var*g_rev)*(1+ox_g)^(1/4)+ox_var*H164</f>
        <v>0.617287122870836</v>
      </c>
      <c r="I168" s="13" t="n">
        <f aca="false">(g_ox-ox_var*g_rev)*(1+ox_g)^(2/4)+ox_var*I164</f>
        <v>0.641271159145666</v>
      </c>
      <c r="J168" s="13" t="n">
        <f aca="false">(g_ox-ox_var*g_rev)*(1+ox_g)^(3/4)+ox_var*J164</f>
        <v>0.661022406267075</v>
      </c>
      <c r="K168" s="13" t="n">
        <f aca="false">(g_ox-ox_var*g_rev)*(1+ox_g)^(4/4)+ox_var*K164</f>
        <v>0.674288630898388</v>
      </c>
      <c r="L168" s="13" t="n">
        <f aca="false">(g_ox-ox_var*g_rev)*(1+ox_g)^(5/4)+ox_var*L164</f>
        <v>0.684966815874697</v>
      </c>
      <c r="M168" s="13" t="n">
        <f aca="false">(g_ox-ox_var*g_rev)*(1+ox_g)^(6/4)+ox_var*M164</f>
        <v>0.698843090188443</v>
      </c>
      <c r="N168" s="13" t="n">
        <f aca="false">(g_ox-ox_var*g_rev)*(1+ox_g)^(7/4)+ox_var*N164</f>
        <v>0.713042081924437</v>
      </c>
      <c r="O168" s="13" t="n">
        <f aca="false">(g_ox-ox_var*g_rev)*(1+ox_g)^(8/4)+ox_var*O164</f>
        <v>0.727571519449813</v>
      </c>
      <c r="P168" s="13" t="n">
        <f aca="false">(g_ox-ox_var*g_rev)*(1+ox_g)^(9/4)+ox_var*P164</f>
        <v>0.74243931725007</v>
      </c>
      <c r="Q168" s="13" t="n">
        <f aca="false">(g_ox-ox_var*g_rev)*(1+ox_g)^(10/4)+ox_var*Q164</f>
        <v>0.758180126292152</v>
      </c>
      <c r="R168" s="13" t="n">
        <f aca="false">(g_ox-ox_var*g_rev)*(1+ox_g)^(11/4)+ox_var*R164</f>
        <v>0.775687413153047</v>
      </c>
      <c r="T168" s="5" t="s">
        <v>365</v>
      </c>
    </row>
    <row r="169" customFormat="false" ht="15" hidden="false" customHeight="false" outlineLevel="0" collapsed="false">
      <c r="A169" s="5" t="s">
        <v>330</v>
      </c>
      <c r="B169" s="0" t="s">
        <v>25</v>
      </c>
      <c r="C169" s="13" t="n">
        <f aca="false">C164-C166-C168</f>
        <v>0.176</v>
      </c>
      <c r="D169" s="13" t="n">
        <f aca="false">D164-D166-D168</f>
        <v>1.065</v>
      </c>
      <c r="E169" s="13" t="n">
        <f aca="false">E164-E166-E168</f>
        <v>4.111</v>
      </c>
      <c r="F169" s="13" t="n">
        <f aca="false">F164-F166-F168</f>
        <v>7.037</v>
      </c>
      <c r="G169" s="13" t="n">
        <f aca="false">G164-G166-G168</f>
        <v>7.39207491140549</v>
      </c>
      <c r="H169" s="13" t="n">
        <f aca="false">H164-H166-H168</f>
        <v>9.54913449001292</v>
      </c>
      <c r="I169" s="13" t="n">
        <f aca="false">I164-I166-I168</f>
        <v>10.6708615180817</v>
      </c>
      <c r="J169" s="13" t="n">
        <f aca="false">J164-J166-J168</f>
        <v>11.3619479955163</v>
      </c>
      <c r="K169" s="13" t="n">
        <f aca="false">K164-K166-K168</f>
        <v>11.3806998800371</v>
      </c>
      <c r="L169" s="13" t="n">
        <f aca="false">L164-L166-L168</f>
        <v>11.1121904967964</v>
      </c>
      <c r="M169" s="13" t="n">
        <f aca="false">M164-M166-M168</f>
        <v>11.1285011426884</v>
      </c>
      <c r="N169" s="13" t="n">
        <f aca="false">N164-N166-N168</f>
        <v>11.144206606007</v>
      </c>
      <c r="O169" s="13" t="n">
        <f aca="false">O164-O166-O168</f>
        <v>11.1592902532104</v>
      </c>
      <c r="P169" s="13" t="n">
        <f aca="false">P164-P166-P168</f>
        <v>11.1737350852746</v>
      </c>
      <c r="Q169" s="13" t="n">
        <f aca="false">Q164-Q166-Q168</f>
        <v>11.2704749495956</v>
      </c>
      <c r="R169" s="13" t="n">
        <f aca="false">R164-R166-R168</f>
        <v>11.4887766033313</v>
      </c>
    </row>
    <row r="171" customFormat="false" ht="17.15" hidden="false" customHeight="false" outlineLevel="0" collapsed="false">
      <c r="A171" s="5" t="s">
        <v>332</v>
      </c>
      <c r="B171" s="0" t="s">
        <v>25</v>
      </c>
      <c r="C171" s="13" t="n">
        <f aca="false">q1_ni</f>
        <v>0.112</v>
      </c>
      <c r="D171" s="13" t="n">
        <f aca="false">q2_ni</f>
        <v>0.803</v>
      </c>
      <c r="E171" s="13" t="n">
        <f aca="false">q3_ni</f>
        <v>3.615</v>
      </c>
      <c r="F171" s="13" t="n">
        <f aca="false">q4_ni</f>
        <v>6.903</v>
      </c>
      <c r="G171" s="13" t="n">
        <f aca="false">(G169+rf*$D187/4)*(1-tax)</f>
        <v>6.32374067469467</v>
      </c>
      <c r="H171" s="13" t="n">
        <f aca="false">(H169+rf*$D187/4)*(1-tax)</f>
        <v>8.15724131651098</v>
      </c>
      <c r="I171" s="13" t="n">
        <f aca="false">(I169+rf*$D187/4)*(1-tax)</f>
        <v>9.11070929036948</v>
      </c>
      <c r="J171" s="13" t="n">
        <f aca="false">(J169+rf*$D187/4)*(1-tax)</f>
        <v>9.69813279618889</v>
      </c>
      <c r="K171" s="13" t="n">
        <f aca="false">(K169+rf*$E187/4)*(1-tax)</f>
        <v>9.84406486907168</v>
      </c>
      <c r="L171" s="13" t="n">
        <f aca="false">(L169+rf*$E187/4)*(1-tax)</f>
        <v>9.61583189331702</v>
      </c>
      <c r="M171" s="13" t="n">
        <f aca="false">(M169+rf*$E187/4)*(1-tax)</f>
        <v>9.62969594232526</v>
      </c>
      <c r="N171" s="13" t="n">
        <f aca="false">(N169+rf*$E187/4)*(1-tax)</f>
        <v>9.64304558614604</v>
      </c>
      <c r="O171" s="13" t="n">
        <f aca="false">(O169+rf*$F187/4)*(1-tax)</f>
        <v>9.8073205716438</v>
      </c>
      <c r="P171" s="13" t="n">
        <f aca="false">(P169+rf*$F187/4)*(1-tax)</f>
        <v>9.81959867889833</v>
      </c>
      <c r="Q171" s="13" t="n">
        <f aca="false">(Q169+rf*$F187/4)*(1-tax)</f>
        <v>9.90182756357116</v>
      </c>
      <c r="R171" s="13" t="n">
        <f aca="false">(R169+rf*$F187/4)*(1-tax)</f>
        <v>10.0873839692465</v>
      </c>
      <c r="T171" s="5" t="s">
        <v>366</v>
      </c>
    </row>
    <row r="172" customFormat="false" ht="17.15" hidden="false" customHeight="false" outlineLevel="0" collapsed="false">
      <c r="A172" s="5" t="s">
        <v>367</v>
      </c>
      <c r="B172" s="0" t="s">
        <v>38</v>
      </c>
      <c r="G172" s="15" t="n">
        <f aca="false">G171/(sh0+dil)*1000</f>
        <v>40.798326933514</v>
      </c>
      <c r="H172" s="15" t="n">
        <f aca="false">H171/(sh0+dil)*1000</f>
        <v>52.6273633323289</v>
      </c>
      <c r="I172" s="15" t="n">
        <f aca="false">I171/(sh0+dil)*1000</f>
        <v>58.7787696152869</v>
      </c>
      <c r="J172" s="15" t="n">
        <f aca="false">J171/(sh0+dil)*1000</f>
        <v>62.5685986850896</v>
      </c>
      <c r="K172" s="15" t="n">
        <f aca="false">K171/(sh0+dil)*1000</f>
        <v>63.5100959294947</v>
      </c>
      <c r="L172" s="15" t="n">
        <f aca="false">L171/(sh0+dil)*1000</f>
        <v>62.0376251181743</v>
      </c>
      <c r="M172" s="15" t="n">
        <f aca="false">M171/(sh0+dil)*1000</f>
        <v>62.1270705956469</v>
      </c>
      <c r="N172" s="15" t="n">
        <f aca="false">N171/(sh0+dil)*1000</f>
        <v>62.2131973299744</v>
      </c>
      <c r="O172" s="15" t="n">
        <f aca="false">O171/(sh0+dil)*1000</f>
        <v>63.273035946089</v>
      </c>
      <c r="P172" s="15" t="n">
        <f aca="false">P171/(sh0+dil)*1000</f>
        <v>63.3522495412795</v>
      </c>
      <c r="Q172" s="15" t="n">
        <f aca="false">Q171/(sh0+dil)*1000</f>
        <v>63.8827584746526</v>
      </c>
      <c r="R172" s="15" t="n">
        <f aca="false">R171/(sh0+dil)*1000</f>
        <v>65.079896575784</v>
      </c>
    </row>
    <row r="174" customFormat="false" ht="17.15" hidden="false" customHeight="false" outlineLevel="0" collapsed="false">
      <c r="A174" s="12" t="s">
        <v>368</v>
      </c>
      <c r="B174" s="6" t="s">
        <v>15</v>
      </c>
      <c r="C174" s="12" t="s">
        <v>322</v>
      </c>
      <c r="D174" s="12" t="s">
        <v>323</v>
      </c>
      <c r="E174" s="12" t="s">
        <v>324</v>
      </c>
      <c r="F174" s="12" t="s">
        <v>325</v>
      </c>
      <c r="G174" s="12" t="s">
        <v>326</v>
      </c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6" t="s">
        <v>327</v>
      </c>
    </row>
    <row r="175" customFormat="false" ht="15" hidden="false" customHeight="false" outlineLevel="0" collapsed="false">
      <c r="A175" s="5" t="s">
        <v>266</v>
      </c>
      <c r="B175" s="0" t="s">
        <v>25</v>
      </c>
      <c r="C175" s="13" t="n">
        <f aca="false">a25_rev</f>
        <v>7.355</v>
      </c>
      <c r="D175" s="13" t="n">
        <f aca="false">SUM(C164:F164)</f>
        <v>20.248</v>
      </c>
      <c r="E175" s="13" t="n">
        <f aca="false">SUM(G164:J164)</f>
        <v>47.7207109426726</v>
      </c>
      <c r="F175" s="13" t="n">
        <f aca="false">SUM(K164:N164)</f>
        <v>54.2738327895886</v>
      </c>
      <c r="G175" s="13" t="n">
        <f aca="false">SUM(O164:R164)</f>
        <v>55.2635856055994</v>
      </c>
    </row>
    <row r="176" customFormat="false" ht="15" hidden="false" customHeight="false" outlineLevel="0" collapsed="false">
      <c r="A176" s="5" t="s">
        <v>363</v>
      </c>
      <c r="B176" s="0" t="s">
        <v>25</v>
      </c>
      <c r="D176" s="13" t="n">
        <f aca="false">SUM(C166:F166)</f>
        <v>5.771301</v>
      </c>
      <c r="E176" s="13" t="n">
        <f aca="false">SUM(G166:J166)</f>
        <v>6.24366465369292</v>
      </c>
      <c r="F176" s="13" t="n">
        <f aca="false">SUM(K166:N166)</f>
        <v>6.73709404517375</v>
      </c>
      <c r="G176" s="13" t="n">
        <f aca="false">SUM(O166:R166)</f>
        <v>7.16743033804244</v>
      </c>
    </row>
    <row r="177" customFormat="false" ht="15" hidden="false" customHeight="false" outlineLevel="0" collapsed="false">
      <c r="A177" s="5" t="s">
        <v>329</v>
      </c>
      <c r="B177" s="0" t="s">
        <v>31</v>
      </c>
      <c r="D177" s="14" t="n">
        <f aca="false">1-D176/D175</f>
        <v>0.714969330304228</v>
      </c>
      <c r="E177" s="14" t="n">
        <f aca="false">1-E176/E175</f>
        <v>0.86916237142415</v>
      </c>
      <c r="F177" s="14" t="n">
        <f aca="false">1-F176/F175</f>
        <v>0.875868467382939</v>
      </c>
      <c r="G177" s="14" t="n">
        <f aca="false">1-G176/G175</f>
        <v>0.870304645283164</v>
      </c>
    </row>
    <row r="178" customFormat="false" ht="15" hidden="false" customHeight="false" outlineLevel="0" collapsed="false">
      <c r="A178" s="5" t="s">
        <v>364</v>
      </c>
      <c r="B178" s="0" t="s">
        <v>25</v>
      </c>
      <c r="D178" s="13" t="n">
        <f aca="false">SUM(C168:F168)</f>
        <v>2.087699</v>
      </c>
      <c r="E178" s="13" t="n">
        <f aca="false">SUM(G168:J168)</f>
        <v>2.50302737396316</v>
      </c>
      <c r="F178" s="13" t="n">
        <f aca="false">SUM(K168:N168)</f>
        <v>2.77114061888597</v>
      </c>
      <c r="G178" s="13" t="n">
        <f aca="false">SUM(O168:R168)</f>
        <v>3.00387837614508</v>
      </c>
    </row>
    <row r="179" customFormat="false" ht="15" hidden="false" customHeight="false" outlineLevel="0" collapsed="false">
      <c r="A179" s="5" t="s">
        <v>330</v>
      </c>
      <c r="B179" s="0" t="s">
        <v>25</v>
      </c>
      <c r="D179" s="13" t="n">
        <f aca="false">SUM(C169:F169)</f>
        <v>12.389</v>
      </c>
      <c r="E179" s="13" t="n">
        <f aca="false">SUM(G169:J169)</f>
        <v>38.9740189150165</v>
      </c>
      <c r="F179" s="13" t="n">
        <f aca="false">SUM(K169:N169)</f>
        <v>44.7655981255289</v>
      </c>
      <c r="G179" s="13" t="n">
        <f aca="false">SUM(O169:R169)</f>
        <v>45.0922768914119</v>
      </c>
    </row>
    <row r="180" customFormat="false" ht="15" hidden="false" customHeight="false" outlineLevel="0" collapsed="false">
      <c r="A180" s="5" t="s">
        <v>331</v>
      </c>
      <c r="B180" s="0" t="s">
        <v>31</v>
      </c>
      <c r="D180" s="14" t="n">
        <f aca="false">D179/D175</f>
        <v>0.61186290003951</v>
      </c>
      <c r="E180" s="14" t="n">
        <f aca="false">E179/E175</f>
        <v>0.816710777042622</v>
      </c>
      <c r="F180" s="14" t="n">
        <f aca="false">F179/F175</f>
        <v>0.824809965035606</v>
      </c>
      <c r="G180" s="14" t="n">
        <f aca="false">G179/G175</f>
        <v>0.815949171543496</v>
      </c>
    </row>
    <row r="181" customFormat="false" ht="15" hidden="false" customHeight="false" outlineLevel="0" collapsed="false">
      <c r="A181" s="5" t="s">
        <v>332</v>
      </c>
      <c r="B181" s="0" t="s">
        <v>25</v>
      </c>
      <c r="C181" s="13" t="n">
        <f aca="false">a25_ni</f>
        <v>-1.641</v>
      </c>
      <c r="D181" s="13" t="n">
        <f aca="false">SUM(C171:F171)</f>
        <v>11.433</v>
      </c>
      <c r="E181" s="13" t="n">
        <f aca="false">SUM(G171:J171)</f>
        <v>33.289824077764</v>
      </c>
      <c r="F181" s="13" t="n">
        <f aca="false">SUM(K171:N171)</f>
        <v>38.73263829086</v>
      </c>
      <c r="G181" s="13" t="n">
        <f aca="false">SUM(O171:R171)</f>
        <v>39.6161307833598</v>
      </c>
    </row>
    <row r="182" customFormat="false" ht="15" hidden="false" customHeight="false" outlineLevel="0" collapsed="false">
      <c r="A182" s="5" t="s">
        <v>369</v>
      </c>
      <c r="B182" s="0" t="s">
        <v>25</v>
      </c>
      <c r="D182" s="13" t="n">
        <f aca="false">da_y</f>
        <v>0.16</v>
      </c>
      <c r="E182" s="13" t="n">
        <f aca="false">da_y</f>
        <v>0.16</v>
      </c>
      <c r="F182" s="13" t="n">
        <f aca="false">da_y</f>
        <v>0.16</v>
      </c>
      <c r="G182" s="13" t="n">
        <f aca="false">da_y</f>
        <v>0.16</v>
      </c>
    </row>
    <row r="183" customFormat="false" ht="17.15" hidden="false" customHeight="false" outlineLevel="0" collapsed="false">
      <c r="A183" s="5" t="s">
        <v>370</v>
      </c>
      <c r="B183" s="0" t="s">
        <v>25</v>
      </c>
      <c r="D183" s="13" t="n">
        <v>0.562</v>
      </c>
      <c r="E183" s="13" t="n">
        <f aca="false">cap_r*E175</f>
        <v>2.86324265656035</v>
      </c>
      <c r="F183" s="13" t="n">
        <f aca="false">cap_r*F175</f>
        <v>3.25642996737531</v>
      </c>
      <c r="G183" s="13" t="n">
        <f aca="false">cap_r*G175</f>
        <v>3.31581513633596</v>
      </c>
      <c r="T183" s="8" t="s">
        <v>371</v>
      </c>
    </row>
    <row r="184" customFormat="false" ht="15" hidden="false" customHeight="false" outlineLevel="0" collapsed="false">
      <c r="A184" s="5" t="s">
        <v>372</v>
      </c>
      <c r="B184" s="0" t="s">
        <v>25</v>
      </c>
      <c r="D184" s="13" t="n">
        <f aca="false">D181+D182-D183</f>
        <v>11.031</v>
      </c>
      <c r="E184" s="13" t="n">
        <f aca="false">E181+E182-E183</f>
        <v>30.5865814212037</v>
      </c>
      <c r="F184" s="13" t="n">
        <f aca="false">F181+F182-F183</f>
        <v>35.6362083234847</v>
      </c>
      <c r="G184" s="13" t="n">
        <f aca="false">G181+G182-G183</f>
        <v>36.4603156470238</v>
      </c>
    </row>
    <row r="185" customFormat="false" ht="17.15" hidden="false" customHeight="false" outlineLevel="0" collapsed="false">
      <c r="A185" s="5" t="s">
        <v>373</v>
      </c>
      <c r="B185" s="0" t="s">
        <v>25</v>
      </c>
      <c r="D185" s="13" t="n">
        <v>4.524</v>
      </c>
      <c r="E185" s="13" t="n">
        <f aca="false">MAX(0,payout*E184)</f>
        <v>15.2932907106018</v>
      </c>
      <c r="F185" s="13" t="n">
        <f aca="false">MAX(0,payout*F184)</f>
        <v>17.8181041617423</v>
      </c>
      <c r="G185" s="13" t="n">
        <f aca="false">MAX(0,payout*G184)</f>
        <v>18.2301578235119</v>
      </c>
      <c r="T185" s="8" t="s">
        <v>374</v>
      </c>
    </row>
    <row r="186" customFormat="false" ht="15" hidden="false" customHeight="false" outlineLevel="0" collapsed="false">
      <c r="A186" s="5" t="s">
        <v>375</v>
      </c>
      <c r="B186" s="0" t="s">
        <v>25</v>
      </c>
      <c r="D186" s="13" t="n">
        <f aca="false">eq0</f>
        <v>15.736</v>
      </c>
      <c r="E186" s="13" t="n">
        <f aca="false">D186+E181-E185</f>
        <v>33.7325333671622</v>
      </c>
      <c r="F186" s="13" t="n">
        <f aca="false">E186+F181-F185</f>
        <v>54.6470674962799</v>
      </c>
      <c r="G186" s="13" t="n">
        <f aca="false">F186+G181-G185</f>
        <v>76.0330404561277</v>
      </c>
    </row>
    <row r="187" customFormat="false" ht="15" hidden="false" customHeight="false" outlineLevel="0" collapsed="false">
      <c r="A187" s="5" t="s">
        <v>376</v>
      </c>
      <c r="B187" s="0" t="s">
        <v>25</v>
      </c>
      <c r="D187" s="13" t="n">
        <f aca="false">nc0</f>
        <v>4.762</v>
      </c>
      <c r="E187" s="13" t="n">
        <f aca="false">D187+E184-E185</f>
        <v>20.0552907106018</v>
      </c>
      <c r="F187" s="13" t="n">
        <f aca="false">E187+F184-F185</f>
        <v>37.8733948723442</v>
      </c>
      <c r="G187" s="13" t="n">
        <f aca="false">F187+G184-G185</f>
        <v>56.1035526958561</v>
      </c>
    </row>
    <row r="188" customFormat="false" ht="15" hidden="false" customHeight="false" outlineLevel="0" collapsed="false">
      <c r="A188" s="5" t="s">
        <v>377</v>
      </c>
      <c r="B188" s="5" t="s">
        <v>111</v>
      </c>
      <c r="D188" s="20" t="n">
        <f aca="false">sh0</f>
        <v>146.42</v>
      </c>
      <c r="E188" s="20" t="n">
        <f aca="false">D188-E185/bb_px*1000</f>
        <v>134.067075829663</v>
      </c>
      <c r="F188" s="20" t="n">
        <f aca="false">E188-F185/bb_px*1000</f>
        <v>119.674771796851</v>
      </c>
      <c r="G188" s="20" t="n">
        <f aca="false">F188-G185/bb_px*1000</f>
        <v>104.949637653485</v>
      </c>
    </row>
    <row r="189" customFormat="false" ht="17.15" hidden="false" customHeight="false" outlineLevel="0" collapsed="false">
      <c r="A189" s="0" t="s">
        <v>378</v>
      </c>
      <c r="B189" s="0" t="s">
        <v>38</v>
      </c>
      <c r="C189" s="15" t="n">
        <f aca="false">a25_eps</f>
        <v>-11.32</v>
      </c>
      <c r="D189" s="15" t="n">
        <f aca="false">a26_eps</f>
        <v>73.76</v>
      </c>
      <c r="E189" s="15" t="n">
        <f aca="false">E181/(E188+dil)*1000</f>
        <v>233.37193478481</v>
      </c>
      <c r="F189" s="15" t="n">
        <f aca="false">F181/(F188+dil)*1000</f>
        <v>301.997639138218</v>
      </c>
      <c r="G189" s="15" t="n">
        <f aca="false">G181/(G188+dil)*1000</f>
        <v>348.949680472654</v>
      </c>
    </row>
    <row r="190" customFormat="false" ht="17.15" hidden="false" customHeight="false" outlineLevel="0" collapsed="false">
      <c r="A190" s="5" t="s">
        <v>379</v>
      </c>
      <c r="B190" s="0" t="s">
        <v>38</v>
      </c>
      <c r="D190" s="15" t="n">
        <f aca="false">D186/D188*1000</f>
        <v>107.471656877476</v>
      </c>
      <c r="E190" s="15" t="n">
        <f aca="false">E186/E188*1000</f>
        <v>251.60937656327</v>
      </c>
      <c r="F190" s="15" t="n">
        <f aca="false">F186/F188*1000</f>
        <v>456.629803222383</v>
      </c>
      <c r="G190" s="15" t="n">
        <f aca="false">G186/G188*1000</f>
        <v>724.471681428459</v>
      </c>
    </row>
    <row r="191" customFormat="false" ht="17.15" hidden="false" customHeight="false" outlineLevel="0" collapsed="false">
      <c r="A191" s="0" t="s">
        <v>380</v>
      </c>
      <c r="B191" s="0" t="s">
        <v>31</v>
      </c>
      <c r="D191" s="21" t="n">
        <f aca="false">D181/D186</f>
        <v>0.72655058464667</v>
      </c>
      <c r="E191" s="21" t="n">
        <f aca="false">E181/E186</f>
        <v>0.986875895605601</v>
      </c>
      <c r="F191" s="21" t="n">
        <f aca="false">F181/F186</f>
        <v>0.708777983255858</v>
      </c>
      <c r="G191" s="21" t="n">
        <f aca="false">G181/G186</f>
        <v>0.521038361029623</v>
      </c>
    </row>
    <row r="192" customFormat="false" ht="15" hidden="false" customHeight="false" outlineLevel="0" collapsed="false">
      <c r="A192" s="5" t="s">
        <v>381</v>
      </c>
      <c r="B192" s="0" t="s">
        <v>38</v>
      </c>
      <c r="E192" s="15" t="n">
        <f aca="false">E184/(E188+dil)*1000</f>
        <v>214.421369967145</v>
      </c>
      <c r="F192" s="15" t="n">
        <f aca="false">F184/(F188+dil)*1000</f>
        <v>277.85483397008</v>
      </c>
      <c r="G192" s="15" t="n">
        <f aca="false">G184/(G188+dil)*1000</f>
        <v>321.152400382955</v>
      </c>
    </row>
    <row r="193" customFormat="false" ht="17.15" hidden="false" customHeight="false" outlineLevel="0" collapsed="false">
      <c r="A193" s="5" t="s">
        <v>382</v>
      </c>
      <c r="B193" s="0" t="s">
        <v>25</v>
      </c>
      <c r="D193" s="18" t="n">
        <f aca="false">ABS(D175-a26_rev)+ABS(D181-a26_ni)</f>
        <v>0</v>
      </c>
    </row>
    <row r="210" customFormat="false" ht="17.15" hidden="false" customHeight="false" outlineLevel="0" collapsed="false">
      <c r="A210" s="3" t="s">
        <v>651</v>
      </c>
    </row>
    <row r="211" customFormat="false" ht="17.15" hidden="false" customHeight="false" outlineLevel="0" collapsed="false">
      <c r="A211" s="12" t="s">
        <v>340</v>
      </c>
      <c r="B211" s="6" t="s">
        <v>15</v>
      </c>
      <c r="C211" s="12" t="s">
        <v>341</v>
      </c>
      <c r="D211" s="12" t="s">
        <v>342</v>
      </c>
      <c r="E211" s="12" t="s">
        <v>343</v>
      </c>
      <c r="F211" s="12" t="s">
        <v>344</v>
      </c>
      <c r="G211" s="12" t="s">
        <v>345</v>
      </c>
      <c r="H211" s="12" t="s">
        <v>346</v>
      </c>
      <c r="I211" s="12" t="s">
        <v>347</v>
      </c>
      <c r="J211" s="12" t="s">
        <v>348</v>
      </c>
      <c r="K211" s="12" t="s">
        <v>349</v>
      </c>
      <c r="L211" s="12" t="s">
        <v>350</v>
      </c>
      <c r="M211" s="12" t="s">
        <v>351</v>
      </c>
      <c r="N211" s="12" t="s">
        <v>352</v>
      </c>
      <c r="O211" s="12" t="s">
        <v>353</v>
      </c>
      <c r="P211" s="12" t="s">
        <v>354</v>
      </c>
      <c r="Q211" s="12" t="s">
        <v>355</v>
      </c>
      <c r="R211" s="12" t="s">
        <v>356</v>
      </c>
      <c r="S211" s="12"/>
      <c r="T211" s="6" t="s">
        <v>327</v>
      </c>
    </row>
    <row r="212" customFormat="false" ht="17.15" hidden="false" customHeight="false" outlineLevel="0" collapsed="false">
      <c r="A212" s="5" t="s">
        <v>357</v>
      </c>
      <c r="B212" s="0" t="s">
        <v>25</v>
      </c>
      <c r="C212" s="13" t="n">
        <f aca="false">Units!E4*1.1</f>
        <v>2.541</v>
      </c>
      <c r="D212" s="13" t="n">
        <f aca="false">Units!F4*1.1</f>
        <v>3.333</v>
      </c>
      <c r="E212" s="13" t="n">
        <f aca="false">Units!G4*1.1</f>
        <v>6.545</v>
      </c>
      <c r="F212" s="13" t="n">
        <f aca="false">Units!H4*1.1</f>
        <v>9.867</v>
      </c>
      <c r="G212" s="13" t="n">
        <f aca="false">Units!I4*1.1</f>
        <v>11.611472392638</v>
      </c>
      <c r="H212" s="13" t="n">
        <f aca="false">Units!J4*1.1*1</f>
        <v>14.3094026081766</v>
      </c>
      <c r="I212" s="13" t="n">
        <f aca="false">Units!K4*1.1*1</f>
        <v>15.7672100863131</v>
      </c>
      <c r="J212" s="13" t="n">
        <f aca="false">Units!L4*1.1*1</f>
        <v>16.6717948498977</v>
      </c>
      <c r="K212" s="13" t="n">
        <f aca="false">Units!M4*1.1*1</f>
        <v>16.7468629450452</v>
      </c>
      <c r="L212" s="13" t="n">
        <f aca="false">Units!N4*1.1*1</f>
        <v>16.4681160167076</v>
      </c>
      <c r="M212" s="13" t="n">
        <f aca="false">Units!O4*1.1*1</f>
        <v>16.5422670071184</v>
      </c>
      <c r="N212" s="13" t="n">
        <f aca="false">Units!P4*1.1*1</f>
        <v>16.6167518772135</v>
      </c>
      <c r="O212" s="13" t="n">
        <f aca="false">Units!Q4*1.1*1</f>
        <v>16.6915721303532</v>
      </c>
      <c r="P212" s="13" t="n">
        <f aca="false">Units!R4*1.1*1</f>
        <v>16.7667292766668</v>
      </c>
      <c r="Q212" s="13" t="n">
        <f aca="false">Units!S4*1.1*1</f>
        <v>16.9066185805928</v>
      </c>
      <c r="R212" s="13" t="n">
        <f aca="false">Units!T4*1.1*1</f>
        <v>17.2194926735217</v>
      </c>
      <c r="T212" s="8" t="s">
        <v>358</v>
      </c>
    </row>
    <row r="213" customFormat="false" ht="15" hidden="false" customHeight="false" outlineLevel="0" collapsed="false">
      <c r="A213" s="5" t="s">
        <v>359</v>
      </c>
      <c r="B213" s="0" t="s">
        <v>308</v>
      </c>
      <c r="C213" s="13" t="n">
        <f aca="false">Units!E7*1.1</f>
        <v>34.2708084758328</v>
      </c>
      <c r="D213" s="13" t="n">
        <f aca="false">Units!F7*1.1</f>
        <v>36.8661951816923</v>
      </c>
      <c r="E213" s="13" t="n">
        <f aca="false">Units!G7*1.1</f>
        <v>41.8762664815008</v>
      </c>
      <c r="F213" s="13" t="n">
        <f aca="false">Units!H7*1.1</f>
        <v>36.9789369982275</v>
      </c>
      <c r="G213" s="13" t="n">
        <f aca="false">Units!I7*1.1</f>
        <v>37.8406639667596</v>
      </c>
      <c r="H213" s="13" t="n">
        <f aca="false">Units!J7*1.1</f>
        <v>39.6876231889709</v>
      </c>
      <c r="I213" s="13" t="n">
        <f aca="false">Units!K7*1.1</f>
        <v>42.4571870530225</v>
      </c>
      <c r="J213" s="13" t="n">
        <f aca="false">Units!L7*1.1</f>
        <v>44.8930095163868</v>
      </c>
      <c r="K213" s="13" t="n">
        <f aca="false">Units!M7*1.1</f>
        <v>47.4685781919911</v>
      </c>
      <c r="L213" s="13" t="n">
        <f aca="false">Units!N7*1.1</f>
        <v>50.1919104965929</v>
      </c>
      <c r="M213" s="13" t="n">
        <f aca="false">Units!O7*1.1</f>
        <v>53.0714838162781</v>
      </c>
      <c r="N213" s="13" t="n">
        <f aca="false">Units!P7*1.1</f>
        <v>56.1162618954835</v>
      </c>
      <c r="O213" s="13" t="n">
        <f aca="false">Units!Q7*1.1</f>
        <v>59.335722739989</v>
      </c>
      <c r="P213" s="13" t="n">
        <f aca="false">Units!R7*1.1</f>
        <v>62.7398881207412</v>
      </c>
      <c r="Q213" s="13" t="n">
        <f aca="false">Units!S7*1.1</f>
        <v>65.219942038192</v>
      </c>
      <c r="R213" s="13" t="n">
        <f aca="false">Units!T7*1.1</f>
        <v>68.4813433955039</v>
      </c>
    </row>
    <row r="214" customFormat="false" ht="17.15" hidden="false" customHeight="false" outlineLevel="0" collapsed="false">
      <c r="A214" s="5" t="s">
        <v>266</v>
      </c>
      <c r="B214" s="0" t="s">
        <v>25</v>
      </c>
      <c r="C214" s="13" t="n">
        <f aca="false">q1_rev</f>
        <v>2.308</v>
      </c>
      <c r="D214" s="13" t="n">
        <f aca="false">q2_rev</f>
        <v>3.025</v>
      </c>
      <c r="E214" s="13" t="n">
        <f aca="false">q3_rev</f>
        <v>5.95</v>
      </c>
      <c r="F214" s="13" t="n">
        <f aca="false">q4_rev</f>
        <v>8.965</v>
      </c>
      <c r="G214" s="13" t="n">
        <f aca="false">G212*sd_k</f>
        <v>11.6045949163936</v>
      </c>
      <c r="H214" s="13" t="n">
        <f aca="false">H212*sd_k</f>
        <v>14.3009271475992</v>
      </c>
      <c r="I214" s="13" t="n">
        <f aca="false">I212*sd_k</f>
        <v>15.7578711662225</v>
      </c>
      <c r="J214" s="13" t="n">
        <f aca="false">J212*sd_k</f>
        <v>16.6619201441623</v>
      </c>
      <c r="K214" s="13" t="n">
        <f aca="false">K212*sd_k</f>
        <v>16.7369437764697</v>
      </c>
      <c r="L214" s="13" t="n">
        <f aca="false">L212*sd_k</f>
        <v>16.4583619499653</v>
      </c>
      <c r="M214" s="13" t="n">
        <f aca="false">M212*sd_k</f>
        <v>16.5324690207371</v>
      </c>
      <c r="N214" s="13" t="n">
        <f aca="false">N212*sd_k</f>
        <v>16.6069097734363</v>
      </c>
      <c r="O214" s="13" t="n">
        <f aca="false">O212*sd_k</f>
        <v>16.6816857105327</v>
      </c>
      <c r="P214" s="13" t="n">
        <f aca="false">P212*sd_k</f>
        <v>16.7567983412611</v>
      </c>
      <c r="Q214" s="13" t="n">
        <f aca="false">Q212*sd_k</f>
        <v>16.8966047887386</v>
      </c>
      <c r="R214" s="13" t="n">
        <f aca="false">R212*sd_k</f>
        <v>17.2092935663113</v>
      </c>
      <c r="T214" s="5" t="s">
        <v>360</v>
      </c>
    </row>
    <row r="215" customFormat="false" ht="17.15" hidden="false" customHeight="false" outlineLevel="0" collapsed="false">
      <c r="A215" s="5" t="s">
        <v>361</v>
      </c>
      <c r="B215" s="0" t="s">
        <v>362</v>
      </c>
      <c r="C215" s="19" t="n">
        <f aca="false">C216/C213</f>
        <v>0.0472768537439829</v>
      </c>
      <c r="D215" s="19" t="n">
        <f aca="false">D216/D213</f>
        <v>0.0402882638872803</v>
      </c>
      <c r="E215" s="19" t="n">
        <f aca="false">E216/E213</f>
        <v>0.0306904150724074</v>
      </c>
      <c r="F215" s="19" t="n">
        <f aca="false">F216/F213</f>
        <v>0.0373350375124676</v>
      </c>
      <c r="G215" s="19" t="n">
        <f aca="false">(1-g_gm)*G214/G213</f>
        <v>0.0490671936479231</v>
      </c>
      <c r="H215" s="19" t="n">
        <f aca="false">$G215*(1-cd_A)^(1/4)</f>
        <v>0.0472515253161731</v>
      </c>
      <c r="I215" s="19" t="n">
        <f aca="false">$G215*(1-cd_A)^(2/4)</f>
        <v>0.0455030434535449</v>
      </c>
      <c r="J215" s="19" t="n">
        <f aca="false">$G215*(1-cd_A)^(3/4)</f>
        <v>0.0438192619112447</v>
      </c>
      <c r="K215" s="19" t="n">
        <f aca="false">$G215*(1-cd_A)^(4/4)</f>
        <v>0.0421977865372139</v>
      </c>
      <c r="L215" s="19" t="n">
        <f aca="false">$G215*(1-cd_A)^(5/4)</f>
        <v>0.0406363117719089</v>
      </c>
      <c r="M215" s="19" t="n">
        <f aca="false">$G215*(1-cd_A)^(6/4)</f>
        <v>0.0391326173700486</v>
      </c>
      <c r="N215" s="19" t="n">
        <f aca="false">$G215*(1-cd_A)^(7/4)</f>
        <v>0.0376845652436704</v>
      </c>
      <c r="O215" s="19" t="n">
        <f aca="false">$G215*(1-cd_A)^(8/4)</f>
        <v>0.0362900964220039</v>
      </c>
      <c r="P215" s="19" t="n">
        <f aca="false">$G215*(1-cd_A)^(9/4)</f>
        <v>0.0349472281238416</v>
      </c>
      <c r="Q215" s="19" t="n">
        <f aca="false">$G215*(1-cd_A)^(10/4)</f>
        <v>0.0336540509382418</v>
      </c>
      <c r="R215" s="19" t="n">
        <f aca="false">$G215*(1-cd_A)^(11/4)</f>
        <v>0.0324087261095565</v>
      </c>
    </row>
    <row r="216" customFormat="false" ht="15" hidden="false" customHeight="false" outlineLevel="0" collapsed="false">
      <c r="A216" s="5" t="s">
        <v>363</v>
      </c>
      <c r="B216" s="0" t="s">
        <v>25</v>
      </c>
      <c r="C216" s="13" t="n">
        <f aca="false">q1_rev*(1-q1_gm)</f>
        <v>1.620216</v>
      </c>
      <c r="D216" s="13" t="n">
        <f aca="false">q2_rev*(1-q2_gm)</f>
        <v>1.485275</v>
      </c>
      <c r="E216" s="13" t="n">
        <f aca="false">q3_rev*(1-q3_gm)</f>
        <v>1.2852</v>
      </c>
      <c r="F216" s="13" t="n">
        <f aca="false">q4_rev*(1-q4_gm)</f>
        <v>1.38061</v>
      </c>
      <c r="G216" s="13" t="n">
        <f aca="false">G213*G215</f>
        <v>1.85673518662298</v>
      </c>
      <c r="H216" s="13" t="n">
        <f aca="false">H213*H215</f>
        <v>1.8753007318524</v>
      </c>
      <c r="I216" s="13" t="n">
        <f aca="false">I213*I215</f>
        <v>1.93193122738897</v>
      </c>
      <c r="J216" s="13" t="n">
        <f aca="false">J213*J215</f>
        <v>1.96717854198255</v>
      </c>
      <c r="K216" s="13" t="n">
        <f aca="false">K213*K215</f>
        <v>2.00306892977069</v>
      </c>
      <c r="L216" s="13" t="n">
        <f aca="false">L213*L215</f>
        <v>2.0396141233673</v>
      </c>
      <c r="M216" s="13" t="n">
        <f aca="false">M213*M215</f>
        <v>2.07682606944314</v>
      </c>
      <c r="N216" s="13" t="n">
        <f aca="false">N213*N215</f>
        <v>2.11471693263124</v>
      </c>
      <c r="O216" s="13" t="n">
        <f aca="false">O213*O215</f>
        <v>2.15329909950349</v>
      </c>
      <c r="P216" s="13" t="n">
        <f aca="false">P213*P215</f>
        <v>2.19258518261984</v>
      </c>
      <c r="Q216" s="13" t="n">
        <f aca="false">Q213*Q215</f>
        <v>2.19491525154249</v>
      </c>
      <c r="R216" s="13" t="n">
        <f aca="false">R213*R215</f>
        <v>2.21939310171938</v>
      </c>
    </row>
    <row r="217" customFormat="false" ht="15" hidden="false" customHeight="false" outlineLevel="0" collapsed="false">
      <c r="A217" s="5" t="s">
        <v>329</v>
      </c>
      <c r="B217" s="0" t="s">
        <v>31</v>
      </c>
      <c r="C217" s="14" t="n">
        <f aca="false">1-C216/C214</f>
        <v>0.298</v>
      </c>
      <c r="D217" s="14" t="n">
        <f aca="false">1-D216/D214</f>
        <v>0.509</v>
      </c>
      <c r="E217" s="14" t="n">
        <f aca="false">1-E216/E214</f>
        <v>0.784</v>
      </c>
      <c r="F217" s="14" t="n">
        <f aca="false">1-F216/F214</f>
        <v>0.846</v>
      </c>
      <c r="G217" s="14" t="n">
        <f aca="false">1-G216/G214</f>
        <v>0.84</v>
      </c>
      <c r="H217" s="14" t="n">
        <f aca="false">1-H216/H214</f>
        <v>0.868868590651676</v>
      </c>
      <c r="I217" s="14" t="n">
        <f aca="false">1-I216/I214</f>
        <v>0.877398970520198</v>
      </c>
      <c r="J217" s="14" t="n">
        <f aca="false">1-J216/J214</f>
        <v>0.881935663779317</v>
      </c>
      <c r="K217" s="14" t="n">
        <f aca="false">1-K216/K214</f>
        <v>0.88032050794203</v>
      </c>
      <c r="L217" s="14" t="n">
        <f aca="false">1-L216/L214</f>
        <v>0.876074294053814</v>
      </c>
      <c r="M217" s="14" t="n">
        <f aca="false">1-M216/M214</f>
        <v>0.874378952905454</v>
      </c>
      <c r="N217" s="14" t="n">
        <f aca="false">1-N216/N214</f>
        <v>0.872660418977295</v>
      </c>
      <c r="O217" s="14" t="n">
        <f aca="false">1-O216/O214</f>
        <v>0.870918374985094</v>
      </c>
      <c r="P217" s="14" t="n">
        <f aca="false">1-P216/P214</f>
        <v>0.869152499304063</v>
      </c>
      <c r="Q217" s="14" t="n">
        <f aca="false">1-Q216/Q214</f>
        <v>0.870097260426818</v>
      </c>
      <c r="R217" s="14" t="n">
        <f aca="false">1-R216/R214</f>
        <v>0.871035200069803</v>
      </c>
    </row>
    <row r="218" customFormat="false" ht="17.15" hidden="false" customHeight="false" outlineLevel="0" collapsed="false">
      <c r="A218" s="5" t="s">
        <v>364</v>
      </c>
      <c r="B218" s="0" t="s">
        <v>25</v>
      </c>
      <c r="C218" s="13" t="n">
        <f aca="false">q1_rev-q1_rev*(1-q1_gm)-q1_op</f>
        <v>0.511784</v>
      </c>
      <c r="D218" s="13" t="n">
        <f aca="false">q2_rev-q2_rev*(1-q2_gm)-q2_op</f>
        <v>0.474725</v>
      </c>
      <c r="E218" s="13" t="n">
        <f aca="false">q3_rev-q3_rev*(1-q3_gm)-q3_op</f>
        <v>0.553800000000001</v>
      </c>
      <c r="F218" s="13" t="n">
        <f aca="false">q4_rev-q4_rev*(1-q4_gm)-q4_op</f>
        <v>0.54739</v>
      </c>
      <c r="G218" s="13" t="n">
        <f aca="false">(g_ox-ox_var*g_rev)*(1+ox_g)^(0/4)+ox_var*G214</f>
        <v>0.604545949163936</v>
      </c>
      <c r="H218" s="13" t="n">
        <f aca="false">(g_ox-ox_var*g_rev)*(1+ox_g)^(1/4)+ox_var*H214</f>
        <v>0.643288808593744</v>
      </c>
      <c r="I218" s="13" t="n">
        <f aca="false">(g_ox-ox_var*g_rev)*(1+ox_g)^(2/4)+ox_var*I214</f>
        <v>0.669921833993344</v>
      </c>
      <c r="J218" s="13" t="n">
        <f aca="false">(g_ox-ox_var*g_rev)*(1+ox_g)^(3/4)+ox_var*J214</f>
        <v>0.691316806529188</v>
      </c>
      <c r="K218" s="13" t="n">
        <f aca="false">(g_ox-ox_var*g_rev)*(1+ox_g)^(4/4)+ox_var*K214</f>
        <v>0.704719437764697</v>
      </c>
      <c r="L218" s="13" t="n">
        <f aca="false">(g_ox-ox_var*g_rev)*(1+ox_g)^(5/4)+ox_var*L214</f>
        <v>0.714891110329179</v>
      </c>
      <c r="M218" s="13" t="n">
        <f aca="false">(g_ox-ox_var*g_rev)*(1+ox_g)^(6/4)+ox_var*M214</f>
        <v>0.728902124771602</v>
      </c>
      <c r="N218" s="13" t="n">
        <f aca="false">(g_ox-ox_var*g_rev)*(1+ox_g)^(7/4)+ox_var*N214</f>
        <v>0.743236463330685</v>
      </c>
      <c r="O218" s="13" t="n">
        <f aca="false">(g_ox-ox_var*g_rev)*(1+ox_g)^(8/4)+ox_var*O214</f>
        <v>0.757901857105327</v>
      </c>
      <c r="P218" s="13" t="n">
        <f aca="false">(g_ox-ox_var*g_rev)*(1+ox_g)^(9/4)+ox_var*P214</f>
        <v>0.77290622332509</v>
      </c>
      <c r="Q218" s="13" t="n">
        <f aca="false">(g_ox-ox_var*g_rev)*(1+ox_g)^(10/4)+ox_var*Q214</f>
        <v>0.78890122590804</v>
      </c>
      <c r="R218" s="13" t="n">
        <f aca="false">(g_ox-ox_var*g_rev)*(1+ox_g)^(11/4)+ox_var*R214</f>
        <v>0.806977037819068</v>
      </c>
      <c r="T218" s="5" t="s">
        <v>365</v>
      </c>
    </row>
    <row r="219" customFormat="false" ht="15" hidden="false" customHeight="false" outlineLevel="0" collapsed="false">
      <c r="A219" s="5" t="s">
        <v>330</v>
      </c>
      <c r="B219" s="0" t="s">
        <v>25</v>
      </c>
      <c r="C219" s="13" t="n">
        <f aca="false">C214-C216-C218</f>
        <v>0.176</v>
      </c>
      <c r="D219" s="13" t="n">
        <f aca="false">D214-D216-D218</f>
        <v>1.065</v>
      </c>
      <c r="E219" s="13" t="n">
        <f aca="false">E214-E216-E218</f>
        <v>4.111</v>
      </c>
      <c r="F219" s="13" t="n">
        <f aca="false">F214-F216-F218</f>
        <v>7.037</v>
      </c>
      <c r="G219" s="13" t="n">
        <f aca="false">G214-G216-G218</f>
        <v>9.14331378060671</v>
      </c>
      <c r="H219" s="13" t="n">
        <f aca="false">H214-H216-H218</f>
        <v>11.7823376071531</v>
      </c>
      <c r="I219" s="13" t="n">
        <f aca="false">I214-I216-I218</f>
        <v>13.1560181048402</v>
      </c>
      <c r="J219" s="13" t="n">
        <f aca="false">J214-J216-J218</f>
        <v>14.0034247956505</v>
      </c>
      <c r="K219" s="13" t="n">
        <f aca="false">K214-K216-K218</f>
        <v>14.0291554089343</v>
      </c>
      <c r="L219" s="13" t="n">
        <f aca="false">L214-L216-L218</f>
        <v>13.7038567162688</v>
      </c>
      <c r="M219" s="13" t="n">
        <f aca="false">M214-M216-M218</f>
        <v>13.7267408265223</v>
      </c>
      <c r="N219" s="13" t="n">
        <f aca="false">N214-N216-N218</f>
        <v>13.7489563774744</v>
      </c>
      <c r="O219" s="13" t="n">
        <f aca="false">O214-O216-O218</f>
        <v>13.7704847539239</v>
      </c>
      <c r="P219" s="13" t="n">
        <f aca="false">P214-P216-P218</f>
        <v>13.7913069353162</v>
      </c>
      <c r="Q219" s="13" t="n">
        <f aca="false">Q214-Q216-Q218</f>
        <v>13.9127883112881</v>
      </c>
      <c r="R219" s="13" t="n">
        <f aca="false">R214-R216-R218</f>
        <v>14.1829234267729</v>
      </c>
    </row>
    <row r="221" customFormat="false" ht="17.15" hidden="false" customHeight="false" outlineLevel="0" collapsed="false">
      <c r="A221" s="5" t="s">
        <v>332</v>
      </c>
      <c r="B221" s="0" t="s">
        <v>25</v>
      </c>
      <c r="C221" s="13" t="n">
        <f aca="false">q1_ni</f>
        <v>0.112</v>
      </c>
      <c r="D221" s="13" t="n">
        <f aca="false">q2_ni</f>
        <v>0.803</v>
      </c>
      <c r="E221" s="13" t="n">
        <f aca="false">q3_ni</f>
        <v>3.615</v>
      </c>
      <c r="F221" s="13" t="n">
        <f aca="false">q4_ni</f>
        <v>6.903</v>
      </c>
      <c r="G221" s="13" t="n">
        <f aca="false">(G219+rf*$D237/4)*(1-tax)</f>
        <v>7.8122937135157</v>
      </c>
      <c r="H221" s="13" t="n">
        <f aca="false">(H219+rf*$D237/4)*(1-tax)</f>
        <v>10.0554639660801</v>
      </c>
      <c r="I221" s="13" t="n">
        <f aca="false">(I219+rf*$D237/4)*(1-tax)</f>
        <v>11.2230923891141</v>
      </c>
      <c r="J221" s="13" t="n">
        <f aca="false">(J219+rf*$D237/4)*(1-tax)</f>
        <v>11.943388076303</v>
      </c>
      <c r="K221" s="13" t="n">
        <f aca="false">(K219+rf*$E237/4)*(1-tax)</f>
        <v>12.1254616548</v>
      </c>
      <c r="L221" s="13" t="n">
        <f aca="false">(L219+rf*$E237/4)*(1-tax)</f>
        <v>11.8489577660343</v>
      </c>
      <c r="M221" s="13" t="n">
        <f aca="false">(M219+rf*$E237/4)*(1-tax)</f>
        <v>11.8684092597498</v>
      </c>
      <c r="N221" s="13" t="n">
        <f aca="false">(N219+rf*$E237/4)*(1-tax)</f>
        <v>11.887292478059</v>
      </c>
      <c r="O221" s="13" t="n">
        <f aca="false">(O219+rf*$F237/4)*(1-tax)</f>
        <v>12.0922092684126</v>
      </c>
      <c r="P221" s="13" t="n">
        <f aca="false">(P219+rf*$F237/4)*(1-tax)</f>
        <v>12.1099081225961</v>
      </c>
      <c r="Q221" s="13" t="n">
        <f aca="false">(Q219+rf*$F237/4)*(1-tax)</f>
        <v>12.2131672921722</v>
      </c>
      <c r="R221" s="13" t="n">
        <f aca="false">(R219+rf*$F237/4)*(1-tax)</f>
        <v>12.4427821403343</v>
      </c>
      <c r="T221" s="5" t="s">
        <v>366</v>
      </c>
    </row>
    <row r="222" customFormat="false" ht="17.15" hidden="false" customHeight="false" outlineLevel="0" collapsed="false">
      <c r="A222" s="5" t="s">
        <v>367</v>
      </c>
      <c r="B222" s="0" t="s">
        <v>38</v>
      </c>
      <c r="G222" s="15" t="n">
        <f aca="false">G221/(sh0+dil)*1000</f>
        <v>50.4018949259078</v>
      </c>
      <c r="H222" s="15" t="n">
        <f aca="false">H221/(sh0+dil)*1000</f>
        <v>64.8739610714846</v>
      </c>
      <c r="I222" s="15" t="n">
        <f aca="false">I221/(sh0+dil)*1000</f>
        <v>72.407047671704</v>
      </c>
      <c r="J222" s="15" t="n">
        <f aca="false">J221/(sh0+dil)*1000</f>
        <v>77.0541166213095</v>
      </c>
      <c r="K222" s="15" t="n">
        <f aca="false">K221/(sh0+dil)*1000</f>
        <v>78.2287848696772</v>
      </c>
      <c r="L222" s="15" t="n">
        <f aca="false">L221/(sh0+dil)*1000</f>
        <v>76.4448888131245</v>
      </c>
      <c r="M222" s="15" t="n">
        <f aca="false">M221/(sh0+dil)*1000</f>
        <v>76.5703823209666</v>
      </c>
      <c r="N222" s="15" t="n">
        <f aca="false">N221/(sh0+dil)*1000</f>
        <v>76.6922095358648</v>
      </c>
      <c r="O222" s="15" t="n">
        <f aca="false">O221/(sh0+dil)*1000</f>
        <v>78.0142533445974</v>
      </c>
      <c r="P222" s="15" t="n">
        <f aca="false">P221/(sh0+dil)*1000</f>
        <v>78.1284395006197</v>
      </c>
      <c r="Q222" s="15" t="n">
        <f aca="false">Q221/(sh0+dil)*1000</f>
        <v>78.7946276914333</v>
      </c>
      <c r="R222" s="15" t="n">
        <f aca="false">R221/(sh0+dil)*1000</f>
        <v>80.2760138086082</v>
      </c>
    </row>
    <row r="224" customFormat="false" ht="17.15" hidden="false" customHeight="false" outlineLevel="0" collapsed="false">
      <c r="A224" s="12" t="s">
        <v>368</v>
      </c>
      <c r="B224" s="6" t="s">
        <v>15</v>
      </c>
      <c r="C224" s="12" t="s">
        <v>322</v>
      </c>
      <c r="D224" s="12" t="s">
        <v>323</v>
      </c>
      <c r="E224" s="12" t="s">
        <v>324</v>
      </c>
      <c r="F224" s="12" t="s">
        <v>325</v>
      </c>
      <c r="G224" s="12" t="s">
        <v>326</v>
      </c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6" t="s">
        <v>327</v>
      </c>
    </row>
    <row r="225" customFormat="false" ht="15" hidden="false" customHeight="false" outlineLevel="0" collapsed="false">
      <c r="A225" s="5" t="s">
        <v>266</v>
      </c>
      <c r="B225" s="0" t="s">
        <v>25</v>
      </c>
      <c r="C225" s="13" t="n">
        <f aca="false">a25_rev</f>
        <v>7.355</v>
      </c>
      <c r="D225" s="13" t="n">
        <f aca="false">SUM(C214:F214)</f>
        <v>20.248</v>
      </c>
      <c r="E225" s="13" t="n">
        <f aca="false">SUM(G214:J214)</f>
        <v>58.3253133743776</v>
      </c>
      <c r="F225" s="13" t="n">
        <f aca="false">SUM(K214:N214)</f>
        <v>66.3346845206083</v>
      </c>
      <c r="G225" s="13" t="n">
        <f aca="false">SUM(O214:R214)</f>
        <v>67.5443824068437</v>
      </c>
    </row>
    <row r="226" customFormat="false" ht="15" hidden="false" customHeight="false" outlineLevel="0" collapsed="false">
      <c r="A226" s="5" t="s">
        <v>363</v>
      </c>
      <c r="B226" s="0" t="s">
        <v>25</v>
      </c>
      <c r="D226" s="13" t="n">
        <f aca="false">SUM(C216:F216)</f>
        <v>5.771301</v>
      </c>
      <c r="E226" s="13" t="n">
        <f aca="false">SUM(G216:J216)</f>
        <v>7.6311456878469</v>
      </c>
      <c r="F226" s="13" t="n">
        <f aca="false">SUM(K216:N216)</f>
        <v>8.23422605521236</v>
      </c>
      <c r="G226" s="13" t="n">
        <f aca="false">SUM(O216:R216)</f>
        <v>8.7601926353852</v>
      </c>
    </row>
    <row r="227" customFormat="false" ht="15" hidden="false" customHeight="false" outlineLevel="0" collapsed="false">
      <c r="A227" s="5" t="s">
        <v>329</v>
      </c>
      <c r="B227" s="0" t="s">
        <v>31</v>
      </c>
      <c r="D227" s="14" t="n">
        <f aca="false">1-D226/D225</f>
        <v>0.714969330304228</v>
      </c>
      <c r="E227" s="14" t="n">
        <f aca="false">1-E226/E225</f>
        <v>0.86916237142415</v>
      </c>
      <c r="F227" s="14" t="n">
        <f aca="false">1-F226/F225</f>
        <v>0.875868467382939</v>
      </c>
      <c r="G227" s="14" t="n">
        <f aca="false">1-G226/G225</f>
        <v>0.870304645283164</v>
      </c>
    </row>
    <row r="228" customFormat="false" ht="15" hidden="false" customHeight="false" outlineLevel="0" collapsed="false">
      <c r="A228" s="5" t="s">
        <v>364</v>
      </c>
      <c r="B228" s="0" t="s">
        <v>25</v>
      </c>
      <c r="D228" s="13" t="n">
        <f aca="false">SUM(C218:F218)</f>
        <v>2.087699</v>
      </c>
      <c r="E228" s="13" t="n">
        <f aca="false">SUM(G218:J218)</f>
        <v>2.60907339828021</v>
      </c>
      <c r="F228" s="13" t="n">
        <f aca="false">SUM(K218:N218)</f>
        <v>2.89174913619616</v>
      </c>
      <c r="G228" s="13" t="n">
        <f aca="false">SUM(O218:R218)</f>
        <v>3.12668634415753</v>
      </c>
    </row>
    <row r="229" customFormat="false" ht="15" hidden="false" customHeight="false" outlineLevel="0" collapsed="false">
      <c r="A229" s="5" t="s">
        <v>330</v>
      </c>
      <c r="B229" s="0" t="s">
        <v>25</v>
      </c>
      <c r="D229" s="13" t="n">
        <f aca="false">SUM(C219:F219)</f>
        <v>12.389</v>
      </c>
      <c r="E229" s="13" t="n">
        <f aca="false">SUM(G219:J219)</f>
        <v>48.0850942882505</v>
      </c>
      <c r="F229" s="13" t="n">
        <f aca="false">SUM(K219:N219)</f>
        <v>55.2087093291998</v>
      </c>
      <c r="G229" s="13" t="n">
        <f aca="false">SUM(O219:R219)</f>
        <v>55.657503427301</v>
      </c>
    </row>
    <row r="230" customFormat="false" ht="15" hidden="false" customHeight="false" outlineLevel="0" collapsed="false">
      <c r="A230" s="5" t="s">
        <v>331</v>
      </c>
      <c r="B230" s="0" t="s">
        <v>31</v>
      </c>
      <c r="D230" s="14" t="n">
        <f aca="false">D229/D225</f>
        <v>0.61186290003951</v>
      </c>
      <c r="E230" s="14" t="n">
        <f aca="false">E229/E225</f>
        <v>0.824429248748355</v>
      </c>
      <c r="F230" s="14" t="n">
        <f aca="false">F229/F225</f>
        <v>0.832275147280575</v>
      </c>
      <c r="G230" s="14" t="n">
        <f aca="false">G229/G225</f>
        <v>0.824013803132526</v>
      </c>
    </row>
    <row r="231" customFormat="false" ht="15" hidden="false" customHeight="false" outlineLevel="0" collapsed="false">
      <c r="A231" s="5" t="s">
        <v>332</v>
      </c>
      <c r="B231" s="0" t="s">
        <v>25</v>
      </c>
      <c r="C231" s="13" t="n">
        <f aca="false">a25_ni</f>
        <v>-1.641</v>
      </c>
      <c r="D231" s="13" t="n">
        <f aca="false">SUM(C221:F221)</f>
        <v>11.433</v>
      </c>
      <c r="E231" s="13" t="n">
        <f aca="false">SUM(G221:J221)</f>
        <v>41.0342381450129</v>
      </c>
      <c r="F231" s="13" t="n">
        <f aca="false">SUM(K221:N221)</f>
        <v>47.7301211586431</v>
      </c>
      <c r="G231" s="13" t="n">
        <f aca="false">SUM(O221:R221)</f>
        <v>48.8580668235151</v>
      </c>
    </row>
    <row r="232" customFormat="false" ht="15" hidden="false" customHeight="false" outlineLevel="0" collapsed="false">
      <c r="A232" s="5" t="s">
        <v>369</v>
      </c>
      <c r="B232" s="0" t="s">
        <v>25</v>
      </c>
      <c r="D232" s="13" t="n">
        <f aca="false">da_y</f>
        <v>0.16</v>
      </c>
      <c r="E232" s="13" t="n">
        <f aca="false">da_y</f>
        <v>0.16</v>
      </c>
      <c r="F232" s="13" t="n">
        <f aca="false">da_y</f>
        <v>0.16</v>
      </c>
      <c r="G232" s="13" t="n">
        <f aca="false">da_y</f>
        <v>0.16</v>
      </c>
    </row>
    <row r="233" customFormat="false" ht="17.15" hidden="false" customHeight="false" outlineLevel="0" collapsed="false">
      <c r="A233" s="5" t="s">
        <v>370</v>
      </c>
      <c r="B233" s="0" t="s">
        <v>25</v>
      </c>
      <c r="D233" s="13" t="n">
        <v>0.562</v>
      </c>
      <c r="E233" s="13" t="n">
        <f aca="false">cap_r*E225</f>
        <v>3.49951880246266</v>
      </c>
      <c r="F233" s="13" t="n">
        <f aca="false">cap_r*F225</f>
        <v>3.9800810712365</v>
      </c>
      <c r="G233" s="13" t="n">
        <f aca="false">cap_r*G225</f>
        <v>4.05266294441062</v>
      </c>
      <c r="T233" s="8" t="s">
        <v>371</v>
      </c>
    </row>
    <row r="234" customFormat="false" ht="15" hidden="false" customHeight="false" outlineLevel="0" collapsed="false">
      <c r="A234" s="5" t="s">
        <v>372</v>
      </c>
      <c r="B234" s="0" t="s">
        <v>25</v>
      </c>
      <c r="D234" s="13" t="n">
        <f aca="false">D231+D232-D233</f>
        <v>11.031</v>
      </c>
      <c r="E234" s="13" t="n">
        <f aca="false">E231+E232-E233</f>
        <v>37.6947193425502</v>
      </c>
      <c r="F234" s="13" t="n">
        <f aca="false">F231+F232-F233</f>
        <v>43.9100400874066</v>
      </c>
      <c r="G234" s="13" t="n">
        <f aca="false">G231+G232-G233</f>
        <v>44.9654038791045</v>
      </c>
    </row>
    <row r="235" customFormat="false" ht="17.15" hidden="false" customHeight="false" outlineLevel="0" collapsed="false">
      <c r="A235" s="5" t="s">
        <v>373</v>
      </c>
      <c r="B235" s="0" t="s">
        <v>25</v>
      </c>
      <c r="D235" s="13" t="n">
        <v>4.524</v>
      </c>
      <c r="E235" s="13" t="n">
        <f aca="false">MAX(0,payout*E234)</f>
        <v>18.8473596712751</v>
      </c>
      <c r="F235" s="13" t="n">
        <f aca="false">MAX(0,payout*F234)</f>
        <v>21.9550200437033</v>
      </c>
      <c r="G235" s="13" t="n">
        <f aca="false">MAX(0,payout*G234)</f>
        <v>22.4827019395522</v>
      </c>
      <c r="T235" s="8" t="s">
        <v>374</v>
      </c>
    </row>
    <row r="236" customFormat="false" ht="15" hidden="false" customHeight="false" outlineLevel="0" collapsed="false">
      <c r="A236" s="5" t="s">
        <v>375</v>
      </c>
      <c r="B236" s="0" t="s">
        <v>25</v>
      </c>
      <c r="D236" s="13" t="n">
        <f aca="false">eq0</f>
        <v>15.736</v>
      </c>
      <c r="E236" s="13" t="n">
        <f aca="false">D236+E231-E235</f>
        <v>37.9228784737378</v>
      </c>
      <c r="F236" s="13" t="n">
        <f aca="false">E236+F231-F235</f>
        <v>63.6979795886776</v>
      </c>
      <c r="G236" s="13" t="n">
        <f aca="false">F236+G231-G235</f>
        <v>90.0733444726405</v>
      </c>
    </row>
    <row r="237" customFormat="false" ht="15" hidden="false" customHeight="false" outlineLevel="0" collapsed="false">
      <c r="A237" s="5" t="s">
        <v>376</v>
      </c>
      <c r="B237" s="0" t="s">
        <v>25</v>
      </c>
      <c r="D237" s="13" t="n">
        <f aca="false">nc0</f>
        <v>4.762</v>
      </c>
      <c r="E237" s="13" t="n">
        <f aca="false">D237+E234-E235</f>
        <v>23.6093596712751</v>
      </c>
      <c r="F237" s="13" t="n">
        <f aca="false">E237+F234-F235</f>
        <v>45.5643797149784</v>
      </c>
      <c r="G237" s="13" t="n">
        <f aca="false">F237+G234-G235</f>
        <v>68.0470816545307</v>
      </c>
    </row>
    <row r="238" customFormat="false" ht="15" hidden="false" customHeight="false" outlineLevel="0" collapsed="false">
      <c r="A238" s="5" t="s">
        <v>377</v>
      </c>
      <c r="B238" s="5" t="s">
        <v>111</v>
      </c>
      <c r="D238" s="20" t="n">
        <f aca="false">sh0</f>
        <v>146.42</v>
      </c>
      <c r="E238" s="20" t="n">
        <f aca="false">D238-E235/bb_px*1000</f>
        <v>131.196330402918</v>
      </c>
      <c r="F238" s="20" t="n">
        <f aca="false">E238-F235/bb_px*1000</f>
        <v>113.462495161686</v>
      </c>
      <c r="G238" s="20" t="n">
        <f aca="false">F238-G235/bb_px*1000</f>
        <v>95.3024328533794</v>
      </c>
    </row>
    <row r="239" customFormat="false" ht="17.15" hidden="false" customHeight="false" outlineLevel="0" collapsed="false">
      <c r="A239" s="0" t="s">
        <v>378</v>
      </c>
      <c r="B239" s="0" t="s">
        <v>38</v>
      </c>
      <c r="C239" s="15" t="n">
        <f aca="false">a25_eps</f>
        <v>-11.32</v>
      </c>
      <c r="D239" s="15" t="n">
        <f aca="false">a26_eps</f>
        <v>73.76</v>
      </c>
      <c r="E239" s="15" t="n">
        <f aca="false">E231/(E238+dil)*1000</f>
        <v>293.570721356956</v>
      </c>
      <c r="F239" s="15" t="n">
        <f aca="false">F231/(F238+dil)*1000</f>
        <v>391.094274952416</v>
      </c>
      <c r="G239" s="15" t="n">
        <f aca="false">G231/(G238+dil)*1000</f>
        <v>470.320779765274</v>
      </c>
    </row>
    <row r="240" customFormat="false" ht="17.15" hidden="false" customHeight="false" outlineLevel="0" collapsed="false">
      <c r="A240" s="5" t="s">
        <v>379</v>
      </c>
      <c r="B240" s="0" t="s">
        <v>38</v>
      </c>
      <c r="D240" s="15" t="n">
        <f aca="false">D236/D238*1000</f>
        <v>107.471656877476</v>
      </c>
      <c r="E240" s="15" t="n">
        <f aca="false">E236/E238*1000</f>
        <v>289.054414534861</v>
      </c>
      <c r="F240" s="15" t="n">
        <f aca="false">F236/F238*1000</f>
        <v>561.40118810103</v>
      </c>
      <c r="G240" s="15" t="n">
        <f aca="false">G236/G238*1000</f>
        <v>945.131638047648</v>
      </c>
    </row>
    <row r="241" customFormat="false" ht="17.15" hidden="false" customHeight="false" outlineLevel="0" collapsed="false">
      <c r="A241" s="0" t="s">
        <v>380</v>
      </c>
      <c r="B241" s="0" t="s">
        <v>31</v>
      </c>
      <c r="D241" s="21" t="n">
        <f aca="false">D231/D236</f>
        <v>0.72655058464667</v>
      </c>
      <c r="E241" s="21" t="n">
        <f aca="false">E231/E236</f>
        <v>1.08204439632476</v>
      </c>
      <c r="F241" s="21" t="n">
        <f aca="false">F231/F236</f>
        <v>0.749319232208854</v>
      </c>
      <c r="G241" s="21" t="n">
        <f aca="false">G231/G236</f>
        <v>0.54242536579016</v>
      </c>
    </row>
    <row r="242" customFormat="false" ht="15" hidden="false" customHeight="false" outlineLevel="0" collapsed="false">
      <c r="A242" s="5" t="s">
        <v>381</v>
      </c>
      <c r="B242" s="0" t="s">
        <v>38</v>
      </c>
      <c r="E242" s="15" t="n">
        <f aca="false">E234/(E238+dil)*1000</f>
        <v>269.678845008248</v>
      </c>
      <c r="F242" s="15" t="n">
        <f aca="false">F234/(F238+dil)*1000</f>
        <v>359.793037902358</v>
      </c>
      <c r="G242" s="15" t="n">
        <f aca="false">G234/(G238+dil)*1000</f>
        <v>432.848968242485</v>
      </c>
    </row>
    <row r="243" customFormat="false" ht="17.15" hidden="false" customHeight="false" outlineLevel="0" collapsed="false">
      <c r="A243" s="5" t="s">
        <v>382</v>
      </c>
      <c r="B243" s="0" t="s">
        <v>25</v>
      </c>
      <c r="D243" s="18" t="n">
        <f aca="false">ABS(D225-a26_rev)+ABS(D231-a26_ni)</f>
        <v>0</v>
      </c>
    </row>
    <row r="260" customFormat="false" ht="17.15" hidden="false" customHeight="false" outlineLevel="0" collapsed="false">
      <c r="A260" s="3" t="s">
        <v>652</v>
      </c>
    </row>
    <row r="261" customFormat="false" ht="17.15" hidden="false" customHeight="false" outlineLevel="0" collapsed="false">
      <c r="A261" s="12" t="s">
        <v>340</v>
      </c>
      <c r="B261" s="6" t="s">
        <v>15</v>
      </c>
      <c r="C261" s="12" t="s">
        <v>341</v>
      </c>
      <c r="D261" s="12" t="s">
        <v>342</v>
      </c>
      <c r="E261" s="12" t="s">
        <v>343</v>
      </c>
      <c r="F261" s="12" t="s">
        <v>344</v>
      </c>
      <c r="G261" s="12" t="s">
        <v>345</v>
      </c>
      <c r="H261" s="12" t="s">
        <v>346</v>
      </c>
      <c r="I261" s="12" t="s">
        <v>347</v>
      </c>
      <c r="J261" s="12" t="s">
        <v>348</v>
      </c>
      <c r="K261" s="12" t="s">
        <v>349</v>
      </c>
      <c r="L261" s="12" t="s">
        <v>350</v>
      </c>
      <c r="M261" s="12" t="s">
        <v>351</v>
      </c>
      <c r="N261" s="12" t="s">
        <v>352</v>
      </c>
      <c r="O261" s="12" t="s">
        <v>353</v>
      </c>
      <c r="P261" s="12" t="s">
        <v>354</v>
      </c>
      <c r="Q261" s="12" t="s">
        <v>355</v>
      </c>
      <c r="R261" s="12" t="s">
        <v>356</v>
      </c>
      <c r="S261" s="12"/>
      <c r="T261" s="6" t="s">
        <v>327</v>
      </c>
    </row>
    <row r="262" customFormat="false" ht="17.15" hidden="false" customHeight="false" outlineLevel="0" collapsed="false">
      <c r="A262" s="5" t="s">
        <v>357</v>
      </c>
      <c r="B262" s="0" t="s">
        <v>25</v>
      </c>
      <c r="C262" s="13" t="n">
        <f aca="false">Units!E4*1</f>
        <v>2.31</v>
      </c>
      <c r="D262" s="13" t="n">
        <f aca="false">Units!F4*1</f>
        <v>3.03</v>
      </c>
      <c r="E262" s="13" t="n">
        <f aca="false">Units!G4*1</f>
        <v>5.95</v>
      </c>
      <c r="F262" s="13" t="n">
        <f aca="false">Units!H4*1</f>
        <v>8.97</v>
      </c>
      <c r="G262" s="13" t="n">
        <f aca="false">Units!I4*1</f>
        <v>10.5558839933073</v>
      </c>
      <c r="H262" s="13" t="n">
        <f aca="false">Units!J4*1*1</f>
        <v>13.0085478256151</v>
      </c>
      <c r="I262" s="13" t="n">
        <f aca="false">Units!K4*1*1</f>
        <v>14.3338273511937</v>
      </c>
      <c r="J262" s="13" t="n">
        <f aca="false">Units!L4*1*1</f>
        <v>15.1561771362706</v>
      </c>
      <c r="K262" s="13" t="n">
        <f aca="false">Units!M4*1*1</f>
        <v>15.224420859132</v>
      </c>
      <c r="L262" s="13" t="n">
        <f aca="false">Units!N4*1*1</f>
        <v>14.9710145606433</v>
      </c>
      <c r="M262" s="13" t="n">
        <f aca="false">Units!O4*1*1</f>
        <v>15.0384245519258</v>
      </c>
      <c r="N262" s="13" t="n">
        <f aca="false">Units!P4*1*1</f>
        <v>15.1061380701941</v>
      </c>
      <c r="O262" s="13" t="n">
        <f aca="false">Units!Q4*1*1</f>
        <v>15.1741564821393</v>
      </c>
      <c r="P262" s="13" t="n">
        <f aca="false">Units!R4*1*1</f>
        <v>15.2424811606062</v>
      </c>
      <c r="Q262" s="13" t="n">
        <f aca="false">Units!S4*1*1</f>
        <v>15.3696532550844</v>
      </c>
      <c r="R262" s="13" t="n">
        <f aca="false">Units!T4*1*1</f>
        <v>15.6540842486561</v>
      </c>
      <c r="T262" s="8" t="s">
        <v>358</v>
      </c>
    </row>
    <row r="263" customFormat="false" ht="15" hidden="false" customHeight="false" outlineLevel="0" collapsed="false">
      <c r="A263" s="5" t="s">
        <v>359</v>
      </c>
      <c r="B263" s="0" t="s">
        <v>308</v>
      </c>
      <c r="C263" s="13" t="n">
        <f aca="false">Units!E7*1</f>
        <v>31.1552804325753</v>
      </c>
      <c r="D263" s="13" t="n">
        <f aca="false">Units!F7*1</f>
        <v>33.5147228924475</v>
      </c>
      <c r="E263" s="13" t="n">
        <f aca="false">Units!G7*1</f>
        <v>38.0693331650007</v>
      </c>
      <c r="F263" s="13" t="n">
        <f aca="false">Units!H7*1</f>
        <v>33.6172154529341</v>
      </c>
      <c r="G263" s="13" t="n">
        <f aca="false">Units!I7*1</f>
        <v>34.4006036061451</v>
      </c>
      <c r="H263" s="13" t="n">
        <f aca="false">Units!J7*1</f>
        <v>36.079657444519</v>
      </c>
      <c r="I263" s="13" t="n">
        <f aca="false">Units!K7*1</f>
        <v>38.597442775475</v>
      </c>
      <c r="J263" s="13" t="n">
        <f aca="false">Units!L7*1</f>
        <v>40.8118268330789</v>
      </c>
      <c r="K263" s="13" t="n">
        <f aca="false">Units!M7*1</f>
        <v>43.1532529018101</v>
      </c>
      <c r="L263" s="13" t="n">
        <f aca="false">Units!N7*1</f>
        <v>45.6290095423572</v>
      </c>
      <c r="M263" s="13" t="n">
        <f aca="false">Units!O7*1</f>
        <v>48.2468034693437</v>
      </c>
      <c r="N263" s="13" t="n">
        <f aca="false">Units!P7*1</f>
        <v>51.0147835413486</v>
      </c>
      <c r="O263" s="13" t="n">
        <f aca="false">Units!Q7*1</f>
        <v>53.9415661272627</v>
      </c>
      <c r="P263" s="13" t="n">
        <f aca="false">Units!R7*1</f>
        <v>57.0362619279465</v>
      </c>
      <c r="Q263" s="13" t="n">
        <f aca="false">Units!S7*1</f>
        <v>59.2908563983564</v>
      </c>
      <c r="R263" s="13" t="n">
        <f aca="false">Units!T7*1</f>
        <v>62.2557667231854</v>
      </c>
    </row>
    <row r="264" customFormat="false" ht="17.15" hidden="false" customHeight="false" outlineLevel="0" collapsed="false">
      <c r="A264" s="5" t="s">
        <v>266</v>
      </c>
      <c r="B264" s="0" t="s">
        <v>25</v>
      </c>
      <c r="C264" s="13" t="n">
        <f aca="false">q1_rev</f>
        <v>2.308</v>
      </c>
      <c r="D264" s="13" t="n">
        <f aca="false">q2_rev</f>
        <v>3.025</v>
      </c>
      <c r="E264" s="13" t="n">
        <f aca="false">q3_rev</f>
        <v>5.95</v>
      </c>
      <c r="F264" s="13" t="n">
        <f aca="false">q4_rev</f>
        <v>8.965</v>
      </c>
      <c r="G264" s="13" t="n">
        <f aca="false">G262*sd_k</f>
        <v>10.549631742176</v>
      </c>
      <c r="H264" s="13" t="n">
        <f aca="false">H262*sd_k</f>
        <v>13.0008428614538</v>
      </c>
      <c r="I264" s="13" t="n">
        <f aca="false">I262*sd_k</f>
        <v>14.3253374238386</v>
      </c>
      <c r="J264" s="13" t="n">
        <f aca="false">J262*sd_k</f>
        <v>15.1472001310566</v>
      </c>
      <c r="K264" s="13" t="n">
        <f aca="false">K262*sd_k</f>
        <v>15.2154034331542</v>
      </c>
      <c r="L264" s="13" t="n">
        <f aca="false">L262*sd_k</f>
        <v>14.9621472272411</v>
      </c>
      <c r="M264" s="13" t="n">
        <f aca="false">M262*sd_k</f>
        <v>15.0295172915792</v>
      </c>
      <c r="N264" s="13" t="n">
        <f aca="false">N262*sd_k</f>
        <v>15.0971907031239</v>
      </c>
      <c r="O264" s="13" t="n">
        <f aca="false">O262*sd_k</f>
        <v>15.165168827757</v>
      </c>
      <c r="P264" s="13" t="n">
        <f aca="false">P262*sd_k</f>
        <v>15.2334530375101</v>
      </c>
      <c r="Q264" s="13" t="n">
        <f aca="false">Q262*sd_k</f>
        <v>15.3605498079442</v>
      </c>
      <c r="R264" s="13" t="n">
        <f aca="false">R262*sd_k</f>
        <v>15.6448123330103</v>
      </c>
      <c r="T264" s="5" t="s">
        <v>360</v>
      </c>
    </row>
    <row r="265" customFormat="false" ht="17.15" hidden="false" customHeight="false" outlineLevel="0" collapsed="false">
      <c r="A265" s="5" t="s">
        <v>361</v>
      </c>
      <c r="B265" s="0" t="s">
        <v>362</v>
      </c>
      <c r="C265" s="19" t="n">
        <f aca="false">C266/C263</f>
        <v>0.0520045391183812</v>
      </c>
      <c r="D265" s="19" t="n">
        <f aca="false">D266/D263</f>
        <v>0.0443170902760084</v>
      </c>
      <c r="E265" s="19" t="n">
        <f aca="false">E266/E263</f>
        <v>0.0337594565796481</v>
      </c>
      <c r="F265" s="19" t="n">
        <f aca="false">F266/F263</f>
        <v>0.0410685412637144</v>
      </c>
      <c r="G265" s="19" t="n">
        <f aca="false">(1-g_gm)*G264/G263</f>
        <v>0.0490671936479231</v>
      </c>
      <c r="H265" s="19" t="n">
        <f aca="false">$G265*(1-cd_C)^(1/4)</f>
        <v>0.0477916304396526</v>
      </c>
      <c r="I265" s="19" t="n">
        <f aca="false">$G265*(1-cd_C)^(2/4)</f>
        <v>0.0465492270959949</v>
      </c>
      <c r="J265" s="19" t="n">
        <f aca="false">$G265*(1-cd_C)^(3/4)</f>
        <v>0.045339121584701</v>
      </c>
      <c r="K265" s="19" t="n">
        <f aca="false">$G265*(1-cd_C)^(4/4)</f>
        <v>0.0441604742831308</v>
      </c>
      <c r="L265" s="19" t="n">
        <f aca="false">$G265*(1-cd_C)^(5/4)</f>
        <v>0.0430124673956874</v>
      </c>
      <c r="M265" s="19" t="n">
        <f aca="false">$G265*(1-cd_C)^(6/4)</f>
        <v>0.0418943043863954</v>
      </c>
      <c r="N265" s="19" t="n">
        <f aca="false">$G265*(1-cd_C)^(7/4)</f>
        <v>0.0408052094262309</v>
      </c>
      <c r="O265" s="19" t="n">
        <f aca="false">$G265*(1-cd_C)^(8/4)</f>
        <v>0.0397444268548177</v>
      </c>
      <c r="P265" s="19" t="n">
        <f aca="false">$G265*(1-cd_C)^(9/4)</f>
        <v>0.0387112206561186</v>
      </c>
      <c r="Q265" s="19" t="n">
        <f aca="false">$G265*(1-cd_C)^(10/4)</f>
        <v>0.0377048739477559</v>
      </c>
      <c r="R265" s="19" t="n">
        <f aca="false">$G265*(1-cd_C)^(11/4)</f>
        <v>0.0367246884836078</v>
      </c>
    </row>
    <row r="266" customFormat="false" ht="15" hidden="false" customHeight="false" outlineLevel="0" collapsed="false">
      <c r="A266" s="5" t="s">
        <v>363</v>
      </c>
      <c r="B266" s="0" t="s">
        <v>25</v>
      </c>
      <c r="C266" s="13" t="n">
        <f aca="false">q1_rev*(1-q1_gm)</f>
        <v>1.620216</v>
      </c>
      <c r="D266" s="13" t="n">
        <f aca="false">q2_rev*(1-q2_gm)</f>
        <v>1.485275</v>
      </c>
      <c r="E266" s="13" t="n">
        <f aca="false">q3_rev*(1-q3_gm)</f>
        <v>1.2852</v>
      </c>
      <c r="F266" s="13" t="n">
        <f aca="false">q4_rev*(1-q4_gm)</f>
        <v>1.38061</v>
      </c>
      <c r="G266" s="13" t="n">
        <f aca="false">G263*G265</f>
        <v>1.68794107874816</v>
      </c>
      <c r="H266" s="13" t="n">
        <f aca="false">H263*H265</f>
        <v>1.72430565497771</v>
      </c>
      <c r="I266" s="13" t="n">
        <f aca="false">I263*I265</f>
        <v>1.79668112908025</v>
      </c>
      <c r="J266" s="13" t="n">
        <f aca="false">J263*J265</f>
        <v>1.85037237887873</v>
      </c>
      <c r="K266" s="13" t="n">
        <f aca="false">K263*K265</f>
        <v>1.90566811500382</v>
      </c>
      <c r="L266" s="13" t="n">
        <f aca="false">L263*L265</f>
        <v>1.96261628523815</v>
      </c>
      <c r="M266" s="13" t="n">
        <f aca="false">M263*M265</f>
        <v>2.02126627021528</v>
      </c>
      <c r="N266" s="13" t="n">
        <f aca="false">N263*N265</f>
        <v>2.08166892623857</v>
      </c>
      <c r="O266" s="13" t="n">
        <f aca="false">O263*O265</f>
        <v>2.14387662937931</v>
      </c>
      <c r="P266" s="13" t="n">
        <f aca="false">P263*P265</f>
        <v>2.20794332089292</v>
      </c>
      <c r="Q266" s="13" t="n">
        <f aca="false">Q263*Q265</f>
        <v>2.23555426675452</v>
      </c>
      <c r="R266" s="13" t="n">
        <f aca="false">R263*R265</f>
        <v>2.28632363921714</v>
      </c>
    </row>
    <row r="267" customFormat="false" ht="15" hidden="false" customHeight="false" outlineLevel="0" collapsed="false">
      <c r="A267" s="5" t="s">
        <v>329</v>
      </c>
      <c r="B267" s="0" t="s">
        <v>31</v>
      </c>
      <c r="C267" s="14" t="n">
        <f aca="false">1-C266/C264</f>
        <v>0.298</v>
      </c>
      <c r="D267" s="14" t="n">
        <f aca="false">1-D266/D264</f>
        <v>0.509</v>
      </c>
      <c r="E267" s="14" t="n">
        <f aca="false">1-E266/E264</f>
        <v>0.784</v>
      </c>
      <c r="F267" s="14" t="n">
        <f aca="false">1-F266/F264</f>
        <v>0.846</v>
      </c>
      <c r="G267" s="14" t="n">
        <f aca="false">1-G266/G264</f>
        <v>0.84</v>
      </c>
      <c r="H267" s="14" t="n">
        <f aca="false">1-H266/H264</f>
        <v>0.867369702614428</v>
      </c>
      <c r="I267" s="14" t="n">
        <f aca="false">1-I266/I264</f>
        <v>0.874580187822283</v>
      </c>
      <c r="J267" s="14" t="n">
        <f aca="false">1-J266/J264</f>
        <v>0.877840633062947</v>
      </c>
      <c r="K267" s="14" t="n">
        <f aca="false">1-K266/K264</f>
        <v>0.874754019939334</v>
      </c>
      <c r="L267" s="14" t="n">
        <f aca="false">1-L266/L264</f>
        <v>0.868827899135702</v>
      </c>
      <c r="M267" s="14" t="n">
        <f aca="false">1-M266/M264</f>
        <v>0.865513560349156</v>
      </c>
      <c r="N267" s="14" t="n">
        <f aca="false">1-N266/N264</f>
        <v>0.862115477828082</v>
      </c>
      <c r="O267" s="14" t="n">
        <f aca="false">1-O266/O264</f>
        <v>0.858631535611042</v>
      </c>
      <c r="P267" s="14" t="n">
        <f aca="false">1-P266/P264</f>
        <v>0.855059564272382</v>
      </c>
      <c r="Q267" s="14" t="n">
        <f aca="false">1-Q266/Q264</f>
        <v>0.854461311951325</v>
      </c>
      <c r="R267" s="14" t="n">
        <f aca="false">1-R266/R264</f>
        <v>0.853860590299761</v>
      </c>
    </row>
    <row r="268" customFormat="false" ht="17.15" hidden="false" customHeight="false" outlineLevel="0" collapsed="false">
      <c r="A268" s="5" t="s">
        <v>364</v>
      </c>
      <c r="B268" s="0" t="s">
        <v>25</v>
      </c>
      <c r="C268" s="13" t="n">
        <f aca="false">q1_rev-q1_rev*(1-q1_gm)-q1_op</f>
        <v>0.511784</v>
      </c>
      <c r="D268" s="13" t="n">
        <f aca="false">q2_rev-q2_rev*(1-q2_gm)-q2_op</f>
        <v>0.474725</v>
      </c>
      <c r="E268" s="13" t="n">
        <f aca="false">q3_rev-q3_rev*(1-q3_gm)-q3_op</f>
        <v>0.553800000000001</v>
      </c>
      <c r="F268" s="13" t="n">
        <f aca="false">q4_rev-q4_rev*(1-q4_gm)-q4_op</f>
        <v>0.54739</v>
      </c>
      <c r="G268" s="13" t="n">
        <f aca="false">(g_ox-ox_var*g_rev)*(1+ox_g)^(0/4)+ox_var*G264</f>
        <v>0.59399631742176</v>
      </c>
      <c r="H268" s="13" t="n">
        <f aca="false">(g_ox-ox_var*g_rev)*(1+ox_g)^(1/4)+ox_var*H264</f>
        <v>0.63028796573229</v>
      </c>
      <c r="I268" s="13" t="n">
        <f aca="false">(g_ox-ox_var*g_rev)*(1+ox_g)^(2/4)+ox_var*I264</f>
        <v>0.655596496569505</v>
      </c>
      <c r="J268" s="13" t="n">
        <f aca="false">(g_ox-ox_var*g_rev)*(1+ox_g)^(3/4)+ox_var*J264</f>
        <v>0.676169606398132</v>
      </c>
      <c r="K268" s="13" t="n">
        <f aca="false">(g_ox-ox_var*g_rev)*(1+ox_g)^(4/4)+ox_var*K264</f>
        <v>0.689504034331542</v>
      </c>
      <c r="L268" s="13" t="n">
        <f aca="false">(g_ox-ox_var*g_rev)*(1+ox_g)^(5/4)+ox_var*L264</f>
        <v>0.699928963101938</v>
      </c>
      <c r="M268" s="13" t="n">
        <f aca="false">(g_ox-ox_var*g_rev)*(1+ox_g)^(6/4)+ox_var*M264</f>
        <v>0.713872607480023</v>
      </c>
      <c r="N268" s="13" t="n">
        <f aca="false">(g_ox-ox_var*g_rev)*(1+ox_g)^(7/4)+ox_var*N264</f>
        <v>0.728139272627561</v>
      </c>
      <c r="O268" s="13" t="n">
        <f aca="false">(g_ox-ox_var*g_rev)*(1+ox_g)^(8/4)+ox_var*O264</f>
        <v>0.74273668827757</v>
      </c>
      <c r="P268" s="13" t="n">
        <f aca="false">(g_ox-ox_var*g_rev)*(1+ox_g)^(9/4)+ox_var*P264</f>
        <v>0.75767277028758</v>
      </c>
      <c r="Q268" s="13" t="n">
        <f aca="false">(g_ox-ox_var*g_rev)*(1+ox_g)^(10/4)+ox_var*Q264</f>
        <v>0.773540676100096</v>
      </c>
      <c r="R268" s="13" t="n">
        <f aca="false">(g_ox-ox_var*g_rev)*(1+ox_g)^(11/4)+ox_var*R264</f>
        <v>0.791332225486057</v>
      </c>
      <c r="T268" s="5" t="s">
        <v>365</v>
      </c>
    </row>
    <row r="269" customFormat="false" ht="15" hidden="false" customHeight="false" outlineLevel="0" collapsed="false">
      <c r="A269" s="5" t="s">
        <v>330</v>
      </c>
      <c r="B269" s="0" t="s">
        <v>25</v>
      </c>
      <c r="C269" s="13" t="n">
        <f aca="false">C264-C266-C268</f>
        <v>0.176</v>
      </c>
      <c r="D269" s="13" t="n">
        <f aca="false">D264-D266-D268</f>
        <v>1.065</v>
      </c>
      <c r="E269" s="13" t="n">
        <f aca="false">E264-E266-E268</f>
        <v>4.111</v>
      </c>
      <c r="F269" s="13" t="n">
        <f aca="false">F264-F266-F268</f>
        <v>7.037</v>
      </c>
      <c r="G269" s="13" t="n">
        <f aca="false">G264-G266-G268</f>
        <v>8.2676943460061</v>
      </c>
      <c r="H269" s="13" t="n">
        <f aca="false">H264-H266-H268</f>
        <v>10.6462492407438</v>
      </c>
      <c r="I269" s="13" t="n">
        <f aca="false">I264-I266-I268</f>
        <v>11.8730597981888</v>
      </c>
      <c r="J269" s="13" t="n">
        <f aca="false">J264-J266-J268</f>
        <v>12.6206581457798</v>
      </c>
      <c r="K269" s="13" t="n">
        <f aca="false">K264-K266-K268</f>
        <v>12.6202312838189</v>
      </c>
      <c r="L269" s="13" t="n">
        <f aca="false">L264-L266-L268</f>
        <v>12.2996019789011</v>
      </c>
      <c r="M269" s="13" t="n">
        <f aca="false">M264-M266-M268</f>
        <v>12.2943784138838</v>
      </c>
      <c r="N269" s="13" t="n">
        <f aca="false">N264-N266-N268</f>
        <v>12.2873825042578</v>
      </c>
      <c r="O269" s="13" t="n">
        <f aca="false">O264-O266-O268</f>
        <v>12.2785555101001</v>
      </c>
      <c r="P269" s="13" t="n">
        <f aca="false">P264-P266-P268</f>
        <v>12.2678369463296</v>
      </c>
      <c r="Q269" s="13" t="n">
        <f aca="false">Q264-Q266-Q268</f>
        <v>12.3514548650896</v>
      </c>
      <c r="R269" s="13" t="n">
        <f aca="false">R264-R266-R268</f>
        <v>12.5671564683071</v>
      </c>
    </row>
    <row r="271" customFormat="false" ht="17.15" hidden="false" customHeight="false" outlineLevel="0" collapsed="false">
      <c r="A271" s="5" t="s">
        <v>332</v>
      </c>
      <c r="B271" s="0" t="s">
        <v>25</v>
      </c>
      <c r="C271" s="13" t="n">
        <f aca="false">q1_ni</f>
        <v>0.112</v>
      </c>
      <c r="D271" s="13" t="n">
        <f aca="false">q2_ni</f>
        <v>0.803</v>
      </c>
      <c r="E271" s="13" t="n">
        <f aca="false">q3_ni</f>
        <v>3.615</v>
      </c>
      <c r="F271" s="13" t="n">
        <f aca="false">q4_ni</f>
        <v>6.903</v>
      </c>
      <c r="G271" s="13" t="n">
        <f aca="false">(G269+rf*$D287/4)*(1-tax)</f>
        <v>7.06801719410518</v>
      </c>
      <c r="H271" s="13" t="n">
        <f aca="false">(H269+rf*$D287/4)*(1-tax)</f>
        <v>9.08978885463225</v>
      </c>
      <c r="I271" s="13" t="n">
        <f aca="false">(I269+rf*$D287/4)*(1-tax)</f>
        <v>10.1325778284605</v>
      </c>
      <c r="J271" s="13" t="n">
        <f aca="false">(J269+rf*$D287/4)*(1-tax)</f>
        <v>10.7680364239128</v>
      </c>
      <c r="K271" s="13" t="n">
        <f aca="false">(K269+rf*$E287/4)*(1-tax)</f>
        <v>10.9123310094253</v>
      </c>
      <c r="L271" s="13" t="n">
        <f aca="false">(L269+rf*$E287/4)*(1-tax)</f>
        <v>10.6397961002452</v>
      </c>
      <c r="M271" s="13" t="n">
        <f aca="false">(M269+rf*$E287/4)*(1-tax)</f>
        <v>10.6353560699806</v>
      </c>
      <c r="N271" s="13" t="n">
        <f aca="false">(N269+rf*$E287/4)*(1-tax)</f>
        <v>10.6294095467984</v>
      </c>
      <c r="O271" s="13" t="n">
        <f aca="false">(O269+rf*$F287/4)*(1-tax)</f>
        <v>10.7891808098948</v>
      </c>
      <c r="P271" s="13" t="n">
        <f aca="false">(P269+rf*$F287/4)*(1-tax)</f>
        <v>10.7800700306898</v>
      </c>
      <c r="Q271" s="13" t="n">
        <f aca="false">(Q269+rf*$F287/4)*(1-tax)</f>
        <v>10.8511452616358</v>
      </c>
      <c r="R271" s="13" t="n">
        <f aca="false">(R269+rf*$F287/4)*(1-tax)</f>
        <v>11.0344916243707</v>
      </c>
      <c r="T271" s="5" t="s">
        <v>366</v>
      </c>
    </row>
    <row r="272" customFormat="false" ht="17.15" hidden="false" customHeight="false" outlineLevel="0" collapsed="false">
      <c r="A272" s="5" t="s">
        <v>367</v>
      </c>
      <c r="B272" s="0" t="s">
        <v>38</v>
      </c>
      <c r="G272" s="15" t="n">
        <f aca="false">G271/(sh0+dil)*1000</f>
        <v>45.6001109297109</v>
      </c>
      <c r="H272" s="15" t="n">
        <f aca="false">H271/(sh0+dil)*1000</f>
        <v>58.6437990621436</v>
      </c>
      <c r="I272" s="15" t="n">
        <f aca="false">I271/(sh0+dil)*1000</f>
        <v>65.3714698610356</v>
      </c>
      <c r="J272" s="15" t="n">
        <f aca="false">J271/(sh0+dil)*1000</f>
        <v>69.4712027349213</v>
      </c>
      <c r="K272" s="15" t="n">
        <f aca="false">K271/(sh0+dil)*1000</f>
        <v>70.4021355446796</v>
      </c>
      <c r="L272" s="15" t="n">
        <f aca="false">L271/(sh0+dil)*1000</f>
        <v>68.6438458080335</v>
      </c>
      <c r="M272" s="15" t="n">
        <f aca="false">M271/(sh0+dil)*1000</f>
        <v>68.6152004514875</v>
      </c>
      <c r="N272" s="15" t="n">
        <f aca="false">N271/(sh0+dil)*1000</f>
        <v>68.5768357857962</v>
      </c>
      <c r="O272" s="15" t="n">
        <f aca="false">O271/(sh0+dil)*1000</f>
        <v>69.6076181283532</v>
      </c>
      <c r="P272" s="15" t="n">
        <f aca="false">P271/(sh0+dil)*1000</f>
        <v>69.5488389076762</v>
      </c>
      <c r="Q272" s="15" t="n">
        <f aca="false">Q271/(sh0+dil)*1000</f>
        <v>70.007388784747</v>
      </c>
      <c r="R272" s="15" t="n">
        <f aca="false">R271/(sh0+dil)*1000</f>
        <v>71.1902685443271</v>
      </c>
    </row>
    <row r="274" customFormat="false" ht="17.15" hidden="false" customHeight="false" outlineLevel="0" collapsed="false">
      <c r="A274" s="12" t="s">
        <v>368</v>
      </c>
      <c r="B274" s="6" t="s">
        <v>15</v>
      </c>
      <c r="C274" s="12" t="s">
        <v>322</v>
      </c>
      <c r="D274" s="12" t="s">
        <v>323</v>
      </c>
      <c r="E274" s="12" t="s">
        <v>324</v>
      </c>
      <c r="F274" s="12" t="s">
        <v>325</v>
      </c>
      <c r="G274" s="12" t="s">
        <v>326</v>
      </c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6" t="s">
        <v>327</v>
      </c>
    </row>
    <row r="275" customFormat="false" ht="15" hidden="false" customHeight="false" outlineLevel="0" collapsed="false">
      <c r="A275" s="5" t="s">
        <v>266</v>
      </c>
      <c r="B275" s="0" t="s">
        <v>25</v>
      </c>
      <c r="C275" s="13" t="n">
        <f aca="false">a25_rev</f>
        <v>7.355</v>
      </c>
      <c r="D275" s="13" t="n">
        <f aca="false">SUM(C264:F264)</f>
        <v>20.248</v>
      </c>
      <c r="E275" s="13" t="n">
        <f aca="false">SUM(G264:J264)</f>
        <v>53.0230121585251</v>
      </c>
      <c r="F275" s="13" t="n">
        <f aca="false">SUM(K264:N264)</f>
        <v>60.3042586550984</v>
      </c>
      <c r="G275" s="13" t="n">
        <f aca="false">SUM(O264:R264)</f>
        <v>61.4039840062216</v>
      </c>
    </row>
    <row r="276" customFormat="false" ht="15" hidden="false" customHeight="false" outlineLevel="0" collapsed="false">
      <c r="A276" s="5" t="s">
        <v>363</v>
      </c>
      <c r="B276" s="0" t="s">
        <v>25</v>
      </c>
      <c r="D276" s="13" t="n">
        <f aca="false">SUM(C266:F266)</f>
        <v>5.771301</v>
      </c>
      <c r="E276" s="13" t="n">
        <f aca="false">SUM(G266:J266)</f>
        <v>7.05930024168486</v>
      </c>
      <c r="F276" s="13" t="n">
        <f aca="false">SUM(K266:N266)</f>
        <v>7.97121959669583</v>
      </c>
      <c r="G276" s="13" t="n">
        <f aca="false">SUM(O266:R266)</f>
        <v>8.87369785624389</v>
      </c>
    </row>
    <row r="277" customFormat="false" ht="15" hidden="false" customHeight="false" outlineLevel="0" collapsed="false">
      <c r="A277" s="5" t="s">
        <v>329</v>
      </c>
      <c r="B277" s="0" t="s">
        <v>31</v>
      </c>
      <c r="D277" s="14" t="n">
        <f aca="false">1-D276/D275</f>
        <v>0.714969330304228</v>
      </c>
      <c r="E277" s="14" t="n">
        <f aca="false">1-E276/E275</f>
        <v>0.86686346259282</v>
      </c>
      <c r="F277" s="14" t="n">
        <f aca="false">1-F276/F275</f>
        <v>0.867816638916232</v>
      </c>
      <c r="G277" s="14" t="n">
        <f aca="false">1-G276/G275</f>
        <v>0.855486610521155</v>
      </c>
    </row>
    <row r="278" customFormat="false" ht="15" hidden="false" customHeight="false" outlineLevel="0" collapsed="false">
      <c r="A278" s="5" t="s">
        <v>364</v>
      </c>
      <c r="B278" s="0" t="s">
        <v>25</v>
      </c>
      <c r="D278" s="13" t="n">
        <f aca="false">SUM(C268:F268)</f>
        <v>2.087699</v>
      </c>
      <c r="E278" s="13" t="n">
        <f aca="false">SUM(G268:J268)</f>
        <v>2.55605038612169</v>
      </c>
      <c r="F278" s="13" t="n">
        <f aca="false">SUM(K268:N268)</f>
        <v>2.83144487754106</v>
      </c>
      <c r="G278" s="13" t="n">
        <f aca="false">SUM(O268:R268)</f>
        <v>3.0652823601513</v>
      </c>
    </row>
    <row r="279" customFormat="false" ht="15" hidden="false" customHeight="false" outlineLevel="0" collapsed="false">
      <c r="A279" s="5" t="s">
        <v>330</v>
      </c>
      <c r="B279" s="0" t="s">
        <v>25</v>
      </c>
      <c r="D279" s="13" t="n">
        <f aca="false">SUM(C269:F269)</f>
        <v>12.389</v>
      </c>
      <c r="E279" s="13" t="n">
        <f aca="false">SUM(G269:J269)</f>
        <v>43.4076615307185</v>
      </c>
      <c r="F279" s="13" t="n">
        <f aca="false">SUM(K269:N269)</f>
        <v>49.5015941808615</v>
      </c>
      <c r="G279" s="13" t="n">
        <f aca="false">SUM(O269:R269)</f>
        <v>49.4650037898264</v>
      </c>
    </row>
    <row r="280" customFormat="false" ht="15" hidden="false" customHeight="false" outlineLevel="0" collapsed="false">
      <c r="A280" s="5" t="s">
        <v>331</v>
      </c>
      <c r="B280" s="0" t="s">
        <v>31</v>
      </c>
      <c r="D280" s="14" t="n">
        <f aca="false">D279/D275</f>
        <v>0.61186290003951</v>
      </c>
      <c r="E280" s="14" t="n">
        <f aca="false">E279/E275</f>
        <v>0.818657027649445</v>
      </c>
      <c r="F280" s="14" t="n">
        <f aca="false">F279/F275</f>
        <v>0.820863986803632</v>
      </c>
      <c r="G280" s="14" t="n">
        <f aca="false">G279/G275</f>
        <v>0.805566684155453</v>
      </c>
    </row>
    <row r="281" customFormat="false" ht="15" hidden="false" customHeight="false" outlineLevel="0" collapsed="false">
      <c r="A281" s="5" t="s">
        <v>332</v>
      </c>
      <c r="B281" s="0" t="s">
        <v>25</v>
      </c>
      <c r="C281" s="13" t="n">
        <f aca="false">a25_ni</f>
        <v>-1.641</v>
      </c>
      <c r="D281" s="13" t="n">
        <f aca="false">SUM(C271:F271)</f>
        <v>11.433</v>
      </c>
      <c r="E281" s="13" t="n">
        <f aca="false">SUM(G271:J271)</f>
        <v>37.0584203011107</v>
      </c>
      <c r="F281" s="13" t="n">
        <f aca="false">SUM(K271:N271)</f>
        <v>42.8168927264495</v>
      </c>
      <c r="G281" s="13" t="n">
        <f aca="false">SUM(O271:R271)</f>
        <v>43.454887726591</v>
      </c>
    </row>
    <row r="282" customFormat="false" ht="15" hidden="false" customHeight="false" outlineLevel="0" collapsed="false">
      <c r="A282" s="5" t="s">
        <v>369</v>
      </c>
      <c r="B282" s="0" t="s">
        <v>25</v>
      </c>
      <c r="D282" s="13" t="n">
        <f aca="false">da_y</f>
        <v>0.16</v>
      </c>
      <c r="E282" s="13" t="n">
        <f aca="false">da_y</f>
        <v>0.16</v>
      </c>
      <c r="F282" s="13" t="n">
        <f aca="false">da_y</f>
        <v>0.16</v>
      </c>
      <c r="G282" s="13" t="n">
        <f aca="false">da_y</f>
        <v>0.16</v>
      </c>
    </row>
    <row r="283" customFormat="false" ht="17.15" hidden="false" customHeight="false" outlineLevel="0" collapsed="false">
      <c r="A283" s="5" t="s">
        <v>370</v>
      </c>
      <c r="B283" s="0" t="s">
        <v>25</v>
      </c>
      <c r="D283" s="13" t="n">
        <v>0.562</v>
      </c>
      <c r="E283" s="13" t="n">
        <f aca="false">cap_r*E275</f>
        <v>3.1813807295115</v>
      </c>
      <c r="F283" s="13" t="n">
        <f aca="false">cap_r*F275</f>
        <v>3.61825551930591</v>
      </c>
      <c r="G283" s="13" t="n">
        <f aca="false">cap_r*G275</f>
        <v>3.68423904037329</v>
      </c>
      <c r="T283" s="8" t="s">
        <v>371</v>
      </c>
    </row>
    <row r="284" customFormat="false" ht="15" hidden="false" customHeight="false" outlineLevel="0" collapsed="false">
      <c r="A284" s="5" t="s">
        <v>372</v>
      </c>
      <c r="B284" s="0" t="s">
        <v>25</v>
      </c>
      <c r="D284" s="13" t="n">
        <f aca="false">D281+D282-D283</f>
        <v>11.031</v>
      </c>
      <c r="E284" s="13" t="n">
        <f aca="false">E281+E282-E283</f>
        <v>34.0370395715992</v>
      </c>
      <c r="F284" s="13" t="n">
        <f aca="false">F281+F282-F283</f>
        <v>39.3586372071436</v>
      </c>
      <c r="G284" s="13" t="n">
        <f aca="false">G281+G282-G283</f>
        <v>39.9306486862177</v>
      </c>
    </row>
    <row r="285" customFormat="false" ht="17.15" hidden="false" customHeight="false" outlineLevel="0" collapsed="false">
      <c r="A285" s="5" t="s">
        <v>373</v>
      </c>
      <c r="B285" s="0" t="s">
        <v>25</v>
      </c>
      <c r="D285" s="13" t="n">
        <v>4.524</v>
      </c>
      <c r="E285" s="13" t="n">
        <f aca="false">MAX(0,payout*E284)</f>
        <v>17.0185197857996</v>
      </c>
      <c r="F285" s="13" t="n">
        <f aca="false">MAX(0,payout*F284)</f>
        <v>19.6793186035718</v>
      </c>
      <c r="G285" s="13" t="n">
        <f aca="false">MAX(0,payout*G284)</f>
        <v>19.9653243431089</v>
      </c>
      <c r="T285" s="8" t="s">
        <v>374</v>
      </c>
    </row>
    <row r="286" customFormat="false" ht="15" hidden="false" customHeight="false" outlineLevel="0" collapsed="false">
      <c r="A286" s="5" t="s">
        <v>375</v>
      </c>
      <c r="B286" s="0" t="s">
        <v>25</v>
      </c>
      <c r="D286" s="13" t="n">
        <f aca="false">eq0</f>
        <v>15.736</v>
      </c>
      <c r="E286" s="13" t="n">
        <f aca="false">D286+E281-E285</f>
        <v>35.7759005153111</v>
      </c>
      <c r="F286" s="13" t="n">
        <f aca="false">E286+F281-F285</f>
        <v>58.9134746381888</v>
      </c>
      <c r="G286" s="13" t="n">
        <f aca="false">F286+G281-G285</f>
        <v>82.403038021671</v>
      </c>
    </row>
    <row r="287" customFormat="false" ht="15" hidden="false" customHeight="false" outlineLevel="0" collapsed="false">
      <c r="A287" s="5" t="s">
        <v>376</v>
      </c>
      <c r="B287" s="0" t="s">
        <v>25</v>
      </c>
      <c r="D287" s="13" t="n">
        <f aca="false">nc0</f>
        <v>4.762</v>
      </c>
      <c r="E287" s="13" t="n">
        <f aca="false">D287+E284-E285</f>
        <v>21.7805197857996</v>
      </c>
      <c r="F287" s="13" t="n">
        <f aca="false">E287+F284-F285</f>
        <v>41.4598383893714</v>
      </c>
      <c r="G287" s="13" t="n">
        <f aca="false">F287+G284-G285</f>
        <v>61.4251627324803</v>
      </c>
    </row>
    <row r="288" customFormat="false" ht="15" hidden="false" customHeight="false" outlineLevel="0" collapsed="false">
      <c r="A288" s="5" t="s">
        <v>377</v>
      </c>
      <c r="B288" s="5" t="s">
        <v>111</v>
      </c>
      <c r="D288" s="20" t="n">
        <f aca="false">sh0</f>
        <v>146.42</v>
      </c>
      <c r="E288" s="20" t="n">
        <f aca="false">D288-E285/bb_px*1000</f>
        <v>132.67354814843</v>
      </c>
      <c r="F288" s="20" t="n">
        <f aca="false">E288-F285/bb_px*1000</f>
        <v>116.777876312067</v>
      </c>
      <c r="G288" s="20" t="n">
        <f aca="false">F288-G285/bb_px*1000</f>
        <v>100.651187667116</v>
      </c>
    </row>
    <row r="289" customFormat="false" ht="17.15" hidden="false" customHeight="false" outlineLevel="0" collapsed="false">
      <c r="A289" s="0" t="s">
        <v>378</v>
      </c>
      <c r="B289" s="0" t="s">
        <v>38</v>
      </c>
      <c r="C289" s="15" t="n">
        <f aca="false">a25_eps</f>
        <v>-11.32</v>
      </c>
      <c r="D289" s="15" t="n">
        <f aca="false">a26_eps</f>
        <v>73.76</v>
      </c>
      <c r="E289" s="15" t="n">
        <f aca="false">E281/(E288+dil)*1000</f>
        <v>262.353907472608</v>
      </c>
      <c r="F289" s="15" t="n">
        <f aca="false">F281/(F288+dil)*1000</f>
        <v>341.557259791644</v>
      </c>
      <c r="G289" s="15" t="n">
        <f aca="false">G281/(G288+dil)*1000</f>
        <v>397.824912963691</v>
      </c>
    </row>
    <row r="290" customFormat="false" ht="17.15" hidden="false" customHeight="false" outlineLevel="0" collapsed="false">
      <c r="A290" s="5" t="s">
        <v>379</v>
      </c>
      <c r="B290" s="0" t="s">
        <v>38</v>
      </c>
      <c r="D290" s="15" t="n">
        <f aca="false">D286/D288*1000</f>
        <v>107.471656877476</v>
      </c>
      <c r="E290" s="15" t="n">
        <f aca="false">E286/E288*1000</f>
        <v>269.653604765937</v>
      </c>
      <c r="F290" s="15" t="n">
        <f aca="false">F286/F288*1000</f>
        <v>504.491745343557</v>
      </c>
      <c r="G290" s="15" t="n">
        <f aca="false">G286/G288*1000</f>
        <v>818.699112564899</v>
      </c>
    </row>
    <row r="291" customFormat="false" ht="17.15" hidden="false" customHeight="false" outlineLevel="0" collapsed="false">
      <c r="A291" s="0" t="s">
        <v>380</v>
      </c>
      <c r="B291" s="0" t="s">
        <v>31</v>
      </c>
      <c r="D291" s="21" t="n">
        <f aca="false">D281/D286</f>
        <v>0.72655058464667</v>
      </c>
      <c r="E291" s="21" t="n">
        <f aca="false">E281/E286</f>
        <v>1.03584870729531</v>
      </c>
      <c r="F291" s="21" t="n">
        <f aca="false">F281/F286</f>
        <v>0.726775885982029</v>
      </c>
      <c r="G291" s="21" t="n">
        <f aca="false">G281/G286</f>
        <v>0.527345699501551</v>
      </c>
    </row>
    <row r="292" customFormat="false" ht="15" hidden="false" customHeight="false" outlineLevel="0" collapsed="false">
      <c r="A292" s="5" t="s">
        <v>381</v>
      </c>
      <c r="B292" s="0" t="s">
        <v>38</v>
      </c>
      <c r="E292" s="15" t="n">
        <f aca="false">E284/(E288+dil)*1000</f>
        <v>240.964138726151</v>
      </c>
      <c r="F292" s="15" t="n">
        <f aca="false">F284/(F288+dil)*1000</f>
        <v>313.970197685575</v>
      </c>
      <c r="G292" s="15" t="n">
        <f aca="false">G284/(G288+dil)*1000</f>
        <v>365.56087633055</v>
      </c>
    </row>
    <row r="293" customFormat="false" ht="17.15" hidden="false" customHeight="false" outlineLevel="0" collapsed="false">
      <c r="A293" s="5" t="s">
        <v>382</v>
      </c>
      <c r="B293" s="0" t="s">
        <v>25</v>
      </c>
      <c r="D293" s="18" t="n">
        <f aca="false">ABS(D275-a26_rev)+ABS(D281-a26_ni)</f>
        <v>0</v>
      </c>
    </row>
    <row r="310" customFormat="false" ht="17.15" hidden="false" customHeight="false" outlineLevel="0" collapsed="false">
      <c r="A310" s="3" t="s">
        <v>653</v>
      </c>
    </row>
    <row r="311" customFormat="false" ht="17.15" hidden="false" customHeight="false" outlineLevel="0" collapsed="false">
      <c r="A311" s="12" t="s">
        <v>340</v>
      </c>
      <c r="B311" s="6" t="s">
        <v>15</v>
      </c>
      <c r="C311" s="12" t="s">
        <v>341</v>
      </c>
      <c r="D311" s="12" t="s">
        <v>342</v>
      </c>
      <c r="E311" s="12" t="s">
        <v>343</v>
      </c>
      <c r="F311" s="12" t="s">
        <v>344</v>
      </c>
      <c r="G311" s="12" t="s">
        <v>345</v>
      </c>
      <c r="H311" s="12" t="s">
        <v>346</v>
      </c>
      <c r="I311" s="12" t="s">
        <v>347</v>
      </c>
      <c r="J311" s="12" t="s">
        <v>348</v>
      </c>
      <c r="K311" s="12" t="s">
        <v>349</v>
      </c>
      <c r="L311" s="12" t="s">
        <v>350</v>
      </c>
      <c r="M311" s="12" t="s">
        <v>351</v>
      </c>
      <c r="N311" s="12" t="s">
        <v>352</v>
      </c>
      <c r="O311" s="12" t="s">
        <v>353</v>
      </c>
      <c r="P311" s="12" t="s">
        <v>354</v>
      </c>
      <c r="Q311" s="12" t="s">
        <v>355</v>
      </c>
      <c r="R311" s="12" t="s">
        <v>356</v>
      </c>
      <c r="S311" s="12"/>
      <c r="T311" s="6" t="s">
        <v>327</v>
      </c>
    </row>
    <row r="312" customFormat="false" ht="17.15" hidden="false" customHeight="false" outlineLevel="0" collapsed="false">
      <c r="A312" s="5" t="s">
        <v>357</v>
      </c>
      <c r="B312" s="0" t="s">
        <v>25</v>
      </c>
      <c r="C312" s="13" t="n">
        <f aca="false">Units!E4*1</f>
        <v>2.31</v>
      </c>
      <c r="D312" s="13" t="n">
        <f aca="false">Units!F4*1</f>
        <v>3.03</v>
      </c>
      <c r="E312" s="13" t="n">
        <f aca="false">Units!G4*1</f>
        <v>5.95</v>
      </c>
      <c r="F312" s="13" t="n">
        <f aca="false">Units!H4*1</f>
        <v>8.97</v>
      </c>
      <c r="G312" s="13" t="n">
        <f aca="false">Units!I4*1</f>
        <v>10.5558839933073</v>
      </c>
      <c r="H312" s="13" t="n">
        <f aca="false">Units!J4*1*1</f>
        <v>13.0085478256151</v>
      </c>
      <c r="I312" s="13" t="n">
        <f aca="false">Units!K4*1*1</f>
        <v>14.3338273511937</v>
      </c>
      <c r="J312" s="13" t="n">
        <f aca="false">Units!L4*1*1</f>
        <v>15.1561771362706</v>
      </c>
      <c r="K312" s="13" t="n">
        <f aca="false">Units!M4*1*1</f>
        <v>15.224420859132</v>
      </c>
      <c r="L312" s="13" t="n">
        <f aca="false">Units!N4*1*1</f>
        <v>14.9710145606433</v>
      </c>
      <c r="M312" s="13" t="n">
        <f aca="false">Units!O4*1*1</f>
        <v>15.0384245519258</v>
      </c>
      <c r="N312" s="13" t="n">
        <f aca="false">Units!P4*1*1</f>
        <v>15.1061380701941</v>
      </c>
      <c r="O312" s="13" t="n">
        <f aca="false">Units!Q4*1*1</f>
        <v>15.1741564821393</v>
      </c>
      <c r="P312" s="13" t="n">
        <f aca="false">Units!R4*1*1</f>
        <v>15.2424811606062</v>
      </c>
      <c r="Q312" s="13" t="n">
        <f aca="false">Units!S4*1*1</f>
        <v>15.3696532550844</v>
      </c>
      <c r="R312" s="13" t="n">
        <f aca="false">Units!T4*1*1</f>
        <v>15.6540842486561</v>
      </c>
      <c r="T312" s="8" t="s">
        <v>358</v>
      </c>
    </row>
    <row r="313" customFormat="false" ht="15" hidden="false" customHeight="false" outlineLevel="0" collapsed="false">
      <c r="A313" s="5" t="s">
        <v>359</v>
      </c>
      <c r="B313" s="0" t="s">
        <v>308</v>
      </c>
      <c r="C313" s="13" t="n">
        <f aca="false">Units!E7*1</f>
        <v>31.1552804325753</v>
      </c>
      <c r="D313" s="13" t="n">
        <f aca="false">Units!F7*1</f>
        <v>33.5147228924475</v>
      </c>
      <c r="E313" s="13" t="n">
        <f aca="false">Units!G7*1</f>
        <v>38.0693331650007</v>
      </c>
      <c r="F313" s="13" t="n">
        <f aca="false">Units!H7*1</f>
        <v>33.6172154529341</v>
      </c>
      <c r="G313" s="13" t="n">
        <f aca="false">Units!I7*1</f>
        <v>34.4006036061451</v>
      </c>
      <c r="H313" s="13" t="n">
        <f aca="false">Units!J7*1</f>
        <v>36.079657444519</v>
      </c>
      <c r="I313" s="13" t="n">
        <f aca="false">Units!K7*1</f>
        <v>38.597442775475</v>
      </c>
      <c r="J313" s="13" t="n">
        <f aca="false">Units!L7*1</f>
        <v>40.8118268330789</v>
      </c>
      <c r="K313" s="13" t="n">
        <f aca="false">Units!M7*1</f>
        <v>43.1532529018101</v>
      </c>
      <c r="L313" s="13" t="n">
        <f aca="false">Units!N7*1</f>
        <v>45.6290095423572</v>
      </c>
      <c r="M313" s="13" t="n">
        <f aca="false">Units!O7*1</f>
        <v>48.2468034693437</v>
      </c>
      <c r="N313" s="13" t="n">
        <f aca="false">Units!P7*1</f>
        <v>51.0147835413486</v>
      </c>
      <c r="O313" s="13" t="n">
        <f aca="false">Units!Q7*1</f>
        <v>53.9415661272627</v>
      </c>
      <c r="P313" s="13" t="n">
        <f aca="false">Units!R7*1</f>
        <v>57.0362619279465</v>
      </c>
      <c r="Q313" s="13" t="n">
        <f aca="false">Units!S7*1</f>
        <v>59.2908563983564</v>
      </c>
      <c r="R313" s="13" t="n">
        <f aca="false">Units!T7*1</f>
        <v>62.2557667231854</v>
      </c>
    </row>
    <row r="314" customFormat="false" ht="17.15" hidden="false" customHeight="false" outlineLevel="0" collapsed="false">
      <c r="A314" s="5" t="s">
        <v>266</v>
      </c>
      <c r="B314" s="0" t="s">
        <v>25</v>
      </c>
      <c r="C314" s="13" t="n">
        <f aca="false">q1_rev</f>
        <v>2.308</v>
      </c>
      <c r="D314" s="13" t="n">
        <f aca="false">q2_rev</f>
        <v>3.025</v>
      </c>
      <c r="E314" s="13" t="n">
        <f aca="false">q3_rev</f>
        <v>5.95</v>
      </c>
      <c r="F314" s="13" t="n">
        <f aca="false">q4_rev</f>
        <v>8.965</v>
      </c>
      <c r="G314" s="13" t="n">
        <f aca="false">G312*sd_k</f>
        <v>10.549631742176</v>
      </c>
      <c r="H314" s="13" t="n">
        <f aca="false">H312*sd_k</f>
        <v>13.0008428614538</v>
      </c>
      <c r="I314" s="13" t="n">
        <f aca="false">I312*sd_k</f>
        <v>14.3253374238386</v>
      </c>
      <c r="J314" s="13" t="n">
        <f aca="false">J312*sd_k</f>
        <v>15.1472001310566</v>
      </c>
      <c r="K314" s="13" t="n">
        <f aca="false">K312*sd_k</f>
        <v>15.2154034331542</v>
      </c>
      <c r="L314" s="13" t="n">
        <f aca="false">L312*sd_k</f>
        <v>14.9621472272411</v>
      </c>
      <c r="M314" s="13" t="n">
        <f aca="false">M312*sd_k</f>
        <v>15.0295172915792</v>
      </c>
      <c r="N314" s="13" t="n">
        <f aca="false">N312*sd_k</f>
        <v>15.0971907031239</v>
      </c>
      <c r="O314" s="13" t="n">
        <f aca="false">O312*sd_k</f>
        <v>15.165168827757</v>
      </c>
      <c r="P314" s="13" t="n">
        <f aca="false">P312*sd_k</f>
        <v>15.2334530375101</v>
      </c>
      <c r="Q314" s="13" t="n">
        <f aca="false">Q312*sd_k</f>
        <v>15.3605498079442</v>
      </c>
      <c r="R314" s="13" t="n">
        <f aca="false">R312*sd_k</f>
        <v>15.6448123330103</v>
      </c>
      <c r="T314" s="5" t="s">
        <v>360</v>
      </c>
    </row>
    <row r="315" customFormat="false" ht="17.15" hidden="false" customHeight="false" outlineLevel="0" collapsed="false">
      <c r="A315" s="5" t="s">
        <v>361</v>
      </c>
      <c r="B315" s="0" t="s">
        <v>362</v>
      </c>
      <c r="C315" s="19" t="n">
        <f aca="false">C316/C313</f>
        <v>0.0520045391183812</v>
      </c>
      <c r="D315" s="19" t="n">
        <f aca="false">D316/D313</f>
        <v>0.0443170902760084</v>
      </c>
      <c r="E315" s="19" t="n">
        <f aca="false">E316/E313</f>
        <v>0.0337594565796481</v>
      </c>
      <c r="F315" s="19" t="n">
        <f aca="false">F316/F313</f>
        <v>0.0410685412637144</v>
      </c>
      <c r="G315" s="19" t="n">
        <f aca="false">(1-g_gm)*G314/G313</f>
        <v>0.0490671936479231</v>
      </c>
      <c r="H315" s="19" t="n">
        <f aca="false">$G315*(1-cd_A_hi)^(1/4)</f>
        <v>0.0466922371588302</v>
      </c>
      <c r="I315" s="19" t="n">
        <f aca="false">$G315*(1-cd_A_hi)^(2/4)</f>
        <v>0.0444322336129514</v>
      </c>
      <c r="J315" s="19" t="n">
        <f aca="false">$G315*(1-cd_A_hi)^(3/4)</f>
        <v>0.0422816190434459</v>
      </c>
      <c r="K315" s="19" t="n">
        <f aca="false">$G315*(1-cd_A_hi)^(4/4)</f>
        <v>0.040235098791297</v>
      </c>
      <c r="L315" s="19" t="n">
        <f aca="false">$G315*(1-cd_A_hi)^(5/4)</f>
        <v>0.0382876344702408</v>
      </c>
      <c r="M315" s="19" t="n">
        <f aca="false">$G315*(1-cd_A_hi)^(6/4)</f>
        <v>0.0364344315626201</v>
      </c>
      <c r="N315" s="19" t="n">
        <f aca="false">$G315*(1-cd_A_hi)^(7/4)</f>
        <v>0.0346709276156256</v>
      </c>
      <c r="O315" s="19" t="n">
        <f aca="false">$G315*(1-cd_A_hi)^(8/4)</f>
        <v>0.0329927810088635</v>
      </c>
      <c r="P315" s="19" t="n">
        <f aca="false">$G315*(1-cd_A_hi)^(9/4)</f>
        <v>0.0313958602655974</v>
      </c>
      <c r="Q315" s="19" t="n">
        <f aca="false">$G315*(1-cd_A_hi)^(10/4)</f>
        <v>0.0298762338813485</v>
      </c>
      <c r="R315" s="19" t="n">
        <f aca="false">$G315*(1-cd_A_hi)^(11/4)</f>
        <v>0.028430160644813</v>
      </c>
    </row>
    <row r="316" customFormat="false" ht="15" hidden="false" customHeight="false" outlineLevel="0" collapsed="false">
      <c r="A316" s="5" t="s">
        <v>363</v>
      </c>
      <c r="B316" s="0" t="s">
        <v>25</v>
      </c>
      <c r="C316" s="13" t="n">
        <f aca="false">q1_rev*(1-q1_gm)</f>
        <v>1.620216</v>
      </c>
      <c r="D316" s="13" t="n">
        <f aca="false">q2_rev*(1-q2_gm)</f>
        <v>1.485275</v>
      </c>
      <c r="E316" s="13" t="n">
        <f aca="false">q3_rev*(1-q3_gm)</f>
        <v>1.2852</v>
      </c>
      <c r="F316" s="13" t="n">
        <f aca="false">q4_rev*(1-q4_gm)</f>
        <v>1.38061</v>
      </c>
      <c r="G316" s="13" t="n">
        <f aca="false">G313*G315</f>
        <v>1.68794107874816</v>
      </c>
      <c r="H316" s="13" t="n">
        <f aca="false">H313*H315</f>
        <v>1.68463992200883</v>
      </c>
      <c r="I316" s="13" t="n">
        <f aca="false">I313*I315</f>
        <v>1.71497059426243</v>
      </c>
      <c r="J316" s="13" t="n">
        <f aca="false">J313*J315</f>
        <v>1.72559011462332</v>
      </c>
      <c r="K316" s="13" t="n">
        <f aca="false">K313*K315</f>
        <v>1.73627539367015</v>
      </c>
      <c r="L316" s="13" t="n">
        <f aca="false">L313*L315</f>
        <v>1.7470268385969</v>
      </c>
      <c r="M316" s="13" t="n">
        <f aca="false">M313*M315</f>
        <v>1.75784485911899</v>
      </c>
      <c r="N316" s="13" t="n">
        <f aca="false">N313*N315</f>
        <v>1.76872986748891</v>
      </c>
      <c r="O316" s="13" t="n">
        <f aca="false">O313*O315</f>
        <v>1.77968227851191</v>
      </c>
      <c r="P316" s="13" t="n">
        <f aca="false">P313*P315</f>
        <v>1.79070250956182</v>
      </c>
      <c r="Q316" s="13" t="n">
        <f aca="false">Q313*Q315</f>
        <v>1.77138749278274</v>
      </c>
      <c r="R316" s="13" t="n">
        <f aca="false">R313*R315</f>
        <v>1.76994144900616</v>
      </c>
    </row>
    <row r="317" customFormat="false" ht="15" hidden="false" customHeight="false" outlineLevel="0" collapsed="false">
      <c r="A317" s="5" t="s">
        <v>329</v>
      </c>
      <c r="B317" s="0" t="s">
        <v>31</v>
      </c>
      <c r="C317" s="14" t="n">
        <f aca="false">1-C316/C314</f>
        <v>0.298</v>
      </c>
      <c r="D317" s="14" t="n">
        <f aca="false">1-D316/D314</f>
        <v>0.509</v>
      </c>
      <c r="E317" s="14" t="n">
        <f aca="false">1-E316/E314</f>
        <v>0.784</v>
      </c>
      <c r="F317" s="14" t="n">
        <f aca="false">1-F316/F314</f>
        <v>0.846</v>
      </c>
      <c r="G317" s="14" t="n">
        <f aca="false">1-G316/G314</f>
        <v>0.84</v>
      </c>
      <c r="H317" s="14" t="n">
        <f aca="false">1-H316/H314</f>
        <v>0.870420715028899</v>
      </c>
      <c r="I317" s="14" t="n">
        <f aca="false">1-I316/I314</f>
        <v>0.880284104763315</v>
      </c>
      <c r="J317" s="14" t="n">
        <f aca="false">1-J316/J314</f>
        <v>0.886078608607982</v>
      </c>
      <c r="K317" s="14" t="n">
        <f aca="false">1-K316/K314</f>
        <v>0.885886995944726</v>
      </c>
      <c r="L317" s="14" t="n">
        <f aca="false">1-L316/L314</f>
        <v>0.883236890262907</v>
      </c>
      <c r="M317" s="14" t="n">
        <f aca="false">1-M316/M314</f>
        <v>0.883040497907149</v>
      </c>
      <c r="N317" s="14" t="n">
        <f aca="false">1-N316/N314</f>
        <v>0.882843775224822</v>
      </c>
      <c r="O317" s="14" t="n">
        <f aca="false">1-O316/O314</f>
        <v>0.882646721660326</v>
      </c>
      <c r="P317" s="14" t="n">
        <f aca="false">1-P316/P314</f>
        <v>0.882449336657126</v>
      </c>
      <c r="Q317" s="14" t="n">
        <f aca="false">1-Q316/Q314</f>
        <v>0.884679421314293</v>
      </c>
      <c r="R317" s="14" t="n">
        <f aca="false">1-R316/R314</f>
        <v>0.886867198446886</v>
      </c>
    </row>
    <row r="318" customFormat="false" ht="17.15" hidden="false" customHeight="false" outlineLevel="0" collapsed="false">
      <c r="A318" s="5" t="s">
        <v>364</v>
      </c>
      <c r="B318" s="0" t="s">
        <v>25</v>
      </c>
      <c r="C318" s="13" t="n">
        <f aca="false">q1_rev-q1_rev*(1-q1_gm)-q1_op</f>
        <v>0.511784</v>
      </c>
      <c r="D318" s="13" t="n">
        <f aca="false">q2_rev-q2_rev*(1-q2_gm)-q2_op</f>
        <v>0.474725</v>
      </c>
      <c r="E318" s="13" t="n">
        <f aca="false">q3_rev-q3_rev*(1-q3_gm)-q3_op</f>
        <v>0.553800000000001</v>
      </c>
      <c r="F318" s="13" t="n">
        <f aca="false">q4_rev-q4_rev*(1-q4_gm)-q4_op</f>
        <v>0.54739</v>
      </c>
      <c r="G318" s="13" t="n">
        <f aca="false">(g_ox-ox_var*g_rev)*(1+ox_g)^(0/4)+ox_var*G314</f>
        <v>0.59399631742176</v>
      </c>
      <c r="H318" s="13" t="n">
        <f aca="false">(g_ox-ox_var*g_rev)*(1+ox_g)^(1/4)+ox_var*H314</f>
        <v>0.63028796573229</v>
      </c>
      <c r="I318" s="13" t="n">
        <f aca="false">(g_ox-ox_var*g_rev)*(1+ox_g)^(2/4)+ox_var*I314</f>
        <v>0.655596496569505</v>
      </c>
      <c r="J318" s="13" t="n">
        <f aca="false">(g_ox-ox_var*g_rev)*(1+ox_g)^(3/4)+ox_var*J314</f>
        <v>0.676169606398132</v>
      </c>
      <c r="K318" s="13" t="n">
        <f aca="false">(g_ox-ox_var*g_rev)*(1+ox_g)^(4/4)+ox_var*K314</f>
        <v>0.689504034331542</v>
      </c>
      <c r="L318" s="13" t="n">
        <f aca="false">(g_ox-ox_var*g_rev)*(1+ox_g)^(5/4)+ox_var*L314</f>
        <v>0.699928963101938</v>
      </c>
      <c r="M318" s="13" t="n">
        <f aca="false">(g_ox-ox_var*g_rev)*(1+ox_g)^(6/4)+ox_var*M314</f>
        <v>0.713872607480023</v>
      </c>
      <c r="N318" s="13" t="n">
        <f aca="false">(g_ox-ox_var*g_rev)*(1+ox_g)^(7/4)+ox_var*N314</f>
        <v>0.728139272627561</v>
      </c>
      <c r="O318" s="13" t="n">
        <f aca="false">(g_ox-ox_var*g_rev)*(1+ox_g)^(8/4)+ox_var*O314</f>
        <v>0.74273668827757</v>
      </c>
      <c r="P318" s="13" t="n">
        <f aca="false">(g_ox-ox_var*g_rev)*(1+ox_g)^(9/4)+ox_var*P314</f>
        <v>0.75767277028758</v>
      </c>
      <c r="Q318" s="13" t="n">
        <f aca="false">(g_ox-ox_var*g_rev)*(1+ox_g)^(10/4)+ox_var*Q314</f>
        <v>0.773540676100096</v>
      </c>
      <c r="R318" s="13" t="n">
        <f aca="false">(g_ox-ox_var*g_rev)*(1+ox_g)^(11/4)+ox_var*R314</f>
        <v>0.791332225486057</v>
      </c>
      <c r="T318" s="5" t="s">
        <v>365</v>
      </c>
    </row>
    <row r="319" customFormat="false" ht="15" hidden="false" customHeight="false" outlineLevel="0" collapsed="false">
      <c r="A319" s="5" t="s">
        <v>330</v>
      </c>
      <c r="B319" s="0" t="s">
        <v>25</v>
      </c>
      <c r="C319" s="13" t="n">
        <f aca="false">C314-C316-C318</f>
        <v>0.176</v>
      </c>
      <c r="D319" s="13" t="n">
        <f aca="false">D314-D316-D318</f>
        <v>1.065</v>
      </c>
      <c r="E319" s="13" t="n">
        <f aca="false">E314-E316-E318</f>
        <v>4.111</v>
      </c>
      <c r="F319" s="13" t="n">
        <f aca="false">F314-F316-F318</f>
        <v>7.037</v>
      </c>
      <c r="G319" s="13" t="n">
        <f aca="false">G314-G316-G318</f>
        <v>8.2676943460061</v>
      </c>
      <c r="H319" s="13" t="n">
        <f aca="false">H314-H316-H318</f>
        <v>10.6859149737127</v>
      </c>
      <c r="I319" s="13" t="n">
        <f aca="false">I314-I316-I318</f>
        <v>11.9547703330067</v>
      </c>
      <c r="J319" s="13" t="n">
        <f aca="false">J314-J316-J318</f>
        <v>12.7454404100352</v>
      </c>
      <c r="K319" s="13" t="n">
        <f aca="false">K314-K316-K318</f>
        <v>12.7896240051525</v>
      </c>
      <c r="L319" s="13" t="n">
        <f aca="false">L314-L316-L318</f>
        <v>12.5151914255423</v>
      </c>
      <c r="M319" s="13" t="n">
        <f aca="false">M314-M316-M318</f>
        <v>12.5577998249801</v>
      </c>
      <c r="N319" s="13" t="n">
        <f aca="false">N314-N316-N318</f>
        <v>12.6003215630074</v>
      </c>
      <c r="O319" s="13" t="n">
        <f aca="false">O314-O316-O318</f>
        <v>12.6427498609675</v>
      </c>
      <c r="P319" s="13" t="n">
        <f aca="false">P314-P316-P318</f>
        <v>12.6850777576607</v>
      </c>
      <c r="Q319" s="13" t="n">
        <f aca="false">Q314-Q316-Q318</f>
        <v>12.8156216390613</v>
      </c>
      <c r="R319" s="13" t="n">
        <f aca="false">R314-R316-R318</f>
        <v>13.0835386585181</v>
      </c>
    </row>
    <row r="321" customFormat="false" ht="17.15" hidden="false" customHeight="false" outlineLevel="0" collapsed="false">
      <c r="A321" s="5" t="s">
        <v>332</v>
      </c>
      <c r="B321" s="0" t="s">
        <v>25</v>
      </c>
      <c r="C321" s="13" t="n">
        <f aca="false">q1_ni</f>
        <v>0.112</v>
      </c>
      <c r="D321" s="13" t="n">
        <f aca="false">q2_ni</f>
        <v>0.803</v>
      </c>
      <c r="E321" s="13" t="n">
        <f aca="false">q3_ni</f>
        <v>3.615</v>
      </c>
      <c r="F321" s="13" t="n">
        <f aca="false">q4_ni</f>
        <v>6.903</v>
      </c>
      <c r="G321" s="13" t="n">
        <f aca="false">(G319+rf*$D337/4)*(1-tax)</f>
        <v>7.06801719410518</v>
      </c>
      <c r="H321" s="13" t="n">
        <f aca="false">(H319+rf*$D337/4)*(1-tax)</f>
        <v>9.1235047276558</v>
      </c>
      <c r="I321" s="13" t="n">
        <f aca="false">(I319+rf*$D337/4)*(1-tax)</f>
        <v>10.2020317830557</v>
      </c>
      <c r="J321" s="13" t="n">
        <f aca="false">(J319+rf*$D337/4)*(1-tax)</f>
        <v>10.8741013485299</v>
      </c>
      <c r="K321" s="13" t="n">
        <f aca="false">(K319+rf*$E337/4)*(1-tax)</f>
        <v>11.057204070256</v>
      </c>
      <c r="L321" s="13" t="n">
        <f aca="false">(L319+rf*$E337/4)*(1-tax)</f>
        <v>10.8239363775873</v>
      </c>
      <c r="M321" s="13" t="n">
        <f aca="false">(M319+rf*$E337/4)*(1-tax)</f>
        <v>10.8601535171094</v>
      </c>
      <c r="N321" s="13" t="n">
        <f aca="false">(N319+rf*$E337/4)*(1-tax)</f>
        <v>10.8962969944326</v>
      </c>
      <c r="O321" s="13" t="n">
        <f aca="false">(O319+rf*$F337/4)*(1-tax)</f>
        <v>11.103123223319</v>
      </c>
      <c r="P321" s="13" t="n">
        <f aca="false">(P319+rf*$F337/4)*(1-tax)</f>
        <v>11.1391019355082</v>
      </c>
      <c r="Q321" s="13" t="n">
        <f aca="false">(Q319+rf*$F337/4)*(1-tax)</f>
        <v>11.2500642346988</v>
      </c>
      <c r="R321" s="13" t="n">
        <f aca="false">(R319+rf*$F337/4)*(1-tax)</f>
        <v>11.477793701237</v>
      </c>
      <c r="T321" s="5" t="s">
        <v>366</v>
      </c>
    </row>
    <row r="322" customFormat="false" ht="17.15" hidden="false" customHeight="false" outlineLevel="0" collapsed="false">
      <c r="A322" s="5" t="s">
        <v>367</v>
      </c>
      <c r="B322" s="0" t="s">
        <v>38</v>
      </c>
      <c r="G322" s="15" t="n">
        <f aca="false">G321/(sh0+dil)*1000</f>
        <v>45.6001109297109</v>
      </c>
      <c r="H322" s="15" t="n">
        <f aca="false">H321/(sh0+dil)*1000</f>
        <v>58.8613208235858</v>
      </c>
      <c r="I322" s="15" t="n">
        <f aca="false">I321/(sh0+dil)*1000</f>
        <v>65.8195598906817</v>
      </c>
      <c r="J322" s="15" t="n">
        <f aca="false">J321/(sh0+dil)*1000</f>
        <v>70.1554925711606</v>
      </c>
      <c r="K322" s="15" t="n">
        <f aca="false">K321/(sh0+dil)*1000</f>
        <v>71.3368004532643</v>
      </c>
      <c r="L322" s="15" t="n">
        <f aca="false">L321/(sh0+dil)*1000</f>
        <v>69.8318475973371</v>
      </c>
      <c r="M322" s="15" t="n">
        <f aca="false">M321/(sh0+dil)*1000</f>
        <v>70.0655065619963</v>
      </c>
      <c r="N322" s="15" t="n">
        <f aca="false">N321/(sh0+dil)*1000</f>
        <v>70.298690286662</v>
      </c>
      <c r="O322" s="15" t="n">
        <f aca="false">O321/(sh0+dil)*1000</f>
        <v>71.6330530536711</v>
      </c>
      <c r="P322" s="15" t="n">
        <f aca="false">P321/(sh0+dil)*1000</f>
        <v>71.8651737774724</v>
      </c>
      <c r="Q322" s="15" t="n">
        <f aca="false">Q321/(sh0+dil)*1000</f>
        <v>72.5810595787017</v>
      </c>
      <c r="R322" s="15" t="n">
        <f aca="false">R321/(sh0+dil)*1000</f>
        <v>74.0502819434646</v>
      </c>
    </row>
    <row r="324" customFormat="false" ht="17.15" hidden="false" customHeight="false" outlineLevel="0" collapsed="false">
      <c r="A324" s="12" t="s">
        <v>368</v>
      </c>
      <c r="B324" s="6" t="s">
        <v>15</v>
      </c>
      <c r="C324" s="12" t="s">
        <v>322</v>
      </c>
      <c r="D324" s="12" t="s">
        <v>323</v>
      </c>
      <c r="E324" s="12" t="s">
        <v>324</v>
      </c>
      <c r="F324" s="12" t="s">
        <v>325</v>
      </c>
      <c r="G324" s="12" t="s">
        <v>326</v>
      </c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6" t="s">
        <v>327</v>
      </c>
    </row>
    <row r="325" customFormat="false" ht="15" hidden="false" customHeight="false" outlineLevel="0" collapsed="false">
      <c r="A325" s="5" t="s">
        <v>266</v>
      </c>
      <c r="B325" s="0" t="s">
        <v>25</v>
      </c>
      <c r="C325" s="13" t="n">
        <f aca="false">a25_rev</f>
        <v>7.355</v>
      </c>
      <c r="D325" s="13" t="n">
        <f aca="false">SUM(C314:F314)</f>
        <v>20.248</v>
      </c>
      <c r="E325" s="13" t="n">
        <f aca="false">SUM(G314:J314)</f>
        <v>53.0230121585251</v>
      </c>
      <c r="F325" s="13" t="n">
        <f aca="false">SUM(K314:N314)</f>
        <v>60.3042586550984</v>
      </c>
      <c r="G325" s="13" t="n">
        <f aca="false">SUM(O314:R314)</f>
        <v>61.4039840062216</v>
      </c>
    </row>
    <row r="326" customFormat="false" ht="15" hidden="false" customHeight="false" outlineLevel="0" collapsed="false">
      <c r="A326" s="5" t="s">
        <v>363</v>
      </c>
      <c r="B326" s="0" t="s">
        <v>25</v>
      </c>
      <c r="D326" s="13" t="n">
        <f aca="false">SUM(C316:F316)</f>
        <v>5.771301</v>
      </c>
      <c r="E326" s="13" t="n">
        <f aca="false">SUM(G316:J316)</f>
        <v>6.81314170964275</v>
      </c>
      <c r="F326" s="13" t="n">
        <f aca="false">SUM(K316:N316)</f>
        <v>7.00987695887494</v>
      </c>
      <c r="G326" s="13" t="n">
        <f aca="false">SUM(O316:R316)</f>
        <v>7.11171372986264</v>
      </c>
    </row>
    <row r="327" customFormat="false" ht="15" hidden="false" customHeight="false" outlineLevel="0" collapsed="false">
      <c r="A327" s="5" t="s">
        <v>329</v>
      </c>
      <c r="B327" s="0" t="s">
        <v>31</v>
      </c>
      <c r="D327" s="14" t="n">
        <f aca="false">1-D326/D325</f>
        <v>0.714969330304228</v>
      </c>
      <c r="E327" s="14" t="n">
        <f aca="false">1-E326/E325</f>
        <v>0.871505947469125</v>
      </c>
      <c r="F327" s="14" t="n">
        <f aca="false">1-F326/F325</f>
        <v>0.883758177030798</v>
      </c>
      <c r="G327" s="14" t="n">
        <f aca="false">1-G326/G325</f>
        <v>0.884181558493956</v>
      </c>
    </row>
    <row r="328" customFormat="false" ht="15" hidden="false" customHeight="false" outlineLevel="0" collapsed="false">
      <c r="A328" s="5" t="s">
        <v>364</v>
      </c>
      <c r="B328" s="0" t="s">
        <v>25</v>
      </c>
      <c r="D328" s="13" t="n">
        <f aca="false">SUM(C318:F318)</f>
        <v>2.087699</v>
      </c>
      <c r="E328" s="13" t="n">
        <f aca="false">SUM(G318:J318)</f>
        <v>2.55605038612169</v>
      </c>
      <c r="F328" s="13" t="n">
        <f aca="false">SUM(K318:N318)</f>
        <v>2.83144487754106</v>
      </c>
      <c r="G328" s="13" t="n">
        <f aca="false">SUM(O318:R318)</f>
        <v>3.0652823601513</v>
      </c>
    </row>
    <row r="329" customFormat="false" ht="15" hidden="false" customHeight="false" outlineLevel="0" collapsed="false">
      <c r="A329" s="5" t="s">
        <v>330</v>
      </c>
      <c r="B329" s="0" t="s">
        <v>25</v>
      </c>
      <c r="D329" s="13" t="n">
        <f aca="false">SUM(C319:F319)</f>
        <v>12.389</v>
      </c>
      <c r="E329" s="13" t="n">
        <f aca="false">SUM(G319:J319)</f>
        <v>43.6538200627606</v>
      </c>
      <c r="F329" s="13" t="n">
        <f aca="false">SUM(K319:N319)</f>
        <v>50.4629368186824</v>
      </c>
      <c r="G329" s="13" t="n">
        <f aca="false">SUM(O319:R319)</f>
        <v>51.2269879162076</v>
      </c>
    </row>
    <row r="330" customFormat="false" ht="15" hidden="false" customHeight="false" outlineLevel="0" collapsed="false">
      <c r="A330" s="5" t="s">
        <v>331</v>
      </c>
      <c r="B330" s="0" t="s">
        <v>31</v>
      </c>
      <c r="D330" s="14" t="n">
        <f aca="false">D329/D325</f>
        <v>0.61186290003951</v>
      </c>
      <c r="E330" s="14" t="n">
        <f aca="false">E329/E325</f>
        <v>0.823299512525751</v>
      </c>
      <c r="F330" s="14" t="n">
        <f aca="false">F329/F325</f>
        <v>0.836805524918198</v>
      </c>
      <c r="G330" s="14" t="n">
        <f aca="false">G329/G325</f>
        <v>0.834261632128254</v>
      </c>
    </row>
    <row r="331" customFormat="false" ht="15" hidden="false" customHeight="false" outlineLevel="0" collapsed="false">
      <c r="A331" s="5" t="s">
        <v>332</v>
      </c>
      <c r="B331" s="0" t="s">
        <v>25</v>
      </c>
      <c r="C331" s="13" t="n">
        <f aca="false">a25_ni</f>
        <v>-1.641</v>
      </c>
      <c r="D331" s="13" t="n">
        <f aca="false">SUM(C321:F321)</f>
        <v>11.433</v>
      </c>
      <c r="E331" s="13" t="n">
        <f aca="false">SUM(G321:J321)</f>
        <v>37.2676550533465</v>
      </c>
      <c r="F331" s="13" t="n">
        <f aca="false">SUM(K321:N321)</f>
        <v>43.6375909593853</v>
      </c>
      <c r="G331" s="13" t="n">
        <f aca="false">SUM(O321:R321)</f>
        <v>44.970083094763</v>
      </c>
    </row>
    <row r="332" customFormat="false" ht="15" hidden="false" customHeight="false" outlineLevel="0" collapsed="false">
      <c r="A332" s="5" t="s">
        <v>369</v>
      </c>
      <c r="B332" s="0" t="s">
        <v>25</v>
      </c>
      <c r="D332" s="13" t="n">
        <f aca="false">da_y</f>
        <v>0.16</v>
      </c>
      <c r="E332" s="13" t="n">
        <f aca="false">da_y</f>
        <v>0.16</v>
      </c>
      <c r="F332" s="13" t="n">
        <f aca="false">da_y</f>
        <v>0.16</v>
      </c>
      <c r="G332" s="13" t="n">
        <f aca="false">da_y</f>
        <v>0.16</v>
      </c>
    </row>
    <row r="333" customFormat="false" ht="17.15" hidden="false" customHeight="false" outlineLevel="0" collapsed="false">
      <c r="A333" s="5" t="s">
        <v>370</v>
      </c>
      <c r="B333" s="0" t="s">
        <v>25</v>
      </c>
      <c r="D333" s="13" t="n">
        <v>0.562</v>
      </c>
      <c r="E333" s="13" t="n">
        <f aca="false">cap_r*E325</f>
        <v>3.1813807295115</v>
      </c>
      <c r="F333" s="13" t="n">
        <f aca="false">cap_r*F325</f>
        <v>3.61825551930591</v>
      </c>
      <c r="G333" s="13" t="n">
        <f aca="false">cap_r*G325</f>
        <v>3.68423904037329</v>
      </c>
      <c r="T333" s="8" t="s">
        <v>371</v>
      </c>
    </row>
    <row r="334" customFormat="false" ht="15" hidden="false" customHeight="false" outlineLevel="0" collapsed="false">
      <c r="A334" s="5" t="s">
        <v>372</v>
      </c>
      <c r="B334" s="0" t="s">
        <v>25</v>
      </c>
      <c r="D334" s="13" t="n">
        <f aca="false">D331+D332-D333</f>
        <v>11.031</v>
      </c>
      <c r="E334" s="13" t="n">
        <f aca="false">E331+E332-E333</f>
        <v>34.246274323835</v>
      </c>
      <c r="F334" s="13" t="n">
        <f aca="false">F331+F332-F333</f>
        <v>40.1793354400793</v>
      </c>
      <c r="G334" s="13" t="n">
        <f aca="false">G331+G332-G333</f>
        <v>41.4458440543897</v>
      </c>
    </row>
    <row r="335" customFormat="false" ht="17.15" hidden="false" customHeight="false" outlineLevel="0" collapsed="false">
      <c r="A335" s="5" t="s">
        <v>373</v>
      </c>
      <c r="B335" s="0" t="s">
        <v>25</v>
      </c>
      <c r="D335" s="13" t="n">
        <v>4.524</v>
      </c>
      <c r="E335" s="13" t="n">
        <f aca="false">MAX(0,payout*E334)</f>
        <v>17.1231371619175</v>
      </c>
      <c r="F335" s="13" t="n">
        <f aca="false">MAX(0,payout*F334)</f>
        <v>20.0896677200397</v>
      </c>
      <c r="G335" s="13" t="n">
        <f aca="false">MAX(0,payout*G334)</f>
        <v>20.7229220271949</v>
      </c>
      <c r="T335" s="8" t="s">
        <v>374</v>
      </c>
    </row>
    <row r="336" customFormat="false" ht="15" hidden="false" customHeight="false" outlineLevel="0" collapsed="false">
      <c r="A336" s="5" t="s">
        <v>375</v>
      </c>
      <c r="B336" s="0" t="s">
        <v>25</v>
      </c>
      <c r="D336" s="13" t="n">
        <f aca="false">eq0</f>
        <v>15.736</v>
      </c>
      <c r="E336" s="13" t="n">
        <f aca="false">D336+E331-E335</f>
        <v>35.880517891429</v>
      </c>
      <c r="F336" s="13" t="n">
        <f aca="false">E336+F331-F335</f>
        <v>59.4284411307746</v>
      </c>
      <c r="G336" s="13" t="n">
        <f aca="false">F336+G331-G335</f>
        <v>83.6756021983428</v>
      </c>
    </row>
    <row r="337" customFormat="false" ht="15" hidden="false" customHeight="false" outlineLevel="0" collapsed="false">
      <c r="A337" s="5" t="s">
        <v>376</v>
      </c>
      <c r="B337" s="0" t="s">
        <v>25</v>
      </c>
      <c r="D337" s="13" t="n">
        <f aca="false">nc0</f>
        <v>4.762</v>
      </c>
      <c r="E337" s="13" t="n">
        <f aca="false">D337+E334-E335</f>
        <v>21.8851371619175</v>
      </c>
      <c r="F337" s="13" t="n">
        <f aca="false">E337+F334-F335</f>
        <v>41.9748048819572</v>
      </c>
      <c r="G337" s="13" t="n">
        <f aca="false">F337+G334-G335</f>
        <v>62.6977269091521</v>
      </c>
    </row>
    <row r="338" customFormat="false" ht="15" hidden="false" customHeight="false" outlineLevel="0" collapsed="false">
      <c r="A338" s="5" t="s">
        <v>377</v>
      </c>
      <c r="B338" s="5" t="s">
        <v>111</v>
      </c>
      <c r="D338" s="20" t="n">
        <f aca="false">sh0</f>
        <v>146.42</v>
      </c>
      <c r="E338" s="20" t="n">
        <f aca="false">D338-E335/bb_px*1000</f>
        <v>132.589045045825</v>
      </c>
      <c r="F338" s="20" t="n">
        <f aca="false">E338-F335/bb_px*1000</f>
        <v>116.361919919584</v>
      </c>
      <c r="G338" s="20" t="n">
        <f aca="false">F338-G335/bb_px*1000</f>
        <v>99.6232932084424</v>
      </c>
    </row>
    <row r="339" customFormat="false" ht="17.15" hidden="false" customHeight="false" outlineLevel="0" collapsed="false">
      <c r="A339" s="0" t="s">
        <v>378</v>
      </c>
      <c r="B339" s="0" t="s">
        <v>38</v>
      </c>
      <c r="C339" s="15" t="n">
        <f aca="false">a25_eps</f>
        <v>-11.32</v>
      </c>
      <c r="D339" s="15" t="n">
        <f aca="false">a26_eps</f>
        <v>73.76</v>
      </c>
      <c r="E339" s="15" t="n">
        <f aca="false">E331/(E338+dil)*1000</f>
        <v>263.99310869638</v>
      </c>
      <c r="F339" s="15" t="n">
        <f aca="false">F331/(F338+dil)*1000</f>
        <v>349.26300946449</v>
      </c>
      <c r="G339" s="15" t="n">
        <f aca="false">G331/(G338+dil)*1000</f>
        <v>415.607342080918</v>
      </c>
    </row>
    <row r="340" customFormat="false" ht="17.15" hidden="false" customHeight="false" outlineLevel="0" collapsed="false">
      <c r="A340" s="5" t="s">
        <v>379</v>
      </c>
      <c r="B340" s="0" t="s">
        <v>38</v>
      </c>
      <c r="D340" s="15" t="n">
        <f aca="false">D336/D338*1000</f>
        <v>107.471656877476</v>
      </c>
      <c r="E340" s="15" t="n">
        <f aca="false">E336/E338*1000</f>
        <v>270.6144981965</v>
      </c>
      <c r="F340" s="15" t="n">
        <f aca="false">F336/F338*1000</f>
        <v>510.720699450857</v>
      </c>
      <c r="G340" s="15" t="n">
        <f aca="false">G336/G338*1000</f>
        <v>839.920057885135</v>
      </c>
    </row>
    <row r="341" customFormat="false" ht="17.15" hidden="false" customHeight="false" outlineLevel="0" collapsed="false">
      <c r="A341" s="0" t="s">
        <v>380</v>
      </c>
      <c r="B341" s="0" t="s">
        <v>31</v>
      </c>
      <c r="D341" s="21" t="n">
        <f aca="false">D331/D336</f>
        <v>0.72655058464667</v>
      </c>
      <c r="E341" s="21" t="n">
        <f aca="false">E331/E336</f>
        <v>1.03865989800133</v>
      </c>
      <c r="F341" s="21" t="n">
        <f aca="false">F331/F336</f>
        <v>0.734287996270322</v>
      </c>
      <c r="G341" s="21" t="n">
        <f aca="false">G331/G336</f>
        <v>0.53743363553174</v>
      </c>
    </row>
    <row r="342" customFormat="false" ht="15" hidden="false" customHeight="false" outlineLevel="0" collapsed="false">
      <c r="A342" s="5" t="s">
        <v>381</v>
      </c>
      <c r="B342" s="0" t="s">
        <v>38</v>
      </c>
      <c r="E342" s="15" t="n">
        <f aca="false">E334/(E338+dil)*1000</f>
        <v>242.590536138559</v>
      </c>
      <c r="F342" s="15" t="n">
        <f aca="false">F334/(F338+dil)*1000</f>
        <v>321.584104565864</v>
      </c>
      <c r="G342" s="15" t="n">
        <f aca="false">G334/(G338+dil)*1000</f>
        <v>383.036808080773</v>
      </c>
    </row>
    <row r="343" customFormat="false" ht="17.15" hidden="false" customHeight="false" outlineLevel="0" collapsed="false">
      <c r="A343" s="5" t="s">
        <v>382</v>
      </c>
      <c r="B343" s="0" t="s">
        <v>25</v>
      </c>
      <c r="D343" s="18" t="n">
        <f aca="false">ABS(D325-a26_rev)+ABS(D331-a26_ni)</f>
        <v>0</v>
      </c>
    </row>
    <row r="360" customFormat="false" ht="17.15" hidden="false" customHeight="false" outlineLevel="0" collapsed="false">
      <c r="A360" s="3" t="s">
        <v>654</v>
      </c>
    </row>
    <row r="361" customFormat="false" ht="17.15" hidden="false" customHeight="false" outlineLevel="0" collapsed="false">
      <c r="A361" s="12" t="s">
        <v>340</v>
      </c>
      <c r="B361" s="6" t="s">
        <v>15</v>
      </c>
      <c r="C361" s="12" t="s">
        <v>341</v>
      </c>
      <c r="D361" s="12" t="s">
        <v>342</v>
      </c>
      <c r="E361" s="12" t="s">
        <v>343</v>
      </c>
      <c r="F361" s="12" t="s">
        <v>344</v>
      </c>
      <c r="G361" s="12" t="s">
        <v>345</v>
      </c>
      <c r="H361" s="12" t="s">
        <v>346</v>
      </c>
      <c r="I361" s="12" t="s">
        <v>347</v>
      </c>
      <c r="J361" s="12" t="s">
        <v>348</v>
      </c>
      <c r="K361" s="12" t="s">
        <v>349</v>
      </c>
      <c r="L361" s="12" t="s">
        <v>350</v>
      </c>
      <c r="M361" s="12" t="s">
        <v>351</v>
      </c>
      <c r="N361" s="12" t="s">
        <v>352</v>
      </c>
      <c r="O361" s="12" t="s">
        <v>353</v>
      </c>
      <c r="P361" s="12" t="s">
        <v>354</v>
      </c>
      <c r="Q361" s="12" t="s">
        <v>355</v>
      </c>
      <c r="R361" s="12" t="s">
        <v>356</v>
      </c>
      <c r="S361" s="12"/>
      <c r="T361" s="6" t="s">
        <v>327</v>
      </c>
    </row>
    <row r="362" customFormat="false" ht="17.15" hidden="false" customHeight="false" outlineLevel="0" collapsed="false">
      <c r="A362" s="5" t="s">
        <v>357</v>
      </c>
      <c r="B362" s="0" t="s">
        <v>25</v>
      </c>
      <c r="C362" s="13" t="n">
        <f aca="false">Units!E4*1</f>
        <v>2.31</v>
      </c>
      <c r="D362" s="13" t="n">
        <f aca="false">Units!F4*1</f>
        <v>3.03</v>
      </c>
      <c r="E362" s="13" t="n">
        <f aca="false">Units!G4*1</f>
        <v>5.95</v>
      </c>
      <c r="F362" s="13" t="n">
        <f aca="false">Units!H4*1</f>
        <v>8.97</v>
      </c>
      <c r="G362" s="13" t="n">
        <f aca="false">Units!I4*1</f>
        <v>10.5558839933073</v>
      </c>
      <c r="H362" s="13" t="n">
        <f aca="false">Units!J4*1*1</f>
        <v>13.0085478256151</v>
      </c>
      <c r="I362" s="13" t="n">
        <f aca="false">Units!K4*1*1</f>
        <v>14.3338273511937</v>
      </c>
      <c r="J362" s="13" t="n">
        <f aca="false">Units!L4*1*1</f>
        <v>15.1561771362706</v>
      </c>
      <c r="K362" s="13" t="n">
        <f aca="false">Units!M4*1*1</f>
        <v>15.224420859132</v>
      </c>
      <c r="L362" s="13" t="n">
        <f aca="false">Units!N4*1*1</f>
        <v>14.9710145606433</v>
      </c>
      <c r="M362" s="13" t="n">
        <f aca="false">Units!O4*1*1</f>
        <v>15.0384245519258</v>
      </c>
      <c r="N362" s="13" t="n">
        <f aca="false">Units!P4*1*1</f>
        <v>15.1061380701941</v>
      </c>
      <c r="O362" s="13" t="n">
        <f aca="false">Units!Q4*1*1</f>
        <v>15.1741564821393</v>
      </c>
      <c r="P362" s="13" t="n">
        <f aca="false">Units!R4*1*1</f>
        <v>15.2424811606062</v>
      </c>
      <c r="Q362" s="13" t="n">
        <f aca="false">Units!S4*1*1</f>
        <v>15.3696532550844</v>
      </c>
      <c r="R362" s="13" t="n">
        <f aca="false">Units!T4*1*1</f>
        <v>15.6540842486561</v>
      </c>
      <c r="T362" s="8" t="s">
        <v>358</v>
      </c>
    </row>
    <row r="363" customFormat="false" ht="15" hidden="false" customHeight="false" outlineLevel="0" collapsed="false">
      <c r="A363" s="5" t="s">
        <v>359</v>
      </c>
      <c r="B363" s="0" t="s">
        <v>308</v>
      </c>
      <c r="C363" s="13" t="n">
        <f aca="false">Units!E7*1</f>
        <v>31.1552804325753</v>
      </c>
      <c r="D363" s="13" t="n">
        <f aca="false">Units!F7*1</f>
        <v>33.5147228924475</v>
      </c>
      <c r="E363" s="13" t="n">
        <f aca="false">Units!G7*1</f>
        <v>38.0693331650007</v>
      </c>
      <c r="F363" s="13" t="n">
        <f aca="false">Units!H7*1</f>
        <v>33.6172154529341</v>
      </c>
      <c r="G363" s="13" t="n">
        <f aca="false">Units!I7*1</f>
        <v>34.4006036061451</v>
      </c>
      <c r="H363" s="13" t="n">
        <f aca="false">Units!J7*1</f>
        <v>36.079657444519</v>
      </c>
      <c r="I363" s="13" t="n">
        <f aca="false">Units!K7*1</f>
        <v>38.597442775475</v>
      </c>
      <c r="J363" s="13" t="n">
        <f aca="false">Units!L7*1</f>
        <v>40.8118268330789</v>
      </c>
      <c r="K363" s="13" t="n">
        <f aca="false">Units!M7*1</f>
        <v>43.1532529018101</v>
      </c>
      <c r="L363" s="13" t="n">
        <f aca="false">Units!N7*1</f>
        <v>45.6290095423572</v>
      </c>
      <c r="M363" s="13" t="n">
        <f aca="false">Units!O7*1</f>
        <v>48.2468034693437</v>
      </c>
      <c r="N363" s="13" t="n">
        <f aca="false">Units!P7*1</f>
        <v>51.0147835413486</v>
      </c>
      <c r="O363" s="13" t="n">
        <f aca="false">Units!Q7*1</f>
        <v>53.9415661272627</v>
      </c>
      <c r="P363" s="13" t="n">
        <f aca="false">Units!R7*1</f>
        <v>57.0362619279465</v>
      </c>
      <c r="Q363" s="13" t="n">
        <f aca="false">Units!S7*1</f>
        <v>59.2908563983564</v>
      </c>
      <c r="R363" s="13" t="n">
        <f aca="false">Units!T7*1</f>
        <v>62.2557667231854</v>
      </c>
    </row>
    <row r="364" customFormat="false" ht="17.15" hidden="false" customHeight="false" outlineLevel="0" collapsed="false">
      <c r="A364" s="5" t="s">
        <v>266</v>
      </c>
      <c r="B364" s="0" t="s">
        <v>25</v>
      </c>
      <c r="C364" s="13" t="n">
        <f aca="false">q1_rev</f>
        <v>2.308</v>
      </c>
      <c r="D364" s="13" t="n">
        <f aca="false">q2_rev</f>
        <v>3.025</v>
      </c>
      <c r="E364" s="13" t="n">
        <f aca="false">q3_rev</f>
        <v>5.95</v>
      </c>
      <c r="F364" s="13" t="n">
        <f aca="false">q4_rev</f>
        <v>8.965</v>
      </c>
      <c r="G364" s="13" t="n">
        <f aca="false">G362*sd_k</f>
        <v>10.549631742176</v>
      </c>
      <c r="H364" s="13" t="n">
        <f aca="false">H362*sd_k</f>
        <v>13.0008428614538</v>
      </c>
      <c r="I364" s="13" t="n">
        <f aca="false">I362*sd_k</f>
        <v>14.3253374238386</v>
      </c>
      <c r="J364" s="13" t="n">
        <f aca="false">J362*sd_k</f>
        <v>15.1472001310566</v>
      </c>
      <c r="K364" s="13" t="n">
        <f aca="false">K362*sd_k</f>
        <v>15.2154034331542</v>
      </c>
      <c r="L364" s="13" t="n">
        <f aca="false">L362*sd_k</f>
        <v>14.9621472272411</v>
      </c>
      <c r="M364" s="13" t="n">
        <f aca="false">M362*sd_k</f>
        <v>15.0295172915792</v>
      </c>
      <c r="N364" s="13" t="n">
        <f aca="false">N362*sd_k</f>
        <v>15.0971907031239</v>
      </c>
      <c r="O364" s="13" t="n">
        <f aca="false">O362*sd_k</f>
        <v>15.165168827757</v>
      </c>
      <c r="P364" s="13" t="n">
        <f aca="false">P362*sd_k</f>
        <v>15.2334530375101</v>
      </c>
      <c r="Q364" s="13" t="n">
        <f aca="false">Q362*sd_k</f>
        <v>15.3605498079442</v>
      </c>
      <c r="R364" s="13" t="n">
        <f aca="false">R362*sd_k</f>
        <v>15.6448123330103</v>
      </c>
      <c r="T364" s="5" t="s">
        <v>360</v>
      </c>
    </row>
    <row r="365" customFormat="false" ht="17.15" hidden="false" customHeight="false" outlineLevel="0" collapsed="false">
      <c r="A365" s="5" t="s">
        <v>361</v>
      </c>
      <c r="B365" s="0" t="s">
        <v>362</v>
      </c>
      <c r="C365" s="19" t="n">
        <f aca="false">C366/C363</f>
        <v>0.0520045391183812</v>
      </c>
      <c r="D365" s="19" t="n">
        <f aca="false">D366/D363</f>
        <v>0.0443170902760084</v>
      </c>
      <c r="E365" s="19" t="n">
        <f aca="false">E366/E363</f>
        <v>0.0337594565796481</v>
      </c>
      <c r="F365" s="19" t="n">
        <f aca="false">F366/F363</f>
        <v>0.0410685412637144</v>
      </c>
      <c r="G365" s="19" t="n">
        <f aca="false">(1-g_gm_lo)*G364/G363</f>
        <v>0.0521338932509183</v>
      </c>
      <c r="H365" s="19" t="n">
        <f aca="false">$G365*(1-cd_A)^(1/4)</f>
        <v>0.0502047456484339</v>
      </c>
      <c r="I365" s="19" t="n">
        <f aca="false">$G365*(1-cd_A)^(2/4)</f>
        <v>0.0483469836693915</v>
      </c>
      <c r="J365" s="19" t="n">
        <f aca="false">$G365*(1-cd_A)^(3/4)</f>
        <v>0.0465579657806974</v>
      </c>
      <c r="K365" s="19" t="n">
        <f aca="false">$G365*(1-cd_A)^(4/4)</f>
        <v>0.0448351481957898</v>
      </c>
      <c r="L365" s="19" t="n">
        <f aca="false">$G365*(1-cd_A)^(5/4)</f>
        <v>0.0431760812576532</v>
      </c>
      <c r="M365" s="19" t="n">
        <f aca="false">$G365*(1-cd_A)^(6/4)</f>
        <v>0.0415784059556767</v>
      </c>
      <c r="N365" s="19" t="n">
        <f aca="false">$G365*(1-cd_A)^(7/4)</f>
        <v>0.0400398505713998</v>
      </c>
      <c r="O365" s="19" t="n">
        <f aca="false">$G365*(1-cd_A)^(8/4)</f>
        <v>0.0385582274483792</v>
      </c>
      <c r="P365" s="19" t="n">
        <f aca="false">$G365*(1-cd_A)^(9/4)</f>
        <v>0.0371314298815817</v>
      </c>
      <c r="Q365" s="19" t="n">
        <f aca="false">$G365*(1-cd_A)^(10/4)</f>
        <v>0.0357574291218819</v>
      </c>
      <c r="R365" s="19" t="n">
        <f aca="false">$G365*(1-cd_A)^(11/4)</f>
        <v>0.0344342714914038</v>
      </c>
    </row>
    <row r="366" customFormat="false" ht="15" hidden="false" customHeight="false" outlineLevel="0" collapsed="false">
      <c r="A366" s="5" t="s">
        <v>363</v>
      </c>
      <c r="B366" s="0" t="s">
        <v>25</v>
      </c>
      <c r="C366" s="13" t="n">
        <f aca="false">q1_rev*(1-q1_gm)</f>
        <v>1.620216</v>
      </c>
      <c r="D366" s="13" t="n">
        <f aca="false">q2_rev*(1-q2_gm)</f>
        <v>1.485275</v>
      </c>
      <c r="E366" s="13" t="n">
        <f aca="false">q3_rev*(1-q3_gm)</f>
        <v>1.2852</v>
      </c>
      <c r="F366" s="13" t="n">
        <f aca="false">q4_rev*(1-q4_gm)</f>
        <v>1.38061</v>
      </c>
      <c r="G366" s="13" t="n">
        <f aca="false">G363*G365</f>
        <v>1.79343739616992</v>
      </c>
      <c r="H366" s="13" t="n">
        <f aca="false">H363*H365</f>
        <v>1.8113700250847</v>
      </c>
      <c r="I366" s="13" t="n">
        <f aca="false">I363*I365</f>
        <v>1.86606993554616</v>
      </c>
      <c r="J366" s="13" t="n">
        <f aca="false">J363*J365</f>
        <v>1.90011563714224</v>
      </c>
      <c r="K366" s="13" t="n">
        <f aca="false">K363*K365</f>
        <v>1.93478248898305</v>
      </c>
      <c r="L366" s="13" t="n">
        <f aca="false">L363*L365</f>
        <v>1.97008182370705</v>
      </c>
      <c r="M366" s="13" t="n">
        <f aca="false">M363*M365</f>
        <v>2.00602518071212</v>
      </c>
      <c r="N366" s="13" t="n">
        <f aca="false">N363*N365</f>
        <v>2.0426243099279</v>
      </c>
      <c r="O366" s="13" t="n">
        <f aca="false">O363*O365</f>
        <v>2.07989117565678</v>
      </c>
      <c r="P366" s="13" t="n">
        <f aca="false">P363*P365</f>
        <v>2.11783796048508</v>
      </c>
      <c r="Q366" s="13" t="n">
        <f aca="false">Q363*Q365</f>
        <v>2.12008859523991</v>
      </c>
      <c r="R366" s="13" t="n">
        <f aca="false">R363*R365</f>
        <v>2.14373197325167</v>
      </c>
    </row>
    <row r="367" customFormat="false" ht="15" hidden="false" customHeight="false" outlineLevel="0" collapsed="false">
      <c r="A367" s="5" t="s">
        <v>329</v>
      </c>
      <c r="B367" s="0" t="s">
        <v>31</v>
      </c>
      <c r="C367" s="14" t="n">
        <f aca="false">1-C366/C364</f>
        <v>0.298</v>
      </c>
      <c r="D367" s="14" t="n">
        <f aca="false">1-D366/D364</f>
        <v>0.509</v>
      </c>
      <c r="E367" s="14" t="n">
        <f aca="false">1-E366/E364</f>
        <v>0.784</v>
      </c>
      <c r="F367" s="14" t="n">
        <f aca="false">1-F366/F364</f>
        <v>0.846</v>
      </c>
      <c r="G367" s="14" t="n">
        <f aca="false">1-G366/G364</f>
        <v>0.83</v>
      </c>
      <c r="H367" s="14" t="n">
        <f aca="false">1-H366/H364</f>
        <v>0.860672877567405</v>
      </c>
      <c r="I367" s="14" t="n">
        <f aca="false">1-I366/I364</f>
        <v>0.86973640617771</v>
      </c>
      <c r="J367" s="14" t="n">
        <f aca="false">1-J366/J364</f>
        <v>0.874556642765524</v>
      </c>
      <c r="K367" s="14" t="n">
        <f aca="false">1-K366/K364</f>
        <v>0.872840539688407</v>
      </c>
      <c r="L367" s="14" t="n">
        <f aca="false">1-L366/L364</f>
        <v>0.868328937432177</v>
      </c>
      <c r="M367" s="14" t="n">
        <f aca="false">1-M366/M364</f>
        <v>0.866527637462045</v>
      </c>
      <c r="N367" s="14" t="n">
        <f aca="false">1-N366/N364</f>
        <v>0.864701695163376</v>
      </c>
      <c r="O367" s="14" t="n">
        <f aca="false">1-O366/O364</f>
        <v>0.862850773421663</v>
      </c>
      <c r="P367" s="14" t="n">
        <f aca="false">1-P366/P364</f>
        <v>0.860974530510567</v>
      </c>
      <c r="Q367" s="14" t="n">
        <f aca="false">1-Q366/Q364</f>
        <v>0.861978339203494</v>
      </c>
      <c r="R367" s="14" t="n">
        <f aca="false">1-R366/R364</f>
        <v>0.862974900074165</v>
      </c>
    </row>
    <row r="368" customFormat="false" ht="17.15" hidden="false" customHeight="false" outlineLevel="0" collapsed="false">
      <c r="A368" s="5" t="s">
        <v>364</v>
      </c>
      <c r="B368" s="0" t="s">
        <v>25</v>
      </c>
      <c r="C368" s="13" t="n">
        <f aca="false">q1_rev-q1_rev*(1-q1_gm)-q1_op</f>
        <v>0.511784</v>
      </c>
      <c r="D368" s="13" t="n">
        <f aca="false">q2_rev-q2_rev*(1-q2_gm)-q2_op</f>
        <v>0.474725</v>
      </c>
      <c r="E368" s="13" t="n">
        <f aca="false">q3_rev-q3_rev*(1-q3_gm)-q3_op</f>
        <v>0.553800000000001</v>
      </c>
      <c r="F368" s="13" t="n">
        <f aca="false">q4_rev-q4_rev*(1-q4_gm)-q4_op</f>
        <v>0.54739</v>
      </c>
      <c r="G368" s="13" t="n">
        <f aca="false">(g_ox-ox_var*g_rev)*(1+ox_g)^(0/4)+ox_var*G364</f>
        <v>0.59399631742176</v>
      </c>
      <c r="H368" s="13" t="n">
        <f aca="false">(g_ox-ox_var*g_rev)*(1+ox_g)^(1/4)+ox_var*H364</f>
        <v>0.63028796573229</v>
      </c>
      <c r="I368" s="13" t="n">
        <f aca="false">(g_ox-ox_var*g_rev)*(1+ox_g)^(2/4)+ox_var*I364</f>
        <v>0.655596496569505</v>
      </c>
      <c r="J368" s="13" t="n">
        <f aca="false">(g_ox-ox_var*g_rev)*(1+ox_g)^(3/4)+ox_var*J364</f>
        <v>0.676169606398132</v>
      </c>
      <c r="K368" s="13" t="n">
        <f aca="false">(g_ox-ox_var*g_rev)*(1+ox_g)^(4/4)+ox_var*K364</f>
        <v>0.689504034331542</v>
      </c>
      <c r="L368" s="13" t="n">
        <f aca="false">(g_ox-ox_var*g_rev)*(1+ox_g)^(5/4)+ox_var*L364</f>
        <v>0.699928963101938</v>
      </c>
      <c r="M368" s="13" t="n">
        <f aca="false">(g_ox-ox_var*g_rev)*(1+ox_g)^(6/4)+ox_var*M364</f>
        <v>0.713872607480023</v>
      </c>
      <c r="N368" s="13" t="n">
        <f aca="false">(g_ox-ox_var*g_rev)*(1+ox_g)^(7/4)+ox_var*N364</f>
        <v>0.728139272627561</v>
      </c>
      <c r="O368" s="13" t="n">
        <f aca="false">(g_ox-ox_var*g_rev)*(1+ox_g)^(8/4)+ox_var*O364</f>
        <v>0.74273668827757</v>
      </c>
      <c r="P368" s="13" t="n">
        <f aca="false">(g_ox-ox_var*g_rev)*(1+ox_g)^(9/4)+ox_var*P364</f>
        <v>0.75767277028758</v>
      </c>
      <c r="Q368" s="13" t="n">
        <f aca="false">(g_ox-ox_var*g_rev)*(1+ox_g)^(10/4)+ox_var*Q364</f>
        <v>0.773540676100096</v>
      </c>
      <c r="R368" s="13" t="n">
        <f aca="false">(g_ox-ox_var*g_rev)*(1+ox_g)^(11/4)+ox_var*R364</f>
        <v>0.791332225486057</v>
      </c>
      <c r="T368" s="5" t="s">
        <v>365</v>
      </c>
    </row>
    <row r="369" customFormat="false" ht="15" hidden="false" customHeight="false" outlineLevel="0" collapsed="false">
      <c r="A369" s="5" t="s">
        <v>330</v>
      </c>
      <c r="B369" s="0" t="s">
        <v>25</v>
      </c>
      <c r="C369" s="13" t="n">
        <f aca="false">C364-C366-C368</f>
        <v>0.176</v>
      </c>
      <c r="D369" s="13" t="n">
        <f aca="false">D364-D366-D368</f>
        <v>1.065</v>
      </c>
      <c r="E369" s="13" t="n">
        <f aca="false">E364-E366-E368</f>
        <v>4.111</v>
      </c>
      <c r="F369" s="13" t="n">
        <f aca="false">F364-F366-F368</f>
        <v>7.037</v>
      </c>
      <c r="G369" s="13" t="n">
        <f aca="false">G364-G366-G368</f>
        <v>8.16219802858434</v>
      </c>
      <c r="H369" s="13" t="n">
        <f aca="false">H364-H366-H368</f>
        <v>10.5591848706368</v>
      </c>
      <c r="I369" s="13" t="n">
        <f aca="false">I364-I366-I368</f>
        <v>11.8036709917229</v>
      </c>
      <c r="J369" s="13" t="n">
        <f aca="false">J364-J366-J368</f>
        <v>12.5709148875163</v>
      </c>
      <c r="K369" s="13" t="n">
        <f aca="false">K364-K366-K368</f>
        <v>12.5911169098396</v>
      </c>
      <c r="L369" s="13" t="n">
        <f aca="false">L364-L366-L368</f>
        <v>12.2921364404322</v>
      </c>
      <c r="M369" s="13" t="n">
        <f aca="false">M364-M366-M368</f>
        <v>12.309619503387</v>
      </c>
      <c r="N369" s="13" t="n">
        <f aca="false">N364-N366-N368</f>
        <v>12.3264271205684</v>
      </c>
      <c r="O369" s="13" t="n">
        <f aca="false">O364-O366-O368</f>
        <v>12.3425409638226</v>
      </c>
      <c r="P369" s="13" t="n">
        <f aca="false">P364-P366-P368</f>
        <v>12.3579423067374</v>
      </c>
      <c r="Q369" s="13" t="n">
        <f aca="false">Q364-Q366-Q368</f>
        <v>12.4669205366042</v>
      </c>
      <c r="R369" s="13" t="n">
        <f aca="false">R364-R366-R368</f>
        <v>12.7097481342726</v>
      </c>
    </row>
    <row r="371" customFormat="false" ht="17.15" hidden="false" customHeight="false" outlineLevel="0" collapsed="false">
      <c r="A371" s="5" t="s">
        <v>332</v>
      </c>
      <c r="B371" s="0" t="s">
        <v>25</v>
      </c>
      <c r="C371" s="13" t="n">
        <f aca="false">q1_ni</f>
        <v>0.112</v>
      </c>
      <c r="D371" s="13" t="n">
        <f aca="false">q2_ni</f>
        <v>0.803</v>
      </c>
      <c r="E371" s="13" t="n">
        <f aca="false">q3_ni</f>
        <v>3.615</v>
      </c>
      <c r="F371" s="13" t="n">
        <f aca="false">q4_ni</f>
        <v>6.903</v>
      </c>
      <c r="G371" s="13" t="n">
        <f aca="false">(G369+rf*$D387/4)*(1-tax)</f>
        <v>6.97834532429669</v>
      </c>
      <c r="H371" s="13" t="n">
        <f aca="false">(H369+rf*$D387/4)*(1-tax)</f>
        <v>9.01578414004131</v>
      </c>
      <c r="I371" s="13" t="n">
        <f aca="false">(I369+rf*$D387/4)*(1-tax)</f>
        <v>10.0735973429645</v>
      </c>
      <c r="J371" s="13" t="n">
        <f aca="false">(J369+rf*$D387/4)*(1-tax)</f>
        <v>10.7257546543888</v>
      </c>
      <c r="K371" s="13" t="n">
        <f aca="false">(K369+rf*$E387/4)*(1-tax)</f>
        <v>10.8864578014755</v>
      </c>
      <c r="L371" s="13" t="n">
        <f aca="false">(L369+rf*$E387/4)*(1-tax)</f>
        <v>10.6323244024791</v>
      </c>
      <c r="M371" s="13" t="n">
        <f aca="false">(M369+rf*$E387/4)*(1-tax)</f>
        <v>10.6471850059907</v>
      </c>
      <c r="N371" s="13" t="n">
        <f aca="false">(N369+rf*$E387/4)*(1-tax)</f>
        <v>10.6614714805949</v>
      </c>
      <c r="O371" s="13" t="n">
        <f aca="false">(O369+rf*$F387/4)*(1-tax)</f>
        <v>10.8424872758388</v>
      </c>
      <c r="P371" s="13" t="n">
        <f aca="false">(P369+rf*$F387/4)*(1-tax)</f>
        <v>10.8555784173163</v>
      </c>
      <c r="Q371" s="13" t="n">
        <f aca="false">(Q369+rf*$F387/4)*(1-tax)</f>
        <v>10.9482099127031</v>
      </c>
      <c r="R371" s="13" t="n">
        <f aca="false">(R369+rf*$F387/4)*(1-tax)</f>
        <v>11.1546133707212</v>
      </c>
      <c r="T371" s="5" t="s">
        <v>366</v>
      </c>
    </row>
    <row r="372" customFormat="false" ht="17.15" hidden="false" customHeight="false" outlineLevel="0" collapsed="false">
      <c r="A372" s="5" t="s">
        <v>367</v>
      </c>
      <c r="B372" s="0" t="s">
        <v>38</v>
      </c>
      <c r="G372" s="15" t="n">
        <f aca="false">G371/(sh0+dil)*1000</f>
        <v>45.021582737398</v>
      </c>
      <c r="H372" s="15" t="n">
        <f aca="false">H371/(sh0+dil)*1000</f>
        <v>58.1663492905891</v>
      </c>
      <c r="I372" s="15" t="n">
        <f aca="false">I371/(sh0+dil)*1000</f>
        <v>64.9909505997709</v>
      </c>
      <c r="J372" s="15" t="n">
        <f aca="false">J371/(sh0+dil)*1000</f>
        <v>69.1984171250891</v>
      </c>
      <c r="K372" s="15" t="n">
        <f aca="false">K371/(sh0+dil)*1000</f>
        <v>70.2352116224223</v>
      </c>
      <c r="L372" s="15" t="n">
        <f aca="false">L371/(sh0+dil)*1000</f>
        <v>68.5956413063168</v>
      </c>
      <c r="M372" s="15" t="n">
        <f aca="false">M371/(sh0+dil)*1000</f>
        <v>68.6915161676821</v>
      </c>
      <c r="N372" s="15" t="n">
        <f aca="false">N371/(sh0+dil)*1000</f>
        <v>68.7836869715802</v>
      </c>
      <c r="O372" s="15" t="n">
        <f aca="false">O371/(sh0+dil)*1000</f>
        <v>69.9515308118629</v>
      </c>
      <c r="P372" s="15" t="n">
        <f aca="false">P371/(sh0+dil)*1000</f>
        <v>70.0359897891376</v>
      </c>
      <c r="Q372" s="15" t="n">
        <f aca="false">Q371/(sh0+dil)*1000</f>
        <v>70.6336123400197</v>
      </c>
      <c r="R372" s="15" t="n">
        <f aca="false">R371/(sh0+dil)*1000</f>
        <v>71.96524755304</v>
      </c>
    </row>
    <row r="374" customFormat="false" ht="17.15" hidden="false" customHeight="false" outlineLevel="0" collapsed="false">
      <c r="A374" s="12" t="s">
        <v>368</v>
      </c>
      <c r="B374" s="6" t="s">
        <v>15</v>
      </c>
      <c r="C374" s="12" t="s">
        <v>322</v>
      </c>
      <c r="D374" s="12" t="s">
        <v>323</v>
      </c>
      <c r="E374" s="12" t="s">
        <v>324</v>
      </c>
      <c r="F374" s="12" t="s">
        <v>325</v>
      </c>
      <c r="G374" s="12" t="s">
        <v>326</v>
      </c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6" t="s">
        <v>327</v>
      </c>
    </row>
    <row r="375" customFormat="false" ht="15" hidden="false" customHeight="false" outlineLevel="0" collapsed="false">
      <c r="A375" s="5" t="s">
        <v>266</v>
      </c>
      <c r="B375" s="0" t="s">
        <v>25</v>
      </c>
      <c r="C375" s="13" t="n">
        <f aca="false">a25_rev</f>
        <v>7.355</v>
      </c>
      <c r="D375" s="13" t="n">
        <f aca="false">SUM(C364:F364)</f>
        <v>20.248</v>
      </c>
      <c r="E375" s="13" t="n">
        <f aca="false">SUM(G364:J364)</f>
        <v>53.0230121585251</v>
      </c>
      <c r="F375" s="13" t="n">
        <f aca="false">SUM(K364:N364)</f>
        <v>60.3042586550984</v>
      </c>
      <c r="G375" s="13" t="n">
        <f aca="false">SUM(O364:R364)</f>
        <v>61.4039840062216</v>
      </c>
    </row>
    <row r="376" customFormat="false" ht="15" hidden="false" customHeight="false" outlineLevel="0" collapsed="false">
      <c r="A376" s="5" t="s">
        <v>363</v>
      </c>
      <c r="B376" s="0" t="s">
        <v>25</v>
      </c>
      <c r="D376" s="13" t="n">
        <f aca="false">SUM(C366:F366)</f>
        <v>5.771301</v>
      </c>
      <c r="E376" s="13" t="n">
        <f aca="false">SUM(G366:J366)</f>
        <v>7.37099299394303</v>
      </c>
      <c r="F376" s="13" t="n">
        <f aca="false">SUM(K366:N366)</f>
        <v>7.95351380333012</v>
      </c>
      <c r="G376" s="13" t="n">
        <f aca="false">SUM(O366:R366)</f>
        <v>8.46154970463344</v>
      </c>
    </row>
    <row r="377" customFormat="false" ht="15" hidden="false" customHeight="false" outlineLevel="0" collapsed="false">
      <c r="A377" s="5" t="s">
        <v>329</v>
      </c>
      <c r="B377" s="0" t="s">
        <v>31</v>
      </c>
      <c r="D377" s="14" t="n">
        <f aca="false">1-D376/D375</f>
        <v>0.714969330304228</v>
      </c>
      <c r="E377" s="14" t="n">
        <f aca="false">1-E376/E375</f>
        <v>0.860985019638159</v>
      </c>
      <c r="F377" s="14" t="n">
        <f aca="false">1-F376/F375</f>
        <v>0.868110246594372</v>
      </c>
      <c r="G377" s="14" t="n">
        <f aca="false">1-G376/G375</f>
        <v>0.862198685613362</v>
      </c>
    </row>
    <row r="378" customFormat="false" ht="15" hidden="false" customHeight="false" outlineLevel="0" collapsed="false">
      <c r="A378" s="5" t="s">
        <v>364</v>
      </c>
      <c r="B378" s="0" t="s">
        <v>25</v>
      </c>
      <c r="D378" s="13" t="n">
        <f aca="false">SUM(C368:F368)</f>
        <v>2.087699</v>
      </c>
      <c r="E378" s="13" t="n">
        <f aca="false">SUM(G368:J368)</f>
        <v>2.55605038612169</v>
      </c>
      <c r="F378" s="13" t="n">
        <f aca="false">SUM(K368:N368)</f>
        <v>2.83144487754106</v>
      </c>
      <c r="G378" s="13" t="n">
        <f aca="false">SUM(O368:R368)</f>
        <v>3.0652823601513</v>
      </c>
    </row>
    <row r="379" customFormat="false" ht="15" hidden="false" customHeight="false" outlineLevel="0" collapsed="false">
      <c r="A379" s="5" t="s">
        <v>330</v>
      </c>
      <c r="B379" s="0" t="s">
        <v>25</v>
      </c>
      <c r="D379" s="13" t="n">
        <f aca="false">SUM(C369:F369)</f>
        <v>12.389</v>
      </c>
      <c r="E379" s="13" t="n">
        <f aca="false">SUM(G369:J369)</f>
        <v>43.0959687784604</v>
      </c>
      <c r="F379" s="13" t="n">
        <f aca="false">SUM(K369:N369)</f>
        <v>49.5192999742272</v>
      </c>
      <c r="G379" s="13" t="n">
        <f aca="false">SUM(O369:R369)</f>
        <v>49.8771519414368</v>
      </c>
    </row>
    <row r="380" customFormat="false" ht="15" hidden="false" customHeight="false" outlineLevel="0" collapsed="false">
      <c r="A380" s="5" t="s">
        <v>331</v>
      </c>
      <c r="B380" s="0" t="s">
        <v>31</v>
      </c>
      <c r="D380" s="14" t="n">
        <f aca="false">D379/D375</f>
        <v>0.61186290003951</v>
      </c>
      <c r="E380" s="14" t="n">
        <f aca="false">E379/E375</f>
        <v>0.812778584694785</v>
      </c>
      <c r="F380" s="14" t="n">
        <f aca="false">F379/F375</f>
        <v>0.821157594481773</v>
      </c>
      <c r="G380" s="14" t="n">
        <f aca="false">G379/G375</f>
        <v>0.81227875924766</v>
      </c>
    </row>
    <row r="381" customFormat="false" ht="15" hidden="false" customHeight="false" outlineLevel="0" collapsed="false">
      <c r="A381" s="5" t="s">
        <v>332</v>
      </c>
      <c r="B381" s="0" t="s">
        <v>25</v>
      </c>
      <c r="C381" s="13" t="n">
        <f aca="false">a25_ni</f>
        <v>-1.641</v>
      </c>
      <c r="D381" s="13" t="n">
        <f aca="false">SUM(C371:F371)</f>
        <v>11.433</v>
      </c>
      <c r="E381" s="13" t="n">
        <f aca="false">SUM(G371:J371)</f>
        <v>36.7934814616913</v>
      </c>
      <c r="F381" s="13" t="n">
        <f aca="false">SUM(K371:N371)</f>
        <v>42.8274386905402</v>
      </c>
      <c r="G381" s="13" t="n">
        <f aca="false">SUM(O371:R371)</f>
        <v>43.8008889765793</v>
      </c>
    </row>
    <row r="382" customFormat="false" ht="15" hidden="false" customHeight="false" outlineLevel="0" collapsed="false">
      <c r="A382" s="5" t="s">
        <v>369</v>
      </c>
      <c r="B382" s="0" t="s">
        <v>25</v>
      </c>
      <c r="D382" s="13" t="n">
        <f aca="false">da_y</f>
        <v>0.16</v>
      </c>
      <c r="E382" s="13" t="n">
        <f aca="false">da_y</f>
        <v>0.16</v>
      </c>
      <c r="F382" s="13" t="n">
        <f aca="false">da_y</f>
        <v>0.16</v>
      </c>
      <c r="G382" s="13" t="n">
        <f aca="false">da_y</f>
        <v>0.16</v>
      </c>
    </row>
    <row r="383" customFormat="false" ht="17.15" hidden="false" customHeight="false" outlineLevel="0" collapsed="false">
      <c r="A383" s="5" t="s">
        <v>370</v>
      </c>
      <c r="B383" s="0" t="s">
        <v>25</v>
      </c>
      <c r="D383" s="13" t="n">
        <v>0.562</v>
      </c>
      <c r="E383" s="13" t="n">
        <f aca="false">cap_r*E375</f>
        <v>3.1813807295115</v>
      </c>
      <c r="F383" s="13" t="n">
        <f aca="false">cap_r*F375</f>
        <v>3.61825551930591</v>
      </c>
      <c r="G383" s="13" t="n">
        <f aca="false">cap_r*G375</f>
        <v>3.68423904037329</v>
      </c>
      <c r="T383" s="8" t="s">
        <v>371</v>
      </c>
    </row>
    <row r="384" customFormat="false" ht="15" hidden="false" customHeight="false" outlineLevel="0" collapsed="false">
      <c r="A384" s="5" t="s">
        <v>372</v>
      </c>
      <c r="B384" s="0" t="s">
        <v>25</v>
      </c>
      <c r="D384" s="13" t="n">
        <f aca="false">D381+D382-D383</f>
        <v>11.031</v>
      </c>
      <c r="E384" s="13" t="n">
        <f aca="false">E381+E382-E383</f>
        <v>33.7721007321798</v>
      </c>
      <c r="F384" s="13" t="n">
        <f aca="false">F381+F382-F383</f>
        <v>39.3691831712343</v>
      </c>
      <c r="G384" s="13" t="n">
        <f aca="false">G381+G382-G383</f>
        <v>40.276649936206</v>
      </c>
    </row>
    <row r="385" customFormat="false" ht="17.15" hidden="false" customHeight="false" outlineLevel="0" collapsed="false">
      <c r="A385" s="5" t="s">
        <v>373</v>
      </c>
      <c r="B385" s="0" t="s">
        <v>25</v>
      </c>
      <c r="D385" s="13" t="n">
        <v>4.524</v>
      </c>
      <c r="E385" s="13" t="n">
        <f aca="false">MAX(0,payout*E384)</f>
        <v>16.8860503660899</v>
      </c>
      <c r="F385" s="13" t="n">
        <f aca="false">MAX(0,payout*F384)</f>
        <v>19.6845915856172</v>
      </c>
      <c r="G385" s="13" t="n">
        <f aca="false">MAX(0,payout*G384)</f>
        <v>20.138324968103</v>
      </c>
      <c r="T385" s="8" t="s">
        <v>374</v>
      </c>
    </row>
    <row r="386" customFormat="false" ht="15" hidden="false" customHeight="false" outlineLevel="0" collapsed="false">
      <c r="A386" s="5" t="s">
        <v>375</v>
      </c>
      <c r="B386" s="0" t="s">
        <v>25</v>
      </c>
      <c r="D386" s="13" t="n">
        <f aca="false">eq0</f>
        <v>15.736</v>
      </c>
      <c r="E386" s="13" t="n">
        <f aca="false">D386+E381-E385</f>
        <v>35.6434310956014</v>
      </c>
      <c r="F386" s="13" t="n">
        <f aca="false">E386+F381-F385</f>
        <v>58.7862782005245</v>
      </c>
      <c r="G386" s="13" t="n">
        <f aca="false">F386+G381-G385</f>
        <v>82.4488422090008</v>
      </c>
    </row>
    <row r="387" customFormat="false" ht="15" hidden="false" customHeight="false" outlineLevel="0" collapsed="false">
      <c r="A387" s="5" t="s">
        <v>376</v>
      </c>
      <c r="B387" s="0" t="s">
        <v>25</v>
      </c>
      <c r="D387" s="13" t="n">
        <f aca="false">nc0</f>
        <v>4.762</v>
      </c>
      <c r="E387" s="13" t="n">
        <f aca="false">D387+E384-E385</f>
        <v>21.6480503660899</v>
      </c>
      <c r="F387" s="13" t="n">
        <f aca="false">E387+F384-F385</f>
        <v>41.332641951707</v>
      </c>
      <c r="G387" s="13" t="n">
        <f aca="false">F387+G384-G385</f>
        <v>61.4709669198101</v>
      </c>
    </row>
    <row r="388" customFormat="false" ht="15" hidden="false" customHeight="false" outlineLevel="0" collapsed="false">
      <c r="A388" s="5" t="s">
        <v>377</v>
      </c>
      <c r="B388" s="5" t="s">
        <v>111</v>
      </c>
      <c r="D388" s="20" t="n">
        <f aca="false">sh0</f>
        <v>146.42</v>
      </c>
      <c r="E388" s="20" t="n">
        <f aca="false">D388-E385/bb_px*1000</f>
        <v>132.78054831782</v>
      </c>
      <c r="F388" s="20" t="n">
        <f aca="false">E388-F385/bb_px*1000</f>
        <v>116.880617309995</v>
      </c>
      <c r="G388" s="20" t="n">
        <f aca="false">F388-G385/bb_px*1000</f>
        <v>100.614190027859</v>
      </c>
    </row>
    <row r="389" customFormat="false" ht="17.15" hidden="false" customHeight="false" outlineLevel="0" collapsed="false">
      <c r="A389" s="0" t="s">
        <v>378</v>
      </c>
      <c r="B389" s="0" t="s">
        <v>38</v>
      </c>
      <c r="C389" s="15" t="n">
        <f aca="false">a25_eps</f>
        <v>-11.32</v>
      </c>
      <c r="D389" s="15" t="n">
        <f aca="false">a26_eps</f>
        <v>73.76</v>
      </c>
      <c r="E389" s="15" t="n">
        <f aca="false">E381/(E388+dil)*1000</f>
        <v>260.281117323971</v>
      </c>
      <c r="F389" s="15" t="n">
        <f aca="false">F381/(F388+dil)*1000</f>
        <v>341.361612981067</v>
      </c>
      <c r="G389" s="15" t="n">
        <f aca="false">G381/(G388+dil)*1000</f>
        <v>401.128383894825</v>
      </c>
    </row>
    <row r="390" customFormat="false" ht="17.15" hidden="false" customHeight="false" outlineLevel="0" collapsed="false">
      <c r="A390" s="5" t="s">
        <v>379</v>
      </c>
      <c r="B390" s="0" t="s">
        <v>38</v>
      </c>
      <c r="D390" s="15" t="n">
        <f aca="false">D386/D388*1000</f>
        <v>107.471656877476</v>
      </c>
      <c r="E390" s="15" t="n">
        <f aca="false">E386/E388*1000</f>
        <v>268.438649690513</v>
      </c>
      <c r="F390" s="15" t="n">
        <f aca="false">F386/F388*1000</f>
        <v>502.960024968121</v>
      </c>
      <c r="G390" s="15" t="n">
        <f aca="false">G386/G388*1000</f>
        <v>819.455408687103</v>
      </c>
    </row>
    <row r="391" customFormat="false" ht="17.15" hidden="false" customHeight="false" outlineLevel="0" collapsed="false">
      <c r="A391" s="0" t="s">
        <v>380</v>
      </c>
      <c r="B391" s="0" t="s">
        <v>31</v>
      </c>
      <c r="D391" s="21" t="n">
        <f aca="false">D381/D386</f>
        <v>0.72655058464667</v>
      </c>
      <c r="E391" s="21" t="n">
        <f aca="false">E381/E386</f>
        <v>1.03226542256848</v>
      </c>
      <c r="F391" s="21" t="n">
        <f aca="false">F381/F386</f>
        <v>0.72852781297793</v>
      </c>
      <c r="G391" s="21" t="n">
        <f aca="false">G381/G386</f>
        <v>0.531249291112516</v>
      </c>
    </row>
    <row r="392" customFormat="false" ht="15" hidden="false" customHeight="false" outlineLevel="0" collapsed="false">
      <c r="A392" s="5" t="s">
        <v>381</v>
      </c>
      <c r="B392" s="0" t="s">
        <v>38</v>
      </c>
      <c r="E392" s="15" t="n">
        <f aca="false">E384/(E388+dil)*1000</f>
        <v>238.907539154774</v>
      </c>
      <c r="F392" s="15" t="n">
        <f aca="false">F384/(F388+dil)*1000</f>
        <v>313.79714220566</v>
      </c>
      <c r="G392" s="15" t="n">
        <f aca="false">G384/(G388+dil)*1000</f>
        <v>368.853415423753</v>
      </c>
    </row>
    <row r="393" customFormat="false" ht="17.15" hidden="false" customHeight="false" outlineLevel="0" collapsed="false">
      <c r="A393" s="5" t="s">
        <v>382</v>
      </c>
      <c r="B393" s="0" t="s">
        <v>25</v>
      </c>
      <c r="D393" s="18" t="n">
        <f aca="false">ABS(D375-a26_rev)+ABS(D381-a26_ni)</f>
        <v>0</v>
      </c>
    </row>
    <row r="410" customFormat="false" ht="17.15" hidden="false" customHeight="false" outlineLevel="0" collapsed="false">
      <c r="A410" s="3" t="s">
        <v>655</v>
      </c>
    </row>
    <row r="411" customFormat="false" ht="17.15" hidden="false" customHeight="false" outlineLevel="0" collapsed="false">
      <c r="A411" s="12" t="s">
        <v>340</v>
      </c>
      <c r="B411" s="6" t="s">
        <v>15</v>
      </c>
      <c r="C411" s="12" t="s">
        <v>341</v>
      </c>
      <c r="D411" s="12" t="s">
        <v>342</v>
      </c>
      <c r="E411" s="12" t="s">
        <v>343</v>
      </c>
      <c r="F411" s="12" t="s">
        <v>344</v>
      </c>
      <c r="G411" s="12" t="s">
        <v>345</v>
      </c>
      <c r="H411" s="12" t="s">
        <v>346</v>
      </c>
      <c r="I411" s="12" t="s">
        <v>347</v>
      </c>
      <c r="J411" s="12" t="s">
        <v>348</v>
      </c>
      <c r="K411" s="12" t="s">
        <v>349</v>
      </c>
      <c r="L411" s="12" t="s">
        <v>350</v>
      </c>
      <c r="M411" s="12" t="s">
        <v>351</v>
      </c>
      <c r="N411" s="12" t="s">
        <v>352</v>
      </c>
      <c r="O411" s="12" t="s">
        <v>353</v>
      </c>
      <c r="P411" s="12" t="s">
        <v>354</v>
      </c>
      <c r="Q411" s="12" t="s">
        <v>355</v>
      </c>
      <c r="R411" s="12" t="s">
        <v>356</v>
      </c>
      <c r="S411" s="12"/>
      <c r="T411" s="6" t="s">
        <v>327</v>
      </c>
    </row>
    <row r="412" customFormat="false" ht="17.15" hidden="false" customHeight="false" outlineLevel="0" collapsed="false">
      <c r="A412" s="5" t="s">
        <v>357</v>
      </c>
      <c r="B412" s="0" t="s">
        <v>25</v>
      </c>
      <c r="C412" s="13" t="n">
        <f aca="false">Units!E4*1</f>
        <v>2.31</v>
      </c>
      <c r="D412" s="13" t="n">
        <f aca="false">Units!F4*1</f>
        <v>3.03</v>
      </c>
      <c r="E412" s="13" t="n">
        <f aca="false">Units!G4*1</f>
        <v>5.95</v>
      </c>
      <c r="F412" s="13" t="n">
        <f aca="false">Units!H4*1</f>
        <v>8.97</v>
      </c>
      <c r="G412" s="13" t="n">
        <f aca="false">Units!I4*1</f>
        <v>10.5558839933073</v>
      </c>
      <c r="H412" s="13" t="n">
        <f aca="false">Units!J4*1*1</f>
        <v>13.0085478256151</v>
      </c>
      <c r="I412" s="13" t="n">
        <f aca="false">Units!K4*1*1</f>
        <v>14.3338273511937</v>
      </c>
      <c r="J412" s="13" t="n">
        <f aca="false">Units!L4*1*1</f>
        <v>15.1561771362706</v>
      </c>
      <c r="K412" s="13" t="n">
        <f aca="false">Units!M4*1*1</f>
        <v>15.224420859132</v>
      </c>
      <c r="L412" s="13" t="n">
        <f aca="false">Units!N4*1*1</f>
        <v>14.9710145606433</v>
      </c>
      <c r="M412" s="13" t="n">
        <f aca="false">Units!O4*1*1</f>
        <v>15.0384245519258</v>
      </c>
      <c r="N412" s="13" t="n">
        <f aca="false">Units!P4*1*1</f>
        <v>15.1061380701941</v>
      </c>
      <c r="O412" s="13" t="n">
        <f aca="false">Units!Q4*1*1</f>
        <v>15.1741564821393</v>
      </c>
      <c r="P412" s="13" t="n">
        <f aca="false">Units!R4*1*1</f>
        <v>15.2424811606062</v>
      </c>
      <c r="Q412" s="13" t="n">
        <f aca="false">Units!S4*1*1</f>
        <v>15.3696532550844</v>
      </c>
      <c r="R412" s="13" t="n">
        <f aca="false">Units!T4*1*1</f>
        <v>15.6540842486561</v>
      </c>
      <c r="T412" s="8" t="s">
        <v>358</v>
      </c>
    </row>
    <row r="413" customFormat="false" ht="15" hidden="false" customHeight="false" outlineLevel="0" collapsed="false">
      <c r="A413" s="5" t="s">
        <v>359</v>
      </c>
      <c r="B413" s="0" t="s">
        <v>308</v>
      </c>
      <c r="C413" s="13" t="n">
        <f aca="false">Units!E7*1</f>
        <v>31.1552804325753</v>
      </c>
      <c r="D413" s="13" t="n">
        <f aca="false">Units!F7*1</f>
        <v>33.5147228924475</v>
      </c>
      <c r="E413" s="13" t="n">
        <f aca="false">Units!G7*1</f>
        <v>38.0693331650007</v>
      </c>
      <c r="F413" s="13" t="n">
        <f aca="false">Units!H7*1</f>
        <v>33.6172154529341</v>
      </c>
      <c r="G413" s="13" t="n">
        <f aca="false">Units!I7*1</f>
        <v>34.4006036061451</v>
      </c>
      <c r="H413" s="13" t="n">
        <f aca="false">Units!J7*1</f>
        <v>36.079657444519</v>
      </c>
      <c r="I413" s="13" t="n">
        <f aca="false">Units!K7*1</f>
        <v>38.597442775475</v>
      </c>
      <c r="J413" s="13" t="n">
        <f aca="false">Units!L7*1</f>
        <v>40.8118268330789</v>
      </c>
      <c r="K413" s="13" t="n">
        <f aca="false">Units!M7*1</f>
        <v>43.1532529018101</v>
      </c>
      <c r="L413" s="13" t="n">
        <f aca="false">Units!N7*1</f>
        <v>45.6290095423572</v>
      </c>
      <c r="M413" s="13" t="n">
        <f aca="false">Units!O7*1</f>
        <v>48.2468034693437</v>
      </c>
      <c r="N413" s="13" t="n">
        <f aca="false">Units!P7*1</f>
        <v>51.0147835413486</v>
      </c>
      <c r="O413" s="13" t="n">
        <f aca="false">Units!Q7*1</f>
        <v>53.9415661272627</v>
      </c>
      <c r="P413" s="13" t="n">
        <f aca="false">Units!R7*1</f>
        <v>57.0362619279465</v>
      </c>
      <c r="Q413" s="13" t="n">
        <f aca="false">Units!S7*1</f>
        <v>59.2908563983564</v>
      </c>
      <c r="R413" s="13" t="n">
        <f aca="false">Units!T7*1</f>
        <v>62.2557667231854</v>
      </c>
    </row>
    <row r="414" customFormat="false" ht="17.15" hidden="false" customHeight="false" outlineLevel="0" collapsed="false">
      <c r="A414" s="5" t="s">
        <v>266</v>
      </c>
      <c r="B414" s="0" t="s">
        <v>25</v>
      </c>
      <c r="C414" s="13" t="n">
        <f aca="false">q1_rev</f>
        <v>2.308</v>
      </c>
      <c r="D414" s="13" t="n">
        <f aca="false">q2_rev</f>
        <v>3.025</v>
      </c>
      <c r="E414" s="13" t="n">
        <f aca="false">q3_rev</f>
        <v>5.95</v>
      </c>
      <c r="F414" s="13" t="n">
        <f aca="false">q4_rev</f>
        <v>8.965</v>
      </c>
      <c r="G414" s="13" t="n">
        <f aca="false">G412*sd_k</f>
        <v>10.549631742176</v>
      </c>
      <c r="H414" s="13" t="n">
        <f aca="false">H412*sd_k</f>
        <v>13.0008428614538</v>
      </c>
      <c r="I414" s="13" t="n">
        <f aca="false">I412*sd_k</f>
        <v>14.3253374238386</v>
      </c>
      <c r="J414" s="13" t="n">
        <f aca="false">J412*sd_k</f>
        <v>15.1472001310566</v>
      </c>
      <c r="K414" s="13" t="n">
        <f aca="false">K412*sd_k</f>
        <v>15.2154034331542</v>
      </c>
      <c r="L414" s="13" t="n">
        <f aca="false">L412*sd_k</f>
        <v>14.9621472272411</v>
      </c>
      <c r="M414" s="13" t="n">
        <f aca="false">M412*sd_k</f>
        <v>15.0295172915792</v>
      </c>
      <c r="N414" s="13" t="n">
        <f aca="false">N412*sd_k</f>
        <v>15.0971907031239</v>
      </c>
      <c r="O414" s="13" t="n">
        <f aca="false">O412*sd_k</f>
        <v>15.165168827757</v>
      </c>
      <c r="P414" s="13" t="n">
        <f aca="false">P412*sd_k</f>
        <v>15.2334530375101</v>
      </c>
      <c r="Q414" s="13" t="n">
        <f aca="false">Q412*sd_k</f>
        <v>15.3605498079442</v>
      </c>
      <c r="R414" s="13" t="n">
        <f aca="false">R412*sd_k</f>
        <v>15.6448123330103</v>
      </c>
      <c r="T414" s="5" t="s">
        <v>360</v>
      </c>
    </row>
    <row r="415" customFormat="false" ht="17.15" hidden="false" customHeight="false" outlineLevel="0" collapsed="false">
      <c r="A415" s="5" t="s">
        <v>361</v>
      </c>
      <c r="B415" s="0" t="s">
        <v>362</v>
      </c>
      <c r="C415" s="19" t="n">
        <f aca="false">C416/C413</f>
        <v>0.0520045391183812</v>
      </c>
      <c r="D415" s="19" t="n">
        <f aca="false">D416/D413</f>
        <v>0.0443170902760084</v>
      </c>
      <c r="E415" s="19" t="n">
        <f aca="false">E416/E413</f>
        <v>0.0337594565796481</v>
      </c>
      <c r="F415" s="19" t="n">
        <f aca="false">F416/F413</f>
        <v>0.0410685412637144</v>
      </c>
      <c r="G415" s="19" t="n">
        <f aca="false">(1-g_gm_hi)*G414/G413</f>
        <v>0.0463071640052274</v>
      </c>
      <c r="H415" s="19" t="n">
        <f aca="false">$G415*(1-cd_A)^(1/4)</f>
        <v>0.0445936270171384</v>
      </c>
      <c r="I415" s="19" t="n">
        <f aca="false">$G415*(1-cd_A)^(2/4)</f>
        <v>0.042943497259283</v>
      </c>
      <c r="J415" s="19" t="n">
        <f aca="false">$G415*(1-cd_A)^(3/4)</f>
        <v>0.0413544284287371</v>
      </c>
      <c r="K415" s="19" t="n">
        <f aca="false">$G415*(1-cd_A)^(4/4)</f>
        <v>0.0398241610444956</v>
      </c>
      <c r="L415" s="19" t="n">
        <f aca="false">$G415*(1-cd_A)^(5/4)</f>
        <v>0.038350519234739</v>
      </c>
      <c r="M415" s="19" t="n">
        <f aca="false">$G415*(1-cd_A)^(6/4)</f>
        <v>0.0369314076429834</v>
      </c>
      <c r="N415" s="19" t="n">
        <f aca="false">$G415*(1-cd_A)^(7/4)</f>
        <v>0.0355648084487139</v>
      </c>
      <c r="O415" s="19" t="n">
        <f aca="false">$G415*(1-cd_A)^(8/4)</f>
        <v>0.0342487784982662</v>
      </c>
      <c r="P415" s="19" t="n">
        <f aca="false">$G415*(1-cd_A)^(9/4)</f>
        <v>0.0329814465418755</v>
      </c>
      <c r="Q415" s="19" t="n">
        <f aca="false">$G415*(1-cd_A)^(10/4)</f>
        <v>0.0317610105729657</v>
      </c>
      <c r="R415" s="19" t="n">
        <f aca="false">$G415*(1-cd_A)^(11/4)</f>
        <v>0.030585735265894</v>
      </c>
    </row>
    <row r="416" customFormat="false" ht="15" hidden="false" customHeight="false" outlineLevel="0" collapsed="false">
      <c r="A416" s="5" t="s">
        <v>363</v>
      </c>
      <c r="B416" s="0" t="s">
        <v>25</v>
      </c>
      <c r="C416" s="13" t="n">
        <f aca="false">q1_rev*(1-q1_gm)</f>
        <v>1.620216</v>
      </c>
      <c r="D416" s="13" t="n">
        <f aca="false">q2_rev*(1-q2_gm)</f>
        <v>1.485275</v>
      </c>
      <c r="E416" s="13" t="n">
        <f aca="false">q3_rev*(1-q3_gm)</f>
        <v>1.2852</v>
      </c>
      <c r="F416" s="13" t="n">
        <f aca="false">q4_rev*(1-q4_gm)</f>
        <v>1.38061</v>
      </c>
      <c r="G416" s="13" t="n">
        <f aca="false">G413*G415</f>
        <v>1.59299439306858</v>
      </c>
      <c r="H416" s="13" t="n">
        <f aca="false">H413*H415</f>
        <v>1.608922786987</v>
      </c>
      <c r="I416" s="13" t="n">
        <f aca="false">I413*I415</f>
        <v>1.65750917804394</v>
      </c>
      <c r="J416" s="13" t="n">
        <f aca="false">J413*J415</f>
        <v>1.68774977181457</v>
      </c>
      <c r="K416" s="13" t="n">
        <f aca="false">K413*K415</f>
        <v>1.71854209315553</v>
      </c>
      <c r="L416" s="13" t="n">
        <f aca="false">L413*L415</f>
        <v>1.74989620811626</v>
      </c>
      <c r="M416" s="13" t="n">
        <f aca="false">M413*M415</f>
        <v>1.78182236639724</v>
      </c>
      <c r="N416" s="13" t="n">
        <f aca="false">N413*N415</f>
        <v>1.81433100470067</v>
      </c>
      <c r="O416" s="13" t="n">
        <f aca="false">O413*O415</f>
        <v>1.8474327501422</v>
      </c>
      <c r="P416" s="13" t="n">
        <f aca="false">P413*P415</f>
        <v>1.88113842372498</v>
      </c>
      <c r="Q416" s="13" t="n">
        <f aca="false">Q413*Q415</f>
        <v>1.88313751694839</v>
      </c>
      <c r="R416" s="13" t="n">
        <f aca="false">R413*R415</f>
        <v>1.9041383997706</v>
      </c>
    </row>
    <row r="417" customFormat="false" ht="15" hidden="false" customHeight="false" outlineLevel="0" collapsed="false">
      <c r="A417" s="5" t="s">
        <v>329</v>
      </c>
      <c r="B417" s="0" t="s">
        <v>31</v>
      </c>
      <c r="C417" s="14" t="n">
        <f aca="false">1-C416/C414</f>
        <v>0.298</v>
      </c>
      <c r="D417" s="14" t="n">
        <f aca="false">1-D416/D414</f>
        <v>0.509</v>
      </c>
      <c r="E417" s="14" t="n">
        <f aca="false">1-E416/E414</f>
        <v>0.784</v>
      </c>
      <c r="F417" s="14" t="n">
        <f aca="false">1-F416/F414</f>
        <v>0.846</v>
      </c>
      <c r="G417" s="14" t="n">
        <f aca="false">1-G416/G414</f>
        <v>0.849</v>
      </c>
      <c r="H417" s="14" t="n">
        <f aca="false">1-H416/H414</f>
        <v>0.876244732427519</v>
      </c>
      <c r="I417" s="14" t="n">
        <f aca="false">1-I416/I414</f>
        <v>0.884295278428437</v>
      </c>
      <c r="J417" s="14" t="n">
        <f aca="false">1-J416/J414</f>
        <v>0.88857678269173</v>
      </c>
      <c r="K417" s="14" t="n">
        <f aca="false">1-K416/K414</f>
        <v>0.887052479370291</v>
      </c>
      <c r="L417" s="14" t="n">
        <f aca="false">1-L416/L414</f>
        <v>0.883045115013287</v>
      </c>
      <c r="M417" s="14" t="n">
        <f aca="false">1-M416/M414</f>
        <v>0.881445136804522</v>
      </c>
      <c r="N417" s="14" t="n">
        <f aca="false">1-N416/N414</f>
        <v>0.879823270409822</v>
      </c>
      <c r="O417" s="14" t="n">
        <f aca="false">1-O416/O414</f>
        <v>0.878179216392183</v>
      </c>
      <c r="P417" s="14" t="n">
        <f aca="false">1-P416/P414</f>
        <v>0.876512671218209</v>
      </c>
      <c r="Q417" s="14" t="n">
        <f aca="false">1-Q416/Q414</f>
        <v>0.877404289527809</v>
      </c>
      <c r="R417" s="14" t="n">
        <f aca="false">1-R416/R414</f>
        <v>0.878289470065876</v>
      </c>
    </row>
    <row r="418" customFormat="false" ht="17.15" hidden="false" customHeight="false" outlineLevel="0" collapsed="false">
      <c r="A418" s="5" t="s">
        <v>364</v>
      </c>
      <c r="B418" s="0" t="s">
        <v>25</v>
      </c>
      <c r="C418" s="13" t="n">
        <f aca="false">q1_rev-q1_rev*(1-q1_gm)-q1_op</f>
        <v>0.511784</v>
      </c>
      <c r="D418" s="13" t="n">
        <f aca="false">q2_rev-q2_rev*(1-q2_gm)-q2_op</f>
        <v>0.474725</v>
      </c>
      <c r="E418" s="13" t="n">
        <f aca="false">q3_rev-q3_rev*(1-q3_gm)-q3_op</f>
        <v>0.553800000000001</v>
      </c>
      <c r="F418" s="13" t="n">
        <f aca="false">q4_rev-q4_rev*(1-q4_gm)-q4_op</f>
        <v>0.54739</v>
      </c>
      <c r="G418" s="13" t="n">
        <f aca="false">(g_ox-ox_var*g_rev)*(1+ox_g)^(0/4)+ox_var*G414</f>
        <v>0.59399631742176</v>
      </c>
      <c r="H418" s="13" t="n">
        <f aca="false">(g_ox-ox_var*g_rev)*(1+ox_g)^(1/4)+ox_var*H414</f>
        <v>0.63028796573229</v>
      </c>
      <c r="I418" s="13" t="n">
        <f aca="false">(g_ox-ox_var*g_rev)*(1+ox_g)^(2/4)+ox_var*I414</f>
        <v>0.655596496569505</v>
      </c>
      <c r="J418" s="13" t="n">
        <f aca="false">(g_ox-ox_var*g_rev)*(1+ox_g)^(3/4)+ox_var*J414</f>
        <v>0.676169606398132</v>
      </c>
      <c r="K418" s="13" t="n">
        <f aca="false">(g_ox-ox_var*g_rev)*(1+ox_g)^(4/4)+ox_var*K414</f>
        <v>0.689504034331542</v>
      </c>
      <c r="L418" s="13" t="n">
        <f aca="false">(g_ox-ox_var*g_rev)*(1+ox_g)^(5/4)+ox_var*L414</f>
        <v>0.699928963101938</v>
      </c>
      <c r="M418" s="13" t="n">
        <f aca="false">(g_ox-ox_var*g_rev)*(1+ox_g)^(6/4)+ox_var*M414</f>
        <v>0.713872607480023</v>
      </c>
      <c r="N418" s="13" t="n">
        <f aca="false">(g_ox-ox_var*g_rev)*(1+ox_g)^(7/4)+ox_var*N414</f>
        <v>0.728139272627561</v>
      </c>
      <c r="O418" s="13" t="n">
        <f aca="false">(g_ox-ox_var*g_rev)*(1+ox_g)^(8/4)+ox_var*O414</f>
        <v>0.74273668827757</v>
      </c>
      <c r="P418" s="13" t="n">
        <f aca="false">(g_ox-ox_var*g_rev)*(1+ox_g)^(9/4)+ox_var*P414</f>
        <v>0.75767277028758</v>
      </c>
      <c r="Q418" s="13" t="n">
        <f aca="false">(g_ox-ox_var*g_rev)*(1+ox_g)^(10/4)+ox_var*Q414</f>
        <v>0.773540676100096</v>
      </c>
      <c r="R418" s="13" t="n">
        <f aca="false">(g_ox-ox_var*g_rev)*(1+ox_g)^(11/4)+ox_var*R414</f>
        <v>0.791332225486057</v>
      </c>
      <c r="T418" s="5" t="s">
        <v>365</v>
      </c>
    </row>
    <row r="419" customFormat="false" ht="15" hidden="false" customHeight="false" outlineLevel="0" collapsed="false">
      <c r="A419" s="5" t="s">
        <v>330</v>
      </c>
      <c r="B419" s="0" t="s">
        <v>25</v>
      </c>
      <c r="C419" s="13" t="n">
        <f aca="false">C414-C416-C418</f>
        <v>0.176</v>
      </c>
      <c r="D419" s="13" t="n">
        <f aca="false">D414-D416-D418</f>
        <v>1.065</v>
      </c>
      <c r="E419" s="13" t="n">
        <f aca="false">E414-E416-E418</f>
        <v>4.111</v>
      </c>
      <c r="F419" s="13" t="n">
        <f aca="false">F414-F416-F418</f>
        <v>7.037</v>
      </c>
      <c r="G419" s="13" t="n">
        <f aca="false">G414-G416-G418</f>
        <v>8.36264103168568</v>
      </c>
      <c r="H419" s="13" t="n">
        <f aca="false">H414-H416-H418</f>
        <v>10.7616321087345</v>
      </c>
      <c r="I419" s="13" t="n">
        <f aca="false">I414-I416-I418</f>
        <v>12.0122317492252</v>
      </c>
      <c r="J419" s="13" t="n">
        <f aca="false">J414-J416-J418</f>
        <v>12.7832807528439</v>
      </c>
      <c r="K419" s="13" t="n">
        <f aca="false">K414-K416-K418</f>
        <v>12.8073573056672</v>
      </c>
      <c r="L419" s="13" t="n">
        <f aca="false">L414-L416-L418</f>
        <v>12.5123220560229</v>
      </c>
      <c r="M419" s="13" t="n">
        <f aca="false">M414-M416-M418</f>
        <v>12.5338223177019</v>
      </c>
      <c r="N419" s="13" t="n">
        <f aca="false">N414-N416-N418</f>
        <v>12.5547204257957</v>
      </c>
      <c r="O419" s="13" t="n">
        <f aca="false">O414-O416-O418</f>
        <v>12.5749993893372</v>
      </c>
      <c r="P419" s="13" t="n">
        <f aca="false">P414-P416-P418</f>
        <v>12.5946418434975</v>
      </c>
      <c r="Q419" s="13" t="n">
        <f aca="false">Q414-Q416-Q418</f>
        <v>12.7038716148957</v>
      </c>
      <c r="R419" s="13" t="n">
        <f aca="false">R414-R416-R418</f>
        <v>12.9493417077536</v>
      </c>
    </row>
    <row r="421" customFormat="false" ht="17.15" hidden="false" customHeight="false" outlineLevel="0" collapsed="false">
      <c r="A421" s="5" t="s">
        <v>332</v>
      </c>
      <c r="B421" s="0" t="s">
        <v>25</v>
      </c>
      <c r="C421" s="13" t="n">
        <f aca="false">q1_ni</f>
        <v>0.112</v>
      </c>
      <c r="D421" s="13" t="n">
        <f aca="false">q2_ni</f>
        <v>0.803</v>
      </c>
      <c r="E421" s="13" t="n">
        <f aca="false">q3_ni</f>
        <v>3.615</v>
      </c>
      <c r="F421" s="13" t="n">
        <f aca="false">q4_ni</f>
        <v>6.903</v>
      </c>
      <c r="G421" s="13" t="n">
        <f aca="false">(G419+rf*$D437/4)*(1-tax)</f>
        <v>7.14872187693283</v>
      </c>
      <c r="H421" s="13" t="n">
        <f aca="false">(H419+rf*$D437/4)*(1-tax)</f>
        <v>9.18786429242436</v>
      </c>
      <c r="I421" s="13" t="n">
        <f aca="false">(I419+rf*$D437/4)*(1-tax)</f>
        <v>10.2508739868414</v>
      </c>
      <c r="J421" s="13" t="n">
        <f aca="false">(J419+rf*$D437/4)*(1-tax)</f>
        <v>10.9062656399173</v>
      </c>
      <c r="K421" s="13" t="n">
        <f aca="false">(K419+rf*$E437/4)*(1-tax)</f>
        <v>11.0732381763502</v>
      </c>
      <c r="L421" s="13" t="n">
        <f aca="false">(L419+rf*$E437/4)*(1-tax)</f>
        <v>10.8224582141526</v>
      </c>
      <c r="M421" s="13" t="n">
        <f aca="false">(M419+rf*$E437/4)*(1-tax)</f>
        <v>10.8407334365797</v>
      </c>
      <c r="N421" s="13" t="n">
        <f aca="false">(N419+rf*$E437/4)*(1-tax)</f>
        <v>10.8584968284594</v>
      </c>
      <c r="O421" s="13" t="n">
        <f aca="false">(O419+rf*$F437/4)*(1-tax)</f>
        <v>11.0463147997987</v>
      </c>
      <c r="P421" s="13" t="n">
        <f aca="false">(P419+rf*$F437/4)*(1-tax)</f>
        <v>11.063010885835</v>
      </c>
      <c r="Q421" s="13" t="n">
        <f aca="false">(Q419+rf*$F437/4)*(1-tax)</f>
        <v>11.1558561915234</v>
      </c>
      <c r="R421" s="13" t="n">
        <f aca="false">(R419+rf*$F437/4)*(1-tax)</f>
        <v>11.3645057704527</v>
      </c>
      <c r="T421" s="5" t="s">
        <v>366</v>
      </c>
    </row>
    <row r="422" customFormat="false" ht="17.15" hidden="false" customHeight="false" outlineLevel="0" collapsed="false">
      <c r="A422" s="5" t="s">
        <v>367</v>
      </c>
      <c r="B422" s="0" t="s">
        <v>38</v>
      </c>
      <c r="G422" s="15" t="n">
        <f aca="false">G421/(sh0+dil)*1000</f>
        <v>46.1207863027924</v>
      </c>
      <c r="H422" s="15" t="n">
        <f aca="false">H421/(sh0+dil)*1000</f>
        <v>59.2765438220927</v>
      </c>
      <c r="I422" s="15" t="n">
        <f aca="false">I421/(sh0+dil)*1000</f>
        <v>66.1346708828476</v>
      </c>
      <c r="J422" s="15" t="n">
        <f aca="false">J421/(sh0+dil)*1000</f>
        <v>70.3630041284989</v>
      </c>
      <c r="K422" s="15" t="n">
        <f aca="false">K421/(sh0+dil)*1000</f>
        <v>71.4402462990333</v>
      </c>
      <c r="L422" s="15" t="n">
        <f aca="false">L421/(sh0+dil)*1000</f>
        <v>69.8223110590488</v>
      </c>
      <c r="M422" s="15" t="n">
        <f aca="false">M421/(sh0+dil)*1000</f>
        <v>69.9402157198689</v>
      </c>
      <c r="N422" s="15" t="n">
        <f aca="false">N421/(sh0+dil)*1000</f>
        <v>70.0548182481251</v>
      </c>
      <c r="O422" s="15" t="n">
        <f aca="false">O421/(sh0+dil)*1000</f>
        <v>71.2665470954755</v>
      </c>
      <c r="P422" s="15" t="n">
        <f aca="false">P421/(sh0+dil)*1000</f>
        <v>71.3742637795805</v>
      </c>
      <c r="Q422" s="15" t="n">
        <f aca="false">Q421/(sh0+dil)*1000</f>
        <v>71.9732657517639</v>
      </c>
      <c r="R422" s="15" t="n">
        <f aca="false">R421/(sh0+dil)*1000</f>
        <v>73.3193920674366</v>
      </c>
    </row>
    <row r="424" customFormat="false" ht="17.15" hidden="false" customHeight="false" outlineLevel="0" collapsed="false">
      <c r="A424" s="12" t="s">
        <v>368</v>
      </c>
      <c r="B424" s="6" t="s">
        <v>15</v>
      </c>
      <c r="C424" s="12" t="s">
        <v>322</v>
      </c>
      <c r="D424" s="12" t="s">
        <v>323</v>
      </c>
      <c r="E424" s="12" t="s">
        <v>324</v>
      </c>
      <c r="F424" s="12" t="s">
        <v>325</v>
      </c>
      <c r="G424" s="12" t="s">
        <v>326</v>
      </c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6" t="s">
        <v>327</v>
      </c>
    </row>
    <row r="425" customFormat="false" ht="15" hidden="false" customHeight="false" outlineLevel="0" collapsed="false">
      <c r="A425" s="5" t="s">
        <v>266</v>
      </c>
      <c r="B425" s="0" t="s">
        <v>25</v>
      </c>
      <c r="C425" s="13" t="n">
        <f aca="false">a25_rev</f>
        <v>7.355</v>
      </c>
      <c r="D425" s="13" t="n">
        <f aca="false">SUM(C414:F414)</f>
        <v>20.248</v>
      </c>
      <c r="E425" s="13" t="n">
        <f aca="false">SUM(G414:J414)</f>
        <v>53.0230121585251</v>
      </c>
      <c r="F425" s="13" t="n">
        <f aca="false">SUM(K414:N414)</f>
        <v>60.3042586550984</v>
      </c>
      <c r="G425" s="13" t="n">
        <f aca="false">SUM(O414:R414)</f>
        <v>61.4039840062216</v>
      </c>
    </row>
    <row r="426" customFormat="false" ht="15" hidden="false" customHeight="false" outlineLevel="0" collapsed="false">
      <c r="A426" s="5" t="s">
        <v>363</v>
      </c>
      <c r="B426" s="0" t="s">
        <v>25</v>
      </c>
      <c r="D426" s="13" t="n">
        <f aca="false">SUM(C416:F416)</f>
        <v>5.771301</v>
      </c>
      <c r="E426" s="13" t="n">
        <f aca="false">SUM(G416:J416)</f>
        <v>6.5471761299141</v>
      </c>
      <c r="F426" s="13" t="n">
        <f aca="false">SUM(K416:N416)</f>
        <v>7.0645916723697</v>
      </c>
      <c r="G426" s="13" t="n">
        <f aca="false">SUM(O416:R416)</f>
        <v>7.51584709058617</v>
      </c>
    </row>
    <row r="427" customFormat="false" ht="15" hidden="false" customHeight="false" outlineLevel="0" collapsed="false">
      <c r="A427" s="5" t="s">
        <v>329</v>
      </c>
      <c r="B427" s="0" t="s">
        <v>31</v>
      </c>
      <c r="D427" s="14" t="n">
        <f aca="false">1-D426/D425</f>
        <v>0.714969330304228</v>
      </c>
      <c r="E427" s="14" t="n">
        <f aca="false">1-E426/E425</f>
        <v>0.876521988031541</v>
      </c>
      <c r="F427" s="14" t="n">
        <f aca="false">1-F426/F425</f>
        <v>0.882850866092648</v>
      </c>
      <c r="G427" s="14" t="n">
        <f aca="false">1-G426/G425</f>
        <v>0.877600008985986</v>
      </c>
    </row>
    <row r="428" customFormat="false" ht="15" hidden="false" customHeight="false" outlineLevel="0" collapsed="false">
      <c r="A428" s="5" t="s">
        <v>364</v>
      </c>
      <c r="B428" s="0" t="s">
        <v>25</v>
      </c>
      <c r="D428" s="13" t="n">
        <f aca="false">SUM(C418:F418)</f>
        <v>2.087699</v>
      </c>
      <c r="E428" s="13" t="n">
        <f aca="false">SUM(G418:J418)</f>
        <v>2.55605038612169</v>
      </c>
      <c r="F428" s="13" t="n">
        <f aca="false">SUM(K418:N418)</f>
        <v>2.83144487754106</v>
      </c>
      <c r="G428" s="13" t="n">
        <f aca="false">SUM(O418:R418)</f>
        <v>3.0652823601513</v>
      </c>
    </row>
    <row r="429" customFormat="false" ht="15" hidden="false" customHeight="false" outlineLevel="0" collapsed="false">
      <c r="A429" s="5" t="s">
        <v>330</v>
      </c>
      <c r="B429" s="0" t="s">
        <v>25</v>
      </c>
      <c r="D429" s="13" t="n">
        <f aca="false">SUM(C419:F419)</f>
        <v>12.389</v>
      </c>
      <c r="E429" s="13" t="n">
        <f aca="false">SUM(G419:J419)</f>
        <v>43.9197856424893</v>
      </c>
      <c r="F429" s="13" t="n">
        <f aca="false">SUM(K419:N419)</f>
        <v>50.4082221051877</v>
      </c>
      <c r="G429" s="13" t="n">
        <f aca="false">SUM(O419:R419)</f>
        <v>50.8228545554841</v>
      </c>
    </row>
    <row r="430" customFormat="false" ht="15" hidden="false" customHeight="false" outlineLevel="0" collapsed="false">
      <c r="A430" s="5" t="s">
        <v>331</v>
      </c>
      <c r="B430" s="0" t="s">
        <v>31</v>
      </c>
      <c r="D430" s="14" t="n">
        <f aca="false">D429/D425</f>
        <v>0.61186290003951</v>
      </c>
      <c r="E430" s="14" t="n">
        <f aca="false">E429/E425</f>
        <v>0.828315553088167</v>
      </c>
      <c r="F430" s="14" t="n">
        <f aca="false">F429/F425</f>
        <v>0.835898213980049</v>
      </c>
      <c r="G430" s="14" t="n">
        <f aca="false">G429/G425</f>
        <v>0.827680082620285</v>
      </c>
    </row>
    <row r="431" customFormat="false" ht="15" hidden="false" customHeight="false" outlineLevel="0" collapsed="false">
      <c r="A431" s="5" t="s">
        <v>332</v>
      </c>
      <c r="B431" s="0" t="s">
        <v>25</v>
      </c>
      <c r="C431" s="13" t="n">
        <f aca="false">a25_ni</f>
        <v>-1.641</v>
      </c>
      <c r="D431" s="13" t="n">
        <f aca="false">SUM(C421:F421)</f>
        <v>11.433</v>
      </c>
      <c r="E431" s="13" t="n">
        <f aca="false">SUM(G421:J421)</f>
        <v>37.4937257961159</v>
      </c>
      <c r="F431" s="13" t="n">
        <f aca="false">SUM(K421:N421)</f>
        <v>43.5949266555418</v>
      </c>
      <c r="G431" s="13" t="n">
        <f aca="false">SUM(O421:R421)</f>
        <v>44.6296876476098</v>
      </c>
    </row>
    <row r="432" customFormat="false" ht="15" hidden="false" customHeight="false" outlineLevel="0" collapsed="false">
      <c r="A432" s="5" t="s">
        <v>369</v>
      </c>
      <c r="B432" s="0" t="s">
        <v>25</v>
      </c>
      <c r="D432" s="13" t="n">
        <f aca="false">da_y</f>
        <v>0.16</v>
      </c>
      <c r="E432" s="13" t="n">
        <f aca="false">da_y</f>
        <v>0.16</v>
      </c>
      <c r="F432" s="13" t="n">
        <f aca="false">da_y</f>
        <v>0.16</v>
      </c>
      <c r="G432" s="13" t="n">
        <f aca="false">da_y</f>
        <v>0.16</v>
      </c>
    </row>
    <row r="433" customFormat="false" ht="17.15" hidden="false" customHeight="false" outlineLevel="0" collapsed="false">
      <c r="A433" s="5" t="s">
        <v>370</v>
      </c>
      <c r="B433" s="0" t="s">
        <v>25</v>
      </c>
      <c r="D433" s="13" t="n">
        <v>0.562</v>
      </c>
      <c r="E433" s="13" t="n">
        <f aca="false">cap_r*E425</f>
        <v>3.1813807295115</v>
      </c>
      <c r="F433" s="13" t="n">
        <f aca="false">cap_r*F425</f>
        <v>3.61825551930591</v>
      </c>
      <c r="G433" s="13" t="n">
        <f aca="false">cap_r*G425</f>
        <v>3.68423904037329</v>
      </c>
      <c r="T433" s="8" t="s">
        <v>371</v>
      </c>
    </row>
    <row r="434" customFormat="false" ht="15" hidden="false" customHeight="false" outlineLevel="0" collapsed="false">
      <c r="A434" s="5" t="s">
        <v>372</v>
      </c>
      <c r="B434" s="0" t="s">
        <v>25</v>
      </c>
      <c r="D434" s="13" t="n">
        <f aca="false">D431+D432-D433</f>
        <v>11.031</v>
      </c>
      <c r="E434" s="13" t="n">
        <f aca="false">E431+E432-E433</f>
        <v>34.4723450666044</v>
      </c>
      <c r="F434" s="13" t="n">
        <f aca="false">F431+F432-F433</f>
        <v>40.1366711362359</v>
      </c>
      <c r="G434" s="13" t="n">
        <f aca="false">G431+G432-G433</f>
        <v>41.1054486072365</v>
      </c>
    </row>
    <row r="435" customFormat="false" ht="17.15" hidden="false" customHeight="false" outlineLevel="0" collapsed="false">
      <c r="A435" s="5" t="s">
        <v>373</v>
      </c>
      <c r="B435" s="0" t="s">
        <v>25</v>
      </c>
      <c r="D435" s="13" t="n">
        <v>4.524</v>
      </c>
      <c r="E435" s="13" t="n">
        <f aca="false">MAX(0,payout*E434)</f>
        <v>17.2361725333022</v>
      </c>
      <c r="F435" s="13" t="n">
        <f aca="false">MAX(0,payout*F434)</f>
        <v>20.0683355681179</v>
      </c>
      <c r="G435" s="13" t="n">
        <f aca="false">MAX(0,payout*G434)</f>
        <v>20.5527243036182</v>
      </c>
      <c r="T435" s="8" t="s">
        <v>374</v>
      </c>
    </row>
    <row r="436" customFormat="false" ht="15" hidden="false" customHeight="false" outlineLevel="0" collapsed="false">
      <c r="A436" s="5" t="s">
        <v>375</v>
      </c>
      <c r="B436" s="0" t="s">
        <v>25</v>
      </c>
      <c r="D436" s="13" t="n">
        <f aca="false">eq0</f>
        <v>15.736</v>
      </c>
      <c r="E436" s="13" t="n">
        <f aca="false">D436+E431-E435</f>
        <v>35.9935532628137</v>
      </c>
      <c r="F436" s="13" t="n">
        <f aca="false">E436+F431-F435</f>
        <v>59.5201443502375</v>
      </c>
      <c r="G436" s="13" t="n">
        <f aca="false">F436+G431-G435</f>
        <v>83.5971076942291</v>
      </c>
    </row>
    <row r="437" customFormat="false" ht="15" hidden="false" customHeight="false" outlineLevel="0" collapsed="false">
      <c r="A437" s="5" t="s">
        <v>376</v>
      </c>
      <c r="B437" s="0" t="s">
        <v>25</v>
      </c>
      <c r="D437" s="13" t="n">
        <f aca="false">nc0</f>
        <v>4.762</v>
      </c>
      <c r="E437" s="13" t="n">
        <f aca="false">D437+E434-E435</f>
        <v>21.9981725333022</v>
      </c>
      <c r="F437" s="13" t="n">
        <f aca="false">E437+F434-F435</f>
        <v>42.0665081014201</v>
      </c>
      <c r="G437" s="13" t="n">
        <f aca="false">F437+G434-G435</f>
        <v>62.6192324050384</v>
      </c>
    </row>
    <row r="438" customFormat="false" ht="15" hidden="false" customHeight="false" outlineLevel="0" collapsed="false">
      <c r="A438" s="5" t="s">
        <v>377</v>
      </c>
      <c r="B438" s="5" t="s">
        <v>111</v>
      </c>
      <c r="D438" s="20" t="n">
        <f aca="false">sh0</f>
        <v>146.42</v>
      </c>
      <c r="E438" s="20" t="n">
        <f aca="false">D438-E435/bb_px*1000</f>
        <v>132.497742434915</v>
      </c>
      <c r="F438" s="20" t="n">
        <f aca="false">E438-F435/bb_px*1000</f>
        <v>116.287848031615</v>
      </c>
      <c r="G438" s="20" t="n">
        <f aca="false">F438-G435/bb_px*1000</f>
        <v>99.6866959564483</v>
      </c>
    </row>
    <row r="439" customFormat="false" ht="17.15" hidden="false" customHeight="false" outlineLevel="0" collapsed="false">
      <c r="A439" s="0" t="s">
        <v>378</v>
      </c>
      <c r="B439" s="0" t="s">
        <v>38</v>
      </c>
      <c r="C439" s="15" t="n">
        <f aca="false">a25_eps</f>
        <v>-11.32</v>
      </c>
      <c r="D439" s="15" t="n">
        <f aca="false">a26_eps</f>
        <v>73.76</v>
      </c>
      <c r="E439" s="15" t="n">
        <f aca="false">E431/(E438+dil)*1000</f>
        <v>265.766414666107</v>
      </c>
      <c r="F439" s="15" t="n">
        <f aca="false">F431/(F438+dil)*1000</f>
        <v>349.128517410697</v>
      </c>
      <c r="G439" s="15" t="n">
        <f aca="false">G431/(G438+dil)*1000</f>
        <v>412.21990985633</v>
      </c>
    </row>
    <row r="440" customFormat="false" ht="17.15" hidden="false" customHeight="false" outlineLevel="0" collapsed="false">
      <c r="A440" s="5" t="s">
        <v>379</v>
      </c>
      <c r="B440" s="0" t="s">
        <v>38</v>
      </c>
      <c r="D440" s="15" t="n">
        <f aca="false">D436/D438*1000</f>
        <v>107.471656877476</v>
      </c>
      <c r="E440" s="15" t="n">
        <f aca="false">E436/E438*1000</f>
        <v>271.65408709129</v>
      </c>
      <c r="F440" s="15" t="n">
        <f aca="false">F436/F438*1000</f>
        <v>511.834601445682</v>
      </c>
      <c r="G440" s="15" t="n">
        <f aca="false">G436/G438*1000</f>
        <v>838.598439763231</v>
      </c>
    </row>
    <row r="441" customFormat="false" ht="17.15" hidden="false" customHeight="false" outlineLevel="0" collapsed="false">
      <c r="A441" s="0" t="s">
        <v>380</v>
      </c>
      <c r="B441" s="0" t="s">
        <v>31</v>
      </c>
      <c r="D441" s="21" t="n">
        <f aca="false">D431/D436</f>
        <v>0.72655058464667</v>
      </c>
      <c r="E441" s="21" t="n">
        <f aca="false">E431/E436</f>
        <v>1.04167892295457</v>
      </c>
      <c r="F441" s="21" t="n">
        <f aca="false">F431/F436</f>
        <v>0.73243986773644</v>
      </c>
      <c r="G441" s="21" t="n">
        <f aca="false">G431/G436</f>
        <v>0.533866408522775</v>
      </c>
    </row>
    <row r="442" customFormat="false" ht="15" hidden="false" customHeight="false" outlineLevel="0" collapsed="false">
      <c r="A442" s="5" t="s">
        <v>381</v>
      </c>
      <c r="B442" s="0" t="s">
        <v>38</v>
      </c>
      <c r="E442" s="15" t="n">
        <f aca="false">E434/(E438+dil)*1000</f>
        <v>244.349990803885</v>
      </c>
      <c r="F442" s="15" t="n">
        <f aca="false">F434/(F438+dil)*1000</f>
        <v>321.433193323504</v>
      </c>
      <c r="G442" s="15" t="n">
        <f aca="false">G434/(G438+dil)*1000</f>
        <v>379.668449693631</v>
      </c>
    </row>
    <row r="443" customFormat="false" ht="17.15" hidden="false" customHeight="false" outlineLevel="0" collapsed="false">
      <c r="A443" s="5" t="s">
        <v>382</v>
      </c>
      <c r="B443" s="0" t="s">
        <v>25</v>
      </c>
      <c r="D443" s="18" t="n">
        <f aca="false">ABS(D425-a26_rev)+ABS(D431-a26_ni)</f>
        <v>0</v>
      </c>
    </row>
    <row r="460" customFormat="false" ht="17.15" hidden="false" customHeight="false" outlineLevel="0" collapsed="false">
      <c r="A460" s="3" t="s">
        <v>656</v>
      </c>
    </row>
    <row r="461" customFormat="false" ht="17.15" hidden="false" customHeight="false" outlineLevel="0" collapsed="false">
      <c r="A461" s="12" t="s">
        <v>340</v>
      </c>
      <c r="B461" s="6" t="s">
        <v>15</v>
      </c>
      <c r="C461" s="12" t="s">
        <v>341</v>
      </c>
      <c r="D461" s="12" t="s">
        <v>342</v>
      </c>
      <c r="E461" s="12" t="s">
        <v>343</v>
      </c>
      <c r="F461" s="12" t="s">
        <v>344</v>
      </c>
      <c r="G461" s="12" t="s">
        <v>345</v>
      </c>
      <c r="H461" s="12" t="s">
        <v>346</v>
      </c>
      <c r="I461" s="12" t="s">
        <v>347</v>
      </c>
      <c r="J461" s="12" t="s">
        <v>348</v>
      </c>
      <c r="K461" s="12" t="s">
        <v>349</v>
      </c>
      <c r="L461" s="12" t="s">
        <v>350</v>
      </c>
      <c r="M461" s="12" t="s">
        <v>351</v>
      </c>
      <c r="N461" s="12" t="s">
        <v>352</v>
      </c>
      <c r="O461" s="12" t="s">
        <v>353</v>
      </c>
      <c r="P461" s="12" t="s">
        <v>354</v>
      </c>
      <c r="Q461" s="12" t="s">
        <v>355</v>
      </c>
      <c r="R461" s="12" t="s">
        <v>356</v>
      </c>
      <c r="S461" s="12"/>
      <c r="T461" s="6" t="s">
        <v>327</v>
      </c>
    </row>
    <row r="462" customFormat="false" ht="17.15" hidden="false" customHeight="false" outlineLevel="0" collapsed="false">
      <c r="A462" s="5" t="s">
        <v>357</v>
      </c>
      <c r="B462" s="0" t="s">
        <v>25</v>
      </c>
      <c r="C462" s="13" t="n">
        <f aca="false">Units!E4*1</f>
        <v>2.31</v>
      </c>
      <c r="D462" s="13" t="n">
        <f aca="false">Units!F4*1</f>
        <v>3.03</v>
      </c>
      <c r="E462" s="13" t="n">
        <f aca="false">Units!G4*1</f>
        <v>5.95</v>
      </c>
      <c r="F462" s="13" t="n">
        <f aca="false">Units!H4*1</f>
        <v>8.97</v>
      </c>
      <c r="G462" s="13" t="n">
        <f aca="false">Units!I4*1</f>
        <v>10.5558839933073</v>
      </c>
      <c r="H462" s="13" t="n">
        <f aca="false">Units!J4*1*1</f>
        <v>13.0085478256151</v>
      </c>
      <c r="I462" s="13" t="n">
        <f aca="false">Units!K4*1*1</f>
        <v>14.3338273511937</v>
      </c>
      <c r="J462" s="13" t="n">
        <f aca="false">Units!L4*1*1</f>
        <v>15.1561771362706</v>
      </c>
      <c r="K462" s="13" t="n">
        <f aca="false">Units!M4*1*1</f>
        <v>15.224420859132</v>
      </c>
      <c r="L462" s="13" t="n">
        <f aca="false">Units!N4*1*1</f>
        <v>14.9710145606433</v>
      </c>
      <c r="M462" s="13" t="n">
        <f aca="false">Units!O4*1*1</f>
        <v>15.0384245519258</v>
      </c>
      <c r="N462" s="13" t="n">
        <f aca="false">Units!P4*1*1</f>
        <v>15.1061380701941</v>
      </c>
      <c r="O462" s="13" t="n">
        <f aca="false">Units!Q4*1*1</f>
        <v>15.1741564821393</v>
      </c>
      <c r="P462" s="13" t="n">
        <f aca="false">Units!R4*1*1</f>
        <v>15.2424811606062</v>
      </c>
      <c r="Q462" s="13" t="n">
        <f aca="false">Units!S4*1*1</f>
        <v>15.3696532550844</v>
      </c>
      <c r="R462" s="13" t="n">
        <f aca="false">Units!T4*1*1</f>
        <v>15.6540842486561</v>
      </c>
      <c r="T462" s="8" t="s">
        <v>358</v>
      </c>
    </row>
    <row r="463" customFormat="false" ht="15" hidden="false" customHeight="false" outlineLevel="0" collapsed="false">
      <c r="A463" s="5" t="s">
        <v>359</v>
      </c>
      <c r="B463" s="0" t="s">
        <v>308</v>
      </c>
      <c r="C463" s="13" t="n">
        <f aca="false">Units!E7*1</f>
        <v>31.1552804325753</v>
      </c>
      <c r="D463" s="13" t="n">
        <f aca="false">Units!F7*1</f>
        <v>33.5147228924475</v>
      </c>
      <c r="E463" s="13" t="n">
        <f aca="false">Units!G7*1</f>
        <v>38.0693331650007</v>
      </c>
      <c r="F463" s="13" t="n">
        <f aca="false">Units!H7*1</f>
        <v>33.6172154529341</v>
      </c>
      <c r="G463" s="13" t="n">
        <f aca="false">Units!I7*1</f>
        <v>34.4006036061451</v>
      </c>
      <c r="H463" s="13" t="n">
        <f aca="false">Units!J7*1</f>
        <v>36.079657444519</v>
      </c>
      <c r="I463" s="13" t="n">
        <f aca="false">Units!K7*1</f>
        <v>38.597442775475</v>
      </c>
      <c r="J463" s="13" t="n">
        <f aca="false">Units!L7*1</f>
        <v>40.8118268330789</v>
      </c>
      <c r="K463" s="13" t="n">
        <f aca="false">Units!M7*1</f>
        <v>43.1532529018101</v>
      </c>
      <c r="L463" s="13" t="n">
        <f aca="false">Units!N7*1</f>
        <v>45.6290095423572</v>
      </c>
      <c r="M463" s="13" t="n">
        <f aca="false">Units!O7*1</f>
        <v>48.2468034693437</v>
      </c>
      <c r="N463" s="13" t="n">
        <f aca="false">Units!P7*1</f>
        <v>51.0147835413486</v>
      </c>
      <c r="O463" s="13" t="n">
        <f aca="false">Units!Q7*1</f>
        <v>53.9415661272627</v>
      </c>
      <c r="P463" s="13" t="n">
        <f aca="false">Units!R7*1</f>
        <v>57.0362619279465</v>
      </c>
      <c r="Q463" s="13" t="n">
        <f aca="false">Units!S7*1</f>
        <v>59.2908563983564</v>
      </c>
      <c r="R463" s="13" t="n">
        <f aca="false">Units!T7*1</f>
        <v>62.2557667231854</v>
      </c>
    </row>
    <row r="464" customFormat="false" ht="17.15" hidden="false" customHeight="false" outlineLevel="0" collapsed="false">
      <c r="A464" s="5" t="s">
        <v>266</v>
      </c>
      <c r="B464" s="0" t="s">
        <v>25</v>
      </c>
      <c r="C464" s="13" t="n">
        <f aca="false">q1_rev</f>
        <v>2.308</v>
      </c>
      <c r="D464" s="13" t="n">
        <f aca="false">q2_rev</f>
        <v>3.025</v>
      </c>
      <c r="E464" s="13" t="n">
        <f aca="false">q3_rev</f>
        <v>5.95</v>
      </c>
      <c r="F464" s="13" t="n">
        <f aca="false">q4_rev</f>
        <v>8.965</v>
      </c>
      <c r="G464" s="13" t="n">
        <f aca="false">G462*sd_k</f>
        <v>10.549631742176</v>
      </c>
      <c r="H464" s="13" t="n">
        <f aca="false">H462*sd_k</f>
        <v>13.0008428614538</v>
      </c>
      <c r="I464" s="13" t="n">
        <f aca="false">I462*sd_k</f>
        <v>14.3253374238386</v>
      </c>
      <c r="J464" s="13" t="n">
        <f aca="false">J462*sd_k</f>
        <v>15.1472001310566</v>
      </c>
      <c r="K464" s="13" t="n">
        <f aca="false">K462*sd_k</f>
        <v>15.2154034331542</v>
      </c>
      <c r="L464" s="13" t="n">
        <f aca="false">L462*sd_k</f>
        <v>14.9621472272411</v>
      </c>
      <c r="M464" s="13" t="n">
        <f aca="false">M462*sd_k</f>
        <v>15.0295172915792</v>
      </c>
      <c r="N464" s="13" t="n">
        <f aca="false">N462*sd_k</f>
        <v>15.0971907031239</v>
      </c>
      <c r="O464" s="13" t="n">
        <f aca="false">O462*sd_k</f>
        <v>15.165168827757</v>
      </c>
      <c r="P464" s="13" t="n">
        <f aca="false">P462*sd_k</f>
        <v>15.2334530375101</v>
      </c>
      <c r="Q464" s="13" t="n">
        <f aca="false">Q462*sd_k</f>
        <v>15.3605498079442</v>
      </c>
      <c r="R464" s="13" t="n">
        <f aca="false">R462*sd_k</f>
        <v>15.6448123330103</v>
      </c>
      <c r="T464" s="5" t="s">
        <v>360</v>
      </c>
    </row>
    <row r="465" customFormat="false" ht="17.15" hidden="false" customHeight="false" outlineLevel="0" collapsed="false">
      <c r="A465" s="5" t="s">
        <v>361</v>
      </c>
      <c r="B465" s="0" t="s">
        <v>362</v>
      </c>
      <c r="C465" s="19" t="n">
        <f aca="false">C466/C463</f>
        <v>0.0520045391183812</v>
      </c>
      <c r="D465" s="19" t="n">
        <f aca="false">D466/D463</f>
        <v>0.0443170902760084</v>
      </c>
      <c r="E465" s="19" t="n">
        <f aca="false">E466/E463</f>
        <v>0.0337594565796481</v>
      </c>
      <c r="F465" s="19" t="n">
        <f aca="false">F466/F463</f>
        <v>0.0410685412637144</v>
      </c>
      <c r="G465" s="19" t="n">
        <f aca="false">(1-g_gm)*G464/G463</f>
        <v>0.0490671936479231</v>
      </c>
      <c r="H465" s="19" t="n">
        <f aca="false">$G465*(1-cd_A)^(1/4)</f>
        <v>0.0472515253161731</v>
      </c>
      <c r="I465" s="19" t="n">
        <f aca="false">$G465*(1-cd_A)^(2/4)</f>
        <v>0.0455030434535449</v>
      </c>
      <c r="J465" s="19" t="n">
        <f aca="false">$G465*(1-cd_A)^(3/4)</f>
        <v>0.0438192619112447</v>
      </c>
      <c r="K465" s="19" t="n">
        <f aca="false">$G465*(1-cd_A)^(4/4)</f>
        <v>0.0421977865372139</v>
      </c>
      <c r="L465" s="19" t="n">
        <f aca="false">$G465*(1-cd_A)^(5/4)</f>
        <v>0.0406363117719089</v>
      </c>
      <c r="M465" s="19" t="n">
        <f aca="false">$G465*(1-cd_A)^(6/4)</f>
        <v>0.0391326173700486</v>
      </c>
      <c r="N465" s="19" t="n">
        <f aca="false">$G465*(1-cd_A)^(7/4)</f>
        <v>0.0376845652436704</v>
      </c>
      <c r="O465" s="19" t="n">
        <f aca="false">$G465*(1-cd_A)^(8/4)</f>
        <v>0.0362900964220039</v>
      </c>
      <c r="P465" s="19" t="n">
        <f aca="false">$G465*(1-cd_A)^(9/4)</f>
        <v>0.0349472281238416</v>
      </c>
      <c r="Q465" s="19" t="n">
        <f aca="false">$G465*(1-cd_A)^(10/4)</f>
        <v>0.0336540509382418</v>
      </c>
      <c r="R465" s="19" t="n">
        <f aca="false">$G465*(1-cd_A)^(11/4)</f>
        <v>0.0324087261095565</v>
      </c>
    </row>
    <row r="466" customFormat="false" ht="15" hidden="false" customHeight="false" outlineLevel="0" collapsed="false">
      <c r="A466" s="5" t="s">
        <v>363</v>
      </c>
      <c r="B466" s="0" t="s">
        <v>25</v>
      </c>
      <c r="C466" s="13" t="n">
        <f aca="false">q1_rev*(1-q1_gm)</f>
        <v>1.620216</v>
      </c>
      <c r="D466" s="13" t="n">
        <f aca="false">q2_rev*(1-q2_gm)</f>
        <v>1.485275</v>
      </c>
      <c r="E466" s="13" t="n">
        <f aca="false">q3_rev*(1-q3_gm)</f>
        <v>1.2852</v>
      </c>
      <c r="F466" s="13" t="n">
        <f aca="false">q4_rev*(1-q4_gm)</f>
        <v>1.38061</v>
      </c>
      <c r="G466" s="13" t="n">
        <f aca="false">G463*G465</f>
        <v>1.68794107874816</v>
      </c>
      <c r="H466" s="13" t="n">
        <f aca="false">H463*H465</f>
        <v>1.70481884713854</v>
      </c>
      <c r="I466" s="13" t="n">
        <f aca="false">I463*I465</f>
        <v>1.75630111580815</v>
      </c>
      <c r="J466" s="13" t="n">
        <f aca="false">J463*J465</f>
        <v>1.78834412907505</v>
      </c>
      <c r="K466" s="13" t="n">
        <f aca="false">K463*K465</f>
        <v>1.82097175433699</v>
      </c>
      <c r="L466" s="13" t="n">
        <f aca="false">L463*L465</f>
        <v>1.85419465760663</v>
      </c>
      <c r="M466" s="13" t="n">
        <f aca="false">M463*M465</f>
        <v>1.88802369949376</v>
      </c>
      <c r="N466" s="13" t="n">
        <f aca="false">N463*N465</f>
        <v>1.92246993875567</v>
      </c>
      <c r="O466" s="13" t="n">
        <f aca="false">O463*O465</f>
        <v>1.95754463591226</v>
      </c>
      <c r="P466" s="13" t="n">
        <f aca="false">P463*P465</f>
        <v>1.99325925692713</v>
      </c>
      <c r="Q466" s="13" t="n">
        <f aca="false">Q463*Q465</f>
        <v>1.99537750140227</v>
      </c>
      <c r="R466" s="13" t="n">
        <f aca="false">R463*R465</f>
        <v>2.01763009247216</v>
      </c>
    </row>
    <row r="467" customFormat="false" ht="15" hidden="false" customHeight="false" outlineLevel="0" collapsed="false">
      <c r="A467" s="5" t="s">
        <v>329</v>
      </c>
      <c r="B467" s="0" t="s">
        <v>31</v>
      </c>
      <c r="C467" s="14" t="n">
        <f aca="false">1-C466/C464</f>
        <v>0.298</v>
      </c>
      <c r="D467" s="14" t="n">
        <f aca="false">1-D466/D464</f>
        <v>0.509</v>
      </c>
      <c r="E467" s="14" t="n">
        <f aca="false">1-E466/E464</f>
        <v>0.784</v>
      </c>
      <c r="F467" s="14" t="n">
        <f aca="false">1-F466/F464</f>
        <v>0.846</v>
      </c>
      <c r="G467" s="14" t="n">
        <f aca="false">1-G466/G464</f>
        <v>0.84</v>
      </c>
      <c r="H467" s="14" t="n">
        <f aca="false">1-H466/H464</f>
        <v>0.868868590651676</v>
      </c>
      <c r="I467" s="14" t="n">
        <f aca="false">1-I466/I464</f>
        <v>0.877398970520198</v>
      </c>
      <c r="J467" s="14" t="n">
        <f aca="false">1-J466/J464</f>
        <v>0.881935663779317</v>
      </c>
      <c r="K467" s="14" t="n">
        <f aca="false">1-K466/K464</f>
        <v>0.88032050794203</v>
      </c>
      <c r="L467" s="14" t="n">
        <f aca="false">1-L466/L464</f>
        <v>0.876074294053814</v>
      </c>
      <c r="M467" s="14" t="n">
        <f aca="false">1-M466/M464</f>
        <v>0.874378952905454</v>
      </c>
      <c r="N467" s="14" t="n">
        <f aca="false">1-N466/N464</f>
        <v>0.872660418977295</v>
      </c>
      <c r="O467" s="14" t="n">
        <f aca="false">1-O466/O464</f>
        <v>0.870918374985094</v>
      </c>
      <c r="P467" s="14" t="n">
        <f aca="false">1-P466/P464</f>
        <v>0.869152499304063</v>
      </c>
      <c r="Q467" s="14" t="n">
        <f aca="false">1-Q466/Q464</f>
        <v>0.870097260426818</v>
      </c>
      <c r="R467" s="14" t="n">
        <f aca="false">1-R466/R464</f>
        <v>0.871035200069803</v>
      </c>
    </row>
    <row r="468" customFormat="false" ht="17.15" hidden="false" customHeight="false" outlineLevel="0" collapsed="false">
      <c r="A468" s="5" t="s">
        <v>364</v>
      </c>
      <c r="B468" s="0" t="s">
        <v>25</v>
      </c>
      <c r="C468" s="13" t="n">
        <f aca="false">q1_rev-q1_rev*(1-q1_gm)-q1_op</f>
        <v>0.511784</v>
      </c>
      <c r="D468" s="13" t="n">
        <f aca="false">q2_rev-q2_rev*(1-q2_gm)-q2_op</f>
        <v>0.474725</v>
      </c>
      <c r="E468" s="13" t="n">
        <f aca="false">q3_rev-q3_rev*(1-q3_gm)-q3_op</f>
        <v>0.553800000000001</v>
      </c>
      <c r="F468" s="13" t="n">
        <f aca="false">q4_rev-q4_rev*(1-q4_gm)-q4_op</f>
        <v>0.54739</v>
      </c>
      <c r="G468" s="13" t="n">
        <f aca="false">(g_ox-ox_var_hi*g_rev)*(1+ox_g)^(0/4)+ox_var_hi*G464</f>
        <v>0.59399263484352</v>
      </c>
      <c r="H468" s="13" t="n">
        <f aca="false">(g_ox-ox_var_hi*g_rev)*(1+ox_g)^(1/4)+ox_var_hi*H464</f>
        <v>0.652252400148419</v>
      </c>
      <c r="I468" s="13" t="n">
        <f aca="false">(g_ox-ox_var_hi*g_rev)*(1+ox_g)^(2/4)+ox_var_hi*I464</f>
        <v>0.68820053732594</v>
      </c>
      <c r="J468" s="13" t="n">
        <f aca="false">(g_ox-ox_var_hi*g_rev)*(1+ox_g)^(3/4)+ox_var_hi*J464</f>
        <v>0.714324110601762</v>
      </c>
      <c r="K468" s="13" t="n">
        <f aca="false">(g_ox-ox_var_hi*g_rev)*(1+ox_g)^(4/4)+ox_var_hi*K464</f>
        <v>0.725608068663085</v>
      </c>
      <c r="L468" s="13" t="n">
        <f aca="false">(g_ox-ox_var_hi*g_rev)*(1+ox_g)^(5/4)+ox_var_hi*L464</f>
        <v>0.7307020417561</v>
      </c>
      <c r="M468" s="13" t="n">
        <f aca="false">(g_ox-ox_var_hi*g_rev)*(1+ox_g)^(6/4)+ox_var_hi*M464</f>
        <v>0.742453513565668</v>
      </c>
      <c r="N468" s="13" t="n">
        <f aca="false">(g_ox-ox_var_hi*g_rev)*(1+ox_g)^(7/4)+ox_var_hi*N464</f>
        <v>0.754461932841171</v>
      </c>
      <c r="O468" s="13" t="n">
        <f aca="false">(g_ox-ox_var_hi*g_rev)*(1+ox_g)^(8/4)+ox_var_hi*O464</f>
        <v>0.76673337655514</v>
      </c>
      <c r="P468" s="13" t="n">
        <f aca="false">(g_ox-ox_var_hi*g_rev)*(1+ox_g)^(9/4)+ox_var_hi*P464</f>
        <v>0.779274067682606</v>
      </c>
      <c r="Q468" s="13" t="n">
        <f aca="false">(g_ox-ox_var_hi*g_rev)*(1+ox_g)^(10/4)+ox_var_hi*Q464</f>
        <v>0.793260480666377</v>
      </c>
      <c r="R468" s="13" t="n">
        <f aca="false">(g_ox-ox_var_hi*g_rev)*(1+ox_g)^(11/4)+ox_var_hi*R464</f>
        <v>0.810666177316768</v>
      </c>
      <c r="T468" s="5" t="s">
        <v>365</v>
      </c>
    </row>
    <row r="469" customFormat="false" ht="15" hidden="false" customHeight="false" outlineLevel="0" collapsed="false">
      <c r="A469" s="5" t="s">
        <v>330</v>
      </c>
      <c r="B469" s="0" t="s">
        <v>25</v>
      </c>
      <c r="C469" s="13" t="n">
        <f aca="false">C464-C466-C468</f>
        <v>0.176</v>
      </c>
      <c r="D469" s="13" t="n">
        <f aca="false">D464-D466-D468</f>
        <v>1.065</v>
      </c>
      <c r="E469" s="13" t="n">
        <f aca="false">E464-E466-E468</f>
        <v>4.111</v>
      </c>
      <c r="F469" s="13" t="n">
        <f aca="false">F464-F466-F468</f>
        <v>7.037</v>
      </c>
      <c r="G469" s="13" t="n">
        <f aca="false">G464-G466-G468</f>
        <v>8.26769802858434</v>
      </c>
      <c r="H469" s="13" t="n">
        <f aca="false">H464-H466-H468</f>
        <v>10.6437716141669</v>
      </c>
      <c r="I469" s="13" t="n">
        <f aca="false">I464-I466-I468</f>
        <v>11.8808357707045</v>
      </c>
      <c r="J469" s="13" t="n">
        <f aca="false">J464-J466-J468</f>
        <v>12.6445318913798</v>
      </c>
      <c r="K469" s="13" t="n">
        <f aca="false">K464-K466-K468</f>
        <v>12.6688236101542</v>
      </c>
      <c r="L469" s="13" t="n">
        <f aca="false">L464-L466-L468</f>
        <v>12.3772505278784</v>
      </c>
      <c r="M469" s="13" t="n">
        <f aca="false">M464-M466-M468</f>
        <v>12.3990400785197</v>
      </c>
      <c r="N469" s="13" t="n">
        <f aca="false">N464-N466-N468</f>
        <v>12.4202588315271</v>
      </c>
      <c r="O469" s="13" t="n">
        <f aca="false">O464-O466-O468</f>
        <v>12.4408908152896</v>
      </c>
      <c r="P469" s="13" t="n">
        <f aca="false">P464-P466-P468</f>
        <v>12.4609197129004</v>
      </c>
      <c r="Q469" s="13" t="n">
        <f aca="false">Q464-Q466-Q468</f>
        <v>12.5719118258755</v>
      </c>
      <c r="R469" s="13" t="n">
        <f aca="false">R464-R466-R468</f>
        <v>12.8165160632214</v>
      </c>
    </row>
    <row r="471" customFormat="false" ht="17.15" hidden="false" customHeight="false" outlineLevel="0" collapsed="false">
      <c r="A471" s="5" t="s">
        <v>332</v>
      </c>
      <c r="B471" s="0" t="s">
        <v>25</v>
      </c>
      <c r="C471" s="13" t="n">
        <f aca="false">q1_ni</f>
        <v>0.112</v>
      </c>
      <c r="D471" s="13" t="n">
        <f aca="false">q2_ni</f>
        <v>0.803</v>
      </c>
      <c r="E471" s="13" t="n">
        <f aca="false">q3_ni</f>
        <v>3.615</v>
      </c>
      <c r="F471" s="13" t="n">
        <f aca="false">q4_ni</f>
        <v>6.903</v>
      </c>
      <c r="G471" s="13" t="n">
        <f aca="false">(G469+rf*$D487/4)*(1-tax)</f>
        <v>7.06802032429669</v>
      </c>
      <c r="H471" s="13" t="n">
        <f aca="false">(H469+rf*$D487/4)*(1-tax)</f>
        <v>9.08768287204184</v>
      </c>
      <c r="I471" s="13" t="n">
        <f aca="false">(I469+rf*$D487/4)*(1-tax)</f>
        <v>10.1391874050988</v>
      </c>
      <c r="J471" s="13" t="n">
        <f aca="false">(J469+rf*$D487/4)*(1-tax)</f>
        <v>10.7883291076728</v>
      </c>
      <c r="K471" s="13" t="n">
        <f aca="false">(K469+rf*$E487/4)*(1-tax)</f>
        <v>10.9537398842943</v>
      </c>
      <c r="L471" s="13" t="n">
        <f aca="false">(L469+rf*$E487/4)*(1-tax)</f>
        <v>10.7059027643599</v>
      </c>
      <c r="M471" s="13" t="n">
        <f aca="false">(M469+rf*$E487/4)*(1-tax)</f>
        <v>10.7244238824051</v>
      </c>
      <c r="N471" s="13" t="n">
        <f aca="false">(N469+rf*$E487/4)*(1-tax)</f>
        <v>10.7424598224613</v>
      </c>
      <c r="O471" s="13" t="n">
        <f aca="false">(O469+rf*$F487/4)*(1-tax)</f>
        <v>10.9285871597049</v>
      </c>
      <c r="P471" s="13" t="n">
        <f aca="false">(P469+rf*$F487/4)*(1-tax)</f>
        <v>10.945611722674</v>
      </c>
      <c r="Q471" s="13" t="n">
        <f aca="false">(Q469+rf*$F487/4)*(1-tax)</f>
        <v>11.0399550187029</v>
      </c>
      <c r="R471" s="13" t="n">
        <f aca="false">(R469+rf*$F487/4)*(1-tax)</f>
        <v>11.2478686204469</v>
      </c>
      <c r="T471" s="5" t="s">
        <v>366</v>
      </c>
    </row>
    <row r="472" customFormat="false" ht="17.15" hidden="false" customHeight="false" outlineLevel="0" collapsed="false">
      <c r="A472" s="5" t="s">
        <v>367</v>
      </c>
      <c r="B472" s="0" t="s">
        <v>38</v>
      </c>
      <c r="G472" s="15" t="n">
        <f aca="false">G471/(sh0+dil)*1000</f>
        <v>45.6001311244948</v>
      </c>
      <c r="H472" s="15" t="n">
        <f aca="false">H471/(sh0+dil)*1000</f>
        <v>58.6302120776893</v>
      </c>
      <c r="I472" s="15" t="n">
        <f aca="false">I471/(sh0+dil)*1000</f>
        <v>65.4141122909602</v>
      </c>
      <c r="J472" s="15" t="n">
        <f aca="false">J471/(sh0+dil)*1000</f>
        <v>69.6021232753087</v>
      </c>
      <c r="K472" s="15" t="n">
        <f aca="false">K471/(sh0+dil)*1000</f>
        <v>70.6692895760925</v>
      </c>
      <c r="L472" s="15" t="n">
        <f aca="false">L471/(sh0+dil)*1000</f>
        <v>69.0703404152254</v>
      </c>
      <c r="M472" s="15" t="n">
        <f aca="false">M471/(sh0+dil)*1000</f>
        <v>69.1898314993875</v>
      </c>
      <c r="N472" s="15" t="n">
        <f aca="false">N471/(sh0+dil)*1000</f>
        <v>69.3061924029761</v>
      </c>
      <c r="O472" s="15" t="n">
        <f aca="false">O471/(sh0+dil)*1000</f>
        <v>70.5070139335797</v>
      </c>
      <c r="P472" s="15" t="n">
        <f aca="false">P471/(sh0+dil)*1000</f>
        <v>70.6168498237033</v>
      </c>
      <c r="Q472" s="15" t="n">
        <f aca="false">Q471/(sh0+dil)*1000</f>
        <v>71.2255162496962</v>
      </c>
      <c r="R472" s="15" t="n">
        <f aca="false">R471/(sh0+dil)*1000</f>
        <v>72.5668943254637</v>
      </c>
    </row>
    <row r="474" customFormat="false" ht="17.15" hidden="false" customHeight="false" outlineLevel="0" collapsed="false">
      <c r="A474" s="12" t="s">
        <v>368</v>
      </c>
      <c r="B474" s="6" t="s">
        <v>15</v>
      </c>
      <c r="C474" s="12" t="s">
        <v>322</v>
      </c>
      <c r="D474" s="12" t="s">
        <v>323</v>
      </c>
      <c r="E474" s="12" t="s">
        <v>324</v>
      </c>
      <c r="F474" s="12" t="s">
        <v>325</v>
      </c>
      <c r="G474" s="12" t="s">
        <v>326</v>
      </c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6" t="s">
        <v>327</v>
      </c>
    </row>
    <row r="475" customFormat="false" ht="15" hidden="false" customHeight="false" outlineLevel="0" collapsed="false">
      <c r="A475" s="5" t="s">
        <v>266</v>
      </c>
      <c r="B475" s="0" t="s">
        <v>25</v>
      </c>
      <c r="C475" s="13" t="n">
        <f aca="false">a25_rev</f>
        <v>7.355</v>
      </c>
      <c r="D475" s="13" t="n">
        <f aca="false">SUM(C464:F464)</f>
        <v>20.248</v>
      </c>
      <c r="E475" s="13" t="n">
        <f aca="false">SUM(G464:J464)</f>
        <v>53.0230121585251</v>
      </c>
      <c r="F475" s="13" t="n">
        <f aca="false">SUM(K464:N464)</f>
        <v>60.3042586550984</v>
      </c>
      <c r="G475" s="13" t="n">
        <f aca="false">SUM(O464:R464)</f>
        <v>61.4039840062216</v>
      </c>
    </row>
    <row r="476" customFormat="false" ht="15" hidden="false" customHeight="false" outlineLevel="0" collapsed="false">
      <c r="A476" s="5" t="s">
        <v>363</v>
      </c>
      <c r="B476" s="0" t="s">
        <v>25</v>
      </c>
      <c r="D476" s="13" t="n">
        <f aca="false">SUM(C466:F466)</f>
        <v>5.771301</v>
      </c>
      <c r="E476" s="13" t="n">
        <f aca="false">SUM(G466:J466)</f>
        <v>6.93740517076991</v>
      </c>
      <c r="F476" s="13" t="n">
        <f aca="false">SUM(K466:N466)</f>
        <v>7.48566005019306</v>
      </c>
      <c r="G476" s="13" t="n">
        <f aca="false">SUM(O466:R466)</f>
        <v>7.96381148671382</v>
      </c>
    </row>
    <row r="477" customFormat="false" ht="15" hidden="false" customHeight="false" outlineLevel="0" collapsed="false">
      <c r="A477" s="5" t="s">
        <v>329</v>
      </c>
      <c r="B477" s="0" t="s">
        <v>31</v>
      </c>
      <c r="D477" s="14" t="n">
        <f aca="false">1-D476/D475</f>
        <v>0.714969330304228</v>
      </c>
      <c r="E477" s="14" t="n">
        <f aca="false">1-E476/E475</f>
        <v>0.86916237142415</v>
      </c>
      <c r="F477" s="14" t="n">
        <f aca="false">1-F476/F475</f>
        <v>0.875868467382939</v>
      </c>
      <c r="G477" s="14" t="n">
        <f aca="false">1-G476/G475</f>
        <v>0.870304645283164</v>
      </c>
    </row>
    <row r="478" customFormat="false" ht="15" hidden="false" customHeight="false" outlineLevel="0" collapsed="false">
      <c r="A478" s="5" t="s">
        <v>364</v>
      </c>
      <c r="B478" s="0" t="s">
        <v>25</v>
      </c>
      <c r="D478" s="13" t="n">
        <f aca="false">SUM(C468:F468)</f>
        <v>2.087699</v>
      </c>
      <c r="E478" s="13" t="n">
        <f aca="false">SUM(G468:J468)</f>
        <v>2.64876968291964</v>
      </c>
      <c r="F478" s="13" t="n">
        <f aca="false">SUM(K468:N468)</f>
        <v>2.95322555682602</v>
      </c>
      <c r="G478" s="13" t="n">
        <f aca="false">SUM(O468:R468)</f>
        <v>3.14993410222089</v>
      </c>
    </row>
    <row r="479" customFormat="false" ht="15" hidden="false" customHeight="false" outlineLevel="0" collapsed="false">
      <c r="A479" s="5" t="s">
        <v>330</v>
      </c>
      <c r="B479" s="0" t="s">
        <v>25</v>
      </c>
      <c r="D479" s="13" t="n">
        <f aca="false">SUM(C469:F469)</f>
        <v>12.389</v>
      </c>
      <c r="E479" s="13" t="n">
        <f aca="false">SUM(G469:J469)</f>
        <v>43.4368373048355</v>
      </c>
      <c r="F479" s="13" t="n">
        <f aca="false">SUM(K469:N469)</f>
        <v>49.8653730480794</v>
      </c>
      <c r="G479" s="13" t="n">
        <f aca="false">SUM(O469:R469)</f>
        <v>50.2902384172868</v>
      </c>
    </row>
    <row r="480" customFormat="false" ht="15" hidden="false" customHeight="false" outlineLevel="0" collapsed="false">
      <c r="A480" s="5" t="s">
        <v>331</v>
      </c>
      <c r="B480" s="0" t="s">
        <v>31</v>
      </c>
      <c r="D480" s="14" t="n">
        <f aca="false">D479/D475</f>
        <v>0.61186290003951</v>
      </c>
      <c r="E480" s="14" t="n">
        <f aca="false">E479/E475</f>
        <v>0.819207275040706</v>
      </c>
      <c r="F480" s="14" t="n">
        <f aca="false">F479/F475</f>
        <v>0.82689637780438</v>
      </c>
      <c r="G480" s="14" t="n">
        <f aca="false">G479/G475</f>
        <v>0.819006115502072</v>
      </c>
    </row>
    <row r="481" customFormat="false" ht="15" hidden="false" customHeight="false" outlineLevel="0" collapsed="false">
      <c r="A481" s="5" t="s">
        <v>332</v>
      </c>
      <c r="B481" s="0" t="s">
        <v>25</v>
      </c>
      <c r="C481" s="13" t="n">
        <f aca="false">a25_ni</f>
        <v>-1.641</v>
      </c>
      <c r="D481" s="13" t="n">
        <f aca="false">SUM(C471:F471)</f>
        <v>11.433</v>
      </c>
      <c r="E481" s="13" t="n">
        <f aca="false">SUM(G471:J471)</f>
        <v>37.0832197091102</v>
      </c>
      <c r="F481" s="13" t="n">
        <f aca="false">SUM(K471:N471)</f>
        <v>43.1265263535206</v>
      </c>
      <c r="G481" s="13" t="n">
        <f aca="false">SUM(O471:R471)</f>
        <v>44.1620225215286</v>
      </c>
    </row>
    <row r="482" customFormat="false" ht="15" hidden="false" customHeight="false" outlineLevel="0" collapsed="false">
      <c r="A482" s="5" t="s">
        <v>369</v>
      </c>
      <c r="B482" s="0" t="s">
        <v>25</v>
      </c>
      <c r="D482" s="13" t="n">
        <f aca="false">da_y</f>
        <v>0.16</v>
      </c>
      <c r="E482" s="13" t="n">
        <f aca="false">da_y</f>
        <v>0.16</v>
      </c>
      <c r="F482" s="13" t="n">
        <f aca="false">da_y</f>
        <v>0.16</v>
      </c>
      <c r="G482" s="13" t="n">
        <f aca="false">da_y</f>
        <v>0.16</v>
      </c>
    </row>
    <row r="483" customFormat="false" ht="17.15" hidden="false" customHeight="false" outlineLevel="0" collapsed="false">
      <c r="A483" s="5" t="s">
        <v>370</v>
      </c>
      <c r="B483" s="0" t="s">
        <v>25</v>
      </c>
      <c r="D483" s="13" t="n">
        <v>0.562</v>
      </c>
      <c r="E483" s="13" t="n">
        <f aca="false">cap_r*E475</f>
        <v>3.1813807295115</v>
      </c>
      <c r="F483" s="13" t="n">
        <f aca="false">cap_r*F475</f>
        <v>3.61825551930591</v>
      </c>
      <c r="G483" s="13" t="n">
        <f aca="false">cap_r*G475</f>
        <v>3.68423904037329</v>
      </c>
      <c r="T483" s="8" t="s">
        <v>371</v>
      </c>
    </row>
    <row r="484" customFormat="false" ht="15" hidden="false" customHeight="false" outlineLevel="0" collapsed="false">
      <c r="A484" s="5" t="s">
        <v>372</v>
      </c>
      <c r="B484" s="0" t="s">
        <v>25</v>
      </c>
      <c r="D484" s="13" t="n">
        <f aca="false">D481+D482-D483</f>
        <v>11.031</v>
      </c>
      <c r="E484" s="13" t="n">
        <f aca="false">E481+E482-E483</f>
        <v>34.0618389795987</v>
      </c>
      <c r="F484" s="13" t="n">
        <f aca="false">F481+F482-F483</f>
        <v>39.6682708342147</v>
      </c>
      <c r="G484" s="13" t="n">
        <f aca="false">G481+G482-G483</f>
        <v>40.6377834811553</v>
      </c>
    </row>
    <row r="485" customFormat="false" ht="17.15" hidden="false" customHeight="false" outlineLevel="0" collapsed="false">
      <c r="A485" s="5" t="s">
        <v>373</v>
      </c>
      <c r="B485" s="0" t="s">
        <v>25</v>
      </c>
      <c r="D485" s="13" t="n">
        <v>4.524</v>
      </c>
      <c r="E485" s="13" t="n">
        <f aca="false">MAX(0,payout*E484)</f>
        <v>17.0309194897993</v>
      </c>
      <c r="F485" s="13" t="n">
        <f aca="false">MAX(0,payout*F484)</f>
        <v>19.8341354171074</v>
      </c>
      <c r="G485" s="13" t="n">
        <f aca="false">MAX(0,payout*G484)</f>
        <v>20.3188917405777</v>
      </c>
      <c r="T485" s="8" t="s">
        <v>374</v>
      </c>
    </row>
    <row r="486" customFormat="false" ht="15" hidden="false" customHeight="false" outlineLevel="0" collapsed="false">
      <c r="A486" s="5" t="s">
        <v>375</v>
      </c>
      <c r="B486" s="0" t="s">
        <v>25</v>
      </c>
      <c r="D486" s="13" t="n">
        <f aca="false">eq0</f>
        <v>15.736</v>
      </c>
      <c r="E486" s="13" t="n">
        <f aca="false">D486+E481-E485</f>
        <v>35.7883002193109</v>
      </c>
      <c r="F486" s="13" t="n">
        <f aca="false">E486+F481-F485</f>
        <v>59.0806911557241</v>
      </c>
      <c r="G486" s="13" t="n">
        <f aca="false">F486+G481-G485</f>
        <v>82.9238219366751</v>
      </c>
    </row>
    <row r="487" customFormat="false" ht="15" hidden="false" customHeight="false" outlineLevel="0" collapsed="false">
      <c r="A487" s="5" t="s">
        <v>376</v>
      </c>
      <c r="B487" s="0" t="s">
        <v>25</v>
      </c>
      <c r="D487" s="13" t="n">
        <f aca="false">nc0</f>
        <v>4.762</v>
      </c>
      <c r="E487" s="13" t="n">
        <f aca="false">D487+E484-E485</f>
        <v>21.7929194897993</v>
      </c>
      <c r="F487" s="13" t="n">
        <f aca="false">E487+F484-F485</f>
        <v>41.6270549069067</v>
      </c>
      <c r="G487" s="13" t="n">
        <f aca="false">F487+G484-G485</f>
        <v>61.9459466474844</v>
      </c>
    </row>
    <row r="488" customFormat="false" ht="15" hidden="false" customHeight="false" outlineLevel="0" collapsed="false">
      <c r="A488" s="5" t="s">
        <v>377</v>
      </c>
      <c r="B488" s="5" t="s">
        <v>111</v>
      </c>
      <c r="D488" s="20" t="n">
        <f aca="false">sh0</f>
        <v>146.42</v>
      </c>
      <c r="E488" s="20" t="n">
        <f aca="false">D488-E485/bb_px*1000</f>
        <v>132.663532475143</v>
      </c>
      <c r="F488" s="20" t="n">
        <f aca="false">E488-F485/bb_px*1000</f>
        <v>116.642809700163</v>
      </c>
      <c r="G488" s="20" t="n">
        <f aca="false">F488-G485/bb_px*1000</f>
        <v>100.230532339697</v>
      </c>
    </row>
    <row r="489" customFormat="false" ht="17.15" hidden="false" customHeight="false" outlineLevel="0" collapsed="false">
      <c r="A489" s="0" t="s">
        <v>378</v>
      </c>
      <c r="B489" s="0" t="s">
        <v>38</v>
      </c>
      <c r="C489" s="15" t="n">
        <f aca="false">a25_eps</f>
        <v>-11.32</v>
      </c>
      <c r="D489" s="15" t="n">
        <f aca="false">a26_eps</f>
        <v>73.76</v>
      </c>
      <c r="E489" s="15" t="n">
        <f aca="false">E481/(E488+dil)*1000</f>
        <v>262.548090232992</v>
      </c>
      <c r="F489" s="15" t="n">
        <f aca="false">F481/(F488+dil)*1000</f>
        <v>344.398328521647</v>
      </c>
      <c r="G489" s="15" t="n">
        <f aca="false">G481/(G488+dil)*1000</f>
        <v>405.861653021405</v>
      </c>
    </row>
    <row r="490" customFormat="false" ht="17.15" hidden="false" customHeight="false" outlineLevel="0" collapsed="false">
      <c r="A490" s="5" t="s">
        <v>379</v>
      </c>
      <c r="B490" s="0" t="s">
        <v>38</v>
      </c>
      <c r="D490" s="15" t="n">
        <f aca="false">D486/D488*1000</f>
        <v>107.471656877476</v>
      </c>
      <c r="E490" s="15" t="n">
        <f aca="false">E486/E488*1000</f>
        <v>269.767430066108</v>
      </c>
      <c r="F490" s="15" t="n">
        <f aca="false">F486/F488*1000</f>
        <v>506.509499450452</v>
      </c>
      <c r="G490" s="15" t="n">
        <f aca="false">G486/G488*1000</f>
        <v>827.330953961542</v>
      </c>
    </row>
    <row r="491" customFormat="false" ht="17.15" hidden="false" customHeight="false" outlineLevel="0" collapsed="false">
      <c r="A491" s="0" t="s">
        <v>380</v>
      </c>
      <c r="B491" s="0" t="s">
        <v>31</v>
      </c>
      <c r="D491" s="21" t="n">
        <f aca="false">D481/D486</f>
        <v>0.72655058464667</v>
      </c>
      <c r="E491" s="21" t="n">
        <f aca="false">E481/E486</f>
        <v>1.03618276033967</v>
      </c>
      <c r="F491" s="21" t="n">
        <f aca="false">F481/F486</f>
        <v>0.72995974674447</v>
      </c>
      <c r="G491" s="21" t="n">
        <f aca="false">G481/G486</f>
        <v>0.532561349563133</v>
      </c>
    </row>
    <row r="492" customFormat="false" ht="15" hidden="false" customHeight="false" outlineLevel="0" collapsed="false">
      <c r="A492" s="5" t="s">
        <v>381</v>
      </c>
      <c r="B492" s="0" t="s">
        <v>38</v>
      </c>
      <c r="E492" s="15" t="n">
        <f aca="false">E484/(E488+dil)*1000</f>
        <v>241.156804723737</v>
      </c>
      <c r="F492" s="15" t="n">
        <f aca="false">F484/(F488+dil)*1000</f>
        <v>316.78151072634</v>
      </c>
      <c r="G492" s="15" t="n">
        <f aca="false">G484/(G488+dil)*1000</f>
        <v>373.472885458253</v>
      </c>
    </row>
    <row r="493" customFormat="false" ht="17.15" hidden="false" customHeight="false" outlineLevel="0" collapsed="false">
      <c r="A493" s="5" t="s">
        <v>382</v>
      </c>
      <c r="B493" s="0" t="s">
        <v>25</v>
      </c>
      <c r="D493" s="18" t="n">
        <f aca="false">ABS(D475-a26_rev)+ABS(D481-a26_ni)</f>
        <v>0</v>
      </c>
    </row>
    <row r="510" customFormat="false" ht="17.15" hidden="false" customHeight="false" outlineLevel="0" collapsed="false">
      <c r="A510" s="3" t="s">
        <v>657</v>
      </c>
    </row>
    <row r="511" customFormat="false" ht="17.15" hidden="false" customHeight="false" outlineLevel="0" collapsed="false">
      <c r="A511" s="12" t="s">
        <v>340</v>
      </c>
      <c r="B511" s="6" t="s">
        <v>15</v>
      </c>
      <c r="C511" s="12" t="s">
        <v>341</v>
      </c>
      <c r="D511" s="12" t="s">
        <v>342</v>
      </c>
      <c r="E511" s="12" t="s">
        <v>343</v>
      </c>
      <c r="F511" s="12" t="s">
        <v>344</v>
      </c>
      <c r="G511" s="12" t="s">
        <v>345</v>
      </c>
      <c r="H511" s="12" t="s">
        <v>346</v>
      </c>
      <c r="I511" s="12" t="s">
        <v>347</v>
      </c>
      <c r="J511" s="12" t="s">
        <v>348</v>
      </c>
      <c r="K511" s="12" t="s">
        <v>349</v>
      </c>
      <c r="L511" s="12" t="s">
        <v>350</v>
      </c>
      <c r="M511" s="12" t="s">
        <v>351</v>
      </c>
      <c r="N511" s="12" t="s">
        <v>352</v>
      </c>
      <c r="O511" s="12" t="s">
        <v>353</v>
      </c>
      <c r="P511" s="12" t="s">
        <v>354</v>
      </c>
      <c r="Q511" s="12" t="s">
        <v>355</v>
      </c>
      <c r="R511" s="12" t="s">
        <v>356</v>
      </c>
      <c r="S511" s="12"/>
      <c r="T511" s="6" t="s">
        <v>327</v>
      </c>
    </row>
    <row r="512" customFormat="false" ht="17.15" hidden="false" customHeight="false" outlineLevel="0" collapsed="false">
      <c r="A512" s="5" t="s">
        <v>357</v>
      </c>
      <c r="B512" s="0" t="s">
        <v>25</v>
      </c>
      <c r="C512" s="13" t="n">
        <f aca="false">Units!E4*1</f>
        <v>2.31</v>
      </c>
      <c r="D512" s="13" t="n">
        <f aca="false">Units!F4*1</f>
        <v>3.03</v>
      </c>
      <c r="E512" s="13" t="n">
        <f aca="false">Units!G4*1</f>
        <v>5.95</v>
      </c>
      <c r="F512" s="13" t="n">
        <f aca="false">Units!H4*1</f>
        <v>8.97</v>
      </c>
      <c r="G512" s="13" t="n">
        <f aca="false">Units!I4*1</f>
        <v>10.5558839933073</v>
      </c>
      <c r="H512" s="13" t="n">
        <f aca="false">Units!J4*1*1</f>
        <v>13.0085478256151</v>
      </c>
      <c r="I512" s="13" t="n">
        <f aca="false">Units!K4*1*1</f>
        <v>14.3338273511937</v>
      </c>
      <c r="J512" s="13" t="n">
        <f aca="false">Units!L4*1*1</f>
        <v>15.1561771362706</v>
      </c>
      <c r="K512" s="13" t="n">
        <f aca="false">Units!M4*1*1</f>
        <v>15.224420859132</v>
      </c>
      <c r="L512" s="13" t="n">
        <f aca="false">Units!N4*1*1</f>
        <v>14.9710145606433</v>
      </c>
      <c r="M512" s="13" t="n">
        <f aca="false">Units!O4*1*1</f>
        <v>15.0384245519258</v>
      </c>
      <c r="N512" s="13" t="n">
        <f aca="false">Units!P4*1*1</f>
        <v>15.1061380701941</v>
      </c>
      <c r="O512" s="13" t="n">
        <f aca="false">Units!Q4*1*1</f>
        <v>15.1741564821393</v>
      </c>
      <c r="P512" s="13" t="n">
        <f aca="false">Units!R4*1*1</f>
        <v>15.2424811606062</v>
      </c>
      <c r="Q512" s="13" t="n">
        <f aca="false">Units!S4*1*1</f>
        <v>15.3696532550844</v>
      </c>
      <c r="R512" s="13" t="n">
        <f aca="false">Units!T4*1*1</f>
        <v>15.6540842486561</v>
      </c>
      <c r="T512" s="8" t="s">
        <v>358</v>
      </c>
    </row>
    <row r="513" customFormat="false" ht="15" hidden="false" customHeight="false" outlineLevel="0" collapsed="false">
      <c r="A513" s="5" t="s">
        <v>359</v>
      </c>
      <c r="B513" s="0" t="s">
        <v>308</v>
      </c>
      <c r="C513" s="13" t="n">
        <f aca="false">Units!E7*1</f>
        <v>31.1552804325753</v>
      </c>
      <c r="D513" s="13" t="n">
        <f aca="false">Units!F7*1</f>
        <v>33.5147228924475</v>
      </c>
      <c r="E513" s="13" t="n">
        <f aca="false">Units!G7*1</f>
        <v>38.0693331650007</v>
      </c>
      <c r="F513" s="13" t="n">
        <f aca="false">Units!H7*1</f>
        <v>33.6172154529341</v>
      </c>
      <c r="G513" s="13" t="n">
        <f aca="false">Units!I7*1</f>
        <v>34.4006036061451</v>
      </c>
      <c r="H513" s="13" t="n">
        <f aca="false">Units!J7*1</f>
        <v>36.079657444519</v>
      </c>
      <c r="I513" s="13" t="n">
        <f aca="false">Units!K7*1</f>
        <v>38.597442775475</v>
      </c>
      <c r="J513" s="13" t="n">
        <f aca="false">Units!L7*1</f>
        <v>40.8118268330789</v>
      </c>
      <c r="K513" s="13" t="n">
        <f aca="false">Units!M7*1</f>
        <v>43.1532529018101</v>
      </c>
      <c r="L513" s="13" t="n">
        <f aca="false">Units!N7*1</f>
        <v>45.6290095423572</v>
      </c>
      <c r="M513" s="13" t="n">
        <f aca="false">Units!O7*1</f>
        <v>48.2468034693437</v>
      </c>
      <c r="N513" s="13" t="n">
        <f aca="false">Units!P7*1</f>
        <v>51.0147835413486</v>
      </c>
      <c r="O513" s="13" t="n">
        <f aca="false">Units!Q7*1</f>
        <v>53.9415661272627</v>
      </c>
      <c r="P513" s="13" t="n">
        <f aca="false">Units!R7*1</f>
        <v>57.0362619279465</v>
      </c>
      <c r="Q513" s="13" t="n">
        <f aca="false">Units!S7*1</f>
        <v>59.2908563983564</v>
      </c>
      <c r="R513" s="13" t="n">
        <f aca="false">Units!T7*1</f>
        <v>62.2557667231854</v>
      </c>
    </row>
    <row r="514" customFormat="false" ht="17.15" hidden="false" customHeight="false" outlineLevel="0" collapsed="false">
      <c r="A514" s="5" t="s">
        <v>266</v>
      </c>
      <c r="B514" s="0" t="s">
        <v>25</v>
      </c>
      <c r="C514" s="13" t="n">
        <f aca="false">q1_rev</f>
        <v>2.308</v>
      </c>
      <c r="D514" s="13" t="n">
        <f aca="false">q2_rev</f>
        <v>3.025</v>
      </c>
      <c r="E514" s="13" t="n">
        <f aca="false">q3_rev</f>
        <v>5.95</v>
      </c>
      <c r="F514" s="13" t="n">
        <f aca="false">q4_rev</f>
        <v>8.965</v>
      </c>
      <c r="G514" s="13" t="n">
        <f aca="false">G512*sd_k</f>
        <v>10.549631742176</v>
      </c>
      <c r="H514" s="13" t="n">
        <f aca="false">H512*sd_k</f>
        <v>13.0008428614538</v>
      </c>
      <c r="I514" s="13" t="n">
        <f aca="false">I512*sd_k</f>
        <v>14.3253374238386</v>
      </c>
      <c r="J514" s="13" t="n">
        <f aca="false">J512*sd_k</f>
        <v>15.1472001310566</v>
      </c>
      <c r="K514" s="13" t="n">
        <f aca="false">K512*sd_k</f>
        <v>15.2154034331542</v>
      </c>
      <c r="L514" s="13" t="n">
        <f aca="false">L512*sd_k</f>
        <v>14.9621472272411</v>
      </c>
      <c r="M514" s="13" t="n">
        <f aca="false">M512*sd_k</f>
        <v>15.0295172915792</v>
      </c>
      <c r="N514" s="13" t="n">
        <f aca="false">N512*sd_k</f>
        <v>15.0971907031239</v>
      </c>
      <c r="O514" s="13" t="n">
        <f aca="false">O512*sd_k</f>
        <v>15.165168827757</v>
      </c>
      <c r="P514" s="13" t="n">
        <f aca="false">P512*sd_k</f>
        <v>15.2334530375101</v>
      </c>
      <c r="Q514" s="13" t="n">
        <f aca="false">Q512*sd_k</f>
        <v>15.3605498079442</v>
      </c>
      <c r="R514" s="13" t="n">
        <f aca="false">R512*sd_k</f>
        <v>15.6448123330103</v>
      </c>
      <c r="T514" s="5" t="s">
        <v>360</v>
      </c>
    </row>
    <row r="515" customFormat="false" ht="17.15" hidden="false" customHeight="false" outlineLevel="0" collapsed="false">
      <c r="A515" s="5" t="s">
        <v>361</v>
      </c>
      <c r="B515" s="0" t="s">
        <v>362</v>
      </c>
      <c r="C515" s="19" t="n">
        <f aca="false">C516/C513</f>
        <v>0.0520045391183812</v>
      </c>
      <c r="D515" s="19" t="n">
        <f aca="false">D516/D513</f>
        <v>0.0443170902760084</v>
      </c>
      <c r="E515" s="19" t="n">
        <f aca="false">E516/E513</f>
        <v>0.0337594565796481</v>
      </c>
      <c r="F515" s="19" t="n">
        <f aca="false">F516/F513</f>
        <v>0.0410685412637144</v>
      </c>
      <c r="G515" s="19" t="n">
        <f aca="false">(1-g_gm)*G514/G513</f>
        <v>0.0490671936479231</v>
      </c>
      <c r="H515" s="19" t="n">
        <f aca="false">$G515*(1-cd_A)^(1/4)</f>
        <v>0.0472515253161731</v>
      </c>
      <c r="I515" s="19" t="n">
        <f aca="false">$G515*(1-cd_A)^(2/4)</f>
        <v>0.0455030434535449</v>
      </c>
      <c r="J515" s="19" t="n">
        <f aca="false">$G515*(1-cd_A)^(3/4)</f>
        <v>0.0438192619112447</v>
      </c>
      <c r="K515" s="19" t="n">
        <f aca="false">$G515*(1-cd_A)^(4/4)</f>
        <v>0.0421977865372139</v>
      </c>
      <c r="L515" s="19" t="n">
        <f aca="false">$G515*(1-cd_A)^(5/4)</f>
        <v>0.0406363117719089</v>
      </c>
      <c r="M515" s="19" t="n">
        <f aca="false">$G515*(1-cd_A)^(6/4)</f>
        <v>0.0391326173700486</v>
      </c>
      <c r="N515" s="19" t="n">
        <f aca="false">$G515*(1-cd_A)^(7/4)</f>
        <v>0.0376845652436704</v>
      </c>
      <c r="O515" s="19" t="n">
        <f aca="false">$G515*(1-cd_A)^(8/4)</f>
        <v>0.0362900964220039</v>
      </c>
      <c r="P515" s="19" t="n">
        <f aca="false">$G515*(1-cd_A)^(9/4)</f>
        <v>0.0349472281238416</v>
      </c>
      <c r="Q515" s="19" t="n">
        <f aca="false">$G515*(1-cd_A)^(10/4)</f>
        <v>0.0336540509382418</v>
      </c>
      <c r="R515" s="19" t="n">
        <f aca="false">$G515*(1-cd_A)^(11/4)</f>
        <v>0.0324087261095565</v>
      </c>
    </row>
    <row r="516" customFormat="false" ht="15" hidden="false" customHeight="false" outlineLevel="0" collapsed="false">
      <c r="A516" s="5" t="s">
        <v>363</v>
      </c>
      <c r="B516" s="0" t="s">
        <v>25</v>
      </c>
      <c r="C516" s="13" t="n">
        <f aca="false">q1_rev*(1-q1_gm)</f>
        <v>1.620216</v>
      </c>
      <c r="D516" s="13" t="n">
        <f aca="false">q2_rev*(1-q2_gm)</f>
        <v>1.485275</v>
      </c>
      <c r="E516" s="13" t="n">
        <f aca="false">q3_rev*(1-q3_gm)</f>
        <v>1.2852</v>
      </c>
      <c r="F516" s="13" t="n">
        <f aca="false">q4_rev*(1-q4_gm)</f>
        <v>1.38061</v>
      </c>
      <c r="G516" s="13" t="n">
        <f aca="false">G513*G515</f>
        <v>1.68794107874816</v>
      </c>
      <c r="H516" s="13" t="n">
        <f aca="false">H513*H515</f>
        <v>1.70481884713854</v>
      </c>
      <c r="I516" s="13" t="n">
        <f aca="false">I513*I515</f>
        <v>1.75630111580815</v>
      </c>
      <c r="J516" s="13" t="n">
        <f aca="false">J513*J515</f>
        <v>1.78834412907505</v>
      </c>
      <c r="K516" s="13" t="n">
        <f aca="false">K513*K515</f>
        <v>1.82097175433699</v>
      </c>
      <c r="L516" s="13" t="n">
        <f aca="false">L513*L515</f>
        <v>1.85419465760663</v>
      </c>
      <c r="M516" s="13" t="n">
        <f aca="false">M513*M515</f>
        <v>1.88802369949376</v>
      </c>
      <c r="N516" s="13" t="n">
        <f aca="false">N513*N515</f>
        <v>1.92246993875567</v>
      </c>
      <c r="O516" s="13" t="n">
        <f aca="false">O513*O515</f>
        <v>1.95754463591226</v>
      </c>
      <c r="P516" s="13" t="n">
        <f aca="false">P513*P515</f>
        <v>1.99325925692713</v>
      </c>
      <c r="Q516" s="13" t="n">
        <f aca="false">Q513*Q515</f>
        <v>1.99537750140227</v>
      </c>
      <c r="R516" s="13" t="n">
        <f aca="false">R513*R515</f>
        <v>2.01763009247216</v>
      </c>
    </row>
    <row r="517" customFormat="false" ht="15" hidden="false" customHeight="false" outlineLevel="0" collapsed="false">
      <c r="A517" s="5" t="s">
        <v>329</v>
      </c>
      <c r="B517" s="0" t="s">
        <v>31</v>
      </c>
      <c r="C517" s="14" t="n">
        <f aca="false">1-C516/C514</f>
        <v>0.298</v>
      </c>
      <c r="D517" s="14" t="n">
        <f aca="false">1-D516/D514</f>
        <v>0.509</v>
      </c>
      <c r="E517" s="14" t="n">
        <f aca="false">1-E516/E514</f>
        <v>0.784</v>
      </c>
      <c r="F517" s="14" t="n">
        <f aca="false">1-F516/F514</f>
        <v>0.846</v>
      </c>
      <c r="G517" s="14" t="n">
        <f aca="false">1-G516/G514</f>
        <v>0.84</v>
      </c>
      <c r="H517" s="14" t="n">
        <f aca="false">1-H516/H514</f>
        <v>0.868868590651676</v>
      </c>
      <c r="I517" s="14" t="n">
        <f aca="false">1-I516/I514</f>
        <v>0.877398970520198</v>
      </c>
      <c r="J517" s="14" t="n">
        <f aca="false">1-J516/J514</f>
        <v>0.881935663779317</v>
      </c>
      <c r="K517" s="14" t="n">
        <f aca="false">1-K516/K514</f>
        <v>0.88032050794203</v>
      </c>
      <c r="L517" s="14" t="n">
        <f aca="false">1-L516/L514</f>
        <v>0.876074294053814</v>
      </c>
      <c r="M517" s="14" t="n">
        <f aca="false">1-M516/M514</f>
        <v>0.874378952905454</v>
      </c>
      <c r="N517" s="14" t="n">
        <f aca="false">1-N516/N514</f>
        <v>0.872660418977295</v>
      </c>
      <c r="O517" s="14" t="n">
        <f aca="false">1-O516/O514</f>
        <v>0.870918374985094</v>
      </c>
      <c r="P517" s="14" t="n">
        <f aca="false">1-P516/P514</f>
        <v>0.869152499304063</v>
      </c>
      <c r="Q517" s="14" t="n">
        <f aca="false">1-Q516/Q514</f>
        <v>0.870097260426818</v>
      </c>
      <c r="R517" s="14" t="n">
        <f aca="false">1-R516/R514</f>
        <v>0.871035200069803</v>
      </c>
    </row>
    <row r="518" customFormat="false" ht="17.15" hidden="false" customHeight="false" outlineLevel="0" collapsed="false">
      <c r="A518" s="5" t="s">
        <v>364</v>
      </c>
      <c r="B518" s="0" t="s">
        <v>25</v>
      </c>
      <c r="C518" s="13" t="n">
        <f aca="false">q1_rev-q1_rev*(1-q1_gm)-q1_op</f>
        <v>0.511784</v>
      </c>
      <c r="D518" s="13" t="n">
        <f aca="false">q2_rev-q2_rev*(1-q2_gm)-q2_op</f>
        <v>0.474725</v>
      </c>
      <c r="E518" s="13" t="n">
        <f aca="false">q3_rev-q3_rev*(1-q3_gm)-q3_op</f>
        <v>0.553800000000001</v>
      </c>
      <c r="F518" s="13" t="n">
        <f aca="false">q4_rev-q4_rev*(1-q4_gm)-q4_op</f>
        <v>0.54739</v>
      </c>
      <c r="G518" s="13" t="n">
        <f aca="false">(g_ox-ox_var*g_rev)*(1+ox_g)^(0/4)+ox_var*G514</f>
        <v>0.59399631742176</v>
      </c>
      <c r="H518" s="13" t="n">
        <f aca="false">(g_ox-ox_var*g_rev)*(1+ox_g)^(1/4)+ox_var*H514</f>
        <v>0.63028796573229</v>
      </c>
      <c r="I518" s="13" t="n">
        <f aca="false">(g_ox-ox_var*g_rev)*(1+ox_g)^(2/4)+ox_var*I514</f>
        <v>0.655596496569505</v>
      </c>
      <c r="J518" s="13" t="n">
        <f aca="false">(g_ox-ox_var*g_rev)*(1+ox_g)^(3/4)+ox_var*J514</f>
        <v>0.676169606398132</v>
      </c>
      <c r="K518" s="13" t="n">
        <f aca="false">(g_ox-ox_var*g_rev)*(1+ox_g)^(4/4)+ox_var*K514</f>
        <v>0.689504034331542</v>
      </c>
      <c r="L518" s="13" t="n">
        <f aca="false">(g_ox-ox_var*g_rev)*(1+ox_g)^(5/4)+ox_var*L514</f>
        <v>0.699928963101938</v>
      </c>
      <c r="M518" s="13" t="n">
        <f aca="false">(g_ox-ox_var*g_rev)*(1+ox_g)^(6/4)+ox_var*M514</f>
        <v>0.713872607480023</v>
      </c>
      <c r="N518" s="13" t="n">
        <f aca="false">(g_ox-ox_var*g_rev)*(1+ox_g)^(7/4)+ox_var*N514</f>
        <v>0.728139272627561</v>
      </c>
      <c r="O518" s="13" t="n">
        <f aca="false">(g_ox-ox_var*g_rev)*(1+ox_g)^(8/4)+ox_var*O514</f>
        <v>0.74273668827757</v>
      </c>
      <c r="P518" s="13" t="n">
        <f aca="false">(g_ox-ox_var*g_rev)*(1+ox_g)^(9/4)+ox_var*P514</f>
        <v>0.75767277028758</v>
      </c>
      <c r="Q518" s="13" t="n">
        <f aca="false">(g_ox-ox_var*g_rev)*(1+ox_g)^(10/4)+ox_var*Q514</f>
        <v>0.773540676100096</v>
      </c>
      <c r="R518" s="13" t="n">
        <f aca="false">(g_ox-ox_var*g_rev)*(1+ox_g)^(11/4)+ox_var*R514</f>
        <v>0.791332225486057</v>
      </c>
      <c r="T518" s="5" t="s">
        <v>365</v>
      </c>
    </row>
    <row r="519" customFormat="false" ht="15" hidden="false" customHeight="false" outlineLevel="0" collapsed="false">
      <c r="A519" s="5" t="s">
        <v>330</v>
      </c>
      <c r="B519" s="0" t="s">
        <v>25</v>
      </c>
      <c r="C519" s="13" t="n">
        <f aca="false">C514-C516-C518</f>
        <v>0.176</v>
      </c>
      <c r="D519" s="13" t="n">
        <f aca="false">D514-D516-D518</f>
        <v>1.065</v>
      </c>
      <c r="E519" s="13" t="n">
        <f aca="false">E514-E516-E518</f>
        <v>4.111</v>
      </c>
      <c r="F519" s="13" t="n">
        <f aca="false">F514-F516-F518</f>
        <v>7.037</v>
      </c>
      <c r="G519" s="13" t="n">
        <f aca="false">G514-G516-G518</f>
        <v>8.2676943460061</v>
      </c>
      <c r="H519" s="13" t="n">
        <f aca="false">H514-H516-H518</f>
        <v>10.665736048583</v>
      </c>
      <c r="I519" s="13" t="n">
        <f aca="false">I514-I516-I518</f>
        <v>11.9134398114609</v>
      </c>
      <c r="J519" s="13" t="n">
        <f aca="false">J514-J516-J518</f>
        <v>12.6826863955834</v>
      </c>
      <c r="K519" s="13" t="n">
        <f aca="false">K514-K516-K518</f>
        <v>12.7049276444857</v>
      </c>
      <c r="L519" s="13" t="n">
        <f aca="false">L514-L516-L518</f>
        <v>12.4080236065326</v>
      </c>
      <c r="M519" s="13" t="n">
        <f aca="false">M514-M516-M518</f>
        <v>12.4276209846054</v>
      </c>
      <c r="N519" s="13" t="n">
        <f aca="false">N514-N516-N518</f>
        <v>12.4465814917407</v>
      </c>
      <c r="O519" s="13" t="n">
        <f aca="false">O514-O516-O518</f>
        <v>12.4648875035672</v>
      </c>
      <c r="P519" s="13" t="n">
        <f aca="false">P514-P516-P518</f>
        <v>12.4825210102954</v>
      </c>
      <c r="Q519" s="13" t="n">
        <f aca="false">Q514-Q516-Q518</f>
        <v>12.5916316304418</v>
      </c>
      <c r="R519" s="13" t="n">
        <f aca="false">R514-R516-R518</f>
        <v>12.8358500150521</v>
      </c>
    </row>
    <row r="521" customFormat="false" ht="17.15" hidden="false" customHeight="false" outlineLevel="0" collapsed="false">
      <c r="A521" s="5" t="s">
        <v>332</v>
      </c>
      <c r="B521" s="0" t="s">
        <v>25</v>
      </c>
      <c r="C521" s="13" t="n">
        <f aca="false">q1_ni</f>
        <v>0.112</v>
      </c>
      <c r="D521" s="13" t="n">
        <f aca="false">q2_ni</f>
        <v>0.803</v>
      </c>
      <c r="E521" s="13" t="n">
        <f aca="false">q3_ni</f>
        <v>3.615</v>
      </c>
      <c r="F521" s="13" t="n">
        <f aca="false">q4_ni</f>
        <v>6.903</v>
      </c>
      <c r="G521" s="13" t="n">
        <f aca="false">(G519+rf*$D537/4)*(1-tax_hi)</f>
        <v>6.65225147680488</v>
      </c>
      <c r="H521" s="13" t="n">
        <f aca="false">(H519+rf*$D537/4)*(1-tax_hi)</f>
        <v>8.5706848388664</v>
      </c>
      <c r="I521" s="13" t="n">
        <f aca="false">(I519+rf*$D537/4)*(1-tax_hi)</f>
        <v>9.56884784916876</v>
      </c>
      <c r="J521" s="13" t="n">
        <f aca="false">(J519+rf*$D537/4)*(1-tax_hi)</f>
        <v>10.1842451164668</v>
      </c>
      <c r="K521" s="13" t="n">
        <f aca="false">(K519+rf*$E537/4)*(1-tax_hi)</f>
        <v>10.3298567097957</v>
      </c>
      <c r="L521" s="13" t="n">
        <f aca="false">(L519+rf*$E537/4)*(1-tax_hi)</f>
        <v>10.0923334794332</v>
      </c>
      <c r="M521" s="13" t="n">
        <f aca="false">(M519+rf*$E537/4)*(1-tax_hi)</f>
        <v>10.1080113818915</v>
      </c>
      <c r="N521" s="13" t="n">
        <f aca="false">(N519+rf*$E537/4)*(1-tax_hi)</f>
        <v>10.1231797875997</v>
      </c>
      <c r="O521" s="13" t="n">
        <f aca="false">(O519+rf*$F537/4)*(1-tax_hi)</f>
        <v>10.2866051004186</v>
      </c>
      <c r="P521" s="13" t="n">
        <f aca="false">(P519+rf*$F537/4)*(1-tax_hi)</f>
        <v>10.3007119058011</v>
      </c>
      <c r="Q521" s="13" t="n">
        <f aca="false">(Q519+rf*$F537/4)*(1-tax_hi)</f>
        <v>10.3880004019183</v>
      </c>
      <c r="R521" s="13" t="n">
        <f aca="false">(R519+rf*$F537/4)*(1-tax_hi)</f>
        <v>10.5833751096065</v>
      </c>
      <c r="T521" s="5" t="s">
        <v>366</v>
      </c>
    </row>
    <row r="522" customFormat="false" ht="17.15" hidden="false" customHeight="false" outlineLevel="0" collapsed="false">
      <c r="A522" s="5" t="s">
        <v>367</v>
      </c>
      <c r="B522" s="0" t="s">
        <v>38</v>
      </c>
      <c r="G522" s="15" t="n">
        <f aca="false">G521/(sh0+dil)*1000</f>
        <v>42.9177514632573</v>
      </c>
      <c r="H522" s="15" t="n">
        <f aca="false">H521/(sh0+dil)*1000</f>
        <v>55.2947408959122</v>
      </c>
      <c r="I522" s="15" t="n">
        <f aca="false">I521/(sh0+dil)*1000</f>
        <v>61.7345022527016</v>
      </c>
      <c r="J522" s="15" t="n">
        <f aca="false">J521/(sh0+dil)*1000</f>
        <v>65.7048072030113</v>
      </c>
      <c r="K522" s="15" t="n">
        <f aca="false">K521/(sh0+dil)*1000</f>
        <v>66.6442368373919</v>
      </c>
      <c r="L522" s="15" t="n">
        <f aca="false">L521/(sh0+dil)*1000</f>
        <v>65.1118288995693</v>
      </c>
      <c r="M522" s="15" t="n">
        <f aca="false">M521/(sh0+dil)*1000</f>
        <v>65.2129766573644</v>
      </c>
      <c r="N522" s="15" t="n">
        <f aca="false">N521/(sh0+dil)*1000</f>
        <v>65.310837339353</v>
      </c>
      <c r="O522" s="15" t="n">
        <f aca="false">O521/(sh0+dil)*1000</f>
        <v>66.3651941962488</v>
      </c>
      <c r="P522" s="15" t="n">
        <f aca="false">P521/(sh0+dil)*1000</f>
        <v>66.4562058438783</v>
      </c>
      <c r="Q522" s="15" t="n">
        <f aca="false">Q521/(sh0+dil)*1000</f>
        <v>67.0193574317309</v>
      </c>
      <c r="R522" s="15" t="n">
        <f aca="false">R521/(sh0+dil)*1000</f>
        <v>68.2798394168162</v>
      </c>
    </row>
    <row r="524" customFormat="false" ht="17.15" hidden="false" customHeight="false" outlineLevel="0" collapsed="false">
      <c r="A524" s="12" t="s">
        <v>368</v>
      </c>
      <c r="B524" s="6" t="s">
        <v>15</v>
      </c>
      <c r="C524" s="12" t="s">
        <v>322</v>
      </c>
      <c r="D524" s="12" t="s">
        <v>323</v>
      </c>
      <c r="E524" s="12" t="s">
        <v>324</v>
      </c>
      <c r="F524" s="12" t="s">
        <v>325</v>
      </c>
      <c r="G524" s="12" t="s">
        <v>326</v>
      </c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6" t="s">
        <v>327</v>
      </c>
    </row>
    <row r="525" customFormat="false" ht="15" hidden="false" customHeight="false" outlineLevel="0" collapsed="false">
      <c r="A525" s="5" t="s">
        <v>266</v>
      </c>
      <c r="B525" s="0" t="s">
        <v>25</v>
      </c>
      <c r="C525" s="13" t="n">
        <f aca="false">a25_rev</f>
        <v>7.355</v>
      </c>
      <c r="D525" s="13" t="n">
        <f aca="false">SUM(C514:F514)</f>
        <v>20.248</v>
      </c>
      <c r="E525" s="13" t="n">
        <f aca="false">SUM(G514:J514)</f>
        <v>53.0230121585251</v>
      </c>
      <c r="F525" s="13" t="n">
        <f aca="false">SUM(K514:N514)</f>
        <v>60.3042586550984</v>
      </c>
      <c r="G525" s="13" t="n">
        <f aca="false">SUM(O514:R514)</f>
        <v>61.4039840062216</v>
      </c>
    </row>
    <row r="526" customFormat="false" ht="15" hidden="false" customHeight="false" outlineLevel="0" collapsed="false">
      <c r="A526" s="5" t="s">
        <v>363</v>
      </c>
      <c r="B526" s="0" t="s">
        <v>25</v>
      </c>
      <c r="D526" s="13" t="n">
        <f aca="false">SUM(C516:F516)</f>
        <v>5.771301</v>
      </c>
      <c r="E526" s="13" t="n">
        <f aca="false">SUM(G516:J516)</f>
        <v>6.93740517076991</v>
      </c>
      <c r="F526" s="13" t="n">
        <f aca="false">SUM(K516:N516)</f>
        <v>7.48566005019306</v>
      </c>
      <c r="G526" s="13" t="n">
        <f aca="false">SUM(O516:R516)</f>
        <v>7.96381148671382</v>
      </c>
    </row>
    <row r="527" customFormat="false" ht="15" hidden="false" customHeight="false" outlineLevel="0" collapsed="false">
      <c r="A527" s="5" t="s">
        <v>329</v>
      </c>
      <c r="B527" s="0" t="s">
        <v>31</v>
      </c>
      <c r="D527" s="14" t="n">
        <f aca="false">1-D526/D525</f>
        <v>0.714969330304228</v>
      </c>
      <c r="E527" s="14" t="n">
        <f aca="false">1-E526/E525</f>
        <v>0.86916237142415</v>
      </c>
      <c r="F527" s="14" t="n">
        <f aca="false">1-F526/F525</f>
        <v>0.875868467382939</v>
      </c>
      <c r="G527" s="14" t="n">
        <f aca="false">1-G526/G525</f>
        <v>0.870304645283164</v>
      </c>
    </row>
    <row r="528" customFormat="false" ht="15" hidden="false" customHeight="false" outlineLevel="0" collapsed="false">
      <c r="A528" s="5" t="s">
        <v>364</v>
      </c>
      <c r="B528" s="0" t="s">
        <v>25</v>
      </c>
      <c r="D528" s="13" t="n">
        <f aca="false">SUM(C518:F518)</f>
        <v>2.087699</v>
      </c>
      <c r="E528" s="13" t="n">
        <f aca="false">SUM(G518:J518)</f>
        <v>2.55605038612169</v>
      </c>
      <c r="F528" s="13" t="n">
        <f aca="false">SUM(K518:N518)</f>
        <v>2.83144487754106</v>
      </c>
      <c r="G528" s="13" t="n">
        <f aca="false">SUM(O518:R518)</f>
        <v>3.0652823601513</v>
      </c>
    </row>
    <row r="529" customFormat="false" ht="15" hidden="false" customHeight="false" outlineLevel="0" collapsed="false">
      <c r="A529" s="5" t="s">
        <v>330</v>
      </c>
      <c r="B529" s="0" t="s">
        <v>25</v>
      </c>
      <c r="D529" s="13" t="n">
        <f aca="false">SUM(C519:F519)</f>
        <v>12.389</v>
      </c>
      <c r="E529" s="13" t="n">
        <f aca="false">SUM(G519:J519)</f>
        <v>43.5295566016335</v>
      </c>
      <c r="F529" s="13" t="n">
        <f aca="false">SUM(K519:N519)</f>
        <v>49.9871537273643</v>
      </c>
      <c r="G529" s="13" t="n">
        <f aca="false">SUM(O519:R519)</f>
        <v>50.3748901593564</v>
      </c>
    </row>
    <row r="530" customFormat="false" ht="15" hidden="false" customHeight="false" outlineLevel="0" collapsed="false">
      <c r="A530" s="5" t="s">
        <v>331</v>
      </c>
      <c r="B530" s="0" t="s">
        <v>31</v>
      </c>
      <c r="D530" s="14" t="n">
        <f aca="false">D529/D525</f>
        <v>0.61186290003951</v>
      </c>
      <c r="E530" s="14" t="n">
        <f aca="false">E529/E525</f>
        <v>0.820955936480775</v>
      </c>
      <c r="F530" s="14" t="n">
        <f aca="false">F529/F525</f>
        <v>0.828915815270339</v>
      </c>
      <c r="G530" s="14" t="n">
        <f aca="false">G529/G525</f>
        <v>0.820384718917463</v>
      </c>
    </row>
    <row r="531" customFormat="false" ht="15" hidden="false" customHeight="false" outlineLevel="0" collapsed="false">
      <c r="A531" s="5" t="s">
        <v>332</v>
      </c>
      <c r="B531" s="0" t="s">
        <v>25</v>
      </c>
      <c r="C531" s="13" t="n">
        <f aca="false">a25_ni</f>
        <v>-1.641</v>
      </c>
      <c r="D531" s="13" t="n">
        <f aca="false">SUM(C521:F521)</f>
        <v>11.433</v>
      </c>
      <c r="E531" s="13" t="n">
        <f aca="false">SUM(G521:J521)</f>
        <v>34.9760292813068</v>
      </c>
      <c r="F531" s="13" t="n">
        <f aca="false">SUM(K521:N521)</f>
        <v>40.6533813587202</v>
      </c>
      <c r="G531" s="13" t="n">
        <f aca="false">SUM(O521:R521)</f>
        <v>41.5586925177445</v>
      </c>
    </row>
    <row r="532" customFormat="false" ht="15" hidden="false" customHeight="false" outlineLevel="0" collapsed="false">
      <c r="A532" s="5" t="s">
        <v>369</v>
      </c>
      <c r="B532" s="0" t="s">
        <v>25</v>
      </c>
      <c r="D532" s="13" t="n">
        <f aca="false">da_y</f>
        <v>0.16</v>
      </c>
      <c r="E532" s="13" t="n">
        <f aca="false">da_y</f>
        <v>0.16</v>
      </c>
      <c r="F532" s="13" t="n">
        <f aca="false">da_y</f>
        <v>0.16</v>
      </c>
      <c r="G532" s="13" t="n">
        <f aca="false">da_y</f>
        <v>0.16</v>
      </c>
    </row>
    <row r="533" customFormat="false" ht="17.15" hidden="false" customHeight="false" outlineLevel="0" collapsed="false">
      <c r="A533" s="5" t="s">
        <v>370</v>
      </c>
      <c r="B533" s="0" t="s">
        <v>25</v>
      </c>
      <c r="D533" s="13" t="n">
        <v>0.562</v>
      </c>
      <c r="E533" s="13" t="n">
        <f aca="false">cap_r*E525</f>
        <v>3.1813807295115</v>
      </c>
      <c r="F533" s="13" t="n">
        <f aca="false">cap_r*F525</f>
        <v>3.61825551930591</v>
      </c>
      <c r="G533" s="13" t="n">
        <f aca="false">cap_r*G525</f>
        <v>3.68423904037329</v>
      </c>
      <c r="T533" s="8" t="s">
        <v>371</v>
      </c>
    </row>
    <row r="534" customFormat="false" ht="15" hidden="false" customHeight="false" outlineLevel="0" collapsed="false">
      <c r="A534" s="5" t="s">
        <v>372</v>
      </c>
      <c r="B534" s="0" t="s">
        <v>25</v>
      </c>
      <c r="D534" s="13" t="n">
        <f aca="false">D531+D532-D533</f>
        <v>11.031</v>
      </c>
      <c r="E534" s="13" t="n">
        <f aca="false">E531+E532-E533</f>
        <v>31.9546485517953</v>
      </c>
      <c r="F534" s="13" t="n">
        <f aca="false">F531+F532-F533</f>
        <v>37.1951258394143</v>
      </c>
      <c r="G534" s="13" t="n">
        <f aca="false">G531+G532-G533</f>
        <v>38.0344534773712</v>
      </c>
    </row>
    <row r="535" customFormat="false" ht="17.15" hidden="false" customHeight="false" outlineLevel="0" collapsed="false">
      <c r="A535" s="5" t="s">
        <v>373</v>
      </c>
      <c r="B535" s="0" t="s">
        <v>25</v>
      </c>
      <c r="D535" s="13" t="n">
        <v>4.524</v>
      </c>
      <c r="E535" s="13" t="n">
        <f aca="false">MAX(0,payout*E534)</f>
        <v>15.9773242758976</v>
      </c>
      <c r="F535" s="13" t="n">
        <f aca="false">MAX(0,payout*F534)</f>
        <v>18.5975629197071</v>
      </c>
      <c r="G535" s="13" t="n">
        <f aca="false">MAX(0,payout*G534)</f>
        <v>19.0172267386856</v>
      </c>
      <c r="T535" s="8" t="s">
        <v>374</v>
      </c>
    </row>
    <row r="536" customFormat="false" ht="15" hidden="false" customHeight="false" outlineLevel="0" collapsed="false">
      <c r="A536" s="5" t="s">
        <v>375</v>
      </c>
      <c r="B536" s="0" t="s">
        <v>25</v>
      </c>
      <c r="D536" s="13" t="n">
        <f aca="false">eq0</f>
        <v>15.736</v>
      </c>
      <c r="E536" s="13" t="n">
        <f aca="false">D536+E531-E535</f>
        <v>34.7347050054091</v>
      </c>
      <c r="F536" s="13" t="n">
        <f aca="false">E536+F531-F535</f>
        <v>56.7905234444222</v>
      </c>
      <c r="G536" s="13" t="n">
        <f aca="false">F536+G531-G535</f>
        <v>79.3319892234811</v>
      </c>
    </row>
    <row r="537" customFormat="false" ht="15" hidden="false" customHeight="false" outlineLevel="0" collapsed="false">
      <c r="A537" s="5" t="s">
        <v>376</v>
      </c>
      <c r="B537" s="0" t="s">
        <v>25</v>
      </c>
      <c r="D537" s="13" t="n">
        <f aca="false">nc0</f>
        <v>4.762</v>
      </c>
      <c r="E537" s="13" t="n">
        <f aca="false">D537+E534-E535</f>
        <v>20.7393242758976</v>
      </c>
      <c r="F537" s="13" t="n">
        <f aca="false">E537+F534-F535</f>
        <v>39.3368871956048</v>
      </c>
      <c r="G537" s="13" t="n">
        <f aca="false">F537+G534-G535</f>
        <v>58.3541139342904</v>
      </c>
    </row>
    <row r="538" customFormat="false" ht="15" hidden="false" customHeight="false" outlineLevel="0" collapsed="false">
      <c r="A538" s="5" t="s">
        <v>377</v>
      </c>
      <c r="B538" s="5" t="s">
        <v>111</v>
      </c>
      <c r="D538" s="20" t="n">
        <f aca="false">sh0</f>
        <v>146.42</v>
      </c>
      <c r="E538" s="20" t="n">
        <f aca="false">D538-E535/bb_px*1000</f>
        <v>133.514558067335</v>
      </c>
      <c r="F538" s="20" t="n">
        <f aca="false">E538-F535/bb_px*1000</f>
        <v>118.492658016684</v>
      </c>
      <c r="G538" s="20" t="n">
        <f aca="false">F538-G535/bb_px*1000</f>
        <v>103.131780866142</v>
      </c>
    </row>
    <row r="539" customFormat="false" ht="17.15" hidden="false" customHeight="false" outlineLevel="0" collapsed="false">
      <c r="A539" s="0" t="s">
        <v>378</v>
      </c>
      <c r="B539" s="0" t="s">
        <v>38</v>
      </c>
      <c r="C539" s="15" t="n">
        <f aca="false">a25_eps</f>
        <v>-11.32</v>
      </c>
      <c r="D539" s="15" t="n">
        <f aca="false">a26_eps</f>
        <v>73.76</v>
      </c>
      <c r="E539" s="15" t="n">
        <f aca="false">E531/(E538+dil)*1000</f>
        <v>246.146156172516</v>
      </c>
      <c r="F539" s="15" t="n">
        <f aca="false">F531/(F538+dil)*1000</f>
        <v>319.922334145105</v>
      </c>
      <c r="G539" s="15" t="n">
        <f aca="false">G531/(G538+dil)*1000</f>
        <v>372.017097888199</v>
      </c>
    </row>
    <row r="540" customFormat="false" ht="17.15" hidden="false" customHeight="false" outlineLevel="0" collapsed="false">
      <c r="A540" s="5" t="s">
        <v>379</v>
      </c>
      <c r="B540" s="0" t="s">
        <v>38</v>
      </c>
      <c r="D540" s="15" t="n">
        <f aca="false">D536/D538*1000</f>
        <v>107.471656877476</v>
      </c>
      <c r="E540" s="15" t="n">
        <f aca="false">E536/E538*1000</f>
        <v>260.156686343459</v>
      </c>
      <c r="F540" s="15" t="n">
        <f aca="false">F536/F538*1000</f>
        <v>479.274618317922</v>
      </c>
      <c r="G540" s="15" t="n">
        <f aca="false">G536/G538*1000</f>
        <v>769.229315708692</v>
      </c>
    </row>
    <row r="541" customFormat="false" ht="17.15" hidden="false" customHeight="false" outlineLevel="0" collapsed="false">
      <c r="A541" s="0" t="s">
        <v>380</v>
      </c>
      <c r="B541" s="0" t="s">
        <v>31</v>
      </c>
      <c r="D541" s="21" t="n">
        <f aca="false">D531/D536</f>
        <v>0.72655058464667</v>
      </c>
      <c r="E541" s="21" t="n">
        <f aca="false">E531/E536</f>
        <v>1.00694764143988</v>
      </c>
      <c r="F541" s="21" t="n">
        <f aca="false">F531/F536</f>
        <v>0.715847977673695</v>
      </c>
      <c r="G541" s="21" t="n">
        <f aca="false">G531/G536</f>
        <v>0.523857940844924</v>
      </c>
    </row>
    <row r="542" customFormat="false" ht="15" hidden="false" customHeight="false" outlineLevel="0" collapsed="false">
      <c r="A542" s="5" t="s">
        <v>381</v>
      </c>
      <c r="B542" s="0" t="s">
        <v>38</v>
      </c>
      <c r="E542" s="15" t="n">
        <f aca="false">E534/(E538+dil)*1000</f>
        <v>224.882986276314</v>
      </c>
      <c r="F542" s="15" t="n">
        <f aca="false">F534/(F538+dil)*1000</f>
        <v>292.707545588058</v>
      </c>
      <c r="G542" s="15" t="n">
        <f aca="false">G534/(G538+dil)*1000</f>
        <v>340.469493749686</v>
      </c>
    </row>
    <row r="543" customFormat="false" ht="17.15" hidden="false" customHeight="false" outlineLevel="0" collapsed="false">
      <c r="A543" s="5" t="s">
        <v>382</v>
      </c>
      <c r="B543" s="0" t="s">
        <v>25</v>
      </c>
      <c r="D543" s="18" t="n">
        <f aca="false">ABS(D525-a26_rev)+ABS(D531-a26_ni)</f>
        <v>0</v>
      </c>
    </row>
    <row r="560" customFormat="false" ht="17.15" hidden="false" customHeight="false" outlineLevel="0" collapsed="false">
      <c r="A560" s="3" t="s">
        <v>658</v>
      </c>
    </row>
    <row r="561" customFormat="false" ht="17.15" hidden="false" customHeight="false" outlineLevel="0" collapsed="false">
      <c r="A561" s="12" t="s">
        <v>340</v>
      </c>
      <c r="B561" s="6" t="s">
        <v>15</v>
      </c>
      <c r="C561" s="12" t="s">
        <v>341</v>
      </c>
      <c r="D561" s="12" t="s">
        <v>342</v>
      </c>
      <c r="E561" s="12" t="s">
        <v>343</v>
      </c>
      <c r="F561" s="12" t="s">
        <v>344</v>
      </c>
      <c r="G561" s="12" t="s">
        <v>345</v>
      </c>
      <c r="H561" s="12" t="s">
        <v>346</v>
      </c>
      <c r="I561" s="12" t="s">
        <v>347</v>
      </c>
      <c r="J561" s="12" t="s">
        <v>348</v>
      </c>
      <c r="K561" s="12" t="s">
        <v>349</v>
      </c>
      <c r="L561" s="12" t="s">
        <v>350</v>
      </c>
      <c r="M561" s="12" t="s">
        <v>351</v>
      </c>
      <c r="N561" s="12" t="s">
        <v>352</v>
      </c>
      <c r="O561" s="12" t="s">
        <v>353</v>
      </c>
      <c r="P561" s="12" t="s">
        <v>354</v>
      </c>
      <c r="Q561" s="12" t="s">
        <v>355</v>
      </c>
      <c r="R561" s="12" t="s">
        <v>356</v>
      </c>
      <c r="S561" s="12"/>
      <c r="T561" s="6" t="s">
        <v>327</v>
      </c>
    </row>
    <row r="562" customFormat="false" ht="17.15" hidden="false" customHeight="false" outlineLevel="0" collapsed="false">
      <c r="A562" s="5" t="s">
        <v>357</v>
      </c>
      <c r="B562" s="0" t="s">
        <v>25</v>
      </c>
      <c r="C562" s="13" t="n">
        <f aca="false">Units!E4*1</f>
        <v>2.31</v>
      </c>
      <c r="D562" s="13" t="n">
        <f aca="false">Units!F4*1</f>
        <v>3.03</v>
      </c>
      <c r="E562" s="13" t="n">
        <f aca="false">Units!G4*1</f>
        <v>5.95</v>
      </c>
      <c r="F562" s="13" t="n">
        <f aca="false">Units!H4*1</f>
        <v>8.97</v>
      </c>
      <c r="G562" s="13" t="n">
        <f aca="false">Units!I4*1</f>
        <v>10.5558839933073</v>
      </c>
      <c r="H562" s="13" t="n">
        <f aca="false">Units!J4*1*1</f>
        <v>13.0085478256151</v>
      </c>
      <c r="I562" s="13" t="n">
        <f aca="false">Units!K4*1*1</f>
        <v>14.3338273511937</v>
      </c>
      <c r="J562" s="13" t="n">
        <f aca="false">Units!L4*1*1</f>
        <v>15.1561771362706</v>
      </c>
      <c r="K562" s="13" t="n">
        <f aca="false">Units!M4*1*1</f>
        <v>15.224420859132</v>
      </c>
      <c r="L562" s="13" t="n">
        <f aca="false">Units!N4*1*1</f>
        <v>14.9710145606433</v>
      </c>
      <c r="M562" s="13" t="n">
        <f aca="false">Units!O4*1*1</f>
        <v>15.0384245519258</v>
      </c>
      <c r="N562" s="13" t="n">
        <f aca="false">Units!P4*1*1</f>
        <v>15.1061380701941</v>
      </c>
      <c r="O562" s="13" t="n">
        <f aca="false">Units!Q4*1*1</f>
        <v>15.1741564821393</v>
      </c>
      <c r="P562" s="13" t="n">
        <f aca="false">Units!R4*1*1</f>
        <v>15.2424811606062</v>
      </c>
      <c r="Q562" s="13" t="n">
        <f aca="false">Units!S4*1*1</f>
        <v>15.3696532550844</v>
      </c>
      <c r="R562" s="13" t="n">
        <f aca="false">Units!T4*1*1</f>
        <v>15.6540842486561</v>
      </c>
      <c r="T562" s="8" t="s">
        <v>358</v>
      </c>
    </row>
    <row r="563" customFormat="false" ht="15" hidden="false" customHeight="false" outlineLevel="0" collapsed="false">
      <c r="A563" s="5" t="s">
        <v>359</v>
      </c>
      <c r="B563" s="0" t="s">
        <v>308</v>
      </c>
      <c r="C563" s="13" t="n">
        <f aca="false">Units!E7*1</f>
        <v>31.1552804325753</v>
      </c>
      <c r="D563" s="13" t="n">
        <f aca="false">Units!F7*1</f>
        <v>33.5147228924475</v>
      </c>
      <c r="E563" s="13" t="n">
        <f aca="false">Units!G7*1</f>
        <v>38.0693331650007</v>
      </c>
      <c r="F563" s="13" t="n">
        <f aca="false">Units!H7*1</f>
        <v>33.6172154529341</v>
      </c>
      <c r="G563" s="13" t="n">
        <f aca="false">Units!I7*1</f>
        <v>34.4006036061451</v>
      </c>
      <c r="H563" s="13" t="n">
        <f aca="false">Units!J7*1</f>
        <v>36.079657444519</v>
      </c>
      <c r="I563" s="13" t="n">
        <f aca="false">Units!K7*1</f>
        <v>38.597442775475</v>
      </c>
      <c r="J563" s="13" t="n">
        <f aca="false">Units!L7*1</f>
        <v>40.8118268330789</v>
      </c>
      <c r="K563" s="13" t="n">
        <f aca="false">Units!M7*1</f>
        <v>43.1532529018101</v>
      </c>
      <c r="L563" s="13" t="n">
        <f aca="false">Units!N7*1</f>
        <v>45.6290095423572</v>
      </c>
      <c r="M563" s="13" t="n">
        <f aca="false">Units!O7*1</f>
        <v>48.2468034693437</v>
      </c>
      <c r="N563" s="13" t="n">
        <f aca="false">Units!P7*1</f>
        <v>51.0147835413486</v>
      </c>
      <c r="O563" s="13" t="n">
        <f aca="false">Units!Q7*1</f>
        <v>53.9415661272627</v>
      </c>
      <c r="P563" s="13" t="n">
        <f aca="false">Units!R7*1</f>
        <v>57.0362619279465</v>
      </c>
      <c r="Q563" s="13" t="n">
        <f aca="false">Units!S7*1</f>
        <v>59.2908563983564</v>
      </c>
      <c r="R563" s="13" t="n">
        <f aca="false">Units!T7*1</f>
        <v>62.2557667231854</v>
      </c>
    </row>
    <row r="564" customFormat="false" ht="17.15" hidden="false" customHeight="false" outlineLevel="0" collapsed="false">
      <c r="A564" s="5" t="s">
        <v>266</v>
      </c>
      <c r="B564" s="0" t="s">
        <v>25</v>
      </c>
      <c r="C564" s="13" t="n">
        <f aca="false">q1_rev</f>
        <v>2.308</v>
      </c>
      <c r="D564" s="13" t="n">
        <f aca="false">q2_rev</f>
        <v>3.025</v>
      </c>
      <c r="E564" s="13" t="n">
        <f aca="false">q3_rev</f>
        <v>5.95</v>
      </c>
      <c r="F564" s="13" t="n">
        <f aca="false">q4_rev</f>
        <v>8.965</v>
      </c>
      <c r="G564" s="13" t="n">
        <f aca="false">G562*sd_k</f>
        <v>10.549631742176</v>
      </c>
      <c r="H564" s="13" t="n">
        <f aca="false">H562*sd_k</f>
        <v>13.0008428614538</v>
      </c>
      <c r="I564" s="13" t="n">
        <f aca="false">I562*sd_k</f>
        <v>14.3253374238386</v>
      </c>
      <c r="J564" s="13" t="n">
        <f aca="false">J562*sd_k</f>
        <v>15.1472001310566</v>
      </c>
      <c r="K564" s="13" t="n">
        <f aca="false">K562*sd_k</f>
        <v>15.2154034331542</v>
      </c>
      <c r="L564" s="13" t="n">
        <f aca="false">L562*sd_k</f>
        <v>14.9621472272411</v>
      </c>
      <c r="M564" s="13" t="n">
        <f aca="false">M562*sd_k</f>
        <v>15.0295172915792</v>
      </c>
      <c r="N564" s="13" t="n">
        <f aca="false">N562*sd_k</f>
        <v>15.0971907031239</v>
      </c>
      <c r="O564" s="13" t="n">
        <f aca="false">O562*sd_k</f>
        <v>15.165168827757</v>
      </c>
      <c r="P564" s="13" t="n">
        <f aca="false">P562*sd_k</f>
        <v>15.2334530375101</v>
      </c>
      <c r="Q564" s="13" t="n">
        <f aca="false">Q562*sd_k</f>
        <v>15.3605498079442</v>
      </c>
      <c r="R564" s="13" t="n">
        <f aca="false">R562*sd_k</f>
        <v>15.6448123330103</v>
      </c>
      <c r="T564" s="5" t="s">
        <v>360</v>
      </c>
    </row>
    <row r="565" customFormat="false" ht="17.15" hidden="false" customHeight="false" outlineLevel="0" collapsed="false">
      <c r="A565" s="5" t="s">
        <v>361</v>
      </c>
      <c r="B565" s="0" t="s">
        <v>362</v>
      </c>
      <c r="C565" s="19" t="n">
        <f aca="false">C566/C563</f>
        <v>0.0520045391183812</v>
      </c>
      <c r="D565" s="19" t="n">
        <f aca="false">D566/D563</f>
        <v>0.0443170902760084</v>
      </c>
      <c r="E565" s="19" t="n">
        <f aca="false">E566/E563</f>
        <v>0.0337594565796481</v>
      </c>
      <c r="F565" s="19" t="n">
        <f aca="false">F566/F563</f>
        <v>0.0410685412637144</v>
      </c>
      <c r="G565" s="19" t="n">
        <f aca="false">(1-g_gm)*G564/G563</f>
        <v>0.0490671936479231</v>
      </c>
      <c r="H565" s="19" t="n">
        <f aca="false">$G565*(1-cd_A)^(1/4)</f>
        <v>0.0472515253161731</v>
      </c>
      <c r="I565" s="19" t="n">
        <f aca="false">$G565*(1-cd_A)^(2/4)</f>
        <v>0.0455030434535449</v>
      </c>
      <c r="J565" s="19" t="n">
        <f aca="false">$G565*(1-cd_A)^(3/4)</f>
        <v>0.0438192619112447</v>
      </c>
      <c r="K565" s="19" t="n">
        <f aca="false">$G565*(1-cd_A)^(4/4)</f>
        <v>0.0421977865372139</v>
      </c>
      <c r="L565" s="19" t="n">
        <f aca="false">$G565*(1-cd_A)^(5/4)</f>
        <v>0.0406363117719089</v>
      </c>
      <c r="M565" s="19" t="n">
        <f aca="false">$G565*(1-cd_A)^(6/4)</f>
        <v>0.0391326173700486</v>
      </c>
      <c r="N565" s="19" t="n">
        <f aca="false">$G565*(1-cd_A)^(7/4)</f>
        <v>0.0376845652436704</v>
      </c>
      <c r="O565" s="19" t="n">
        <f aca="false">$G565*(1-cd_A)^(8/4)</f>
        <v>0.0362900964220039</v>
      </c>
      <c r="P565" s="19" t="n">
        <f aca="false">$G565*(1-cd_A)^(9/4)</f>
        <v>0.0349472281238416</v>
      </c>
      <c r="Q565" s="19" t="n">
        <f aca="false">$G565*(1-cd_A)^(10/4)</f>
        <v>0.0336540509382418</v>
      </c>
      <c r="R565" s="19" t="n">
        <f aca="false">$G565*(1-cd_A)^(11/4)</f>
        <v>0.0324087261095565</v>
      </c>
    </row>
    <row r="566" customFormat="false" ht="15" hidden="false" customHeight="false" outlineLevel="0" collapsed="false">
      <c r="A566" s="5" t="s">
        <v>363</v>
      </c>
      <c r="B566" s="0" t="s">
        <v>25</v>
      </c>
      <c r="C566" s="13" t="n">
        <f aca="false">q1_rev*(1-q1_gm)</f>
        <v>1.620216</v>
      </c>
      <c r="D566" s="13" t="n">
        <f aca="false">q2_rev*(1-q2_gm)</f>
        <v>1.485275</v>
      </c>
      <c r="E566" s="13" t="n">
        <f aca="false">q3_rev*(1-q3_gm)</f>
        <v>1.2852</v>
      </c>
      <c r="F566" s="13" t="n">
        <f aca="false">q4_rev*(1-q4_gm)</f>
        <v>1.38061</v>
      </c>
      <c r="G566" s="13" t="n">
        <f aca="false">G563*G565</f>
        <v>1.68794107874816</v>
      </c>
      <c r="H566" s="13" t="n">
        <f aca="false">H563*H565</f>
        <v>1.70481884713854</v>
      </c>
      <c r="I566" s="13" t="n">
        <f aca="false">I563*I565</f>
        <v>1.75630111580815</v>
      </c>
      <c r="J566" s="13" t="n">
        <f aca="false">J563*J565</f>
        <v>1.78834412907505</v>
      </c>
      <c r="K566" s="13" t="n">
        <f aca="false">K563*K565</f>
        <v>1.82097175433699</v>
      </c>
      <c r="L566" s="13" t="n">
        <f aca="false">L563*L565</f>
        <v>1.85419465760663</v>
      </c>
      <c r="M566" s="13" t="n">
        <f aca="false">M563*M565</f>
        <v>1.88802369949376</v>
      </c>
      <c r="N566" s="13" t="n">
        <f aca="false">N563*N565</f>
        <v>1.92246993875567</v>
      </c>
      <c r="O566" s="13" t="n">
        <f aca="false">O563*O565</f>
        <v>1.95754463591226</v>
      </c>
      <c r="P566" s="13" t="n">
        <f aca="false">P563*P565</f>
        <v>1.99325925692713</v>
      </c>
      <c r="Q566" s="13" t="n">
        <f aca="false">Q563*Q565</f>
        <v>1.99537750140227</v>
      </c>
      <c r="R566" s="13" t="n">
        <f aca="false">R563*R565</f>
        <v>2.01763009247216</v>
      </c>
    </row>
    <row r="567" customFormat="false" ht="15" hidden="false" customHeight="false" outlineLevel="0" collapsed="false">
      <c r="A567" s="5" t="s">
        <v>329</v>
      </c>
      <c r="B567" s="0" t="s">
        <v>31</v>
      </c>
      <c r="C567" s="14" t="n">
        <f aca="false">1-C566/C564</f>
        <v>0.298</v>
      </c>
      <c r="D567" s="14" t="n">
        <f aca="false">1-D566/D564</f>
        <v>0.509</v>
      </c>
      <c r="E567" s="14" t="n">
        <f aca="false">1-E566/E564</f>
        <v>0.784</v>
      </c>
      <c r="F567" s="14" t="n">
        <f aca="false">1-F566/F564</f>
        <v>0.846</v>
      </c>
      <c r="G567" s="14" t="n">
        <f aca="false">1-G566/G564</f>
        <v>0.84</v>
      </c>
      <c r="H567" s="14" t="n">
        <f aca="false">1-H566/H564</f>
        <v>0.868868590651676</v>
      </c>
      <c r="I567" s="14" t="n">
        <f aca="false">1-I566/I564</f>
        <v>0.877398970520198</v>
      </c>
      <c r="J567" s="14" t="n">
        <f aca="false">1-J566/J564</f>
        <v>0.881935663779317</v>
      </c>
      <c r="K567" s="14" t="n">
        <f aca="false">1-K566/K564</f>
        <v>0.88032050794203</v>
      </c>
      <c r="L567" s="14" t="n">
        <f aca="false">1-L566/L564</f>
        <v>0.876074294053814</v>
      </c>
      <c r="M567" s="14" t="n">
        <f aca="false">1-M566/M564</f>
        <v>0.874378952905454</v>
      </c>
      <c r="N567" s="14" t="n">
        <f aca="false">1-N566/N564</f>
        <v>0.872660418977295</v>
      </c>
      <c r="O567" s="14" t="n">
        <f aca="false">1-O566/O564</f>
        <v>0.870918374985094</v>
      </c>
      <c r="P567" s="14" t="n">
        <f aca="false">1-P566/P564</f>
        <v>0.869152499304063</v>
      </c>
      <c r="Q567" s="14" t="n">
        <f aca="false">1-Q566/Q564</f>
        <v>0.870097260426818</v>
      </c>
      <c r="R567" s="14" t="n">
        <f aca="false">1-R566/R564</f>
        <v>0.871035200069803</v>
      </c>
    </row>
    <row r="568" customFormat="false" ht="17.15" hidden="false" customHeight="false" outlineLevel="0" collapsed="false">
      <c r="A568" s="5" t="s">
        <v>364</v>
      </c>
      <c r="B568" s="0" t="s">
        <v>25</v>
      </c>
      <c r="C568" s="13" t="n">
        <f aca="false">q1_rev-q1_rev*(1-q1_gm)-q1_op</f>
        <v>0.511784</v>
      </c>
      <c r="D568" s="13" t="n">
        <f aca="false">q2_rev-q2_rev*(1-q2_gm)-q2_op</f>
        <v>0.474725</v>
      </c>
      <c r="E568" s="13" t="n">
        <f aca="false">q3_rev-q3_rev*(1-q3_gm)-q3_op</f>
        <v>0.553800000000001</v>
      </c>
      <c r="F568" s="13" t="n">
        <f aca="false">q4_rev-q4_rev*(1-q4_gm)-q4_op</f>
        <v>0.54739</v>
      </c>
      <c r="G568" s="13" t="n">
        <f aca="false">(g_ox-ox_var*g_rev)*(1+ox_g)^(0/4)+ox_var*G564</f>
        <v>0.59399631742176</v>
      </c>
      <c r="H568" s="13" t="n">
        <f aca="false">(g_ox-ox_var*g_rev)*(1+ox_g)^(1/4)+ox_var*H564</f>
        <v>0.63028796573229</v>
      </c>
      <c r="I568" s="13" t="n">
        <f aca="false">(g_ox-ox_var*g_rev)*(1+ox_g)^(2/4)+ox_var*I564</f>
        <v>0.655596496569505</v>
      </c>
      <c r="J568" s="13" t="n">
        <f aca="false">(g_ox-ox_var*g_rev)*(1+ox_g)^(3/4)+ox_var*J564</f>
        <v>0.676169606398132</v>
      </c>
      <c r="K568" s="13" t="n">
        <f aca="false">(g_ox-ox_var*g_rev)*(1+ox_g)^(4/4)+ox_var*K564</f>
        <v>0.689504034331542</v>
      </c>
      <c r="L568" s="13" t="n">
        <f aca="false">(g_ox-ox_var*g_rev)*(1+ox_g)^(5/4)+ox_var*L564</f>
        <v>0.699928963101938</v>
      </c>
      <c r="M568" s="13" t="n">
        <f aca="false">(g_ox-ox_var*g_rev)*(1+ox_g)^(6/4)+ox_var*M564</f>
        <v>0.713872607480023</v>
      </c>
      <c r="N568" s="13" t="n">
        <f aca="false">(g_ox-ox_var*g_rev)*(1+ox_g)^(7/4)+ox_var*N564</f>
        <v>0.728139272627561</v>
      </c>
      <c r="O568" s="13" t="n">
        <f aca="false">(g_ox-ox_var*g_rev)*(1+ox_g)^(8/4)+ox_var*O564</f>
        <v>0.74273668827757</v>
      </c>
      <c r="P568" s="13" t="n">
        <f aca="false">(g_ox-ox_var*g_rev)*(1+ox_g)^(9/4)+ox_var*P564</f>
        <v>0.75767277028758</v>
      </c>
      <c r="Q568" s="13" t="n">
        <f aca="false">(g_ox-ox_var*g_rev)*(1+ox_g)^(10/4)+ox_var*Q564</f>
        <v>0.773540676100096</v>
      </c>
      <c r="R568" s="13" t="n">
        <f aca="false">(g_ox-ox_var*g_rev)*(1+ox_g)^(11/4)+ox_var*R564</f>
        <v>0.791332225486057</v>
      </c>
      <c r="T568" s="5" t="s">
        <v>365</v>
      </c>
    </row>
    <row r="569" customFormat="false" ht="15" hidden="false" customHeight="false" outlineLevel="0" collapsed="false">
      <c r="A569" s="5" t="s">
        <v>330</v>
      </c>
      <c r="B569" s="0" t="s">
        <v>25</v>
      </c>
      <c r="C569" s="13" t="n">
        <f aca="false">C564-C566-C568</f>
        <v>0.176</v>
      </c>
      <c r="D569" s="13" t="n">
        <f aca="false">D564-D566-D568</f>
        <v>1.065</v>
      </c>
      <c r="E569" s="13" t="n">
        <f aca="false">E564-E566-E568</f>
        <v>4.111</v>
      </c>
      <c r="F569" s="13" t="n">
        <f aca="false">F564-F566-F568</f>
        <v>7.037</v>
      </c>
      <c r="G569" s="13" t="n">
        <f aca="false">G564-G566-G568</f>
        <v>8.2676943460061</v>
      </c>
      <c r="H569" s="13" t="n">
        <f aca="false">H564-H566-H568</f>
        <v>10.665736048583</v>
      </c>
      <c r="I569" s="13" t="n">
        <f aca="false">I564-I566-I568</f>
        <v>11.9134398114609</v>
      </c>
      <c r="J569" s="13" t="n">
        <f aca="false">J564-J566-J568</f>
        <v>12.6826863955834</v>
      </c>
      <c r="K569" s="13" t="n">
        <f aca="false">K564-K566-K568</f>
        <v>12.7049276444857</v>
      </c>
      <c r="L569" s="13" t="n">
        <f aca="false">L564-L566-L568</f>
        <v>12.4080236065326</v>
      </c>
      <c r="M569" s="13" t="n">
        <f aca="false">M564-M566-M568</f>
        <v>12.4276209846054</v>
      </c>
      <c r="N569" s="13" t="n">
        <f aca="false">N564-N566-N568</f>
        <v>12.4465814917407</v>
      </c>
      <c r="O569" s="13" t="n">
        <f aca="false">O564-O566-O568</f>
        <v>12.4648875035672</v>
      </c>
      <c r="P569" s="13" t="n">
        <f aca="false">P564-P566-P568</f>
        <v>12.4825210102954</v>
      </c>
      <c r="Q569" s="13" t="n">
        <f aca="false">Q564-Q566-Q568</f>
        <v>12.5916316304418</v>
      </c>
      <c r="R569" s="13" t="n">
        <f aca="false">R564-R566-R568</f>
        <v>12.8358500150521</v>
      </c>
    </row>
    <row r="571" customFormat="false" ht="17.15" hidden="false" customHeight="false" outlineLevel="0" collapsed="false">
      <c r="A571" s="5" t="s">
        <v>332</v>
      </c>
      <c r="B571" s="0" t="s">
        <v>25</v>
      </c>
      <c r="C571" s="13" t="n">
        <f aca="false">q1_ni</f>
        <v>0.112</v>
      </c>
      <c r="D571" s="13" t="n">
        <f aca="false">q2_ni</f>
        <v>0.803</v>
      </c>
      <c r="E571" s="13" t="n">
        <f aca="false">q3_ni</f>
        <v>3.615</v>
      </c>
      <c r="F571" s="13" t="n">
        <f aca="false">q4_ni</f>
        <v>6.903</v>
      </c>
      <c r="G571" s="13" t="n">
        <f aca="false">(G569+rf*$D587/4)*(1-tax_lo)</f>
        <v>7.31747662448537</v>
      </c>
      <c r="H571" s="13" t="n">
        <f aca="false">(H569+rf*$D587/4)*(1-tax_lo)</f>
        <v>9.42775332275304</v>
      </c>
      <c r="I571" s="13" t="n">
        <f aca="false">(I569+rf*$D587/4)*(1-tax_lo)</f>
        <v>10.5257326340856</v>
      </c>
      <c r="J571" s="13" t="n">
        <f aca="false">(J569+rf*$D587/4)*(1-tax_lo)</f>
        <v>11.2026696281134</v>
      </c>
      <c r="K571" s="13" t="n">
        <f aca="false">(K569+rf*$E587/4)*(1-tax_lo)</f>
        <v>11.3782318336591</v>
      </c>
      <c r="L571" s="13" t="n">
        <f aca="false">(L569+rf*$E587/4)*(1-tax_lo)</f>
        <v>11.1169562802603</v>
      </c>
      <c r="M571" s="13" t="n">
        <f aca="false">(M569+rf*$E587/4)*(1-tax_lo)</f>
        <v>11.1342019729644</v>
      </c>
      <c r="N571" s="13" t="n">
        <f aca="false">(N569+rf*$E587/4)*(1-tax_lo)</f>
        <v>11.1508872192435</v>
      </c>
      <c r="O571" s="13" t="n">
        <f aca="false">(O569+rf*$F587/4)*(1-tax_lo)</f>
        <v>11.3488134055128</v>
      </c>
      <c r="P571" s="13" t="n">
        <f aca="false">(P569+rf*$F587/4)*(1-tax_lo)</f>
        <v>11.3643308914336</v>
      </c>
      <c r="Q571" s="13" t="n">
        <f aca="false">(Q569+rf*$F587/4)*(1-tax_lo)</f>
        <v>11.4603482371625</v>
      </c>
      <c r="R571" s="13" t="n">
        <f aca="false">(R569+rf*$F587/4)*(1-tax_lo)</f>
        <v>11.6752604156195</v>
      </c>
      <c r="T571" s="5" t="s">
        <v>366</v>
      </c>
    </row>
    <row r="572" customFormat="false" ht="17.15" hidden="false" customHeight="false" outlineLevel="0" collapsed="false">
      <c r="A572" s="5" t="s">
        <v>367</v>
      </c>
      <c r="B572" s="0" t="s">
        <v>38</v>
      </c>
      <c r="G572" s="15" t="n">
        <f aca="false">G571/(sh0+dil)*1000</f>
        <v>47.209526609583</v>
      </c>
      <c r="H572" s="15" t="n">
        <f aca="false">H571/(sh0+dil)*1000</f>
        <v>60.8242149855035</v>
      </c>
      <c r="I572" s="15" t="n">
        <f aca="false">I571/(sh0+dil)*1000</f>
        <v>67.9079524779718</v>
      </c>
      <c r="J572" s="15" t="n">
        <f aca="false">J571/(sh0+dil)*1000</f>
        <v>72.2752879233125</v>
      </c>
      <c r="K572" s="15" t="n">
        <f aca="false">K571/(sh0+dil)*1000</f>
        <v>73.4079473139296</v>
      </c>
      <c r="L572" s="15" t="n">
        <f aca="false">L571/(sh0+dil)*1000</f>
        <v>71.7222985823248</v>
      </c>
      <c r="M572" s="15" t="n">
        <f aca="false">M571/(sh0+dil)*1000</f>
        <v>71.8335611158993</v>
      </c>
      <c r="N572" s="15" t="n">
        <f aca="false">N571/(sh0+dil)*1000</f>
        <v>71.9412078660868</v>
      </c>
      <c r="O572" s="15" t="n">
        <f aca="false">O571/(sh0+dil)*1000</f>
        <v>73.2181510033083</v>
      </c>
      <c r="P572" s="15" t="n">
        <f aca="false">P571/(sh0+dil)*1000</f>
        <v>73.3182638157008</v>
      </c>
      <c r="Q572" s="15" t="n">
        <f aca="false">Q571/(sh0+dil)*1000</f>
        <v>73.9377305623386</v>
      </c>
      <c r="R572" s="15" t="n">
        <f aca="false">R571/(sh0+dil)*1000</f>
        <v>75.3242607459324</v>
      </c>
    </row>
    <row r="574" customFormat="false" ht="17.15" hidden="false" customHeight="false" outlineLevel="0" collapsed="false">
      <c r="A574" s="12" t="s">
        <v>368</v>
      </c>
      <c r="B574" s="6" t="s">
        <v>15</v>
      </c>
      <c r="C574" s="12" t="s">
        <v>322</v>
      </c>
      <c r="D574" s="12" t="s">
        <v>323</v>
      </c>
      <c r="E574" s="12" t="s">
        <v>324</v>
      </c>
      <c r="F574" s="12" t="s">
        <v>325</v>
      </c>
      <c r="G574" s="12" t="s">
        <v>326</v>
      </c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6" t="s">
        <v>327</v>
      </c>
    </row>
    <row r="575" customFormat="false" ht="15" hidden="false" customHeight="false" outlineLevel="0" collapsed="false">
      <c r="A575" s="5" t="s">
        <v>266</v>
      </c>
      <c r="B575" s="0" t="s">
        <v>25</v>
      </c>
      <c r="C575" s="13" t="n">
        <f aca="false">a25_rev</f>
        <v>7.355</v>
      </c>
      <c r="D575" s="13" t="n">
        <f aca="false">SUM(C564:F564)</f>
        <v>20.248</v>
      </c>
      <c r="E575" s="13" t="n">
        <f aca="false">SUM(G564:J564)</f>
        <v>53.0230121585251</v>
      </c>
      <c r="F575" s="13" t="n">
        <f aca="false">SUM(K564:N564)</f>
        <v>60.3042586550984</v>
      </c>
      <c r="G575" s="13" t="n">
        <f aca="false">SUM(O564:R564)</f>
        <v>61.4039840062216</v>
      </c>
    </row>
    <row r="576" customFormat="false" ht="15" hidden="false" customHeight="false" outlineLevel="0" collapsed="false">
      <c r="A576" s="5" t="s">
        <v>363</v>
      </c>
      <c r="B576" s="0" t="s">
        <v>25</v>
      </c>
      <c r="D576" s="13" t="n">
        <f aca="false">SUM(C566:F566)</f>
        <v>5.771301</v>
      </c>
      <c r="E576" s="13" t="n">
        <f aca="false">SUM(G566:J566)</f>
        <v>6.93740517076991</v>
      </c>
      <c r="F576" s="13" t="n">
        <f aca="false">SUM(K566:N566)</f>
        <v>7.48566005019306</v>
      </c>
      <c r="G576" s="13" t="n">
        <f aca="false">SUM(O566:R566)</f>
        <v>7.96381148671382</v>
      </c>
    </row>
    <row r="577" customFormat="false" ht="15" hidden="false" customHeight="false" outlineLevel="0" collapsed="false">
      <c r="A577" s="5" t="s">
        <v>329</v>
      </c>
      <c r="B577" s="0" t="s">
        <v>31</v>
      </c>
      <c r="D577" s="14" t="n">
        <f aca="false">1-D576/D575</f>
        <v>0.714969330304228</v>
      </c>
      <c r="E577" s="14" t="n">
        <f aca="false">1-E576/E575</f>
        <v>0.86916237142415</v>
      </c>
      <c r="F577" s="14" t="n">
        <f aca="false">1-F576/F575</f>
        <v>0.875868467382939</v>
      </c>
      <c r="G577" s="14" t="n">
        <f aca="false">1-G576/G575</f>
        <v>0.870304645283164</v>
      </c>
    </row>
    <row r="578" customFormat="false" ht="15" hidden="false" customHeight="false" outlineLevel="0" collapsed="false">
      <c r="A578" s="5" t="s">
        <v>364</v>
      </c>
      <c r="B578" s="0" t="s">
        <v>25</v>
      </c>
      <c r="D578" s="13" t="n">
        <f aca="false">SUM(C568:F568)</f>
        <v>2.087699</v>
      </c>
      <c r="E578" s="13" t="n">
        <f aca="false">SUM(G568:J568)</f>
        <v>2.55605038612169</v>
      </c>
      <c r="F578" s="13" t="n">
        <f aca="false">SUM(K568:N568)</f>
        <v>2.83144487754106</v>
      </c>
      <c r="G578" s="13" t="n">
        <f aca="false">SUM(O568:R568)</f>
        <v>3.0652823601513</v>
      </c>
    </row>
    <row r="579" customFormat="false" ht="15" hidden="false" customHeight="false" outlineLevel="0" collapsed="false">
      <c r="A579" s="5" t="s">
        <v>330</v>
      </c>
      <c r="B579" s="0" t="s">
        <v>25</v>
      </c>
      <c r="D579" s="13" t="n">
        <f aca="false">SUM(C569:F569)</f>
        <v>12.389</v>
      </c>
      <c r="E579" s="13" t="n">
        <f aca="false">SUM(G569:J569)</f>
        <v>43.5295566016335</v>
      </c>
      <c r="F579" s="13" t="n">
        <f aca="false">SUM(K569:N569)</f>
        <v>49.9871537273643</v>
      </c>
      <c r="G579" s="13" t="n">
        <f aca="false">SUM(O569:R569)</f>
        <v>50.3748901593564</v>
      </c>
    </row>
    <row r="580" customFormat="false" ht="15" hidden="false" customHeight="false" outlineLevel="0" collapsed="false">
      <c r="A580" s="5" t="s">
        <v>331</v>
      </c>
      <c r="B580" s="0" t="s">
        <v>31</v>
      </c>
      <c r="D580" s="14" t="n">
        <f aca="false">D579/D575</f>
        <v>0.61186290003951</v>
      </c>
      <c r="E580" s="14" t="n">
        <f aca="false">E579/E575</f>
        <v>0.820955936480775</v>
      </c>
      <c r="F580" s="14" t="n">
        <f aca="false">F579/F575</f>
        <v>0.828915815270339</v>
      </c>
      <c r="G580" s="14" t="n">
        <f aca="false">G579/G575</f>
        <v>0.820384718917463</v>
      </c>
    </row>
    <row r="581" customFormat="false" ht="15" hidden="false" customHeight="false" outlineLevel="0" collapsed="false">
      <c r="A581" s="5" t="s">
        <v>332</v>
      </c>
      <c r="B581" s="0" t="s">
        <v>25</v>
      </c>
      <c r="C581" s="13" t="n">
        <f aca="false">a25_ni</f>
        <v>-1.641</v>
      </c>
      <c r="D581" s="13" t="n">
        <f aca="false">SUM(C571:F571)</f>
        <v>11.433</v>
      </c>
      <c r="E581" s="13" t="n">
        <f aca="false">SUM(G571:J571)</f>
        <v>38.4736322094375</v>
      </c>
      <c r="F581" s="13" t="n">
        <f aca="false">SUM(K571:N571)</f>
        <v>44.7802773061273</v>
      </c>
      <c r="G581" s="13" t="n">
        <f aca="false">SUM(O571:R571)</f>
        <v>45.8487529497284</v>
      </c>
    </row>
    <row r="582" customFormat="false" ht="15" hidden="false" customHeight="false" outlineLevel="0" collapsed="false">
      <c r="A582" s="5" t="s">
        <v>369</v>
      </c>
      <c r="B582" s="0" t="s">
        <v>25</v>
      </c>
      <c r="D582" s="13" t="n">
        <f aca="false">da_y</f>
        <v>0.16</v>
      </c>
      <c r="E582" s="13" t="n">
        <f aca="false">da_y</f>
        <v>0.16</v>
      </c>
      <c r="F582" s="13" t="n">
        <f aca="false">da_y</f>
        <v>0.16</v>
      </c>
      <c r="G582" s="13" t="n">
        <f aca="false">da_y</f>
        <v>0.16</v>
      </c>
    </row>
    <row r="583" customFormat="false" ht="17.15" hidden="false" customHeight="false" outlineLevel="0" collapsed="false">
      <c r="A583" s="5" t="s">
        <v>370</v>
      </c>
      <c r="B583" s="0" t="s">
        <v>25</v>
      </c>
      <c r="D583" s="13" t="n">
        <v>0.562</v>
      </c>
      <c r="E583" s="13" t="n">
        <f aca="false">cap_r*E575</f>
        <v>3.1813807295115</v>
      </c>
      <c r="F583" s="13" t="n">
        <f aca="false">cap_r*F575</f>
        <v>3.61825551930591</v>
      </c>
      <c r="G583" s="13" t="n">
        <f aca="false">cap_r*G575</f>
        <v>3.68423904037329</v>
      </c>
      <c r="T583" s="8" t="s">
        <v>371</v>
      </c>
    </row>
    <row r="584" customFormat="false" ht="15" hidden="false" customHeight="false" outlineLevel="0" collapsed="false">
      <c r="A584" s="5" t="s">
        <v>372</v>
      </c>
      <c r="B584" s="0" t="s">
        <v>25</v>
      </c>
      <c r="D584" s="13" t="n">
        <f aca="false">D581+D582-D583</f>
        <v>11.031</v>
      </c>
      <c r="E584" s="13" t="n">
        <f aca="false">E581+E582-E583</f>
        <v>35.452251479926</v>
      </c>
      <c r="F584" s="13" t="n">
        <f aca="false">F581+F582-F583</f>
        <v>41.3220217868214</v>
      </c>
      <c r="G584" s="13" t="n">
        <f aca="false">G581+G582-G583</f>
        <v>42.3245139093551</v>
      </c>
    </row>
    <row r="585" customFormat="false" ht="17.15" hidden="false" customHeight="false" outlineLevel="0" collapsed="false">
      <c r="A585" s="5" t="s">
        <v>373</v>
      </c>
      <c r="B585" s="0" t="s">
        <v>25</v>
      </c>
      <c r="D585" s="13" t="n">
        <v>4.524</v>
      </c>
      <c r="E585" s="13" t="n">
        <f aca="false">MAX(0,payout*E584)</f>
        <v>17.726125739963</v>
      </c>
      <c r="F585" s="13" t="n">
        <f aca="false">MAX(0,payout*F584)</f>
        <v>20.6610108934107</v>
      </c>
      <c r="G585" s="13" t="n">
        <f aca="false">MAX(0,payout*G584)</f>
        <v>21.1622569546776</v>
      </c>
      <c r="T585" s="8" t="s">
        <v>374</v>
      </c>
    </row>
    <row r="586" customFormat="false" ht="15" hidden="false" customHeight="false" outlineLevel="0" collapsed="false">
      <c r="A586" s="5" t="s">
        <v>375</v>
      </c>
      <c r="B586" s="0" t="s">
        <v>25</v>
      </c>
      <c r="D586" s="13" t="n">
        <f aca="false">eq0</f>
        <v>15.736</v>
      </c>
      <c r="E586" s="13" t="n">
        <f aca="false">D586+E581-E585</f>
        <v>36.4835064694745</v>
      </c>
      <c r="F586" s="13" t="n">
        <f aca="false">E586+F581-F585</f>
        <v>60.6027728821911</v>
      </c>
      <c r="G586" s="13" t="n">
        <f aca="false">F586+G581-G585</f>
        <v>85.2892688772419</v>
      </c>
    </row>
    <row r="587" customFormat="false" ht="15" hidden="false" customHeight="false" outlineLevel="0" collapsed="false">
      <c r="A587" s="5" t="s">
        <v>376</v>
      </c>
      <c r="B587" s="0" t="s">
        <v>25</v>
      </c>
      <c r="D587" s="13" t="n">
        <f aca="false">nc0</f>
        <v>4.762</v>
      </c>
      <c r="E587" s="13" t="n">
        <f aca="false">D587+E584-E585</f>
        <v>22.488125739963</v>
      </c>
      <c r="F587" s="13" t="n">
        <f aca="false">E587+F584-F585</f>
        <v>43.1491366333737</v>
      </c>
      <c r="G587" s="13" t="n">
        <f aca="false">F587+G584-G585</f>
        <v>64.3113935880512</v>
      </c>
    </row>
    <row r="588" customFormat="false" ht="15" hidden="false" customHeight="false" outlineLevel="0" collapsed="false">
      <c r="A588" s="5" t="s">
        <v>377</v>
      </c>
      <c r="B588" s="5" t="s">
        <v>111</v>
      </c>
      <c r="D588" s="20" t="n">
        <f aca="false">sh0</f>
        <v>146.42</v>
      </c>
      <c r="E588" s="20" t="n">
        <f aca="false">D588-E585/bb_px*1000</f>
        <v>132.101990145664</v>
      </c>
      <c r="F588" s="20" t="n">
        <f aca="false">E588-F585/bb_px*1000</f>
        <v>115.413371216066</v>
      </c>
      <c r="G588" s="20" t="n">
        <f aca="false">F588-G585/bb_px*1000</f>
        <v>98.3198783647801</v>
      </c>
    </row>
    <row r="589" customFormat="false" ht="17.15" hidden="false" customHeight="false" outlineLevel="0" collapsed="false">
      <c r="A589" s="0" t="s">
        <v>378</v>
      </c>
      <c r="B589" s="0" t="s">
        <v>38</v>
      </c>
      <c r="C589" s="15" t="n">
        <f aca="false">a25_eps</f>
        <v>-11.32</v>
      </c>
      <c r="D589" s="15" t="n">
        <f aca="false">a26_eps</f>
        <v>73.76</v>
      </c>
      <c r="E589" s="15" t="n">
        <f aca="false">E581/(E588+dil)*1000</f>
        <v>273.479442319527</v>
      </c>
      <c r="F589" s="15" t="n">
        <f aca="false">F581/(F588+dil)*1000</f>
        <v>361.150574961744</v>
      </c>
      <c r="G589" s="15" t="n">
        <f aca="false">G581/(G588+dil)*1000</f>
        <v>428.894341612591</v>
      </c>
    </row>
    <row r="590" customFormat="false" ht="17.15" hidden="false" customHeight="false" outlineLevel="0" collapsed="false">
      <c r="A590" s="5" t="s">
        <v>379</v>
      </c>
      <c r="B590" s="0" t="s">
        <v>38</v>
      </c>
      <c r="D590" s="15" t="n">
        <f aca="false">D586/D588*1000</f>
        <v>107.471656877476</v>
      </c>
      <c r="E590" s="15" t="n">
        <f aca="false">E586/E588*1000</f>
        <v>276.176811789477</v>
      </c>
      <c r="F590" s="15" t="n">
        <f aca="false">F586/F588*1000</f>
        <v>525.09316939314</v>
      </c>
      <c r="G590" s="15" t="n">
        <f aca="false">G586/G588*1000</f>
        <v>867.467192756353</v>
      </c>
    </row>
    <row r="591" customFormat="false" ht="17.15" hidden="false" customHeight="false" outlineLevel="0" collapsed="false">
      <c r="A591" s="0" t="s">
        <v>380</v>
      </c>
      <c r="B591" s="0" t="s">
        <v>31</v>
      </c>
      <c r="D591" s="21" t="n">
        <f aca="false">D581/D586</f>
        <v>0.72655058464667</v>
      </c>
      <c r="E591" s="21" t="n">
        <f aca="false">E581/E586</f>
        <v>1.05454864218241</v>
      </c>
      <c r="F591" s="21" t="n">
        <f aca="false">F581/F586</f>
        <v>0.738914659782615</v>
      </c>
      <c r="G591" s="21" t="n">
        <f aca="false">G581/G586</f>
        <v>0.537567663004817</v>
      </c>
    </row>
    <row r="592" customFormat="false" ht="15" hidden="false" customHeight="false" outlineLevel="0" collapsed="false">
      <c r="A592" s="5" t="s">
        <v>381</v>
      </c>
      <c r="B592" s="0" t="s">
        <v>38</v>
      </c>
      <c r="E592" s="15" t="n">
        <f aca="false">E584/(E588+dil)*1000</f>
        <v>252.002771948407</v>
      </c>
      <c r="F592" s="15" t="n">
        <f aca="false">F584/(F588+dil)*1000</f>
        <v>333.25992657152</v>
      </c>
      <c r="G592" s="15" t="n">
        <f aca="false">G584/(G588+dil)*1000</f>
        <v>395.92667977534</v>
      </c>
    </row>
    <row r="593" customFormat="false" ht="17.15" hidden="false" customHeight="false" outlineLevel="0" collapsed="false">
      <c r="A593" s="5" t="s">
        <v>382</v>
      </c>
      <c r="B593" s="0" t="s">
        <v>25</v>
      </c>
      <c r="D593" s="18" t="n">
        <f aca="false">ABS(D575-a26_rev)+ABS(D581-a26_ni)</f>
        <v>0</v>
      </c>
    </row>
    <row r="610" customFormat="false" ht="17.15" hidden="false" customHeight="false" outlineLevel="0" collapsed="false">
      <c r="A610" s="3" t="s">
        <v>659</v>
      </c>
    </row>
    <row r="611" customFormat="false" ht="17.15" hidden="false" customHeight="false" outlineLevel="0" collapsed="false">
      <c r="A611" s="12" t="s">
        <v>340</v>
      </c>
      <c r="B611" s="6" t="s">
        <v>15</v>
      </c>
      <c r="C611" s="12" t="s">
        <v>341</v>
      </c>
      <c r="D611" s="12" t="s">
        <v>342</v>
      </c>
      <c r="E611" s="12" t="s">
        <v>343</v>
      </c>
      <c r="F611" s="12" t="s">
        <v>344</v>
      </c>
      <c r="G611" s="12" t="s">
        <v>345</v>
      </c>
      <c r="H611" s="12" t="s">
        <v>346</v>
      </c>
      <c r="I611" s="12" t="s">
        <v>347</v>
      </c>
      <c r="J611" s="12" t="s">
        <v>348</v>
      </c>
      <c r="K611" s="12" t="s">
        <v>349</v>
      </c>
      <c r="L611" s="12" t="s">
        <v>350</v>
      </c>
      <c r="M611" s="12" t="s">
        <v>351</v>
      </c>
      <c r="N611" s="12" t="s">
        <v>352</v>
      </c>
      <c r="O611" s="12" t="s">
        <v>353</v>
      </c>
      <c r="P611" s="12" t="s">
        <v>354</v>
      </c>
      <c r="Q611" s="12" t="s">
        <v>355</v>
      </c>
      <c r="R611" s="12" t="s">
        <v>356</v>
      </c>
      <c r="S611" s="12"/>
      <c r="T611" s="6" t="s">
        <v>327</v>
      </c>
    </row>
    <row r="612" customFormat="false" ht="17.15" hidden="false" customHeight="false" outlineLevel="0" collapsed="false">
      <c r="A612" s="5" t="s">
        <v>357</v>
      </c>
      <c r="B612" s="0" t="s">
        <v>25</v>
      </c>
      <c r="C612" s="13" t="n">
        <f aca="false">Units!E4*1</f>
        <v>2.31</v>
      </c>
      <c r="D612" s="13" t="n">
        <f aca="false">Units!F4*1</f>
        <v>3.03</v>
      </c>
      <c r="E612" s="13" t="n">
        <f aca="false">Units!G4*1</f>
        <v>5.95</v>
      </c>
      <c r="F612" s="13" t="n">
        <f aca="false">Units!H4*1</f>
        <v>8.97</v>
      </c>
      <c r="G612" s="13" t="n">
        <f aca="false">Units!I4*1</f>
        <v>10.5558839933073</v>
      </c>
      <c r="H612" s="13" t="n">
        <f aca="false">Units!J4*1*1</f>
        <v>13.0085478256151</v>
      </c>
      <c r="I612" s="13" t="n">
        <f aca="false">Units!K4*1*1</f>
        <v>14.3338273511937</v>
      </c>
      <c r="J612" s="13" t="n">
        <f aca="false">Units!L4*1*1</f>
        <v>15.1561771362706</v>
      </c>
      <c r="K612" s="13" t="n">
        <f aca="false">Units!M4*1*1</f>
        <v>15.224420859132</v>
      </c>
      <c r="L612" s="13" t="n">
        <f aca="false">Units!N4*1*1</f>
        <v>14.9710145606433</v>
      </c>
      <c r="M612" s="13" t="n">
        <f aca="false">Units!O4*1*1</f>
        <v>15.0384245519258</v>
      </c>
      <c r="N612" s="13" t="n">
        <f aca="false">Units!P4*1*1</f>
        <v>15.1061380701941</v>
      </c>
      <c r="O612" s="13" t="n">
        <f aca="false">Units!Q4*1*1</f>
        <v>15.1741564821393</v>
      </c>
      <c r="P612" s="13" t="n">
        <f aca="false">Units!R4*1*1</f>
        <v>15.2424811606062</v>
      </c>
      <c r="Q612" s="13" t="n">
        <f aca="false">Units!S4*1*1</f>
        <v>15.3696532550844</v>
      </c>
      <c r="R612" s="13" t="n">
        <f aca="false">Units!T4*1*1</f>
        <v>15.6540842486561</v>
      </c>
      <c r="T612" s="8" t="s">
        <v>358</v>
      </c>
    </row>
    <row r="613" customFormat="false" ht="15" hidden="false" customHeight="false" outlineLevel="0" collapsed="false">
      <c r="A613" s="5" t="s">
        <v>359</v>
      </c>
      <c r="B613" s="0" t="s">
        <v>308</v>
      </c>
      <c r="C613" s="13" t="n">
        <f aca="false">Units!E7*1</f>
        <v>31.1552804325753</v>
      </c>
      <c r="D613" s="13" t="n">
        <f aca="false">Units!F7*1</f>
        <v>33.5147228924475</v>
      </c>
      <c r="E613" s="13" t="n">
        <f aca="false">Units!G7*1</f>
        <v>38.0693331650007</v>
      </c>
      <c r="F613" s="13" t="n">
        <f aca="false">Units!H7*1</f>
        <v>33.6172154529341</v>
      </c>
      <c r="G613" s="13" t="n">
        <f aca="false">Units!I7*1</f>
        <v>34.4006036061451</v>
      </c>
      <c r="H613" s="13" t="n">
        <f aca="false">Units!J7*1</f>
        <v>36.079657444519</v>
      </c>
      <c r="I613" s="13" t="n">
        <f aca="false">Units!K7*1</f>
        <v>38.597442775475</v>
      </c>
      <c r="J613" s="13" t="n">
        <f aca="false">Units!L7*1</f>
        <v>40.8118268330789</v>
      </c>
      <c r="K613" s="13" t="n">
        <f aca="false">Units!M7*1</f>
        <v>43.1532529018101</v>
      </c>
      <c r="L613" s="13" t="n">
        <f aca="false">Units!N7*1</f>
        <v>45.6290095423572</v>
      </c>
      <c r="M613" s="13" t="n">
        <f aca="false">Units!O7*1</f>
        <v>48.2468034693437</v>
      </c>
      <c r="N613" s="13" t="n">
        <f aca="false">Units!P7*1</f>
        <v>51.0147835413486</v>
      </c>
      <c r="O613" s="13" t="n">
        <f aca="false">Units!Q7*1</f>
        <v>53.9415661272627</v>
      </c>
      <c r="P613" s="13" t="n">
        <f aca="false">Units!R7*1</f>
        <v>57.0362619279465</v>
      </c>
      <c r="Q613" s="13" t="n">
        <f aca="false">Units!S7*1</f>
        <v>59.2908563983564</v>
      </c>
      <c r="R613" s="13" t="n">
        <f aca="false">Units!T7*1</f>
        <v>62.2557667231854</v>
      </c>
    </row>
    <row r="614" customFormat="false" ht="17.15" hidden="false" customHeight="false" outlineLevel="0" collapsed="false">
      <c r="A614" s="5" t="s">
        <v>266</v>
      </c>
      <c r="B614" s="0" t="s">
        <v>25</v>
      </c>
      <c r="C614" s="13" t="n">
        <f aca="false">q1_rev</f>
        <v>2.308</v>
      </c>
      <c r="D614" s="13" t="n">
        <f aca="false">q2_rev</f>
        <v>3.025</v>
      </c>
      <c r="E614" s="13" t="n">
        <f aca="false">q3_rev</f>
        <v>5.95</v>
      </c>
      <c r="F614" s="13" t="n">
        <f aca="false">q4_rev</f>
        <v>8.965</v>
      </c>
      <c r="G614" s="13" t="n">
        <f aca="false">G612*sd_k</f>
        <v>10.549631742176</v>
      </c>
      <c r="H614" s="13" t="n">
        <f aca="false">H612*sd_k</f>
        <v>13.0008428614538</v>
      </c>
      <c r="I614" s="13" t="n">
        <f aca="false">I612*sd_k</f>
        <v>14.3253374238386</v>
      </c>
      <c r="J614" s="13" t="n">
        <f aca="false">J612*sd_k</f>
        <v>15.1472001310566</v>
      </c>
      <c r="K614" s="13" t="n">
        <f aca="false">K612*sd_k</f>
        <v>15.2154034331542</v>
      </c>
      <c r="L614" s="13" t="n">
        <f aca="false">L612*sd_k</f>
        <v>14.9621472272411</v>
      </c>
      <c r="M614" s="13" t="n">
        <f aca="false">M612*sd_k</f>
        <v>15.0295172915792</v>
      </c>
      <c r="N614" s="13" t="n">
        <f aca="false">N612*sd_k</f>
        <v>15.0971907031239</v>
      </c>
      <c r="O614" s="13" t="n">
        <f aca="false">O612*sd_k</f>
        <v>15.165168827757</v>
      </c>
      <c r="P614" s="13" t="n">
        <f aca="false">P612*sd_k</f>
        <v>15.2334530375101</v>
      </c>
      <c r="Q614" s="13" t="n">
        <f aca="false">Q612*sd_k</f>
        <v>15.3605498079442</v>
      </c>
      <c r="R614" s="13" t="n">
        <f aca="false">R612*sd_k</f>
        <v>15.6448123330103</v>
      </c>
      <c r="T614" s="5" t="s">
        <v>360</v>
      </c>
    </row>
    <row r="615" customFormat="false" ht="17.15" hidden="false" customHeight="false" outlineLevel="0" collapsed="false">
      <c r="A615" s="5" t="s">
        <v>361</v>
      </c>
      <c r="B615" s="0" t="s">
        <v>362</v>
      </c>
      <c r="C615" s="19" t="n">
        <f aca="false">C616/C613</f>
        <v>0.0520045391183812</v>
      </c>
      <c r="D615" s="19" t="n">
        <f aca="false">D616/D613</f>
        <v>0.0443170902760084</v>
      </c>
      <c r="E615" s="19" t="n">
        <f aca="false">E616/E613</f>
        <v>0.0337594565796481</v>
      </c>
      <c r="F615" s="19" t="n">
        <f aca="false">F616/F613</f>
        <v>0.0410685412637144</v>
      </c>
      <c r="G615" s="19" t="n">
        <f aca="false">(1-g_gm)*G614/G613</f>
        <v>0.0490671936479231</v>
      </c>
      <c r="H615" s="19" t="n">
        <f aca="false">$G615*(1-cd_A)^(1/4)</f>
        <v>0.0472515253161731</v>
      </c>
      <c r="I615" s="19" t="n">
        <f aca="false">$G615*(1-cd_A)^(2/4)</f>
        <v>0.0455030434535449</v>
      </c>
      <c r="J615" s="19" t="n">
        <f aca="false">$G615*(1-cd_A)^(3/4)</f>
        <v>0.0438192619112447</v>
      </c>
      <c r="K615" s="19" t="n">
        <f aca="false">$G615*(1-cd_A)^(4/4)</f>
        <v>0.0421977865372139</v>
      </c>
      <c r="L615" s="19" t="n">
        <f aca="false">$G615*(1-cd_A)^(5/4)</f>
        <v>0.0406363117719089</v>
      </c>
      <c r="M615" s="19" t="n">
        <f aca="false">$G615*(1-cd_A)^(6/4)</f>
        <v>0.0391326173700486</v>
      </c>
      <c r="N615" s="19" t="n">
        <f aca="false">$G615*(1-cd_A)^(7/4)</f>
        <v>0.0376845652436704</v>
      </c>
      <c r="O615" s="19" t="n">
        <f aca="false">$G615*(1-cd_A)^(8/4)</f>
        <v>0.0362900964220039</v>
      </c>
      <c r="P615" s="19" t="n">
        <f aca="false">$G615*(1-cd_A)^(9/4)</f>
        <v>0.0349472281238416</v>
      </c>
      <c r="Q615" s="19" t="n">
        <f aca="false">$G615*(1-cd_A)^(10/4)</f>
        <v>0.0336540509382418</v>
      </c>
      <c r="R615" s="19" t="n">
        <f aca="false">$G615*(1-cd_A)^(11/4)</f>
        <v>0.0324087261095565</v>
      </c>
    </row>
    <row r="616" customFormat="false" ht="15" hidden="false" customHeight="false" outlineLevel="0" collapsed="false">
      <c r="A616" s="5" t="s">
        <v>363</v>
      </c>
      <c r="B616" s="0" t="s">
        <v>25</v>
      </c>
      <c r="C616" s="13" t="n">
        <f aca="false">q1_rev*(1-q1_gm)</f>
        <v>1.620216</v>
      </c>
      <c r="D616" s="13" t="n">
        <f aca="false">q2_rev*(1-q2_gm)</f>
        <v>1.485275</v>
      </c>
      <c r="E616" s="13" t="n">
        <f aca="false">q3_rev*(1-q3_gm)</f>
        <v>1.2852</v>
      </c>
      <c r="F616" s="13" t="n">
        <f aca="false">q4_rev*(1-q4_gm)</f>
        <v>1.38061</v>
      </c>
      <c r="G616" s="13" t="n">
        <f aca="false">G613*G615</f>
        <v>1.68794107874816</v>
      </c>
      <c r="H616" s="13" t="n">
        <f aca="false">H613*H615</f>
        <v>1.70481884713854</v>
      </c>
      <c r="I616" s="13" t="n">
        <f aca="false">I613*I615</f>
        <v>1.75630111580815</v>
      </c>
      <c r="J616" s="13" t="n">
        <f aca="false">J613*J615</f>
        <v>1.78834412907505</v>
      </c>
      <c r="K616" s="13" t="n">
        <f aca="false">K613*K615</f>
        <v>1.82097175433699</v>
      </c>
      <c r="L616" s="13" t="n">
        <f aca="false">L613*L615</f>
        <v>1.85419465760663</v>
      </c>
      <c r="M616" s="13" t="n">
        <f aca="false">M613*M615</f>
        <v>1.88802369949376</v>
      </c>
      <c r="N616" s="13" t="n">
        <f aca="false">N613*N615</f>
        <v>1.92246993875567</v>
      </c>
      <c r="O616" s="13" t="n">
        <f aca="false">O613*O615</f>
        <v>1.95754463591226</v>
      </c>
      <c r="P616" s="13" t="n">
        <f aca="false">P613*P615</f>
        <v>1.99325925692713</v>
      </c>
      <c r="Q616" s="13" t="n">
        <f aca="false">Q613*Q615</f>
        <v>1.99537750140227</v>
      </c>
      <c r="R616" s="13" t="n">
        <f aca="false">R613*R615</f>
        <v>2.01763009247216</v>
      </c>
    </row>
    <row r="617" customFormat="false" ht="15" hidden="false" customHeight="false" outlineLevel="0" collapsed="false">
      <c r="A617" s="5" t="s">
        <v>329</v>
      </c>
      <c r="B617" s="0" t="s">
        <v>31</v>
      </c>
      <c r="C617" s="14" t="n">
        <f aca="false">1-C616/C614</f>
        <v>0.298</v>
      </c>
      <c r="D617" s="14" t="n">
        <f aca="false">1-D616/D614</f>
        <v>0.509</v>
      </c>
      <c r="E617" s="14" t="n">
        <f aca="false">1-E616/E614</f>
        <v>0.784</v>
      </c>
      <c r="F617" s="14" t="n">
        <f aca="false">1-F616/F614</f>
        <v>0.846</v>
      </c>
      <c r="G617" s="14" t="n">
        <f aca="false">1-G616/G614</f>
        <v>0.84</v>
      </c>
      <c r="H617" s="14" t="n">
        <f aca="false">1-H616/H614</f>
        <v>0.868868590651676</v>
      </c>
      <c r="I617" s="14" t="n">
        <f aca="false">1-I616/I614</f>
        <v>0.877398970520198</v>
      </c>
      <c r="J617" s="14" t="n">
        <f aca="false">1-J616/J614</f>
        <v>0.881935663779317</v>
      </c>
      <c r="K617" s="14" t="n">
        <f aca="false">1-K616/K614</f>
        <v>0.88032050794203</v>
      </c>
      <c r="L617" s="14" t="n">
        <f aca="false">1-L616/L614</f>
        <v>0.876074294053814</v>
      </c>
      <c r="M617" s="14" t="n">
        <f aca="false">1-M616/M614</f>
        <v>0.874378952905454</v>
      </c>
      <c r="N617" s="14" t="n">
        <f aca="false">1-N616/N614</f>
        <v>0.872660418977295</v>
      </c>
      <c r="O617" s="14" t="n">
        <f aca="false">1-O616/O614</f>
        <v>0.870918374985094</v>
      </c>
      <c r="P617" s="14" t="n">
        <f aca="false">1-P616/P614</f>
        <v>0.869152499304063</v>
      </c>
      <c r="Q617" s="14" t="n">
        <f aca="false">1-Q616/Q614</f>
        <v>0.870097260426818</v>
      </c>
      <c r="R617" s="14" t="n">
        <f aca="false">1-R616/R614</f>
        <v>0.871035200069803</v>
      </c>
    </row>
    <row r="618" customFormat="false" ht="17.15" hidden="false" customHeight="false" outlineLevel="0" collapsed="false">
      <c r="A618" s="5" t="s">
        <v>364</v>
      </c>
      <c r="B618" s="0" t="s">
        <v>25</v>
      </c>
      <c r="C618" s="13" t="n">
        <f aca="false">q1_rev-q1_rev*(1-q1_gm)-q1_op</f>
        <v>0.511784</v>
      </c>
      <c r="D618" s="13" t="n">
        <f aca="false">q2_rev-q2_rev*(1-q2_gm)-q2_op</f>
        <v>0.474725</v>
      </c>
      <c r="E618" s="13" t="n">
        <f aca="false">q3_rev-q3_rev*(1-q3_gm)-q3_op</f>
        <v>0.553800000000001</v>
      </c>
      <c r="F618" s="13" t="n">
        <f aca="false">q4_rev-q4_rev*(1-q4_gm)-q4_op</f>
        <v>0.54739</v>
      </c>
      <c r="G618" s="13" t="n">
        <f aca="false">(g_ox-ox_var*g_rev)*(1+ox_g)^(0/4)+ox_var*G614</f>
        <v>0.59399631742176</v>
      </c>
      <c r="H618" s="13" t="n">
        <f aca="false">(g_ox-ox_var*g_rev)*(1+ox_g)^(1/4)+ox_var*H614</f>
        <v>0.63028796573229</v>
      </c>
      <c r="I618" s="13" t="n">
        <f aca="false">(g_ox-ox_var*g_rev)*(1+ox_g)^(2/4)+ox_var*I614</f>
        <v>0.655596496569505</v>
      </c>
      <c r="J618" s="13" t="n">
        <f aca="false">(g_ox-ox_var*g_rev)*(1+ox_g)^(3/4)+ox_var*J614</f>
        <v>0.676169606398132</v>
      </c>
      <c r="K618" s="13" t="n">
        <f aca="false">(g_ox-ox_var*g_rev)*(1+ox_g)^(4/4)+ox_var*K614</f>
        <v>0.689504034331542</v>
      </c>
      <c r="L618" s="13" t="n">
        <f aca="false">(g_ox-ox_var*g_rev)*(1+ox_g)^(5/4)+ox_var*L614</f>
        <v>0.699928963101938</v>
      </c>
      <c r="M618" s="13" t="n">
        <f aca="false">(g_ox-ox_var*g_rev)*(1+ox_g)^(6/4)+ox_var*M614</f>
        <v>0.713872607480023</v>
      </c>
      <c r="N618" s="13" t="n">
        <f aca="false">(g_ox-ox_var*g_rev)*(1+ox_g)^(7/4)+ox_var*N614</f>
        <v>0.728139272627561</v>
      </c>
      <c r="O618" s="13" t="n">
        <f aca="false">(g_ox-ox_var*g_rev)*(1+ox_g)^(8/4)+ox_var*O614</f>
        <v>0.74273668827757</v>
      </c>
      <c r="P618" s="13" t="n">
        <f aca="false">(g_ox-ox_var*g_rev)*(1+ox_g)^(9/4)+ox_var*P614</f>
        <v>0.75767277028758</v>
      </c>
      <c r="Q618" s="13" t="n">
        <f aca="false">(g_ox-ox_var*g_rev)*(1+ox_g)^(10/4)+ox_var*Q614</f>
        <v>0.773540676100096</v>
      </c>
      <c r="R618" s="13" t="n">
        <f aca="false">(g_ox-ox_var*g_rev)*(1+ox_g)^(11/4)+ox_var*R614</f>
        <v>0.791332225486057</v>
      </c>
      <c r="T618" s="5" t="s">
        <v>365</v>
      </c>
    </row>
    <row r="619" customFormat="false" ht="15" hidden="false" customHeight="false" outlineLevel="0" collapsed="false">
      <c r="A619" s="5" t="s">
        <v>330</v>
      </c>
      <c r="B619" s="0" t="s">
        <v>25</v>
      </c>
      <c r="C619" s="13" t="n">
        <f aca="false">C614-C616-C618</f>
        <v>0.176</v>
      </c>
      <c r="D619" s="13" t="n">
        <f aca="false">D614-D616-D618</f>
        <v>1.065</v>
      </c>
      <c r="E619" s="13" t="n">
        <f aca="false">E614-E616-E618</f>
        <v>4.111</v>
      </c>
      <c r="F619" s="13" t="n">
        <f aca="false">F614-F616-F618</f>
        <v>7.037</v>
      </c>
      <c r="G619" s="13" t="n">
        <f aca="false">G614-G616-G618</f>
        <v>8.2676943460061</v>
      </c>
      <c r="H619" s="13" t="n">
        <f aca="false">H614-H616-H618</f>
        <v>10.665736048583</v>
      </c>
      <c r="I619" s="13" t="n">
        <f aca="false">I614-I616-I618</f>
        <v>11.9134398114609</v>
      </c>
      <c r="J619" s="13" t="n">
        <f aca="false">J614-J616-J618</f>
        <v>12.6826863955834</v>
      </c>
      <c r="K619" s="13" t="n">
        <f aca="false">K614-K616-K618</f>
        <v>12.7049276444857</v>
      </c>
      <c r="L619" s="13" t="n">
        <f aca="false">L614-L616-L618</f>
        <v>12.4080236065326</v>
      </c>
      <c r="M619" s="13" t="n">
        <f aca="false">M614-M616-M618</f>
        <v>12.4276209846054</v>
      </c>
      <c r="N619" s="13" t="n">
        <f aca="false">N614-N616-N618</f>
        <v>12.4465814917407</v>
      </c>
      <c r="O619" s="13" t="n">
        <f aca="false">O614-O616-O618</f>
        <v>12.4648875035672</v>
      </c>
      <c r="P619" s="13" t="n">
        <f aca="false">P614-P616-P618</f>
        <v>12.4825210102954</v>
      </c>
      <c r="Q619" s="13" t="n">
        <f aca="false">Q614-Q616-Q618</f>
        <v>12.5916316304418</v>
      </c>
      <c r="R619" s="13" t="n">
        <f aca="false">R614-R616-R618</f>
        <v>12.8358500150521</v>
      </c>
    </row>
    <row r="621" customFormat="false" ht="17.15" hidden="false" customHeight="false" outlineLevel="0" collapsed="false">
      <c r="A621" s="5" t="s">
        <v>332</v>
      </c>
      <c r="B621" s="0" t="s">
        <v>25</v>
      </c>
      <c r="C621" s="13" t="n">
        <f aca="false">q1_ni</f>
        <v>0.112</v>
      </c>
      <c r="D621" s="13" t="n">
        <f aca="false">q2_ni</f>
        <v>0.803</v>
      </c>
      <c r="E621" s="13" t="n">
        <f aca="false">q3_ni</f>
        <v>3.615</v>
      </c>
      <c r="F621" s="13" t="n">
        <f aca="false">q4_ni</f>
        <v>6.903</v>
      </c>
      <c r="G621" s="13" t="n">
        <f aca="false">(G619+rf*$D637/4)*(1-tax)</f>
        <v>7.06801719410518</v>
      </c>
      <c r="H621" s="13" t="n">
        <f aca="false">(H619+rf*$D637/4)*(1-tax)</f>
        <v>9.10635264129555</v>
      </c>
      <c r="I621" s="13" t="n">
        <f aca="false">(I619+rf*$D637/4)*(1-tax)</f>
        <v>10.1669008397418</v>
      </c>
      <c r="J621" s="13" t="n">
        <f aca="false">(J619+rf*$D637/4)*(1-tax)</f>
        <v>10.8207604362459</v>
      </c>
      <c r="K621" s="13" t="n">
        <f aca="false">(K619+rf*$E637/4)*(1-tax)</f>
        <v>10.897704603462</v>
      </c>
      <c r="L621" s="13" t="n">
        <f aca="false">(L619+rf*$E637/4)*(1-tax)</f>
        <v>10.6453361712019</v>
      </c>
      <c r="M621" s="13" t="n">
        <f aca="false">(M619+rf*$E637/4)*(1-tax)</f>
        <v>10.6619939425638</v>
      </c>
      <c r="N621" s="13" t="n">
        <f aca="false">(N619+rf*$E637/4)*(1-tax)</f>
        <v>10.6781103736288</v>
      </c>
      <c r="O621" s="13" t="n">
        <f aca="false">(O619+rf*$F637/4)*(1-tax)</f>
        <v>10.7606927959529</v>
      </c>
      <c r="P621" s="13" t="n">
        <f aca="false">(P619+rf*$F637/4)*(1-tax)</f>
        <v>10.7756812766719</v>
      </c>
      <c r="Q621" s="13" t="n">
        <f aca="false">(Q619+rf*$F637/4)*(1-tax)</f>
        <v>10.8684253037964</v>
      </c>
      <c r="R621" s="13" t="n">
        <f aca="false">(R619+rf*$F637/4)*(1-tax)</f>
        <v>11.0760109307151</v>
      </c>
      <c r="T621" s="5" t="s">
        <v>366</v>
      </c>
    </row>
    <row r="622" customFormat="false" ht="17.15" hidden="false" customHeight="false" outlineLevel="0" collapsed="false">
      <c r="A622" s="5" t="s">
        <v>367</v>
      </c>
      <c r="B622" s="0" t="s">
        <v>38</v>
      </c>
      <c r="G622" s="15" t="n">
        <f aca="false">G621/(sh0+dil)*1000</f>
        <v>45.6001109297109</v>
      </c>
      <c r="H622" s="15" t="n">
        <f aca="false">H621/(sh0+dil)*1000</f>
        <v>58.7506622019068</v>
      </c>
      <c r="I622" s="15" t="n">
        <f aca="false">I621/(sh0+dil)*1000</f>
        <v>65.5929086434955</v>
      </c>
      <c r="J622" s="15" t="n">
        <f aca="false">J621/(sh0+dil)*1000</f>
        <v>69.8113576531995</v>
      </c>
      <c r="K622" s="15" t="n">
        <f aca="false">K621/(sh0+dil)*1000</f>
        <v>70.307771635239</v>
      </c>
      <c r="L622" s="15" t="n">
        <f aca="false">L621/(sh0+dil)*1000</f>
        <v>68.6795882013024</v>
      </c>
      <c r="M622" s="15" t="n">
        <f aca="false">M621/(sh0+dil)*1000</f>
        <v>68.7870576939597</v>
      </c>
      <c r="N622" s="15" t="n">
        <f aca="false">N621/(sh0+dil)*1000</f>
        <v>68.8910346685726</v>
      </c>
      <c r="O622" s="15" t="n">
        <f aca="false">O621/(sh0+dil)*1000</f>
        <v>69.4238244900188</v>
      </c>
      <c r="P622" s="15" t="n">
        <f aca="false">P621/(sh0+dil)*1000</f>
        <v>69.5205243656251</v>
      </c>
      <c r="Q622" s="15" t="n">
        <f aca="false">Q621/(sh0+dil)*1000</f>
        <v>70.1188729277185</v>
      </c>
      <c r="R622" s="15" t="n">
        <f aca="false">R621/(sh0+dil)*1000</f>
        <v>71.4581350368716</v>
      </c>
    </row>
    <row r="624" customFormat="false" ht="17.15" hidden="false" customHeight="false" outlineLevel="0" collapsed="false">
      <c r="A624" s="12" t="s">
        <v>368</v>
      </c>
      <c r="B624" s="6" t="s">
        <v>15</v>
      </c>
      <c r="C624" s="12" t="s">
        <v>322</v>
      </c>
      <c r="D624" s="12" t="s">
        <v>323</v>
      </c>
      <c r="E624" s="12" t="s">
        <v>324</v>
      </c>
      <c r="F624" s="12" t="s">
        <v>325</v>
      </c>
      <c r="G624" s="12" t="s">
        <v>326</v>
      </c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6" t="s">
        <v>327</v>
      </c>
    </row>
    <row r="625" customFormat="false" ht="15" hidden="false" customHeight="false" outlineLevel="0" collapsed="false">
      <c r="A625" s="5" t="s">
        <v>266</v>
      </c>
      <c r="B625" s="0" t="s">
        <v>25</v>
      </c>
      <c r="C625" s="13" t="n">
        <f aca="false">a25_rev</f>
        <v>7.355</v>
      </c>
      <c r="D625" s="13" t="n">
        <f aca="false">SUM(C614:F614)</f>
        <v>20.248</v>
      </c>
      <c r="E625" s="13" t="n">
        <f aca="false">SUM(G614:J614)</f>
        <v>53.0230121585251</v>
      </c>
      <c r="F625" s="13" t="n">
        <f aca="false">SUM(K614:N614)</f>
        <v>60.3042586550984</v>
      </c>
      <c r="G625" s="13" t="n">
        <f aca="false">SUM(O614:R614)</f>
        <v>61.4039840062216</v>
      </c>
    </row>
    <row r="626" customFormat="false" ht="15" hidden="false" customHeight="false" outlineLevel="0" collapsed="false">
      <c r="A626" s="5" t="s">
        <v>363</v>
      </c>
      <c r="B626" s="0" t="s">
        <v>25</v>
      </c>
      <c r="D626" s="13" t="n">
        <f aca="false">SUM(C616:F616)</f>
        <v>5.771301</v>
      </c>
      <c r="E626" s="13" t="n">
        <f aca="false">SUM(G616:J616)</f>
        <v>6.93740517076991</v>
      </c>
      <c r="F626" s="13" t="n">
        <f aca="false">SUM(K616:N616)</f>
        <v>7.48566005019306</v>
      </c>
      <c r="G626" s="13" t="n">
        <f aca="false">SUM(O616:R616)</f>
        <v>7.96381148671382</v>
      </c>
    </row>
    <row r="627" customFormat="false" ht="15" hidden="false" customHeight="false" outlineLevel="0" collapsed="false">
      <c r="A627" s="5" t="s">
        <v>329</v>
      </c>
      <c r="B627" s="0" t="s">
        <v>31</v>
      </c>
      <c r="D627" s="14" t="n">
        <f aca="false">1-D626/D625</f>
        <v>0.714969330304228</v>
      </c>
      <c r="E627" s="14" t="n">
        <f aca="false">1-E626/E625</f>
        <v>0.86916237142415</v>
      </c>
      <c r="F627" s="14" t="n">
        <f aca="false">1-F626/F625</f>
        <v>0.875868467382939</v>
      </c>
      <c r="G627" s="14" t="n">
        <f aca="false">1-G626/G625</f>
        <v>0.870304645283164</v>
      </c>
    </row>
    <row r="628" customFormat="false" ht="15" hidden="false" customHeight="false" outlineLevel="0" collapsed="false">
      <c r="A628" s="5" t="s">
        <v>364</v>
      </c>
      <c r="B628" s="0" t="s">
        <v>25</v>
      </c>
      <c r="D628" s="13" t="n">
        <f aca="false">SUM(C618:F618)</f>
        <v>2.087699</v>
      </c>
      <c r="E628" s="13" t="n">
        <f aca="false">SUM(G618:J618)</f>
        <v>2.55605038612169</v>
      </c>
      <c r="F628" s="13" t="n">
        <f aca="false">SUM(K618:N618)</f>
        <v>2.83144487754106</v>
      </c>
      <c r="G628" s="13" t="n">
        <f aca="false">SUM(O618:R618)</f>
        <v>3.0652823601513</v>
      </c>
    </row>
    <row r="629" customFormat="false" ht="15" hidden="false" customHeight="false" outlineLevel="0" collapsed="false">
      <c r="A629" s="5" t="s">
        <v>330</v>
      </c>
      <c r="B629" s="0" t="s">
        <v>25</v>
      </c>
      <c r="D629" s="13" t="n">
        <f aca="false">SUM(C619:F619)</f>
        <v>12.389</v>
      </c>
      <c r="E629" s="13" t="n">
        <f aca="false">SUM(G619:J619)</f>
        <v>43.5295566016335</v>
      </c>
      <c r="F629" s="13" t="n">
        <f aca="false">SUM(K619:N619)</f>
        <v>49.9871537273643</v>
      </c>
      <c r="G629" s="13" t="n">
        <f aca="false">SUM(O619:R619)</f>
        <v>50.3748901593564</v>
      </c>
    </row>
    <row r="630" customFormat="false" ht="15" hidden="false" customHeight="false" outlineLevel="0" collapsed="false">
      <c r="A630" s="5" t="s">
        <v>331</v>
      </c>
      <c r="B630" s="0" t="s">
        <v>31</v>
      </c>
      <c r="D630" s="14" t="n">
        <f aca="false">D629/D625</f>
        <v>0.61186290003951</v>
      </c>
      <c r="E630" s="14" t="n">
        <f aca="false">E629/E625</f>
        <v>0.820955936480775</v>
      </c>
      <c r="F630" s="14" t="n">
        <f aca="false">F629/F625</f>
        <v>0.828915815270339</v>
      </c>
      <c r="G630" s="14" t="n">
        <f aca="false">G629/G625</f>
        <v>0.820384718917463</v>
      </c>
    </row>
    <row r="631" customFormat="false" ht="15" hidden="false" customHeight="false" outlineLevel="0" collapsed="false">
      <c r="A631" s="5" t="s">
        <v>332</v>
      </c>
      <c r="B631" s="0" t="s">
        <v>25</v>
      </c>
      <c r="C631" s="13" t="n">
        <f aca="false">a25_ni</f>
        <v>-1.641</v>
      </c>
      <c r="D631" s="13" t="n">
        <f aca="false">SUM(C621:F621)</f>
        <v>11.433</v>
      </c>
      <c r="E631" s="13" t="n">
        <f aca="false">SUM(G621:J621)</f>
        <v>37.1620311113885</v>
      </c>
      <c r="F631" s="13" t="n">
        <f aca="false">SUM(K621:N621)</f>
        <v>42.8831450908564</v>
      </c>
      <c r="G631" s="13" t="n">
        <f aca="false">SUM(O621:R621)</f>
        <v>43.4808103071363</v>
      </c>
    </row>
    <row r="632" customFormat="false" ht="15" hidden="false" customHeight="false" outlineLevel="0" collapsed="false">
      <c r="A632" s="5" t="s">
        <v>369</v>
      </c>
      <c r="B632" s="0" t="s">
        <v>25</v>
      </c>
      <c r="D632" s="13" t="n">
        <f aca="false">da_y</f>
        <v>0.16</v>
      </c>
      <c r="E632" s="13" t="n">
        <f aca="false">da_y</f>
        <v>0.16</v>
      </c>
      <c r="F632" s="13" t="n">
        <f aca="false">da_y</f>
        <v>0.16</v>
      </c>
      <c r="G632" s="13" t="n">
        <f aca="false">da_y</f>
        <v>0.16</v>
      </c>
    </row>
    <row r="633" customFormat="false" ht="17.15" hidden="false" customHeight="false" outlineLevel="0" collapsed="false">
      <c r="A633" s="5" t="s">
        <v>370</v>
      </c>
      <c r="B633" s="0" t="s">
        <v>25</v>
      </c>
      <c r="D633" s="13" t="n">
        <v>0.562</v>
      </c>
      <c r="E633" s="13" t="n">
        <f aca="false">cap_r*E625</f>
        <v>3.1813807295115</v>
      </c>
      <c r="F633" s="13" t="n">
        <f aca="false">cap_r*F625</f>
        <v>3.61825551930591</v>
      </c>
      <c r="G633" s="13" t="n">
        <f aca="false">cap_r*G625</f>
        <v>3.68423904037329</v>
      </c>
      <c r="T633" s="8" t="s">
        <v>371</v>
      </c>
    </row>
    <row r="634" customFormat="false" ht="15" hidden="false" customHeight="false" outlineLevel="0" collapsed="false">
      <c r="A634" s="5" t="s">
        <v>372</v>
      </c>
      <c r="B634" s="0" t="s">
        <v>25</v>
      </c>
      <c r="D634" s="13" t="n">
        <f aca="false">D631+D632-D633</f>
        <v>11.031</v>
      </c>
      <c r="E634" s="13" t="n">
        <f aca="false">E631+E632-E633</f>
        <v>34.140650381877</v>
      </c>
      <c r="F634" s="13" t="n">
        <f aca="false">F631+F632-F633</f>
        <v>39.4248895715505</v>
      </c>
      <c r="G634" s="13" t="n">
        <f aca="false">G631+G632-G633</f>
        <v>39.956571266763</v>
      </c>
    </row>
    <row r="635" customFormat="false" ht="17.15" hidden="false" customHeight="false" outlineLevel="0" collapsed="false">
      <c r="A635" s="5" t="s">
        <v>373</v>
      </c>
      <c r="B635" s="0" t="s">
        <v>25</v>
      </c>
      <c r="D635" s="13" t="n">
        <v>4.524</v>
      </c>
      <c r="E635" s="13" t="n">
        <f aca="false">MAX(0,payout_hi*E634)</f>
        <v>27.3125203055016</v>
      </c>
      <c r="F635" s="13" t="n">
        <f aca="false">MAX(0,payout_hi*F634)</f>
        <v>31.5399116572404</v>
      </c>
      <c r="G635" s="13" t="n">
        <f aca="false">MAX(0,payout_hi*G634)</f>
        <v>31.9652570134104</v>
      </c>
      <c r="T635" s="8" t="s">
        <v>374</v>
      </c>
    </row>
    <row r="636" customFormat="false" ht="15" hidden="false" customHeight="false" outlineLevel="0" collapsed="false">
      <c r="A636" s="5" t="s">
        <v>375</v>
      </c>
      <c r="B636" s="0" t="s">
        <v>25</v>
      </c>
      <c r="D636" s="13" t="n">
        <f aca="false">eq0</f>
        <v>15.736</v>
      </c>
      <c r="E636" s="13" t="n">
        <f aca="false">D636+E631-E635</f>
        <v>25.5855108058869</v>
      </c>
      <c r="F636" s="13" t="n">
        <f aca="false">E636+F631-F635</f>
        <v>36.9287442395029</v>
      </c>
      <c r="G636" s="13" t="n">
        <f aca="false">F636+G631-G635</f>
        <v>48.4442975332288</v>
      </c>
    </row>
    <row r="637" customFormat="false" ht="15" hidden="false" customHeight="false" outlineLevel="0" collapsed="false">
      <c r="A637" s="5" t="s">
        <v>376</v>
      </c>
      <c r="B637" s="0" t="s">
        <v>25</v>
      </c>
      <c r="D637" s="13" t="n">
        <f aca="false">nc0</f>
        <v>4.762</v>
      </c>
      <c r="E637" s="13" t="n">
        <f aca="false">D637+E634-E635</f>
        <v>11.5901300763754</v>
      </c>
      <c r="F637" s="13" t="n">
        <f aca="false">E637+F634-F635</f>
        <v>19.4751079906855</v>
      </c>
      <c r="G637" s="13" t="n">
        <f aca="false">F637+G634-G635</f>
        <v>27.4664222440381</v>
      </c>
    </row>
    <row r="638" customFormat="false" ht="15" hidden="false" customHeight="false" outlineLevel="0" collapsed="false">
      <c r="A638" s="5" t="s">
        <v>377</v>
      </c>
      <c r="B638" s="5" t="s">
        <v>111</v>
      </c>
      <c r="D638" s="20" t="n">
        <f aca="false">sh0</f>
        <v>146.42</v>
      </c>
      <c r="E638" s="20" t="n">
        <f aca="false">D638-E635/bb_px*1000</f>
        <v>124.358724986065</v>
      </c>
      <c r="F638" s="20" t="n">
        <f aca="false">E638-F635/bb_px*1000</f>
        <v>98.8828385719716</v>
      </c>
      <c r="G638" s="20" t="n">
        <f aca="false">F638-G635/bb_px*1000</f>
        <v>73.0633858822869</v>
      </c>
    </row>
    <row r="639" customFormat="false" ht="17.15" hidden="false" customHeight="false" outlineLevel="0" collapsed="false">
      <c r="A639" s="0" t="s">
        <v>378</v>
      </c>
      <c r="B639" s="0" t="s">
        <v>38</v>
      </c>
      <c r="C639" s="15" t="n">
        <f aca="false">a25_eps</f>
        <v>-11.32</v>
      </c>
      <c r="D639" s="15" t="n">
        <f aca="false">a26_eps</f>
        <v>73.76</v>
      </c>
      <c r="E639" s="15" t="n">
        <f aca="false">E631/(E638+dil)*1000</f>
        <v>279.542557033579</v>
      </c>
      <c r="F639" s="15" t="n">
        <f aca="false">F631/(F638+dil)*1000</f>
        <v>399.050924586699</v>
      </c>
      <c r="G639" s="15" t="n">
        <f aca="false">G631/(G638+dil)*1000</f>
        <v>532.569905538052</v>
      </c>
    </row>
    <row r="640" customFormat="false" ht="17.15" hidden="false" customHeight="false" outlineLevel="0" collapsed="false">
      <c r="A640" s="5" t="s">
        <v>379</v>
      </c>
      <c r="B640" s="0" t="s">
        <v>38</v>
      </c>
      <c r="D640" s="15" t="n">
        <f aca="false">D636/D638*1000</f>
        <v>107.471656877476</v>
      </c>
      <c r="E640" s="15" t="n">
        <f aca="false">E636/E638*1000</f>
        <v>205.739571620357</v>
      </c>
      <c r="F640" s="15" t="n">
        <f aca="false">F636/F638*1000</f>
        <v>373.459588871171</v>
      </c>
      <c r="G640" s="15" t="n">
        <f aca="false">G636/G638*1000</f>
        <v>663.044792521358</v>
      </c>
    </row>
    <row r="641" customFormat="false" ht="17.15" hidden="false" customHeight="false" outlineLevel="0" collapsed="false">
      <c r="A641" s="0" t="s">
        <v>380</v>
      </c>
      <c r="B641" s="0" t="s">
        <v>31</v>
      </c>
      <c r="D641" s="21" t="n">
        <f aca="false">D631/D636</f>
        <v>0.72655058464667</v>
      </c>
      <c r="E641" s="21" t="n">
        <f aca="false">E631/E636</f>
        <v>1.45246391183396</v>
      </c>
      <c r="F641" s="21" t="n">
        <f aca="false">F631/F636</f>
        <v>1.16124027431683</v>
      </c>
      <c r="G641" s="21" t="n">
        <f aca="false">G631/G636</f>
        <v>0.897542384164246</v>
      </c>
    </row>
    <row r="642" customFormat="false" ht="15" hidden="false" customHeight="false" outlineLevel="0" collapsed="false">
      <c r="A642" s="5" t="s">
        <v>381</v>
      </c>
      <c r="B642" s="0" t="s">
        <v>38</v>
      </c>
      <c r="E642" s="15" t="n">
        <f aca="false">E634/(E638+dil)*1000</f>
        <v>256.814937750122</v>
      </c>
      <c r="F642" s="15" t="n">
        <f aca="false">F634/(F638+dil)*1000</f>
        <v>366.869981246087</v>
      </c>
      <c r="G642" s="15" t="n">
        <f aca="false">G634/(G638+dil)*1000</f>
        <v>489.403652665412</v>
      </c>
    </row>
    <row r="643" customFormat="false" ht="17.15" hidden="false" customHeight="false" outlineLevel="0" collapsed="false">
      <c r="A643" s="5" t="s">
        <v>382</v>
      </c>
      <c r="B643" s="0" t="s">
        <v>25</v>
      </c>
      <c r="D643" s="18" t="n">
        <f aca="false">ABS(D625-a26_rev)+ABS(D631-a26_ni)</f>
        <v>0</v>
      </c>
    </row>
    <row r="660" customFormat="false" ht="17.15" hidden="false" customHeight="false" outlineLevel="0" collapsed="false">
      <c r="A660" s="3" t="s">
        <v>660</v>
      </c>
    </row>
    <row r="661" customFormat="false" ht="17.15" hidden="false" customHeight="false" outlineLevel="0" collapsed="false">
      <c r="A661" s="12" t="s">
        <v>340</v>
      </c>
      <c r="B661" s="6" t="s">
        <v>15</v>
      </c>
      <c r="C661" s="12" t="s">
        <v>341</v>
      </c>
      <c r="D661" s="12" t="s">
        <v>342</v>
      </c>
      <c r="E661" s="12" t="s">
        <v>343</v>
      </c>
      <c r="F661" s="12" t="s">
        <v>344</v>
      </c>
      <c r="G661" s="12" t="s">
        <v>345</v>
      </c>
      <c r="H661" s="12" t="s">
        <v>346</v>
      </c>
      <c r="I661" s="12" t="s">
        <v>347</v>
      </c>
      <c r="J661" s="12" t="s">
        <v>348</v>
      </c>
      <c r="K661" s="12" t="s">
        <v>349</v>
      </c>
      <c r="L661" s="12" t="s">
        <v>350</v>
      </c>
      <c r="M661" s="12" t="s">
        <v>351</v>
      </c>
      <c r="N661" s="12" t="s">
        <v>352</v>
      </c>
      <c r="O661" s="12" t="s">
        <v>353</v>
      </c>
      <c r="P661" s="12" t="s">
        <v>354</v>
      </c>
      <c r="Q661" s="12" t="s">
        <v>355</v>
      </c>
      <c r="R661" s="12" t="s">
        <v>356</v>
      </c>
      <c r="S661" s="12"/>
      <c r="T661" s="6" t="s">
        <v>327</v>
      </c>
    </row>
    <row r="662" customFormat="false" ht="17.15" hidden="false" customHeight="false" outlineLevel="0" collapsed="false">
      <c r="A662" s="5" t="s">
        <v>357</v>
      </c>
      <c r="B662" s="0" t="s">
        <v>25</v>
      </c>
      <c r="C662" s="13" t="n">
        <f aca="false">Units!E4*1</f>
        <v>2.31</v>
      </c>
      <c r="D662" s="13" t="n">
        <f aca="false">Units!F4*1</f>
        <v>3.03</v>
      </c>
      <c r="E662" s="13" t="n">
        <f aca="false">Units!G4*1</f>
        <v>5.95</v>
      </c>
      <c r="F662" s="13" t="n">
        <f aca="false">Units!H4*1</f>
        <v>8.97</v>
      </c>
      <c r="G662" s="13" t="n">
        <f aca="false">Units!I4*1</f>
        <v>10.5558839933073</v>
      </c>
      <c r="H662" s="13" t="n">
        <f aca="false">Units!J4*1*1</f>
        <v>13.0085478256151</v>
      </c>
      <c r="I662" s="13" t="n">
        <f aca="false">Units!K4*1*1</f>
        <v>14.3338273511937</v>
      </c>
      <c r="J662" s="13" t="n">
        <f aca="false">Units!L4*1*1</f>
        <v>15.1561771362706</v>
      </c>
      <c r="K662" s="13" t="n">
        <f aca="false">Units!M4*1*1</f>
        <v>15.224420859132</v>
      </c>
      <c r="L662" s="13" t="n">
        <f aca="false">Units!N4*1*1</f>
        <v>14.9710145606433</v>
      </c>
      <c r="M662" s="13" t="n">
        <f aca="false">Units!O4*1*1</f>
        <v>15.0384245519258</v>
      </c>
      <c r="N662" s="13" t="n">
        <f aca="false">Units!P4*1*1</f>
        <v>15.1061380701941</v>
      </c>
      <c r="O662" s="13" t="n">
        <f aca="false">Units!Q4*1*1</f>
        <v>15.1741564821393</v>
      </c>
      <c r="P662" s="13" t="n">
        <f aca="false">Units!R4*1*1</f>
        <v>15.2424811606062</v>
      </c>
      <c r="Q662" s="13" t="n">
        <f aca="false">Units!S4*1*1</f>
        <v>15.3696532550844</v>
      </c>
      <c r="R662" s="13" t="n">
        <f aca="false">Units!T4*1*1</f>
        <v>15.6540842486561</v>
      </c>
      <c r="T662" s="8" t="s">
        <v>358</v>
      </c>
    </row>
    <row r="663" customFormat="false" ht="15" hidden="false" customHeight="false" outlineLevel="0" collapsed="false">
      <c r="A663" s="5" t="s">
        <v>359</v>
      </c>
      <c r="B663" s="0" t="s">
        <v>308</v>
      </c>
      <c r="C663" s="13" t="n">
        <f aca="false">Units!E7*1</f>
        <v>31.1552804325753</v>
      </c>
      <c r="D663" s="13" t="n">
        <f aca="false">Units!F7*1</f>
        <v>33.5147228924475</v>
      </c>
      <c r="E663" s="13" t="n">
        <f aca="false">Units!G7*1</f>
        <v>38.0693331650007</v>
      </c>
      <c r="F663" s="13" t="n">
        <f aca="false">Units!H7*1</f>
        <v>33.6172154529341</v>
      </c>
      <c r="G663" s="13" t="n">
        <f aca="false">Units!I7*1</f>
        <v>34.4006036061451</v>
      </c>
      <c r="H663" s="13" t="n">
        <f aca="false">Units!J7*1</f>
        <v>36.079657444519</v>
      </c>
      <c r="I663" s="13" t="n">
        <f aca="false">Units!K7*1</f>
        <v>38.597442775475</v>
      </c>
      <c r="J663" s="13" t="n">
        <f aca="false">Units!L7*1</f>
        <v>40.8118268330789</v>
      </c>
      <c r="K663" s="13" t="n">
        <f aca="false">Units!M7*1</f>
        <v>43.1532529018101</v>
      </c>
      <c r="L663" s="13" t="n">
        <f aca="false">Units!N7*1</f>
        <v>45.6290095423572</v>
      </c>
      <c r="M663" s="13" t="n">
        <f aca="false">Units!O7*1</f>
        <v>48.2468034693437</v>
      </c>
      <c r="N663" s="13" t="n">
        <f aca="false">Units!P7*1</f>
        <v>51.0147835413486</v>
      </c>
      <c r="O663" s="13" t="n">
        <f aca="false">Units!Q7*1</f>
        <v>53.9415661272627</v>
      </c>
      <c r="P663" s="13" t="n">
        <f aca="false">Units!R7*1</f>
        <v>57.0362619279465</v>
      </c>
      <c r="Q663" s="13" t="n">
        <f aca="false">Units!S7*1</f>
        <v>59.2908563983564</v>
      </c>
      <c r="R663" s="13" t="n">
        <f aca="false">Units!T7*1</f>
        <v>62.2557667231854</v>
      </c>
    </row>
    <row r="664" customFormat="false" ht="17.15" hidden="false" customHeight="false" outlineLevel="0" collapsed="false">
      <c r="A664" s="5" t="s">
        <v>266</v>
      </c>
      <c r="B664" s="0" t="s">
        <v>25</v>
      </c>
      <c r="C664" s="13" t="n">
        <f aca="false">q1_rev</f>
        <v>2.308</v>
      </c>
      <c r="D664" s="13" t="n">
        <f aca="false">q2_rev</f>
        <v>3.025</v>
      </c>
      <c r="E664" s="13" t="n">
        <f aca="false">q3_rev</f>
        <v>5.95</v>
      </c>
      <c r="F664" s="13" t="n">
        <f aca="false">q4_rev</f>
        <v>8.965</v>
      </c>
      <c r="G664" s="13" t="n">
        <f aca="false">G662*sd_k</f>
        <v>10.549631742176</v>
      </c>
      <c r="H664" s="13" t="n">
        <f aca="false">H662*sd_k</f>
        <v>13.0008428614538</v>
      </c>
      <c r="I664" s="13" t="n">
        <f aca="false">I662*sd_k</f>
        <v>14.3253374238386</v>
      </c>
      <c r="J664" s="13" t="n">
        <f aca="false">J662*sd_k</f>
        <v>15.1472001310566</v>
      </c>
      <c r="K664" s="13" t="n">
        <f aca="false">K662*sd_k</f>
        <v>15.2154034331542</v>
      </c>
      <c r="L664" s="13" t="n">
        <f aca="false">L662*sd_k</f>
        <v>14.9621472272411</v>
      </c>
      <c r="M664" s="13" t="n">
        <f aca="false">M662*sd_k</f>
        <v>15.0295172915792</v>
      </c>
      <c r="N664" s="13" t="n">
        <f aca="false">N662*sd_k</f>
        <v>15.0971907031239</v>
      </c>
      <c r="O664" s="13" t="n">
        <f aca="false">O662*sd_k</f>
        <v>15.165168827757</v>
      </c>
      <c r="P664" s="13" t="n">
        <f aca="false">P662*sd_k</f>
        <v>15.2334530375101</v>
      </c>
      <c r="Q664" s="13" t="n">
        <f aca="false">Q662*sd_k</f>
        <v>15.3605498079442</v>
      </c>
      <c r="R664" s="13" t="n">
        <f aca="false">R662*sd_k</f>
        <v>15.6448123330103</v>
      </c>
      <c r="T664" s="5" t="s">
        <v>360</v>
      </c>
    </row>
    <row r="665" customFormat="false" ht="17.15" hidden="false" customHeight="false" outlineLevel="0" collapsed="false">
      <c r="A665" s="5" t="s">
        <v>361</v>
      </c>
      <c r="B665" s="0" t="s">
        <v>362</v>
      </c>
      <c r="C665" s="19" t="n">
        <f aca="false">C666/C663</f>
        <v>0.0520045391183812</v>
      </c>
      <c r="D665" s="19" t="n">
        <f aca="false">D666/D663</f>
        <v>0.0443170902760084</v>
      </c>
      <c r="E665" s="19" t="n">
        <f aca="false">E666/E663</f>
        <v>0.0337594565796481</v>
      </c>
      <c r="F665" s="19" t="n">
        <f aca="false">F666/F663</f>
        <v>0.0410685412637144</v>
      </c>
      <c r="G665" s="19" t="n">
        <f aca="false">(1-g_gm)*G664/G663</f>
        <v>0.0490671936479231</v>
      </c>
      <c r="H665" s="19" t="n">
        <f aca="false">$G665*(1-cd_A)^(1/4)</f>
        <v>0.0472515253161731</v>
      </c>
      <c r="I665" s="19" t="n">
        <f aca="false">$G665*(1-cd_A)^(2/4)</f>
        <v>0.0455030434535449</v>
      </c>
      <c r="J665" s="19" t="n">
        <f aca="false">$G665*(1-cd_A)^(3/4)</f>
        <v>0.0438192619112447</v>
      </c>
      <c r="K665" s="19" t="n">
        <f aca="false">$G665*(1-cd_A)^(4/4)</f>
        <v>0.0421977865372139</v>
      </c>
      <c r="L665" s="19" t="n">
        <f aca="false">$G665*(1-cd_A)^(5/4)</f>
        <v>0.0406363117719089</v>
      </c>
      <c r="M665" s="19" t="n">
        <f aca="false">$G665*(1-cd_A)^(6/4)</f>
        <v>0.0391326173700486</v>
      </c>
      <c r="N665" s="19" t="n">
        <f aca="false">$G665*(1-cd_A)^(7/4)</f>
        <v>0.0376845652436704</v>
      </c>
      <c r="O665" s="19" t="n">
        <f aca="false">$G665*(1-cd_A)^(8/4)</f>
        <v>0.0362900964220039</v>
      </c>
      <c r="P665" s="19" t="n">
        <f aca="false">$G665*(1-cd_A)^(9/4)</f>
        <v>0.0349472281238416</v>
      </c>
      <c r="Q665" s="19" t="n">
        <f aca="false">$G665*(1-cd_A)^(10/4)</f>
        <v>0.0336540509382418</v>
      </c>
      <c r="R665" s="19" t="n">
        <f aca="false">$G665*(1-cd_A)^(11/4)</f>
        <v>0.0324087261095565</v>
      </c>
    </row>
    <row r="666" customFormat="false" ht="15" hidden="false" customHeight="false" outlineLevel="0" collapsed="false">
      <c r="A666" s="5" t="s">
        <v>363</v>
      </c>
      <c r="B666" s="0" t="s">
        <v>25</v>
      </c>
      <c r="C666" s="13" t="n">
        <f aca="false">q1_rev*(1-q1_gm)</f>
        <v>1.620216</v>
      </c>
      <c r="D666" s="13" t="n">
        <f aca="false">q2_rev*(1-q2_gm)</f>
        <v>1.485275</v>
      </c>
      <c r="E666" s="13" t="n">
        <f aca="false">q3_rev*(1-q3_gm)</f>
        <v>1.2852</v>
      </c>
      <c r="F666" s="13" t="n">
        <f aca="false">q4_rev*(1-q4_gm)</f>
        <v>1.38061</v>
      </c>
      <c r="G666" s="13" t="n">
        <f aca="false">G663*G665</f>
        <v>1.68794107874816</v>
      </c>
      <c r="H666" s="13" t="n">
        <f aca="false">H663*H665</f>
        <v>1.70481884713854</v>
      </c>
      <c r="I666" s="13" t="n">
        <f aca="false">I663*I665</f>
        <v>1.75630111580815</v>
      </c>
      <c r="J666" s="13" t="n">
        <f aca="false">J663*J665</f>
        <v>1.78834412907505</v>
      </c>
      <c r="K666" s="13" t="n">
        <f aca="false">K663*K665</f>
        <v>1.82097175433699</v>
      </c>
      <c r="L666" s="13" t="n">
        <f aca="false">L663*L665</f>
        <v>1.85419465760663</v>
      </c>
      <c r="M666" s="13" t="n">
        <f aca="false">M663*M665</f>
        <v>1.88802369949376</v>
      </c>
      <c r="N666" s="13" t="n">
        <f aca="false">N663*N665</f>
        <v>1.92246993875567</v>
      </c>
      <c r="O666" s="13" t="n">
        <f aca="false">O663*O665</f>
        <v>1.95754463591226</v>
      </c>
      <c r="P666" s="13" t="n">
        <f aca="false">P663*P665</f>
        <v>1.99325925692713</v>
      </c>
      <c r="Q666" s="13" t="n">
        <f aca="false">Q663*Q665</f>
        <v>1.99537750140227</v>
      </c>
      <c r="R666" s="13" t="n">
        <f aca="false">R663*R665</f>
        <v>2.01763009247216</v>
      </c>
    </row>
    <row r="667" customFormat="false" ht="15" hidden="false" customHeight="false" outlineLevel="0" collapsed="false">
      <c r="A667" s="5" t="s">
        <v>329</v>
      </c>
      <c r="B667" s="0" t="s">
        <v>31</v>
      </c>
      <c r="C667" s="14" t="n">
        <f aca="false">1-C666/C664</f>
        <v>0.298</v>
      </c>
      <c r="D667" s="14" t="n">
        <f aca="false">1-D666/D664</f>
        <v>0.509</v>
      </c>
      <c r="E667" s="14" t="n">
        <f aca="false">1-E666/E664</f>
        <v>0.784</v>
      </c>
      <c r="F667" s="14" t="n">
        <f aca="false">1-F666/F664</f>
        <v>0.846</v>
      </c>
      <c r="G667" s="14" t="n">
        <f aca="false">1-G666/G664</f>
        <v>0.84</v>
      </c>
      <c r="H667" s="14" t="n">
        <f aca="false">1-H666/H664</f>
        <v>0.868868590651676</v>
      </c>
      <c r="I667" s="14" t="n">
        <f aca="false">1-I666/I664</f>
        <v>0.877398970520198</v>
      </c>
      <c r="J667" s="14" t="n">
        <f aca="false">1-J666/J664</f>
        <v>0.881935663779317</v>
      </c>
      <c r="K667" s="14" t="n">
        <f aca="false">1-K666/K664</f>
        <v>0.88032050794203</v>
      </c>
      <c r="L667" s="14" t="n">
        <f aca="false">1-L666/L664</f>
        <v>0.876074294053814</v>
      </c>
      <c r="M667" s="14" t="n">
        <f aca="false">1-M666/M664</f>
        <v>0.874378952905454</v>
      </c>
      <c r="N667" s="14" t="n">
        <f aca="false">1-N666/N664</f>
        <v>0.872660418977295</v>
      </c>
      <c r="O667" s="14" t="n">
        <f aca="false">1-O666/O664</f>
        <v>0.870918374985094</v>
      </c>
      <c r="P667" s="14" t="n">
        <f aca="false">1-P666/P664</f>
        <v>0.869152499304063</v>
      </c>
      <c r="Q667" s="14" t="n">
        <f aca="false">1-Q666/Q664</f>
        <v>0.870097260426818</v>
      </c>
      <c r="R667" s="14" t="n">
        <f aca="false">1-R666/R664</f>
        <v>0.871035200069803</v>
      </c>
    </row>
    <row r="668" customFormat="false" ht="17.15" hidden="false" customHeight="false" outlineLevel="0" collapsed="false">
      <c r="A668" s="5" t="s">
        <v>364</v>
      </c>
      <c r="B668" s="0" t="s">
        <v>25</v>
      </c>
      <c r="C668" s="13" t="n">
        <f aca="false">q1_rev-q1_rev*(1-q1_gm)-q1_op</f>
        <v>0.511784</v>
      </c>
      <c r="D668" s="13" t="n">
        <f aca="false">q2_rev-q2_rev*(1-q2_gm)-q2_op</f>
        <v>0.474725</v>
      </c>
      <c r="E668" s="13" t="n">
        <f aca="false">q3_rev-q3_rev*(1-q3_gm)-q3_op</f>
        <v>0.553800000000001</v>
      </c>
      <c r="F668" s="13" t="n">
        <f aca="false">q4_rev-q4_rev*(1-q4_gm)-q4_op</f>
        <v>0.54739</v>
      </c>
      <c r="G668" s="13" t="n">
        <f aca="false">(g_ox-ox_var*g_rev)*(1+ox_g)^(0/4)+ox_var*G664</f>
        <v>0.59399631742176</v>
      </c>
      <c r="H668" s="13" t="n">
        <f aca="false">(g_ox-ox_var*g_rev)*(1+ox_g)^(1/4)+ox_var*H664</f>
        <v>0.63028796573229</v>
      </c>
      <c r="I668" s="13" t="n">
        <f aca="false">(g_ox-ox_var*g_rev)*(1+ox_g)^(2/4)+ox_var*I664</f>
        <v>0.655596496569505</v>
      </c>
      <c r="J668" s="13" t="n">
        <f aca="false">(g_ox-ox_var*g_rev)*(1+ox_g)^(3/4)+ox_var*J664</f>
        <v>0.676169606398132</v>
      </c>
      <c r="K668" s="13" t="n">
        <f aca="false">(g_ox-ox_var*g_rev)*(1+ox_g)^(4/4)+ox_var*K664</f>
        <v>0.689504034331542</v>
      </c>
      <c r="L668" s="13" t="n">
        <f aca="false">(g_ox-ox_var*g_rev)*(1+ox_g)^(5/4)+ox_var*L664</f>
        <v>0.699928963101938</v>
      </c>
      <c r="M668" s="13" t="n">
        <f aca="false">(g_ox-ox_var*g_rev)*(1+ox_g)^(6/4)+ox_var*M664</f>
        <v>0.713872607480023</v>
      </c>
      <c r="N668" s="13" t="n">
        <f aca="false">(g_ox-ox_var*g_rev)*(1+ox_g)^(7/4)+ox_var*N664</f>
        <v>0.728139272627561</v>
      </c>
      <c r="O668" s="13" t="n">
        <f aca="false">(g_ox-ox_var*g_rev)*(1+ox_g)^(8/4)+ox_var*O664</f>
        <v>0.74273668827757</v>
      </c>
      <c r="P668" s="13" t="n">
        <f aca="false">(g_ox-ox_var*g_rev)*(1+ox_g)^(9/4)+ox_var*P664</f>
        <v>0.75767277028758</v>
      </c>
      <c r="Q668" s="13" t="n">
        <f aca="false">(g_ox-ox_var*g_rev)*(1+ox_g)^(10/4)+ox_var*Q664</f>
        <v>0.773540676100096</v>
      </c>
      <c r="R668" s="13" t="n">
        <f aca="false">(g_ox-ox_var*g_rev)*(1+ox_g)^(11/4)+ox_var*R664</f>
        <v>0.791332225486057</v>
      </c>
      <c r="T668" s="5" t="s">
        <v>365</v>
      </c>
    </row>
    <row r="669" customFormat="false" ht="15" hidden="false" customHeight="false" outlineLevel="0" collapsed="false">
      <c r="A669" s="5" t="s">
        <v>330</v>
      </c>
      <c r="B669" s="0" t="s">
        <v>25</v>
      </c>
      <c r="C669" s="13" t="n">
        <f aca="false">C664-C666-C668</f>
        <v>0.176</v>
      </c>
      <c r="D669" s="13" t="n">
        <f aca="false">D664-D666-D668</f>
        <v>1.065</v>
      </c>
      <c r="E669" s="13" t="n">
        <f aca="false">E664-E666-E668</f>
        <v>4.111</v>
      </c>
      <c r="F669" s="13" t="n">
        <f aca="false">F664-F666-F668</f>
        <v>7.037</v>
      </c>
      <c r="G669" s="13" t="n">
        <f aca="false">G664-G666-G668</f>
        <v>8.2676943460061</v>
      </c>
      <c r="H669" s="13" t="n">
        <f aca="false">H664-H666-H668</f>
        <v>10.665736048583</v>
      </c>
      <c r="I669" s="13" t="n">
        <f aca="false">I664-I666-I668</f>
        <v>11.9134398114609</v>
      </c>
      <c r="J669" s="13" t="n">
        <f aca="false">J664-J666-J668</f>
        <v>12.6826863955834</v>
      </c>
      <c r="K669" s="13" t="n">
        <f aca="false">K664-K666-K668</f>
        <v>12.7049276444857</v>
      </c>
      <c r="L669" s="13" t="n">
        <f aca="false">L664-L666-L668</f>
        <v>12.4080236065326</v>
      </c>
      <c r="M669" s="13" t="n">
        <f aca="false">M664-M666-M668</f>
        <v>12.4276209846054</v>
      </c>
      <c r="N669" s="13" t="n">
        <f aca="false">N664-N666-N668</f>
        <v>12.4465814917407</v>
      </c>
      <c r="O669" s="13" t="n">
        <f aca="false">O664-O666-O668</f>
        <v>12.4648875035672</v>
      </c>
      <c r="P669" s="13" t="n">
        <f aca="false">P664-P666-P668</f>
        <v>12.4825210102954</v>
      </c>
      <c r="Q669" s="13" t="n">
        <f aca="false">Q664-Q666-Q668</f>
        <v>12.5916316304418</v>
      </c>
      <c r="R669" s="13" t="n">
        <f aca="false">R664-R666-R668</f>
        <v>12.8358500150521</v>
      </c>
    </row>
    <row r="671" customFormat="false" ht="17.15" hidden="false" customHeight="false" outlineLevel="0" collapsed="false">
      <c r="A671" s="5" t="s">
        <v>332</v>
      </c>
      <c r="B671" s="0" t="s">
        <v>25</v>
      </c>
      <c r="C671" s="13" t="n">
        <f aca="false">q1_ni</f>
        <v>0.112</v>
      </c>
      <c r="D671" s="13" t="n">
        <f aca="false">q2_ni</f>
        <v>0.803</v>
      </c>
      <c r="E671" s="13" t="n">
        <f aca="false">q3_ni</f>
        <v>3.615</v>
      </c>
      <c r="F671" s="13" t="n">
        <f aca="false">q4_ni</f>
        <v>6.903</v>
      </c>
      <c r="G671" s="13" t="n">
        <f aca="false">(G669+rf*$D687/4)*(1-tax)</f>
        <v>7.06801719410518</v>
      </c>
      <c r="H671" s="13" t="n">
        <f aca="false">(H669+rf*$D687/4)*(1-tax)</f>
        <v>9.10635264129555</v>
      </c>
      <c r="I671" s="13" t="n">
        <f aca="false">(I669+rf*$D687/4)*(1-tax)</f>
        <v>10.1669008397418</v>
      </c>
      <c r="J671" s="13" t="n">
        <f aca="false">(J669+rf*$D687/4)*(1-tax)</f>
        <v>10.8207604362459</v>
      </c>
      <c r="K671" s="13" t="n">
        <f aca="false">(K669+rf*$E687/4)*(1-tax)</f>
        <v>11.042802367585</v>
      </c>
      <c r="L671" s="13" t="n">
        <f aca="false">(L669+rf*$E687/4)*(1-tax)</f>
        <v>10.7904339353249</v>
      </c>
      <c r="M671" s="13" t="n">
        <f aca="false">(M669+rf*$E687/4)*(1-tax)</f>
        <v>10.8070917066867</v>
      </c>
      <c r="N671" s="13" t="n">
        <f aca="false">(N669+rf*$E687/4)*(1-tax)</f>
        <v>10.8232081377517</v>
      </c>
      <c r="O671" s="13" t="n">
        <f aca="false">(O669+rf*$F687/4)*(1-tax)</f>
        <v>11.0767996675411</v>
      </c>
      <c r="P671" s="13" t="n">
        <f aca="false">(P669+rf*$F687/4)*(1-tax)</f>
        <v>11.0917881482601</v>
      </c>
      <c r="Q671" s="13" t="n">
        <f aca="false">(Q669+rf*$F687/4)*(1-tax)</f>
        <v>11.1845321753846</v>
      </c>
      <c r="R671" s="13" t="n">
        <f aca="false">(R669+rf*$F687/4)*(1-tax)</f>
        <v>11.3921178023033</v>
      </c>
      <c r="T671" s="5" t="s">
        <v>366</v>
      </c>
    </row>
    <row r="672" customFormat="false" ht="17.15" hidden="false" customHeight="false" outlineLevel="0" collapsed="false">
      <c r="A672" s="5" t="s">
        <v>367</v>
      </c>
      <c r="B672" s="0" t="s">
        <v>38</v>
      </c>
      <c r="G672" s="15" t="n">
        <f aca="false">G671/(sh0+dil)*1000</f>
        <v>45.6001109297109</v>
      </c>
      <c r="H672" s="15" t="n">
        <f aca="false">H671/(sh0+dil)*1000</f>
        <v>58.7506622019068</v>
      </c>
      <c r="I672" s="15" t="n">
        <f aca="false">I671/(sh0+dil)*1000</f>
        <v>65.5929086434955</v>
      </c>
      <c r="J672" s="15" t="n">
        <f aca="false">J671/(sh0+dil)*1000</f>
        <v>69.8113576531995</v>
      </c>
      <c r="K672" s="15" t="n">
        <f aca="false">K671/(sh0+dil)*1000</f>
        <v>71.243886242484</v>
      </c>
      <c r="L672" s="15" t="n">
        <f aca="false">L671/(sh0+dil)*1000</f>
        <v>69.6157028085475</v>
      </c>
      <c r="M672" s="15" t="n">
        <f aca="false">M671/(sh0+dil)*1000</f>
        <v>69.7231723012047</v>
      </c>
      <c r="N672" s="15" t="n">
        <f aca="false">N671/(sh0+dil)*1000</f>
        <v>69.8271492758176</v>
      </c>
      <c r="O672" s="15" t="n">
        <f aca="false">O671/(sh0+dil)*1000</f>
        <v>71.4632236615555</v>
      </c>
      <c r="P672" s="15" t="n">
        <f aca="false">P671/(sh0+dil)*1000</f>
        <v>71.5599235371619</v>
      </c>
      <c r="Q672" s="15" t="n">
        <f aca="false">Q671/(sh0+dil)*1000</f>
        <v>72.1582720992552</v>
      </c>
      <c r="R672" s="15" t="n">
        <f aca="false">R671/(sh0+dil)*1000</f>
        <v>73.4975342084083</v>
      </c>
    </row>
    <row r="674" customFormat="false" ht="17.15" hidden="false" customHeight="false" outlineLevel="0" collapsed="false">
      <c r="A674" s="12" t="s">
        <v>368</v>
      </c>
      <c r="B674" s="6" t="s">
        <v>15</v>
      </c>
      <c r="C674" s="12" t="s">
        <v>322</v>
      </c>
      <c r="D674" s="12" t="s">
        <v>323</v>
      </c>
      <c r="E674" s="12" t="s">
        <v>324</v>
      </c>
      <c r="F674" s="12" t="s">
        <v>325</v>
      </c>
      <c r="G674" s="12" t="s">
        <v>326</v>
      </c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6" t="s">
        <v>327</v>
      </c>
    </row>
    <row r="675" customFormat="false" ht="15" hidden="false" customHeight="false" outlineLevel="0" collapsed="false">
      <c r="A675" s="5" t="s">
        <v>266</v>
      </c>
      <c r="B675" s="0" t="s">
        <v>25</v>
      </c>
      <c r="C675" s="13" t="n">
        <f aca="false">a25_rev</f>
        <v>7.355</v>
      </c>
      <c r="D675" s="13" t="n">
        <f aca="false">SUM(C664:F664)</f>
        <v>20.248</v>
      </c>
      <c r="E675" s="13" t="n">
        <f aca="false">SUM(G664:J664)</f>
        <v>53.0230121585251</v>
      </c>
      <c r="F675" s="13" t="n">
        <f aca="false">SUM(K664:N664)</f>
        <v>60.3042586550984</v>
      </c>
      <c r="G675" s="13" t="n">
        <f aca="false">SUM(O664:R664)</f>
        <v>61.4039840062216</v>
      </c>
    </row>
    <row r="676" customFormat="false" ht="15" hidden="false" customHeight="false" outlineLevel="0" collapsed="false">
      <c r="A676" s="5" t="s">
        <v>363</v>
      </c>
      <c r="B676" s="0" t="s">
        <v>25</v>
      </c>
      <c r="D676" s="13" t="n">
        <f aca="false">SUM(C666:F666)</f>
        <v>5.771301</v>
      </c>
      <c r="E676" s="13" t="n">
        <f aca="false">SUM(G666:J666)</f>
        <v>6.93740517076991</v>
      </c>
      <c r="F676" s="13" t="n">
        <f aca="false">SUM(K666:N666)</f>
        <v>7.48566005019306</v>
      </c>
      <c r="G676" s="13" t="n">
        <f aca="false">SUM(O666:R666)</f>
        <v>7.96381148671382</v>
      </c>
    </row>
    <row r="677" customFormat="false" ht="15" hidden="false" customHeight="false" outlineLevel="0" collapsed="false">
      <c r="A677" s="5" t="s">
        <v>329</v>
      </c>
      <c r="B677" s="0" t="s">
        <v>31</v>
      </c>
      <c r="D677" s="14" t="n">
        <f aca="false">1-D676/D675</f>
        <v>0.714969330304228</v>
      </c>
      <c r="E677" s="14" t="n">
        <f aca="false">1-E676/E675</f>
        <v>0.86916237142415</v>
      </c>
      <c r="F677" s="14" t="n">
        <f aca="false">1-F676/F675</f>
        <v>0.875868467382939</v>
      </c>
      <c r="G677" s="14" t="n">
        <f aca="false">1-G676/G675</f>
        <v>0.870304645283164</v>
      </c>
    </row>
    <row r="678" customFormat="false" ht="15" hidden="false" customHeight="false" outlineLevel="0" collapsed="false">
      <c r="A678" s="5" t="s">
        <v>364</v>
      </c>
      <c r="B678" s="0" t="s">
        <v>25</v>
      </c>
      <c r="D678" s="13" t="n">
        <f aca="false">SUM(C668:F668)</f>
        <v>2.087699</v>
      </c>
      <c r="E678" s="13" t="n">
        <f aca="false">SUM(G668:J668)</f>
        <v>2.55605038612169</v>
      </c>
      <c r="F678" s="13" t="n">
        <f aca="false">SUM(K668:N668)</f>
        <v>2.83144487754106</v>
      </c>
      <c r="G678" s="13" t="n">
        <f aca="false">SUM(O668:R668)</f>
        <v>3.0652823601513</v>
      </c>
    </row>
    <row r="679" customFormat="false" ht="15" hidden="false" customHeight="false" outlineLevel="0" collapsed="false">
      <c r="A679" s="5" t="s">
        <v>330</v>
      </c>
      <c r="B679" s="0" t="s">
        <v>25</v>
      </c>
      <c r="D679" s="13" t="n">
        <f aca="false">SUM(C669:F669)</f>
        <v>12.389</v>
      </c>
      <c r="E679" s="13" t="n">
        <f aca="false">SUM(G669:J669)</f>
        <v>43.5295566016335</v>
      </c>
      <c r="F679" s="13" t="n">
        <f aca="false">SUM(K669:N669)</f>
        <v>49.9871537273643</v>
      </c>
      <c r="G679" s="13" t="n">
        <f aca="false">SUM(O669:R669)</f>
        <v>50.3748901593564</v>
      </c>
    </row>
    <row r="680" customFormat="false" ht="15" hidden="false" customHeight="false" outlineLevel="0" collapsed="false">
      <c r="A680" s="5" t="s">
        <v>331</v>
      </c>
      <c r="B680" s="0" t="s">
        <v>31</v>
      </c>
      <c r="D680" s="14" t="n">
        <f aca="false">D679/D675</f>
        <v>0.61186290003951</v>
      </c>
      <c r="E680" s="14" t="n">
        <f aca="false">E679/E675</f>
        <v>0.820955936480775</v>
      </c>
      <c r="F680" s="14" t="n">
        <f aca="false">F679/F675</f>
        <v>0.828915815270339</v>
      </c>
      <c r="G680" s="14" t="n">
        <f aca="false">G679/G675</f>
        <v>0.820384718917463</v>
      </c>
    </row>
    <row r="681" customFormat="false" ht="15" hidden="false" customHeight="false" outlineLevel="0" collapsed="false">
      <c r="A681" s="5" t="s">
        <v>332</v>
      </c>
      <c r="B681" s="0" t="s">
        <v>25</v>
      </c>
      <c r="C681" s="13" t="n">
        <f aca="false">a25_ni</f>
        <v>-1.641</v>
      </c>
      <c r="D681" s="13" t="n">
        <f aca="false">SUM(C671:F671)</f>
        <v>11.433</v>
      </c>
      <c r="E681" s="13" t="n">
        <f aca="false">SUM(G671:J671)</f>
        <v>37.1620311113885</v>
      </c>
      <c r="F681" s="13" t="n">
        <f aca="false">SUM(K671:N671)</f>
        <v>43.4635361473483</v>
      </c>
      <c r="G681" s="13" t="n">
        <f aca="false">SUM(O671:R671)</f>
        <v>44.745237793489</v>
      </c>
    </row>
    <row r="682" customFormat="false" ht="15" hidden="false" customHeight="false" outlineLevel="0" collapsed="false">
      <c r="A682" s="5" t="s">
        <v>369</v>
      </c>
      <c r="B682" s="0" t="s">
        <v>25</v>
      </c>
      <c r="D682" s="13" t="n">
        <f aca="false">da_y</f>
        <v>0.16</v>
      </c>
      <c r="E682" s="13" t="n">
        <f aca="false">da_y</f>
        <v>0.16</v>
      </c>
      <c r="F682" s="13" t="n">
        <f aca="false">da_y</f>
        <v>0.16</v>
      </c>
      <c r="G682" s="13" t="n">
        <f aca="false">da_y</f>
        <v>0.16</v>
      </c>
    </row>
    <row r="683" customFormat="false" ht="17.15" hidden="false" customHeight="false" outlineLevel="0" collapsed="false">
      <c r="A683" s="5" t="s">
        <v>370</v>
      </c>
      <c r="B683" s="0" t="s">
        <v>25</v>
      </c>
      <c r="D683" s="13" t="n">
        <v>0.562</v>
      </c>
      <c r="E683" s="13" t="n">
        <f aca="false">cap_r*E675</f>
        <v>3.1813807295115</v>
      </c>
      <c r="F683" s="13" t="n">
        <f aca="false">cap_r*F675</f>
        <v>3.61825551930591</v>
      </c>
      <c r="G683" s="13" t="n">
        <f aca="false">cap_r*G675</f>
        <v>3.68423904037329</v>
      </c>
      <c r="T683" s="8" t="s">
        <v>371</v>
      </c>
    </row>
    <row r="684" customFormat="false" ht="15" hidden="false" customHeight="false" outlineLevel="0" collapsed="false">
      <c r="A684" s="5" t="s">
        <v>372</v>
      </c>
      <c r="B684" s="0" t="s">
        <v>25</v>
      </c>
      <c r="D684" s="13" t="n">
        <f aca="false">D681+D682-D683</f>
        <v>11.031</v>
      </c>
      <c r="E684" s="13" t="n">
        <f aca="false">E681+E682-E683</f>
        <v>34.140650381877</v>
      </c>
      <c r="F684" s="13" t="n">
        <f aca="false">F681+F682-F683</f>
        <v>40.0052806280424</v>
      </c>
      <c r="G684" s="13" t="n">
        <f aca="false">G681+G682-G683</f>
        <v>41.2209987531157</v>
      </c>
    </row>
    <row r="685" customFormat="false" ht="17.15" hidden="false" customHeight="false" outlineLevel="0" collapsed="false">
      <c r="A685" s="5" t="s">
        <v>373</v>
      </c>
      <c r="B685" s="0" t="s">
        <v>25</v>
      </c>
      <c r="D685" s="13" t="n">
        <v>4.524</v>
      </c>
      <c r="E685" s="13" t="n">
        <f aca="false">MAX(0,payout_lo*E684)</f>
        <v>10.2421951145631</v>
      </c>
      <c r="F685" s="13" t="n">
        <f aca="false">MAX(0,payout_lo*F684)</f>
        <v>12.0015841884127</v>
      </c>
      <c r="G685" s="13" t="n">
        <f aca="false">MAX(0,payout_lo*G684)</f>
        <v>12.3662996259347</v>
      </c>
      <c r="T685" s="8" t="s">
        <v>374</v>
      </c>
    </row>
    <row r="686" customFormat="false" ht="15" hidden="false" customHeight="false" outlineLevel="0" collapsed="false">
      <c r="A686" s="5" t="s">
        <v>375</v>
      </c>
      <c r="B686" s="0" t="s">
        <v>25</v>
      </c>
      <c r="D686" s="13" t="n">
        <f aca="false">eq0</f>
        <v>15.736</v>
      </c>
      <c r="E686" s="13" t="n">
        <f aca="false">D686+E681-E685</f>
        <v>42.6558359968254</v>
      </c>
      <c r="F686" s="13" t="n">
        <f aca="false">E686+F681-F685</f>
        <v>74.117787955761</v>
      </c>
      <c r="G686" s="13" t="n">
        <f aca="false">F686+G681-G685</f>
        <v>106.496726123315</v>
      </c>
    </row>
    <row r="687" customFormat="false" ht="15" hidden="false" customHeight="false" outlineLevel="0" collapsed="false">
      <c r="A687" s="5" t="s">
        <v>376</v>
      </c>
      <c r="B687" s="0" t="s">
        <v>25</v>
      </c>
      <c r="D687" s="13" t="n">
        <f aca="false">nc0</f>
        <v>4.762</v>
      </c>
      <c r="E687" s="13" t="n">
        <f aca="false">D687+E684-E685</f>
        <v>28.6604552673139</v>
      </c>
      <c r="F687" s="13" t="n">
        <f aca="false">E687+F684-F685</f>
        <v>56.6641517069436</v>
      </c>
      <c r="G687" s="13" t="n">
        <f aca="false">F687+G684-G685</f>
        <v>85.5188508341246</v>
      </c>
    </row>
    <row r="688" customFormat="false" ht="15" hidden="false" customHeight="false" outlineLevel="0" collapsed="false">
      <c r="A688" s="5" t="s">
        <v>377</v>
      </c>
      <c r="B688" s="5" t="s">
        <v>111</v>
      </c>
      <c r="D688" s="20" t="n">
        <f aca="false">sh0</f>
        <v>146.42</v>
      </c>
      <c r="E688" s="20" t="n">
        <f aca="false">D688-E685/bb_px*1000</f>
        <v>138.147021869774</v>
      </c>
      <c r="F688" s="20" t="n">
        <f aca="false">E688-F685/bb_px*1000</f>
        <v>128.452923836276</v>
      </c>
      <c r="G688" s="20" t="n">
        <f aca="false">F688-G685/bb_px*1000</f>
        <v>118.464232426589</v>
      </c>
    </row>
    <row r="689" customFormat="false" ht="17.15" hidden="false" customHeight="false" outlineLevel="0" collapsed="false">
      <c r="A689" s="0" t="s">
        <v>378</v>
      </c>
      <c r="B689" s="0" t="s">
        <v>38</v>
      </c>
      <c r="C689" s="15" t="n">
        <f aca="false">a25_eps</f>
        <v>-11.32</v>
      </c>
      <c r="D689" s="15" t="n">
        <f aca="false">a26_eps</f>
        <v>73.76</v>
      </c>
      <c r="E689" s="15" t="n">
        <f aca="false">E681/(E688+dil)*1000</f>
        <v>253.273259675175</v>
      </c>
      <c r="F689" s="15" t="n">
        <f aca="false">F681/(F688+dil)*1000</f>
        <v>317.175864971529</v>
      </c>
      <c r="G689" s="15" t="n">
        <f aca="false">G681/(G688+dil)*1000</f>
        <v>352.202039705696</v>
      </c>
    </row>
    <row r="690" customFormat="false" ht="17.15" hidden="false" customHeight="false" outlineLevel="0" collapsed="false">
      <c r="A690" s="5" t="s">
        <v>379</v>
      </c>
      <c r="B690" s="0" t="s">
        <v>38</v>
      </c>
      <c r="D690" s="15" t="n">
        <f aca="false">D686/D688*1000</f>
        <v>107.471656877476</v>
      </c>
      <c r="E690" s="15" t="n">
        <f aca="false">E686/E688*1000</f>
        <v>308.771303351261</v>
      </c>
      <c r="F690" s="15" t="n">
        <f aca="false">F686/F688*1000</f>
        <v>577.003510252757</v>
      </c>
      <c r="G690" s="15" t="n">
        <f aca="false">G686/G688*1000</f>
        <v>898.977893511533</v>
      </c>
    </row>
    <row r="691" customFormat="false" ht="17.15" hidden="false" customHeight="false" outlineLevel="0" collapsed="false">
      <c r="A691" s="0" t="s">
        <v>380</v>
      </c>
      <c r="B691" s="0" t="s">
        <v>31</v>
      </c>
      <c r="D691" s="21" t="n">
        <f aca="false">D681/D686</f>
        <v>0.72655058464667</v>
      </c>
      <c r="E691" s="21" t="n">
        <f aca="false">E681/E686</f>
        <v>0.871206254500655</v>
      </c>
      <c r="F691" s="21" t="n">
        <f aca="false">F681/F686</f>
        <v>0.586411674526642</v>
      </c>
      <c r="G691" s="21" t="n">
        <f aca="false">G681/G686</f>
        <v>0.420155993731463</v>
      </c>
    </row>
    <row r="692" customFormat="false" ht="15" hidden="false" customHeight="false" outlineLevel="0" collapsed="false">
      <c r="A692" s="5" t="s">
        <v>381</v>
      </c>
      <c r="B692" s="0" t="s">
        <v>38</v>
      </c>
      <c r="E692" s="15" t="n">
        <f aca="false">E684/(E688+dil)*1000</f>
        <v>232.681410327935</v>
      </c>
      <c r="F692" s="15" t="n">
        <f aca="false">F684/(F688+dil)*1000</f>
        <v>291.939188832021</v>
      </c>
      <c r="G692" s="15" t="n">
        <f aca="false">G684/(G688+dil)*1000</f>
        <v>324.461787566271</v>
      </c>
    </row>
    <row r="693" customFormat="false" ht="17.15" hidden="false" customHeight="false" outlineLevel="0" collapsed="false">
      <c r="A693" s="5" t="s">
        <v>382</v>
      </c>
      <c r="B693" s="0" t="s">
        <v>25</v>
      </c>
      <c r="D693" s="18" t="n">
        <f aca="false">ABS(D675-a26_rev)+ABS(D681-a26_ni)</f>
        <v>0</v>
      </c>
    </row>
    <row r="696" customFormat="false" ht="17.15" hidden="false" customHeight="false" outlineLevel="0" collapsed="false">
      <c r="A696" s="3" t="s">
        <v>661</v>
      </c>
    </row>
    <row r="697" customFormat="false" ht="17.15" hidden="false" customHeight="false" outlineLevel="0" collapsed="false">
      <c r="A697" s="6" t="s">
        <v>608</v>
      </c>
      <c r="B697" s="6" t="s">
        <v>609</v>
      </c>
      <c r="C697" s="12" t="s">
        <v>662</v>
      </c>
      <c r="D697" s="12" t="s">
        <v>663</v>
      </c>
      <c r="E697" s="6" t="s">
        <v>664</v>
      </c>
      <c r="F697" s="6" t="s">
        <v>612</v>
      </c>
    </row>
    <row r="698" customFormat="false" ht="17.15" hidden="false" customHeight="false" outlineLevel="0" collapsed="false">
      <c r="A698" s="5" t="s">
        <v>17</v>
      </c>
      <c r="B698" s="0" t="s">
        <v>665</v>
      </c>
      <c r="C698" s="24" t="n">
        <f aca="false">(tp_wA*MAX(0,Val!B16/(1+tp_r)^1+Val!B17/(1+tp_r)^2+Val!B18/(1+tp_r)^3+Val!B11*(1-MIN(tp_g/tp_roe,0.8))/(1+tp_r)^4+Val!B12*(1-MIN(tp_g/tp_roe,0.8))/(1+tp_r)^5+Val!B13*(1-MIN(tp_g/tp_roe,0.8))/(1+tp_r)^6+Val!B13*(1-MIN(tp_g/tp_roe,0.8))*(1+tp_g)/(tp_r-tp_g)/(1+tp_r)^6)+tp_wB*MAX(0,Val!C16/(1+tp_r)^1+Val!C17/(1+tp_r)^2+Val!C18/(1+tp_r)^3+Val!C11*(1-MIN(tp_g/tp_roe,0.8))/(1+tp_r)^4+Val!C12*(1-MIN(tp_g/tp_roe,0.8))/(1+tp_r)^5+Val!C13*(1-MIN(tp_g/tp_roe,0.8))/(1+tp_r)^6+Val!C13*(1-MIN(tp_g/tp_roe,0.8))*(1+tp_g)/(tp_r-tp_g)/(1+tp_r)^6)+tp_wC*MAX(0,Val!D16/(1+tp_r)^1+Val!D17/(1+tp_r)^2+Val!D18/(1+tp_r)^3+Val!D11*(1-MIN(tp_g/tp_roe,0.8))/(1+tp_r)^4+Val!D12*(1-MIN(tp_g/tp_roe,0.8))/(1+tp_r)^5+Val!D13*(1-MIN(tp_g/tp_roe,0.8))/(1+tp_r)^6+Val!D13*(1-MIN(tp_g/tp_roe,0.8))*(1+tp_g)/(tp_r-tp_g)/(1+tp_r)^6))*(1+tp_r)</f>
        <v>1139.15521897662</v>
      </c>
      <c r="D698" s="24" t="n">
        <f aca="false">Val!B34</f>
        <v>766.562689378587</v>
      </c>
      <c r="E698" s="24" t="n">
        <f aca="false">tp_w_dcf*C698+(1-tp_w_dcf)*D698</f>
        <v>952.858954177605</v>
      </c>
      <c r="F698" s="14" t="n">
        <f aca="false">E698/E$698-1</f>
        <v>0</v>
      </c>
    </row>
    <row r="699" customFormat="false" ht="17.15" hidden="false" customHeight="false" outlineLevel="0" collapsed="false">
      <c r="A699" s="5" t="s">
        <v>666</v>
      </c>
      <c r="B699" s="0" t="s">
        <v>667</v>
      </c>
      <c r="C699" s="24" t="n">
        <f aca="false">(tp_wA*MAX(0,Val!B16/(1+(tp_r+0.01))^1+Val!B17/(1+(tp_r+0.01))^2+Val!B18/(1+(tp_r+0.01))^3+Val!B11*(1-MIN(tp_g/tp_roe,0.8))/(1+(tp_r+0.01))^4+Val!B12*(1-MIN(tp_g/tp_roe,0.8))/(1+(tp_r+0.01))^5+Val!B13*(1-MIN(tp_g/tp_roe,0.8))/(1+(tp_r+0.01))^6+Val!B13*(1-MIN(tp_g/tp_roe,0.8))*(1+tp_g)/((tp_r+0.01)-tp_g)/(1+(tp_r+0.01))^6)+tp_wB*MAX(0,Val!C16/(1+(tp_r+0.01))^1+Val!C17/(1+(tp_r+0.01))^2+Val!C18/(1+(tp_r+0.01))^3+Val!C11*(1-MIN(tp_g/tp_roe,0.8))/(1+(tp_r+0.01))^4+Val!C12*(1-MIN(tp_g/tp_roe,0.8))/(1+(tp_r+0.01))^5+Val!C13*(1-MIN(tp_g/tp_roe,0.8))/(1+(tp_r+0.01))^6+Val!C13*(1-MIN(tp_g/tp_roe,0.8))*(1+tp_g)/((tp_r+0.01)-tp_g)/(1+(tp_r+0.01))^6)+tp_wC*MAX(0,Val!D16/(1+(tp_r+0.01))^1+Val!D17/(1+(tp_r+0.01))^2+Val!D18/(1+(tp_r+0.01))^3+Val!D11*(1-MIN(tp_g/tp_roe,0.8))/(1+(tp_r+0.01))^4+Val!D12*(1-MIN(tp_g/tp_roe,0.8))/(1+(tp_r+0.01))^5+Val!D13*(1-MIN(tp_g/tp_roe,0.8))/(1+(tp_r+0.01))^6+Val!D13*(1-MIN(tp_g/tp_roe,0.8))*(1+tp_g)/((tp_r+0.01)-tp_g)/(1+(tp_r+0.01))^6))*(1+(tp_r+0.01))</f>
        <v>1057.40580166397</v>
      </c>
      <c r="D699" s="24" t="n">
        <f aca="false">Val!B34</f>
        <v>766.562689378587</v>
      </c>
      <c r="E699" s="24" t="n">
        <f aca="false">tp_w_dcf*C699+(1-tp_w_dcf)*D699</f>
        <v>911.984245521279</v>
      </c>
      <c r="F699" s="14" t="n">
        <f aca="false">E699/E$698-1</f>
        <v>-0.0428969140470574</v>
      </c>
    </row>
    <row r="700" customFormat="false" ht="17.15" hidden="false" customHeight="false" outlineLevel="0" collapsed="false">
      <c r="A700" s="5" t="s">
        <v>668</v>
      </c>
      <c r="B700" s="0" t="s">
        <v>669</v>
      </c>
      <c r="C700" s="24" t="n">
        <f aca="false">(tp_wA*MAX(0,Val!B16/(1+(tp_r-0.01))^1+Val!B17/(1+(tp_r-0.01))^2+Val!B18/(1+(tp_r-0.01))^3+Val!B11*(1-MIN(tp_g/tp_roe,0.8))/(1+(tp_r-0.01))^4+Val!B12*(1-MIN(tp_g/tp_roe,0.8))/(1+(tp_r-0.01))^5+Val!B13*(1-MIN(tp_g/tp_roe,0.8))/(1+(tp_r-0.01))^6+Val!B13*(1-MIN(tp_g/tp_roe,0.8))*(1+tp_g)/((tp_r-0.01)-tp_g)/(1+(tp_r-0.01))^6)+tp_wB*MAX(0,Val!C16/(1+(tp_r-0.01))^1+Val!C17/(1+(tp_r-0.01))^2+Val!C18/(1+(tp_r-0.01))^3+Val!C11*(1-MIN(tp_g/tp_roe,0.8))/(1+(tp_r-0.01))^4+Val!C12*(1-MIN(tp_g/tp_roe,0.8))/(1+(tp_r-0.01))^5+Val!C13*(1-MIN(tp_g/tp_roe,0.8))/(1+(tp_r-0.01))^6+Val!C13*(1-MIN(tp_g/tp_roe,0.8))*(1+tp_g)/((tp_r-0.01)-tp_g)/(1+(tp_r-0.01))^6)+tp_wC*MAX(0,Val!D16/(1+(tp_r-0.01))^1+Val!D17/(1+(tp_r-0.01))^2+Val!D18/(1+(tp_r-0.01))^3+Val!D11*(1-MIN(tp_g/tp_roe,0.8))/(1+(tp_r-0.01))^4+Val!D12*(1-MIN(tp_g/tp_roe,0.8))/(1+(tp_r-0.01))^5+Val!D13*(1-MIN(tp_g/tp_roe,0.8))/(1+(tp_r-0.01))^6+Val!D13*(1-MIN(tp_g/tp_roe,0.8))*(1+tp_g)/((tp_r-0.01)-tp_g)/(1+(tp_r-0.01))^6))*(1+(tp_r-0.01))</f>
        <v>1251.4620602165</v>
      </c>
      <c r="D700" s="24" t="n">
        <f aca="false">Val!B34</f>
        <v>766.562689378587</v>
      </c>
      <c r="E700" s="24" t="n">
        <f aca="false">tp_w_dcf*C700+(1-tp_w_dcf)*D700</f>
        <v>1009.01237479754</v>
      </c>
      <c r="F700" s="14" t="n">
        <f aca="false">E700/E$698-1</f>
        <v>0.0589315138129811</v>
      </c>
    </row>
    <row r="701" customFormat="false" ht="17.15" hidden="false" customHeight="false" outlineLevel="0" collapsed="false">
      <c r="A701" s="5" t="s">
        <v>670</v>
      </c>
      <c r="B701" s="0" t="s">
        <v>671</v>
      </c>
      <c r="C701" s="24" t="n">
        <f aca="false">(tp_wA*MAX(0,Val!B16/(1+tp_r)^1+Val!B17/(1+tp_r)^2+Val!B18/(1+tp_r)^3+Val!B11*(1-MIN((tp_g+0.01)/tp_roe,0.8))/(1+tp_r)^4+Val!B12*(1-MIN((tp_g+0.01)/tp_roe,0.8))/(1+tp_r)^5+Val!B13*(1-MIN((tp_g+0.01)/tp_roe,0.8))/(1+tp_r)^6+Val!B13*(1-MIN((tp_g+0.01)/tp_roe,0.8))*(1+(tp_g+0.01))/(tp_r-(tp_g+0.01))/(1+tp_r)^6)+tp_wB*MAX(0,Val!C16/(1+tp_r)^1+Val!C17/(1+tp_r)^2+Val!C18/(1+tp_r)^3+Val!C11*(1-MIN((tp_g+0.01)/tp_roe,0.8))/(1+tp_r)^4+Val!C12*(1-MIN((tp_g+0.01)/tp_roe,0.8))/(1+tp_r)^5+Val!C13*(1-MIN((tp_g+0.01)/tp_roe,0.8))/(1+tp_r)^6+Val!C13*(1-MIN((tp_g+0.01)/tp_roe,0.8))*(1+(tp_g+0.01))/(tp_r-(tp_g+0.01))/(1+tp_r)^6)+tp_wC*MAX(0,Val!D16/(1+tp_r)^1+Val!D17/(1+tp_r)^2+Val!D18/(1+tp_r)^3+Val!D11*(1-MIN((tp_g+0.01)/tp_roe,0.8))/(1+tp_r)^4+Val!D12*(1-MIN((tp_g+0.01)/tp_roe,0.8))/(1+tp_r)^5+Val!D13*(1-MIN((tp_g+0.01)/tp_roe,0.8))/(1+tp_r)^6+Val!D13*(1-MIN((tp_g+0.01)/tp_roe,0.8))*(1+(tp_g+0.01))/(tp_r-(tp_g+0.01))/(1+tp_r)^6))*(1+tp_r)</f>
        <v>1196.9424528361</v>
      </c>
      <c r="D701" s="24" t="n">
        <f aca="false">Val!B34</f>
        <v>766.562689378587</v>
      </c>
      <c r="E701" s="24" t="n">
        <f aca="false">tp_w_dcf*C701+(1-tp_w_dcf)*D701</f>
        <v>981.752571107345</v>
      </c>
      <c r="F701" s="14" t="n">
        <f aca="false">E701/E$698-1</f>
        <v>0.0303230785658914</v>
      </c>
    </row>
    <row r="702" customFormat="false" ht="17.15" hidden="false" customHeight="false" outlineLevel="0" collapsed="false">
      <c r="A702" s="5" t="s">
        <v>672</v>
      </c>
      <c r="B702" s="0" t="s">
        <v>673</v>
      </c>
      <c r="C702" s="24" t="n">
        <f aca="false">(tp_wA*MAX(0,Val!B16/(1+tp_r)^1+Val!B17/(1+tp_r)^2+Val!B18/(1+tp_r)^3+Val!B11*(1-MIN((tp_g-0.01)/tp_roe,0.8))/(1+tp_r)^4+Val!B12*(1-MIN((tp_g-0.01)/tp_roe,0.8))/(1+tp_r)^5+Val!B13*(1-MIN((tp_g-0.01)/tp_roe,0.8))/(1+tp_r)^6+Val!B13*(1-MIN((tp_g-0.01)/tp_roe,0.8))*(1+(tp_g-0.01))/(tp_r-(tp_g-0.01))/(1+tp_r)^6)+tp_wB*MAX(0,Val!C16/(1+tp_r)^1+Val!C17/(1+tp_r)^2+Val!C18/(1+tp_r)^3+Val!C11*(1-MIN((tp_g-0.01)/tp_roe,0.8))/(1+tp_r)^4+Val!C12*(1-MIN((tp_g-0.01)/tp_roe,0.8))/(1+tp_r)^5+Val!C13*(1-MIN((tp_g-0.01)/tp_roe,0.8))/(1+tp_r)^6+Val!C13*(1-MIN((tp_g-0.01)/tp_roe,0.8))*(1+(tp_g-0.01))/(tp_r-(tp_g-0.01))/(1+tp_r)^6)+tp_wC*MAX(0,Val!D16/(1+tp_r)^1+Val!D17/(1+tp_r)^2+Val!D18/(1+tp_r)^3+Val!D11*(1-MIN((tp_g-0.01)/tp_roe,0.8))/(1+tp_r)^4+Val!D12*(1-MIN((tp_g-0.01)/tp_roe,0.8))/(1+tp_r)^5+Val!D13*(1-MIN((tp_g-0.01)/tp_roe,0.8))/(1+tp_r)^6+Val!D13*(1-MIN((tp_g-0.01)/tp_roe,0.8))*(1+(tp_g-0.01))/(tp_r-(tp_g-0.01))/(1+tp_r)^6))*(1+tp_r)</f>
        <v>1099.42681217916</v>
      </c>
      <c r="D702" s="24" t="n">
        <f aca="false">Val!B34</f>
        <v>766.562689378587</v>
      </c>
      <c r="E702" s="24" t="n">
        <f aca="false">tp_w_dcf*C702+(1-tp_w_dcf)*D702</f>
        <v>932.994750778875</v>
      </c>
      <c r="F702" s="14" t="n">
        <f aca="false">E702/E$698-1</f>
        <v>-0.0208469504449108</v>
      </c>
    </row>
    <row r="703" customFormat="false" ht="17.15" hidden="false" customHeight="false" outlineLevel="0" collapsed="false">
      <c r="A703" s="0" t="s">
        <v>674</v>
      </c>
      <c r="B703" s="0" t="s">
        <v>675</v>
      </c>
      <c r="C703" s="24" t="n">
        <f aca="false">(tp_wA*MAX(0,Val!B16/(1+tp_r)^1+Val!B17/(1+tp_r)^2+Val!B18/(1+tp_r)^3+Val!B11*(1-MIN(tp_g/tp_roe,0.8))/(1+tp_r)^4+Val!B12*(1-MIN(tp_g/tp_roe,0.8))/(1+tp_r)^5+Val!B13*(1-MIN(tp_g/tp_roe,0.8))/(1+tp_r)^6+Val!B13*(1-MIN(tp_g/tp_roe,0.8))*(1+tp_g)/(tp_r-tp_g)/(1+tp_r)^6)+tp_wB*MAX(0,Val!C16/(1+tp_r)^1+Val!C17/(1+tp_r)^2+Val!C18/(1+tp_r)^3+Val!C11*(1-MIN(tp_g/tp_roe,0.8))/(1+tp_r)^4+Val!C12*(1-MIN(tp_g/tp_roe,0.8))/(1+tp_r)^5+Val!C13*(1-MIN(tp_g/tp_roe,0.8))/(1+tp_r)^6+Val!C13*(1-MIN(tp_g/tp_roe,0.8))*(1+tp_g)/(tp_r-tp_g)/(1+tp_r)^6)+tp_wC*MAX(0,Val!D16/(1+tp_r)^1+Val!D17/(1+tp_r)^2+Val!D18/(1+tp_r)^3+Val!D11*(1-MIN(tp_g/tp_roe,0.8))/(1+tp_r)^4+Val!D12*(1-MIN(tp_g/tp_roe,0.8))/(1+tp_r)^5+Val!D13*(1-MIN(tp_g/tp_roe,0.8))/(1+tp_r)^6+Val!D13*(1-MIN(tp_g/tp_roe,0.8))*(1+tp_g)/(tp_r-tp_g)/(1+tp_r)^6))*(1+tp_r)</f>
        <v>1139.15521897662</v>
      </c>
      <c r="D703" s="24" t="n">
        <f aca="false">Val!B34</f>
        <v>766.562689378587</v>
      </c>
      <c r="E703" s="24" t="n">
        <f aca="false">0.3*C703+(1-0.3)*D703</f>
        <v>878.340448257998</v>
      </c>
      <c r="F703" s="14" t="n">
        <f aca="false">E703/E$698-1</f>
        <v>-0.0782051798882685</v>
      </c>
    </row>
    <row r="704" customFormat="false" ht="17.15" hidden="false" customHeight="false" outlineLevel="0" collapsed="false">
      <c r="A704" s="0" t="s">
        <v>676</v>
      </c>
      <c r="B704" s="0" t="s">
        <v>677</v>
      </c>
      <c r="C704" s="24" t="n">
        <f aca="false">(tp_wA*MAX(0,Val!B16/(1+tp_r)^1+Val!B17/(1+tp_r)^2+Val!B18/(1+tp_r)^3+Val!B11*(1-MIN(tp_g/tp_roe,0.8))/(1+tp_r)^4+Val!B12*(1-MIN(tp_g/tp_roe,0.8))/(1+tp_r)^5+Val!B13*(1-MIN(tp_g/tp_roe,0.8))/(1+tp_r)^6+Val!B13*(1-MIN(tp_g/tp_roe,0.8))*(1+tp_g)/(tp_r-tp_g)/(1+tp_r)^6)+tp_wB*MAX(0,Val!C16/(1+tp_r)^1+Val!C17/(1+tp_r)^2+Val!C18/(1+tp_r)^3+Val!C11*(1-MIN(tp_g/tp_roe,0.8))/(1+tp_r)^4+Val!C12*(1-MIN(tp_g/tp_roe,0.8))/(1+tp_r)^5+Val!C13*(1-MIN(tp_g/tp_roe,0.8))/(1+tp_r)^6+Val!C13*(1-MIN(tp_g/tp_roe,0.8))*(1+tp_g)/(tp_r-tp_g)/(1+tp_r)^6)+tp_wC*MAX(0,Val!D16/(1+tp_r)^1+Val!D17/(1+tp_r)^2+Val!D18/(1+tp_r)^3+Val!D11*(1-MIN(tp_g/tp_roe,0.8))/(1+tp_r)^4+Val!D12*(1-MIN(tp_g/tp_roe,0.8))/(1+tp_r)^5+Val!D13*(1-MIN(tp_g/tp_roe,0.8))/(1+tp_r)^6+Val!D13*(1-MIN(tp_g/tp_roe,0.8))*(1+tp_g)/(tp_r-tp_g)/(1+tp_r)^6))*(1+tp_r)</f>
        <v>1139.15521897662</v>
      </c>
      <c r="D704" s="24" t="n">
        <f aca="false">Val!B34</f>
        <v>766.562689378587</v>
      </c>
      <c r="E704" s="24" t="n">
        <f aca="false">0.7*C704+(1-0.7)*D704</f>
        <v>1027.37746009721</v>
      </c>
      <c r="F704" s="14" t="n">
        <f aca="false">E704/E$698-1</f>
        <v>0.0782051798882684</v>
      </c>
    </row>
    <row r="705" customFormat="false" ht="17.15" hidden="false" customHeight="false" outlineLevel="0" collapsed="false">
      <c r="A705" s="5" t="s">
        <v>678</v>
      </c>
      <c r="C705" s="0" t="n">
        <f aca="false">C698-Val!B24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  <col collapsed="false" customWidth="true" hidden="false" outlineLevel="0" max="2" min="2" style="0" width="130"/>
  </cols>
  <sheetData>
    <row r="1" customFormat="false" ht="15" hidden="false" customHeight="false" outlineLevel="0" collapsed="false">
      <c r="A1" s="3" t="s">
        <v>265</v>
      </c>
    </row>
    <row r="2" customFormat="false" ht="17.15" hidden="false" customHeight="false" outlineLevel="0" collapsed="false">
      <c r="A2" s="0" t="s">
        <v>51</v>
      </c>
      <c r="B2" s="0" t="s">
        <v>679</v>
      </c>
    </row>
    <row r="3" customFormat="false" ht="17.15" hidden="false" customHeight="false" outlineLevel="0" collapsed="false">
      <c r="A3" s="0" t="s">
        <v>27</v>
      </c>
      <c r="B3" s="0" t="s">
        <v>680</v>
      </c>
    </row>
    <row r="4" customFormat="false" ht="17.15" hidden="false" customHeight="false" outlineLevel="0" collapsed="false">
      <c r="A4" s="0" t="s">
        <v>681</v>
      </c>
      <c r="B4" s="0" t="s">
        <v>682</v>
      </c>
    </row>
    <row r="5" customFormat="false" ht="17.15" hidden="false" customHeight="false" outlineLevel="0" collapsed="false">
      <c r="A5" s="0" t="s">
        <v>683</v>
      </c>
      <c r="B5" s="0" t="s">
        <v>684</v>
      </c>
    </row>
    <row r="6" customFormat="false" ht="17.15" hidden="false" customHeight="false" outlineLevel="0" collapsed="false">
      <c r="A6" s="0" t="s">
        <v>685</v>
      </c>
      <c r="B6" s="0" t="s">
        <v>686</v>
      </c>
    </row>
    <row r="7" customFormat="false" ht="17.15" hidden="false" customHeight="false" outlineLevel="0" collapsed="false">
      <c r="A7" s="0" t="s">
        <v>687</v>
      </c>
      <c r="B7" s="0" t="s">
        <v>688</v>
      </c>
    </row>
    <row r="8" customFormat="false" ht="17.15" hidden="false" customHeight="false" outlineLevel="0" collapsed="false">
      <c r="A8" s="0" t="s">
        <v>689</v>
      </c>
      <c r="B8" s="0" t="s">
        <v>690</v>
      </c>
    </row>
    <row r="9" customFormat="false" ht="17.15" hidden="false" customHeight="false" outlineLevel="0" collapsed="false">
      <c r="A9" s="0" t="s">
        <v>691</v>
      </c>
      <c r="B9" s="0" t="s">
        <v>692</v>
      </c>
    </row>
    <row r="10" customFormat="false" ht="17.15" hidden="false" customHeight="false" outlineLevel="0" collapsed="false">
      <c r="A10" s="5" t="s">
        <v>693</v>
      </c>
      <c r="B10" s="5" t="s">
        <v>694</v>
      </c>
    </row>
    <row r="11" customFormat="false" ht="17.15" hidden="false" customHeight="false" outlineLevel="0" collapsed="false">
      <c r="A11" s="5" t="s">
        <v>695</v>
      </c>
      <c r="B11" s="5" t="s">
        <v>694</v>
      </c>
    </row>
    <row r="12" customFormat="false" ht="15" hidden="false" customHeight="false" outlineLevel="0" collapsed="false">
      <c r="A12" s="0" t="s">
        <v>696</v>
      </c>
      <c r="B12" s="5" t="s">
        <v>697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2026-10-25T06:31:23Z</dcterms:created>
  <dc:creator>openpyxl</dc:creator>
  <dc:description/>
  <dc:language>en-US</dc:language>
  <cp:lastModifiedBy/>
  <dcterms:modified xsi:type="dcterms:W3CDTF">2026-10-25T06:31:23Z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