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cx" vbProcedure="false">Q!$B$16</definedName>
    <definedName function="false" hidden="false" name="a25_da" vbProcedure="false">Q!$B$15</definedName>
    <definedName function="false" hidden="false" name="a25_eps" vbProcedure="false">Q!$B$14</definedName>
    <definedName function="false" hidden="false" name="a25_gp" vbProcedure="false">Q!$B$5</definedName>
    <definedName function="false" hidden="false" name="a25_ni" vbProcedure="false">Q!$B$11</definedName>
    <definedName function="false" hidden="false" name="a25_nonop" vbProcedure="false">Q!$B$9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rev" vbProcedure="false">Q!$B$4</definedName>
    <definedName function="false" hidden="false" name="a25_sh" vbProcedure="false">Q!$B$13</definedName>
    <definedName function="false" hidden="false" name="a26_abf" vbProcedure="false">Q!$G$19</definedName>
    <definedName function="false" hidden="false" name="a26_bt" vbProcedure="false">Q!$G$20</definedName>
    <definedName function="false" hidden="false" name="a26_cx" vbProcedure="false">Q!$G$16</definedName>
    <definedName function="false" hidden="false" name="a26_da" vbProcedure="false">Q!$G$15</definedName>
    <definedName function="false" hidden="false" name="a26_eps" vbProcedure="false">Q!$G$14</definedName>
    <definedName function="false" hidden="false" name="a26_gp" vbProcedure="false">Q!$G$5</definedName>
    <definedName function="false" hidden="false" name="a26_ni" vbProcedure="false">Q!$G$11</definedName>
    <definedName function="false" hidden="false" name="a26_nonop" vbProcedure="false">Q!$G$9</definedName>
    <definedName function="false" hidden="false" name="a26_oi" vbProcedure="false">Q!$G$8</definedName>
    <definedName function="false" hidden="false" name="a26_opx" vbProcedure="false">Q!$G$7</definedName>
    <definedName function="false" hidden="false" name="a26_pcb" vbProcedure="false">Q!$G$21</definedName>
    <definedName function="false" hidden="false" name="a26_rev" vbProcedure="false">Q!$G$4</definedName>
    <definedName function="false" hidden="false" name="a26_sh" vbProcedure="false">Q!$G$13</definedName>
    <definedName function="false" hidden="false" name="a26_shend" vbProcedure="false">Q!$F$13</definedName>
    <definedName function="false" hidden="false" name="ai_abf" vbProcedure="false">In!$E$82</definedName>
    <definedName function="false" hidden="false" name="ai_abf_hi" vbProcedure="false">In!$F$82</definedName>
    <definedName function="false" hidden="false" name="ai_abf_lo" vbProcedure="false">In!$D$82</definedName>
    <definedName function="false" hidden="false" name="bk_eps27" vbProcedure="false">In!$E$131</definedName>
    <definedName function="false" hidden="false" name="bk_eps27_hi" vbProcedure="false">In!$F$131</definedName>
    <definedName function="false" hidden="false" name="bk_eps27_lo" vbProcedure="false">In!$D$131</definedName>
    <definedName function="false" hidden="false" name="bk_eps28" vbProcedure="false">In!$E$132</definedName>
    <definedName function="false" hidden="false" name="bk_eps28_hi" vbProcedure="false">In!$F$132</definedName>
    <definedName function="false" hidden="false" name="bk_eps28_lo" vbProcedure="false">In!$D$132</definedName>
    <definedName function="false" hidden="false" name="capex26" vbProcedure="false">In!$E$107</definedName>
    <definedName function="false" hidden="false" name="cap_27" vbProcedure="false">In!$E$86</definedName>
    <definedName function="false" hidden="false" name="cap_27_hi" vbProcedure="false">In!$F$86</definedName>
    <definedName function="false" hidden="false" name="cap_27_lo" vbProcedure="false">In!$D$86</definedName>
    <definedName function="false" hidden="false" name="cap_28" vbProcedure="false">In!$E$87</definedName>
    <definedName function="false" hidden="false" name="cap_28_hi" vbProcedure="false">In!$F$87</definedName>
    <definedName function="false" hidden="false" name="cap_28_lo" vbProcedure="false">In!$D$87</definedName>
    <definedName function="false" hidden="false" name="cap_29" vbProcedure="false">In!$E$88</definedName>
    <definedName function="false" hidden="false" name="cap_29_hi" vbProcedure="false">In!$F$88</definedName>
    <definedName function="false" hidden="false" name="cap_29_lo" vbProcedure="false">In!$D$88</definedName>
    <definedName function="false" hidden="false" name="carry" vbProcedure="false">In!$E$90</definedName>
    <definedName function="false" hidden="false" name="carry_hi" vbProcedure="false">In!$F$90</definedName>
    <definedName function="false" hidden="false" name="carry_lo" vbProcedure="false">In!$D$90</definedName>
    <definedName function="false" hidden="false" name="cons_eps26" vbProcedure="false">In!$E$126</definedName>
    <definedName function="false" hidden="false" name="cons_eps26_hi" vbProcedure="false">In!$F$126</definedName>
    <definedName function="false" hidden="false" name="cons_eps26_lo" vbProcedure="false">In!$D$126</definedName>
    <definedName function="false" hidden="false" name="cons_eps27" vbProcedure="false">In!$E$127</definedName>
    <definedName function="false" hidden="false" name="cons_eps27_hi" vbProcedure="false">In!$F$127</definedName>
    <definedName function="false" hidden="false" name="cons_eps27_lo" vbProcedure="false">In!$D$127</definedName>
    <definedName function="false" hidden="false" name="cons_eps28" vbProcedure="false">In!$E$128</definedName>
    <definedName function="false" hidden="false" name="cons_eps28_hi" vbProcedure="false">In!$F$128</definedName>
    <definedName function="false" hidden="false" name="cons_eps28_lo" vbProcedure="false">In!$D$128</definedName>
    <definedName function="false" hidden="false" name="cons_feps" vbProcedure="false">In!$E$137</definedName>
    <definedName function="false" hidden="false" name="cons_rev27" vbProcedure="false">In!$E$129</definedName>
    <definedName function="false" hidden="false" name="cons_rev27_hi" vbProcedure="false">In!$F$129</definedName>
    <definedName function="false" hidden="false" name="cons_rev27_lo" vbProcedure="false">In!$D$129</definedName>
    <definedName function="false" hidden="false" name="cons_rev28" vbProcedure="false">In!$E$130</definedName>
    <definedName function="false" hidden="false" name="cons_rev28_hi" vbProcedure="false">In!$F$130</definedName>
    <definedName function="false" hidden="false" name="cons_rev28_lo" vbProcedure="false">In!$D$130</definedName>
    <definedName function="false" hidden="false" name="cons_tp" vbProcedure="false">In!$E$138</definedName>
    <definedName function="false" hidden="false" name="cx27" vbProcedure="false">In!$E$104</definedName>
    <definedName function="false" hidden="false" name="cx27_hi" vbProcedure="false">In!$F$104</definedName>
    <definedName function="false" hidden="false" name="cx27_lo" vbProcedure="false">In!$D$104</definedName>
    <definedName function="false" hidden="false" name="cx28" vbProcedure="false">In!$E$105</definedName>
    <definedName function="false" hidden="false" name="cx28_hi" vbProcedure="false">In!$F$105</definedName>
    <definedName function="false" hidden="false" name="cx28_lo" vbProcedure="false">In!$D$105</definedName>
    <definedName function="false" hidden="false" name="cx29" vbProcedure="false">In!$E$106</definedName>
    <definedName function="false" hidden="false" name="cx29_hi" vbProcedure="false">In!$F$106</definedName>
    <definedName function="false" hidden="false" name="cx29_lo" vbProcedure="false">In!$D$106</definedName>
    <definedName function="false" hidden="false" name="da26" vbProcedure="false">In!$E$108</definedName>
    <definedName function="false" hidden="false" name="el_o" vbProcedure="false">In!$E$84</definedName>
    <definedName function="false" hidden="false" name="el_o_hi" vbProcedure="false">In!$F$84</definedName>
    <definedName function="false" hidden="false" name="el_o_lo" vbProcedure="false">In!$D$84</definedName>
    <definedName function="false" hidden="false" name="fade_gA" vbProcedure="false">In!$E$149</definedName>
    <definedName function="false" hidden="false" name="fade_gB" vbProcedure="false">In!$E$150</definedName>
    <definedName function="false" hidden="false" name="fade_gC" vbProcedure="false">In!$E$151</definedName>
    <definedName function="false" hidden="false" name="fade_mA" vbProcedure="false">In!$E$152</definedName>
    <definedName function="false" hidden="false" name="fade_mB" vbProcedure="false">In!$E$153</definedName>
    <definedName function="false" hidden="false" name="fade_mC" vbProcedure="false">In!$E$154</definedName>
    <definedName function="false" hidden="false" name="fpe" vbProcedure="false">In!$E$135</definedName>
    <definedName function="false" hidden="false" name="ft_abf" vbProcedure="false">In!$E$102</definedName>
    <definedName function="false" hidden="false" name="ft_abf_hi" vbProcedure="false">In!$F$102</definedName>
    <definedName function="false" hidden="false" name="ft_abf_lo" vbProcedure="false">In!$D$102</definedName>
    <definedName function="false" hidden="false" name="ft_oth" vbProcedure="false">In!$E$103</definedName>
    <definedName function="false" hidden="false" name="ft_oth_hi" vbProcedure="false">In!$F$103</definedName>
    <definedName function="false" hidden="false" name="ft_oth_lo" vbProcedure="false">In!$D$103</definedName>
    <definedName function="false" hidden="false" name="fx" vbProcedure="false">In!$E$139</definedName>
    <definedName function="false" hidden="false" name="g29_amd" vbProcedure="false">In!$E$24</definedName>
    <definedName function="false" hidden="false" name="g29_bw" vbProcedure="false">In!$E$8</definedName>
    <definedName function="false" hidden="false" name="g29_hp" vbProcedure="false">In!$E$20</definedName>
    <definedName function="false" hidden="false" name="g29_oth" vbProcedure="false">In!$E$36</definedName>
    <definedName function="false" hidden="false" name="g29_rb" vbProcedure="false">In!$E$12</definedName>
    <definedName function="false" hidden="false" name="g29_ru" vbProcedure="false">In!$E$16</definedName>
    <definedName function="false" hidden="false" name="g29_tpu" vbProcedure="false">In!$E$28</definedName>
    <definedName function="false" hidden="false" name="g29_trn" vbProcedure="false">In!$E$32</definedName>
    <definedName function="false" hidden="false" name="g_asp" vbProcedure="false">In!$E$53</definedName>
    <definedName function="false" hidden="false" name="g_asp_hi" vbProcedure="false">In!$F$53</definedName>
    <definedName function="false" hidden="false" name="g_asp_lo" vbProcedure="false">In!$D$53</definedName>
    <definedName function="false" hidden="false" name="g_bt27_A" vbProcedure="false">In!$E$91</definedName>
    <definedName function="false" hidden="false" name="g_bt27_B" vbProcedure="false">In!$E$94</definedName>
    <definedName function="false" hidden="false" name="g_bt27_C" vbProcedure="false">In!$E$97</definedName>
    <definedName function="false" hidden="false" name="g_bt28_A" vbProcedure="false">In!$E$92</definedName>
    <definedName function="false" hidden="false" name="g_bt28_B" vbProcedure="false">In!$E$95</definedName>
    <definedName function="false" hidden="false" name="g_bt28_C" vbProcedure="false">In!$E$98</definedName>
    <definedName function="false" hidden="false" name="g_bt29_A" vbProcedure="false">In!$E$93</definedName>
    <definedName function="false" hidden="false" name="g_bt29_B" vbProcedure="false">In!$E$96</definedName>
    <definedName function="false" hidden="false" name="g_bt29_C" vbProcedure="false">In!$E$99</definedName>
    <definedName function="false" hidden="false" name="g_mix" vbProcedure="false">In!$E$89</definedName>
    <definedName function="false" hidden="false" name="g_mix_hi" vbProcedure="false">In!$F$89</definedName>
    <definedName function="false" hidden="false" name="g_mix_lo" vbProcedure="false">In!$D$89</definedName>
    <definedName function="false" hidden="false" name="g_nai" vbProcedure="false">In!$E$85</definedName>
    <definedName function="false" hidden="false" name="g_nai_hi" vbProcedure="false">In!$F$85</definedName>
    <definedName function="false" hidden="false" name="g_nai_lo" vbProcedure="false">In!$D$85</definedName>
    <definedName function="false" hidden="false" name="g_pcb" vbProcedure="false">In!$E$100</definedName>
    <definedName function="false" hidden="false" name="g_pcb_hi" vbProcedure="false">In!$F$100</definedName>
    <definedName function="false" hidden="false" name="g_pcb_lo" vbProcedure="false">In!$D$100</definedName>
    <definedName function="false" hidden="false" name="ibpp_27" vbProcedure="false">In!$E$54</definedName>
    <definedName function="false" hidden="false" name="ibpp_27_hi" vbProcedure="false">In!$F$54</definedName>
    <definedName function="false" hidden="false" name="ibpp_27_lo" vbProcedure="false">In!$D$54</definedName>
    <definedName function="false" hidden="false" name="ibpp_28" vbProcedure="false">In!$E$56</definedName>
    <definedName function="false" hidden="false" name="ibpp_28_hi" vbProcedure="false">In!$F$56</definedName>
    <definedName function="false" hidden="false" name="ibpp_28_lo" vbProcedure="false">In!$D$56</definedName>
    <definedName function="false" hidden="false" name="ibpp_29" vbProcedure="false">In!$E$58</definedName>
    <definedName function="false" hidden="false" name="ibpp_29_hi" vbProcedure="false">In!$F$58</definedName>
    <definedName function="false" hidden="false" name="ibpp_29_lo" vbProcedure="false">In!$D$58</definedName>
    <definedName function="false" hidden="false" name="ibrel_27" vbProcedure="false">In!$E$55</definedName>
    <definedName function="false" hidden="false" name="ibrel_28" vbProcedure="false">In!$E$57</definedName>
    <definedName function="false" hidden="false" name="ibrel_29" vbProcedure="false">In!$E$59</definedName>
    <definedName function="false" hidden="false" name="ib_sh26" vbProcedure="false">In!$E$60</definedName>
    <definedName function="false" hidden="false" name="ib_sh26_hi" vbProcedure="false">In!$F$60</definedName>
    <definedName function="false" hidden="false" name="ib_sh26_lo" vbProcedure="false">In!$D$60</definedName>
    <definedName function="false" hidden="false" name="ib_w_ot" vbProcedure="false">In!$E$61</definedName>
    <definedName function="false" hidden="false" name="ib_w_ot_hi" vbProcedure="false">In!$F$61</definedName>
    <definedName function="false" hidden="false" name="ib_w_ot_lo" vbProcedure="false">In!$D$61</definedName>
    <definedName function="false" hidden="false" name="itc_26" vbProcedure="false">In!$E$37</definedName>
    <definedName function="false" hidden="false" name="itc_27" vbProcedure="false">In!$E$38</definedName>
    <definedName function="false" hidden="false" name="itc_28" vbProcedure="false">In!$E$39</definedName>
    <definedName function="false" hidden="false" name="itc_29" vbProcedure="false">In!$E$40</definedName>
    <definedName function="false" hidden="false" name="life" vbProcedure="false">In!$E$109</definedName>
    <definedName function="false" hidden="false" name="life_hi" vbProcedure="false">In!$F$109</definedName>
    <definedName function="false" hidden="false" name="life_lo" vbProcedure="false">In!$D$109</definedName>
    <definedName function="false" hidden="false" name="mx_abf" vbProcedure="false">In!$E$80</definedName>
    <definedName function="false" hidden="false" name="mx_abf_hi" vbProcedure="false">In!$F$80</definedName>
    <definedName function="false" hidden="false" name="mx_abf_lo" vbProcedure="false">In!$D$80</definedName>
    <definedName function="false" hidden="false" name="mx_bt" vbProcedure="false">In!$E$81</definedName>
    <definedName function="false" hidden="false" name="mx_bt_hi" vbProcedure="false">In!$F$81</definedName>
    <definedName function="false" hidden="false" name="mx_bt_lo" vbProcedure="false">In!$D$81</definedName>
    <definedName function="false" hidden="false" name="nim5" vbProcedure="false">In!$E$140</definedName>
    <definedName function="false" hidden="false" name="nonop27" vbProcedure="false">In!$E$111</definedName>
    <definedName function="false" hidden="false" name="nonop27_hi" vbProcedure="false">In!$F$111</definedName>
    <definedName function="false" hidden="false" name="nonop27_lo" vbProcedure="false">In!$D$111</definedName>
    <definedName function="false" hidden="false" name="nonop28" vbProcedure="false">In!$E$112</definedName>
    <definedName function="false" hidden="false" name="nonop28_hi" vbProcedure="false">In!$F$112</definedName>
    <definedName function="false" hidden="false" name="nonop28_lo" vbProcedure="false">In!$D$112</definedName>
    <definedName function="false" hidden="false" name="nonop29" vbProcedure="false">In!$E$113</definedName>
    <definedName function="false" hidden="false" name="nonop29_hi" vbProcedure="false">In!$F$113</definedName>
    <definedName function="false" hidden="false" name="nonop29_lo" vbProcedure="false">In!$D$113</definedName>
    <definedName function="false" hidden="false" name="pe_mid" vbProcedure="false">Val!$C$129</definedName>
    <definedName function="false" hidden="false" name="pe_peak" vbProcedure="false">Val!$C$128</definedName>
    <definedName function="false" hidden="false" name="pe_trough" vbProcedure="false">Val!$C$130</definedName>
    <definedName function="false" hidden="false" name="pe_ttm" vbProcedure="false">In!$E$136</definedName>
    <definedName function="false" hidden="false" name="phi" vbProcedure="false">In!$E$110</definedName>
    <definedName function="false" hidden="false" name="phi_hi" vbProcedure="false">In!$F$110</definedName>
    <definedName function="false" hidden="false" name="phi_lo" vbProcedure="false">In!$D$110</definedName>
    <definedName function="false" hidden="false" name="px" vbProcedure="false">In!$E$134</definedName>
    <definedName function="false" hidden="false" name="q3_gm" vbProcedure="false">In!$E$118</definedName>
    <definedName function="false" hidden="false" name="q3_gm_hi" vbProcedure="false">In!$F$118</definedName>
    <definedName function="false" hidden="false" name="q3_gm_lo" vbProcedure="false">In!$D$118</definedName>
    <definedName function="false" hidden="false" name="q3_opx" vbProcedure="false">In!$E$119</definedName>
    <definedName function="false" hidden="false" name="q3_opx_hi" vbProcedure="false">In!$F$119</definedName>
    <definedName function="false" hidden="false" name="q3_opx_lo" vbProcedure="false">In!$D$119</definedName>
    <definedName function="false" hidden="false" name="q3_rev" vbProcedure="false">In!$E$117</definedName>
    <definedName function="false" hidden="false" name="q4_g" vbProcedure="false">In!$E$120</definedName>
    <definedName function="false" hidden="false" name="q4_gm" vbProcedure="false">In!$E$121</definedName>
    <definedName function="false" hidden="false" name="q4_gm_hi" vbProcedure="false">In!$F$121</definedName>
    <definedName function="false" hidden="false" name="q4_gm_lo" vbProcedure="false">In!$D$121</definedName>
    <definedName function="false" hidden="false" name="q4_g_hi" vbProcedure="false">In!$F$120</definedName>
    <definedName function="false" hidden="false" name="q4_g_lo" vbProcedure="false">In!$D$120</definedName>
    <definedName function="false" hidden="false" name="q4_opx" vbProcedure="false">In!$E$122</definedName>
    <definedName function="false" hidden="false" name="q4_opx_hi" vbProcedure="false">In!$F$122</definedName>
    <definedName function="false" hidden="false" name="q4_opx_lo" vbProcedure="false">In!$D$122</definedName>
    <definedName function="false" hidden="false" name="q_nonop" vbProcedure="false">In!$E$123</definedName>
    <definedName function="false" hidden="false" name="q_nonop_hi" vbProcedure="false">In!$F$123</definedName>
    <definedName function="false" hidden="false" name="q_nonop_lo" vbProcedure="false">In!$D$123</definedName>
    <definedName function="false" hidden="false" name="q_sh" vbProcedure="false">In!$E$124</definedName>
    <definedName function="false" hidden="false" name="rm_factor" vbProcedure="false">Val!$B$153</definedName>
    <definedName function="false" hidden="false" name="sh_g" vbProcedure="false">In!$E$115</definedName>
    <definedName function="false" hidden="false" name="sh_g_hi" vbProcedure="false">In!$F$115</definedName>
    <definedName function="false" hidden="false" name="sh_g_lo" vbProcedure="false">In!$D$115</definedName>
    <definedName function="false" hidden="false" name="sh_nv_26" vbProcedure="false">In!$E$71</definedName>
    <definedName function="false" hidden="false" name="sh_nv_26_hi" vbProcedure="false">In!$F$71</definedName>
    <definedName function="false" hidden="false" name="sh_nv_26_lo" vbProcedure="false">In!$D$71</definedName>
    <definedName function="false" hidden="false" name="sh_nv_27" vbProcedure="false">In!$E$72</definedName>
    <definedName function="false" hidden="false" name="sh_nv_27_hi" vbProcedure="false">In!$F$72</definedName>
    <definedName function="false" hidden="false" name="sh_nv_27_lo" vbProcedure="false">In!$D$72</definedName>
    <definedName function="false" hidden="false" name="sh_nv_28" vbProcedure="false">In!$E$73</definedName>
    <definedName function="false" hidden="false" name="sh_nv_28_hi" vbProcedure="false">In!$F$73</definedName>
    <definedName function="false" hidden="false" name="sh_nv_28_lo" vbProcedure="false">In!$D$73</definedName>
    <definedName function="false" hidden="false" name="sh_nv_29" vbProcedure="false">In!$E$74</definedName>
    <definedName function="false" hidden="false" name="sh_nv_29_hi" vbProcedure="false">In!$F$74</definedName>
    <definedName function="false" hidden="false" name="sh_nv_29_lo" vbProcedure="false">In!$D$74</definedName>
    <definedName function="false" hidden="false" name="sh_ot_26" vbProcedure="false">In!$E$75</definedName>
    <definedName function="false" hidden="false" name="sh_ot_26_hi" vbProcedure="false">In!$F$75</definedName>
    <definedName function="false" hidden="false" name="sh_ot_26_lo" vbProcedure="false">In!$D$75</definedName>
    <definedName function="false" hidden="false" name="sh_ot_27" vbProcedure="false">In!$E$76</definedName>
    <definedName function="false" hidden="false" name="sh_ot_27_hi" vbProcedure="false">In!$F$76</definedName>
    <definedName function="false" hidden="false" name="sh_ot_27_lo" vbProcedure="false">In!$D$76</definedName>
    <definedName function="false" hidden="false" name="sh_ot_28" vbProcedure="false">In!$E$77</definedName>
    <definedName function="false" hidden="false" name="sh_ot_28_hi" vbProcedure="false">In!$F$77</definedName>
    <definedName function="false" hidden="false" name="sh_ot_28_lo" vbProcedure="false">In!$D$77</definedName>
    <definedName function="false" hidden="false" name="sh_ot_29" vbProcedure="false">In!$E$78</definedName>
    <definedName function="false" hidden="false" name="sh_ot_29_hi" vbProcedure="false">In!$F$78</definedName>
    <definedName function="false" hidden="false" name="sh_ot_29_lo" vbProcedure="false">In!$D$78</definedName>
    <definedName function="false" hidden="false" name="swm_26" vbProcedure="false">In!$E$41</definedName>
    <definedName function="false" hidden="false" name="swm_27" vbProcedure="false">In!$E$42</definedName>
    <definedName function="false" hidden="false" name="swm_28" vbProcedure="false">In!$E$43</definedName>
    <definedName function="false" hidden="false" name="swm_29" vbProcedure="false">In!$E$44</definedName>
    <definedName function="false" hidden="false" name="tax" vbProcedure="false">In!$E$114</definedName>
    <definedName function="false" hidden="false" name="tax_hi" vbProcedure="false">In!$F$114</definedName>
    <definedName function="false" hidden="false" name="tax_lo" vbProcedure="false">In!$D$114</definedName>
    <definedName function="false" hidden="false" name="tp_comp_adj" vbProcedure="false">Val!$B$154</definedName>
    <definedName function="false" hidden="false" name="tp_g" vbProcedure="false">In!$E$146</definedName>
    <definedName function="false" hidden="false" name="tp_r" vbProcedure="false">In!$E$145</definedName>
    <definedName function="false" hidden="false" name="tp_roe" vbProcedure="false">In!$E$147</definedName>
    <definedName function="false" hidden="false" name="tp_wA" vbProcedure="false">In!$E$142</definedName>
    <definedName function="false" hidden="false" name="tp_wB" vbProcedure="false">In!$E$143</definedName>
    <definedName function="false" hidden="false" name="tp_wC" vbProcedure="false">In!$E$144</definedName>
    <definedName function="false" hidden="false" name="tp_w_dcf" vbProcedure="false">In!$E$148</definedName>
    <definedName function="false" hidden="false" name="um28_A" vbProcedure="false">In!$E$45</definedName>
    <definedName function="false" hidden="false" name="um28_B" vbProcedure="false">In!$E$47</definedName>
    <definedName function="false" hidden="false" name="um28_C" vbProcedure="false">In!$E$49</definedName>
    <definedName function="false" hidden="false" name="um29_A" vbProcedure="false">In!$E$46</definedName>
    <definedName function="false" hidden="false" name="um29_B" vbProcedure="false">In!$E$48</definedName>
    <definedName function="false" hidden="false" name="um29_C" vbProcedure="false">In!$E$50</definedName>
    <definedName function="false" hidden="false" name="un_nv_26" vbProcedure="false">In!$E$63</definedName>
    <definedName function="false" hidden="false" name="un_nv_27" vbProcedure="false">In!$E$65</definedName>
    <definedName function="false" hidden="false" name="un_nv_28" vbProcedure="false">In!$E$67</definedName>
    <definedName function="false" hidden="false" name="un_nv_29" vbProcedure="false">In!$E$69</definedName>
    <definedName function="false" hidden="false" name="un_ot_26" vbProcedure="false">In!$E$64</definedName>
    <definedName function="false" hidden="false" name="un_ot_27" vbProcedure="false">In!$E$66</definedName>
    <definedName function="false" hidden="false" name="un_ot_28" vbProcedure="false">In!$E$68</definedName>
    <definedName function="false" hidden="false" name="un_ot_29" vbProcedure="false">In!$E$70</definedName>
    <definedName function="false" hidden="false" name="u_amd_26" vbProcedure="false">In!$E$21</definedName>
    <definedName function="false" hidden="false" name="u_amd_27" vbProcedure="false">In!$E$22</definedName>
    <definedName function="false" hidden="false" name="u_amd_28" vbProcedure="false">In!$E$23</definedName>
    <definedName function="false" hidden="false" name="u_bw_26" vbProcedure="false">In!$E$5</definedName>
    <definedName function="false" hidden="false" name="u_bw_27" vbProcedure="false">In!$E$6</definedName>
    <definedName function="false" hidden="false" name="u_bw_28" vbProcedure="false">In!$E$7</definedName>
    <definedName function="false" hidden="false" name="u_hp_26" vbProcedure="false">In!$E$17</definedName>
    <definedName function="false" hidden="false" name="u_hp_27" vbProcedure="false">In!$E$18</definedName>
    <definedName function="false" hidden="false" name="u_hp_28" vbProcedure="false">In!$E$19</definedName>
    <definedName function="false" hidden="false" name="u_oth_26" vbProcedure="false">In!$E$33</definedName>
    <definedName function="false" hidden="false" name="u_oth_27" vbProcedure="false">In!$E$34</definedName>
    <definedName function="false" hidden="false" name="u_oth_28" vbProcedure="false">In!$E$35</definedName>
    <definedName function="false" hidden="false" name="u_rb_26" vbProcedure="false">In!$E$9</definedName>
    <definedName function="false" hidden="false" name="u_rb_27" vbProcedure="false">In!$E$10</definedName>
    <definedName function="false" hidden="false" name="u_rb_28" vbProcedure="false">In!$E$11</definedName>
    <definedName function="false" hidden="false" name="u_ru_26" vbProcedure="false">In!$E$13</definedName>
    <definedName function="false" hidden="false" name="u_ru_27" vbProcedure="false">In!$E$14</definedName>
    <definedName function="false" hidden="false" name="u_ru_28" vbProcedure="false">In!$E$15</definedName>
    <definedName function="false" hidden="false" name="u_tpu_26" vbProcedure="false">In!$E$25</definedName>
    <definedName function="false" hidden="false" name="u_tpu_27" vbProcedure="false">In!$E$26</definedName>
    <definedName function="false" hidden="false" name="u_tpu_28" vbProcedure="false">In!$E$27</definedName>
    <definedName function="false" hidden="false" name="u_trn_26" vbProcedure="false">In!$E$29</definedName>
    <definedName function="false" hidden="false" name="u_trn_27" vbProcedure="false">In!$E$30</definedName>
    <definedName function="false" hidden="false" name="u_trn_28" vbProcedure="false">In!$E$31</definedName>
    <definedName function="false" hidden="false" name="v26" vbProcedure="false">In!$E$52</definedName>
    <definedName function="false" hidden="false" name="v_ot" vbProcedure="false">In!$E$62</definedName>
    <definedName function="false" hidden="false" name="v_ot_hi" vbProcedure="false">In!$F$62</definedName>
    <definedName function="false" hidden="false" name="v_ot_lo" vbProcedure="false">In!$D$62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<sst xmlns="http://schemas.openxmlformats.org/spreadsheetml/2006/main" count="5203" uniqueCount="1074">
  <si>
    <r>
      <rPr>
        <b val="true"/>
        <sz val="11"/>
        <rFont val="Noto Sans CJK SC"/>
        <family val="2"/>
      </rPr>
      <t xml:space="preserve">南電（</t>
    </r>
    <r>
      <rPr>
        <b val="true"/>
        <sz val="11"/>
        <rFont val="Cambria"/>
        <family val="0"/>
        <charset val="1"/>
      </rPr>
      <t xml:space="preserve">8046.TW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：載板與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次產業）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</si>
  <si>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：補上檔空間級距、投資建議、重點觀察，數值不變）。前版：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（初版）。樣板：</t>
    </r>
    <r>
      <rPr>
        <sz val="11"/>
        <rFont val="Cambria"/>
        <family val="0"/>
        <charset val="1"/>
      </rPr>
      <t xml:space="preserve">unimicron/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加速器載板的每顆金額、</t>
    </r>
    <r>
      <rPr>
        <sz val="11"/>
        <rFont val="Cambria"/>
        <family val="0"/>
        <charset val="1"/>
      </rPr>
      <t xml:space="preserve">Ibiden </t>
    </r>
    <r>
      <rPr>
        <sz val="11"/>
        <rFont val="Noto Sans CJK SC"/>
        <family val="2"/>
      </rPr>
      <t xml:space="preserve">份額與非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權重讀 </t>
    </r>
    <r>
      <rPr>
        <sz val="11"/>
        <rFont val="Cambria"/>
        <family val="0"/>
        <charset val="1"/>
      </rPr>
      <t xml:space="preserve">ibiden/dist</t>
    </r>
    <r>
      <rPr>
        <sz val="11"/>
        <rFont val="Noto Sans CJK SC"/>
        <family val="2"/>
      </rPr>
      <t xml:space="preserve">，欣興份額讀 </t>
    </r>
    <r>
      <rPr>
        <sz val="11"/>
        <rFont val="Cambria"/>
        <family val="0"/>
        <charset val="1"/>
      </rPr>
      <t xml:space="preserve">unimicron/dist</t>
    </r>
    <r>
      <rPr>
        <sz val="11"/>
        <rFont val="Noto Sans CJK SC"/>
        <family val="2"/>
      </rPr>
      <t xml:space="preserve">（本專案權威）；三家份額合計在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頁檢查。</t>
    </r>
  </si>
  <si>
    <r>
      <rPr>
        <sz val="11"/>
        <rFont val="Noto Sans CJK SC"/>
        <family val="2"/>
      </rPr>
      <t xml:space="preserve">模型命題：南電的 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載板營收＝</t>
    </r>
    <r>
      <rPr>
        <sz val="11"/>
        <rFont val="Cambria"/>
        <family val="0"/>
        <charset val="1"/>
      </rPr>
      <t xml:space="preserve">MIN</t>
    </r>
    <r>
      <rPr>
        <sz val="11"/>
        <rFont val="Noto Sans CJK SC"/>
        <family val="2"/>
      </rPr>
      <t xml:space="preserve">（需求</t>
    </r>
    <r>
      <rPr>
        <sz val="11"/>
        <rFont val="Cambria"/>
        <family val="0"/>
        <charset val="1"/>
      </rPr>
      <t xml:space="preserve">, </t>
    </r>
    <r>
      <rPr>
        <sz val="11"/>
        <rFont val="Noto Sans CJK SC"/>
        <family val="2"/>
      </rPr>
      <t xml:space="preserve">產能）；需求以網通交換器載板為主（隨 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的交換晶片與交換器市場），加上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每顆載板金額（與 </t>
    </r>
    <r>
      <rPr>
        <sz val="11"/>
        <rFont val="Cambria"/>
        <family val="0"/>
        <charset val="1"/>
      </rPr>
      <t xml:space="preserve">Ibiden</t>
    </r>
    <r>
      <rPr>
        <sz val="11"/>
        <rFont val="Noto Sans CJK SC"/>
        <family val="2"/>
      </rPr>
      <t xml:space="preserve">、欣興同口徑）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南電份額（個位數）與非 </t>
    </r>
    <r>
      <rPr>
        <sz val="11"/>
        <rFont val="Cambria"/>
        <family val="0"/>
        <charset val="1"/>
      </rPr>
      <t xml:space="preserve">AI ABF</t>
    </r>
    <r>
      <rPr>
        <sz val="11"/>
        <rFont val="Noto Sans CJK SC"/>
        <family val="2"/>
      </rPr>
      <t xml:space="preserve">；產能 </t>
    </r>
    <r>
      <rPr>
        <sz val="11"/>
        <rFont val="Cambria"/>
        <family val="0"/>
        <charset val="1"/>
      </rPr>
      <t xml:space="preserve">2026–28 </t>
    </r>
    <r>
      <rPr>
        <sz val="11"/>
        <rFont val="Noto Sans CJK SC"/>
        <family val="2"/>
      </rPr>
      <t xml:space="preserve">年靠去瓶頸與昆山廠爬坡，新廠約 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年。</t>
    </r>
    <r>
      <rPr>
        <sz val="11"/>
        <rFont val="Cambria"/>
        <family val="0"/>
        <charset val="1"/>
      </rPr>
      <t xml:space="preserve">BT </t>
    </r>
    <r>
      <rPr>
        <sz val="11"/>
        <rFont val="Noto Sans CJK SC"/>
        <family val="2"/>
      </rPr>
      <t xml:space="preserve">載板（約三成營收）以漲價為主。資本支出低（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年約 </t>
    </r>
    <r>
      <rPr>
        <sz val="11"/>
        <rFont val="Cambria"/>
        <family val="0"/>
        <charset val="1"/>
      </rPr>
      <t xml:space="preserve">40 </t>
    </r>
    <r>
      <rPr>
        <sz val="11"/>
        <rFont val="Noto Sans CJK SC"/>
        <family val="2"/>
      </rPr>
      <t xml:space="preserve">億）、折舊約 </t>
    </r>
    <r>
      <rPr>
        <sz val="11"/>
        <rFont val="Cambria"/>
        <family val="0"/>
        <charset val="1"/>
      </rPr>
      <t xml:space="preserve">70 </t>
    </r>
    <r>
      <rPr>
        <sz val="11"/>
        <rFont val="Noto Sans CJK SC"/>
        <family val="2"/>
      </rPr>
      <t xml:space="preserve">億。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</si>
  <si>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年下半年的漲價與交換器載板需求，能不能讓毛利率從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27% </t>
    </r>
    <r>
      <rPr>
        <sz val="11"/>
        <rFont val="Noto Sans CJK SC"/>
        <family val="2"/>
      </rPr>
      <t xml:space="preserve">再升、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在 </t>
    </r>
    <r>
      <rPr>
        <sz val="11"/>
        <rFont val="Cambria"/>
        <family val="0"/>
        <charset val="1"/>
      </rPr>
      <t xml:space="preserve">FY2027–28 </t>
    </r>
    <r>
      <rPr>
        <sz val="11"/>
        <rFont val="Noto Sans CJK SC"/>
        <family val="2"/>
      </rPr>
      <t xml:space="preserve">倍增；約 </t>
    </r>
    <r>
      <rPr>
        <sz val="11"/>
        <rFont val="Cambria"/>
        <family val="0"/>
        <charset val="1"/>
      </rPr>
      <t xml:space="preserve">1,265 </t>
    </r>
    <r>
      <rPr>
        <sz val="11"/>
        <rFont val="Noto Sans CJK SC"/>
        <family val="2"/>
      </rPr>
      <t xml:space="preserve">元的股價隱含什麼路徑。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</si>
  <si>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頁灰底）。金額：十億新台幣；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：新台幣（基本、歸屬母公司）。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財報約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月底公布，本版只納入 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</si>
  <si>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</si>
  <si>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加速器載板：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與非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tsmc </t>
    </r>
    <r>
      <rPr>
        <sz val="11"/>
        <rFont val="Noto Sans CJK SC"/>
        <family val="2"/>
      </rPr>
      <t xml:space="preserve">同字母情境係數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載板金額（</t>
    </r>
    <r>
      <rPr>
        <sz val="11"/>
        <rFont val="Cambria"/>
        <family val="0"/>
        <charset val="1"/>
      </rPr>
      <t xml:space="preserve">Ibiden </t>
    </r>
    <r>
      <rPr>
        <sz val="11"/>
        <rFont val="Noto Sans CJK SC"/>
        <family val="2"/>
      </rPr>
      <t xml:space="preserve">模型 </t>
    </r>
    <r>
      <rPr>
        <sz val="11"/>
        <rFont val="Cambria"/>
        <family val="0"/>
        <charset val="1"/>
      </rPr>
      <t xml:space="preserve">US$215 × </t>
    </r>
    <r>
      <rPr>
        <sz val="11"/>
        <rFont val="Noto Sans CJK SC"/>
        <family val="2"/>
      </rPr>
      <t xml:space="preserve">面積層數 </t>
    </r>
    <r>
      <rPr>
        <sz val="11"/>
        <rFont val="Cambria"/>
        <family val="0"/>
        <charset val="1"/>
      </rPr>
      <t xml:space="preserve">+18%</t>
    </r>
    <r>
      <rPr>
        <sz val="11"/>
        <rFont val="Noto Sans CJK SC"/>
        <family val="2"/>
      </rPr>
      <t xml:space="preserve">／年 </t>
    </r>
    <r>
      <rPr>
        <sz val="11"/>
        <rFont val="Cambria"/>
        <family val="0"/>
        <charset val="1"/>
      </rPr>
      <t xml:space="preserve">× Ibiden </t>
    </r>
    <r>
      <rPr>
        <sz val="11"/>
        <rFont val="Noto Sans CJK SC"/>
        <family val="2"/>
      </rPr>
      <t xml:space="preserve">溢價指數）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南電份額（</t>
    </r>
    <r>
      <rPr>
        <sz val="11"/>
        <rFont val="Cambria"/>
        <family val="0"/>
        <charset val="1"/>
      </rPr>
      <t xml:space="preserve">NVIDIA 2%→4%</t>
    </r>
    <r>
      <rPr>
        <sz val="11"/>
        <rFont val="Noto Sans CJK SC"/>
        <family val="2"/>
      </rPr>
      <t xml:space="preserve">、非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金額 </t>
    </r>
    <r>
      <rPr>
        <sz val="11"/>
        <rFont val="Cambria"/>
        <family val="0"/>
        <charset val="1"/>
      </rPr>
      <t xml:space="preserve">5%→7%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漲價年度化 </t>
    </r>
    <r>
      <rPr>
        <sz val="11"/>
        <rFont val="Cambria"/>
        <family val="0"/>
        <charset val="1"/>
      </rPr>
      <t xml:space="preserve">1.15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</si>
  <si>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其他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載板（交換器為主）＝</t>
    </r>
    <r>
      <rPr>
        <sz val="11"/>
        <rFont val="Cambria"/>
        <family val="0"/>
        <charset val="1"/>
      </rPr>
      <t xml:space="preserve">FY2026 AI </t>
    </r>
    <r>
      <rPr>
        <sz val="11"/>
        <rFont val="Noto Sans CJK SC"/>
        <family val="2"/>
      </rPr>
      <t xml:space="preserve">載板（</t>
    </r>
    <r>
      <rPr>
        <sz val="11"/>
        <rFont val="Cambria"/>
        <family val="0"/>
        <charset val="1"/>
      </rPr>
      <t xml:space="preserve">ABF × 65%</t>
    </r>
    <r>
      <rPr>
        <sz val="11"/>
        <rFont val="Noto Sans CJK SC"/>
        <family val="2"/>
      </rPr>
      <t xml:space="preserve">）− 加速器載板（校準殘差），之後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交換晶片與交換器市場成長 </t>
    </r>
    <r>
      <rPr>
        <sz val="11"/>
        <rFont val="Cambria"/>
        <family val="0"/>
        <charset val="1"/>
      </rPr>
      <t xml:space="preserve">^ 0.5 × </t>
    </r>
    <r>
      <rPr>
        <sz val="11"/>
        <rFont val="Noto Sans CJK SC"/>
        <family val="2"/>
      </rPr>
      <t xml:space="preserve">情境係數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溢價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漲價年度化；非 </t>
    </r>
    <r>
      <rPr>
        <sz val="11"/>
        <rFont val="Cambria"/>
        <family val="0"/>
        <charset val="1"/>
      </rPr>
      <t xml:space="preserve">AI ABF +3%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產能指數 </t>
    </r>
    <r>
      <rPr>
        <sz val="11"/>
        <rFont val="Cambria"/>
        <family val="0"/>
        <charset val="1"/>
      </rPr>
      <t xml:space="preserve">1.20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1.35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1.60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組合 </t>
    </r>
    <r>
      <rPr>
        <sz val="11"/>
        <rFont val="Cambria"/>
        <family val="0"/>
        <charset val="1"/>
      </rPr>
      <t xml:space="preserve">+5%</t>
    </r>
    <r>
      <rPr>
        <sz val="11"/>
        <rFont val="Noto Sans CJK SC"/>
        <family val="2"/>
      </rPr>
      <t xml:space="preserve">／年。</t>
    </r>
    <r>
      <rPr>
        <sz val="11"/>
        <rFont val="Cambria"/>
        <family val="0"/>
        <charset val="1"/>
      </rPr>
      <t xml:space="preserve">BT </t>
    </r>
    <r>
      <rPr>
        <sz val="11"/>
        <rFont val="Noto Sans CJK SC"/>
        <family val="2"/>
      </rPr>
      <t xml:space="preserve">年增依情境（</t>
    </r>
    <r>
      <rPr>
        <sz val="11"/>
        <rFont val="Cambria"/>
        <family val="0"/>
        <charset val="1"/>
      </rPr>
      <t xml:space="preserve">A 30%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3%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15%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0%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PCB </t>
    </r>
    <r>
      <rPr>
        <sz val="11"/>
        <rFont val="Noto Sans CJK SC"/>
        <family val="2"/>
      </rPr>
      <t xml:space="preserve">持平。</t>
    </r>
  </si>
  <si>
    <r>
      <rPr>
        <sz val="11"/>
        <rFont val="Noto Sans CJK SC"/>
        <family val="2"/>
      </rPr>
      <t xml:space="preserve">毛利＝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錨點＋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現金毛利增量（</t>
    </r>
    <r>
      <rPr>
        <sz val="11"/>
        <rFont val="Cambria"/>
        <family val="0"/>
        <charset val="1"/>
      </rPr>
      <t xml:space="preserve">50%</t>
    </r>
    <r>
      <rPr>
        <sz val="11"/>
        <rFont val="Noto Sans CJK SC"/>
        <family val="2"/>
      </rPr>
      <t xml:space="preserve">）＋其他產品現金毛利增量（</t>
    </r>
    <r>
      <rPr>
        <sz val="11"/>
        <rFont val="Cambria"/>
        <family val="0"/>
        <charset val="1"/>
      </rPr>
      <t xml:space="preserve">40%</t>
    </r>
    <r>
      <rPr>
        <sz val="11"/>
        <rFont val="Noto Sans CJK SC"/>
        <family val="2"/>
      </rPr>
      <t xml:space="preserve">）＋漲價溢價營收 − 折舊增量；折舊＝前一年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1 − 1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8 </t>
    </r>
    <r>
      <rPr>
        <sz val="11"/>
        <rFont val="Noto Sans CJK SC"/>
        <family val="2"/>
      </rPr>
      <t xml:space="preserve">年）＋前一年資本支出 </t>
    </r>
    <r>
      <rPr>
        <sz val="11"/>
        <rFont val="Cambria"/>
        <family val="0"/>
        <charset val="1"/>
      </rPr>
      <t xml:space="preserve">÷ 8 </t>
    </r>
    <r>
      <rPr>
        <sz val="11"/>
        <rFont val="Noto Sans CJK SC"/>
        <family val="2"/>
      </rPr>
      <t xml:space="preserve">年；資本支出 </t>
    </r>
    <r>
      <rPr>
        <sz val="11"/>
        <rFont val="Cambria"/>
        <family val="0"/>
        <charset val="1"/>
      </rPr>
      <t xml:space="preserve">140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180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120 </t>
    </r>
    <r>
      <rPr>
        <sz val="11"/>
        <rFont val="Noto Sans CJK SC"/>
        <family val="2"/>
      </rPr>
      <t xml:space="preserve">億（三情境相同）。營業費用彈性 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；業外每年 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億；稅率 </t>
    </r>
    <r>
      <rPr>
        <sz val="11"/>
        <rFont val="Cambria"/>
        <family val="0"/>
        <charset val="1"/>
      </rPr>
      <t xml:space="preserve">21%</t>
    </r>
    <r>
      <rPr>
        <sz val="11"/>
        <rFont val="Noto Sans CJK SC"/>
        <family val="2"/>
      </rPr>
      <t xml:space="preserve">；股數持平 </t>
    </r>
    <r>
      <rPr>
        <sz val="11"/>
        <rFont val="Cambria"/>
        <family val="0"/>
        <charset val="1"/>
      </rPr>
      <t xml:space="preserve">6.46 </t>
    </r>
    <r>
      <rPr>
        <sz val="11"/>
        <rFont val="Noto Sans CJK SC"/>
        <family val="2"/>
      </rPr>
      <t xml:space="preserve">億股。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</si>
  <si>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1Q26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2Q26 </t>
    </r>
    <r>
      <rPr>
        <sz val="11"/>
        <rFont val="Noto Sans CJK SC"/>
        <family val="2"/>
      </rPr>
      <t xml:space="preserve">財報實績（</t>
    </r>
    <r>
      <rPr>
        <sz val="11"/>
        <rFont val="Cambria"/>
        <family val="0"/>
        <charset val="1"/>
      </rPr>
      <t xml:space="preserve">EPS 2.03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3.50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 </t>
    </r>
    <r>
      <rPr>
        <sz val="11"/>
        <rFont val="Cambria"/>
        <family val="0"/>
        <charset val="1"/>
      </rPr>
      <t xml:space="preserve">163.8 </t>
    </r>
    <r>
      <rPr>
        <sz val="11"/>
        <rFont val="Noto Sans CJK SC"/>
        <family val="2"/>
      </rPr>
      <t xml:space="preserve">億＋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毛利率 </t>
    </r>
    <r>
      <rPr>
        <sz val="11"/>
        <rFont val="Cambria"/>
        <family val="0"/>
        <charset val="1"/>
      </rPr>
      <t xml:space="preserve">30%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4Q26 </t>
    </r>
    <r>
      <rPr>
        <sz val="11"/>
        <rFont val="Noto Sans CJK SC"/>
        <family val="2"/>
      </rPr>
      <t xml:space="preserve">營收季增 </t>
    </r>
    <r>
      <rPr>
        <sz val="11"/>
        <rFont val="Cambria"/>
        <family val="0"/>
        <charset val="1"/>
      </rPr>
      <t xml:space="preserve">10%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32.5%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</si>
  <si>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目標價（股東現金流＝每股（淨利＋折舊－資本支出），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，負值取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目標價（欣興、景碩、</t>
    </r>
    <r>
      <rPr>
        <sz val="11"/>
        <rFont val="Cambria"/>
        <family val="0"/>
        <charset val="1"/>
      </rPr>
      <t xml:space="preserve">Ibiden</t>
    </r>
    <r>
      <rPr>
        <sz val="11"/>
        <rFont val="Noto Sans CJK SC"/>
        <family val="2"/>
      </rPr>
      <t xml:space="preserve">、三星電機、</t>
    </r>
    <r>
      <rPr>
        <sz val="11"/>
        <rFont val="Cambria"/>
        <family val="0"/>
        <charset val="1"/>
      </rPr>
      <t xml:space="preserve">AT&amp;S </t>
    </r>
    <r>
      <rPr>
        <sz val="11"/>
        <rFont val="Noto Sans CJK SC"/>
        <family val="2"/>
      </rPr>
      <t xml:space="preserve">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；無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</si>
  <si>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情境與行業一致：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讀 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同字母顆數係數（＝</t>
    </r>
    <r>
      <rPr>
        <sz val="11"/>
        <rFont val="Cambria"/>
        <family val="0"/>
        <charset val="1"/>
      </rPr>
      <t xml:space="preserve">markets/memory SCEN_UNITS</t>
    </r>
    <r>
      <rPr>
        <sz val="11"/>
        <rFont val="Noto Sans CJK SC"/>
        <family val="2"/>
      </rPr>
      <t xml:space="preserve">，建置時核對）；交換器市場讀 </t>
    </r>
    <r>
      <rPr>
        <sz val="11"/>
        <rFont val="Cambria"/>
        <family val="0"/>
        <charset val="1"/>
      </rPr>
      <t xml:space="preserve">markets/network</t>
    </r>
    <r>
      <rPr>
        <sz val="11"/>
        <rFont val="Noto Sans CJK SC"/>
        <family val="2"/>
      </rPr>
      <t xml:space="preserve">（單一路徑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同字母係數）；公司特有變數只有 </t>
    </r>
    <r>
      <rPr>
        <sz val="11"/>
        <rFont val="Cambria"/>
        <family val="0"/>
        <charset val="1"/>
      </rPr>
      <t xml:space="preserve">BT </t>
    </r>
    <r>
      <rPr>
        <sz val="11"/>
        <rFont val="Noto Sans CJK SC"/>
        <family val="2"/>
      </rPr>
      <t xml:space="preserve">年增隨情境，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最有利、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最不利。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</si>
  <si>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未使用。公司數字經資料商與媒體轉載（公司原文待人工複核）；券商與資料商為 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</si>
  <si>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加速器、交換器與 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載板的拆分公司未揭露，其他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載板為校準殘差；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份額、產能指數、漲價年度化皆為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，與 </t>
    </r>
    <r>
      <rPr>
        <sz val="11"/>
        <rFont val="Cambria"/>
        <family val="0"/>
        <charset val="1"/>
      </rPr>
      <t xml:space="preserve">Ibiden</t>
    </r>
    <r>
      <rPr>
        <sz val="11"/>
        <rFont val="Noto Sans CJK SC"/>
        <family val="2"/>
      </rPr>
      <t xml:space="preserve">、欣興合計只做上限檢查；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毛利用現金流通率近似，未建分廠稼動率；</t>
    </r>
    <r>
      <rPr>
        <sz val="11"/>
        <rFont val="Cambria"/>
        <family val="0"/>
        <charset val="1"/>
      </rPr>
      <t xml:space="preserve">(4) AMD </t>
    </r>
    <r>
      <rPr>
        <sz val="11"/>
        <rFont val="Noto Sans CJK SC"/>
        <family val="2"/>
      </rPr>
      <t xml:space="preserve">伺服器 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認證（美銀：成功則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年逾兩成營收）未建入；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新廠資本支出未定，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現金流可能偏高；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2016–2018 </t>
    </r>
    <r>
      <rPr>
        <sz val="11"/>
        <rFont val="Noto Sans CJK SC"/>
        <family val="2"/>
      </rPr>
      <t xml:space="preserve">年虧損不計，其餘與盈餘反向；</t>
    </r>
    <r>
      <rPr>
        <sz val="11"/>
        <rFont val="Cambria"/>
        <family val="0"/>
        <charset val="1"/>
      </rPr>
      <t xml:space="preserve">(7) FactSet </t>
    </r>
    <r>
      <rPr>
        <sz val="11"/>
        <rFont val="Noto Sans CJK SC"/>
        <family val="2"/>
      </rPr>
      <t xml:space="preserve">共識為 </t>
    </r>
    <r>
      <rPr>
        <sz val="11"/>
        <rFont val="Cambria"/>
        <family val="0"/>
        <charset val="1"/>
      </rPr>
      <t xml:space="preserve">2026-06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(8) 3Q26 </t>
    </r>
    <r>
      <rPr>
        <sz val="11"/>
        <rFont val="Noto Sans CJK SC"/>
        <family val="2"/>
      </rPr>
      <t xml:space="preserve">財報（約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月底）後更新錨點。</t>
    </r>
  </si>
  <si>
    <r>
      <rPr>
        <sz val="11"/>
        <color theme="1"/>
        <rFont val="Calibri"/>
        <family val="2"/>
        <charset val="1"/>
      </rPr>
      <t xml:space="preserve">v0.1.1</t>
    </r>
    <r>
      <rPr>
        <sz val="11"/>
        <color theme="1"/>
        <rFont val="Noto Sans CJK SC"/>
        <family val="2"/>
      </rPr>
      <t xml:space="preserve">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頁最後新增「上檔空間級距」「投資建議」兩列（第 </t>
    </r>
    <r>
      <rPr>
        <sz val="11"/>
        <color theme="1"/>
        <rFont val="Calibri"/>
        <family val="2"/>
        <charset val="1"/>
      </rPr>
      <t xml:space="preserve">133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134 </t>
    </r>
    <r>
      <rPr>
        <sz val="11"/>
        <color theme="1"/>
        <rFont val="Noto Sans CJK SC"/>
        <family val="2"/>
      </rPr>
      <t xml:space="preserve">列，依「上檔空間：加權目標價」的固定規則）；重點觀察見下方三列。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</si>
  <si>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漲價路徑最敏感：漲價年度化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（基準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）時 </t>
    </r>
    <r>
      <rPr>
        <sz val="11"/>
        <color theme="1"/>
        <rFont val="Calibri"/>
        <family val="2"/>
        <charset val="1"/>
      </rPr>
      <t xml:space="preserve">FY2027 EPS −9.7%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溢價取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低值時 </t>
    </r>
    <r>
      <rPr>
        <sz val="11"/>
        <color theme="1"/>
        <rFont val="Calibri"/>
        <family val="2"/>
        <charset val="1"/>
      </rPr>
      <t xml:space="preserve">FY2028 EPS −17.4%</t>
    </r>
    <r>
      <rPr>
        <sz val="11"/>
        <color theme="1"/>
        <rFont val="Noto Sans CJK SC"/>
        <family val="2"/>
      </rPr>
      <t xml:space="preserve">、高值 </t>
    </r>
    <r>
      <rPr>
        <sz val="11"/>
        <color theme="1"/>
        <rFont val="Calibri"/>
        <family val="2"/>
        <charset val="1"/>
      </rPr>
      <t xml:space="preserve">+17.8%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產能低值 −</t>
    </r>
    <r>
      <rPr>
        <sz val="11"/>
        <color theme="1"/>
        <rFont val="Calibri"/>
        <family val="2"/>
        <charset val="1"/>
      </rPr>
      <t xml:space="preserve">8.1%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</si>
  <si>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35.90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30.61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23.33</t>
    </r>
    <r>
      <rPr>
        <sz val="11"/>
        <color theme="1"/>
        <rFont val="Noto Sans CJK SC"/>
        <family val="2"/>
      </rPr>
      <t xml:space="preserve">，比 </t>
    </r>
    <r>
      <rPr>
        <sz val="11"/>
        <color theme="1"/>
        <rFont val="Calibri"/>
        <family val="2"/>
        <charset val="1"/>
      </rPr>
      <t xml:space="preserve">2026-06 FactSet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 59.21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39%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61%</t>
    </r>
    <r>
      <rPr>
        <sz val="11"/>
        <color theme="1"/>
        <rFont val="Noto Sans CJK SC"/>
        <family val="2"/>
      </rPr>
      <t xml:space="preserve">（共識在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財報前）。下一個檢驗點是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月底，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2026-11-03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</si>
  <si>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</si>
  <si>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）；顆數：百萬顆；比例：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</si>
  <si>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給低／高區間，不當點估計（放情境或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未使用。公司數字經資料商（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）與媒體轉載；公司說法為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；券商、媒體、資料商為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</si>
  <si>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</si>
  <si>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</si>
  <si>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</si>
  <si>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</si>
  <si>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</si>
  <si>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</si>
  <si>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</si>
  <si>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</si>
  <si>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</si>
  <si>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加速器顆數、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資本支出與交換器市場（讀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成品；唯讀，不自行重估）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</si>
  <si>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</si>
  <si>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</si>
  <si>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</si>
  <si>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</si>
  <si>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</si>
  <si>
    <r>
      <rPr>
        <sz val="11"/>
        <color theme="1"/>
        <rFont val="Noto Sans CJK SC"/>
        <family val="2"/>
      </rPr>
      <t xml:space="preserve">唯讀上游；與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、欣興、台積電模型同一份顆數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</si>
  <si>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</si>
  <si>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</si>
  <si>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</si>
  <si>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</si>
  <si>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</si>
  <si>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</si>
  <si>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</si>
  <si>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</si>
  <si>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</si>
  <si>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In!E8</t>
    </r>
  </si>
  <si>
    <t xml:space="preserve">同上</t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</si>
  <si>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</si>
  <si>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</si>
  <si>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In!E9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</si>
  <si>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</si>
  <si>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</si>
  <si>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</si>
  <si>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</si>
  <si>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</si>
  <si>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In!E11</t>
    </r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</si>
  <si>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</si>
  <si>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</si>
  <si>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In!E12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</si>
  <si>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</si>
  <si>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</si>
  <si>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In!E13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</si>
  <si>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</si>
  <si>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</si>
  <si>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</si>
  <si>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</si>
  <si>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</si>
  <si>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In!E15</t>
    </r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</si>
  <si>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</si>
  <si>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</si>
  <si>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In!E16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</si>
  <si>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</si>
  <si>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</si>
  <si>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In!E17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</si>
  <si>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</si>
  <si>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</si>
  <si>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In!E18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</si>
  <si>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</si>
  <si>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</si>
  <si>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In!E19</t>
    </r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</si>
  <si>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</si>
  <si>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</si>
  <si>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In!E20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</si>
  <si>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</si>
  <si>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</si>
  <si>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In!E21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</si>
  <si>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</si>
  <si>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</si>
  <si>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In!E22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</si>
  <si>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</si>
  <si>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</si>
  <si>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In!E23</t>
    </r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</si>
  <si>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</si>
  <si>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</si>
  <si>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In!E24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</si>
  <si>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</si>
  <si>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</si>
  <si>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In!E25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</si>
  <si>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</si>
  <si>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</si>
  <si>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In!E26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</si>
  <si>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</si>
  <si>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</si>
  <si>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In!E27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</si>
  <si>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</si>
  <si>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</si>
  <si>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</si>
  <si>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</si>
  <si>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</si>
  <si>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In!E29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</si>
  <si>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</si>
  <si>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</si>
  <si>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In!E30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</si>
  <si>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</si>
  <si>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</si>
  <si>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In!E31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</si>
  <si>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</si>
  <si>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</si>
  <si>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In!E32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</si>
  <si>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</si>
  <si>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</si>
  <si>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</si>
  <si>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</si>
  <si>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</si>
  <si>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In!E34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</si>
  <si>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</si>
  <si>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</si>
  <si>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In!E35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</si>
  <si>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</si>
  <si>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</si>
  <si>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In!E36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</si>
  <si>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</si>
  <si>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</si>
  <si>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</si>
  <si>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</si>
  <si>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換算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</si>
  <si>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</si>
  <si>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</si>
  <si>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</si>
  <si>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</si>
  <si>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</si>
  <si>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</si>
  <si>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swm_26</t>
  </si>
  <si>
    <r>
      <rPr>
        <sz val="11"/>
        <color theme="1"/>
        <rFont val="Noto Sans CJK SC"/>
        <family val="2"/>
      </rPr>
      <t xml:space="preserve">交換晶片與交換器市場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scale-out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</si>
  <si>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Mkt!C17:F17</t>
    </r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</si>
  <si>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載板以網通交換器為主（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交換晶片）；其他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載板的成長依據</t>
    </r>
  </si>
  <si>
    <t xml:space="preserve">swm_27</t>
  </si>
  <si>
    <r>
      <rPr>
        <sz val="11"/>
        <color theme="1"/>
        <rFont val="Noto Sans CJK SC"/>
        <family val="2"/>
      </rPr>
      <t xml:space="preserve">交換晶片與交換器市場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scale-out</t>
    </r>
    <r>
      <rPr>
        <sz val="11"/>
        <color theme="1"/>
        <rFont val="Noto Sans CJK SC"/>
        <family val="2"/>
      </rPr>
      <t xml:space="preserve">）</t>
    </r>
  </si>
  <si>
    <t xml:space="preserve">swm_28</t>
  </si>
  <si>
    <r>
      <rPr>
        <sz val="11"/>
        <color theme="1"/>
        <rFont val="Noto Sans CJK SC"/>
        <family val="2"/>
      </rPr>
      <t xml:space="preserve">交換晶片與交換器市場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scale-out</t>
    </r>
    <r>
      <rPr>
        <sz val="11"/>
        <color theme="1"/>
        <rFont val="Noto Sans CJK SC"/>
        <family val="2"/>
      </rPr>
      <t xml:space="preserve">）</t>
    </r>
  </si>
  <si>
    <t xml:space="preserve">swm_29</t>
  </si>
  <si>
    <r>
      <rPr>
        <sz val="11"/>
        <color theme="1"/>
        <rFont val="Noto Sans CJK SC"/>
        <family val="2"/>
      </rPr>
      <t xml:space="preserve">交換晶片與交換器市場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scale-out</t>
    </r>
    <r>
      <rPr>
        <sz val="11"/>
        <color theme="1"/>
        <rFont val="Noto Sans CJK SC"/>
        <family val="2"/>
      </rPr>
      <t xml:space="preserve">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</si>
  <si>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</si>
  <si>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</si>
  <si>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</si>
  <si>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</si>
  <si>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</si>
  <si>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＝不如預期；與台積電、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、欣興模型相同（＝</t>
    </r>
    <r>
      <rPr>
        <sz val="11"/>
        <color theme="1"/>
        <rFont val="Calibri"/>
        <family val="2"/>
        <charset val="1"/>
      </rPr>
      <t xml:space="preserve">markets/memory SCEN_UNITS</t>
    </r>
    <r>
      <rPr>
        <sz val="11"/>
        <color theme="1"/>
        <rFont val="Noto Sans CJK SC"/>
        <family val="2"/>
      </rPr>
      <t xml:space="preserve">，建置時核對）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</si>
  <si>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</si>
  <si>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</si>
  <si>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</si>
  <si>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</si>
  <si>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</si>
  <si>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</si>
  <si>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</si>
  <si>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</si>
  <si>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</si>
  <si>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</si>
  <si>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</si>
  <si>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</si>
  <si>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</si>
  <si>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</si>
  <si>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</si>
  <si>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每顆加速器載板金額與份額（口徑與 </t>
    </r>
    <r>
      <rPr>
        <b val="true"/>
        <sz val="11"/>
        <rFont val="Cambria"/>
        <family val="0"/>
        <charset val="1"/>
      </rPr>
      <t xml:space="preserve">Ibiden</t>
    </r>
    <r>
      <rPr>
        <b val="true"/>
        <sz val="11"/>
        <rFont val="Noto Sans CJK SC"/>
        <family val="2"/>
      </rPr>
      <t xml:space="preserve">、欣興一致；兩者數字唯讀取自各自 </t>
    </r>
    <r>
      <rPr>
        <b val="true"/>
        <sz val="11"/>
        <rFont val="Cambria"/>
        <family val="0"/>
        <charset val="1"/>
      </rPr>
      <t xml:space="preserve">dist</t>
    </r>
    <r>
      <rPr>
        <b val="true"/>
        <sz val="11"/>
        <rFont val="Noto Sans CJK SC"/>
        <family val="2"/>
      </rPr>
      <t xml:space="preserve">）</t>
    </r>
  </si>
  <si>
    <t xml:space="preserve">v26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</si>
  <si>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加速器載板金額（全市場；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模型校準）</t>
    </r>
  </si>
  <si>
    <t xml:space="preserve">US$</t>
  </si>
  <si>
    <r>
      <rPr>
        <sz val="11"/>
        <color theme="1"/>
        <rFont val="Calibri"/>
        <family val="2"/>
        <charset val="1"/>
      </rPr>
      <t xml:space="preserve">ibiden/dist/20261028_Ibiden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Units!C8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</si>
  <si>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每顆營收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</si>
  <si>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g_asp</t>
  </si>
  <si>
    <r>
      <rPr>
        <sz val="11"/>
        <color theme="1"/>
        <rFont val="Noto Sans CJK SC"/>
        <family val="2"/>
      </rPr>
      <t xml:space="preserve">每顆載板金額年增（面積、層數；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</si>
  <si>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</si>
  <si>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ibiden/dist/20261028_Ibiden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In!E50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</si>
  <si>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路線圖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90×90 mm → 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110×110 mm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</si>
  <si>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t xml:space="preserve">ibpp_27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</si>
  <si>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</si>
  <si>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ibiden/dist/20261028_Ibiden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In!E55</t>
    </r>
  </si>
  <si>
    <r>
      <rPr>
        <sz val="11"/>
        <color theme="1"/>
        <rFont val="Noto Sans CJK SC"/>
        <family val="2"/>
      </rPr>
      <t xml:space="preserve">全市場短缺溢價；新產能到位後回落（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模型；欣興模型同值）</t>
    </r>
  </si>
  <si>
    <t xml:space="preserve">ibrel_27</t>
  </si>
  <si>
    <r>
      <rPr>
        <sz val="11"/>
        <color theme="1"/>
        <rFont val="Calibri"/>
        <family val="2"/>
        <charset val="1"/>
      </rPr>
      <t xml:space="preserve">Ibiden 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</si>
  <si>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ibiden/dist/20261028_Ibiden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In!E51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</si>
  <si>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頁份額合計檢查用</t>
    </r>
  </si>
  <si>
    <t xml:space="preserve">ibpp_28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</si>
  <si>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</si>
  <si>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ibiden/dist/20261028_Ibiden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In!E56</t>
    </r>
  </si>
  <si>
    <t xml:space="preserve">ibrel_28</t>
  </si>
  <si>
    <r>
      <rPr>
        <sz val="11"/>
        <color theme="1"/>
        <rFont val="Calibri"/>
        <family val="2"/>
        <charset val="1"/>
      </rPr>
      <t xml:space="preserve">Ibiden 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</si>
  <si>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ibiden/dist/20261028_Ibiden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In!E52</t>
    </r>
  </si>
  <si>
    <t xml:space="preserve">ibpp_29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</si>
  <si>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</si>
  <si>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ibiden/dist/20261028_Ibiden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In!E57</t>
    </r>
  </si>
  <si>
    <t xml:space="preserve">ibrel_29</t>
  </si>
  <si>
    <r>
      <rPr>
        <sz val="11"/>
        <color theme="1"/>
        <rFont val="Calibri"/>
        <family val="2"/>
        <charset val="1"/>
      </rPr>
      <t xml:space="preserve">Ibiden 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</si>
  <si>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ibiden/dist/20261028_Ibiden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In!E53</t>
    </r>
  </si>
  <si>
    <t xml:space="preserve">ib_sh26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</si>
  <si>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模型假設）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</si>
  <si>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</si>
  <si>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ibiden/dist/20261028_Ibiden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Units!C8</t>
    </r>
    <r>
      <rPr>
        <sz val="11"/>
        <color theme="1"/>
        <rFont val="Noto Sans CJK SC"/>
        <family val="2"/>
      </rPr>
      <t xml:space="preserve">（列標籤：假設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</si>
  <si>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Ibiden 70–80%</t>
    </r>
  </si>
  <si>
    <t xml:space="preserve">ib_w_ot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</si>
  <si>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權重（份額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每顆金額，相對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</si>
  <si>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ibiden/dist/20261028_Ibiden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In!E48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</si>
  <si>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÷ v_ot </t>
    </r>
    <r>
      <rPr>
        <sz val="11"/>
        <color theme="1"/>
        <rFont val="Noto Sans CJK SC"/>
        <family val="2"/>
      </rPr>
      <t xml:space="preserve">即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</t>
    </r>
  </si>
  <si>
    <t xml:space="preserve">v_ot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</si>
  <si>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加速器每顆載板金額 </t>
    </r>
    <r>
      <rPr>
        <sz val="11"/>
        <color theme="1"/>
        <rFont val="Calibri"/>
        <family val="2"/>
        <charset val="1"/>
      </rPr>
      <t xml:space="preserve">÷ NVIDIA</t>
    </r>
    <r>
      <rPr>
        <sz val="11"/>
        <color theme="1"/>
        <rFont val="Noto Sans CJK SC"/>
        <family val="2"/>
      </rPr>
      <t xml:space="preserve">（欣興模型同值）</t>
    </r>
  </si>
  <si>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 </t>
    </r>
    <r>
      <rPr>
        <sz val="11"/>
        <color theme="1"/>
        <rFont val="Noto Sans CJK SC"/>
        <family val="2"/>
      </rPr>
      <t xml:space="preserve">系列封裝面積接近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；量化：未找到</t>
    </r>
  </si>
  <si>
    <r>
      <rPr>
        <sz val="11"/>
        <color theme="1"/>
        <rFont val="Noto Sans CJK SC"/>
        <family val="2"/>
      </rPr>
      <t xml:space="preserve">與欣興模型 </t>
    </r>
    <r>
      <rPr>
        <sz val="11"/>
        <color theme="1"/>
        <rFont val="Calibri"/>
        <family val="2"/>
        <charset val="1"/>
      </rPr>
      <t xml:space="preserve">v_ot </t>
    </r>
    <r>
      <rPr>
        <sz val="11"/>
        <color theme="1"/>
        <rFont val="Noto Sans CJK SC"/>
        <family val="2"/>
      </rPr>
      <t xml:space="preserve">相同</t>
    </r>
  </si>
  <si>
    <t xml:space="preserve">un_nv_26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</si>
  <si>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（欣興模型）</t>
    </r>
  </si>
  <si>
    <r>
      <rPr>
        <sz val="11"/>
        <color theme="1"/>
        <rFont val="Calibri"/>
        <family val="2"/>
        <charset val="1"/>
      </rPr>
      <t xml:space="preserve">unimicron/dist/20261028_</t>
    </r>
    <r>
      <rPr>
        <sz val="11"/>
        <color theme="1"/>
        <rFont val="Noto Sans CJK SC"/>
        <family val="2"/>
      </rPr>
      <t xml:space="preserve">欣興個股模型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In!E59</t>
    </r>
  </si>
  <si>
    <t xml:space="preserve">un_ot_26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</si>
  <si>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（欣興模型）</t>
    </r>
  </si>
  <si>
    <r>
      <rPr>
        <sz val="11"/>
        <color theme="1"/>
        <rFont val="Calibri"/>
        <family val="2"/>
        <charset val="1"/>
      </rPr>
      <t xml:space="preserve">unimicron/dist/20261028_</t>
    </r>
    <r>
      <rPr>
        <sz val="11"/>
        <color theme="1"/>
        <rFont val="Noto Sans CJK SC"/>
        <family val="2"/>
      </rPr>
      <t xml:space="preserve">欣興個股模型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In!E63</t>
    </r>
  </si>
  <si>
    <t xml:space="preserve">un_nv_27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</si>
  <si>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（欣興模型）</t>
    </r>
  </si>
  <si>
    <r>
      <rPr>
        <sz val="11"/>
        <color theme="1"/>
        <rFont val="Calibri"/>
        <family val="2"/>
        <charset val="1"/>
      </rPr>
      <t xml:space="preserve">unimicron/dist/20261028_</t>
    </r>
    <r>
      <rPr>
        <sz val="11"/>
        <color theme="1"/>
        <rFont val="Noto Sans CJK SC"/>
        <family val="2"/>
      </rPr>
      <t xml:space="preserve">欣興個股模型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In!E60</t>
    </r>
  </si>
  <si>
    <t xml:space="preserve">un_ot_27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</si>
  <si>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（欣興模型）</t>
    </r>
  </si>
  <si>
    <r>
      <rPr>
        <sz val="11"/>
        <color theme="1"/>
        <rFont val="Calibri"/>
        <family val="2"/>
        <charset val="1"/>
      </rPr>
      <t xml:space="preserve">unimicron/dist/20261028_</t>
    </r>
    <r>
      <rPr>
        <sz val="11"/>
        <color theme="1"/>
        <rFont val="Noto Sans CJK SC"/>
        <family val="2"/>
      </rPr>
      <t xml:space="preserve">欣興個股模型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In!E64</t>
    </r>
  </si>
  <si>
    <t xml:space="preserve">un_nv_28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</si>
  <si>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（欣興模型）</t>
    </r>
  </si>
  <si>
    <r>
      <rPr>
        <sz val="11"/>
        <color theme="1"/>
        <rFont val="Calibri"/>
        <family val="2"/>
        <charset val="1"/>
      </rPr>
      <t xml:space="preserve">unimicron/dist/20261028_</t>
    </r>
    <r>
      <rPr>
        <sz val="11"/>
        <color theme="1"/>
        <rFont val="Noto Sans CJK SC"/>
        <family val="2"/>
      </rPr>
      <t xml:space="preserve">欣興個股模型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In!E61</t>
    </r>
  </si>
  <si>
    <t xml:space="preserve">un_ot_28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</si>
  <si>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（欣興模型）</t>
    </r>
  </si>
  <si>
    <r>
      <rPr>
        <sz val="11"/>
        <color theme="1"/>
        <rFont val="Calibri"/>
        <family val="2"/>
        <charset val="1"/>
      </rPr>
      <t xml:space="preserve">unimicron/dist/20261028_</t>
    </r>
    <r>
      <rPr>
        <sz val="11"/>
        <color theme="1"/>
        <rFont val="Noto Sans CJK SC"/>
        <family val="2"/>
      </rPr>
      <t xml:space="preserve">欣興個股模型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In!E65</t>
    </r>
  </si>
  <si>
    <t xml:space="preserve">un_nv_29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</si>
  <si>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（欣興模型）</t>
    </r>
  </si>
  <si>
    <r>
      <rPr>
        <sz val="11"/>
        <color theme="1"/>
        <rFont val="Calibri"/>
        <family val="2"/>
        <charset val="1"/>
      </rPr>
      <t xml:space="preserve">unimicron/dist/20261028_</t>
    </r>
    <r>
      <rPr>
        <sz val="11"/>
        <color theme="1"/>
        <rFont val="Noto Sans CJK SC"/>
        <family val="2"/>
      </rPr>
      <t xml:space="preserve">欣興個股模型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In!E62</t>
    </r>
  </si>
  <si>
    <t xml:space="preserve">un_ot_29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</si>
  <si>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（欣興模型）</t>
    </r>
  </si>
  <si>
    <r>
      <rPr>
        <sz val="11"/>
        <color theme="1"/>
        <rFont val="Calibri"/>
        <family val="2"/>
        <charset val="1"/>
      </rPr>
      <t xml:space="preserve">unimicron/dist/20261028_</t>
    </r>
    <r>
      <rPr>
        <sz val="11"/>
        <color theme="1"/>
        <rFont val="Noto Sans CJK SC"/>
        <family val="2"/>
      </rPr>
      <t xml:space="preserve">欣興個股模型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In!E66</t>
    </r>
  </si>
  <si>
    <t xml:space="preserve">sh_nv_26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</si>
  <si>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</si>
  <si>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）：客戶含博通、輝達、超微、蘋果（份額未揭露）</t>
    </r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</si>
  <si>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載板以網通交換器為主，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載板份額小（</t>
    </r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南電深度分析（引述券商報告；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））；量化：未找到</t>
    </r>
  </si>
  <si>
    <t xml:space="preserve">sh_nv_27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</si>
  <si>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</si>
  <si>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、欣興合計 </t>
    </r>
    <r>
      <rPr>
        <sz val="11"/>
        <color theme="1"/>
        <rFont val="Calibri"/>
        <family val="2"/>
        <charset val="1"/>
      </rPr>
      <t xml:space="preserve">95%→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，其餘由南電、三星電機分食（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</si>
  <si>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—</t>
  </si>
  <si>
    <t xml:space="preserve">sh_nv_28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</si>
  <si>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2028</t>
    </r>
  </si>
  <si>
    <t xml:space="preserve">sh_nv_29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</si>
  <si>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2029</t>
    </r>
  </si>
  <si>
    <t xml:space="preserve">sh_ot_26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</si>
  <si>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</si>
  <si>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TechNews 2026-10-02</t>
    </r>
    <r>
      <rPr>
        <sz val="11"/>
        <color theme="1"/>
        <rFont val="Noto Sans CJK SC"/>
        <family val="2"/>
      </rPr>
      <t xml:space="preserve">（美銀報告）：調配昆山廠產能支應博通需求（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</si>
  <si>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合計檢查：</t>
    </r>
    <r>
      <rPr>
        <sz val="11"/>
        <color theme="1"/>
        <rFont val="Calibri"/>
        <family val="2"/>
        <charset val="1"/>
      </rPr>
      <t xml:space="preserve">Ibiden 50%</t>
    </r>
    <r>
      <rPr>
        <sz val="11"/>
        <color theme="1"/>
        <rFont val="Noto Sans CJK SC"/>
        <family val="2"/>
      </rPr>
      <t xml:space="preserve">＋欣興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＋南電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，其餘為三星電機、景碩、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</si>
  <si>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sh_ot_27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</si>
  <si>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2027</t>
    </r>
  </si>
  <si>
    <t xml:space="preserve">sh_ot_28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</si>
  <si>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2028</t>
    </r>
  </si>
  <si>
    <t xml:space="preserve">sh_ot_29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</si>
  <si>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</si>
  <si>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C. FY2026 </t>
    </r>
    <r>
      <rPr>
        <b val="true"/>
        <sz val="11"/>
        <rFont val="Noto Sans CJK SC"/>
        <family val="2"/>
      </rPr>
      <t xml:space="preserve">產品組合與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占比（公司未按季揭露；券商與法說摘要推全年）</t>
    </r>
  </si>
  <si>
    <t xml:space="preserve">mx_abf</t>
  </si>
  <si>
    <r>
      <rPr>
        <sz val="11"/>
        <color theme="1"/>
        <rFont val="Calibri"/>
        <family val="2"/>
        <charset val="1"/>
      </rPr>
      <t xml:space="preserve">FY2026 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</si>
  <si>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1Q26 ABF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55–60%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30–35%</t>
    </r>
  </si>
  <si>
    <r>
      <rPr>
        <sz val="11"/>
        <color theme="1"/>
        <rFont val="Calibri"/>
        <family val="2"/>
        <charset val="1"/>
      </rPr>
      <t xml:space="preserve">vocus 4Q25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2026-03-17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ABF 50–55%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PCB 10–15%</t>
    </r>
  </si>
  <si>
    <t xml:space="preserve">mx_bt</t>
  </si>
  <si>
    <r>
      <rPr>
        <sz val="11"/>
        <color theme="1"/>
        <rFont val="Calibri"/>
        <family val="2"/>
        <charset val="1"/>
      </rPr>
      <t xml:space="preserve">FY2026 BT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營收（其餘為 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</si>
  <si>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</si>
  <si>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南電深度分析（引述券商報告；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30%</t>
    </r>
  </si>
  <si>
    <t xml:space="preserve">ai_abf</t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</si>
  <si>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與資料中心 </t>
    </r>
    <r>
      <rPr>
        <sz val="11"/>
        <color theme="1"/>
        <rFont val="Calibri"/>
        <family val="2"/>
        <charset val="1"/>
      </rPr>
      <t xml:space="preserve">÷ ABF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</si>
  <si>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與資料中心（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交換器）約占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60%</t>
    </r>
  </si>
  <si>
    <r>
      <rPr>
        <sz val="11"/>
        <color theme="1"/>
        <rFont val="Noto Sans CJK SC"/>
        <family val="2"/>
      </rPr>
      <t xml:space="preserve">富果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2026-06-12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摘要）：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應用別網通 </t>
    </r>
    <r>
      <rPr>
        <sz val="11"/>
        <color theme="1"/>
        <rFont val="Calibri"/>
        <family val="2"/>
        <charset val="1"/>
      </rPr>
      <t xml:space="preserve">49%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HPC 16%</t>
    </r>
    <r>
      <rPr>
        <sz val="11"/>
        <color theme="1"/>
        <rFont val="Noto Sans CJK SC"/>
        <family val="2"/>
      </rPr>
      <t xml:space="preserve">（全公司）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</si>
  <si>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需求與產能（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</si>
  <si>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el_o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</si>
  <si>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載板（交換器、伺服器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）對交換晶片與交換器市場的彈性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</si>
  <si>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載板＝</t>
    </r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載板 − 加速器載板（校準殘差）；隨交換器市場成長但低於等比例（單價已由溢價另計）</t>
    </r>
  </si>
  <si>
    <r>
      <rPr>
        <sz val="11"/>
        <color theme="1"/>
        <rFont val="Noto Sans CJK SC"/>
        <family val="2"/>
      </rPr>
      <t xml:space="preserve">研究報告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：南電占高階 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交換晶片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南電深度分析（引述券商報告；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））</t>
    </r>
  </si>
  <si>
    <t xml:space="preserve">g_nai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</si>
  <si>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ABF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、一般伺服器、車用）年增</t>
    </r>
  </si>
  <si>
    <r>
      <rPr>
        <sz val="11"/>
        <color theme="1"/>
        <rFont val="Noto Sans CJK SC"/>
        <family val="2"/>
      </rPr>
      <t xml:space="preserve">富果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2026-06-12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摘要）：電腦 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（零組件缺貨限制）、車用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（需求弱）</t>
    </r>
  </si>
  <si>
    <t xml:space="preserve">cap_27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</si>
  <si>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</si>
  <si>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）：新產能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年到位，</t>
    </r>
    <r>
      <rPr>
        <sz val="11"/>
        <color theme="1"/>
        <rFont val="Calibri"/>
        <family val="2"/>
        <charset val="1"/>
      </rPr>
      <t xml:space="preserve">2026–28 </t>
    </r>
    <r>
      <rPr>
        <sz val="11"/>
        <color theme="1"/>
        <rFont val="Noto Sans CJK SC"/>
        <family val="2"/>
      </rPr>
      <t xml:space="preserve">年主要靠產能升級；</t>
    </r>
    <r>
      <rPr>
        <sz val="11"/>
        <color theme="1"/>
        <rFont val="Calibri"/>
        <family val="2"/>
        <charset val="1"/>
      </rPr>
      <t xml:space="preserve">1H26 ABF </t>
    </r>
    <r>
      <rPr>
        <sz val="11"/>
        <color theme="1"/>
        <rFont val="Noto Sans CJK SC"/>
        <family val="2"/>
      </rPr>
      <t xml:space="preserve">稼動率約 </t>
    </r>
    <r>
      <rPr>
        <sz val="11"/>
        <color theme="1"/>
        <rFont val="Calibri"/>
        <family val="2"/>
        <charset val="1"/>
      </rPr>
      <t xml:space="preserve">80–85%</t>
    </r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</si>
  <si>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2026-07-27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營收、法人預估、產能）：錦興、樹林滿載，昆山稼動率約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，以去瓶頸擴產</t>
    </r>
  </si>
  <si>
    <t xml:space="preserve">cap_28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</si>
  <si>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</si>
  <si>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公司：持續擴充 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，含新建廠，時程待董事會（富果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2026-06-12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摘要））</t>
    </r>
  </si>
  <si>
    <t xml:space="preserve">cap_29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</si>
  <si>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</si>
  <si>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g_mix</t>
  </si>
  <si>
    <t xml:space="preserve">每單位產能營收年增（層數、尺寸組合）</t>
  </si>
  <si>
    <r>
      <rPr>
        <sz val="11"/>
        <color theme="1"/>
        <rFont val="Noto Sans CJK SC"/>
        <family val="2"/>
      </rPr>
      <t xml:space="preserve">公司：產品朝 </t>
    </r>
    <r>
      <rPr>
        <sz val="11"/>
        <color theme="1"/>
        <rFont val="Calibri"/>
        <family val="2"/>
        <charset val="1"/>
      </rPr>
      <t xml:space="preserve">140 mm </t>
    </r>
    <r>
      <rPr>
        <sz val="11"/>
        <color theme="1"/>
        <rFont val="Noto Sans CJK SC"/>
        <family val="2"/>
      </rPr>
      <t xml:space="preserve">以上大尺寸、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層以上（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年後）發展（</t>
    </r>
    <r>
      <rPr>
        <sz val="11"/>
        <color theme="1"/>
        <rFont val="Calibri"/>
        <family val="2"/>
        <charset val="1"/>
      </rPr>
      <t xml:space="preserve">vocus 4Q25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2026-03-17</t>
    </r>
    <r>
      <rPr>
        <sz val="11"/>
        <color theme="1"/>
        <rFont val="Noto Sans CJK SC"/>
        <family val="2"/>
      </rPr>
      <t xml:space="preserve">））</t>
    </r>
  </si>
  <si>
    <t xml:space="preserve">與欣興模型同值</t>
  </si>
  <si>
    <t xml:space="preserve">carry</t>
  </si>
  <si>
    <r>
      <rPr>
        <sz val="11"/>
        <color theme="1"/>
        <rFont val="Noto Sans CJK SC"/>
        <family val="2"/>
      </rPr>
      <t xml:space="preserve">南電漲價年度化（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基期含上半年低價；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＋此值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</si>
  <si>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毛利率由 </t>
    </r>
    <r>
      <rPr>
        <sz val="11"/>
        <color theme="1"/>
        <rFont val="Calibri"/>
        <family val="2"/>
        <charset val="1"/>
      </rPr>
      <t xml:space="preserve">1Q26 15.8% </t>
    </r>
    <r>
      <rPr>
        <sz val="11"/>
        <color theme="1"/>
        <rFont val="Noto Sans CJK SC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32%</t>
    </r>
    <r>
      <rPr>
        <sz val="11"/>
        <color theme="1"/>
        <rFont val="Noto Sans CJK SC"/>
        <family val="2"/>
      </rPr>
      <t xml:space="preserve">（美銀估），季營收由 </t>
    </r>
    <r>
      <rPr>
        <sz val="11"/>
        <color theme="1"/>
        <rFont val="Calibri"/>
        <family val="2"/>
        <charset val="1"/>
      </rPr>
      <t xml:space="preserve">111.8 </t>
    </r>
    <r>
      <rPr>
        <sz val="11"/>
        <color theme="1"/>
        <rFont val="Noto Sans CJK SC"/>
        <family val="2"/>
      </rPr>
      <t xml:space="preserve">億升到約 </t>
    </r>
    <r>
      <rPr>
        <sz val="11"/>
        <color theme="1"/>
        <rFont val="Calibri"/>
        <family val="2"/>
        <charset val="1"/>
      </rPr>
      <t xml:space="preserve">180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年化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1.22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；含量增）</t>
    </r>
  </si>
  <si>
    <r>
      <rPr>
        <sz val="11"/>
        <color theme="1"/>
        <rFont val="Noto Sans CJK SC"/>
        <family val="2"/>
      </rPr>
      <t xml:space="preserve">研究報告：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每平方呎單價 </t>
    </r>
    <r>
      <rPr>
        <sz val="11"/>
        <color theme="1"/>
        <rFont val="Calibri"/>
        <family val="2"/>
        <charset val="1"/>
      </rPr>
      <t xml:space="preserve">2026 +35%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+57%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南電深度分析（引述券商報告；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</si>
  <si>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g_bt27_A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</si>
  <si>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載板年增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；公司特有，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</t>
    </r>
  </si>
  <si>
    <r>
      <rPr>
        <sz val="11"/>
        <color theme="1"/>
        <rFont val="Calibri"/>
        <family val="2"/>
        <charset val="1"/>
      </rPr>
      <t xml:space="preserve">TechNews 2026-10-02</t>
    </r>
    <r>
      <rPr>
        <sz val="11"/>
        <color theme="1"/>
        <rFont val="Noto Sans CJK SC"/>
        <family val="2"/>
      </rPr>
      <t xml:space="preserve">（美銀報告）：</t>
    </r>
    <r>
      <rPr>
        <sz val="11"/>
        <color theme="1"/>
        <rFont val="Calibri"/>
        <family val="2"/>
        <charset val="1"/>
      </rPr>
      <t xml:space="preserve">BT 4Q26 </t>
    </r>
    <r>
      <rPr>
        <sz val="11"/>
        <color theme="1"/>
        <rFont val="Noto Sans CJK SC"/>
        <family val="2"/>
      </rPr>
      <t xml:space="preserve">漲價個位數、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再漲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以上</t>
    </r>
  </si>
  <si>
    <r>
      <rPr>
        <sz val="11"/>
        <color theme="1"/>
        <rFont val="Calibri"/>
        <family val="2"/>
        <charset val="1"/>
      </rPr>
      <t xml:space="preserve">TechNews 2026-10-05</t>
    </r>
    <r>
      <rPr>
        <sz val="11"/>
        <color theme="1"/>
        <rFont val="Noto Sans CJK SC"/>
        <family val="2"/>
      </rPr>
      <t xml:space="preserve">（大和報告；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月自結獲利）：</t>
    </r>
    <r>
      <rPr>
        <sz val="11"/>
        <color theme="1"/>
        <rFont val="Calibri"/>
        <family val="2"/>
        <charset val="1"/>
      </rPr>
      <t xml:space="preserve">BT 1Q27 </t>
    </r>
    <r>
      <rPr>
        <sz val="11"/>
        <color theme="1"/>
        <rFont val="Noto Sans CJK SC"/>
        <family val="2"/>
      </rPr>
      <t xml:space="preserve">季增最高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；台、韓部分廠商縮減 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產能（凱基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））</t>
    </r>
  </si>
  <si>
    <t xml:space="preserve">g_bt28_A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</si>
  <si>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載板年增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；公司特有，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</t>
    </r>
  </si>
  <si>
    <t xml:space="preserve">g_bt29_A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</si>
  <si>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載板年增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；公司特有，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</t>
    </r>
  </si>
  <si>
    <t xml:space="preserve">g_bt27_B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</si>
  <si>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載板年增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；公司特有，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</t>
    </r>
  </si>
  <si>
    <t xml:space="preserve">g_bt28_B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</si>
  <si>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載板年增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；公司特有，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</t>
    </r>
  </si>
  <si>
    <t xml:space="preserve">g_bt29_B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</si>
  <si>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載板年增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；公司特有，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</t>
    </r>
  </si>
  <si>
    <t xml:space="preserve">g_bt27_C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</si>
  <si>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載板年增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；公司特有，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</t>
    </r>
  </si>
  <si>
    <t xml:space="preserve">g_bt28_C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</si>
  <si>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載板年增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；公司特有，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</t>
    </r>
  </si>
  <si>
    <t xml:space="preserve">g_bt29_C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</si>
  <si>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載板年增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；公司特有，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</t>
    </r>
  </si>
  <si>
    <t xml:space="preserve">g_pcb</t>
  </si>
  <si>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（一般電路板）年增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</si>
  <si>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以消費型為主且虧損，公司計畫產能轉向 </t>
    </r>
    <r>
      <rPr>
        <sz val="11"/>
        <color theme="1"/>
        <rFont val="Calibri"/>
        <family val="2"/>
        <charset val="1"/>
      </rPr>
      <t xml:space="preserve">BT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</si>
  <si>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毛利、折舊、費用與淨利（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</si>
  <si>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ft_abf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</si>
  <si>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營收增量的現金毛利率（扣除漲價溢價後）</t>
    </r>
  </si>
  <si>
    <r>
      <rPr>
        <sz val="11"/>
        <color theme="1"/>
        <rFont val="Calibri"/>
        <family val="2"/>
        <charset val="1"/>
      </rPr>
      <t xml:space="preserve">TechNews 2026-10-02</t>
    </r>
    <r>
      <rPr>
        <sz val="11"/>
        <color theme="1"/>
        <rFont val="Noto Sans CJK SC"/>
        <family val="2"/>
      </rPr>
      <t xml:space="preserve">（美銀報告）：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毛利率約 </t>
    </r>
    <r>
      <rPr>
        <sz val="11"/>
        <color theme="1"/>
        <rFont val="Calibri"/>
        <family val="2"/>
        <charset val="1"/>
      </rPr>
      <t xml:space="preserve">50%</t>
    </r>
  </si>
  <si>
    <t xml:space="preserve">ft_oth</t>
  </si>
  <si>
    <r>
      <rPr>
        <sz val="11"/>
        <color theme="1"/>
        <rFont val="Noto Sans CJK SC"/>
        <family val="2"/>
      </rPr>
      <t xml:space="preserve">其他產品（</t>
    </r>
    <r>
      <rPr>
        <sz val="11"/>
        <color theme="1"/>
        <rFont val="Calibri"/>
        <family val="2"/>
        <charset val="1"/>
      </rPr>
      <t xml:space="preserve">BT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）營收增量的現金毛利率</t>
    </r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</si>
  <si>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成長以漲價為主（漲價幾乎全數落在毛利）；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虧損</t>
    </r>
  </si>
  <si>
    <t xml:space="preserve">cx27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</si>
  <si>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（三情境相同；公司特有）</t>
    </r>
  </si>
  <si>
    <t xml:space="preserve">NT$B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</si>
  <si>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2025–28 </t>
    </r>
    <r>
      <rPr>
        <sz val="11"/>
        <color theme="1"/>
        <rFont val="Noto Sans CJK SC"/>
        <family val="2"/>
      </rPr>
      <t xml:space="preserve">年資本支出約 </t>
    </r>
    <r>
      <rPr>
        <sz val="11"/>
        <color theme="1"/>
        <rFont val="Calibri"/>
        <family val="2"/>
        <charset val="1"/>
      </rPr>
      <t xml:space="preserve">US$12.8 </t>
    </r>
    <r>
      <rPr>
        <sz val="11"/>
        <color theme="1"/>
        <rFont val="Noto Sans CJK SC"/>
        <family val="2"/>
      </rPr>
      <t xml:space="preserve">億（約 </t>
    </r>
    <r>
      <rPr>
        <sz val="11"/>
        <color theme="1"/>
        <rFont val="Calibri"/>
        <family val="2"/>
        <charset val="1"/>
      </rPr>
      <t xml:space="preserve">416 </t>
    </r>
    <r>
      <rPr>
        <sz val="11"/>
        <color theme="1"/>
        <rFont val="Noto Sans CJK SC"/>
        <family val="2"/>
      </rPr>
      <t xml:space="preserve">億新台幣；七家載板廠第六）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</si>
  <si>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億（富果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2026-06-12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摘要））；高階載板新廠 </t>
    </r>
    <r>
      <rPr>
        <sz val="11"/>
        <color theme="1"/>
        <rFont val="Calibri"/>
        <family val="2"/>
        <charset val="1"/>
      </rPr>
      <t xml:space="preserve">468 </t>
    </r>
    <r>
      <rPr>
        <sz val="11"/>
        <color theme="1"/>
        <rFont val="Noto Sans CJK SC"/>
        <family val="2"/>
      </rPr>
      <t xml:space="preserve">億已於 </t>
    </r>
    <r>
      <rPr>
        <sz val="11"/>
        <color theme="1"/>
        <rFont val="Calibri"/>
        <family val="2"/>
        <charset val="1"/>
      </rPr>
      <t xml:space="preserve">2026-08-07 </t>
    </r>
    <r>
      <rPr>
        <sz val="11"/>
        <color theme="1"/>
        <rFont val="Noto Sans CJK SC"/>
        <family val="2"/>
      </rPr>
      <t xml:space="preserve">董事會通過（工商時報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，時程未揭露），本模型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基準合計 </t>
    </r>
    <r>
      <rPr>
        <sz val="11"/>
        <color theme="1"/>
        <rFont val="Calibri"/>
        <family val="2"/>
        <charset val="1"/>
      </rPr>
      <t xml:space="preserve">440 </t>
    </r>
    <r>
      <rPr>
        <sz val="11"/>
        <color theme="1"/>
        <rFont val="Noto Sans CJK SC"/>
        <family val="2"/>
      </rPr>
      <t xml:space="preserve">億，約為新廠規模（</t>
    </r>
    <r>
      <rPr>
        <sz val="11"/>
        <color theme="1"/>
        <rFont val="Calibri"/>
        <family val="2"/>
        <charset val="1"/>
      </rPr>
      <t xml:space="preserve">CF01</t>
    </r>
    <r>
      <rPr>
        <sz val="11"/>
        <color theme="1"/>
        <rFont val="Noto Sans CJK SC"/>
        <family val="2"/>
      </rPr>
      <t xml:space="preserve">）</t>
    </r>
  </si>
  <si>
    <t xml:space="preserve">cx28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</si>
  <si>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（三情境相同；公司特有）</t>
    </r>
  </si>
  <si>
    <t xml:space="preserve">cx29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</si>
  <si>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（三情境相同；公司特有）</t>
    </r>
  </si>
  <si>
    <t xml:space="preserve">capex26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</si>
  <si>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資本支出（公司計畫）</t>
    </r>
  </si>
  <si>
    <r>
      <rPr>
        <sz val="11"/>
        <color theme="1"/>
        <rFont val="Noto Sans CJK SC"/>
        <family val="2"/>
      </rPr>
      <t xml:space="preserve">富果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2026-06-12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</si>
  <si>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19.3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現金流量表）</t>
    </r>
  </si>
  <si>
    <t xml:space="preserve">da26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</si>
  <si>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折舊攤提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</si>
  <si>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現金流量表：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2026-06 71.0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</si>
  <si>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Noto Sans CJK SC"/>
        <family val="2"/>
      </rPr>
      <t xml:space="preserve">研究報告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71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58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南電深度分析（引述券商報告；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））</t>
    </r>
  </si>
  <si>
    <t xml:space="preserve">life</t>
  </si>
  <si>
    <t xml:space="preserve">新增資產平均折舊年限</t>
  </si>
  <si>
    <t xml:space="preserve">年</t>
  </si>
  <si>
    <t xml:space="preserve">載板設備與廠房混合；與欣興模型同值</t>
  </si>
  <si>
    <t xml:space="preserve">會計年限：未找到</t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</si>
  <si>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</si>
  <si>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</si>
  <si>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4.19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2Q26 4.61 </t>
    </r>
    <r>
      <rPr>
        <sz val="11"/>
        <color theme="1"/>
        <rFont val="Noto Sans CJK SC"/>
        <family val="2"/>
      </rPr>
      <t xml:space="preserve">億（營收季增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頁推得）</t>
    </r>
  </si>
  <si>
    <t xml:space="preserve">nonop27</t>
  </si>
  <si>
    <r>
      <rPr>
        <sz val="11"/>
        <color theme="1"/>
        <rFont val="Noto Sans CJK SC"/>
        <family val="2"/>
      </rPr>
      <t xml:space="preserve">營業外淨額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</si>
  <si>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1Q26 2.5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2Q26 0.8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推得；含匯兌）</t>
    </r>
  </si>
  <si>
    <r>
      <rPr>
        <sz val="11"/>
        <color theme="1"/>
        <rFont val="Noto Sans CJK SC"/>
        <family val="2"/>
      </rPr>
      <t xml:space="preserve">利息收入（現金部位）（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</si>
  <si>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nonop28</t>
  </si>
  <si>
    <r>
      <rPr>
        <sz val="11"/>
        <color theme="1"/>
        <rFont val="Noto Sans CJK SC"/>
        <family val="2"/>
      </rPr>
      <t xml:space="preserve">營業外淨額 </t>
    </r>
    <r>
      <rPr>
        <sz val="11"/>
        <color theme="1"/>
        <rFont val="Calibri"/>
        <family val="2"/>
        <charset val="1"/>
      </rPr>
      <t xml:space="preserve">FY2028</t>
    </r>
  </si>
  <si>
    <t xml:space="preserve">nonop29</t>
  </si>
  <si>
    <r>
      <rPr>
        <sz val="11"/>
        <color theme="1"/>
        <rFont val="Noto Sans CJK SC"/>
        <family val="2"/>
      </rPr>
      <t xml:space="preserve">營業外淨額 </t>
    </r>
    <r>
      <rPr>
        <sz val="11"/>
        <color theme="1"/>
        <rFont val="Calibri"/>
        <family val="2"/>
        <charset val="1"/>
      </rPr>
      <t xml:space="preserve">FY2029</t>
    </r>
  </si>
  <si>
    <t xml:space="preserve">tax</t>
  </si>
  <si>
    <r>
      <rPr>
        <sz val="11"/>
        <color theme="1"/>
        <rFont val="Noto Sans CJK SC"/>
        <family val="2"/>
      </rPr>
      <t xml:space="preserve">所得稅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稅前利益</t>
    </r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</si>
  <si>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：稅前 </t>
    </r>
    <r>
      <rPr>
        <sz val="11"/>
        <color theme="1"/>
        <rFont val="Calibri"/>
        <family val="2"/>
        <charset val="1"/>
      </rPr>
      <t xml:space="preserve">45.7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35.7 </t>
    </r>
    <r>
      <rPr>
        <sz val="11"/>
        <color theme="1"/>
        <rFont val="Noto Sans CJK SC"/>
        <family val="2"/>
      </rPr>
      <t xml:space="preserve">億 → </t>
    </r>
    <r>
      <rPr>
        <sz val="11"/>
        <color theme="1"/>
        <rFont val="Calibri"/>
        <family val="2"/>
        <charset val="1"/>
      </rPr>
      <t xml:space="preserve">21.9%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推得）</t>
    </r>
  </si>
  <si>
    <r>
      <rPr>
        <sz val="11"/>
        <color theme="1"/>
        <rFont val="Calibri"/>
        <family val="2"/>
        <charset val="1"/>
      </rPr>
      <t xml:space="preserve">2Q26 24.0%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18.1%</t>
    </r>
    <r>
      <rPr>
        <sz val="11"/>
        <color theme="1"/>
        <rFont val="Noto Sans CJK SC"/>
        <family val="2"/>
      </rPr>
      <t xml:space="preserve">；營所稅 </t>
    </r>
    <r>
      <rPr>
        <sz val="11"/>
        <color theme="1"/>
        <rFont val="Calibri"/>
        <family val="2"/>
        <charset val="1"/>
      </rPr>
      <t xml:space="preserve">20%</t>
    </r>
  </si>
  <si>
    <t xml:space="preserve">sh_g</t>
  </si>
  <si>
    <t xml:space="preserve">股數年變動</t>
  </si>
  <si>
    <r>
      <rPr>
        <sz val="11"/>
        <color theme="1"/>
        <rFont val="Noto Sans CJK SC"/>
        <family val="2"/>
      </rPr>
      <t xml:space="preserve">流通股數 </t>
    </r>
    <r>
      <rPr>
        <sz val="11"/>
        <color theme="1"/>
        <rFont val="Calibri"/>
        <family val="2"/>
        <charset val="1"/>
      </rPr>
      <t xml:space="preserve">6.4617 </t>
    </r>
    <r>
      <rPr>
        <sz val="11"/>
        <color theme="1"/>
        <rFont val="Noto Sans CJK SC"/>
        <family val="2"/>
      </rPr>
      <t xml:space="preserve">億股（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</si>
  <si>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無可轉債資訊：未找到</t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</si>
  <si>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營收實績＋假設）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</si>
  <si>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</si>
  <si>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營收（月營收實績加總）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</si>
  <si>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</si>
  <si>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TechNews 2026-10-03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月累計）：前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411.31 </t>
    </r>
    <r>
      <rPr>
        <sz val="11"/>
        <color theme="1"/>
        <rFont val="Noto Sans CJK SC"/>
        <family val="2"/>
      </rPr>
      <t xml:space="preserve">億 − </t>
    </r>
    <r>
      <rPr>
        <sz val="11"/>
        <color theme="1"/>
        <rFont val="Calibri"/>
        <family val="2"/>
        <charset val="1"/>
      </rPr>
      <t xml:space="preserve">1H26 247.52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</si>
  <si>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winvest 2026-08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月營收、</t>
    </r>
    <r>
      <rPr>
        <sz val="11"/>
        <color theme="1"/>
        <rFont val="Calibri"/>
        <family val="2"/>
        <charset val="1"/>
      </rPr>
      <t xml:space="preserve">1Q26 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54.40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TechNews 2026-10-05</t>
    </r>
    <r>
      <rPr>
        <sz val="11"/>
        <color theme="1"/>
        <rFont val="Noto Sans CJK SC"/>
        <family val="2"/>
      </rPr>
      <t xml:space="preserve">（大和報告；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月自結獲利）：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53.53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55.86 </t>
    </r>
    <r>
      <rPr>
        <sz val="11"/>
        <color theme="1"/>
        <rFont val="Noto Sans CJK SC"/>
        <family val="2"/>
      </rPr>
      <t xml:space="preserve">億</t>
    </r>
  </si>
  <si>
    <t xml:space="preserve">q3_gm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</si>
  <si>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</si>
  <si>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TechNews 2026-10-05</t>
    </r>
    <r>
      <rPr>
        <sz val="11"/>
        <color theme="1"/>
        <rFont val="Noto Sans CJK SC"/>
        <family val="2"/>
      </rPr>
      <t xml:space="preserve">（大和報告；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月自結獲利）：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月自結稅前淨利率 </t>
    </r>
    <r>
      <rPr>
        <sz val="11"/>
        <color theme="1"/>
        <rFont val="Calibri"/>
        <family val="2"/>
        <charset val="1"/>
      </rPr>
      <t xml:space="preserve">27.8%</t>
    </r>
    <r>
      <rPr>
        <sz val="11"/>
        <color theme="1"/>
        <rFont val="Noto Sans CJK SC"/>
        <family val="2"/>
      </rPr>
      <t xml:space="preserve">、毛利率推算約 </t>
    </r>
    <r>
      <rPr>
        <sz val="11"/>
        <color theme="1"/>
        <rFont val="Calibri"/>
        <family val="2"/>
        <charset val="1"/>
      </rPr>
      <t xml:space="preserve">30–31%</t>
    </r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</si>
  <si>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2026-07-27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營收、法人預估、產能）：法人估 </t>
    </r>
    <r>
      <rPr>
        <sz val="11"/>
        <color theme="1"/>
        <rFont val="Calibri"/>
        <family val="2"/>
        <charset val="1"/>
      </rPr>
      <t xml:space="preserve">28.1%</t>
    </r>
  </si>
  <si>
    <t xml:space="preserve">q3_opx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</si>
  <si>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</si>
  <si>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Calibri"/>
        <family val="2"/>
        <charset val="1"/>
      </rPr>
      <t xml:space="preserve">1Q26 0.419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0.461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頁推得）</t>
    </r>
  </si>
  <si>
    <t xml:space="preserve">q4_g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</si>
  <si>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</si>
  <si>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Calibri"/>
        <family val="2"/>
        <charset val="1"/>
      </rPr>
      <t xml:space="preserve">TechNews 2026-10-02</t>
    </r>
    <r>
      <rPr>
        <sz val="11"/>
        <color theme="1"/>
        <rFont val="Noto Sans CJK SC"/>
        <family val="2"/>
      </rPr>
      <t xml:space="preserve">（美銀報告）：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季增約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</si>
  <si>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Calibri"/>
        <family val="2"/>
        <charset val="1"/>
      </rPr>
      <t xml:space="preserve">TechNews 2026-10-05</t>
    </r>
    <r>
      <rPr>
        <sz val="11"/>
        <color theme="1"/>
        <rFont val="Noto Sans CJK SC"/>
        <family val="2"/>
      </rPr>
      <t xml:space="preserve">（大和報告；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月自結獲利）：法人估 </t>
    </r>
    <r>
      <rPr>
        <sz val="11"/>
        <color theme="1"/>
        <rFont val="Calibri"/>
        <family val="2"/>
        <charset val="1"/>
      </rPr>
      <t xml:space="preserve">4Q26 184.1 </t>
    </r>
    <r>
      <rPr>
        <sz val="11"/>
        <color theme="1"/>
        <rFont val="Noto Sans CJK SC"/>
        <family val="2"/>
      </rPr>
      <t xml:space="preserve">億（季增 </t>
    </r>
    <r>
      <rPr>
        <sz val="11"/>
        <color theme="1"/>
        <rFont val="Calibri"/>
        <family val="2"/>
        <charset val="1"/>
      </rPr>
      <t xml:space="preserve">12%</t>
    </r>
    <r>
      <rPr>
        <sz val="11"/>
        <color theme="1"/>
        <rFont val="Noto Sans CJK SC"/>
        <family val="2"/>
      </rPr>
      <t xml:space="preserve">）</t>
    </r>
  </si>
  <si>
    <t xml:space="preserve">q4_gm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</si>
  <si>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</si>
  <si>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TechNews 2026-10-02</t>
    </r>
    <r>
      <rPr>
        <sz val="11"/>
        <color theme="1"/>
        <rFont val="Noto Sans CJK SC"/>
        <family val="2"/>
      </rPr>
      <t xml:space="preserve">（美銀報告）：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32–33%</t>
    </r>
  </si>
  <si>
    <t xml:space="preserve">q4_opx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</si>
  <si>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</t>
    </r>
  </si>
  <si>
    <t xml:space="preserve">q_nonop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</si>
  <si>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營業外淨額（每季）</t>
    </r>
  </si>
  <si>
    <r>
      <rPr>
        <sz val="11"/>
        <color theme="1"/>
        <rFont val="Calibri"/>
        <family val="2"/>
        <charset val="1"/>
      </rPr>
      <t xml:space="preserve">1Q26 0.246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0.077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推得）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</si>
  <si>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2026-11-03</t>
    </r>
    <r>
      <rPr>
        <sz val="11"/>
        <color theme="1"/>
        <rFont val="Noto Sans CJK SC"/>
        <family val="2"/>
      </rPr>
      <t xml:space="preserve">）</t>
    </r>
  </si>
  <si>
    <t xml:space="preserve">q_sh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</si>
  <si>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加權股數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</si>
  <si>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</si>
  <si>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8046</t>
    </r>
    <r>
      <rPr>
        <sz val="11"/>
        <color theme="1"/>
        <rFont val="Noto Sans CJK SC"/>
        <family val="2"/>
      </rPr>
      <t xml:space="preserve">）：流通股數 </t>
    </r>
    <r>
      <rPr>
        <sz val="11"/>
        <color theme="1"/>
        <rFont val="Calibri"/>
        <family val="2"/>
        <charset val="1"/>
      </rPr>
      <t xml:space="preserve">646.17M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</si>
  <si>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）：約 </t>
    </r>
    <r>
      <rPr>
        <sz val="11"/>
        <color theme="1"/>
        <rFont val="Calibri"/>
        <family val="2"/>
        <charset val="1"/>
      </rPr>
      <t xml:space="preserve">6.46 </t>
    </r>
    <r>
      <rPr>
        <sz val="11"/>
        <color theme="1"/>
        <rFont val="Noto Sans CJK SC"/>
        <family val="2"/>
      </rPr>
      <t xml:space="preserve">億股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</si>
  <si>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共識與券商（只作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對照，不作校準）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</si>
  <si>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</si>
  <si>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平均，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</si>
  <si>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t xml:space="preserve">NT$</t>
  </si>
  <si>
    <r>
      <rPr>
        <sz val="11"/>
        <color theme="1"/>
        <rFont val="Noto Sans CJK SC"/>
        <family val="2"/>
      </rPr>
      <t xml:space="preserve">鉅亨 </t>
    </r>
    <r>
      <rPr>
        <sz val="11"/>
        <color theme="1"/>
        <rFont val="Calibri"/>
        <family val="2"/>
        <charset val="1"/>
      </rPr>
      <t xml:space="preserve">2026-06-24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 14 </t>
    </r>
    <r>
      <rPr>
        <sz val="11"/>
        <color theme="1"/>
        <rFont val="Noto Sans CJK SC"/>
        <family val="2"/>
      </rPr>
      <t xml:space="preserve">位分析師）</t>
    </r>
  </si>
  <si>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12.57</t>
    </r>
    <r>
      <rPr>
        <sz val="11"/>
        <color theme="1"/>
        <rFont val="Noto Sans CJK SC"/>
        <family val="2"/>
      </rPr>
      <t xml:space="preserve">；凱基 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17.27</t>
    </r>
    <r>
      <rPr>
        <sz val="11"/>
        <color theme="1"/>
        <rFont val="Noto Sans CJK SC"/>
        <family val="2"/>
      </rPr>
      <t xml:space="preserve">；美銀 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18.44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</si>
  <si>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</si>
  <si>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平均，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</si>
  <si>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28.9</t>
    </r>
    <r>
      <rPr>
        <sz val="11"/>
        <color theme="1"/>
        <rFont val="Noto Sans CJK SC"/>
        <family val="2"/>
      </rPr>
      <t xml:space="preserve">；凱基 </t>
    </r>
    <r>
      <rPr>
        <sz val="11"/>
        <color theme="1"/>
        <rFont val="Calibri"/>
        <family val="2"/>
        <charset val="1"/>
      </rPr>
      <t xml:space="preserve">38.88</t>
    </r>
    <r>
      <rPr>
        <sz val="11"/>
        <color theme="1"/>
        <rFont val="Noto Sans CJK SC"/>
        <family val="2"/>
      </rPr>
      <t xml:space="preserve">；美銀 </t>
    </r>
    <r>
      <rPr>
        <sz val="11"/>
        <color theme="1"/>
        <rFont val="Calibri"/>
        <family val="2"/>
        <charset val="1"/>
      </rPr>
      <t xml:space="preserve">43.80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</si>
  <si>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</si>
  <si>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平均，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</si>
  <si>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54.25</t>
    </r>
    <r>
      <rPr>
        <sz val="11"/>
        <color theme="1"/>
        <rFont val="Noto Sans CJK SC"/>
        <family val="2"/>
      </rPr>
      <t xml:space="preserve">；凱基 </t>
    </r>
    <r>
      <rPr>
        <sz val="11"/>
        <color theme="1"/>
        <rFont val="Calibri"/>
        <family val="2"/>
        <charset val="1"/>
      </rPr>
      <t xml:space="preserve">61.35</t>
    </r>
    <r>
      <rPr>
        <sz val="11"/>
        <color theme="1"/>
        <rFont val="Noto Sans CJK SC"/>
        <family val="2"/>
      </rPr>
      <t xml:space="preserve">；美銀 </t>
    </r>
    <r>
      <rPr>
        <sz val="11"/>
        <color theme="1"/>
        <rFont val="Calibri"/>
        <family val="2"/>
        <charset val="1"/>
      </rPr>
      <t xml:space="preserve">70.09</t>
    </r>
  </si>
  <si>
    <t xml:space="preserve">cons_rev27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</si>
  <si>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平均，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</si>
  <si>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美銀 </t>
    </r>
    <r>
      <rPr>
        <sz val="11"/>
        <color theme="1"/>
        <rFont val="Calibri"/>
        <family val="2"/>
        <charset val="1"/>
      </rPr>
      <t xml:space="preserve">90.33</t>
    </r>
    <r>
      <rPr>
        <sz val="11"/>
        <color theme="1"/>
        <rFont val="Noto Sans CJK SC"/>
        <family val="2"/>
      </rPr>
      <t xml:space="preserve">；凱基 </t>
    </r>
    <r>
      <rPr>
        <sz val="11"/>
        <color theme="1"/>
        <rFont val="Calibri"/>
        <family val="2"/>
        <charset val="1"/>
      </rPr>
      <t xml:space="preserve">88.41</t>
    </r>
  </si>
  <si>
    <t xml:space="preserve">cons_rev28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</si>
  <si>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平均，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</si>
  <si>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美銀 </t>
    </r>
    <r>
      <rPr>
        <sz val="11"/>
        <color theme="1"/>
        <rFont val="Calibri"/>
        <family val="2"/>
        <charset val="1"/>
      </rPr>
      <t xml:space="preserve">120.65</t>
    </r>
    <r>
      <rPr>
        <sz val="11"/>
        <color theme="1"/>
        <rFont val="Noto Sans CJK SC"/>
        <family val="2"/>
      </rPr>
      <t xml:space="preserve">；凱基 </t>
    </r>
    <r>
      <rPr>
        <sz val="11"/>
        <color theme="1"/>
        <rFont val="Calibri"/>
        <family val="2"/>
        <charset val="1"/>
      </rPr>
      <t xml:space="preserve">123.31</t>
    </r>
  </si>
  <si>
    <t xml:space="preserve">bk_eps27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</si>
  <si>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EPS FY2027</t>
    </r>
    <r>
      <rPr>
        <sz val="11"/>
        <color theme="1"/>
        <rFont val="Noto Sans CJK SC"/>
        <family val="2"/>
      </rPr>
      <t xml:space="preserve">（美銀 </t>
    </r>
    <r>
      <rPr>
        <sz val="11"/>
        <color theme="1"/>
        <rFont val="Calibri"/>
        <family val="2"/>
        <charset val="1"/>
      </rPr>
      <t xml:space="preserve">2026-10 43.80</t>
    </r>
    <r>
      <rPr>
        <sz val="11"/>
        <color theme="1"/>
        <rFont val="Noto Sans CJK SC"/>
        <family val="2"/>
      </rPr>
      <t xml:space="preserve">、凱基 </t>
    </r>
    <r>
      <rPr>
        <sz val="11"/>
        <color theme="1"/>
        <rFont val="Calibri"/>
        <family val="2"/>
        <charset val="1"/>
      </rPr>
      <t xml:space="preserve">2026-07 38.88 </t>
    </r>
    <r>
      <rPr>
        <sz val="11"/>
        <color theme="1"/>
        <rFont val="Noto Sans CJK SC"/>
        <family val="2"/>
      </rPr>
      <t xml:space="preserve">平均）</t>
    </r>
  </si>
  <si>
    <r>
      <rPr>
        <sz val="11"/>
        <color theme="1"/>
        <rFont val="Calibri"/>
        <family val="2"/>
        <charset val="1"/>
      </rPr>
      <t xml:space="preserve">TechNews 2026-10-02</t>
    </r>
    <r>
      <rPr>
        <sz val="11"/>
        <color theme="1"/>
        <rFont val="Noto Sans CJK SC"/>
        <family val="2"/>
      </rPr>
      <t xml:space="preserve">（美銀報告）</t>
    </r>
  </si>
  <si>
    <t xml:space="preserve">bk_eps28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</si>
  <si>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EPS FY2028</t>
    </r>
    <r>
      <rPr>
        <sz val="11"/>
        <color theme="1"/>
        <rFont val="Noto Sans CJK SC"/>
        <family val="2"/>
      </rPr>
      <t xml:space="preserve">（美銀 </t>
    </r>
    <r>
      <rPr>
        <sz val="11"/>
        <color theme="1"/>
        <rFont val="Calibri"/>
        <family val="2"/>
        <charset val="1"/>
      </rPr>
      <t xml:space="preserve">70.09</t>
    </r>
    <r>
      <rPr>
        <sz val="11"/>
        <color theme="1"/>
        <rFont val="Noto Sans CJK SC"/>
        <family val="2"/>
      </rPr>
      <t xml:space="preserve">、凱基 </t>
    </r>
    <r>
      <rPr>
        <sz val="11"/>
        <color theme="1"/>
        <rFont val="Calibri"/>
        <family val="2"/>
        <charset val="1"/>
      </rPr>
      <t xml:space="preserve">61.35 </t>
    </r>
    <r>
      <rPr>
        <sz val="11"/>
        <color theme="1"/>
        <rFont val="Noto Sans CJK SC"/>
        <family val="2"/>
      </rPr>
      <t xml:space="preserve">平均）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</si>
  <si>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價格與市場資料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</si>
  <si>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</si>
  <si>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收盤未取得）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</si>
  <si>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8046</t>
    </r>
    <r>
      <rPr>
        <sz val="11"/>
        <color theme="1"/>
        <rFont val="Noto Sans CJK SC"/>
        <family val="2"/>
      </rPr>
      <t xml:space="preserve">） 歷史價格：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1,265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10-21 1,340</t>
    </r>
  </si>
  <si>
    <r>
      <rPr>
        <sz val="11"/>
        <color theme="1"/>
        <rFont val="Noto Sans CJK SC"/>
        <family val="2"/>
      </rPr>
      <t xml:space="preserve">財報狗、</t>
    </r>
    <r>
      <rPr>
        <sz val="11"/>
        <color theme="1"/>
        <rFont val="Calibri"/>
        <family val="2"/>
        <charset val="1"/>
      </rPr>
      <t xml:space="preserve">HiStock 2026-10-22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1,265</t>
    </r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</si>
  <si>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</si>
  <si>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，價格日期 </t>
    </r>
    <r>
      <rPr>
        <sz val="11"/>
        <color theme="1"/>
        <rFont val="Calibri"/>
        <family val="2"/>
        <charset val="1"/>
      </rPr>
      <t xml:space="preserve">2026-09-07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</si>
  <si>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8046</t>
    </r>
    <r>
      <rPr>
        <sz val="11"/>
        <color theme="1"/>
        <rFont val="Noto Sans CJK SC"/>
        <family val="2"/>
      </rPr>
      <t xml:space="preserve">）：頁面價格 </t>
    </r>
    <r>
      <rPr>
        <sz val="11"/>
        <color theme="1"/>
        <rFont val="Calibri"/>
        <family val="2"/>
        <charset val="1"/>
      </rPr>
      <t xml:space="preserve">1,050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</si>
  <si>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口徑：頁面未明示（約未來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月更新值未取得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</si>
  <si>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</si>
  <si>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（財報狗，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</si>
  <si>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財報狗 </t>
    </r>
    <r>
      <rPr>
        <sz val="11"/>
        <color theme="1"/>
        <rFont val="Calibri"/>
        <family val="2"/>
        <charset val="1"/>
      </rPr>
      <t xml:space="preserve">2026-10-22</t>
    </r>
  </si>
  <si>
    <t xml:space="preserve">HiStock 148.65</t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</si>
  <si>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</si>
  <si>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頁面價格 </t>
    </r>
    <r>
      <rPr>
        <sz val="11"/>
        <color theme="1"/>
        <rFont val="Calibri"/>
        <family val="2"/>
        <charset val="1"/>
      </rPr>
      <t xml:space="preserve">1,050 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</si>
  <si>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8046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</si>
  <si>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以頁面同日價格推算（不用 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現價）；直接數字：未找到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</si>
  <si>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</si>
  <si>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</si>
  <si>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8046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1,651.31</t>
    </r>
    <r>
      <rPr>
        <sz val="11"/>
        <color theme="1"/>
        <rFont val="Noto Sans CJK SC"/>
        <family val="2"/>
      </rPr>
      <t xml:space="preserve">（頁面價格日期 </t>
    </r>
    <r>
      <rPr>
        <sz val="11"/>
        <color theme="1"/>
        <rFont val="Calibri"/>
        <family val="2"/>
        <charset val="1"/>
      </rPr>
      <t xml:space="preserve">2026-09-07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</si>
  <si>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月：美銀 </t>
    </r>
    <r>
      <rPr>
        <sz val="11"/>
        <color theme="1"/>
        <rFont val="Calibri"/>
        <family val="2"/>
        <charset val="1"/>
      </rPr>
      <t xml:space="preserve">2,000</t>
    </r>
    <r>
      <rPr>
        <sz val="11"/>
        <color theme="1"/>
        <rFont val="Noto Sans CJK SC"/>
        <family val="2"/>
      </rPr>
      <t xml:space="preserve">、大和 </t>
    </r>
    <r>
      <rPr>
        <sz val="11"/>
        <color theme="1"/>
        <rFont val="Calibri"/>
        <family val="2"/>
        <charset val="1"/>
      </rPr>
      <t xml:space="preserve">2,460</t>
    </r>
    <r>
      <rPr>
        <sz val="11"/>
        <color theme="1"/>
        <rFont val="Noto Sans CJK SC"/>
        <family val="2"/>
      </rPr>
      <t xml:space="preserve">；凱基 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1,480</t>
    </r>
  </si>
  <si>
    <t xml:space="preserve">fx</t>
  </si>
  <si>
    <t xml:space="preserve">匯率</t>
  </si>
  <si>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US$</t>
    </r>
  </si>
  <si>
    <r>
      <rPr>
        <sz val="11"/>
        <color theme="1"/>
        <rFont val="Calibri"/>
        <family val="2"/>
        <charset val="1"/>
      </rPr>
      <t xml:space="preserve">Siliconomics SIF_fx_twd</t>
    </r>
    <r>
      <rPr>
        <sz val="11"/>
        <color theme="1"/>
        <rFont val="Noto Sans CJK SC"/>
        <family val="2"/>
      </rPr>
      <t xml:space="preserve">（全庫共用；</t>
    </r>
    <r>
      <rPr>
        <sz val="11"/>
        <color theme="1"/>
        <rFont val="Calibri"/>
        <family val="2"/>
        <charset val="1"/>
      </rPr>
      <t xml:space="preserve">v0.8.2 </t>
    </r>
    <r>
      <rPr>
        <sz val="11"/>
        <color theme="1"/>
        <rFont val="Noto Sans CJK SC"/>
        <family val="2"/>
      </rPr>
      <t xml:space="preserve">前本模型取 </t>
    </r>
    <r>
      <rPr>
        <sz val="11"/>
        <color theme="1"/>
        <rFont val="Calibri"/>
        <family val="2"/>
        <charset val="1"/>
      </rPr>
      <t xml:space="preserve">32.5</t>
    </r>
    <r>
      <rPr>
        <sz val="11"/>
        <color theme="1"/>
        <rFont val="Noto Sans CJK SC"/>
        <family val="2"/>
      </rPr>
      <t xml:space="preserve">）</t>
    </r>
  </si>
  <si>
    <t xml:space="preserve">nim5</t>
  </si>
  <si>
    <r>
      <rPr>
        <sz val="11"/>
        <color theme="1"/>
        <rFont val="Noto Sans CJK SC"/>
        <family val="2"/>
      </rPr>
      <t xml:space="preserve">近五年平均淨利率（</t>
    </r>
    <r>
      <rPr>
        <sz val="11"/>
        <color theme="1"/>
        <rFont val="Calibri"/>
        <family val="2"/>
        <charset val="1"/>
      </rPr>
      <t xml:space="preserve">FY2021–25</t>
    </r>
    <r>
      <rPr>
        <sz val="11"/>
        <color theme="1"/>
        <rFont val="Noto Sans CJK SC"/>
        <family val="2"/>
      </rPr>
      <t xml:space="preserve">；十年平均的參考）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</si>
  <si>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8046</t>
    </r>
    <r>
      <rPr>
        <sz val="11"/>
        <color theme="1"/>
        <rFont val="Noto Sans CJK SC"/>
        <family val="2"/>
      </rPr>
      <t xml:space="preserve">）：營收與淨利 </t>
    </r>
    <r>
      <rPr>
        <sz val="11"/>
        <color theme="1"/>
        <rFont val="Calibri"/>
        <family val="2"/>
        <charset val="1"/>
      </rPr>
      <t xml:space="preserve">FY2021–25</t>
    </r>
  </si>
  <si>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）營收：未找到（</t>
    </r>
    <r>
      <rPr>
        <sz val="11"/>
        <color theme="1"/>
        <rFont val="Calibri"/>
        <family val="2"/>
        <charset val="1"/>
      </rPr>
      <t xml:space="preserve">FY2016–20 </t>
    </r>
    <r>
      <rPr>
        <sz val="11"/>
        <color theme="1"/>
        <rFont val="Noto Sans CJK SC"/>
        <family val="2"/>
      </rPr>
      <t xml:space="preserve">營收未取得），收斂法依工作單改用 </t>
    </r>
    <r>
      <rPr>
        <sz val="11"/>
        <color theme="1"/>
        <rFont val="Calibri"/>
        <family val="2"/>
        <charset val="1"/>
      </rPr>
      <t xml:space="preserve">FY2029 × 0.8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</si>
  <si>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</si>
  <si>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</si>
  <si>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</si>
  <si>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</si>
  <si>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</si>
  <si>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</si>
  <si>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</si>
  <si>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</si>
  <si>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</si>
  <si>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</si>
  <si>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</si>
  <si>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，美台日韓同一值）</t>
    </r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</si>
  <si>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</si>
  <si>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</si>
  <si>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</si>
  <si>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永續價值與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</si>
  <si>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</si>
  <si>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</si>
  <si>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8046</t>
    </r>
    <r>
      <rPr>
        <sz val="11"/>
        <color theme="1"/>
        <rFont val="Noto Sans CJK SC"/>
        <family val="2"/>
      </rPr>
      <t xml:space="preserve">） 比率頁：</t>
    </r>
    <r>
      <rPr>
        <sz val="11"/>
        <color theme="1"/>
        <rFont val="Calibri"/>
        <family val="2"/>
        <charset val="1"/>
      </rPr>
      <t xml:space="preserve">FY2023 11.45%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0.44%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4.25%</t>
    </r>
  </si>
  <si>
    <r>
      <rPr>
        <sz val="11"/>
        <color theme="1"/>
        <rFont val="Noto Sans CJK SC"/>
        <family val="2"/>
      </rPr>
      <t xml:space="preserve">單一來源；本模型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改用（淨利＋折舊－資本支出），此值只作參考列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</si>
  <si>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</si>
  <si>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</si>
  <si>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</si>
  <si>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</si>
  <si>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</si>
  <si>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</si>
  <si>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</si>
  <si>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</si>
  <si>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</si>
  <si>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</si>
  <si>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</si>
  <si>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</si>
  <si>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</si>
  <si>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</si>
  <si>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</si>
  <si>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與十年平均的中點）</t>
    </r>
  </si>
  <si>
    <r>
      <rPr>
        <sz val="11"/>
        <color theme="1"/>
        <rFont val="Noto Sans CJK SC"/>
        <family val="2"/>
      </rPr>
      <t xml:space="preserve">十年平均淨利率：未找到，以情境 </t>
    </r>
    <r>
      <rPr>
        <sz val="11"/>
        <color theme="1"/>
        <rFont val="Calibri"/>
        <family val="2"/>
        <charset val="1"/>
      </rPr>
      <t xml:space="preserve">B FY2029 × 0.8 </t>
    </r>
    <r>
      <rPr>
        <sz val="11"/>
        <color theme="1"/>
        <rFont val="Noto Sans CJK SC"/>
        <family val="2"/>
      </rPr>
      <t xml:space="preserve">代替（工作單規則）；本列＝（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2</t>
    </r>
  </si>
  <si>
    <r>
      <rPr>
        <sz val="11"/>
        <color theme="1"/>
        <rFont val="Noto Sans CJK SC"/>
        <family val="2"/>
      </rPr>
      <t xml:space="preserve">近五年平均見 </t>
    </r>
    <r>
      <rPr>
        <sz val="11"/>
        <color theme="1"/>
        <rFont val="Calibri"/>
        <family val="2"/>
        <charset val="1"/>
      </rPr>
      <t xml:space="preserve">nim5</t>
    </r>
    <r>
      <rPr>
        <sz val="11"/>
        <color theme="1"/>
        <rFont val="Noto Sans CJK SC"/>
        <family val="2"/>
      </rPr>
      <t xml:space="preserve">（只作參考）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</si>
  <si>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</si>
  <si>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淨利率收斂目標（＝十年平均）</t>
    </r>
  </si>
  <si>
    <r>
      <rPr>
        <sz val="11"/>
        <color theme="1"/>
        <rFont val="Noto Sans CJK SC"/>
        <family val="2"/>
      </rPr>
      <t xml:space="preserve">十年平均淨利率：未找到，以情境 </t>
    </r>
    <r>
      <rPr>
        <sz val="11"/>
        <color theme="1"/>
        <rFont val="Calibri"/>
        <family val="2"/>
        <charset val="1"/>
      </rPr>
      <t xml:space="preserve">C 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代替（工作單規則）</t>
    </r>
  </si>
  <si>
    <r>
      <rPr>
        <sz val="11"/>
        <color theme="1"/>
        <rFont val="Calibri"/>
        <family val="2"/>
        <charset val="1"/>
      </rPr>
      <t xml:space="preserve">Q — FY2025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新台幣、基本；股數十億股）。藍字＝輸入；黑字＝公式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</si>
  <si>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營收實績（月營收）與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毛利率、費用假設＋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假設。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月底公布，屆時以實績取代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欄（毛利率、費用、業外、淨利）</t>
    </r>
  </si>
  <si>
    <t xml:space="preserve">FY2025A</t>
  </si>
  <si>
    <r>
      <rPr>
        <b val="true"/>
        <sz val="11"/>
        <rFont val="Cambria"/>
        <family val="0"/>
        <charset val="1"/>
      </rPr>
      <t xml:space="preserve">1Q26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</si>
  <si>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2Q26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</si>
  <si>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</si>
  <si>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</si>
  <si>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</si>
  <si>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</si>
  <si>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</si>
  <si>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</si>
  <si>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年度與季損益表（公司財報轉載）</t>
    </r>
  </si>
  <si>
    <r>
      <rPr>
        <sz val="11"/>
        <color theme="1"/>
        <rFont val="Calibri"/>
        <family val="2"/>
        <charset val="1"/>
      </rPr>
      <t xml:space="preserve">FY2025 401.73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vocus 4Q25 </t>
    </r>
    <r>
      <rPr>
        <sz val="11"/>
        <color theme="1"/>
        <rFont val="Noto Sans CJK SC"/>
        <family val="2"/>
      </rPr>
      <t xml:space="preserve">法說、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同）；</t>
    </r>
    <r>
      <rPr>
        <sz val="11"/>
        <color theme="1"/>
        <rFont val="Calibri"/>
        <family val="2"/>
        <charset val="1"/>
      </rPr>
      <t xml:space="preserve">1Q26 111.77 </t>
    </r>
    <r>
      <rPr>
        <sz val="11"/>
        <color theme="1"/>
        <rFont val="Noto Sans CJK SC"/>
        <family val="2"/>
      </rPr>
      <t xml:space="preserve">億（富果同）；</t>
    </r>
    <r>
      <rPr>
        <sz val="11"/>
        <color theme="1"/>
        <rFont val="Calibri"/>
        <family val="2"/>
        <charset val="1"/>
      </rPr>
      <t xml:space="preserve">2Q26 135.75 </t>
    </r>
    <r>
      <rPr>
        <sz val="11"/>
        <color theme="1"/>
        <rFont val="Noto Sans CJK SC"/>
        <family val="2"/>
      </rPr>
      <t xml:space="preserve">億（大和、三立同）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</si>
  <si>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</si>
  <si>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</si>
  <si>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15.8%</t>
    </r>
    <r>
      <rPr>
        <sz val="11"/>
        <color theme="1"/>
        <rFont val="Noto Sans CJK SC"/>
        <family val="2"/>
      </rPr>
      <t xml:space="preserve">（三立同；富果摘要 </t>
    </r>
    <r>
      <rPr>
        <sz val="11"/>
        <color theme="1"/>
        <rFont val="Calibri"/>
        <family val="2"/>
        <charset val="1"/>
      </rPr>
      <t xml:space="preserve">16.8% </t>
    </r>
    <r>
      <rPr>
        <sz val="11"/>
        <color theme="1"/>
        <rFont val="Noto Sans CJK SC"/>
        <family val="2"/>
      </rPr>
      <t xml:space="preserve">與此不符，不採用）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</si>
  <si>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</si>
  <si>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FY2025 9.08%</t>
    </r>
    <r>
      <rPr>
        <sz val="11"/>
        <color theme="1"/>
        <rFont val="Noto Sans CJK SC"/>
        <family val="2"/>
      </rPr>
      <t xml:space="preserve">（凱基、美銀 </t>
    </r>
    <r>
      <rPr>
        <sz val="11"/>
        <color theme="1"/>
        <rFont val="Calibri"/>
        <family val="2"/>
        <charset val="1"/>
      </rPr>
      <t xml:space="preserve">9.1%</t>
    </r>
    <r>
      <rPr>
        <sz val="11"/>
        <color theme="1"/>
        <rFont val="Noto Sans CJK SC"/>
        <family val="2"/>
      </rPr>
      <t xml:space="preserve">）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</si>
  <si>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</si>
  <si>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</si>
  <si>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毛利 − 營業利益</t>
  </si>
  <si>
    <t xml:space="preserve">營業利益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</si>
  <si>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</si>
  <si>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FY2025 19.82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vocus </t>
    </r>
    <r>
      <rPr>
        <sz val="11"/>
        <color theme="1"/>
        <rFont val="Noto Sans CJK SC"/>
        <family val="2"/>
      </rPr>
      <t xml:space="preserve">同）；</t>
    </r>
    <r>
      <rPr>
        <sz val="11"/>
        <color theme="1"/>
        <rFont val="Calibri"/>
        <family val="2"/>
        <charset val="1"/>
      </rPr>
      <t xml:space="preserve">1Q26 13.52 </t>
    </r>
    <r>
      <rPr>
        <sz val="11"/>
        <color theme="1"/>
        <rFont val="Noto Sans CJK SC"/>
        <family val="2"/>
      </rPr>
      <t xml:space="preserve">億（富果同）</t>
    </r>
  </si>
  <si>
    <t xml:space="preserve">營業外淨額</t>
  </si>
  <si>
    <r>
      <rPr>
        <sz val="11"/>
        <color theme="1"/>
        <rFont val="Noto Sans CJK SC"/>
        <family val="2"/>
      </rPr>
      <t xml:space="preserve">稅前利益 − 營業利益；稅前利益由 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稅前利益率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營收推得（近似）</t>
    </r>
  </si>
  <si>
    <t xml:space="preserve">稅前利益</t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</si>
  <si>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</si>
  <si>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FY2025 19.47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表同）；</t>
    </r>
    <r>
      <rPr>
        <sz val="11"/>
        <color theme="1"/>
        <rFont val="Calibri"/>
        <family val="2"/>
        <charset val="1"/>
      </rPr>
      <t xml:space="preserve">2Q26 22.61 </t>
    </r>
    <r>
      <rPr>
        <sz val="11"/>
        <color theme="1"/>
        <rFont val="Noto Sans CJK SC"/>
        <family val="2"/>
      </rPr>
      <t xml:space="preserve">億（大和同）</t>
    </r>
  </si>
  <si>
    <t xml:space="preserve">所得稅</t>
  </si>
  <si>
    <t xml:space="preserve">加權股數（十億股）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</si>
  <si>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</si>
  <si>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（基本）</t>
    </r>
  </si>
  <si>
    <r>
      <rPr>
        <sz val="11"/>
        <color theme="1"/>
        <rFont val="Calibri"/>
        <family val="2"/>
        <charset val="1"/>
      </rPr>
      <t xml:space="preserve">FY2025 3.01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wantgoo </t>
    </r>
    <r>
      <rPr>
        <sz val="11"/>
        <color theme="1"/>
        <rFont val="Noto Sans CJK SC"/>
        <family val="2"/>
      </rPr>
      <t xml:space="preserve">同）；</t>
    </r>
    <r>
      <rPr>
        <sz val="11"/>
        <color theme="1"/>
        <rFont val="Calibri"/>
        <family val="2"/>
        <charset val="1"/>
      </rPr>
      <t xml:space="preserve">1Q26 2.03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winvest </t>
    </r>
    <r>
      <rPr>
        <sz val="11"/>
        <color theme="1"/>
        <rFont val="Noto Sans CJK SC"/>
        <family val="2"/>
      </rPr>
      <t xml:space="preserve">同）；</t>
    </r>
    <r>
      <rPr>
        <sz val="11"/>
        <color theme="1"/>
        <rFont val="Calibri"/>
        <family val="2"/>
        <charset val="1"/>
      </rPr>
      <t xml:space="preserve">2Q26 3.50</t>
    </r>
    <r>
      <rPr>
        <sz val="11"/>
        <color theme="1"/>
        <rFont val="Noto Sans CJK SC"/>
        <family val="2"/>
      </rPr>
      <t xml:space="preserve">（大和、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同）</t>
    </r>
  </si>
  <si>
    <t xml:space="preserve">折舊攤提（年度）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</si>
  <si>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</si>
  <si>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現金流量表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</si>
  <si>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2026-06 71.0 </t>
    </r>
    <r>
      <rPr>
        <sz val="11"/>
        <color theme="1"/>
        <rFont val="Noto Sans CJK SC"/>
        <family val="2"/>
      </rPr>
      <t xml:space="preserve">億</t>
    </r>
  </si>
  <si>
    <t xml:space="preserve">資本支出（年度）</t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</si>
  <si>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現金流量表；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：公司計畫約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</si>
  <si>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Noto Sans CJK SC"/>
        <family val="2"/>
      </rPr>
      <t xml:space="preserve">富果摘要稱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年實際 </t>
    </r>
    <r>
      <rPr>
        <sz val="11"/>
        <color theme="1"/>
        <rFont val="Calibri"/>
        <family val="2"/>
        <charset val="1"/>
      </rPr>
      <t xml:space="preserve">43.14 </t>
    </r>
    <r>
      <rPr>
        <sz val="11"/>
        <color theme="1"/>
        <rFont val="Noto Sans CJK SC"/>
        <family val="2"/>
      </rPr>
      <t xml:space="preserve">億（口徑可能含預付設備款；不採用）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</si>
  <si>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產品別（錨點營收 </t>
    </r>
    <r>
      <rPr>
        <b val="true"/>
        <sz val="11"/>
        <rFont val="Cambria"/>
        <family val="0"/>
        <charset val="1"/>
      </rPr>
      <t xml:space="preserve">× 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節占比）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</si>
  <si>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</t>
    </r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</si>
  <si>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載板</t>
    </r>
  </si>
  <si>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（一般電路板）</t>
    </r>
  </si>
  <si>
    <t xml:space="preserve">檢查（參考；校準未使用券商數字）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</si>
  <si>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 自算 − 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月累計 </t>
    </r>
    <r>
      <rPr>
        <sz val="11"/>
        <color theme="1"/>
        <rFont val="Calibri"/>
        <family val="2"/>
        <charset val="1"/>
      </rPr>
      <t xml:space="preserve">41.131 + 3Q26</t>
    </r>
    <r>
      <rPr>
        <sz val="11"/>
        <color theme="1"/>
        <rFont val="Noto Sans CJK SC"/>
        <family val="2"/>
      </rPr>
      <t xml:space="preserve">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</si>
  <si>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</si>
  <si>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FY2025→FY2026 </t>
    </r>
    <r>
      <rPr>
        <sz val="11"/>
        <color theme="1"/>
        <rFont val="Noto Sans CJK SC"/>
        <family val="2"/>
      </rPr>
      <t xml:space="preserve">現金毛利增量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營收增量（含漲價；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ft_abf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ft_oth </t>
    </r>
    <r>
      <rPr>
        <sz val="11"/>
        <color theme="1"/>
        <rFont val="Noto Sans CJK SC"/>
        <family val="2"/>
      </rPr>
      <t xml:space="preserve">的對照）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</si>
  <si>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17.27 − 1</t>
    </r>
  </si>
  <si>
    <r>
      <rPr>
        <sz val="11"/>
        <color theme="1"/>
        <rFont val="Calibri"/>
        <family val="2"/>
        <charset val="1"/>
      </rPr>
      <t xml:space="preserve">3Q26 EPS ÷ </t>
    </r>
    <r>
      <rPr>
        <sz val="11"/>
        <color theme="1"/>
        <rFont val="Noto Sans CJK SC"/>
        <family val="2"/>
      </rPr>
      <t xml:space="preserve">大和估 </t>
    </r>
    <r>
      <rPr>
        <sz val="11"/>
        <color theme="1"/>
        <rFont val="Calibri"/>
        <family val="2"/>
        <charset val="1"/>
      </rPr>
      <t xml:space="preserve">5.62 − 1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</si>
  <si>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營收年化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營收（漲價年度化 </t>
    </r>
    <r>
      <rPr>
        <sz val="11"/>
        <color theme="1"/>
        <rFont val="Calibri"/>
        <family val="2"/>
        <charset val="1"/>
      </rPr>
      <t xml:space="preserve">carry </t>
    </r>
    <r>
      <rPr>
        <sz val="11"/>
        <color theme="1"/>
        <rFont val="Noto Sans CJK SC"/>
        <family val="2"/>
      </rPr>
      <t xml:space="preserve">的對照）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</si>
  <si>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南電在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加速器載板的份額與每顆金額（口徑與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、欣興模型一致；情境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）。份額合計＝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ibiden/dist</t>
    </r>
    <r>
      <rPr>
        <sz val="11"/>
        <color theme="1"/>
        <rFont val="Noto Sans CJK SC"/>
        <family val="2"/>
      </rPr>
      <t xml:space="preserve">）＋欣興（</t>
    </r>
    <r>
      <rPr>
        <sz val="11"/>
        <color theme="1"/>
        <rFont val="Calibri"/>
        <family val="2"/>
        <charset val="1"/>
      </rPr>
      <t xml:space="preserve">unimicron/dist</t>
    </r>
    <r>
      <rPr>
        <sz val="11"/>
        <color theme="1"/>
        <rFont val="Noto Sans CJK SC"/>
        <family val="2"/>
      </rPr>
      <t xml:space="preserve">）＋南電，其餘為三星電機、景碩、</t>
    </r>
    <r>
      <rPr>
        <sz val="11"/>
        <color theme="1"/>
        <rFont val="Calibri"/>
        <family val="2"/>
        <charset val="1"/>
      </rPr>
      <t xml:space="preserve">AT&amp;S </t>
    </r>
    <r>
      <rPr>
        <sz val="11"/>
        <color theme="1"/>
        <rFont val="Noto Sans CJK SC"/>
        <family val="2"/>
      </rPr>
      <t xml:space="preserve">等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</si>
  <si>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</si>
  <si>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</si>
  <si>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</si>
  <si>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</si>
  <si>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</si>
  <si>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</t>
    </r>
  </si>
  <si>
    <t xml:space="preserve">markets/network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</si>
  <si>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</si>
  <si>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加速器載板金額（全市場）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</si>
  <si>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頁同值（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面積層數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溢價）</t>
    </r>
  </si>
  <si>
    <r>
      <rPr>
        <sz val="11"/>
        <color theme="1"/>
        <rFont val="Noto Sans CJK SC"/>
        <family val="2"/>
      </rPr>
      <t xml:space="preserve">南電份額：</t>
    </r>
    <r>
      <rPr>
        <sz val="11"/>
        <color theme="1"/>
        <rFont val="Calibri"/>
        <family val="2"/>
        <charset val="1"/>
      </rPr>
      <t xml:space="preserve">NVIDIA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</si>
  <si>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份額：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70% × Ibiden </t>
    </r>
    <r>
      <rPr>
        <sz val="11"/>
        <color theme="1"/>
        <rFont val="Noto Sans CJK SC"/>
        <family val="2"/>
      </rPr>
      <t xml:space="preserve">份額相對值）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</si>
  <si>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</t>
    </r>
  </si>
  <si>
    <r>
      <rPr>
        <sz val="11"/>
        <color theme="1"/>
        <rFont val="Noto Sans CJK SC"/>
        <family val="2"/>
      </rPr>
      <t xml:space="preserve">欣興份額：</t>
    </r>
    <r>
      <rPr>
        <sz val="11"/>
        <color theme="1"/>
        <rFont val="Calibri"/>
        <family val="2"/>
        <charset val="1"/>
      </rPr>
      <t xml:space="preserve">NVIDIA</t>
    </r>
  </si>
  <si>
    <t xml:space="preserve">欣興模型</t>
  </si>
  <si>
    <r>
      <rPr>
        <sz val="11"/>
        <color theme="1"/>
        <rFont val="Noto Sans CJK SC"/>
        <family val="2"/>
      </rPr>
      <t xml:space="preserve">合計：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＋欣興＋南電（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</si>
  <si>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應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；其餘為三星電機等</t>
    </r>
  </si>
  <si>
    <r>
      <rPr>
        <sz val="11"/>
        <color theme="1"/>
        <rFont val="Noto Sans CJK SC"/>
        <family val="2"/>
      </rPr>
      <t xml:space="preserve">南電份額：非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（金額）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</si>
  <si>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份額：非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÷ v_ot</t>
    </r>
    <r>
      <rPr>
        <sz val="11"/>
        <color theme="1"/>
        <rFont val="Noto Sans CJK SC"/>
        <family val="2"/>
      </rPr>
      <t xml:space="preserve">）</t>
    </r>
  </si>
  <si>
    <t xml:space="preserve">與欣興模型同算法</t>
  </si>
  <si>
    <r>
      <rPr>
        <sz val="11"/>
        <color theme="1"/>
        <rFont val="Noto Sans CJK SC"/>
        <family val="2"/>
      </rPr>
      <t xml:space="preserve">欣興份額：非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（金額）</t>
    </r>
  </si>
  <si>
    <r>
      <rPr>
        <sz val="11"/>
        <color theme="1"/>
        <rFont val="Noto Sans CJK SC"/>
        <family val="2"/>
      </rPr>
      <t xml:space="preserve">合計：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＋欣興＋南電（非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</si>
  <si>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應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；其餘為三星電機、景碩、</t>
    </r>
    <r>
      <rPr>
        <sz val="11"/>
        <color theme="1"/>
        <rFont val="Calibri"/>
        <family val="2"/>
        <charset val="1"/>
      </rPr>
      <t xml:space="preserve">AT&amp;S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</si>
  <si>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加速器的南電營收</t>
    </r>
  </si>
  <si>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、欣興對照值見各自 </t>
    </r>
    <r>
      <rPr>
        <sz val="11"/>
        <color theme="1"/>
        <rFont val="Calibri"/>
        <family val="2"/>
        <charset val="1"/>
      </rPr>
      <t xml:space="preserve">dist Units </t>
    </r>
    <r>
      <rPr>
        <sz val="11"/>
        <color theme="1"/>
        <rFont val="Noto Sans CJK SC"/>
        <family val="2"/>
      </rPr>
      <t xml:space="preserve">頁</t>
    </r>
  </si>
  <si>
    <t xml:space="preserve">南電加速器載板營收</t>
  </si>
  <si>
    <t xml:space="preserve">US$M</t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</si>
  <si>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載板營收（含交換器等其他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</si>
  <si>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</si>
  <si>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 </t>
    </r>
    <r>
      <rPr>
        <sz val="11"/>
        <color theme="1"/>
        <rFont val="Noto Sans CJK SC"/>
        <family val="2"/>
      </rPr>
      <t xml:space="preserve">即每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</si>
  <si>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 37.59B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</si>
  <si>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基準，經橋接表；與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、欣興模型相同係數）</t>
    </r>
  </si>
  <si>
    <r>
      <rPr>
        <b val="true"/>
        <sz val="11"/>
        <rFont val="Noto Sans CJK SC"/>
        <family val="2"/>
      </rPr>
      <t xml:space="preserve">讀法：南電在 </t>
    </r>
    <r>
      <rPr>
        <b val="true"/>
        <sz val="11"/>
        <rFont val="Cambria"/>
        <family val="0"/>
        <charset val="1"/>
      </rPr>
      <t xml:space="preserve">GPU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加速器載板的份額小（個位數），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載板以網通交換器（</t>
    </r>
    <r>
      <rPr>
        <b val="true"/>
        <sz val="11"/>
        <rFont val="Cambria"/>
        <family val="0"/>
        <charset val="1"/>
      </rPr>
      <t xml:space="preserve">800G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1.6T </t>
    </r>
    <r>
      <rPr>
        <b val="true"/>
        <sz val="11"/>
        <rFont val="Noto Sans CJK SC"/>
        <family val="2"/>
      </rPr>
      <t xml:space="preserve">交換晶片）為主；加速器載板只占南電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載板一小部分，其餘為校準殘差（公司未揭露）。三家合計留給三星電機、景碩、</t>
    </r>
    <r>
      <rPr>
        <b val="true"/>
        <sz val="11"/>
        <rFont val="Cambria"/>
        <family val="0"/>
        <charset val="1"/>
      </rPr>
      <t xml:space="preserve">AT&amp;S</t>
    </r>
    <r>
      <rPr>
        <b val="true"/>
        <sz val="1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</si>
  <si>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南電損益（十億新台幣；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新台幣、基本；歸屬母公司）。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營收實績＋假設；三情境相同），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由驅動因子推導，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起為收斂法。三情境各一個完整推導區塊（本頁下方），頂端為摘要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</si>
  <si>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收斂法（上游顆數只到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</si>
  <si>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</si>
  <si>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</si>
  <si>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</si>
  <si>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</si>
  <si>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</si>
  <si>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</si>
  <si>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</si>
  <si>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</si>
  <si>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</si>
  <si>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</si>
  <si>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ABF </t>
    </r>
    <r>
      <rPr>
        <sz val="11"/>
        <color theme="1"/>
        <rFont val="Noto Sans CJK SC"/>
        <family val="2"/>
      </rPr>
      <t xml:space="preserve">載板</t>
    </r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</si>
  <si>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載板</t>
    </r>
  </si>
  <si>
    <r>
      <rPr>
        <sz val="11"/>
        <color theme="1"/>
        <rFont val="Calibri"/>
        <family val="2"/>
        <charset val="1"/>
      </rPr>
      <t xml:space="preserve">  ABF </t>
    </r>
    <r>
      <rPr>
        <sz val="11"/>
        <color theme="1"/>
        <rFont val="Noto Sans CJK SC"/>
        <family val="2"/>
      </rPr>
      <t xml:space="preserve">需求滿足率</t>
    </r>
  </si>
  <si>
    <t xml:space="preserve">  折舊攤提</t>
  </si>
  <si>
    <t xml:space="preserve">營業利益率</t>
  </si>
  <si>
    <t xml:space="preserve">  淨利率</t>
  </si>
  <si>
    <t xml:space="preserve">EPS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</si>
  <si>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</si>
  <si>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</si>
  <si>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</si>
  <si>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</si>
  <si>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</si>
  <si>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三情境：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</si>
  <si>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應 </t>
    </r>
    <r>
      <rPr>
        <sz val="11"/>
        <color theme="1"/>
        <rFont val="Calibri"/>
        <family val="2"/>
        <charset val="1"/>
      </rPr>
      <t xml:space="preserve">&gt; 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</si>
  <si>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（基準）；</t>
    </r>
    <r>
      <rPr>
        <b val="true"/>
        <sz val="11"/>
        <rFont val="Cambria"/>
        <family val="0"/>
        <charset val="1"/>
      </rPr>
      <t xml:space="preserve">BT </t>
    </r>
    <r>
      <rPr>
        <b val="true"/>
        <sz val="11"/>
        <rFont val="Noto Sans CJK SC"/>
        <family val="2"/>
      </rPr>
      <t xml:space="preserve">年增 </t>
    </r>
    <r>
      <rPr>
        <b val="true"/>
        <sz val="11"/>
        <rFont val="Cambria"/>
        <family val="0"/>
        <charset val="1"/>
      </rPr>
      <t xml:space="preserve">30%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5%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</si>
  <si>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加速器載板（口徑與 </t>
    </r>
    <r>
      <rPr>
        <b val="true"/>
        <sz val="11"/>
        <rFont val="Cambria"/>
        <family val="0"/>
        <charset val="1"/>
      </rPr>
      <t xml:space="preserve">Ibiden</t>
    </r>
    <r>
      <rPr>
        <b val="true"/>
        <sz val="11"/>
        <rFont val="Noto Sans CJK SC"/>
        <family val="2"/>
      </rPr>
      <t xml:space="preserve">、欣興一致；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</si>
  <si>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情境係數</t>
    </r>
  </si>
  <si>
    <r>
      <rPr>
        <sz val="11"/>
        <color theme="1"/>
        <rFont val="Calibri"/>
        <family val="2"/>
        <charset val="1"/>
      </rPr>
      <t xml:space="preserve">markets/network 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Hopper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</si>
  <si>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情境係數</t>
    </r>
  </si>
  <si>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</si>
  <si>
    <r>
      <rPr>
        <sz val="11"/>
        <color theme="1"/>
        <rFont val="Noto Sans CJK SC"/>
        <family val="2"/>
      </rPr>
      <t xml:space="preserve">每顆載板面積與層數指數（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</si>
  <si>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g_asp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</si>
  <si>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價格溢價指數（全市場；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</si>
  <si>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pp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</si>
  <si>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南電漲價年度化（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基期；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</si>
  <si>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carry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</si>
  <si>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加速器載板金額（全市場）＝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面積層數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溢價</t>
    </r>
  </si>
  <si>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</si>
  <si>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金額取自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頁（權威）</t>
    </r>
  </si>
  <si>
    <r>
      <rPr>
        <sz val="11"/>
        <color theme="1"/>
        <rFont val="Noto Sans CJK SC"/>
        <family val="2"/>
      </rPr>
      <t xml:space="preserve">南電份額：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</t>
    </r>
  </si>
  <si>
    <r>
      <rPr>
        <sz val="11"/>
        <color theme="1"/>
        <rFont val="Noto Sans CJK SC"/>
        <family val="2"/>
      </rPr>
      <t xml:space="preserve">南電份額：非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</si>
  <si>
    <r>
      <rPr>
        <sz val="11"/>
        <color theme="1"/>
        <rFont val="Noto Sans CJK SC"/>
        <family val="2"/>
      </rPr>
      <t xml:space="preserve">南電加速器載板營收 ＝（</t>
    </r>
    <r>
      <rPr>
        <sz val="11"/>
        <color theme="1"/>
        <rFont val="Calibri"/>
        <family val="2"/>
        <charset val="1"/>
      </rPr>
      <t xml:space="preserve">NVIDIA ×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 ＋ 非 </t>
    </r>
    <r>
      <rPr>
        <sz val="11"/>
        <color theme="1"/>
        <rFont val="Calibri"/>
        <family val="2"/>
        <charset val="1"/>
      </rPr>
      <t xml:space="preserve">NVIDIA ×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× v_ot × </t>
    </r>
    <r>
      <rPr>
        <sz val="11"/>
        <color theme="1"/>
        <rFont val="Noto Sans CJK SC"/>
        <family val="2"/>
      </rPr>
      <t xml:space="preserve">份額）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漲價年度化</t>
    </r>
  </si>
  <si>
    <t xml:space="preserve">南電加速器載板營收（新台幣）</t>
  </si>
  <si>
    <r>
      <rPr>
        <b val="true"/>
        <sz val="11"/>
        <rFont val="Cambria"/>
        <family val="0"/>
        <charset val="1"/>
      </rPr>
      <t xml:space="preserve">B. ABF </t>
    </r>
    <r>
      <rPr>
        <b val="true"/>
        <sz val="11"/>
        <rFont val="Noto Sans CJK SC"/>
        <family val="2"/>
      </rPr>
      <t xml:space="preserve">需求與產能（營收＝</t>
    </r>
    <r>
      <rPr>
        <b val="true"/>
        <sz val="11"/>
        <rFont val="Cambria"/>
        <family val="0"/>
        <charset val="1"/>
      </rPr>
      <t xml:space="preserve">MIN</t>
    </r>
    <r>
      <rPr>
        <b val="true"/>
        <sz val="11"/>
        <rFont val="Noto Sans CJK SC"/>
        <family val="2"/>
      </rPr>
      <t xml:space="preserve">（需求</t>
    </r>
    <r>
      <rPr>
        <b val="true"/>
        <sz val="11"/>
        <rFont val="Cambria"/>
        <family val="0"/>
        <charset val="1"/>
      </rPr>
      <t xml:space="preserve">, </t>
    </r>
    <r>
      <rPr>
        <b val="true"/>
        <sz val="11"/>
        <rFont val="Noto Sans CJK SC"/>
        <family val="2"/>
      </rPr>
      <t xml:space="preserve">產能））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</si>
  <si>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載板需求（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ABF × AI </t>
    </r>
    <r>
      <rPr>
        <sz val="11"/>
        <color theme="1"/>
        <rFont val="Noto Sans CJK SC"/>
        <family val="2"/>
      </rPr>
      <t xml:space="preserve">占比）</t>
    </r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</si>
  <si>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與資料中心（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交換器）約占 </t>
    </r>
    <r>
      <rPr>
        <sz val="11"/>
        <color theme="1"/>
        <rFont val="Calibri"/>
        <family val="2"/>
        <charset val="1"/>
      </rPr>
      <t xml:space="preserve">ABF 60%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</si>
  <si>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載板需求（交換器為主，另含伺服器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</si>
  <si>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＝校準殘差（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）；之後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交換晶片與交換器市場成長 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Noto Sans CJK SC"/>
        <family val="2"/>
      </rPr>
      <t xml:space="preserve">彈性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情境係數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溢價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</si>
  <si>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ABF </t>
    </r>
    <r>
      <rPr>
        <sz val="11"/>
        <color theme="1"/>
        <rFont val="Noto Sans CJK SC"/>
        <family val="2"/>
      </rPr>
      <t xml:space="preserve">需求（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、一般伺服器、車用）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</si>
  <si>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需求合計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</si>
  <si>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產能上限（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溢價）</t>
    </r>
  </si>
  <si>
    <r>
      <rPr>
        <sz val="11"/>
        <color theme="1"/>
        <rFont val="Calibri"/>
        <family val="2"/>
        <charset val="1"/>
      </rPr>
      <t xml:space="preserve">1H26 ABF </t>
    </r>
    <r>
      <rPr>
        <sz val="11"/>
        <color theme="1"/>
        <rFont val="Noto Sans CJK SC"/>
        <family val="2"/>
      </rPr>
      <t xml:space="preserve">稼動率約 </t>
    </r>
    <r>
      <rPr>
        <sz val="11"/>
        <color theme="1"/>
        <rFont val="Calibri"/>
        <family val="2"/>
        <charset val="1"/>
      </rPr>
      <t xml:space="preserve">80–85%</t>
    </r>
    <r>
      <rPr>
        <sz val="11"/>
        <color theme="1"/>
        <rFont val="Noto Sans CJK SC"/>
        <family val="2"/>
      </rPr>
      <t xml:space="preserve">（昆山約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），以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營收為產能基準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</si>
  <si>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載板營收 ＝ </t>
    </r>
    <r>
      <rPr>
        <sz val="11"/>
        <color theme="1"/>
        <rFont val="Calibri"/>
        <family val="2"/>
        <charset val="1"/>
      </rPr>
      <t xml:space="preserve">MIN</t>
    </r>
    <r>
      <rPr>
        <sz val="11"/>
        <color theme="1"/>
        <rFont val="Noto Sans CJK SC"/>
        <family val="2"/>
      </rPr>
      <t xml:space="preserve">（需求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產能）</t>
    </r>
  </si>
  <si>
    <r>
      <rPr>
        <sz val="11"/>
        <color theme="1"/>
        <rFont val="Noto Sans CJK SC"/>
        <family val="2"/>
      </rPr>
      <t xml:space="preserve">需求滿足率（營收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需求；</t>
    </r>
    <r>
      <rPr>
        <sz val="11"/>
        <color theme="1"/>
        <rFont val="Calibri"/>
        <family val="2"/>
        <charset val="1"/>
      </rPr>
      <t xml:space="preserve">&lt; 100% </t>
    </r>
    <r>
      <rPr>
        <sz val="11"/>
        <color theme="1"/>
        <rFont val="Noto Sans CJK SC"/>
        <family val="2"/>
      </rPr>
      <t xml:space="preserve">表示產能受限）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</si>
  <si>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載板營收（加速器＋其他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，乘滿足率）</t>
    </r>
  </si>
  <si>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載板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</si>
  <si>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其他產品與合計</t>
    </r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</si>
  <si>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載板（情境別年增；公司特有）</t>
    </r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</si>
  <si>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成長以漲價為主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</si>
  <si>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</si>
  <si>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r>
      <rPr>
        <sz val="11"/>
        <color theme="1"/>
        <rFont val="Noto Sans CJK SC"/>
        <family val="2"/>
      </rPr>
      <t xml:space="preserve">檢查：分部合計（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BT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）− 合併營收（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錨點起）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</si>
  <si>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</si>
  <si>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ABF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</si>
  <si>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</si>
  <si>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網通 </t>
    </r>
    <r>
      <rPr>
        <sz val="11"/>
        <color theme="1"/>
        <rFont val="Calibri"/>
        <family val="2"/>
        <charset val="1"/>
      </rPr>
      <t xml:space="preserve">49%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HPC 16%</t>
    </r>
    <r>
      <rPr>
        <sz val="11"/>
        <color theme="1"/>
        <rFont val="Noto Sans CJK SC"/>
        <family val="2"/>
      </rPr>
      <t xml:space="preserve">（應用別口徑不同）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</si>
  <si>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折舊、毛利與損益</t>
    </r>
  </si>
  <si>
    <t xml:space="preserve">資本支出</t>
  </si>
  <si>
    <r>
      <rPr>
        <sz val="11"/>
        <color theme="1"/>
        <rFont val="Noto Sans CJK SC"/>
        <family val="2"/>
      </rPr>
      <t xml:space="preserve">折舊攤提 ＝ 前一年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1 − 1</t>
    </r>
    <r>
      <rPr>
        <sz val="11"/>
        <color theme="1"/>
        <rFont val="Noto Sans CJK SC"/>
        <family val="2"/>
      </rPr>
      <t xml:space="preserve">／年限）＋ 前一年資本支出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年限</t>
    </r>
  </si>
  <si>
    <t xml:space="preserve">新產能前一年投入、當年開始折舊（近似）</t>
  </si>
  <si>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</si>
  <si>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漲價溢價營收（相對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價格；全數落在毛利）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</si>
  <si>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1 − 1</t>
    </r>
    <r>
      <rPr>
        <sz val="11"/>
        <color theme="1"/>
        <rFont val="Noto Sans CJK SC"/>
        <family val="2"/>
      </rPr>
      <t xml:space="preserve">／價格指數）</t>
    </r>
  </si>
  <si>
    <r>
      <rPr>
        <sz val="11"/>
        <color theme="1"/>
        <rFont val="Noto Sans CJK SC"/>
        <family val="2"/>
      </rPr>
      <t xml:space="preserve">毛利 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現金毛利增量 ＋ 其他產品現金毛利增量 ＋ 溢價 − 折舊增量</t>
    </r>
  </si>
  <si>
    <t xml:space="preserve">流通率為現金毛利口徑；折舊另計</t>
  </si>
  <si>
    <t xml:space="preserve">加權股數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</si>
  <si>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</si>
  <si>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</si>
  <si>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</si>
  <si>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起：資本支出率由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折舊率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^</t>
    </r>
    <r>
      <rPr>
        <sz val="11"/>
        <color theme="1"/>
        <rFont val="Noto Sans CJK SC"/>
        <family val="2"/>
      </rPr>
      <t xml:space="preserve">（年限／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）（穩態更新）；折舊率維持 </t>
    </r>
    <r>
      <rPr>
        <sz val="11"/>
        <color theme="1"/>
        <rFont val="Calibri"/>
        <family val="2"/>
        <charset val="1"/>
      </rPr>
      <t xml:space="preserve">FY2029</t>
    </r>
  </si>
  <si>
    <t xml:space="preserve">股東現金流 ＝ 淨利 ＋ 折舊 − 資本支出</t>
  </si>
  <si>
    <t xml:space="preserve">不含營運資金變動</t>
  </si>
  <si>
    <t xml:space="preserve">每股股東現金流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</si>
  <si>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 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）；</t>
    </r>
    <r>
      <rPr>
        <b val="true"/>
        <sz val="11"/>
        <rFont val="Cambria"/>
        <family val="0"/>
        <charset val="1"/>
      </rPr>
      <t xml:space="preserve">BT </t>
    </r>
    <r>
      <rPr>
        <b val="true"/>
        <sz val="11"/>
        <rFont val="Noto Sans CJK SC"/>
        <family val="2"/>
      </rPr>
      <t xml:space="preserve">年增 </t>
    </r>
    <r>
      <rPr>
        <b val="true"/>
        <sz val="11"/>
        <rFont val="Cambria"/>
        <family val="0"/>
        <charset val="1"/>
      </rPr>
      <t xml:space="preserve">25%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3%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</si>
  <si>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CY2028–29 ×0.6</t>
    </r>
    <r>
      <rPr>
        <b val="true"/>
        <sz val="11"/>
        <rFont val="Noto Sans CJK SC"/>
        <family val="2"/>
      </rPr>
      <t xml:space="preserve">）；</t>
    </r>
    <r>
      <rPr>
        <b val="true"/>
        <sz val="11"/>
        <rFont val="Cambria"/>
        <family val="0"/>
        <charset val="1"/>
      </rPr>
      <t xml:space="preserve">BT </t>
    </r>
    <r>
      <rPr>
        <b val="true"/>
        <sz val="11"/>
        <rFont val="Noto Sans CJK SC"/>
        <family val="2"/>
      </rPr>
      <t xml:space="preserve">年增 </t>
    </r>
    <r>
      <rPr>
        <b val="true"/>
        <sz val="11"/>
        <rFont val="Cambria"/>
        <family val="0"/>
        <charset val="1"/>
      </rPr>
      <t xml:space="preserve">15%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0%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</si>
  <si>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</t>
    </r>
  </si>
  <si>
    <r>
      <rPr>
        <sz val="11"/>
        <color theme="1"/>
        <rFont val="Noto Sans CJK SC"/>
        <family val="2"/>
      </rPr>
      <t xml:space="preserve">循環位置：南電不是設備股，不套設備市場見頂年；以本模型營收最高的會計年度為見頂年（比照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</si>
  <si>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</si>
  <si>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</si>
  <si>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</si>
  <si>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</si>
  <si>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</si>
  <si>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</si>
  <si>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</si>
  <si>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</si>
  <si>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</si>
  <si>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</si>
  <si>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</si>
  <si>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</si>
  <si>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</si>
  <si>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</si>
  <si>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方法：南電模型有資本支出與折舊，改用每股（淨利＋折舊－資本支出）（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頁「每股股東現金流」；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起資本支出率收斂到穩態更新）</t>
    </r>
  </si>
  <si>
    <r>
      <rPr>
        <sz val="11"/>
        <color theme="1"/>
        <rFont val="Noto Sans CJK SC"/>
        <family val="2"/>
      </rPr>
      <t xml:space="preserve">  參考：再投資率（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</si>
  <si>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）；本模型不採用，只作對照（第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</si>
  <si>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</si>
  <si>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</t>
    </r>
    <r>
      <rPr>
        <sz val="11"/>
        <color theme="1"/>
        <rFont val="Calibri"/>
        <family val="2"/>
        <charset val="1"/>
      </rPr>
      <t xml:space="preserve">&lt; 0 </t>
    </r>
    <r>
      <rPr>
        <sz val="11"/>
        <color theme="1"/>
        <rFont val="Noto Sans CJK SC"/>
        <family val="2"/>
      </rPr>
      <t xml:space="preserve">時取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（股東有限責任）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</si>
  <si>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</si>
  <si>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</si>
  <si>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</si>
  <si>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  參考：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）法的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</si>
  <si>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Noto Sans CJK SC"/>
        <family val="2"/>
      </rPr>
      <t xml:space="preserve">近三年 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年接近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）→ 再投資率約 </t>
    </r>
    <r>
      <rPr>
        <sz val="11"/>
        <color theme="1"/>
        <rFont val="Calibri"/>
        <family val="2"/>
        <charset val="1"/>
      </rPr>
      <t xml:space="preserve">74%</t>
    </r>
    <r>
      <rPr>
        <sz val="11"/>
        <color theme="1"/>
        <rFont val="Noto Sans CJK SC"/>
        <family val="2"/>
      </rPr>
      <t xml:space="preserve">；不進目標價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</si>
  <si>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</si>
  <si>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</si>
  <si>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</si>
  <si>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</si>
  <si>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</si>
  <si>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</si>
  <si>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欣興（</t>
    </r>
    <r>
      <rPr>
        <sz val="11"/>
        <color theme="1"/>
        <rFont val="Calibri"/>
        <family val="2"/>
        <charset val="1"/>
      </rPr>
      <t xml:space="preserve">Unimicron</t>
    </r>
    <r>
      <rPr>
        <sz val="11"/>
        <color theme="1"/>
        <rFont val="Noto Sans CJK SC"/>
        <family val="2"/>
      </rPr>
      <t xml:space="preserve">）</t>
    </r>
  </si>
  <si>
    <t xml:space="preserve">3037.TW</t>
  </si>
  <si>
    <t xml:space="preserve">2026-10-22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</si>
  <si>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（分析師共識；價格日期如左；與欣興、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模型同一組數字）</t>
    </r>
  </si>
  <si>
    <r>
      <rPr>
        <sz val="11"/>
        <color theme="1"/>
        <rFont val="Noto Sans CJK SC"/>
        <family val="2"/>
      </rPr>
      <t xml:space="preserve">景碩（</t>
    </r>
    <r>
      <rPr>
        <sz val="11"/>
        <color theme="1"/>
        <rFont val="Calibri"/>
        <family val="2"/>
        <charset val="1"/>
      </rPr>
      <t xml:space="preserve">Kinsus</t>
    </r>
    <r>
      <rPr>
        <sz val="11"/>
        <color theme="1"/>
        <rFont val="Noto Sans CJK SC"/>
        <family val="2"/>
      </rPr>
      <t xml:space="preserve">）</t>
    </r>
  </si>
  <si>
    <t xml:space="preserve">3189.TW</t>
  </si>
  <si>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（揖斐電）</t>
    </r>
  </si>
  <si>
    <t xml:space="preserve">4062.T</t>
  </si>
  <si>
    <t xml:space="preserve">2026-10-16</t>
  </si>
  <si>
    <r>
      <rPr>
        <sz val="11"/>
        <color theme="1"/>
        <rFont val="Noto Sans CJK SC"/>
        <family val="2"/>
      </rPr>
      <t xml:space="preserve">三星電機（</t>
    </r>
    <r>
      <rPr>
        <sz val="11"/>
        <color theme="1"/>
        <rFont val="Calibri"/>
        <family val="2"/>
        <charset val="1"/>
      </rPr>
      <t xml:space="preserve">Samsung Electro-Mechanics</t>
    </r>
    <r>
      <rPr>
        <sz val="11"/>
        <color theme="1"/>
        <rFont val="Noto Sans CJK SC"/>
        <family val="2"/>
      </rPr>
      <t xml:space="preserve">）</t>
    </r>
  </si>
  <si>
    <t xml:space="preserve">009150.KS</t>
  </si>
  <si>
    <t xml:space="preserve">2026-08-28</t>
  </si>
  <si>
    <t xml:space="preserve">AT&amp;S</t>
  </si>
  <si>
    <t xml:space="preserve">ATS.VI</t>
  </si>
  <si>
    <t xml:space="preserve">2026-10-23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</si>
  <si>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</si>
  <si>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載板同業：欣興、景碩、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（無中國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股）；三星電機價格日期較舊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</si>
  <si>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</si>
  <si>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</si>
  <si>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</si>
  <si>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</si>
  <si>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</si>
  <si>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</si>
  <si>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</si>
  <si>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</si>
  <si>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</si>
  <si>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</si>
  <si>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1,651.31</t>
    </r>
    <r>
      <rPr>
        <sz val="11"/>
        <color theme="1"/>
        <rFont val="Noto Sans CJK SC"/>
        <family val="2"/>
      </rPr>
      <t xml:space="preserve">（頁面價格日期 </t>
    </r>
    <r>
      <rPr>
        <sz val="11"/>
        <color theme="1"/>
        <rFont val="Calibri"/>
        <family val="2"/>
        <charset val="1"/>
      </rPr>
      <t xml:space="preserve">2026-09-07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月美銀 </t>
    </r>
    <r>
      <rPr>
        <sz val="11"/>
        <color theme="1"/>
        <rFont val="Calibri"/>
        <family val="2"/>
        <charset val="1"/>
      </rPr>
      <t xml:space="preserve">2,000</t>
    </r>
    <r>
      <rPr>
        <sz val="11"/>
        <color theme="1"/>
        <rFont val="Noto Sans CJK SC"/>
        <family val="2"/>
      </rPr>
      <t xml:space="preserve">、大和 </t>
    </r>
    <r>
      <rPr>
        <sz val="11"/>
        <color theme="1"/>
        <rFont val="Calibri"/>
        <family val="2"/>
        <charset val="1"/>
      </rPr>
      <t xml:space="preserve">2,460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</si>
  <si>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</si>
  <si>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</si>
  <si>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</si>
  <si>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</si>
  <si>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＝頁面價格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</si>
  <si>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</si>
  <si>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</si>
  <si>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</si>
  <si>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</si>
  <si>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2019–2025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節兩來源平均，</t>
    </r>
    <r>
      <rPr>
        <sz val="11"/>
        <color theme="1"/>
        <rFont val="Calibri"/>
        <family val="2"/>
        <charset val="1"/>
      </rPr>
      <t xml:space="preserve">2016–2018 </t>
    </r>
    <r>
      <rPr>
        <sz val="11"/>
        <color theme="1"/>
        <rFont val="Noto Sans CJK SC"/>
        <family val="2"/>
      </rPr>
      <t xml:space="preserve">虧損不計）的分位（超出區間時記 </t>
    </r>
    <r>
      <rPr>
        <sz val="11"/>
        <color theme="1"/>
        <rFont val="Calibri"/>
        <family val="2"/>
        <charset val="1"/>
      </rPr>
      <t xml:space="preserve">0%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</si>
  <si>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</si>
  <si>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：股東現金流＝每股（淨利＋折舊－資本支出），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明確期＋永續，情境價值 </t>
    </r>
    <r>
      <rPr>
        <sz val="11"/>
        <color theme="1"/>
        <rFont val="Calibri"/>
        <family val="2"/>
        <charset val="1"/>
      </rPr>
      <t xml:space="preserve">&lt; 0 </t>
    </r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；南電資本支出低（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億）、折舊約 </t>
    </r>
    <r>
      <rPr>
        <sz val="11"/>
        <color theme="1"/>
        <rFont val="Calibri"/>
        <family val="2"/>
        <charset val="1"/>
      </rPr>
      <t xml:space="preserve">70 </t>
    </r>
    <r>
      <rPr>
        <sz val="11"/>
        <color theme="1"/>
        <rFont val="Noto Sans CJK SC"/>
        <family val="2"/>
      </rPr>
      <t xml:space="preserve">億，現金流高於淨利；新廠資本支出未定，若擴產加速，現金流偏高估；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溢價沿用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持平、之後回落），比券商保守。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：欣興、景碩、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、三星電機、</t>
    </r>
    <r>
      <rPr>
        <sz val="11"/>
        <color theme="1"/>
        <rFont val="Calibri"/>
        <family val="2"/>
        <charset val="1"/>
      </rPr>
      <t xml:space="preserve">AT&amp;S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中位數（無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股）；同業同處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短缺溢價期，倍數偏高。情境對應：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），皆讀 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同字母係數；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最低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</si>
  <si>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</si>
  <si>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</si>
  <si>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</si>
  <si>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</si>
  <si>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</si>
  <si>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</si>
  <si>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</si>
  <si>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</si>
  <si>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情境差只來自 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年增（顆數係數從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</si>
  <si>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</si>
  <si>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</si>
  <si>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</si>
  <si>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</si>
  <si>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，價格日期 </t>
    </r>
    <r>
      <rPr>
        <sz val="11"/>
        <color theme="1"/>
        <rFont val="Calibri"/>
        <family val="2"/>
        <charset val="1"/>
      </rPr>
      <t xml:space="preserve">09-07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</si>
  <si>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</si>
  <si>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</si>
  <si>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</si>
  <si>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</si>
  <si>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</si>
  <si>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</si>
  <si>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</si>
  <si>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</si>
  <si>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</si>
  <si>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</si>
  <si>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</si>
  <si>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</si>
  <si>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</si>
  <si>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</si>
  <si>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</si>
  <si>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</si>
  <si>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</si>
  <si>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</si>
  <si>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</si>
  <si>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</si>
  <si>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。所需倍數愈高，現價愈依賴「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漲價延續、交換器載板份額守住」。本版未做先驗，無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</si>
  <si>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年底；兩來源平均，分位排名用；</t>
    </r>
    <r>
      <rPr>
        <b val="true"/>
        <sz val="11"/>
        <rFont val="Cambria"/>
        <family val="0"/>
        <charset val="1"/>
      </rPr>
      <t xml:space="preserve">2016–2018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為負，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無意義，不計）</t>
    </r>
  </si>
  <si>
    <t xml:space="preserve">年底</t>
  </si>
  <si>
    <r>
      <rPr>
        <b val="true"/>
        <sz val="11"/>
        <rFont val="Noto Sans CJK SC"/>
        <family val="2"/>
      </rPr>
      <t xml:space="preserve">兩來源平均 </t>
    </r>
    <r>
      <rPr>
        <b val="true"/>
        <sz val="11"/>
        <rFont val="Cambria"/>
        <family val="0"/>
        <charset val="1"/>
      </rPr>
      <t xml:space="preserve">P/E</t>
    </r>
  </si>
  <si>
    <t xml:space="preserve">stockanalysis</t>
  </si>
  <si>
    <t xml:space="preserve">自算</t>
  </si>
  <si>
    <t xml:space="preserve">2016</t>
  </si>
  <si>
    <r>
      <rPr>
        <sz val="11"/>
        <color theme="1"/>
        <rFont val="Noto Sans CJK SC"/>
        <family val="2"/>
      </rPr>
      <t xml:space="preserve">不計（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為負，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無意義）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</si>
  <si>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</si>
  <si>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</si>
  <si>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</si>
  <si>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</si>
  <si>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</si>
  <si>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</si>
  <si>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</si>
  <si>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</si>
  <si>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</si>
  <si>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年數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</si>
  <si>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</si>
  <si>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依循環位置取分位，兩個來源分別取分位再平均。南電的落後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與盈餘反向：盈餘低谷年（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P/E 96–414x</t>
    </r>
    <r>
      <rPr>
        <sz val="11"/>
        <color theme="1"/>
        <rFont val="Noto Sans CJK SC"/>
        <family val="2"/>
      </rPr>
      <t xml:space="preserve">，高峰年（</t>
    </r>
    <r>
      <rPr>
        <sz val="11"/>
        <color theme="1"/>
        <rFont val="Calibri"/>
        <family val="2"/>
        <charset val="1"/>
      </rPr>
      <t xml:space="preserve">2022</t>
    </r>
    <r>
      <rPr>
        <sz val="11"/>
        <color theme="1"/>
        <rFont val="Noto Sans CJK SC"/>
        <family val="2"/>
      </rPr>
      <t xml:space="preserve">）約 </t>
    </r>
    <r>
      <rPr>
        <sz val="11"/>
        <color theme="1"/>
        <rFont val="Calibri"/>
        <family val="2"/>
        <charset val="1"/>
      </rPr>
      <t xml:space="preserve">8x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2016–2018 </t>
    </r>
    <r>
      <rPr>
        <sz val="11"/>
        <color theme="1"/>
        <rFont val="Noto Sans CJK SC"/>
        <family val="2"/>
      </rPr>
      <t xml:space="preserve">年虧損不計，十年多為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載板需求前的循環，套用在 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時偏誤方向不明確。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</si>
  <si>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</si>
  <si>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（年度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</si>
  <si>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自算（</t>
    </r>
    <r>
      <rPr>
        <b val="true"/>
        <sz val="11"/>
        <rFont val="Cambria"/>
        <family val="0"/>
        <charset val="1"/>
      </rPr>
      <t xml:space="preserve">digrin 12 </t>
    </r>
    <r>
      <rPr>
        <b val="true"/>
        <sz val="11"/>
        <rFont val="Noto Sans CJK SC"/>
        <family val="2"/>
      </rPr>
      <t xml:space="preserve">月未調整股價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年度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</si>
  <si>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</si>
  <si>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（年度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2021–2025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年）；自算（</t>
    </r>
    <r>
      <rPr>
        <sz val="11"/>
        <color theme="1"/>
        <rFont val="Calibri"/>
        <family val="2"/>
        <charset val="1"/>
      </rPr>
      <t xml:space="preserve">digrin 12 </t>
    </r>
    <r>
      <rPr>
        <sz val="11"/>
        <color theme="1"/>
        <rFont val="Noto Sans CJK SC"/>
        <family val="2"/>
      </rPr>
      <t xml:space="preserve">月未調整股價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（價格為月資料的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月值；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取自 </t>
    </r>
    <r>
      <rPr>
        <sz val="11"/>
        <color theme="1"/>
        <rFont val="Calibri"/>
        <family val="2"/>
        <charset val="1"/>
      </rPr>
      <t xml:space="preserve">wantgoo </t>
    </r>
    <r>
      <rPr>
        <sz val="11"/>
        <color theme="1"/>
        <rFont val="Noto Sans CJK SC"/>
        <family val="2"/>
      </rPr>
      <t xml:space="preserve">歷年股利表；</t>
    </r>
    <r>
      <rPr>
        <sz val="11"/>
        <color theme="1"/>
        <rFont val="Calibri"/>
        <family val="2"/>
        <charset val="1"/>
      </rPr>
      <t xml:space="preserve">2016–2018 EPS </t>
    </r>
    <r>
      <rPr>
        <sz val="11"/>
        <color theme="1"/>
        <rFont val="Noto Sans CJK SC"/>
        <family val="2"/>
      </rPr>
      <t xml:space="preserve">為負不計，</t>
    </r>
    <r>
      <rPr>
        <sz val="11"/>
        <color theme="1"/>
        <rFont val="Calibri"/>
        <family val="2"/>
        <charset val="1"/>
      </rPr>
      <t xml:space="preserve">2019–2025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</si>
  <si>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</si>
  <si>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</si>
  <si>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</si>
  <si>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</si>
  <si>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</si>
  <si>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</si>
  <si>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</si>
  <si>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</si>
  <si>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</si>
  <si>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</si>
  <si>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</si>
  <si>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</si>
  <si>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</si>
  <si>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</si>
  <si>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</si>
  <si>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</si>
  <si>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</si>
  <si>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</si>
  <si>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</si>
  <si>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</si>
  <si>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</si>
  <si>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</si>
  <si>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</si>
  <si>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</si>
  <si>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</si>
  <si>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以「上檔空間：加權目標價」（第 </t>
    </r>
    <r>
      <rPr>
        <sz val="11"/>
        <color theme="1"/>
        <rFont val="Calibri"/>
        <family val="2"/>
        <charset val="1"/>
      </rPr>
      <t xml:space="preserve">42 </t>
    </r>
    <r>
      <rPr>
        <sz val="11"/>
        <color theme="1"/>
        <rFont val="Noto Sans CJK SC"/>
        <family val="2"/>
      </rPr>
      <t xml:space="preserve">列）分六級（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</si>
  <si>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</si>
  <si>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強力放空（剛好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為中立、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為買進、−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為中立、−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為放空）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</si>
  <si>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</si>
  <si>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</si>
  <si>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</si>
  <si>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</si>
  <si>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</si>
  <si>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</si>
  <si>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</si>
  <si>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</si>
  <si>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</si>
  <si>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</si>
  <si>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</si>
  <si>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</si>
  <si>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</si>
  <si>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</si>
  <si>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</si>
  <si>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</si>
  <si>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</si>
  <si>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南電</t>
  </si>
  <si>
    <t xml:space="preserve">8046.TW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</si>
  <si>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</si>
  <si>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8046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</si>
  <si>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</si>
  <si>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3037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</si>
  <si>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3189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</si>
  <si>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4062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</si>
  <si>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009150 KS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</si>
  <si>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ATS AV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</si>
  <si>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</si>
  <si>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</si>
  <si>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</si>
  <si>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</si>
  <si>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</si>
  <si>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</si>
  <si>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</si>
  <si>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</si>
  <si>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</si>
  <si>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</si>
  <si>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</si>
  <si>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</si>
  <si>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</si>
  <si>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</si>
  <si>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券商、共識與市場口徑。只作事後對照，不為對上數字而調參數。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共識為 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財報前），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月券商數字只取得美銀一家完整年度預估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</si>
  <si>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</si>
  <si>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</si>
  <si>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</si>
  <si>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</si>
  <si>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</si>
  <si>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</si>
  <si>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</si>
  <si>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</si>
  <si>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EPS </t>
    </r>
    <r>
      <rPr>
        <b val="true"/>
        <sz val="11"/>
        <rFont val="Noto Sans CJK SC"/>
        <family val="2"/>
      </rPr>
      <t xml:space="preserve">與營收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共識、券商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</si>
  <si>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美銀 </t>
    </r>
    <r>
      <rPr>
        <sz val="11"/>
        <color theme="1"/>
        <rFont val="Calibri"/>
        <family val="2"/>
        <charset val="1"/>
      </rPr>
      <t xml:space="preserve">18.44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</si>
  <si>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TechNews</t>
    </r>
    <r>
      <rPr>
        <sz val="11"/>
        <color theme="1"/>
        <rFont val="Noto Sans CJK SC"/>
        <family val="2"/>
      </rPr>
      <t xml:space="preserve">（美銀）</t>
    </r>
  </si>
  <si>
    <r>
      <rPr>
        <sz val="11"/>
        <color theme="1"/>
        <rFont val="Calibri"/>
        <family val="2"/>
        <charset val="1"/>
      </rPr>
      <t xml:space="preserve">FactSet 2026-06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13.19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財報之前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</si>
  <si>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17.27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）</t>
    </r>
  </si>
  <si>
    <t xml:space="preserve">凱基</t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</si>
  <si>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券商平均（美銀 </t>
    </r>
    <r>
      <rPr>
        <sz val="11"/>
        <color theme="1"/>
        <rFont val="Calibri"/>
        <family val="2"/>
        <charset val="1"/>
      </rPr>
      <t xml:space="preserve">43.80</t>
    </r>
    <r>
      <rPr>
        <sz val="11"/>
        <color theme="1"/>
        <rFont val="Noto Sans CJK SC"/>
        <family val="2"/>
      </rPr>
      <t xml:space="preserve">、凱基 </t>
    </r>
    <r>
      <rPr>
        <sz val="11"/>
        <color theme="1"/>
        <rFont val="Calibri"/>
        <family val="2"/>
        <charset val="1"/>
      </rPr>
      <t xml:space="preserve">38.88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</si>
  <si>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TechNews</t>
    </r>
    <r>
      <rPr>
        <sz val="11"/>
        <color theme="1"/>
        <rFont val="Noto Sans CJK SC"/>
        <family val="2"/>
      </rPr>
      <t xml:space="preserve">（美銀）、凱基</t>
    </r>
  </si>
  <si>
    <r>
      <rPr>
        <sz val="11"/>
        <color theme="1"/>
        <rFont val="Noto Sans CJK SC"/>
        <family val="2"/>
      </rPr>
      <t xml:space="preserve">差距超過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</si>
  <si>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r>
      <rPr>
        <sz val="11"/>
        <color theme="1"/>
        <rFont val="Calibri"/>
        <family val="2"/>
        <charset val="1"/>
      </rPr>
      <t xml:space="preserve">FY2027 EPS vs FactSet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32.12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</si>
  <si>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鉅亨（</t>
    </r>
    <r>
      <rPr>
        <sz val="11"/>
        <color theme="1"/>
        <rFont val="Calibri"/>
        <family val="2"/>
        <charset val="1"/>
      </rPr>
      <t xml:space="preserve">FactSet 14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</si>
  <si>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FY2028 EPS vs FactSet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59.21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</si>
  <si>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鉅亨（</t>
    </r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</si>
  <si>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券商平均（美銀 </t>
    </r>
    <r>
      <rPr>
        <sz val="11"/>
        <color theme="1"/>
        <rFont val="Calibri"/>
        <family val="2"/>
        <charset val="1"/>
      </rPr>
      <t xml:space="preserve">70.09</t>
    </r>
    <r>
      <rPr>
        <sz val="11"/>
        <color theme="1"/>
        <rFont val="Noto Sans CJK SC"/>
        <family val="2"/>
      </rPr>
      <t xml:space="preserve">、凱基 </t>
    </r>
    <r>
      <rPr>
        <sz val="11"/>
        <color theme="1"/>
        <rFont val="Calibri"/>
        <family val="2"/>
        <charset val="1"/>
      </rPr>
      <t xml:space="preserve">61.35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</si>
  <si>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FactSet </t>
    </r>
    <r>
      <rPr>
        <sz val="11"/>
        <color theme="1"/>
        <rFont val="Noto Sans CJK SC"/>
        <family val="2"/>
      </rPr>
      <t xml:space="preserve">平均（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</si>
  <si>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美銀 </t>
    </r>
    <r>
      <rPr>
        <sz val="11"/>
        <color theme="1"/>
        <rFont val="Calibri"/>
        <family val="2"/>
        <charset val="1"/>
      </rPr>
      <t xml:space="preserve">90.33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</si>
  <si>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FactSet </t>
    </r>
    <r>
      <rPr>
        <sz val="11"/>
        <color theme="1"/>
        <rFont val="Noto Sans CJK SC"/>
        <family val="2"/>
      </rPr>
      <t xml:space="preserve">平均（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</si>
  <si>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美銀 </t>
    </r>
    <r>
      <rPr>
        <sz val="11"/>
        <color theme="1"/>
        <rFont val="Calibri"/>
        <family val="2"/>
        <charset val="1"/>
      </rPr>
      <t xml:space="preserve">120.65</t>
    </r>
  </si>
  <si>
    <r>
      <rPr>
        <sz val="11"/>
        <color theme="1"/>
        <rFont val="Noto Sans CJK SC"/>
        <family val="2"/>
      </rPr>
      <t xml:space="preserve">模型前瞻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頁面價格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</si>
  <si>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（推導）</t>
    </r>
  </si>
  <si>
    <t xml:space="preserve">口徑不同，只作量級比較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</si>
  <si>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錨點與毛利率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</si>
  <si>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毛利率（假設）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法人估 </t>
    </r>
    <r>
      <rPr>
        <sz val="11"/>
        <color theme="1"/>
        <rFont val="Calibri"/>
        <family val="2"/>
        <charset val="1"/>
      </rPr>
      <t xml:space="preserve">28.1%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</si>
  <si>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2026-07-27</t>
    </r>
    <r>
      <rPr>
        <sz val="11"/>
        <color theme="1"/>
        <rFont val="Noto Sans CJK SC"/>
        <family val="2"/>
      </rPr>
      <t xml:space="preserve">（法人）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</si>
  <si>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</t>
    </r>
  </si>
  <si>
    <r>
      <rPr>
        <sz val="11"/>
        <color theme="1"/>
        <rFont val="Calibri"/>
        <family val="2"/>
        <charset val="1"/>
      </rPr>
      <t xml:space="preserve">3Q26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大和估 </t>
    </r>
    <r>
      <rPr>
        <sz val="11"/>
        <color theme="1"/>
        <rFont val="Calibri"/>
        <family val="2"/>
        <charset val="1"/>
      </rPr>
      <t xml:space="preserve">5.62</t>
    </r>
  </si>
  <si>
    <r>
      <rPr>
        <sz val="11"/>
        <color theme="1"/>
        <rFont val="Calibri"/>
        <family val="2"/>
        <charset val="1"/>
      </rPr>
      <t xml:space="preserve">TechNews</t>
    </r>
    <r>
      <rPr>
        <sz val="11"/>
        <color theme="1"/>
        <rFont val="Noto Sans CJK SC"/>
        <family val="2"/>
      </rPr>
      <t xml:space="preserve">（大和）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</si>
  <si>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毛利率（假設）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美銀估 </t>
    </r>
    <r>
      <rPr>
        <sz val="11"/>
        <color theme="1"/>
        <rFont val="Calibri"/>
        <family val="2"/>
        <charset val="1"/>
      </rPr>
      <t xml:space="preserve">32.5%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</si>
  <si>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Calibri"/>
        <family val="2"/>
        <charset val="1"/>
      </rPr>
      <t xml:space="preserve">TechNews</t>
    </r>
    <r>
      <rPr>
        <sz val="11"/>
        <color theme="1"/>
        <rFont val="Noto Sans CJK SC"/>
        <family val="2"/>
      </rPr>
      <t xml:space="preserve">（美銀）：</t>
    </r>
    <r>
      <rPr>
        <sz val="11"/>
        <color theme="1"/>
        <rFont val="Calibri"/>
        <family val="2"/>
        <charset val="1"/>
      </rPr>
      <t xml:space="preserve">32–33%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</si>
  <si>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美銀 </t>
    </r>
    <r>
      <rPr>
        <sz val="11"/>
        <color theme="1"/>
        <rFont val="Calibri"/>
        <family val="2"/>
        <charset val="1"/>
      </rPr>
      <t xml:space="preserve">39.9%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</si>
  <si>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37.4%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</si>
  <si>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美銀 </t>
    </r>
    <r>
      <rPr>
        <sz val="11"/>
        <color theme="1"/>
        <rFont val="Calibri"/>
        <family val="2"/>
        <charset val="1"/>
      </rPr>
      <t xml:space="preserve">46.6%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</si>
  <si>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42.1%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</si>
  <si>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產能、份額與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口徑</t>
    </r>
  </si>
  <si>
    <r>
      <rPr>
        <sz val="11"/>
        <color theme="1"/>
        <rFont val="Calibri"/>
        <family val="2"/>
        <charset val="1"/>
      </rPr>
      <t xml:space="preserve">FY2027 ABF </t>
    </r>
    <r>
      <rPr>
        <sz val="11"/>
        <color theme="1"/>
        <rFont val="Noto Sans CJK SC"/>
        <family val="2"/>
      </rPr>
      <t xml:space="preserve">需求滿足率（</t>
    </r>
    <r>
      <rPr>
        <sz val="11"/>
        <color theme="1"/>
        <rFont val="Calibri"/>
        <family val="2"/>
        <charset val="1"/>
      </rPr>
      <t xml:space="preserve">&lt; 100%</t>
    </r>
    <r>
      <rPr>
        <sz val="11"/>
        <color theme="1"/>
        <rFont val="Noto Sans CJK SC"/>
        <family val="2"/>
      </rPr>
      <t xml:space="preserve">＝產能受限）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</si>
  <si>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</si>
  <si>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29%</t>
    </r>
  </si>
  <si>
    <r>
      <rPr>
        <sz val="11"/>
        <color theme="1"/>
        <rFont val="Calibri"/>
        <family val="2"/>
        <charset val="1"/>
      </rPr>
      <t xml:space="preserve">FY2028 ABF </t>
    </r>
    <r>
      <rPr>
        <sz val="11"/>
        <color theme="1"/>
        <rFont val="Noto Sans CJK SC"/>
        <family val="2"/>
      </rPr>
      <t xml:space="preserve">需求滿足率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</si>
  <si>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載板占營收</t>
    </r>
  </si>
  <si>
    <r>
      <rPr>
        <sz val="11"/>
        <color theme="1"/>
        <rFont val="Noto Sans CJK SC"/>
        <family val="2"/>
      </rPr>
      <t xml:space="preserve">公司應用別：網通 </t>
    </r>
    <r>
      <rPr>
        <sz val="11"/>
        <color theme="1"/>
        <rFont val="Calibri"/>
        <family val="2"/>
        <charset val="1"/>
      </rPr>
      <t xml:space="preserve">49%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HPC 16%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</si>
  <si>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份額合計：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＋欣興＋南電（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</si>
  <si>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</si>
  <si>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應 ≤ </t>
    </r>
    <r>
      <rPr>
        <sz val="11"/>
        <color theme="1"/>
        <rFont val="Calibri"/>
        <family val="2"/>
        <charset val="1"/>
      </rPr>
      <t xml:space="preserve">100%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</si>
  <si>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份額合計：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＋欣興＋南電（非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</si>
  <si>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加速器的南電營收（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</si>
  <si>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同期約 </t>
    </r>
    <r>
      <rPr>
        <sz val="11"/>
        <color theme="1"/>
        <rFont val="Calibri"/>
        <family val="2"/>
        <charset val="1"/>
      </rPr>
      <t xml:space="preserve">169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ibiden/dist Units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</si>
  <si>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</si>
  <si>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同期約 </t>
    </r>
    <r>
      <rPr>
        <sz val="11"/>
        <color theme="1"/>
        <rFont val="Calibri"/>
        <family val="2"/>
        <charset val="1"/>
      </rPr>
      <t xml:space="preserve">62</t>
    </r>
    <r>
      <rPr>
        <sz val="11"/>
        <color theme="1"/>
        <rFont val="Noto Sans CJK SC"/>
        <family val="2"/>
      </rPr>
      <t xml:space="preserve">（只含加速器載板）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</si>
  <si>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</si>
  <si>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2025–28 </t>
    </r>
    <r>
      <rPr>
        <sz val="11"/>
        <color theme="1"/>
        <rFont val="Noto Sans CJK SC"/>
        <family val="2"/>
      </rPr>
      <t xml:space="preserve">合計約 </t>
    </r>
    <r>
      <rPr>
        <sz val="11"/>
        <color theme="1"/>
        <rFont val="Calibri"/>
        <family val="2"/>
        <charset val="1"/>
      </rPr>
      <t xml:space="preserve">416 </t>
    </r>
    <r>
      <rPr>
        <sz val="11"/>
        <color theme="1"/>
        <rFont val="Noto Sans CJK SC"/>
        <family val="2"/>
      </rPr>
      <t xml:space="preserve">億扣除 </t>
    </r>
    <r>
      <rPr>
        <sz val="11"/>
        <color theme="1"/>
        <rFont val="Calibri"/>
        <family val="2"/>
        <charset val="1"/>
      </rPr>
      <t xml:space="preserve">2025–26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64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</si>
  <si>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US$12.8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× 32.5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</si>
  <si>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恆等於錨點，其他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載板在每個案例內重新校準）：對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</si>
  <si>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</si>
  <si>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</si>
  <si>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</si>
  <si>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</si>
  <si>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</si>
  <si>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</si>
  <si>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</si>
  <si>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</si>
  <si>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</si>
  <si>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</si>
  <si>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</si>
  <si>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</si>
  <si>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起顆數與其他 </t>
    </r>
    <r>
      <rPr>
        <sz val="11"/>
        <color theme="1"/>
        <rFont val="Calibri"/>
        <family val="2"/>
        <charset val="1"/>
      </rPr>
      <t xml:space="preserve">AI 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</si>
  <si>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</si>
  <si>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</si>
  <si>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 低</t>
    </r>
  </si>
  <si>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1.10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1.20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1.35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</si>
  <si>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 高</t>
    </r>
  </si>
  <si>
    <r>
      <rPr>
        <sz val="11"/>
        <color theme="1"/>
        <rFont val="Calibri"/>
        <family val="2"/>
        <charset val="1"/>
      </rPr>
      <t xml:space="preserve">1.30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1.85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</si>
  <si>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溢價 低（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低值）</t>
    </r>
  </si>
  <si>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0.75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</si>
  <si>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溢價 高（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高值）</t>
    </r>
  </si>
  <si>
    <r>
      <rPr>
        <sz val="11"/>
        <color theme="1"/>
        <rFont val="Calibri"/>
        <family val="2"/>
        <charset val="1"/>
      </rPr>
      <t xml:space="preserve">1.05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1.00</t>
    </r>
  </si>
  <si>
    <r>
      <rPr>
        <sz val="11"/>
        <color theme="1"/>
        <rFont val="Noto Sans CJK SC"/>
        <family val="2"/>
      </rPr>
      <t xml:space="preserve">漲價年度化 </t>
    </r>
    <r>
      <rPr>
        <sz val="11"/>
        <color theme="1"/>
        <rFont val="Calibri"/>
        <family val="2"/>
        <charset val="1"/>
      </rPr>
      <t xml:space="preserve">8%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</si>
  <si>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</si>
  <si>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Noto Sans CJK SC"/>
        <family val="2"/>
      </rPr>
      <t xml:space="preserve">漲價年度化 </t>
    </r>
    <r>
      <rPr>
        <sz val="11"/>
        <color theme="1"/>
        <rFont val="Calibri"/>
        <family val="2"/>
        <charset val="1"/>
      </rPr>
      <t xml:space="preserve">22%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</si>
  <si>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現金毛利率 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</si>
  <si>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</si>
  <si>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現金毛利率 </t>
    </r>
    <r>
      <rPr>
        <sz val="11"/>
        <color theme="1"/>
        <rFont val="Calibri"/>
        <family val="2"/>
        <charset val="1"/>
      </rPr>
      <t xml:space="preserve">60%</t>
    </r>
  </si>
  <si>
    <r>
      <rPr>
        <sz val="11"/>
        <color theme="1"/>
        <rFont val="Noto Sans CJK SC"/>
        <family val="2"/>
      </rPr>
      <t xml:space="preserve">其他產品現金毛利率 </t>
    </r>
    <r>
      <rPr>
        <sz val="11"/>
        <color theme="1"/>
        <rFont val="Calibri"/>
        <family val="2"/>
        <charset val="1"/>
      </rPr>
      <t xml:space="preserve">25%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</si>
  <si>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</si>
  <si>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Noto Sans CJK SC"/>
        <family val="2"/>
      </rPr>
      <t xml:space="preserve">其他產品現金毛利率 </t>
    </r>
    <r>
      <rPr>
        <sz val="11"/>
        <color theme="1"/>
        <rFont val="Calibri"/>
        <family val="2"/>
        <charset val="1"/>
      </rPr>
      <t xml:space="preserve">55%</t>
    </r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</si>
  <si>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年增 走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</si>
  <si>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</si>
  <si>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Noto Sans CJK SC"/>
        <family val="2"/>
      </rPr>
      <t xml:space="preserve">折舊年限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</si>
  <si>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</si>
  <si>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折舊年限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</t>
    </r>
  </si>
  <si>
    <t xml:space="preserve">資本支出 低</t>
  </si>
  <si>
    <r>
      <rPr>
        <sz val="11"/>
        <color theme="1"/>
        <rFont val="Noto Sans CJK SC"/>
        <family val="2"/>
      </rPr>
      <t xml:space="preserve">每年 </t>
    </r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Noto Sans CJK SC"/>
        <family val="2"/>
      </rPr>
      <t xml:space="preserve">億</t>
    </r>
  </si>
  <si>
    <t xml:space="preserve">資本支出 高</t>
  </si>
  <si>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240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</si>
  <si>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 低</t>
    </r>
  </si>
  <si>
    <t xml:space="preserve">1%</t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</si>
  <si>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 高</t>
    </r>
  </si>
  <si>
    <t xml:space="preserve">3%→6%</t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</si>
  <si>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 低</t>
    </r>
  </si>
  <si>
    <t xml:space="preserve">3%</t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</si>
  <si>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 高</t>
    </r>
  </si>
  <si>
    <t xml:space="preserve">8%→10%</t>
  </si>
  <si>
    <r>
      <rPr>
        <sz val="11"/>
        <color theme="1"/>
        <rFont val="Noto Sans CJK SC"/>
        <family val="2"/>
      </rPr>
      <t xml:space="preserve">交換器載板彈性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</si>
  <si>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</si>
  <si>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交換器載板彈性 </t>
    </r>
    <r>
      <rPr>
        <sz val="11"/>
        <color theme="1"/>
        <rFont val="Calibri"/>
        <family val="2"/>
        <charset val="1"/>
      </rPr>
      <t xml:space="preserve">0.8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</si>
  <si>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</si>
  <si>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</si>
  <si>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24%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</si>
  <si>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21%</t>
    </r>
  </si>
  <si>
    <r>
      <rPr>
        <sz val="11"/>
        <color theme="1"/>
        <rFont val="Noto Sans CJK SC"/>
        <family val="2"/>
      </rPr>
      <t xml:space="preserve">業外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</si>
  <si>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每年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（基準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</si>
  <si>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</si>
  <si>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年增較低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</si>
  <si>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</si>
  <si>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年增最低</t>
    </r>
  </si>
  <si>
    <r>
      <rPr>
        <sz val="11"/>
        <color theme="1"/>
        <rFont val="Noto Sans CJK SC"/>
        <family val="2"/>
      </rPr>
      <t xml:space="preserve">讀法：漲價年度化與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溢價直接決定毛利（溢價全數落在毛利）；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產能受限時，份額與部署的上修只部分轉成營收；南電加速器份額小，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份額的影響有限；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情境差只來自 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年增。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</si>
  <si>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與資本支出率路徑不隨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</si>
  <si>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</si>
  <si>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</si>
  <si>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</si>
  <si>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</si>
  <si>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</si>
  <si>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</si>
  <si>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</si>
  <si>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</si>
  <si>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</si>
  <si>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</si>
  <si>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</si>
  <si>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</si>
  <si>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</si>
  <si>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</si>
  <si>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</si>
  <si>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</si>
  <si>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產能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</si>
  <si>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產能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</si>
  <si>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溢價 低（</t>
    </r>
    <r>
      <rPr>
        <b val="true"/>
        <sz val="11"/>
        <rFont val="Cambria"/>
        <family val="0"/>
        <charset val="1"/>
      </rPr>
      <t xml:space="preserve">Ibiden </t>
    </r>
    <r>
      <rPr>
        <b val="true"/>
        <sz val="11"/>
        <rFont val="Noto Sans CJK SC"/>
        <family val="2"/>
      </rPr>
      <t xml:space="preserve">低值）（情境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</si>
  <si>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溢價 高（</t>
    </r>
    <r>
      <rPr>
        <b val="true"/>
        <sz val="11"/>
        <rFont val="Cambria"/>
        <family val="0"/>
        <charset val="1"/>
      </rPr>
      <t xml:space="preserve">Ibiden </t>
    </r>
    <r>
      <rPr>
        <b val="true"/>
        <sz val="11"/>
        <rFont val="Noto Sans CJK SC"/>
        <family val="2"/>
      </rPr>
      <t xml:space="preserve">高值）（情境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</si>
  <si>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案例區塊：漲價年度化 </t>
    </r>
    <r>
      <rPr>
        <b val="true"/>
        <sz val="11"/>
        <rFont val="Cambria"/>
        <family val="0"/>
        <charset val="1"/>
      </rPr>
      <t xml:space="preserve">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</si>
  <si>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案例區塊：漲價年度化 </t>
    </r>
    <r>
      <rPr>
        <b val="true"/>
        <sz val="11"/>
        <rFont val="Cambria"/>
        <family val="0"/>
        <charset val="1"/>
      </rPr>
      <t xml:space="preserve">22%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</si>
  <si>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現金毛利率 </t>
    </r>
    <r>
      <rPr>
        <b val="true"/>
        <sz val="11"/>
        <rFont val="Cambria"/>
        <family val="0"/>
        <charset val="1"/>
      </rPr>
      <t xml:space="preserve">40%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</si>
  <si>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現金毛利率 </t>
    </r>
    <r>
      <rPr>
        <b val="true"/>
        <sz val="11"/>
        <rFont val="Cambria"/>
        <family val="0"/>
        <charset val="1"/>
      </rPr>
      <t xml:space="preserve">60%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</si>
  <si>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案例區塊：其他產品現金毛利率 </t>
    </r>
    <r>
      <rPr>
        <b val="true"/>
        <sz val="11"/>
        <rFont val="Cambria"/>
        <family val="0"/>
        <charset val="1"/>
      </rPr>
      <t xml:space="preserve">25%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</si>
  <si>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案例區塊：其他產品現金毛利率 </t>
    </r>
    <r>
      <rPr>
        <b val="true"/>
        <sz val="11"/>
        <rFont val="Cambria"/>
        <family val="0"/>
        <charset val="1"/>
      </rPr>
      <t xml:space="preserve">55%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</si>
  <si>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BT </t>
    </r>
    <r>
      <rPr>
        <b val="true"/>
        <sz val="11"/>
        <rFont val="Noto Sans CJK SC"/>
        <family val="2"/>
      </rPr>
      <t xml:space="preserve">年增 走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路徑（情境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</si>
  <si>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案例區塊：折舊年限 </t>
    </r>
    <r>
      <rPr>
        <b val="true"/>
        <sz val="11"/>
        <rFont val="Cambria"/>
        <family val="0"/>
        <charset val="1"/>
      </rPr>
      <t xml:space="preserve">6 </t>
    </r>
    <r>
      <rPr>
        <b val="true"/>
        <sz val="11"/>
        <rFont val="Noto Sans CJK SC"/>
        <family val="2"/>
      </rPr>
      <t xml:space="preserve">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</si>
  <si>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案例區塊：折舊年限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</si>
  <si>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案例區塊：資本支出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</si>
  <si>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案例區塊：資本支出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</si>
  <si>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案例區塊：南電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份額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</si>
  <si>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案例區塊：南電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</si>
  <si>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案例區塊：南電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</si>
  <si>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案例區塊：南電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</si>
  <si>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案例區塊：交換器載板彈性 </t>
    </r>
    <r>
      <rPr>
        <b val="true"/>
        <sz val="11"/>
        <rFont val="Cambria"/>
        <family val="0"/>
        <charset val="1"/>
      </rPr>
      <t xml:space="preserve">0.3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</si>
  <si>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案例區塊：交換器載板彈性 </t>
    </r>
    <r>
      <rPr>
        <b val="true"/>
        <sz val="11"/>
        <rFont val="Cambria"/>
        <family val="0"/>
        <charset val="1"/>
      </rPr>
      <t xml:space="preserve">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</si>
  <si>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</si>
  <si>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24%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</si>
  <si>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案例區塊：業外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</si>
  <si>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來源（公司財報經資料商與媒體轉載；法說內容經媒體摘要；券商與資料商皆為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</si>
  <si>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（現價、股數、前瞻與近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、目標價、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與季損益、現金流、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、年度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</si>
  <si>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https://stockanalysis.com/quote/tpe/8046/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</si>
  <si>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歷史價格（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1,265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</si>
  <si>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https://stockanalysis.com/quote/tpe/8046/history/</t>
  </si>
  <si>
    <r>
      <rPr>
        <sz val="11"/>
        <color theme="1"/>
        <rFont val="Noto Sans CJK SC"/>
        <family val="2"/>
      </rPr>
      <t xml:space="preserve">資料商：財報狗（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、近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</t>
    </r>
  </si>
  <si>
    <t xml:space="preserve">https://statementdog.com/analysis/8046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</si>
  <si>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（現價核對、</t>
    </r>
    <r>
      <rPr>
        <sz val="11"/>
        <color theme="1"/>
        <rFont val="Calibri"/>
        <family val="2"/>
        <charset val="1"/>
      </rPr>
      <t xml:space="preserve">2Q26 EPS</t>
    </r>
    <r>
      <rPr>
        <sz val="11"/>
        <color theme="1"/>
        <rFont val="Noto Sans CJK SC"/>
        <family val="2"/>
      </rPr>
      <t xml:space="preserve">）</t>
    </r>
  </si>
  <si>
    <t xml:space="preserve">https://histock.tw/stock/8046</t>
  </si>
  <si>
    <r>
      <rPr>
        <sz val="11"/>
        <color theme="1"/>
        <rFont val="Noto Sans CJK SC"/>
        <family val="2"/>
      </rPr>
      <t xml:space="preserve">公司（摘要）：富果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法說摘要（應用別、資本支出、擴產）</t>
    </r>
  </si>
  <si>
    <t xml:space="preserve">https://blog.fugle.tw/post/earnings-call-8046-2026-06-12</t>
  </si>
  <si>
    <r>
      <rPr>
        <sz val="11"/>
        <color theme="1"/>
        <rFont val="Noto Sans CJK SC"/>
        <family val="2"/>
      </rPr>
      <t xml:space="preserve">公司（摘要）：</t>
    </r>
    <r>
      <rPr>
        <sz val="11"/>
        <color theme="1"/>
        <rFont val="Calibri"/>
        <family val="2"/>
        <charset val="1"/>
      </rPr>
      <t xml:space="preserve">vocus 4Q25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、產品別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</si>
  <si>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t xml:space="preserve">https://vocus.cc/article/6a12e069fd897800013a5f84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</si>
  <si>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TechNews 2026-10-03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月累計）</t>
    </r>
  </si>
  <si>
    <t xml:space="preserve">https://finance.technews.tw/2026/10/03/n-p-c-8046-202609-financial-report/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</si>
  <si>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winvest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月營收、</t>
    </r>
    <r>
      <rPr>
        <sz val="11"/>
        <color theme="1"/>
        <rFont val="Calibri"/>
        <family val="2"/>
        <charset val="1"/>
      </rPr>
      <t xml:space="preserve">1Q26 EPS</t>
    </r>
    <r>
      <rPr>
        <sz val="11"/>
        <color theme="1"/>
        <rFont val="Noto Sans CJK SC"/>
        <family val="2"/>
      </rPr>
      <t xml:space="preserve">）</t>
    </r>
  </si>
  <si>
    <t xml:space="preserve">https://winvest.tw/News/Detail/90850</t>
  </si>
  <si>
    <r>
      <rPr>
        <sz val="11"/>
        <color theme="1"/>
        <rFont val="Noto Sans CJK SC"/>
        <family val="2"/>
      </rPr>
      <t xml:space="preserve">券商（媒體）：三立 </t>
    </r>
    <r>
      <rPr>
        <sz val="11"/>
        <color theme="1"/>
        <rFont val="Calibri"/>
        <family val="2"/>
        <charset val="1"/>
      </rPr>
      <t xml:space="preserve">2026-07-27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營收、法人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預估、產能）</t>
    </r>
  </si>
  <si>
    <t xml:space="preserve">https://www.mirrormedia.mg/external/setn_1879204</t>
  </si>
  <si>
    <r>
      <rPr>
        <sz val="11"/>
        <color theme="1"/>
        <rFont val="Noto Sans CJK SC"/>
        <family val="2"/>
      </rPr>
      <t xml:space="preserve">券商（媒體）：</t>
    </r>
    <r>
      <rPr>
        <sz val="11"/>
        <color theme="1"/>
        <rFont val="Calibri"/>
        <family val="2"/>
        <charset val="1"/>
      </rPr>
      <t xml:space="preserve">TechNews 2026-10-02 </t>
    </r>
    <r>
      <rPr>
        <sz val="11"/>
        <color theme="1"/>
        <rFont val="Noto Sans CJK SC"/>
        <family val="2"/>
      </rPr>
      <t xml:space="preserve">美銀（目標價 </t>
    </r>
    <r>
      <rPr>
        <sz val="11"/>
        <color theme="1"/>
        <rFont val="Calibri"/>
        <family val="2"/>
        <charset val="1"/>
      </rPr>
      <t xml:space="preserve">2,000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2026–28</t>
    </r>
    <r>
      <rPr>
        <sz val="11"/>
        <color theme="1"/>
        <rFont val="Noto Sans CJK SC"/>
        <family val="2"/>
      </rPr>
      <t xml:space="preserve">、毛利率、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漲價、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／博通）</t>
    </r>
  </si>
  <si>
    <t xml:space="preserve">https://finance.technews.tw/2026/10/02/bank-of-america-gives-nanyang-power-a-buy-rating-with-a-target-price-of-nt2000/</t>
  </si>
  <si>
    <r>
      <rPr>
        <sz val="11"/>
        <color theme="1"/>
        <rFont val="Noto Sans CJK SC"/>
        <family val="2"/>
      </rPr>
      <t xml:space="preserve">券商（媒體）：</t>
    </r>
    <r>
      <rPr>
        <sz val="11"/>
        <color theme="1"/>
        <rFont val="Calibri"/>
        <family val="2"/>
        <charset val="1"/>
      </rPr>
      <t xml:space="preserve">TechNews 2026-10-05 </t>
    </r>
    <r>
      <rPr>
        <sz val="11"/>
        <color theme="1"/>
        <rFont val="Noto Sans CJK SC"/>
        <family val="2"/>
      </rPr>
      <t xml:space="preserve">大和（目標價 </t>
    </r>
    <r>
      <rPr>
        <sz val="11"/>
        <color theme="1"/>
        <rFont val="Calibri"/>
        <family val="2"/>
        <charset val="1"/>
      </rPr>
      <t xml:space="preserve">2,460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月自結獲利、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預估）</t>
    </r>
  </si>
  <si>
    <t xml:space="preserve">https://finance.technews.tw/2026/10/05/daiwa-securities-strongly-supports-nan-ya-powers-target-price-of-nt2460/</t>
  </si>
  <si>
    <r>
      <rPr>
        <sz val="11"/>
        <color theme="1"/>
        <rFont val="Noto Sans CJK SC"/>
        <family val="2"/>
      </rPr>
      <t xml:space="preserve">券商：凱基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、營收、毛利率、產品組合、產能、資本支出、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缺口、同業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</si>
  <si>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https://www.kgi.com.hk/zh-cn/-/media/files/kgishk/research-reports/tw-reports/pcb-sector_20260720e.pdf</t>
  </si>
  <si>
    <r>
      <rPr>
        <sz val="11"/>
        <color theme="1"/>
        <rFont val="Noto Sans CJK SC"/>
        <family val="2"/>
      </rPr>
      <t xml:space="preserve">研究文章：</t>
    </r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南電深度分析（引述券商報告；交換器份額、折舊、單價）</t>
    </r>
  </si>
  <si>
    <t xml:space="preserve">https://brodoginvestment.substack.com/p/8046-tt</t>
  </si>
  <si>
    <r>
      <rPr>
        <sz val="11"/>
        <color theme="1"/>
        <rFont val="Noto Sans CJK SC"/>
        <family val="2"/>
      </rPr>
      <t xml:space="preserve">共識：鉅亨 </t>
    </r>
    <r>
      <rPr>
        <sz val="11"/>
        <color theme="1"/>
        <rFont val="Calibri"/>
        <family val="2"/>
        <charset val="1"/>
      </rPr>
      <t xml:space="preserve">2026-06-24 FactSet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位分析師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、營收）</t>
    </r>
  </si>
  <si>
    <t xml:space="preserve">https://news.cnyes.com/news/id/6509588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</si>
  <si>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月股價（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月未調整值）</t>
    </r>
  </si>
  <si>
    <t xml:space="preserve">https://www.digrin.com/stocks/detail/8046.TW/price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</si>
  <si>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wantgoo </t>
    </r>
    <r>
      <rPr>
        <sz val="11"/>
        <color theme="1"/>
        <rFont val="Noto Sans CJK SC"/>
        <family val="2"/>
      </rPr>
      <t xml:space="preserve">歷年股利表（</t>
    </r>
    <r>
      <rPr>
        <sz val="11"/>
        <color theme="1"/>
        <rFont val="Calibri"/>
        <family val="2"/>
        <charset val="1"/>
      </rPr>
      <t xml:space="preserve">EPS 2014–2025</t>
    </r>
    <r>
      <rPr>
        <sz val="11"/>
        <color theme="1"/>
        <rFont val="Noto Sans CJK SC"/>
        <family val="2"/>
      </rPr>
      <t xml:space="preserve">）</t>
    </r>
  </si>
  <si>
    <t xml:space="preserve">https://www.wantgoo.com/stock/8046/profitability/dividend-payout-ratio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</si>
  <si>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（欣興、景碩、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；與欣興、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模型同一組）</t>
    </r>
  </si>
  <si>
    <t xml:space="preserve">https://stockanalysis.com/quote/tpe/3189/</t>
  </si>
  <si>
    <r>
      <rPr>
        <sz val="11"/>
        <color theme="1"/>
        <rFont val="Noto Sans CJK SC"/>
        <family val="2"/>
      </rPr>
      <t xml:space="preserve">本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上游成品（唯讀）：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unimicron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；情境係數與 </t>
    </r>
    <r>
      <rPr>
        <sz val="11"/>
        <color theme="1"/>
        <rFont val="Calibri"/>
        <family val="2"/>
        <charset val="1"/>
      </rPr>
      <t xml:space="preserve">markets/memory/market.py SCEN_UNITS </t>
    </r>
    <r>
      <rPr>
        <sz val="11"/>
        <color theme="1"/>
        <rFont val="Noto Sans CJK SC"/>
        <family val="2"/>
      </rPr>
      <t xml:space="preserve">核對</t>
    </r>
  </si>
  <si>
    <r>
      <rPr>
        <sz val="11"/>
        <color theme="1"/>
        <rFont val="Calibri"/>
        <family val="2"/>
        <charset val="1"/>
      </rPr>
      <t xml:space="preserve">ibiden/dist/20261028_Ibiden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unimicron/dist/20261028_</t>
    </r>
    <r>
      <rPr>
        <sz val="11"/>
        <color theme="1"/>
        <rFont val="Noto Sans CJK SC"/>
        <family val="2"/>
      </rPr>
      <t xml:space="preserve">欣興個股模型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</si>
  <si>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月底）；公司原文（公開資訊觀測站財報、法說簡報）；</t>
    </r>
    <r>
      <rPr>
        <sz val="11"/>
        <color theme="1"/>
        <rFont val="Calibri"/>
        <family val="2"/>
        <charset val="1"/>
      </rPr>
      <t xml:space="preserve">FY2016–20 </t>
    </r>
    <r>
      <rPr>
        <sz val="11"/>
        <color theme="1"/>
        <rFont val="Noto Sans CJK SC"/>
        <family val="2"/>
      </rPr>
      <t xml:space="preserve">營收（十年平均淨利率）；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季度拆分；加速器與交換器載板拆分；份額量化；折舊會計年限；新廠資本支出；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月後共識（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更新）；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（擷取失敗）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</si>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</sst>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0.00%"/>
    <numFmt numFmtId="166" formatCode="General"/>
    <numFmt numFmtId="167" formatCode="#,##0.000"/>
    <numFmt numFmtId="168" formatCode="0.00"/>
    <numFmt numFmtId="169" formatCode="0.000"/>
    <numFmt numFmtId="170" formatCode="0.0%"/>
    <numFmt numFmtId="171" formatCode="#,##0.00"/>
    <numFmt numFmtId="172" formatCode="#,##0"/>
    <numFmt numFmtId="173" formatCode="#,##0.0"/>
    <numFmt numFmtId="174" formatCode="0.000%"/>
    <numFmt numFmtId="175" formatCode="0.0000"/>
    <numFmt numFmtId="176" formatCode="0.0"/>
    <numFmt numFmtId="177" formatCode="@"/>
    <numFmt numFmtId="178" formatCode="0%"/>
    <numFmt numFmtId="179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7.15" hidden="false" customHeight="false" outlineLevel="0" collapsed="false">
      <c r="A17" s="2" t="s">
        <v>13</v>
      </c>
    </row>
    <row r="18" customFormat="false" ht="17.15" hidden="false" customHeight="false" outlineLevel="0" collapsed="false">
      <c r="A18" s="0" t="s">
        <v>14</v>
      </c>
    </row>
    <row r="19" customFormat="false" ht="15" hidden="false" customHeight="false" outlineLevel="0" collapsed="false">
      <c r="A19" s="0" t="str">
        <f aca="false">"投資建議："&amp;Val!B134&amp;"（依上檔空間固定規則）"</f>
        <v>投資建議：中立（依上檔空間固定規則）</v>
      </c>
    </row>
    <row r="20" customFormat="false" ht="17.15" hidden="false" customHeight="false" outlineLevel="0" collapsed="false">
      <c r="A20" s="0" t="str">
        <f aca="false">"重點觀察 1：目標價 NT$"&amp;TEXT(Val!$B$39,"0.00")&amp;"（DCF "&amp;TEXT(Val!$B$24,"0.00")&amp;"、Comparable（相對倍數調整後）"&amp;TEXT(tp_comp_adj,"0.00")&amp;"；DCF 權重 "&amp;TEXT(tp_w_dcf,"0%")&amp;"），比現價 "&amp;TEXT(px,"0.00")&amp;"（2026-10-22）"&amp;IF(Val!$B$42&gt;=0,"高 "&amp;TEXT(Val!$B$42,"0.0%"),"低 "&amp;TEXT(-Val!$B$42,"0.0%"))&amp;"，級距 "&amp;Val!$B$133&amp;"、投資建議 "&amp;Val!$B$134&amp;"。相對倍數調整係數 "&amp;TEXT(rm_factor,"0.00")&amp;"（本公司 10 年前瞻倍數中位數 ÷ 同業的中位數，夾在 0.5–2.0；Val 第 0.5 節），調整前加權上檔空間 "&amp;TEXT((tp_w_dcf*Val!$B$24+(1-tp_w_dcf)*Val!$B$35)/px-1,"+0.0%;−0.0%")&amp;"；Comparable 單獨（市場主流同業法、未調整）為 "&amp;TEXT(Val!$B$43,"+0.0%;−0.0%")&amp;"。"&amp;"以下為 2026-10-29 相對倍數調整前撰寫的說明，其中數字為調整前：主因是 DCF 不是 EPS：本模型前瞻 EPS 31.04 與共識前瞻 EPS 31.13 只差 −0.3%，同業前瞻 P/E 中位數 43.4 倍、現價 ÷ 共識前瞻 EPS 40.6 倍；DCF 用每股（淨利＋折舊 − 資本支出），FY2028 情境 B 每股現金流 14.55 只有 EPS 30.61 的 48%，D"&amp;"CF 比現價低 63.1%（改用 EPS ×（1 − g／ROE）只有 137，因 ROE 5.4% 遠低於折現率 10%）。"</f>
        <v>重點觀察 1：目標價 NT$1346.88（DCF 464.27、Comparable（相對倍數調整後）2229.49；DCF 權重 50%），比現價 1265.00（2026-10-22）高 6.5%，級距 0%–25%、投資建議 中立。相對倍數調整係數 1.66（本公司 10 年前瞻倍數中位數 ÷ 同業的中位數，夾在 0.5–2.0；Val 第 0.5 節），調整前加權上檔空間 −28.5%；Comparable 單獨（市場主流同業法、未調整）為 +6.4%。以下為 2026-10-29 相對倍數調整前撰寫的說明，其中數字為調整前：主因是 DCF 不是 EPS：本模型前瞻 EPS 31.04 與共識前瞻 EPS 31.13 只差 −0.3%，同業前瞻 P/E 中位數 43.4 倍、現價 ÷ 共識前瞻 EPS 40.6 倍；DCF 用每股（淨利＋折舊 − 資本支出），FY2028 情境 B 每股現金流 14.55 只有 EPS 30.61 的 48%，DCF 比現價低 63.1%（改用 EPS ×（1 − g／ROE）只有 137，因 ROE 5.4% 遠低於折現率 10%）。</v>
      </c>
    </row>
    <row r="21" customFormat="false" ht="17.15" hidden="false" customHeight="false" outlineLevel="0" collapsed="false">
      <c r="A21" s="3" t="s">
        <v>15</v>
      </c>
    </row>
    <row r="22" customFormat="false" ht="17.15" hidden="false" customHeight="false" outlineLevel="0" collapsed="false">
      <c r="A22" s="3" t="s">
        <v>16</v>
      </c>
    </row>
    <row r="24" customFormat="false" ht="17.15" hidden="false" customHeight="false" outlineLevel="0" collapsed="false">
      <c r="A24" s="0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8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18</v>
      </c>
    </row>
    <row r="2" customFormat="false" ht="17.15" hidden="false" customHeight="false" outlineLevel="0" collapsed="false">
      <c r="A2" s="3" t="s">
        <v>19</v>
      </c>
    </row>
    <row r="3" customFormat="false" ht="17.15" hidden="false" customHeight="false" outlineLevel="0" collapsed="false">
      <c r="A3" s="4" t="s">
        <v>20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4" t="s">
        <v>26</v>
      </c>
      <c r="H3" s="4" t="s">
        <v>27</v>
      </c>
      <c r="I3" s="4" t="s">
        <v>28</v>
      </c>
    </row>
    <row r="4" customFormat="false" ht="17.15" hidden="false" customHeight="false" outlineLevel="0" collapsed="false">
      <c r="A4" s="5" t="s">
        <v>29</v>
      </c>
    </row>
    <row r="5" customFormat="false" ht="17.15" hidden="false" customHeight="false" outlineLevel="0" collapsed="false">
      <c r="A5" s="0" t="s">
        <v>30</v>
      </c>
      <c r="B5" s="0" t="s">
        <v>31</v>
      </c>
      <c r="C5" s="3" t="s">
        <v>32</v>
      </c>
      <c r="E5" s="6" t="n">
        <v>5.4</v>
      </c>
      <c r="G5" s="7" t="s">
        <v>33</v>
      </c>
      <c r="H5" s="7" t="s">
        <v>34</v>
      </c>
      <c r="I5" s="3" t="s">
        <v>35</v>
      </c>
    </row>
    <row r="6" customFormat="false" ht="17.15" hidden="false" customHeight="false" outlineLevel="0" collapsed="false">
      <c r="A6" s="0" t="s">
        <v>36</v>
      </c>
      <c r="B6" s="0" t="s">
        <v>37</v>
      </c>
      <c r="C6" s="3" t="s">
        <v>32</v>
      </c>
      <c r="E6" s="6" t="n">
        <v>2.4</v>
      </c>
      <c r="G6" s="7" t="s">
        <v>33</v>
      </c>
      <c r="H6" s="7" t="s">
        <v>38</v>
      </c>
      <c r="I6" s="3" t="s">
        <v>35</v>
      </c>
    </row>
    <row r="7" customFormat="false" ht="17.15" hidden="false" customHeight="false" outlineLevel="0" collapsed="false">
      <c r="A7" s="0" t="s">
        <v>39</v>
      </c>
      <c r="B7" s="0" t="s">
        <v>40</v>
      </c>
      <c r="C7" s="3" t="s">
        <v>32</v>
      </c>
      <c r="E7" s="6" t="n">
        <v>0.5</v>
      </c>
      <c r="G7" s="7" t="s">
        <v>33</v>
      </c>
      <c r="H7" s="7" t="s">
        <v>41</v>
      </c>
      <c r="I7" s="3" t="s">
        <v>35</v>
      </c>
    </row>
    <row r="8" customFormat="false" ht="17.15" hidden="false" customHeight="false" outlineLevel="0" collapsed="false">
      <c r="A8" s="0" t="s">
        <v>42</v>
      </c>
      <c r="B8" s="0" t="s">
        <v>43</v>
      </c>
      <c r="C8" s="0" t="s">
        <v>44</v>
      </c>
      <c r="E8" s="6" t="n">
        <v>-0.5</v>
      </c>
      <c r="G8" s="7" t="s">
        <v>33</v>
      </c>
      <c r="H8" s="7" t="s">
        <v>45</v>
      </c>
      <c r="I8" s="3" t="s">
        <v>46</v>
      </c>
    </row>
    <row r="9" customFormat="false" ht="17.15" hidden="false" customHeight="false" outlineLevel="0" collapsed="false">
      <c r="A9" s="0" t="s">
        <v>47</v>
      </c>
      <c r="B9" s="0" t="s">
        <v>48</v>
      </c>
      <c r="C9" s="3" t="s">
        <v>32</v>
      </c>
      <c r="E9" s="6" t="n">
        <v>1.7</v>
      </c>
      <c r="G9" s="7" t="s">
        <v>33</v>
      </c>
      <c r="H9" s="7" t="s">
        <v>49</v>
      </c>
      <c r="I9" s="3" t="s">
        <v>35</v>
      </c>
    </row>
    <row r="10" customFormat="false" ht="17.15" hidden="false" customHeight="false" outlineLevel="0" collapsed="false">
      <c r="A10" s="0" t="s">
        <v>50</v>
      </c>
      <c r="B10" s="0" t="s">
        <v>51</v>
      </c>
      <c r="C10" s="3" t="s">
        <v>32</v>
      </c>
      <c r="E10" s="6" t="n">
        <v>7</v>
      </c>
      <c r="G10" s="7" t="s">
        <v>33</v>
      </c>
      <c r="H10" s="7" t="s">
        <v>52</v>
      </c>
      <c r="I10" s="3" t="s">
        <v>35</v>
      </c>
    </row>
    <row r="11" customFormat="false" ht="17.15" hidden="false" customHeight="false" outlineLevel="0" collapsed="false">
      <c r="A11" s="0" t="s">
        <v>53</v>
      </c>
      <c r="B11" s="0" t="s">
        <v>54</v>
      </c>
      <c r="C11" s="3" t="s">
        <v>32</v>
      </c>
      <c r="E11" s="6" t="n">
        <v>7</v>
      </c>
      <c r="G11" s="7" t="s">
        <v>33</v>
      </c>
      <c r="H11" s="7" t="s">
        <v>55</v>
      </c>
      <c r="I11" s="3" t="s">
        <v>35</v>
      </c>
    </row>
    <row r="12" customFormat="false" ht="17.15" hidden="false" customHeight="false" outlineLevel="0" collapsed="false">
      <c r="A12" s="0" t="s">
        <v>56</v>
      </c>
      <c r="B12" s="0" t="s">
        <v>57</v>
      </c>
      <c r="C12" s="0" t="s">
        <v>44</v>
      </c>
      <c r="E12" s="6" t="n">
        <v>0.15</v>
      </c>
      <c r="G12" s="7" t="s">
        <v>33</v>
      </c>
      <c r="H12" s="7" t="s">
        <v>58</v>
      </c>
      <c r="I12" s="3" t="s">
        <v>46</v>
      </c>
    </row>
    <row r="13" customFormat="false" ht="17.15" hidden="false" customHeight="false" outlineLevel="0" collapsed="false">
      <c r="A13" s="0" t="s">
        <v>59</v>
      </c>
      <c r="B13" s="0" t="s">
        <v>60</v>
      </c>
      <c r="C13" s="3" t="s">
        <v>32</v>
      </c>
      <c r="E13" s="6" t="n">
        <v>0</v>
      </c>
      <c r="G13" s="7" t="s">
        <v>33</v>
      </c>
      <c r="H13" s="7" t="s">
        <v>61</v>
      </c>
      <c r="I13" s="3" t="s">
        <v>35</v>
      </c>
    </row>
    <row r="14" customFormat="false" ht="17.15" hidden="false" customHeight="false" outlineLevel="0" collapsed="false">
      <c r="A14" s="0" t="s">
        <v>62</v>
      </c>
      <c r="B14" s="0" t="s">
        <v>63</v>
      </c>
      <c r="C14" s="3" t="s">
        <v>32</v>
      </c>
      <c r="E14" s="6" t="n">
        <v>0.3</v>
      </c>
      <c r="G14" s="7" t="s">
        <v>33</v>
      </c>
      <c r="H14" s="7" t="s">
        <v>64</v>
      </c>
      <c r="I14" s="3" t="s">
        <v>35</v>
      </c>
    </row>
    <row r="15" customFormat="false" ht="17.15" hidden="false" customHeight="false" outlineLevel="0" collapsed="false">
      <c r="A15" s="0" t="s">
        <v>65</v>
      </c>
      <c r="B15" s="0" t="s">
        <v>66</v>
      </c>
      <c r="C15" s="3" t="s">
        <v>32</v>
      </c>
      <c r="E15" s="6" t="n">
        <v>2</v>
      </c>
      <c r="G15" s="7" t="s">
        <v>33</v>
      </c>
      <c r="H15" s="7" t="s">
        <v>67</v>
      </c>
      <c r="I15" s="3" t="s">
        <v>35</v>
      </c>
    </row>
    <row r="16" customFormat="false" ht="17.15" hidden="false" customHeight="false" outlineLevel="0" collapsed="false">
      <c r="A16" s="0" t="s">
        <v>68</v>
      </c>
      <c r="B16" s="0" t="s">
        <v>69</v>
      </c>
      <c r="C16" s="0" t="s">
        <v>44</v>
      </c>
      <c r="E16" s="6" t="n">
        <v>0.15</v>
      </c>
      <c r="G16" s="7" t="s">
        <v>33</v>
      </c>
      <c r="H16" s="7" t="s">
        <v>70</v>
      </c>
      <c r="I16" s="3" t="s">
        <v>46</v>
      </c>
    </row>
    <row r="17" customFormat="false" ht="17.15" hidden="false" customHeight="false" outlineLevel="0" collapsed="false">
      <c r="A17" s="0" t="s">
        <v>71</v>
      </c>
      <c r="B17" s="0" t="s">
        <v>72</v>
      </c>
      <c r="C17" s="3" t="s">
        <v>32</v>
      </c>
      <c r="E17" s="6" t="n">
        <v>0.5</v>
      </c>
      <c r="G17" s="7" t="s">
        <v>33</v>
      </c>
      <c r="H17" s="7" t="s">
        <v>73</v>
      </c>
      <c r="I17" s="3" t="s">
        <v>35</v>
      </c>
    </row>
    <row r="18" customFormat="false" ht="17.15" hidden="false" customHeight="false" outlineLevel="0" collapsed="false">
      <c r="A18" s="0" t="s">
        <v>74</v>
      </c>
      <c r="B18" s="0" t="s">
        <v>75</v>
      </c>
      <c r="C18" s="3" t="s">
        <v>32</v>
      </c>
      <c r="E18" s="6" t="n">
        <v>0</v>
      </c>
      <c r="G18" s="7" t="s">
        <v>33</v>
      </c>
      <c r="H18" s="7" t="s">
        <v>76</v>
      </c>
      <c r="I18" s="3" t="s">
        <v>35</v>
      </c>
    </row>
    <row r="19" customFormat="false" ht="17.15" hidden="false" customHeight="false" outlineLevel="0" collapsed="false">
      <c r="A19" s="0" t="s">
        <v>77</v>
      </c>
      <c r="B19" s="0" t="s">
        <v>78</v>
      </c>
      <c r="C19" s="3" t="s">
        <v>32</v>
      </c>
      <c r="E19" s="6" t="n">
        <v>0</v>
      </c>
      <c r="G19" s="7" t="s">
        <v>33</v>
      </c>
      <c r="H19" s="7" t="s">
        <v>79</v>
      </c>
      <c r="I19" s="3" t="s">
        <v>35</v>
      </c>
    </row>
    <row r="20" customFormat="false" ht="17.15" hidden="false" customHeight="false" outlineLevel="0" collapsed="false">
      <c r="A20" s="0" t="s">
        <v>80</v>
      </c>
      <c r="B20" s="0" t="s">
        <v>81</v>
      </c>
      <c r="C20" s="0" t="s">
        <v>44</v>
      </c>
      <c r="E20" s="6" t="n">
        <v>0</v>
      </c>
      <c r="G20" s="7" t="s">
        <v>33</v>
      </c>
      <c r="H20" s="7" t="s">
        <v>82</v>
      </c>
      <c r="I20" s="3" t="s">
        <v>46</v>
      </c>
    </row>
    <row r="21" customFormat="false" ht="17.15" hidden="false" customHeight="false" outlineLevel="0" collapsed="false">
      <c r="A21" s="0" t="s">
        <v>83</v>
      </c>
      <c r="B21" s="0" t="s">
        <v>84</v>
      </c>
      <c r="C21" s="3" t="s">
        <v>32</v>
      </c>
      <c r="E21" s="6" t="n">
        <v>0.75</v>
      </c>
      <c r="G21" s="7" t="s">
        <v>33</v>
      </c>
      <c r="H21" s="7" t="s">
        <v>85</v>
      </c>
      <c r="I21" s="3" t="s">
        <v>35</v>
      </c>
    </row>
    <row r="22" customFormat="false" ht="17.15" hidden="false" customHeight="false" outlineLevel="0" collapsed="false">
      <c r="A22" s="0" t="s">
        <v>86</v>
      </c>
      <c r="B22" s="0" t="s">
        <v>87</v>
      </c>
      <c r="C22" s="3" t="s">
        <v>32</v>
      </c>
      <c r="E22" s="6" t="n">
        <v>1.5</v>
      </c>
      <c r="G22" s="7" t="s">
        <v>33</v>
      </c>
      <c r="H22" s="7" t="s">
        <v>88</v>
      </c>
      <c r="I22" s="3" t="s">
        <v>35</v>
      </c>
    </row>
    <row r="23" customFormat="false" ht="17.15" hidden="false" customHeight="false" outlineLevel="0" collapsed="false">
      <c r="A23" s="0" t="s">
        <v>89</v>
      </c>
      <c r="B23" s="0" t="s">
        <v>90</v>
      </c>
      <c r="C23" s="3" t="s">
        <v>32</v>
      </c>
      <c r="E23" s="6" t="n">
        <v>2</v>
      </c>
      <c r="G23" s="7" t="s">
        <v>33</v>
      </c>
      <c r="H23" s="7" t="s">
        <v>91</v>
      </c>
      <c r="I23" s="3" t="s">
        <v>35</v>
      </c>
    </row>
    <row r="24" customFormat="false" ht="17.15" hidden="false" customHeight="false" outlineLevel="0" collapsed="false">
      <c r="A24" s="0" t="s">
        <v>92</v>
      </c>
      <c r="B24" s="0" t="s">
        <v>93</v>
      </c>
      <c r="C24" s="0" t="s">
        <v>44</v>
      </c>
      <c r="E24" s="6" t="n">
        <v>0.15</v>
      </c>
      <c r="G24" s="7" t="s">
        <v>33</v>
      </c>
      <c r="H24" s="7" t="s">
        <v>94</v>
      </c>
      <c r="I24" s="3" t="s">
        <v>46</v>
      </c>
    </row>
    <row r="25" customFormat="false" ht="17.15" hidden="false" customHeight="false" outlineLevel="0" collapsed="false">
      <c r="A25" s="0" t="s">
        <v>95</v>
      </c>
      <c r="B25" s="0" t="s">
        <v>96</v>
      </c>
      <c r="C25" s="3" t="s">
        <v>32</v>
      </c>
      <c r="E25" s="6" t="n">
        <v>3.85</v>
      </c>
      <c r="G25" s="7" t="s">
        <v>33</v>
      </c>
      <c r="H25" s="7" t="s">
        <v>97</v>
      </c>
      <c r="I25" s="3" t="s">
        <v>35</v>
      </c>
    </row>
    <row r="26" customFormat="false" ht="17.15" hidden="false" customHeight="false" outlineLevel="0" collapsed="false">
      <c r="A26" s="0" t="s">
        <v>98</v>
      </c>
      <c r="B26" s="0" t="s">
        <v>99</v>
      </c>
      <c r="C26" s="3" t="s">
        <v>32</v>
      </c>
      <c r="E26" s="6" t="n">
        <v>5.5</v>
      </c>
      <c r="G26" s="7" t="s">
        <v>33</v>
      </c>
      <c r="H26" s="7" t="s">
        <v>100</v>
      </c>
      <c r="I26" s="3" t="s">
        <v>35</v>
      </c>
    </row>
    <row r="27" customFormat="false" ht="17.15" hidden="false" customHeight="false" outlineLevel="0" collapsed="false">
      <c r="A27" s="0" t="s">
        <v>101</v>
      </c>
      <c r="B27" s="0" t="s">
        <v>102</v>
      </c>
      <c r="C27" s="3" t="s">
        <v>32</v>
      </c>
      <c r="E27" s="6" t="n">
        <v>7</v>
      </c>
      <c r="G27" s="7" t="s">
        <v>33</v>
      </c>
      <c r="H27" s="7" t="s">
        <v>103</v>
      </c>
      <c r="I27" s="3" t="s">
        <v>35</v>
      </c>
    </row>
    <row r="28" customFormat="false" ht="17.15" hidden="false" customHeight="false" outlineLevel="0" collapsed="false">
      <c r="A28" s="0" t="s">
        <v>104</v>
      </c>
      <c r="B28" s="0" t="s">
        <v>105</v>
      </c>
      <c r="C28" s="0" t="s">
        <v>44</v>
      </c>
      <c r="E28" s="6" t="n">
        <v>0.15</v>
      </c>
      <c r="G28" s="7" t="s">
        <v>33</v>
      </c>
      <c r="H28" s="7" t="s">
        <v>106</v>
      </c>
      <c r="I28" s="3" t="s">
        <v>46</v>
      </c>
    </row>
    <row r="29" customFormat="false" ht="17.15" hidden="false" customHeight="false" outlineLevel="0" collapsed="false">
      <c r="A29" s="0" t="s">
        <v>107</v>
      </c>
      <c r="B29" s="0" t="s">
        <v>108</v>
      </c>
      <c r="C29" s="3" t="s">
        <v>32</v>
      </c>
      <c r="E29" s="6" t="n">
        <v>2</v>
      </c>
      <c r="G29" s="7" t="s">
        <v>33</v>
      </c>
      <c r="H29" s="7" t="s">
        <v>109</v>
      </c>
      <c r="I29" s="3" t="s">
        <v>35</v>
      </c>
    </row>
    <row r="30" customFormat="false" ht="17.15" hidden="false" customHeight="false" outlineLevel="0" collapsed="false">
      <c r="A30" s="0" t="s">
        <v>110</v>
      </c>
      <c r="B30" s="0" t="s">
        <v>111</v>
      </c>
      <c r="C30" s="3" t="s">
        <v>32</v>
      </c>
      <c r="E30" s="6" t="n">
        <v>2.5</v>
      </c>
      <c r="G30" s="7" t="s">
        <v>33</v>
      </c>
      <c r="H30" s="7" t="s">
        <v>112</v>
      </c>
      <c r="I30" s="3" t="s">
        <v>35</v>
      </c>
    </row>
    <row r="31" customFormat="false" ht="17.15" hidden="false" customHeight="false" outlineLevel="0" collapsed="false">
      <c r="A31" s="0" t="s">
        <v>113</v>
      </c>
      <c r="B31" s="0" t="s">
        <v>114</v>
      </c>
      <c r="C31" s="3" t="s">
        <v>32</v>
      </c>
      <c r="E31" s="6" t="n">
        <v>3</v>
      </c>
      <c r="G31" s="7" t="s">
        <v>33</v>
      </c>
      <c r="H31" s="7" t="s">
        <v>115</v>
      </c>
      <c r="I31" s="3" t="s">
        <v>35</v>
      </c>
    </row>
    <row r="32" customFormat="false" ht="17.15" hidden="false" customHeight="false" outlineLevel="0" collapsed="false">
      <c r="A32" s="0" t="s">
        <v>116</v>
      </c>
      <c r="B32" s="0" t="s">
        <v>117</v>
      </c>
      <c r="C32" s="0" t="s">
        <v>44</v>
      </c>
      <c r="E32" s="6" t="n">
        <v>0.15</v>
      </c>
      <c r="G32" s="7" t="s">
        <v>33</v>
      </c>
      <c r="H32" s="7" t="s">
        <v>118</v>
      </c>
      <c r="I32" s="3" t="s">
        <v>46</v>
      </c>
    </row>
    <row r="33" customFormat="false" ht="17.15" hidden="false" customHeight="false" outlineLevel="0" collapsed="false">
      <c r="A33" s="0" t="s">
        <v>119</v>
      </c>
      <c r="B33" s="3" t="s">
        <v>120</v>
      </c>
      <c r="C33" s="3" t="s">
        <v>32</v>
      </c>
      <c r="E33" s="6" t="n">
        <v>1</v>
      </c>
      <c r="G33" s="7" t="s">
        <v>33</v>
      </c>
      <c r="H33" s="7" t="s">
        <v>121</v>
      </c>
      <c r="I33" s="3" t="s">
        <v>35</v>
      </c>
    </row>
    <row r="34" customFormat="false" ht="17.15" hidden="false" customHeight="false" outlineLevel="0" collapsed="false">
      <c r="A34" s="0" t="s">
        <v>122</v>
      </c>
      <c r="B34" s="3" t="s">
        <v>123</v>
      </c>
      <c r="C34" s="3" t="s">
        <v>32</v>
      </c>
      <c r="E34" s="6" t="n">
        <v>4.5</v>
      </c>
      <c r="G34" s="7" t="s">
        <v>33</v>
      </c>
      <c r="H34" s="7" t="s">
        <v>124</v>
      </c>
      <c r="I34" s="3" t="s">
        <v>35</v>
      </c>
    </row>
    <row r="35" customFormat="false" ht="17.15" hidden="false" customHeight="false" outlineLevel="0" collapsed="false">
      <c r="A35" s="0" t="s">
        <v>125</v>
      </c>
      <c r="B35" s="3" t="s">
        <v>126</v>
      </c>
      <c r="C35" s="3" t="s">
        <v>32</v>
      </c>
      <c r="E35" s="6" t="n">
        <v>5</v>
      </c>
      <c r="G35" s="7" t="s">
        <v>33</v>
      </c>
      <c r="H35" s="7" t="s">
        <v>127</v>
      </c>
      <c r="I35" s="3" t="s">
        <v>35</v>
      </c>
    </row>
    <row r="36" customFormat="false" ht="17.15" hidden="false" customHeight="false" outlineLevel="0" collapsed="false">
      <c r="A36" s="0" t="s">
        <v>128</v>
      </c>
      <c r="B36" s="3" t="s">
        <v>129</v>
      </c>
      <c r="C36" s="0" t="s">
        <v>44</v>
      </c>
      <c r="E36" s="6" t="n">
        <v>0.15</v>
      </c>
      <c r="G36" s="7" t="s">
        <v>33</v>
      </c>
      <c r="H36" s="7" t="s">
        <v>130</v>
      </c>
      <c r="I36" s="3" t="s">
        <v>46</v>
      </c>
    </row>
    <row r="37" customFormat="false" ht="17.15" hidden="false" customHeight="false" outlineLevel="0" collapsed="false">
      <c r="A37" s="0" t="s">
        <v>131</v>
      </c>
      <c r="B37" s="0" t="s">
        <v>132</v>
      </c>
      <c r="C37" s="0" t="s">
        <v>133</v>
      </c>
      <c r="E37" s="6" t="n">
        <v>781.872916666666</v>
      </c>
      <c r="G37" s="7" t="s">
        <v>33</v>
      </c>
      <c r="H37" s="7" t="s">
        <v>134</v>
      </c>
      <c r="I37" s="7" t="s">
        <v>135</v>
      </c>
    </row>
    <row r="38" customFormat="false" ht="17.15" hidden="false" customHeight="false" outlineLevel="0" collapsed="false">
      <c r="A38" s="0" t="s">
        <v>136</v>
      </c>
      <c r="B38" s="0" t="s">
        <v>137</v>
      </c>
      <c r="C38" s="0" t="s">
        <v>133</v>
      </c>
      <c r="E38" s="6" t="n">
        <v>1565.35</v>
      </c>
      <c r="G38" s="7" t="s">
        <v>33</v>
      </c>
      <c r="H38" s="7" t="s">
        <v>134</v>
      </c>
      <c r="I38" s="3" t="s">
        <v>46</v>
      </c>
    </row>
    <row r="39" customFormat="false" ht="17.15" hidden="false" customHeight="false" outlineLevel="0" collapsed="false">
      <c r="A39" s="0" t="s">
        <v>138</v>
      </c>
      <c r="B39" s="0" t="s">
        <v>139</v>
      </c>
      <c r="C39" s="0" t="s">
        <v>133</v>
      </c>
      <c r="E39" s="6" t="n">
        <v>1984.26388888889</v>
      </c>
      <c r="G39" s="7" t="s">
        <v>33</v>
      </c>
      <c r="H39" s="7" t="s">
        <v>134</v>
      </c>
      <c r="I39" s="3" t="s">
        <v>46</v>
      </c>
    </row>
    <row r="40" customFormat="false" ht="17.15" hidden="false" customHeight="false" outlineLevel="0" collapsed="false">
      <c r="A40" s="0" t="s">
        <v>140</v>
      </c>
      <c r="B40" s="0" t="s">
        <v>141</v>
      </c>
      <c r="C40" s="0" t="s">
        <v>133</v>
      </c>
      <c r="E40" s="6" t="n">
        <v>2260.39027777778</v>
      </c>
      <c r="G40" s="7" t="s">
        <v>33</v>
      </c>
      <c r="H40" s="7" t="s">
        <v>134</v>
      </c>
      <c r="I40" s="3" t="s">
        <v>46</v>
      </c>
    </row>
    <row r="41" customFormat="false" ht="17.15" hidden="false" customHeight="false" outlineLevel="0" collapsed="false">
      <c r="A41" s="0" t="s">
        <v>142</v>
      </c>
      <c r="B41" s="3" t="s">
        <v>143</v>
      </c>
      <c r="C41" s="0" t="s">
        <v>133</v>
      </c>
      <c r="E41" s="6" t="n">
        <v>50.348</v>
      </c>
      <c r="G41" s="7" t="s">
        <v>33</v>
      </c>
      <c r="H41" s="7" t="s">
        <v>144</v>
      </c>
      <c r="I41" s="3" t="s">
        <v>145</v>
      </c>
    </row>
    <row r="42" customFormat="false" ht="17.15" hidden="false" customHeight="false" outlineLevel="0" collapsed="false">
      <c r="A42" s="0" t="s">
        <v>146</v>
      </c>
      <c r="B42" s="3" t="s">
        <v>147</v>
      </c>
      <c r="C42" s="0" t="s">
        <v>133</v>
      </c>
      <c r="E42" s="6" t="n">
        <v>98.5007</v>
      </c>
      <c r="G42" s="7" t="s">
        <v>33</v>
      </c>
      <c r="H42" s="7" t="s">
        <v>144</v>
      </c>
      <c r="I42" s="3" t="s">
        <v>46</v>
      </c>
    </row>
    <row r="43" customFormat="false" ht="17.15" hidden="false" customHeight="false" outlineLevel="0" collapsed="false">
      <c r="A43" s="0" t="s">
        <v>148</v>
      </c>
      <c r="B43" s="3" t="s">
        <v>149</v>
      </c>
      <c r="C43" s="0" t="s">
        <v>133</v>
      </c>
      <c r="E43" s="6" t="n">
        <v>113.9885</v>
      </c>
      <c r="G43" s="7" t="s">
        <v>33</v>
      </c>
      <c r="H43" s="7" t="s">
        <v>144</v>
      </c>
      <c r="I43" s="3" t="s">
        <v>46</v>
      </c>
    </row>
    <row r="44" customFormat="false" ht="17.15" hidden="false" customHeight="false" outlineLevel="0" collapsed="false">
      <c r="A44" s="0" t="s">
        <v>150</v>
      </c>
      <c r="B44" s="3" t="s">
        <v>151</v>
      </c>
      <c r="C44" s="0" t="s">
        <v>133</v>
      </c>
      <c r="E44" s="6" t="n">
        <v>129.72795</v>
      </c>
      <c r="G44" s="7" t="s">
        <v>33</v>
      </c>
      <c r="H44" s="7" t="s">
        <v>144</v>
      </c>
      <c r="I44" s="3" t="s">
        <v>46</v>
      </c>
    </row>
    <row r="45" customFormat="false" ht="17.15" hidden="false" customHeight="false" outlineLevel="0" collapsed="false">
      <c r="A45" s="0" t="s">
        <v>152</v>
      </c>
      <c r="B45" s="3" t="s">
        <v>153</v>
      </c>
      <c r="C45" s="0" t="s">
        <v>154</v>
      </c>
      <c r="E45" s="6" t="n">
        <v>1</v>
      </c>
      <c r="G45" s="7" t="s">
        <v>155</v>
      </c>
      <c r="H45" s="7" t="s">
        <v>156</v>
      </c>
      <c r="I45" s="7" t="s">
        <v>157</v>
      </c>
    </row>
    <row r="46" customFormat="false" ht="17.15" hidden="false" customHeight="false" outlineLevel="0" collapsed="false">
      <c r="A46" s="0" t="s">
        <v>158</v>
      </c>
      <c r="B46" s="3" t="s">
        <v>159</v>
      </c>
      <c r="C46" s="0" t="s">
        <v>154</v>
      </c>
      <c r="E46" s="6" t="n">
        <v>1</v>
      </c>
      <c r="G46" s="7" t="s">
        <v>155</v>
      </c>
      <c r="H46" s="7" t="s">
        <v>160</v>
      </c>
      <c r="I46" s="3" t="s">
        <v>46</v>
      </c>
    </row>
    <row r="47" customFormat="false" ht="17.15" hidden="false" customHeight="false" outlineLevel="0" collapsed="false">
      <c r="A47" s="0" t="s">
        <v>161</v>
      </c>
      <c r="B47" s="3" t="s">
        <v>162</v>
      </c>
      <c r="C47" s="0" t="s">
        <v>154</v>
      </c>
      <c r="E47" s="6" t="n">
        <v>0.8</v>
      </c>
      <c r="G47" s="7" t="s">
        <v>155</v>
      </c>
      <c r="H47" s="7" t="s">
        <v>163</v>
      </c>
      <c r="I47" s="3" t="s">
        <v>46</v>
      </c>
    </row>
    <row r="48" customFormat="false" ht="17.15" hidden="false" customHeight="false" outlineLevel="0" collapsed="false">
      <c r="A48" s="0" t="s">
        <v>164</v>
      </c>
      <c r="B48" s="3" t="s">
        <v>165</v>
      </c>
      <c r="C48" s="0" t="s">
        <v>154</v>
      </c>
      <c r="E48" s="6" t="n">
        <v>0.85</v>
      </c>
      <c r="G48" s="7" t="s">
        <v>155</v>
      </c>
      <c r="H48" s="7" t="s">
        <v>166</v>
      </c>
      <c r="I48" s="3" t="s">
        <v>46</v>
      </c>
    </row>
    <row r="49" customFormat="false" ht="17.15" hidden="false" customHeight="false" outlineLevel="0" collapsed="false">
      <c r="A49" s="0" t="s">
        <v>167</v>
      </c>
      <c r="B49" s="3" t="s">
        <v>168</v>
      </c>
      <c r="C49" s="0" t="s">
        <v>154</v>
      </c>
      <c r="E49" s="6" t="n">
        <v>0.6</v>
      </c>
      <c r="G49" s="7" t="s">
        <v>155</v>
      </c>
      <c r="H49" s="7" t="s">
        <v>169</v>
      </c>
      <c r="I49" s="3" t="s">
        <v>46</v>
      </c>
    </row>
    <row r="50" customFormat="false" ht="17.15" hidden="false" customHeight="false" outlineLevel="0" collapsed="false">
      <c r="A50" s="0" t="s">
        <v>170</v>
      </c>
      <c r="B50" s="3" t="s">
        <v>171</v>
      </c>
      <c r="C50" s="0" t="s">
        <v>154</v>
      </c>
      <c r="E50" s="6" t="n">
        <v>0.6</v>
      </c>
      <c r="G50" s="7" t="s">
        <v>155</v>
      </c>
      <c r="H50" s="7" t="s">
        <v>172</v>
      </c>
      <c r="I50" s="3" t="s">
        <v>46</v>
      </c>
    </row>
    <row r="51" customFormat="false" ht="17.15" hidden="false" customHeight="false" outlineLevel="0" collapsed="false">
      <c r="A51" s="5" t="s">
        <v>173</v>
      </c>
    </row>
    <row r="52" customFormat="false" ht="17.15" hidden="false" customHeight="false" outlineLevel="0" collapsed="false">
      <c r="A52" s="0" t="s">
        <v>174</v>
      </c>
      <c r="B52" s="0" t="s">
        <v>175</v>
      </c>
      <c r="C52" s="0" t="s">
        <v>176</v>
      </c>
      <c r="E52" s="6" t="n">
        <v>215.308596</v>
      </c>
      <c r="G52" s="7" t="s">
        <v>33</v>
      </c>
      <c r="H52" s="7" t="s">
        <v>177</v>
      </c>
      <c r="I52" s="7" t="s">
        <v>178</v>
      </c>
    </row>
    <row r="53" customFormat="false" ht="17.15" hidden="false" customHeight="false" outlineLevel="0" collapsed="false">
      <c r="A53" s="0" t="s">
        <v>179</v>
      </c>
      <c r="B53" s="3" t="s">
        <v>180</v>
      </c>
      <c r="C53" s="0" t="s">
        <v>44</v>
      </c>
      <c r="D53" s="6" t="n">
        <v>0.1</v>
      </c>
      <c r="E53" s="6" t="n">
        <v>0.18</v>
      </c>
      <c r="F53" s="6" t="n">
        <v>0.22</v>
      </c>
      <c r="G53" s="7" t="s">
        <v>181</v>
      </c>
      <c r="H53" s="7" t="s">
        <v>182</v>
      </c>
      <c r="I53" s="7" t="s">
        <v>183</v>
      </c>
    </row>
    <row r="54" customFormat="false" ht="17.15" hidden="false" customHeight="false" outlineLevel="0" collapsed="false">
      <c r="A54" s="0" t="s">
        <v>184</v>
      </c>
      <c r="B54" s="0" t="s">
        <v>185</v>
      </c>
      <c r="C54" s="0" t="s">
        <v>154</v>
      </c>
      <c r="D54" s="6" t="n">
        <v>0.95</v>
      </c>
      <c r="E54" s="6" t="n">
        <v>1</v>
      </c>
      <c r="F54" s="6" t="n">
        <v>1.05</v>
      </c>
      <c r="G54" s="7" t="s">
        <v>155</v>
      </c>
      <c r="H54" s="7" t="s">
        <v>186</v>
      </c>
      <c r="I54" s="3" t="s">
        <v>187</v>
      </c>
    </row>
    <row r="55" customFormat="false" ht="17.15" hidden="false" customHeight="false" outlineLevel="0" collapsed="false">
      <c r="A55" s="0" t="s">
        <v>188</v>
      </c>
      <c r="B55" s="0" t="s">
        <v>189</v>
      </c>
      <c r="C55" s="0" t="s">
        <v>154</v>
      </c>
      <c r="E55" s="6" t="n">
        <v>0.95</v>
      </c>
      <c r="G55" s="7" t="s">
        <v>155</v>
      </c>
      <c r="H55" s="7" t="s">
        <v>190</v>
      </c>
      <c r="I55" s="7" t="s">
        <v>191</v>
      </c>
    </row>
    <row r="56" customFormat="false" ht="17.15" hidden="false" customHeight="false" outlineLevel="0" collapsed="false">
      <c r="A56" s="0" t="s">
        <v>192</v>
      </c>
      <c r="B56" s="0" t="s">
        <v>193</v>
      </c>
      <c r="C56" s="0" t="s">
        <v>154</v>
      </c>
      <c r="D56" s="6" t="n">
        <v>0.85</v>
      </c>
      <c r="E56" s="6" t="n">
        <v>0.95</v>
      </c>
      <c r="F56" s="6" t="n">
        <v>1.05</v>
      </c>
      <c r="G56" s="7" t="s">
        <v>155</v>
      </c>
      <c r="H56" s="7" t="s">
        <v>194</v>
      </c>
      <c r="I56" s="3" t="s">
        <v>46</v>
      </c>
    </row>
    <row r="57" customFormat="false" ht="17.15" hidden="false" customHeight="false" outlineLevel="0" collapsed="false">
      <c r="A57" s="0" t="s">
        <v>195</v>
      </c>
      <c r="B57" s="0" t="s">
        <v>196</v>
      </c>
      <c r="C57" s="0" t="s">
        <v>154</v>
      </c>
      <c r="E57" s="6" t="n">
        <v>0.88</v>
      </c>
      <c r="G57" s="7" t="s">
        <v>155</v>
      </c>
      <c r="H57" s="7" t="s">
        <v>197</v>
      </c>
      <c r="I57" s="7" t="s">
        <v>191</v>
      </c>
    </row>
    <row r="58" customFormat="false" ht="17.15" hidden="false" customHeight="false" outlineLevel="0" collapsed="false">
      <c r="A58" s="0" t="s">
        <v>198</v>
      </c>
      <c r="B58" s="0" t="s">
        <v>199</v>
      </c>
      <c r="C58" s="0" t="s">
        <v>154</v>
      </c>
      <c r="D58" s="6" t="n">
        <v>0.75</v>
      </c>
      <c r="E58" s="6" t="n">
        <v>0.9</v>
      </c>
      <c r="F58" s="6" t="n">
        <v>1</v>
      </c>
      <c r="G58" s="7" t="s">
        <v>155</v>
      </c>
      <c r="H58" s="7" t="s">
        <v>200</v>
      </c>
      <c r="I58" s="3" t="s">
        <v>46</v>
      </c>
    </row>
    <row r="59" customFormat="false" ht="17.15" hidden="false" customHeight="false" outlineLevel="0" collapsed="false">
      <c r="A59" s="0" t="s">
        <v>201</v>
      </c>
      <c r="B59" s="0" t="s">
        <v>202</v>
      </c>
      <c r="C59" s="0" t="s">
        <v>154</v>
      </c>
      <c r="E59" s="6" t="n">
        <v>0.85</v>
      </c>
      <c r="G59" s="7" t="s">
        <v>155</v>
      </c>
      <c r="H59" s="7" t="s">
        <v>203</v>
      </c>
      <c r="I59" s="7" t="s">
        <v>191</v>
      </c>
    </row>
    <row r="60" customFormat="false" ht="17.15" hidden="false" customHeight="false" outlineLevel="0" collapsed="false">
      <c r="A60" s="0" t="s">
        <v>204</v>
      </c>
      <c r="B60" s="0" t="s">
        <v>205</v>
      </c>
      <c r="C60" s="0" t="s">
        <v>44</v>
      </c>
      <c r="D60" s="6" t="n">
        <v>0.7</v>
      </c>
      <c r="E60" s="6" t="n">
        <v>0.7</v>
      </c>
      <c r="F60" s="6" t="n">
        <v>0.8</v>
      </c>
      <c r="G60" s="7" t="s">
        <v>206</v>
      </c>
      <c r="H60" s="7" t="s">
        <v>207</v>
      </c>
      <c r="I60" s="7" t="s">
        <v>208</v>
      </c>
    </row>
    <row r="61" customFormat="false" ht="17.15" hidden="false" customHeight="false" outlineLevel="0" collapsed="false">
      <c r="A61" s="0" t="s">
        <v>209</v>
      </c>
      <c r="B61" s="0" t="s">
        <v>210</v>
      </c>
      <c r="C61" s="0" t="s">
        <v>154</v>
      </c>
      <c r="D61" s="6" t="n">
        <v>0.2</v>
      </c>
      <c r="E61" s="6" t="n">
        <v>0.4</v>
      </c>
      <c r="F61" s="6" t="n">
        <v>0.6</v>
      </c>
      <c r="G61" s="7" t="s">
        <v>155</v>
      </c>
      <c r="H61" s="7" t="s">
        <v>211</v>
      </c>
      <c r="I61" s="7" t="s">
        <v>212</v>
      </c>
    </row>
    <row r="62" customFormat="false" ht="17.15" hidden="false" customHeight="false" outlineLevel="0" collapsed="false">
      <c r="A62" s="0" t="s">
        <v>213</v>
      </c>
      <c r="B62" s="3" t="s">
        <v>214</v>
      </c>
      <c r="C62" s="0" t="s">
        <v>154</v>
      </c>
      <c r="D62" s="6" t="n">
        <v>0.6</v>
      </c>
      <c r="E62" s="6" t="n">
        <v>0.8</v>
      </c>
      <c r="F62" s="6" t="n">
        <v>1</v>
      </c>
      <c r="G62" s="7" t="s">
        <v>155</v>
      </c>
      <c r="H62" s="7" t="s">
        <v>215</v>
      </c>
      <c r="I62" s="3" t="s">
        <v>216</v>
      </c>
    </row>
    <row r="63" customFormat="false" ht="17.15" hidden="false" customHeight="false" outlineLevel="0" collapsed="false">
      <c r="A63" s="0" t="s">
        <v>217</v>
      </c>
      <c r="B63" s="3" t="s">
        <v>218</v>
      </c>
      <c r="C63" s="0" t="s">
        <v>44</v>
      </c>
      <c r="E63" s="6" t="n">
        <v>0.25</v>
      </c>
      <c r="G63" s="7" t="s">
        <v>155</v>
      </c>
      <c r="H63" s="7" t="s">
        <v>219</v>
      </c>
      <c r="I63" s="7" t="s">
        <v>191</v>
      </c>
    </row>
    <row r="64" customFormat="false" ht="17.15" hidden="false" customHeight="false" outlineLevel="0" collapsed="false">
      <c r="A64" s="0" t="s">
        <v>220</v>
      </c>
      <c r="B64" s="3" t="s">
        <v>221</v>
      </c>
      <c r="C64" s="0" t="s">
        <v>44</v>
      </c>
      <c r="E64" s="6" t="n">
        <v>0.3</v>
      </c>
      <c r="G64" s="7" t="s">
        <v>155</v>
      </c>
      <c r="H64" s="7" t="s">
        <v>222</v>
      </c>
      <c r="I64" s="3" t="s">
        <v>46</v>
      </c>
    </row>
    <row r="65" customFormat="false" ht="17.15" hidden="false" customHeight="false" outlineLevel="0" collapsed="false">
      <c r="A65" s="0" t="s">
        <v>223</v>
      </c>
      <c r="B65" s="3" t="s">
        <v>224</v>
      </c>
      <c r="C65" s="0" t="s">
        <v>44</v>
      </c>
      <c r="E65" s="6" t="n">
        <v>0.27</v>
      </c>
      <c r="G65" s="7" t="s">
        <v>155</v>
      </c>
      <c r="H65" s="7" t="s">
        <v>225</v>
      </c>
      <c r="I65" s="7" t="s">
        <v>191</v>
      </c>
    </row>
    <row r="66" customFormat="false" ht="17.15" hidden="false" customHeight="false" outlineLevel="0" collapsed="false">
      <c r="A66" s="0" t="s">
        <v>226</v>
      </c>
      <c r="B66" s="3" t="s">
        <v>227</v>
      </c>
      <c r="C66" s="0" t="s">
        <v>44</v>
      </c>
      <c r="E66" s="6" t="n">
        <v>0.31</v>
      </c>
      <c r="G66" s="7" t="s">
        <v>155</v>
      </c>
      <c r="H66" s="7" t="s">
        <v>228</v>
      </c>
      <c r="I66" s="3" t="s">
        <v>46</v>
      </c>
    </row>
    <row r="67" customFormat="false" ht="17.15" hidden="false" customHeight="false" outlineLevel="0" collapsed="false">
      <c r="A67" s="0" t="s">
        <v>229</v>
      </c>
      <c r="B67" s="3" t="s">
        <v>230</v>
      </c>
      <c r="C67" s="0" t="s">
        <v>44</v>
      </c>
      <c r="E67" s="6" t="n">
        <v>0.29</v>
      </c>
      <c r="G67" s="7" t="s">
        <v>155</v>
      </c>
      <c r="H67" s="7" t="s">
        <v>231</v>
      </c>
      <c r="I67" s="7" t="s">
        <v>191</v>
      </c>
    </row>
    <row r="68" customFormat="false" ht="17.15" hidden="false" customHeight="false" outlineLevel="0" collapsed="false">
      <c r="A68" s="0" t="s">
        <v>232</v>
      </c>
      <c r="B68" s="3" t="s">
        <v>233</v>
      </c>
      <c r="C68" s="0" t="s">
        <v>44</v>
      </c>
      <c r="E68" s="6" t="n">
        <v>0.32</v>
      </c>
      <c r="G68" s="7" t="s">
        <v>155</v>
      </c>
      <c r="H68" s="7" t="s">
        <v>234</v>
      </c>
      <c r="I68" s="3" t="s">
        <v>46</v>
      </c>
    </row>
    <row r="69" customFormat="false" ht="17.15" hidden="false" customHeight="false" outlineLevel="0" collapsed="false">
      <c r="A69" s="0" t="s">
        <v>235</v>
      </c>
      <c r="B69" s="3" t="s">
        <v>236</v>
      </c>
      <c r="C69" s="0" t="s">
        <v>44</v>
      </c>
      <c r="E69" s="6" t="n">
        <v>0.3</v>
      </c>
      <c r="G69" s="7" t="s">
        <v>155</v>
      </c>
      <c r="H69" s="7" t="s">
        <v>237</v>
      </c>
      <c r="I69" s="7" t="s">
        <v>191</v>
      </c>
    </row>
    <row r="70" customFormat="false" ht="17.15" hidden="false" customHeight="false" outlineLevel="0" collapsed="false">
      <c r="A70" s="0" t="s">
        <v>238</v>
      </c>
      <c r="B70" s="3" t="s">
        <v>239</v>
      </c>
      <c r="C70" s="0" t="s">
        <v>44</v>
      </c>
      <c r="E70" s="6" t="n">
        <v>0.33</v>
      </c>
      <c r="G70" s="7" t="s">
        <v>155</v>
      </c>
      <c r="H70" s="7" t="s">
        <v>240</v>
      </c>
      <c r="I70" s="3" t="s">
        <v>46</v>
      </c>
    </row>
    <row r="71" customFormat="false" ht="17.15" hidden="false" customHeight="false" outlineLevel="0" collapsed="false">
      <c r="A71" s="0" t="s">
        <v>241</v>
      </c>
      <c r="B71" s="3" t="s">
        <v>242</v>
      </c>
      <c r="C71" s="0" t="s">
        <v>44</v>
      </c>
      <c r="D71" s="6" t="n">
        <v>0.01</v>
      </c>
      <c r="E71" s="6" t="n">
        <v>0.02</v>
      </c>
      <c r="F71" s="6" t="n">
        <v>0.03</v>
      </c>
      <c r="G71" s="7" t="s">
        <v>155</v>
      </c>
      <c r="H71" s="3" t="s">
        <v>243</v>
      </c>
      <c r="I71" s="3" t="s">
        <v>244</v>
      </c>
    </row>
    <row r="72" customFormat="false" ht="17.15" hidden="false" customHeight="false" outlineLevel="0" collapsed="false">
      <c r="A72" s="0" t="s">
        <v>245</v>
      </c>
      <c r="B72" s="3" t="s">
        <v>246</v>
      </c>
      <c r="C72" s="0" t="s">
        <v>44</v>
      </c>
      <c r="D72" s="6" t="n">
        <v>0.01</v>
      </c>
      <c r="E72" s="6" t="n">
        <v>0.03</v>
      </c>
      <c r="F72" s="6" t="n">
        <v>0.05</v>
      </c>
      <c r="G72" s="7" t="s">
        <v>155</v>
      </c>
      <c r="H72" s="7" t="s">
        <v>247</v>
      </c>
      <c r="I72" s="7" t="s">
        <v>248</v>
      </c>
    </row>
    <row r="73" customFormat="false" ht="17.15" hidden="false" customHeight="false" outlineLevel="0" collapsed="false">
      <c r="A73" s="0" t="s">
        <v>249</v>
      </c>
      <c r="B73" s="3" t="s">
        <v>250</v>
      </c>
      <c r="C73" s="0" t="s">
        <v>44</v>
      </c>
      <c r="D73" s="6" t="n">
        <v>0.01</v>
      </c>
      <c r="E73" s="6" t="n">
        <v>0.04</v>
      </c>
      <c r="F73" s="6" t="n">
        <v>0.06</v>
      </c>
      <c r="G73" s="7" t="s">
        <v>155</v>
      </c>
      <c r="H73" s="7" t="s">
        <v>247</v>
      </c>
      <c r="I73" s="7" t="s">
        <v>248</v>
      </c>
    </row>
    <row r="74" customFormat="false" ht="17.15" hidden="false" customHeight="false" outlineLevel="0" collapsed="false">
      <c r="A74" s="0" t="s">
        <v>251</v>
      </c>
      <c r="B74" s="3" t="s">
        <v>252</v>
      </c>
      <c r="C74" s="0" t="s">
        <v>44</v>
      </c>
      <c r="D74" s="6" t="n">
        <v>0.01</v>
      </c>
      <c r="E74" s="6" t="n">
        <v>0.04</v>
      </c>
      <c r="F74" s="6" t="n">
        <v>0.06</v>
      </c>
      <c r="G74" s="7" t="s">
        <v>155</v>
      </c>
      <c r="H74" s="7" t="s">
        <v>247</v>
      </c>
      <c r="I74" s="7" t="s">
        <v>248</v>
      </c>
    </row>
    <row r="75" customFormat="false" ht="17.15" hidden="false" customHeight="false" outlineLevel="0" collapsed="false">
      <c r="A75" s="0" t="s">
        <v>253</v>
      </c>
      <c r="B75" s="3" t="s">
        <v>254</v>
      </c>
      <c r="C75" s="0" t="s">
        <v>44</v>
      </c>
      <c r="D75" s="6" t="n">
        <v>0.03</v>
      </c>
      <c r="E75" s="6" t="n">
        <v>0.05</v>
      </c>
      <c r="F75" s="6" t="n">
        <v>0.08</v>
      </c>
      <c r="G75" s="7" t="s">
        <v>155</v>
      </c>
      <c r="H75" s="7" t="s">
        <v>255</v>
      </c>
      <c r="I75" s="3" t="s">
        <v>256</v>
      </c>
    </row>
    <row r="76" customFormat="false" ht="17.15" hidden="false" customHeight="false" outlineLevel="0" collapsed="false">
      <c r="A76" s="0" t="s">
        <v>257</v>
      </c>
      <c r="B76" s="3" t="s">
        <v>258</v>
      </c>
      <c r="C76" s="0" t="s">
        <v>44</v>
      </c>
      <c r="D76" s="6" t="n">
        <v>0.03</v>
      </c>
      <c r="E76" s="6" t="n">
        <v>0.06</v>
      </c>
      <c r="F76" s="6" t="n">
        <v>0.09</v>
      </c>
      <c r="G76" s="7" t="s">
        <v>155</v>
      </c>
      <c r="H76" s="3" t="s">
        <v>46</v>
      </c>
      <c r="I76" s="7" t="s">
        <v>248</v>
      </c>
    </row>
    <row r="77" customFormat="false" ht="17.15" hidden="false" customHeight="false" outlineLevel="0" collapsed="false">
      <c r="A77" s="0" t="s">
        <v>259</v>
      </c>
      <c r="B77" s="3" t="s">
        <v>260</v>
      </c>
      <c r="C77" s="0" t="s">
        <v>44</v>
      </c>
      <c r="D77" s="6" t="n">
        <v>0.03</v>
      </c>
      <c r="E77" s="6" t="n">
        <v>0.07</v>
      </c>
      <c r="F77" s="6" t="n">
        <v>0.1</v>
      </c>
      <c r="G77" s="7" t="s">
        <v>155</v>
      </c>
      <c r="H77" s="3" t="s">
        <v>46</v>
      </c>
      <c r="I77" s="7" t="s">
        <v>248</v>
      </c>
    </row>
    <row r="78" customFormat="false" ht="17.15" hidden="false" customHeight="false" outlineLevel="0" collapsed="false">
      <c r="A78" s="0" t="s">
        <v>261</v>
      </c>
      <c r="B78" s="3" t="s">
        <v>262</v>
      </c>
      <c r="C78" s="0" t="s">
        <v>44</v>
      </c>
      <c r="D78" s="6" t="n">
        <v>0.03</v>
      </c>
      <c r="E78" s="6" t="n">
        <v>0.07</v>
      </c>
      <c r="F78" s="6" t="n">
        <v>0.1</v>
      </c>
      <c r="G78" s="7" t="s">
        <v>155</v>
      </c>
      <c r="H78" s="3" t="s">
        <v>46</v>
      </c>
      <c r="I78" s="7" t="s">
        <v>248</v>
      </c>
    </row>
    <row r="79" customFormat="false" ht="17.15" hidden="false" customHeight="false" outlineLevel="0" collapsed="false">
      <c r="A79" s="5" t="s">
        <v>263</v>
      </c>
    </row>
    <row r="80" customFormat="false" ht="17.15" hidden="false" customHeight="false" outlineLevel="0" collapsed="false">
      <c r="A80" s="0" t="s">
        <v>264</v>
      </c>
      <c r="B80" s="0" t="s">
        <v>265</v>
      </c>
      <c r="C80" s="0" t="s">
        <v>44</v>
      </c>
      <c r="D80" s="6" t="n">
        <v>0.53</v>
      </c>
      <c r="E80" s="6" t="n">
        <v>0.58</v>
      </c>
      <c r="F80" s="6" t="n">
        <v>0.62</v>
      </c>
      <c r="G80" s="7" t="s">
        <v>206</v>
      </c>
      <c r="H80" s="3" t="s">
        <v>266</v>
      </c>
      <c r="I80" s="7" t="s">
        <v>267</v>
      </c>
    </row>
    <row r="81" customFormat="false" ht="17.15" hidden="false" customHeight="false" outlineLevel="0" collapsed="false">
      <c r="A81" s="0" t="s">
        <v>268</v>
      </c>
      <c r="B81" s="0" t="s">
        <v>269</v>
      </c>
      <c r="C81" s="0" t="s">
        <v>44</v>
      </c>
      <c r="D81" s="6" t="n">
        <v>0.28</v>
      </c>
      <c r="E81" s="6" t="n">
        <v>0.32</v>
      </c>
      <c r="F81" s="6" t="n">
        <v>0.35</v>
      </c>
      <c r="G81" s="7" t="s">
        <v>206</v>
      </c>
      <c r="H81" s="3" t="s">
        <v>270</v>
      </c>
      <c r="I81" s="7" t="s">
        <v>271</v>
      </c>
    </row>
    <row r="82" customFormat="false" ht="17.15" hidden="false" customHeight="false" outlineLevel="0" collapsed="false">
      <c r="A82" s="0" t="s">
        <v>272</v>
      </c>
      <c r="B82" s="0" t="s">
        <v>273</v>
      </c>
      <c r="C82" s="0" t="s">
        <v>44</v>
      </c>
      <c r="D82" s="6" t="n">
        <v>0.55</v>
      </c>
      <c r="E82" s="6" t="n">
        <v>0.65</v>
      </c>
      <c r="F82" s="6" t="n">
        <v>0.75</v>
      </c>
      <c r="G82" s="7" t="s">
        <v>206</v>
      </c>
      <c r="H82" s="3" t="s">
        <v>274</v>
      </c>
      <c r="I82" s="3" t="s">
        <v>275</v>
      </c>
    </row>
    <row r="83" customFormat="false" ht="17.15" hidden="false" customHeight="false" outlineLevel="0" collapsed="false">
      <c r="A83" s="5" t="s">
        <v>276</v>
      </c>
    </row>
    <row r="84" customFormat="false" ht="17.15" hidden="false" customHeight="false" outlineLevel="0" collapsed="false">
      <c r="A84" s="0" t="s">
        <v>277</v>
      </c>
      <c r="B84" s="3" t="s">
        <v>278</v>
      </c>
      <c r="C84" s="0" t="s">
        <v>154</v>
      </c>
      <c r="D84" s="6" t="n">
        <v>0.3</v>
      </c>
      <c r="E84" s="6" t="n">
        <v>0.5</v>
      </c>
      <c r="F84" s="6" t="n">
        <v>0.8</v>
      </c>
      <c r="G84" s="7" t="s">
        <v>155</v>
      </c>
      <c r="H84" s="3" t="s">
        <v>279</v>
      </c>
      <c r="I84" s="3" t="s">
        <v>280</v>
      </c>
    </row>
    <row r="85" customFormat="false" ht="17.15" hidden="false" customHeight="false" outlineLevel="0" collapsed="false">
      <c r="A85" s="0" t="s">
        <v>281</v>
      </c>
      <c r="B85" s="3" t="s">
        <v>282</v>
      </c>
      <c r="C85" s="0" t="s">
        <v>44</v>
      </c>
      <c r="D85" s="6" t="n">
        <v>-0.02</v>
      </c>
      <c r="E85" s="6" t="n">
        <v>0.03</v>
      </c>
      <c r="F85" s="6" t="n">
        <v>0.06</v>
      </c>
      <c r="G85" s="7" t="s">
        <v>155</v>
      </c>
      <c r="H85" s="3" t="s">
        <v>283</v>
      </c>
      <c r="I85" s="7" t="s">
        <v>248</v>
      </c>
    </row>
    <row r="86" customFormat="false" ht="17.15" hidden="false" customHeight="false" outlineLevel="0" collapsed="false">
      <c r="A86" s="0" t="s">
        <v>284</v>
      </c>
      <c r="B86" s="0" t="s">
        <v>285</v>
      </c>
      <c r="C86" s="0" t="s">
        <v>154</v>
      </c>
      <c r="D86" s="6" t="n">
        <v>1.1</v>
      </c>
      <c r="E86" s="6" t="n">
        <v>1.2</v>
      </c>
      <c r="F86" s="6" t="n">
        <v>1.3</v>
      </c>
      <c r="G86" s="7" t="s">
        <v>155</v>
      </c>
      <c r="H86" s="3" t="s">
        <v>286</v>
      </c>
      <c r="I86" s="3" t="s">
        <v>287</v>
      </c>
    </row>
    <row r="87" customFormat="false" ht="17.15" hidden="false" customHeight="false" outlineLevel="0" collapsed="false">
      <c r="A87" s="0" t="s">
        <v>288</v>
      </c>
      <c r="B87" s="0" t="s">
        <v>289</v>
      </c>
      <c r="C87" s="0" t="s">
        <v>154</v>
      </c>
      <c r="D87" s="6" t="n">
        <v>1.2</v>
      </c>
      <c r="E87" s="6" t="n">
        <v>1.35</v>
      </c>
      <c r="F87" s="6" t="n">
        <v>1.5</v>
      </c>
      <c r="G87" s="7" t="s">
        <v>155</v>
      </c>
      <c r="H87" s="3" t="s">
        <v>46</v>
      </c>
      <c r="I87" s="3" t="s">
        <v>290</v>
      </c>
    </row>
    <row r="88" customFormat="false" ht="17.15" hidden="false" customHeight="false" outlineLevel="0" collapsed="false">
      <c r="A88" s="0" t="s">
        <v>291</v>
      </c>
      <c r="B88" s="0" t="s">
        <v>292</v>
      </c>
      <c r="C88" s="0" t="s">
        <v>154</v>
      </c>
      <c r="D88" s="6" t="n">
        <v>1.35</v>
      </c>
      <c r="E88" s="6" t="n">
        <v>1.6</v>
      </c>
      <c r="F88" s="6" t="n">
        <v>1.85</v>
      </c>
      <c r="G88" s="7" t="s">
        <v>155</v>
      </c>
      <c r="H88" s="3" t="s">
        <v>46</v>
      </c>
      <c r="I88" s="7" t="s">
        <v>248</v>
      </c>
    </row>
    <row r="89" customFormat="false" ht="17.15" hidden="false" customHeight="false" outlineLevel="0" collapsed="false">
      <c r="A89" s="0" t="s">
        <v>293</v>
      </c>
      <c r="B89" s="3" t="s">
        <v>294</v>
      </c>
      <c r="C89" s="0" t="s">
        <v>44</v>
      </c>
      <c r="D89" s="6" t="n">
        <v>0</v>
      </c>
      <c r="E89" s="6" t="n">
        <v>0.05</v>
      </c>
      <c r="F89" s="6" t="n">
        <v>0.08</v>
      </c>
      <c r="G89" s="7" t="s">
        <v>155</v>
      </c>
      <c r="H89" s="3" t="s">
        <v>295</v>
      </c>
      <c r="I89" s="3" t="s">
        <v>296</v>
      </c>
    </row>
    <row r="90" customFormat="false" ht="17.15" hidden="false" customHeight="false" outlineLevel="0" collapsed="false">
      <c r="A90" s="0" t="s">
        <v>297</v>
      </c>
      <c r="B90" s="3" t="s">
        <v>298</v>
      </c>
      <c r="C90" s="0" t="s">
        <v>44</v>
      </c>
      <c r="D90" s="6" t="n">
        <v>0.08</v>
      </c>
      <c r="E90" s="6" t="n">
        <v>0.15</v>
      </c>
      <c r="F90" s="6" t="n">
        <v>0.22</v>
      </c>
      <c r="G90" s="7" t="s">
        <v>155</v>
      </c>
      <c r="H90" s="7" t="s">
        <v>299</v>
      </c>
      <c r="I90" s="3" t="s">
        <v>300</v>
      </c>
    </row>
    <row r="91" customFormat="false" ht="17.15" hidden="false" customHeight="false" outlineLevel="0" collapsed="false">
      <c r="A91" s="0" t="s">
        <v>301</v>
      </c>
      <c r="B91" s="0" t="s">
        <v>302</v>
      </c>
      <c r="C91" s="0" t="s">
        <v>44</v>
      </c>
      <c r="E91" s="6" t="n">
        <v>0.3</v>
      </c>
      <c r="G91" s="7" t="s">
        <v>155</v>
      </c>
      <c r="H91" s="7" t="s">
        <v>303</v>
      </c>
      <c r="I91" s="7" t="s">
        <v>304</v>
      </c>
    </row>
    <row r="92" customFormat="false" ht="17.15" hidden="false" customHeight="false" outlineLevel="0" collapsed="false">
      <c r="A92" s="0" t="s">
        <v>305</v>
      </c>
      <c r="B92" s="0" t="s">
        <v>306</v>
      </c>
      <c r="C92" s="0" t="s">
        <v>44</v>
      </c>
      <c r="E92" s="6" t="n">
        <v>0.1</v>
      </c>
      <c r="G92" s="7" t="s">
        <v>155</v>
      </c>
      <c r="H92" s="3" t="s">
        <v>46</v>
      </c>
      <c r="I92" s="7" t="s">
        <v>248</v>
      </c>
    </row>
    <row r="93" customFormat="false" ht="17.15" hidden="false" customHeight="false" outlineLevel="0" collapsed="false">
      <c r="A93" s="0" t="s">
        <v>307</v>
      </c>
      <c r="B93" s="0" t="s">
        <v>308</v>
      </c>
      <c r="C93" s="0" t="s">
        <v>44</v>
      </c>
      <c r="E93" s="6" t="n">
        <v>0.05</v>
      </c>
      <c r="G93" s="7" t="s">
        <v>155</v>
      </c>
      <c r="H93" s="3" t="s">
        <v>46</v>
      </c>
      <c r="I93" s="7" t="s">
        <v>248</v>
      </c>
    </row>
    <row r="94" customFormat="false" ht="17.15" hidden="false" customHeight="false" outlineLevel="0" collapsed="false">
      <c r="A94" s="0" t="s">
        <v>309</v>
      </c>
      <c r="B94" s="0" t="s">
        <v>310</v>
      </c>
      <c r="C94" s="0" t="s">
        <v>44</v>
      </c>
      <c r="E94" s="6" t="n">
        <v>0.25</v>
      </c>
      <c r="G94" s="7" t="s">
        <v>155</v>
      </c>
      <c r="H94" s="3" t="s">
        <v>46</v>
      </c>
      <c r="I94" s="7" t="s">
        <v>248</v>
      </c>
    </row>
    <row r="95" customFormat="false" ht="17.15" hidden="false" customHeight="false" outlineLevel="0" collapsed="false">
      <c r="A95" s="0" t="s">
        <v>311</v>
      </c>
      <c r="B95" s="0" t="s">
        <v>312</v>
      </c>
      <c r="C95" s="0" t="s">
        <v>44</v>
      </c>
      <c r="E95" s="6" t="n">
        <v>0.05</v>
      </c>
      <c r="G95" s="7" t="s">
        <v>155</v>
      </c>
      <c r="H95" s="3" t="s">
        <v>46</v>
      </c>
      <c r="I95" s="7" t="s">
        <v>248</v>
      </c>
    </row>
    <row r="96" customFormat="false" ht="17.15" hidden="false" customHeight="false" outlineLevel="0" collapsed="false">
      <c r="A96" s="0" t="s">
        <v>313</v>
      </c>
      <c r="B96" s="0" t="s">
        <v>314</v>
      </c>
      <c r="C96" s="0" t="s">
        <v>44</v>
      </c>
      <c r="E96" s="6" t="n">
        <v>0.03</v>
      </c>
      <c r="G96" s="7" t="s">
        <v>155</v>
      </c>
      <c r="H96" s="3" t="s">
        <v>46</v>
      </c>
      <c r="I96" s="7" t="s">
        <v>248</v>
      </c>
    </row>
    <row r="97" customFormat="false" ht="17.15" hidden="false" customHeight="false" outlineLevel="0" collapsed="false">
      <c r="A97" s="0" t="s">
        <v>315</v>
      </c>
      <c r="B97" s="0" t="s">
        <v>316</v>
      </c>
      <c r="C97" s="0" t="s">
        <v>44</v>
      </c>
      <c r="E97" s="6" t="n">
        <v>0.15</v>
      </c>
      <c r="G97" s="7" t="s">
        <v>155</v>
      </c>
      <c r="H97" s="3" t="s">
        <v>46</v>
      </c>
      <c r="I97" s="7" t="s">
        <v>248</v>
      </c>
    </row>
    <row r="98" customFormat="false" ht="17.15" hidden="false" customHeight="false" outlineLevel="0" collapsed="false">
      <c r="A98" s="0" t="s">
        <v>317</v>
      </c>
      <c r="B98" s="0" t="s">
        <v>318</v>
      </c>
      <c r="C98" s="0" t="s">
        <v>44</v>
      </c>
      <c r="E98" s="6" t="n">
        <v>0</v>
      </c>
      <c r="G98" s="7" t="s">
        <v>155</v>
      </c>
      <c r="H98" s="3" t="s">
        <v>46</v>
      </c>
      <c r="I98" s="7" t="s">
        <v>248</v>
      </c>
    </row>
    <row r="99" customFormat="false" ht="17.15" hidden="false" customHeight="false" outlineLevel="0" collapsed="false">
      <c r="A99" s="0" t="s">
        <v>319</v>
      </c>
      <c r="B99" s="0" t="s">
        <v>320</v>
      </c>
      <c r="C99" s="0" t="s">
        <v>44</v>
      </c>
      <c r="E99" s="6" t="n">
        <v>0</v>
      </c>
      <c r="G99" s="7" t="s">
        <v>155</v>
      </c>
      <c r="H99" s="3" t="s">
        <v>46</v>
      </c>
      <c r="I99" s="7" t="s">
        <v>248</v>
      </c>
    </row>
    <row r="100" customFormat="false" ht="17.15" hidden="false" customHeight="false" outlineLevel="0" collapsed="false">
      <c r="A100" s="0" t="s">
        <v>321</v>
      </c>
      <c r="B100" s="0" t="s">
        <v>322</v>
      </c>
      <c r="C100" s="0" t="s">
        <v>44</v>
      </c>
      <c r="D100" s="6" t="n">
        <v>-0.05</v>
      </c>
      <c r="E100" s="6" t="n">
        <v>0</v>
      </c>
      <c r="F100" s="6" t="n">
        <v>0.03</v>
      </c>
      <c r="G100" s="7" t="s">
        <v>155</v>
      </c>
      <c r="H100" s="3" t="s">
        <v>323</v>
      </c>
      <c r="I100" s="7" t="s">
        <v>248</v>
      </c>
    </row>
    <row r="101" customFormat="false" ht="17.15" hidden="false" customHeight="false" outlineLevel="0" collapsed="false">
      <c r="A101" s="5" t="s">
        <v>324</v>
      </c>
    </row>
    <row r="102" customFormat="false" ht="17.15" hidden="false" customHeight="false" outlineLevel="0" collapsed="false">
      <c r="A102" s="0" t="s">
        <v>325</v>
      </c>
      <c r="B102" s="0" t="s">
        <v>326</v>
      </c>
      <c r="C102" s="0" t="s">
        <v>44</v>
      </c>
      <c r="D102" s="6" t="n">
        <v>0.4</v>
      </c>
      <c r="E102" s="6" t="n">
        <v>0.5</v>
      </c>
      <c r="F102" s="6" t="n">
        <v>0.6</v>
      </c>
      <c r="G102" s="7" t="s">
        <v>155</v>
      </c>
      <c r="H102" s="7" t="s">
        <v>327</v>
      </c>
      <c r="I102" s="3" t="s">
        <v>296</v>
      </c>
    </row>
    <row r="103" customFormat="false" ht="17.15" hidden="false" customHeight="false" outlineLevel="0" collapsed="false">
      <c r="A103" s="0" t="s">
        <v>328</v>
      </c>
      <c r="B103" s="3" t="s">
        <v>329</v>
      </c>
      <c r="C103" s="0" t="s">
        <v>44</v>
      </c>
      <c r="D103" s="6" t="n">
        <v>0.25</v>
      </c>
      <c r="E103" s="6" t="n">
        <v>0.4</v>
      </c>
      <c r="F103" s="6" t="n">
        <v>0.55</v>
      </c>
      <c r="G103" s="7" t="s">
        <v>155</v>
      </c>
      <c r="H103" s="7" t="s">
        <v>330</v>
      </c>
      <c r="I103" s="7" t="s">
        <v>248</v>
      </c>
    </row>
    <row r="104" customFormat="false" ht="17.15" hidden="false" customHeight="false" outlineLevel="0" collapsed="false">
      <c r="A104" s="0" t="s">
        <v>331</v>
      </c>
      <c r="B104" s="3" t="s">
        <v>332</v>
      </c>
      <c r="C104" s="0" t="s">
        <v>333</v>
      </c>
      <c r="D104" s="6" t="n">
        <v>6</v>
      </c>
      <c r="E104" s="6" t="n">
        <v>14</v>
      </c>
      <c r="F104" s="6" t="n">
        <v>20</v>
      </c>
      <c r="G104" s="7" t="s">
        <v>155</v>
      </c>
      <c r="H104" s="3" t="s">
        <v>334</v>
      </c>
      <c r="I104" s="3" t="s">
        <v>335</v>
      </c>
    </row>
    <row r="105" customFormat="false" ht="17.15" hidden="false" customHeight="false" outlineLevel="0" collapsed="false">
      <c r="A105" s="0" t="s">
        <v>336</v>
      </c>
      <c r="B105" s="3" t="s">
        <v>337</v>
      </c>
      <c r="C105" s="0" t="s">
        <v>333</v>
      </c>
      <c r="D105" s="6" t="n">
        <v>6</v>
      </c>
      <c r="E105" s="6" t="n">
        <v>18</v>
      </c>
      <c r="F105" s="6" t="n">
        <v>24</v>
      </c>
      <c r="G105" s="7" t="s">
        <v>155</v>
      </c>
      <c r="H105" s="3" t="s">
        <v>46</v>
      </c>
      <c r="I105" s="7" t="s">
        <v>248</v>
      </c>
    </row>
    <row r="106" customFormat="false" ht="17.15" hidden="false" customHeight="false" outlineLevel="0" collapsed="false">
      <c r="A106" s="0" t="s">
        <v>338</v>
      </c>
      <c r="B106" s="3" t="s">
        <v>339</v>
      </c>
      <c r="C106" s="0" t="s">
        <v>333</v>
      </c>
      <c r="D106" s="6" t="n">
        <v>6</v>
      </c>
      <c r="E106" s="6" t="n">
        <v>12</v>
      </c>
      <c r="F106" s="6" t="n">
        <v>20</v>
      </c>
      <c r="G106" s="7" t="s">
        <v>155</v>
      </c>
      <c r="H106" s="3" t="s">
        <v>46</v>
      </c>
      <c r="I106" s="7" t="s">
        <v>248</v>
      </c>
    </row>
    <row r="107" customFormat="false" ht="17.15" hidden="false" customHeight="false" outlineLevel="0" collapsed="false">
      <c r="A107" s="0" t="s">
        <v>340</v>
      </c>
      <c r="B107" s="0" t="s">
        <v>341</v>
      </c>
      <c r="C107" s="0" t="s">
        <v>333</v>
      </c>
      <c r="E107" s="6" t="n">
        <v>4</v>
      </c>
      <c r="G107" s="7" t="s">
        <v>206</v>
      </c>
      <c r="H107" s="3" t="s">
        <v>342</v>
      </c>
      <c r="I107" s="7" t="s">
        <v>343</v>
      </c>
    </row>
    <row r="108" customFormat="false" ht="17.15" hidden="false" customHeight="false" outlineLevel="0" collapsed="false">
      <c r="A108" s="0" t="s">
        <v>344</v>
      </c>
      <c r="B108" s="0" t="s">
        <v>345</v>
      </c>
      <c r="C108" s="0" t="s">
        <v>333</v>
      </c>
      <c r="E108" s="6" t="n">
        <v>7.1</v>
      </c>
      <c r="G108" s="7" t="s">
        <v>206</v>
      </c>
      <c r="H108" s="7" t="s">
        <v>346</v>
      </c>
      <c r="I108" s="3" t="s">
        <v>347</v>
      </c>
    </row>
    <row r="109" customFormat="false" ht="15" hidden="false" customHeight="false" outlineLevel="0" collapsed="false">
      <c r="A109" s="0" t="s">
        <v>348</v>
      </c>
      <c r="B109" s="3" t="s">
        <v>349</v>
      </c>
      <c r="C109" s="3" t="s">
        <v>350</v>
      </c>
      <c r="D109" s="6" t="n">
        <v>6</v>
      </c>
      <c r="E109" s="6" t="n">
        <v>8</v>
      </c>
      <c r="F109" s="6" t="n">
        <v>10</v>
      </c>
      <c r="G109" s="7" t="s">
        <v>155</v>
      </c>
      <c r="H109" s="3" t="s">
        <v>351</v>
      </c>
      <c r="I109" s="3" t="s">
        <v>352</v>
      </c>
    </row>
    <row r="110" customFormat="false" ht="17.15" hidden="false" customHeight="false" outlineLevel="0" collapsed="false">
      <c r="A110" s="0" t="s">
        <v>353</v>
      </c>
      <c r="B110" s="3" t="s">
        <v>354</v>
      </c>
      <c r="C110" s="0" t="s">
        <v>154</v>
      </c>
      <c r="D110" s="6" t="n">
        <v>0.3</v>
      </c>
      <c r="E110" s="6" t="n">
        <v>0.6</v>
      </c>
      <c r="F110" s="6" t="n">
        <v>1</v>
      </c>
      <c r="G110" s="7" t="s">
        <v>155</v>
      </c>
      <c r="H110" s="7" t="s">
        <v>355</v>
      </c>
      <c r="I110" s="7" t="s">
        <v>248</v>
      </c>
    </row>
    <row r="111" customFormat="false" ht="17.15" hidden="false" customHeight="false" outlineLevel="0" collapsed="false">
      <c r="A111" s="0" t="s">
        <v>356</v>
      </c>
      <c r="B111" s="3" t="s">
        <v>357</v>
      </c>
      <c r="C111" s="0" t="s">
        <v>333</v>
      </c>
      <c r="D111" s="6" t="n">
        <v>0</v>
      </c>
      <c r="E111" s="6" t="n">
        <v>0.6</v>
      </c>
      <c r="F111" s="6" t="n">
        <v>1.2</v>
      </c>
      <c r="G111" s="7" t="s">
        <v>155</v>
      </c>
      <c r="H111" s="7" t="s">
        <v>358</v>
      </c>
      <c r="I111" s="3" t="s">
        <v>359</v>
      </c>
    </row>
    <row r="112" customFormat="false" ht="17.15" hidden="false" customHeight="false" outlineLevel="0" collapsed="false">
      <c r="A112" s="0" t="s">
        <v>360</v>
      </c>
      <c r="B112" s="3" t="s">
        <v>361</v>
      </c>
      <c r="C112" s="0" t="s">
        <v>333</v>
      </c>
      <c r="D112" s="6" t="n">
        <v>0</v>
      </c>
      <c r="E112" s="6" t="n">
        <v>0.6</v>
      </c>
      <c r="F112" s="6" t="n">
        <v>1.2</v>
      </c>
      <c r="G112" s="7" t="s">
        <v>155</v>
      </c>
      <c r="H112" s="3" t="s">
        <v>46</v>
      </c>
      <c r="I112" s="7" t="s">
        <v>248</v>
      </c>
    </row>
    <row r="113" customFormat="false" ht="17.15" hidden="false" customHeight="false" outlineLevel="0" collapsed="false">
      <c r="A113" s="0" t="s">
        <v>362</v>
      </c>
      <c r="B113" s="3" t="s">
        <v>363</v>
      </c>
      <c r="C113" s="0" t="s">
        <v>333</v>
      </c>
      <c r="D113" s="6" t="n">
        <v>0</v>
      </c>
      <c r="E113" s="6" t="n">
        <v>0.6</v>
      </c>
      <c r="F113" s="6" t="n">
        <v>1.2</v>
      </c>
      <c r="G113" s="7" t="s">
        <v>155</v>
      </c>
      <c r="H113" s="3" t="s">
        <v>46</v>
      </c>
      <c r="I113" s="7" t="s">
        <v>248</v>
      </c>
    </row>
    <row r="114" customFormat="false" ht="17.15" hidden="false" customHeight="false" outlineLevel="0" collapsed="false">
      <c r="A114" s="0" t="s">
        <v>364</v>
      </c>
      <c r="B114" s="3" t="s">
        <v>365</v>
      </c>
      <c r="C114" s="0" t="s">
        <v>44</v>
      </c>
      <c r="D114" s="6" t="n">
        <v>0.18</v>
      </c>
      <c r="E114" s="6" t="n">
        <v>0.21</v>
      </c>
      <c r="F114" s="6" t="n">
        <v>0.24</v>
      </c>
      <c r="G114" s="7" t="s">
        <v>33</v>
      </c>
      <c r="H114" s="7" t="s">
        <v>366</v>
      </c>
      <c r="I114" s="7" t="s">
        <v>367</v>
      </c>
    </row>
    <row r="115" customFormat="false" ht="17.15" hidden="false" customHeight="false" outlineLevel="0" collapsed="false">
      <c r="A115" s="0" t="s">
        <v>368</v>
      </c>
      <c r="B115" s="3" t="s">
        <v>369</v>
      </c>
      <c r="C115" s="0" t="s">
        <v>44</v>
      </c>
      <c r="D115" s="6" t="n">
        <v>0</v>
      </c>
      <c r="E115" s="6" t="n">
        <v>0</v>
      </c>
      <c r="F115" s="6" t="n">
        <v>0.01</v>
      </c>
      <c r="G115" s="7" t="s">
        <v>155</v>
      </c>
      <c r="H115" s="3" t="s">
        <v>370</v>
      </c>
      <c r="I115" s="3" t="s">
        <v>371</v>
      </c>
    </row>
    <row r="116" customFormat="false" ht="17.15" hidden="false" customHeight="false" outlineLevel="0" collapsed="false">
      <c r="A116" s="5" t="s">
        <v>372</v>
      </c>
    </row>
    <row r="117" customFormat="false" ht="17.15" hidden="false" customHeight="false" outlineLevel="0" collapsed="false">
      <c r="A117" s="0" t="s">
        <v>373</v>
      </c>
      <c r="B117" s="0" t="s">
        <v>374</v>
      </c>
      <c r="C117" s="0" t="s">
        <v>333</v>
      </c>
      <c r="E117" s="6" t="n">
        <v>16.379</v>
      </c>
      <c r="G117" s="7" t="s">
        <v>375</v>
      </c>
      <c r="H117" s="7" t="s">
        <v>376</v>
      </c>
      <c r="I117" s="7" t="s">
        <v>377</v>
      </c>
    </row>
    <row r="118" customFormat="false" ht="17.15" hidden="false" customHeight="false" outlineLevel="0" collapsed="false">
      <c r="A118" s="0" t="s">
        <v>378</v>
      </c>
      <c r="B118" s="0" t="s">
        <v>379</v>
      </c>
      <c r="C118" s="0" t="s">
        <v>44</v>
      </c>
      <c r="D118" s="6" t="n">
        <v>0.28</v>
      </c>
      <c r="E118" s="6" t="n">
        <v>0.3</v>
      </c>
      <c r="F118" s="6" t="n">
        <v>0.315</v>
      </c>
      <c r="G118" s="7" t="s">
        <v>155</v>
      </c>
      <c r="H118" s="7" t="s">
        <v>380</v>
      </c>
      <c r="I118" s="3" t="s">
        <v>381</v>
      </c>
    </row>
    <row r="119" customFormat="false" ht="17.15" hidden="false" customHeight="false" outlineLevel="0" collapsed="false">
      <c r="A119" s="0" t="s">
        <v>382</v>
      </c>
      <c r="B119" s="0" t="s">
        <v>383</v>
      </c>
      <c r="C119" s="0" t="s">
        <v>333</v>
      </c>
      <c r="D119" s="6" t="n">
        <v>0.46</v>
      </c>
      <c r="E119" s="6" t="n">
        <v>0.5</v>
      </c>
      <c r="F119" s="6" t="n">
        <v>0.55</v>
      </c>
      <c r="G119" s="7" t="s">
        <v>155</v>
      </c>
      <c r="H119" s="7" t="s">
        <v>384</v>
      </c>
      <c r="I119" s="7" t="s">
        <v>248</v>
      </c>
    </row>
    <row r="120" customFormat="false" ht="17.15" hidden="false" customHeight="false" outlineLevel="0" collapsed="false">
      <c r="A120" s="0" t="s">
        <v>385</v>
      </c>
      <c r="B120" s="0" t="s">
        <v>386</v>
      </c>
      <c r="C120" s="0" t="s">
        <v>44</v>
      </c>
      <c r="D120" s="6" t="n">
        <v>0.03</v>
      </c>
      <c r="E120" s="6" t="n">
        <v>0.1</v>
      </c>
      <c r="F120" s="6" t="n">
        <v>0.15</v>
      </c>
      <c r="G120" s="7" t="s">
        <v>155</v>
      </c>
      <c r="H120" s="7" t="s">
        <v>387</v>
      </c>
      <c r="I120" s="7" t="s">
        <v>388</v>
      </c>
    </row>
    <row r="121" customFormat="false" ht="17.15" hidden="false" customHeight="false" outlineLevel="0" collapsed="false">
      <c r="A121" s="0" t="s">
        <v>389</v>
      </c>
      <c r="B121" s="0" t="s">
        <v>390</v>
      </c>
      <c r="C121" s="0" t="s">
        <v>44</v>
      </c>
      <c r="D121" s="6" t="n">
        <v>0.29</v>
      </c>
      <c r="E121" s="6" t="n">
        <v>0.325</v>
      </c>
      <c r="F121" s="6" t="n">
        <v>0.34</v>
      </c>
      <c r="G121" s="7" t="s">
        <v>155</v>
      </c>
      <c r="H121" s="7" t="s">
        <v>391</v>
      </c>
      <c r="I121" s="7" t="s">
        <v>248</v>
      </c>
    </row>
    <row r="122" customFormat="false" ht="17.15" hidden="false" customHeight="false" outlineLevel="0" collapsed="false">
      <c r="A122" s="0" t="s">
        <v>392</v>
      </c>
      <c r="B122" s="0" t="s">
        <v>393</v>
      </c>
      <c r="C122" s="0" t="s">
        <v>333</v>
      </c>
      <c r="D122" s="6" t="n">
        <v>0.48</v>
      </c>
      <c r="E122" s="6" t="n">
        <v>0.52</v>
      </c>
      <c r="F122" s="6" t="n">
        <v>0.58</v>
      </c>
      <c r="G122" s="7" t="s">
        <v>155</v>
      </c>
      <c r="H122" s="3" t="s">
        <v>46</v>
      </c>
      <c r="I122" s="7" t="s">
        <v>248</v>
      </c>
    </row>
    <row r="123" customFormat="false" ht="17.15" hidden="false" customHeight="false" outlineLevel="0" collapsed="false">
      <c r="A123" s="0" t="s">
        <v>394</v>
      </c>
      <c r="B123" s="0" t="s">
        <v>395</v>
      </c>
      <c r="C123" s="0" t="s">
        <v>333</v>
      </c>
      <c r="D123" s="6" t="n">
        <v>0</v>
      </c>
      <c r="E123" s="6" t="n">
        <v>0.15</v>
      </c>
      <c r="F123" s="6" t="n">
        <v>0.4</v>
      </c>
      <c r="G123" s="7" t="s">
        <v>155</v>
      </c>
      <c r="H123" s="7" t="s">
        <v>396</v>
      </c>
      <c r="I123" s="7" t="s">
        <v>397</v>
      </c>
    </row>
    <row r="124" customFormat="false" ht="17.15" hidden="false" customHeight="false" outlineLevel="0" collapsed="false">
      <c r="A124" s="0" t="s">
        <v>398</v>
      </c>
      <c r="B124" s="0" t="s">
        <v>399</v>
      </c>
      <c r="C124" s="3" t="s">
        <v>400</v>
      </c>
      <c r="E124" s="6" t="n">
        <v>0.64617</v>
      </c>
      <c r="G124" s="7" t="s">
        <v>206</v>
      </c>
      <c r="H124" s="7" t="s">
        <v>401</v>
      </c>
      <c r="I124" s="3" t="s">
        <v>402</v>
      </c>
    </row>
    <row r="125" customFormat="false" ht="17.15" hidden="false" customHeight="false" outlineLevel="0" collapsed="false">
      <c r="A125" s="5" t="s">
        <v>403</v>
      </c>
    </row>
    <row r="126" customFormat="false" ht="17.15" hidden="false" customHeight="false" outlineLevel="0" collapsed="false">
      <c r="A126" s="0" t="s">
        <v>404</v>
      </c>
      <c r="B126" s="3" t="s">
        <v>405</v>
      </c>
      <c r="C126" s="0" t="s">
        <v>406</v>
      </c>
      <c r="D126" s="6" t="n">
        <v>8.56</v>
      </c>
      <c r="E126" s="6" t="n">
        <v>13.19</v>
      </c>
      <c r="F126" s="6" t="n">
        <v>20.48</v>
      </c>
      <c r="G126" s="7" t="s">
        <v>206</v>
      </c>
      <c r="H126" s="3" t="s">
        <v>407</v>
      </c>
      <c r="I126" s="3" t="s">
        <v>408</v>
      </c>
    </row>
    <row r="127" customFormat="false" ht="17.15" hidden="false" customHeight="false" outlineLevel="0" collapsed="false">
      <c r="A127" s="0" t="s">
        <v>409</v>
      </c>
      <c r="B127" s="3" t="s">
        <v>410</v>
      </c>
      <c r="C127" s="0" t="s">
        <v>406</v>
      </c>
      <c r="D127" s="6" t="n">
        <v>21.66</v>
      </c>
      <c r="E127" s="6" t="n">
        <v>32.12</v>
      </c>
      <c r="F127" s="6" t="n">
        <v>52.88</v>
      </c>
      <c r="G127" s="7" t="s">
        <v>206</v>
      </c>
      <c r="H127" s="3" t="s">
        <v>407</v>
      </c>
      <c r="I127" s="3" t="s">
        <v>411</v>
      </c>
    </row>
    <row r="128" customFormat="false" ht="17.15" hidden="false" customHeight="false" outlineLevel="0" collapsed="false">
      <c r="A128" s="0" t="s">
        <v>412</v>
      </c>
      <c r="B128" s="3" t="s">
        <v>413</v>
      </c>
      <c r="C128" s="0" t="s">
        <v>406</v>
      </c>
      <c r="D128" s="6" t="n">
        <v>42.03</v>
      </c>
      <c r="E128" s="6" t="n">
        <v>59.21</v>
      </c>
      <c r="F128" s="6" t="n">
        <v>80.8</v>
      </c>
      <c r="G128" s="7" t="s">
        <v>206</v>
      </c>
      <c r="H128" s="3" t="s">
        <v>407</v>
      </c>
      <c r="I128" s="3" t="s">
        <v>414</v>
      </c>
    </row>
    <row r="129" customFormat="false" ht="17.15" hidden="false" customHeight="false" outlineLevel="0" collapsed="false">
      <c r="A129" s="0" t="s">
        <v>415</v>
      </c>
      <c r="B129" s="3" t="s">
        <v>416</v>
      </c>
      <c r="C129" s="0" t="s">
        <v>333</v>
      </c>
      <c r="D129" s="6" t="n">
        <v>69.31</v>
      </c>
      <c r="E129" s="6" t="n">
        <v>90.26</v>
      </c>
      <c r="F129" s="6" t="n">
        <v>127.93</v>
      </c>
      <c r="G129" s="7" t="s">
        <v>206</v>
      </c>
      <c r="H129" s="3" t="s">
        <v>407</v>
      </c>
      <c r="I129" s="3" t="s">
        <v>417</v>
      </c>
    </row>
    <row r="130" customFormat="false" ht="17.15" hidden="false" customHeight="false" outlineLevel="0" collapsed="false">
      <c r="A130" s="0" t="s">
        <v>418</v>
      </c>
      <c r="B130" s="3" t="s">
        <v>419</v>
      </c>
      <c r="C130" s="0" t="s">
        <v>333</v>
      </c>
      <c r="D130" s="6" t="n">
        <v>109.36</v>
      </c>
      <c r="E130" s="6" t="n">
        <v>133.54</v>
      </c>
      <c r="F130" s="6" t="n">
        <v>178.55</v>
      </c>
      <c r="G130" s="7" t="s">
        <v>206</v>
      </c>
      <c r="H130" s="3" t="s">
        <v>407</v>
      </c>
      <c r="I130" s="3" t="s">
        <v>420</v>
      </c>
    </row>
    <row r="131" customFormat="false" ht="17.15" hidden="false" customHeight="false" outlineLevel="0" collapsed="false">
      <c r="A131" s="0" t="s">
        <v>421</v>
      </c>
      <c r="B131" s="3" t="s">
        <v>422</v>
      </c>
      <c r="C131" s="0" t="s">
        <v>406</v>
      </c>
      <c r="D131" s="6" t="n">
        <v>38.88</v>
      </c>
      <c r="E131" s="6" t="n">
        <v>41.34</v>
      </c>
      <c r="F131" s="6" t="n">
        <v>43.8</v>
      </c>
      <c r="G131" s="7" t="s">
        <v>206</v>
      </c>
      <c r="H131" s="7" t="s">
        <v>423</v>
      </c>
      <c r="I131" s="3" t="s">
        <v>270</v>
      </c>
    </row>
    <row r="132" customFormat="false" ht="17.15" hidden="false" customHeight="false" outlineLevel="0" collapsed="false">
      <c r="A132" s="0" t="s">
        <v>424</v>
      </c>
      <c r="B132" s="3" t="s">
        <v>425</v>
      </c>
      <c r="C132" s="0" t="s">
        <v>406</v>
      </c>
      <c r="D132" s="6" t="n">
        <v>61.35</v>
      </c>
      <c r="E132" s="6" t="n">
        <v>65.72</v>
      </c>
      <c r="F132" s="6" t="n">
        <v>70.09</v>
      </c>
      <c r="G132" s="7" t="s">
        <v>206</v>
      </c>
      <c r="H132" s="7" t="s">
        <v>423</v>
      </c>
      <c r="I132" s="3" t="s">
        <v>270</v>
      </c>
    </row>
    <row r="133" customFormat="false" ht="17.15" hidden="false" customHeight="false" outlineLevel="0" collapsed="false">
      <c r="A133" s="5" t="s">
        <v>426</v>
      </c>
    </row>
    <row r="134" customFormat="false" ht="17.15" hidden="false" customHeight="false" outlineLevel="0" collapsed="false">
      <c r="A134" s="0" t="s">
        <v>427</v>
      </c>
      <c r="B134" s="3" t="s">
        <v>428</v>
      </c>
      <c r="C134" s="0" t="s">
        <v>406</v>
      </c>
      <c r="E134" s="6" t="n">
        <v>1265</v>
      </c>
      <c r="G134" s="7" t="s">
        <v>206</v>
      </c>
      <c r="H134" s="7" t="s">
        <v>429</v>
      </c>
      <c r="I134" s="3" t="s">
        <v>430</v>
      </c>
    </row>
    <row r="135" customFormat="false" ht="17.15" hidden="false" customHeight="false" outlineLevel="0" collapsed="false">
      <c r="A135" s="0" t="s">
        <v>431</v>
      </c>
      <c r="B135" s="3" t="s">
        <v>432</v>
      </c>
      <c r="C135" s="0" t="s">
        <v>154</v>
      </c>
      <c r="E135" s="6" t="n">
        <v>33.73</v>
      </c>
      <c r="G135" s="7" t="s">
        <v>206</v>
      </c>
      <c r="H135" s="7" t="s">
        <v>433</v>
      </c>
      <c r="I135" s="3" t="s">
        <v>434</v>
      </c>
    </row>
    <row r="136" customFormat="false" ht="17.15" hidden="false" customHeight="false" outlineLevel="0" collapsed="false">
      <c r="A136" s="0" t="s">
        <v>435</v>
      </c>
      <c r="B136" s="3" t="s">
        <v>436</v>
      </c>
      <c r="C136" s="0" t="s">
        <v>154</v>
      </c>
      <c r="E136" s="6" t="n">
        <v>148.7</v>
      </c>
      <c r="G136" s="7" t="s">
        <v>206</v>
      </c>
      <c r="H136" s="3" t="s">
        <v>437</v>
      </c>
      <c r="I136" s="7" t="s">
        <v>438</v>
      </c>
    </row>
    <row r="137" customFormat="false" ht="17.15" hidden="false" customHeight="false" outlineLevel="0" collapsed="false">
      <c r="A137" s="0" t="s">
        <v>439</v>
      </c>
      <c r="B137" s="3" t="s">
        <v>440</v>
      </c>
      <c r="C137" s="0" t="s">
        <v>406</v>
      </c>
      <c r="E137" s="0" t="n">
        <f aca="false">1050/fpe</f>
        <v>31.1295582567447</v>
      </c>
      <c r="G137" s="0" t="s">
        <v>33</v>
      </c>
      <c r="H137" s="0" t="s">
        <v>441</v>
      </c>
      <c r="I137" s="3" t="s">
        <v>442</v>
      </c>
    </row>
    <row r="138" customFormat="false" ht="17.15" hidden="false" customHeight="false" outlineLevel="0" collapsed="false">
      <c r="A138" s="0" t="s">
        <v>443</v>
      </c>
      <c r="B138" s="3" t="s">
        <v>444</v>
      </c>
      <c r="C138" s="0" t="s">
        <v>406</v>
      </c>
      <c r="E138" s="6" t="n">
        <v>1651.31</v>
      </c>
      <c r="G138" s="7" t="s">
        <v>206</v>
      </c>
      <c r="H138" s="7" t="s">
        <v>445</v>
      </c>
      <c r="I138" s="7" t="s">
        <v>446</v>
      </c>
    </row>
    <row r="139" customFormat="false" ht="17.15" hidden="false" customHeight="false" outlineLevel="0" collapsed="false">
      <c r="A139" s="0" t="s">
        <v>447</v>
      </c>
      <c r="B139" s="3" t="s">
        <v>448</v>
      </c>
      <c r="C139" s="0" t="s">
        <v>449</v>
      </c>
      <c r="E139" s="6" t="n">
        <v>32</v>
      </c>
      <c r="G139" s="7" t="s">
        <v>155</v>
      </c>
      <c r="H139" s="7" t="s">
        <v>450</v>
      </c>
      <c r="I139" s="7" t="s">
        <v>248</v>
      </c>
    </row>
    <row r="140" customFormat="false" ht="17.15" hidden="false" customHeight="false" outlineLevel="0" collapsed="false">
      <c r="A140" s="0" t="s">
        <v>451</v>
      </c>
      <c r="B140" s="3" t="s">
        <v>452</v>
      </c>
      <c r="C140" s="0" t="s">
        <v>44</v>
      </c>
      <c r="E140" s="0" t="n">
        <f aca="false">AVERAGE(10.582/52.228,19.416/64.647,5.817/42.253,0.204/32.283,1.947/40.173)</f>
        <v>0.139081117846042</v>
      </c>
      <c r="G140" s="0" t="s">
        <v>33</v>
      </c>
      <c r="H140" s="0" t="s">
        <v>453</v>
      </c>
      <c r="I140" s="3" t="s">
        <v>454</v>
      </c>
    </row>
    <row r="141" customFormat="false" ht="17.15" hidden="false" customHeight="false" outlineLevel="0" collapsed="false">
      <c r="A141" s="5" t="s">
        <v>455</v>
      </c>
    </row>
    <row r="142" customFormat="false" ht="17.15" hidden="false" customHeight="false" outlineLevel="0" collapsed="false">
      <c r="A142" s="8" t="s">
        <v>456</v>
      </c>
      <c r="B142" s="9" t="s">
        <v>457</v>
      </c>
      <c r="C142" s="8" t="s">
        <v>44</v>
      </c>
      <c r="D142" s="8"/>
      <c r="E142" s="10" t="n">
        <v>0.3</v>
      </c>
      <c r="F142" s="8"/>
      <c r="G142" s="8" t="s">
        <v>155</v>
      </c>
      <c r="H142" s="8" t="s">
        <v>458</v>
      </c>
      <c r="I142" s="9" t="s">
        <v>459</v>
      </c>
    </row>
    <row r="143" customFormat="false" ht="17.15" hidden="false" customHeight="false" outlineLevel="0" collapsed="false">
      <c r="A143" s="8" t="s">
        <v>460</v>
      </c>
      <c r="B143" s="9" t="s">
        <v>461</v>
      </c>
      <c r="C143" s="8" t="s">
        <v>44</v>
      </c>
      <c r="D143" s="8"/>
      <c r="E143" s="10" t="n">
        <v>0.5</v>
      </c>
      <c r="F143" s="8"/>
      <c r="G143" s="8" t="s">
        <v>155</v>
      </c>
      <c r="H143" s="8" t="s">
        <v>458</v>
      </c>
      <c r="I143" s="9" t="s">
        <v>459</v>
      </c>
    </row>
    <row r="144" customFormat="false" ht="17.15" hidden="false" customHeight="false" outlineLevel="0" collapsed="false">
      <c r="A144" s="8" t="s">
        <v>462</v>
      </c>
      <c r="B144" s="9" t="s">
        <v>463</v>
      </c>
      <c r="C144" s="8" t="s">
        <v>44</v>
      </c>
      <c r="D144" s="8"/>
      <c r="E144" s="10" t="n">
        <v>0.2</v>
      </c>
      <c r="F144" s="8"/>
      <c r="G144" s="8" t="s">
        <v>155</v>
      </c>
      <c r="H144" s="8" t="s">
        <v>458</v>
      </c>
      <c r="I144" s="9" t="s">
        <v>459</v>
      </c>
    </row>
    <row r="145" customFormat="false" ht="17.15" hidden="false" customHeight="false" outlineLevel="0" collapsed="false">
      <c r="A145" s="8" t="s">
        <v>464</v>
      </c>
      <c r="B145" s="9" t="s">
        <v>465</v>
      </c>
      <c r="C145" s="8" t="s">
        <v>44</v>
      </c>
      <c r="D145" s="8"/>
      <c r="E145" s="10" t="n">
        <v>0.1</v>
      </c>
      <c r="F145" s="8"/>
      <c r="G145" s="8" t="s">
        <v>155</v>
      </c>
      <c r="H145" s="8" t="s">
        <v>466</v>
      </c>
      <c r="I145" s="8" t="s">
        <v>248</v>
      </c>
    </row>
    <row r="146" customFormat="false" ht="17.15" hidden="false" customHeight="false" outlineLevel="0" collapsed="false">
      <c r="A146" s="8" t="s">
        <v>467</v>
      </c>
      <c r="B146" s="9" t="s">
        <v>468</v>
      </c>
      <c r="C146" s="8" t="s">
        <v>44</v>
      </c>
      <c r="D146" s="8"/>
      <c r="E146" s="10" t="n">
        <v>0.04</v>
      </c>
      <c r="F146" s="8"/>
      <c r="G146" s="8" t="s">
        <v>155</v>
      </c>
      <c r="H146" s="8" t="s">
        <v>469</v>
      </c>
      <c r="I146" s="9" t="s">
        <v>470</v>
      </c>
    </row>
    <row r="147" customFormat="false" ht="17.15" hidden="false" customHeight="false" outlineLevel="0" collapsed="false">
      <c r="A147" s="8" t="s">
        <v>471</v>
      </c>
      <c r="B147" s="8" t="s">
        <v>472</v>
      </c>
      <c r="C147" s="8" t="s">
        <v>44</v>
      </c>
      <c r="D147" s="8"/>
      <c r="E147" s="8" t="n">
        <f aca="false">AVERAGE(0.1145,0.0044,0.0425)</f>
        <v>0.0538</v>
      </c>
      <c r="F147" s="8"/>
      <c r="G147" s="8" t="s">
        <v>33</v>
      </c>
      <c r="H147" s="8" t="s">
        <v>473</v>
      </c>
      <c r="I147" s="9" t="s">
        <v>474</v>
      </c>
    </row>
    <row r="148" customFormat="false" ht="17.15" hidden="false" customHeight="false" outlineLevel="0" collapsed="false">
      <c r="A148" s="8" t="s">
        <v>475</v>
      </c>
      <c r="B148" s="9" t="s">
        <v>476</v>
      </c>
      <c r="C148" s="8" t="s">
        <v>44</v>
      </c>
      <c r="D148" s="8"/>
      <c r="E148" s="10" t="n">
        <v>0.5</v>
      </c>
      <c r="F148" s="8"/>
      <c r="G148" s="8" t="s">
        <v>155</v>
      </c>
      <c r="H148" s="8" t="s">
        <v>477</v>
      </c>
      <c r="I148" s="8" t="s">
        <v>248</v>
      </c>
    </row>
    <row r="149" customFormat="false" ht="17.15" hidden="false" customHeight="false" outlineLevel="0" collapsed="false">
      <c r="A149" s="8" t="s">
        <v>478</v>
      </c>
      <c r="B149" s="9" t="s">
        <v>479</v>
      </c>
      <c r="C149" s="8" t="s">
        <v>44</v>
      </c>
      <c r="D149" s="8"/>
      <c r="E149" s="8" t="n">
        <f aca="false">tp_g+0.02</f>
        <v>0.06</v>
      </c>
      <c r="F149" s="8"/>
      <c r="G149" s="8" t="s">
        <v>155</v>
      </c>
      <c r="H149" s="9" t="s">
        <v>480</v>
      </c>
      <c r="I149" s="8" t="s">
        <v>481</v>
      </c>
    </row>
    <row r="150" customFormat="false" ht="17.15" hidden="false" customHeight="false" outlineLevel="0" collapsed="false">
      <c r="A150" s="8" t="s">
        <v>482</v>
      </c>
      <c r="B150" s="9" t="s">
        <v>483</v>
      </c>
      <c r="C150" s="8" t="s">
        <v>44</v>
      </c>
      <c r="D150" s="8"/>
      <c r="E150" s="8" t="n">
        <f aca="false">tp_g</f>
        <v>0.04</v>
      </c>
      <c r="F150" s="8"/>
      <c r="G150" s="8" t="s">
        <v>155</v>
      </c>
      <c r="H150" s="9" t="s">
        <v>46</v>
      </c>
      <c r="I150" s="8" t="s">
        <v>248</v>
      </c>
    </row>
    <row r="151" customFormat="false" ht="17.15" hidden="false" customHeight="false" outlineLevel="0" collapsed="false">
      <c r="A151" s="8" t="s">
        <v>484</v>
      </c>
      <c r="B151" s="9" t="s">
        <v>485</v>
      </c>
      <c r="C151" s="8" t="s">
        <v>44</v>
      </c>
      <c r="D151" s="8"/>
      <c r="E151" s="8" t="n">
        <f aca="false">tp_g-0.02</f>
        <v>0.02</v>
      </c>
      <c r="F151" s="8"/>
      <c r="G151" s="8" t="s">
        <v>155</v>
      </c>
      <c r="H151" s="9" t="s">
        <v>46</v>
      </c>
      <c r="I151" s="8" t="s">
        <v>248</v>
      </c>
    </row>
    <row r="152" customFormat="false" ht="17.15" hidden="false" customHeight="false" outlineLevel="0" collapsed="false">
      <c r="A152" s="8" t="s">
        <v>486</v>
      </c>
      <c r="B152" s="9" t="s">
        <v>487</v>
      </c>
      <c r="C152" s="8" t="s">
        <v>44</v>
      </c>
      <c r="D152" s="8"/>
      <c r="E152" s="11" t="n">
        <f aca="false">PL!G14</f>
        <v>0.251806472320876</v>
      </c>
      <c r="F152" s="8"/>
      <c r="G152" s="8" t="s">
        <v>33</v>
      </c>
      <c r="H152" s="8" t="s">
        <v>488</v>
      </c>
      <c r="I152" s="8" t="s">
        <v>248</v>
      </c>
    </row>
    <row r="153" customFormat="false" ht="17.15" hidden="false" customHeight="false" outlineLevel="0" collapsed="false">
      <c r="A153" s="8" t="s">
        <v>489</v>
      </c>
      <c r="B153" s="9" t="s">
        <v>490</v>
      </c>
      <c r="C153" s="8" t="s">
        <v>44</v>
      </c>
      <c r="D153" s="8"/>
      <c r="E153" s="12" t="n">
        <f aca="false">(PL!G28+PL!G28*0.8)/2</f>
        <v>0.214079798457136</v>
      </c>
      <c r="F153" s="8"/>
      <c r="G153" s="8" t="s">
        <v>155</v>
      </c>
      <c r="H153" s="9" t="s">
        <v>491</v>
      </c>
      <c r="I153" s="9" t="s">
        <v>492</v>
      </c>
    </row>
    <row r="154" customFormat="false" ht="17.15" hidden="false" customHeight="false" outlineLevel="0" collapsed="false">
      <c r="A154" s="8" t="s">
        <v>493</v>
      </c>
      <c r="B154" s="9" t="s">
        <v>494</v>
      </c>
      <c r="C154" s="8" t="s">
        <v>44</v>
      </c>
      <c r="D154" s="8"/>
      <c r="E154" s="12" t="n">
        <f aca="false">PL!G42*0.8</f>
        <v>0.165463151610004</v>
      </c>
      <c r="F154" s="8"/>
      <c r="G154" s="8" t="s">
        <v>155</v>
      </c>
      <c r="H154" s="9" t="s">
        <v>495</v>
      </c>
      <c r="I154" s="8" t="s">
        <v>248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7" min="2" style="0" width="14"/>
    <col collapsed="false" customWidth="true" hidden="false" outlineLevel="0" max="8" min="8" style="0" width="26"/>
    <col collapsed="false" customWidth="true" hidden="false" outlineLevel="0" max="9" min="9" style="0" width="60"/>
    <col collapsed="false" customWidth="true" hidden="false" outlineLevel="0" max="10" min="10" style="0" width="64"/>
  </cols>
  <sheetData>
    <row r="1" customFormat="false" ht="17.15" hidden="false" customHeight="false" outlineLevel="0" collapsed="false">
      <c r="A1" s="0" t="s">
        <v>496</v>
      </c>
    </row>
    <row r="2" customFormat="false" ht="17.15" hidden="false" customHeight="false" outlineLevel="0" collapsed="false">
      <c r="A2" s="0" t="s">
        <v>497</v>
      </c>
    </row>
    <row r="3" customFormat="false" ht="17.15" hidden="false" customHeight="false" outlineLevel="0" collapsed="false">
      <c r="A3" s="4" t="s">
        <v>21</v>
      </c>
      <c r="B3" s="13" t="s">
        <v>498</v>
      </c>
      <c r="C3" s="13" t="s">
        <v>499</v>
      </c>
      <c r="D3" s="13" t="s">
        <v>500</v>
      </c>
      <c r="E3" s="13" t="s">
        <v>501</v>
      </c>
      <c r="F3" s="13" t="s">
        <v>502</v>
      </c>
      <c r="G3" s="13" t="s">
        <v>503</v>
      </c>
      <c r="H3" s="4" t="s">
        <v>26</v>
      </c>
      <c r="I3" s="4" t="s">
        <v>504</v>
      </c>
      <c r="J3" s="4" t="s">
        <v>28</v>
      </c>
    </row>
    <row r="4" customFormat="false" ht="17.15" hidden="false" customHeight="false" outlineLevel="0" collapsed="false">
      <c r="A4" s="3" t="s">
        <v>505</v>
      </c>
      <c r="B4" s="14" t="n">
        <v>40.173</v>
      </c>
      <c r="C4" s="14" t="n">
        <v>11.177</v>
      </c>
      <c r="D4" s="14" t="n">
        <v>13.575</v>
      </c>
      <c r="E4" s="15" t="n">
        <f aca="false">q3_rev</f>
        <v>16.379</v>
      </c>
      <c r="F4" s="15" t="n">
        <f aca="false">E4*(1+q4_g)</f>
        <v>18.0169</v>
      </c>
      <c r="G4" s="15" t="n">
        <f aca="false">SUM(C4:F4)</f>
        <v>59.1479</v>
      </c>
      <c r="H4" s="7" t="s">
        <v>506</v>
      </c>
      <c r="I4" s="7" t="s">
        <v>507</v>
      </c>
      <c r="J4" s="7" t="s">
        <v>508</v>
      </c>
    </row>
    <row r="5" customFormat="false" ht="17.15" hidden="false" customHeight="false" outlineLevel="0" collapsed="false">
      <c r="A5" s="3" t="s">
        <v>509</v>
      </c>
      <c r="B5" s="14" t="n">
        <v>3.647</v>
      </c>
      <c r="C5" s="14" t="n">
        <v>1.771</v>
      </c>
      <c r="D5" s="14" t="n">
        <v>3.36</v>
      </c>
      <c r="E5" s="15" t="n">
        <f aca="false">E4*q3_gm</f>
        <v>4.9137</v>
      </c>
      <c r="F5" s="15" t="n">
        <f aca="false">F4*q4_gm</f>
        <v>5.8554925</v>
      </c>
      <c r="G5" s="15" t="n">
        <f aca="false">SUM(C5:F5)</f>
        <v>15.9001925</v>
      </c>
      <c r="H5" s="7" t="s">
        <v>510</v>
      </c>
      <c r="I5" s="7" t="s">
        <v>507</v>
      </c>
      <c r="J5" s="7" t="s">
        <v>511</v>
      </c>
    </row>
    <row r="6" customFormat="false" ht="17.15" hidden="false" customHeight="false" outlineLevel="0" collapsed="false">
      <c r="A6" s="3" t="s">
        <v>512</v>
      </c>
      <c r="B6" s="16" t="n">
        <f aca="false">B5/B4</f>
        <v>0.0907823662659</v>
      </c>
      <c r="C6" s="16" t="n">
        <f aca="false">C5/C4</f>
        <v>0.158450389192091</v>
      </c>
      <c r="D6" s="16" t="n">
        <f aca="false">D5/D4</f>
        <v>0.247513812154696</v>
      </c>
      <c r="E6" s="16" t="n">
        <f aca="false">E5/E4</f>
        <v>0.3</v>
      </c>
      <c r="F6" s="16" t="n">
        <f aca="false">F5/F4</f>
        <v>0.325</v>
      </c>
      <c r="G6" s="16" t="n">
        <f aca="false">G5/G4</f>
        <v>0.268820913337583</v>
      </c>
      <c r="H6" s="7" t="s">
        <v>33</v>
      </c>
      <c r="I6" s="7" t="s">
        <v>248</v>
      </c>
      <c r="J6" s="7" t="s">
        <v>513</v>
      </c>
    </row>
    <row r="7" customFormat="false" ht="17.15" hidden="false" customHeight="false" outlineLevel="0" collapsed="false">
      <c r="A7" s="3" t="s">
        <v>514</v>
      </c>
      <c r="B7" s="15" t="n">
        <f aca="false">B5-B8</f>
        <v>1.665</v>
      </c>
      <c r="C7" s="15" t="n">
        <f aca="false">C5-C8</f>
        <v>0.419</v>
      </c>
      <c r="D7" s="15" t="n">
        <f aca="false">D5-D8</f>
        <v>0.461</v>
      </c>
      <c r="E7" s="15" t="n">
        <f aca="false">q3_opx</f>
        <v>0.5</v>
      </c>
      <c r="F7" s="15" t="n">
        <f aca="false">q4_opx</f>
        <v>0.52</v>
      </c>
      <c r="G7" s="15" t="n">
        <f aca="false">SUM(C7:F7)</f>
        <v>1.9</v>
      </c>
      <c r="H7" s="7" t="s">
        <v>515</v>
      </c>
      <c r="I7" s="3" t="s">
        <v>516</v>
      </c>
      <c r="J7" s="7" t="s">
        <v>248</v>
      </c>
    </row>
    <row r="8" customFormat="false" ht="17.15" hidden="false" customHeight="false" outlineLevel="0" collapsed="false">
      <c r="A8" s="3" t="s">
        <v>517</v>
      </c>
      <c r="B8" s="14" t="n">
        <v>1.982</v>
      </c>
      <c r="C8" s="14" t="n">
        <v>1.352</v>
      </c>
      <c r="D8" s="14" t="n">
        <v>2.899</v>
      </c>
      <c r="E8" s="15" t="n">
        <f aca="false">E5-E7</f>
        <v>4.4137</v>
      </c>
      <c r="F8" s="15" t="n">
        <f aca="false">F5-F7</f>
        <v>5.3354925</v>
      </c>
      <c r="G8" s="15" t="n">
        <f aca="false">SUM(C8:F8)</f>
        <v>14.0001925</v>
      </c>
      <c r="H8" s="7" t="s">
        <v>518</v>
      </c>
      <c r="I8" s="7" t="s">
        <v>507</v>
      </c>
      <c r="J8" s="7" t="s">
        <v>519</v>
      </c>
    </row>
    <row r="9" customFormat="false" ht="17.15" hidden="false" customHeight="false" outlineLevel="0" collapsed="false">
      <c r="A9" s="3" t="s">
        <v>520</v>
      </c>
      <c r="B9" s="14" t="n">
        <v>0.364</v>
      </c>
      <c r="C9" s="14" t="n">
        <v>0.246</v>
      </c>
      <c r="D9" s="14" t="n">
        <v>0.077</v>
      </c>
      <c r="E9" s="15" t="n">
        <f aca="false">q_nonop</f>
        <v>0.15</v>
      </c>
      <c r="F9" s="15" t="n">
        <f aca="false">q_nonop</f>
        <v>0.15</v>
      </c>
      <c r="G9" s="15" t="n">
        <f aca="false">SUM(C9:F9)</f>
        <v>0.623</v>
      </c>
      <c r="H9" s="7" t="s">
        <v>515</v>
      </c>
      <c r="I9" s="7" t="s">
        <v>507</v>
      </c>
      <c r="J9" s="3" t="s">
        <v>521</v>
      </c>
    </row>
    <row r="10" customFormat="false" ht="15" hidden="false" customHeight="false" outlineLevel="0" collapsed="false">
      <c r="A10" s="3" t="s">
        <v>522</v>
      </c>
      <c r="B10" s="15" t="n">
        <f aca="false">B8+B9</f>
        <v>2.346</v>
      </c>
      <c r="C10" s="15" t="n">
        <f aca="false">C8+C9</f>
        <v>1.598</v>
      </c>
      <c r="D10" s="15" t="n">
        <f aca="false">D8+D9</f>
        <v>2.976</v>
      </c>
      <c r="E10" s="15" t="n">
        <f aca="false">E8+E9</f>
        <v>4.5637</v>
      </c>
      <c r="F10" s="15" t="n">
        <f aca="false">F8+F9</f>
        <v>5.4854925</v>
      </c>
      <c r="G10" s="15" t="n">
        <f aca="false">SUM(C10:F10)</f>
        <v>14.6231925</v>
      </c>
      <c r="H10" s="7" t="s">
        <v>33</v>
      </c>
      <c r="I10" s="7" t="s">
        <v>248</v>
      </c>
    </row>
    <row r="11" customFormat="false" ht="17.15" hidden="false" customHeight="false" outlineLevel="0" collapsed="false">
      <c r="A11" s="3" t="s">
        <v>523</v>
      </c>
      <c r="B11" s="14" t="n">
        <v>1.947</v>
      </c>
      <c r="C11" s="14" t="n">
        <v>1.309</v>
      </c>
      <c r="D11" s="14" t="n">
        <v>2.262</v>
      </c>
      <c r="E11" s="15" t="n">
        <f aca="false">E10*(1-tax)</f>
        <v>3.605323</v>
      </c>
      <c r="F11" s="15" t="n">
        <f aca="false">F10*(1-tax)</f>
        <v>4.333539075</v>
      </c>
      <c r="G11" s="15" t="n">
        <f aca="false">SUM(C11:F11)</f>
        <v>11.509862075</v>
      </c>
      <c r="H11" s="7" t="s">
        <v>518</v>
      </c>
      <c r="I11" s="7" t="s">
        <v>507</v>
      </c>
      <c r="J11" s="7" t="s">
        <v>524</v>
      </c>
    </row>
    <row r="12" customFormat="false" ht="15" hidden="false" customHeight="false" outlineLevel="0" collapsed="false">
      <c r="A12" s="3" t="s">
        <v>525</v>
      </c>
      <c r="B12" s="15" t="n">
        <f aca="false">B10-B11</f>
        <v>0.399</v>
      </c>
      <c r="C12" s="15" t="n">
        <f aca="false">C10-C11</f>
        <v>0.289</v>
      </c>
      <c r="D12" s="15" t="n">
        <f aca="false">D10-D11</f>
        <v>0.714</v>
      </c>
      <c r="E12" s="15" t="n">
        <f aca="false">E10-E11</f>
        <v>0.958377</v>
      </c>
      <c r="F12" s="15" t="n">
        <f aca="false">F10-F11</f>
        <v>1.151953425</v>
      </c>
      <c r="G12" s="15" t="n">
        <f aca="false">SUM(C12:F12)</f>
        <v>3.113330425</v>
      </c>
      <c r="H12" s="7" t="s">
        <v>33</v>
      </c>
      <c r="I12" s="7" t="s">
        <v>248</v>
      </c>
      <c r="J12" s="7" t="s">
        <v>248</v>
      </c>
    </row>
    <row r="13" customFormat="false" ht="17.15" hidden="false" customHeight="false" outlineLevel="0" collapsed="false">
      <c r="A13" s="3" t="s">
        <v>526</v>
      </c>
      <c r="B13" s="15" t="n">
        <f aca="false">B11/B14</f>
        <v>0.646843853820598</v>
      </c>
      <c r="C13" s="15" t="n">
        <f aca="false">C11/C14</f>
        <v>0.644827586206897</v>
      </c>
      <c r="D13" s="15" t="n">
        <f aca="false">D11/D14</f>
        <v>0.646285714285714</v>
      </c>
      <c r="E13" s="15" t="n">
        <f aca="false">q_sh</f>
        <v>0.64617</v>
      </c>
      <c r="F13" s="15" t="n">
        <f aca="false">q_sh</f>
        <v>0.64617</v>
      </c>
      <c r="G13" s="15" t="n">
        <f aca="false">AVERAGE(C13:F13)</f>
        <v>0.645863325123153</v>
      </c>
      <c r="H13" s="7" t="s">
        <v>33</v>
      </c>
      <c r="I13" s="3" t="s">
        <v>527</v>
      </c>
      <c r="J13" s="7" t="s">
        <v>248</v>
      </c>
    </row>
    <row r="14" customFormat="false" ht="17.15" hidden="false" customHeight="false" outlineLevel="0" collapsed="false">
      <c r="A14" s="0" t="s">
        <v>528</v>
      </c>
      <c r="B14" s="17" t="n">
        <v>3.01</v>
      </c>
      <c r="C14" s="17" t="n">
        <v>2.03</v>
      </c>
      <c r="D14" s="17" t="n">
        <v>3.5</v>
      </c>
      <c r="E14" s="18" t="n">
        <f aca="false">E11/E13</f>
        <v>5.57952705944256</v>
      </c>
      <c r="F14" s="18" t="n">
        <f aca="false">F11/F13</f>
        <v>6.70649995357259</v>
      </c>
      <c r="G14" s="18" t="n">
        <f aca="false">G11/G13</f>
        <v>17.820894339844</v>
      </c>
      <c r="H14" s="7" t="s">
        <v>518</v>
      </c>
      <c r="I14" s="7" t="s">
        <v>507</v>
      </c>
      <c r="J14" s="7" t="s">
        <v>529</v>
      </c>
    </row>
    <row r="15" customFormat="false" ht="17.15" hidden="false" customHeight="false" outlineLevel="0" collapsed="false">
      <c r="A15" s="3" t="s">
        <v>530</v>
      </c>
      <c r="B15" s="14" t="n">
        <v>6.894</v>
      </c>
      <c r="G15" s="15" t="n">
        <f aca="false">da26</f>
        <v>7.1</v>
      </c>
      <c r="H15" s="7" t="s">
        <v>531</v>
      </c>
      <c r="I15" s="7" t="s">
        <v>532</v>
      </c>
      <c r="J15" s="7" t="s">
        <v>533</v>
      </c>
    </row>
    <row r="16" customFormat="false" ht="17.15" hidden="false" customHeight="false" outlineLevel="0" collapsed="false">
      <c r="A16" s="3" t="s">
        <v>534</v>
      </c>
      <c r="B16" s="14" t="n">
        <v>2.422</v>
      </c>
      <c r="G16" s="15" t="n">
        <f aca="false">capex26</f>
        <v>4</v>
      </c>
      <c r="H16" s="7" t="s">
        <v>531</v>
      </c>
      <c r="I16" s="7" t="s">
        <v>535</v>
      </c>
      <c r="J16" s="3" t="s">
        <v>536</v>
      </c>
    </row>
    <row r="18" customFormat="false" ht="17.15" hidden="false" customHeight="false" outlineLevel="0" collapsed="false">
      <c r="A18" s="5" t="s">
        <v>537</v>
      </c>
    </row>
    <row r="19" customFormat="false" ht="17.15" hidden="false" customHeight="false" outlineLevel="0" collapsed="false">
      <c r="A19" s="0" t="s">
        <v>538</v>
      </c>
      <c r="G19" s="15" t="n">
        <f aca="false">G4*mx_abf</f>
        <v>34.305782</v>
      </c>
      <c r="H19" s="7" t="s">
        <v>33</v>
      </c>
    </row>
    <row r="20" customFormat="false" ht="17.15" hidden="false" customHeight="false" outlineLevel="0" collapsed="false">
      <c r="A20" s="0" t="s">
        <v>539</v>
      </c>
      <c r="G20" s="15" t="n">
        <f aca="false">G4*mx_bt</f>
        <v>18.927328</v>
      </c>
      <c r="H20" s="7" t="s">
        <v>33</v>
      </c>
    </row>
    <row r="21" customFormat="false" ht="17.15" hidden="false" customHeight="false" outlineLevel="0" collapsed="false">
      <c r="A21" s="0" t="s">
        <v>540</v>
      </c>
      <c r="G21" s="15" t="n">
        <f aca="false">G4*(1-mx_abf-mx_bt)</f>
        <v>5.91479</v>
      </c>
      <c r="H21" s="7" t="s">
        <v>33</v>
      </c>
    </row>
    <row r="23" customFormat="false" ht="15" hidden="false" customHeight="false" outlineLevel="0" collapsed="false">
      <c r="A23" s="1" t="s">
        <v>541</v>
      </c>
    </row>
    <row r="24" customFormat="false" ht="17.15" hidden="false" customHeight="false" outlineLevel="0" collapsed="false">
      <c r="A24" s="0" t="s">
        <v>542</v>
      </c>
      <c r="B24" s="19" t="n">
        <f aca="false">C4+D4-(41.131-q3_rev)</f>
        <v>0</v>
      </c>
    </row>
    <row r="25" customFormat="false" ht="17.15" hidden="false" customHeight="false" outlineLevel="0" collapsed="false">
      <c r="A25" s="0" t="s">
        <v>543</v>
      </c>
      <c r="B25" s="20" t="n">
        <f aca="false">G4/B4-1</f>
        <v>0.472329674159261</v>
      </c>
    </row>
    <row r="26" customFormat="false" ht="17.15" hidden="false" customHeight="false" outlineLevel="0" collapsed="false">
      <c r="A26" s="0" t="s">
        <v>544</v>
      </c>
      <c r="B26" s="20" t="n">
        <f aca="false">((G5+G15)-(B5+B15))/(G4-B4)</f>
        <v>0.656614395859794</v>
      </c>
    </row>
    <row r="27" customFormat="false" ht="17.15" hidden="false" customHeight="false" outlineLevel="0" collapsed="false">
      <c r="A27" s="0" t="s">
        <v>545</v>
      </c>
      <c r="B27" s="20" t="n">
        <f aca="false">G14/17.27-1</f>
        <v>0.0318989195045729</v>
      </c>
    </row>
    <row r="28" customFormat="false" ht="17.15" hidden="false" customHeight="false" outlineLevel="0" collapsed="false">
      <c r="A28" s="0" t="s">
        <v>546</v>
      </c>
      <c r="B28" s="20" t="n">
        <f aca="false">E14/5.62-1</f>
        <v>-0.00720159084651917</v>
      </c>
    </row>
    <row r="29" customFormat="false" ht="17.15" hidden="false" customHeight="false" outlineLevel="0" collapsed="false">
      <c r="A29" s="0" t="s">
        <v>547</v>
      </c>
      <c r="B29" s="18" t="n">
        <f aca="false">F4*4/G4</f>
        <v>1.21843040919458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6" min="3" style="0" width="13"/>
    <col collapsed="false" customWidth="true" hidden="false" outlineLevel="0" max="7" min="7" style="0" width="66"/>
  </cols>
  <sheetData>
    <row r="1" customFormat="false" ht="17.15" hidden="false" customHeight="false" outlineLevel="0" collapsed="false">
      <c r="A1" s="0" t="s">
        <v>548</v>
      </c>
    </row>
    <row r="3" customFormat="false" ht="15" hidden="false" customHeight="false" outlineLevel="0" collapsed="false">
      <c r="A3" s="4" t="s">
        <v>21</v>
      </c>
      <c r="B3" s="4" t="s">
        <v>22</v>
      </c>
      <c r="C3" s="13" t="s">
        <v>549</v>
      </c>
      <c r="D3" s="13" t="s">
        <v>550</v>
      </c>
      <c r="E3" s="13" t="s">
        <v>551</v>
      </c>
      <c r="F3" s="13" t="s">
        <v>552</v>
      </c>
      <c r="G3" s="4" t="s">
        <v>553</v>
      </c>
    </row>
    <row r="4" customFormat="false" ht="17.15" hidden="false" customHeight="false" outlineLevel="0" collapsed="false">
      <c r="A4" s="0" t="s">
        <v>554</v>
      </c>
      <c r="B4" s="3" t="s">
        <v>32</v>
      </c>
      <c r="C4" s="21" t="n">
        <f aca="false">PL!D63</f>
        <v>7.6</v>
      </c>
      <c r="D4" s="21" t="n">
        <f aca="false">PL!E63</f>
        <v>9.7</v>
      </c>
      <c r="E4" s="21" t="n">
        <f aca="false">PL!F63</f>
        <v>9.5</v>
      </c>
      <c r="F4" s="21" t="n">
        <f aca="false">PL!G63</f>
        <v>10.6</v>
      </c>
      <c r="G4" s="7" t="s">
        <v>555</v>
      </c>
    </row>
    <row r="5" customFormat="false" ht="17.15" hidden="false" customHeight="false" outlineLevel="0" collapsed="false">
      <c r="A5" s="3" t="s">
        <v>556</v>
      </c>
      <c r="B5" s="3" t="s">
        <v>32</v>
      </c>
      <c r="C5" s="21" t="n">
        <f aca="false">PL!D64</f>
        <v>7.6</v>
      </c>
      <c r="D5" s="21" t="n">
        <f aca="false">PL!E64</f>
        <v>14</v>
      </c>
      <c r="E5" s="21" t="n">
        <f aca="false">PL!F64</f>
        <v>17</v>
      </c>
      <c r="F5" s="21" t="n">
        <f aca="false">PL!G64</f>
        <v>19.55</v>
      </c>
    </row>
    <row r="6" customFormat="false" ht="17.15" hidden="false" customHeight="false" outlineLevel="0" collapsed="false">
      <c r="A6" s="3" t="s">
        <v>557</v>
      </c>
      <c r="B6" s="0" t="s">
        <v>176</v>
      </c>
      <c r="C6" s="22" t="n">
        <f aca="false">PL!D68</f>
        <v>215.308596</v>
      </c>
      <c r="D6" s="22" t="n">
        <f aca="false">PL!E68</f>
        <v>254.06414328</v>
      </c>
      <c r="E6" s="22" t="n">
        <f aca="false">PL!F68</f>
        <v>284.80590461688</v>
      </c>
      <c r="F6" s="22" t="n">
        <f aca="false">PL!G68</f>
        <v>318.383021792765</v>
      </c>
      <c r="G6" s="7" t="s">
        <v>558</v>
      </c>
    </row>
    <row r="7" customFormat="false" ht="17.15" hidden="false" customHeight="false" outlineLevel="0" collapsed="false">
      <c r="A7" s="3" t="s">
        <v>559</v>
      </c>
      <c r="B7" s="0" t="s">
        <v>44</v>
      </c>
      <c r="C7" s="20" t="n">
        <f aca="false">PL!D69</f>
        <v>0.02</v>
      </c>
      <c r="D7" s="20" t="n">
        <f aca="false">PL!E69</f>
        <v>0.03</v>
      </c>
      <c r="E7" s="20" t="n">
        <f aca="false">PL!F69</f>
        <v>0.04</v>
      </c>
      <c r="F7" s="20" t="n">
        <f aca="false">PL!G69</f>
        <v>0.04</v>
      </c>
      <c r="G7" s="7" t="s">
        <v>155</v>
      </c>
    </row>
    <row r="8" customFormat="false" ht="17.15" hidden="false" customHeight="false" outlineLevel="0" collapsed="false">
      <c r="A8" s="0" t="s">
        <v>560</v>
      </c>
      <c r="B8" s="0" t="s">
        <v>44</v>
      </c>
      <c r="C8" s="20" t="n">
        <f aca="false">ib_sh26*1</f>
        <v>0.7</v>
      </c>
      <c r="D8" s="20" t="n">
        <f aca="false">ib_sh26*ibrel_27</f>
        <v>0.665</v>
      </c>
      <c r="E8" s="20" t="n">
        <f aca="false">ib_sh26*ibrel_28</f>
        <v>0.616</v>
      </c>
      <c r="F8" s="20" t="n">
        <f aca="false">ib_sh26*ibrel_29</f>
        <v>0.595</v>
      </c>
      <c r="G8" s="7" t="s">
        <v>561</v>
      </c>
    </row>
    <row r="9" customFormat="false" ht="17.15" hidden="false" customHeight="false" outlineLevel="0" collapsed="false">
      <c r="A9" s="3" t="s">
        <v>562</v>
      </c>
      <c r="B9" s="0" t="s">
        <v>44</v>
      </c>
      <c r="C9" s="20" t="n">
        <f aca="false">un_nv_26</f>
        <v>0.25</v>
      </c>
      <c r="D9" s="20" t="n">
        <f aca="false">un_nv_27</f>
        <v>0.27</v>
      </c>
      <c r="E9" s="20" t="n">
        <f aca="false">un_nv_28</f>
        <v>0.29</v>
      </c>
      <c r="F9" s="20" t="n">
        <f aca="false">un_nv_29</f>
        <v>0.3</v>
      </c>
      <c r="G9" s="3" t="s">
        <v>563</v>
      </c>
    </row>
    <row r="10" customFormat="false" ht="17.15" hidden="false" customHeight="false" outlineLevel="0" collapsed="false">
      <c r="A10" s="3" t="s">
        <v>564</v>
      </c>
      <c r="B10" s="0" t="s">
        <v>44</v>
      </c>
      <c r="C10" s="20" t="n">
        <f aca="false">C7+C8+C9</f>
        <v>0.97</v>
      </c>
      <c r="D10" s="20" t="n">
        <f aca="false">D7+D8+D9</f>
        <v>0.965</v>
      </c>
      <c r="E10" s="20" t="n">
        <f aca="false">E7+E8+E9</f>
        <v>0.946</v>
      </c>
      <c r="F10" s="20" t="n">
        <f aca="false">F7+F8+F9</f>
        <v>0.935</v>
      </c>
      <c r="G10" s="3" t="s">
        <v>565</v>
      </c>
    </row>
    <row r="11" customFormat="false" ht="17.15" hidden="false" customHeight="false" outlineLevel="0" collapsed="false">
      <c r="A11" s="3" t="s">
        <v>566</v>
      </c>
      <c r="B11" s="0" t="s">
        <v>44</v>
      </c>
      <c r="C11" s="20" t="n">
        <f aca="false">PL!D70</f>
        <v>0.05</v>
      </c>
      <c r="D11" s="20" t="n">
        <f aca="false">PL!E70</f>
        <v>0.06</v>
      </c>
      <c r="E11" s="20" t="n">
        <f aca="false">PL!F70</f>
        <v>0.07</v>
      </c>
      <c r="F11" s="20" t="n">
        <f aca="false">PL!G70</f>
        <v>0.07</v>
      </c>
      <c r="G11" s="7" t="s">
        <v>155</v>
      </c>
    </row>
    <row r="12" customFormat="false" ht="17.15" hidden="false" customHeight="false" outlineLevel="0" collapsed="false">
      <c r="A12" s="0" t="s">
        <v>567</v>
      </c>
      <c r="B12" s="0" t="s">
        <v>44</v>
      </c>
      <c r="C12" s="20" t="n">
        <f aca="false">ib_w_ot*1/v_ot</f>
        <v>0.5</v>
      </c>
      <c r="D12" s="20" t="n">
        <f aca="false">ib_w_ot*ibrel_27/v_ot</f>
        <v>0.475</v>
      </c>
      <c r="E12" s="20" t="n">
        <f aca="false">ib_w_ot*ibrel_28/v_ot</f>
        <v>0.44</v>
      </c>
      <c r="F12" s="20" t="n">
        <f aca="false">ib_w_ot*ibrel_29/v_ot</f>
        <v>0.425</v>
      </c>
      <c r="G12" s="3" t="s">
        <v>568</v>
      </c>
    </row>
    <row r="13" customFormat="false" ht="17.15" hidden="false" customHeight="false" outlineLevel="0" collapsed="false">
      <c r="A13" s="3" t="s">
        <v>569</v>
      </c>
      <c r="B13" s="0" t="s">
        <v>44</v>
      </c>
      <c r="C13" s="20" t="n">
        <f aca="false">un_ot_26</f>
        <v>0.3</v>
      </c>
      <c r="D13" s="20" t="n">
        <f aca="false">un_ot_27</f>
        <v>0.31</v>
      </c>
      <c r="E13" s="20" t="n">
        <f aca="false">un_ot_28</f>
        <v>0.32</v>
      </c>
      <c r="F13" s="20" t="n">
        <f aca="false">un_ot_29</f>
        <v>0.33</v>
      </c>
      <c r="G13" s="3" t="s">
        <v>563</v>
      </c>
    </row>
    <row r="14" customFormat="false" ht="17.15" hidden="false" customHeight="false" outlineLevel="0" collapsed="false">
      <c r="A14" s="3" t="s">
        <v>570</v>
      </c>
      <c r="B14" s="0" t="s">
        <v>44</v>
      </c>
      <c r="C14" s="20" t="n">
        <f aca="false">C11+C12+C13</f>
        <v>0.85</v>
      </c>
      <c r="D14" s="20" t="n">
        <f aca="false">D11+D12+D13</f>
        <v>0.845</v>
      </c>
      <c r="E14" s="20" t="n">
        <f aca="false">E11+E12+E13</f>
        <v>0.83</v>
      </c>
      <c r="F14" s="20" t="n">
        <f aca="false">F11+F12+F13</f>
        <v>0.825</v>
      </c>
      <c r="G14" s="3" t="s">
        <v>571</v>
      </c>
    </row>
    <row r="15" customFormat="false" ht="17.15" hidden="false" customHeight="false" outlineLevel="0" collapsed="false">
      <c r="A15" s="3" t="s">
        <v>572</v>
      </c>
      <c r="B15" s="0" t="s">
        <v>176</v>
      </c>
      <c r="C15" s="23" t="n">
        <f aca="false">PL!D68*PL!D69*PL!D67</f>
        <v>4.30617192</v>
      </c>
      <c r="D15" s="23" t="n">
        <f aca="false">PL!E68*PL!E69*PL!E67</f>
        <v>8.76521294316</v>
      </c>
      <c r="E15" s="23" t="n">
        <f aca="false">PL!F68*PL!F69*PL!F67</f>
        <v>13.1010716123765</v>
      </c>
      <c r="F15" s="23" t="n">
        <f aca="false">PL!G68*PL!G69*PL!G67</f>
        <v>14.6456190024672</v>
      </c>
      <c r="G15" s="7" t="s">
        <v>573</v>
      </c>
    </row>
    <row r="16" customFormat="false" ht="15" hidden="false" customHeight="false" outlineLevel="0" collapsed="false">
      <c r="A16" s="3" t="s">
        <v>574</v>
      </c>
      <c r="B16" s="0" t="s">
        <v>575</v>
      </c>
      <c r="C16" s="22" t="n">
        <f aca="false">PL!D71</f>
        <v>98.180719776</v>
      </c>
      <c r="D16" s="22" t="n">
        <f aca="false">PL!E71</f>
        <v>281.363335475436</v>
      </c>
      <c r="E16" s="22" t="n">
        <f aca="false">PL!F71</f>
        <v>436.265684692137</v>
      </c>
      <c r="F16" s="22" t="n">
        <f aca="false">PL!G71</f>
        <v>556.094153523679</v>
      </c>
    </row>
    <row r="17" customFormat="false" ht="17.15" hidden="false" customHeight="false" outlineLevel="0" collapsed="false">
      <c r="A17" s="3" t="s">
        <v>576</v>
      </c>
      <c r="B17" s="0" t="s">
        <v>333</v>
      </c>
      <c r="C17" s="23" t="n">
        <f aca="false">PL!D81</f>
        <v>22.2987583</v>
      </c>
      <c r="D17" s="23" t="n">
        <f aca="false">PL!E81</f>
        <v>37.928660924617</v>
      </c>
      <c r="E17" s="23" t="n">
        <f aca="false">PL!F81</f>
        <v>43.571555187083</v>
      </c>
      <c r="F17" s="23" t="n">
        <f aca="false">PL!G81</f>
        <v>49.621811387494</v>
      </c>
    </row>
    <row r="18" customFormat="false" ht="17.15" hidden="false" customHeight="false" outlineLevel="0" collapsed="false">
      <c r="A18" s="3" t="s">
        <v>577</v>
      </c>
      <c r="B18" s="0" t="s">
        <v>44</v>
      </c>
      <c r="C18" s="24" t="n">
        <f aca="false">PL!D81/fx/itc_26</f>
        <v>0.000891239716865753</v>
      </c>
      <c r="D18" s="24" t="n">
        <f aca="false">PL!E81/fx/itc_27</f>
        <v>0.000757192100101755</v>
      </c>
      <c r="E18" s="24" t="n">
        <f aca="false">PL!F81/fx/itc_28</f>
        <v>0.000686204646075977</v>
      </c>
      <c r="F18" s="24" t="n">
        <f aca="false">PL!G81/fx/itc_29</f>
        <v>0.00068602383451396</v>
      </c>
      <c r="G18" s="7" t="s">
        <v>578</v>
      </c>
    </row>
    <row r="19" customFormat="false" ht="17.15" hidden="false" customHeight="false" outlineLevel="0" collapsed="false">
      <c r="A19" s="3" t="s">
        <v>579</v>
      </c>
      <c r="B19" s="0" t="s">
        <v>575</v>
      </c>
      <c r="C19" s="22" t="n">
        <f aca="false">PL!D81/fx/itc_26*37.59*1000</f>
        <v>33.5017009569837</v>
      </c>
      <c r="D19" s="22" t="n">
        <f aca="false">PL!E81/fx/itc_27*37.59*1000</f>
        <v>28.462851042825</v>
      </c>
      <c r="E19" s="22" t="n">
        <f aca="false">PL!F81/fx/itc_28*37.59*1000</f>
        <v>25.794432645996</v>
      </c>
      <c r="F19" s="22" t="n">
        <f aca="false">PL!G81/fx/itc_29*37.59*1000</f>
        <v>25.7876359393798</v>
      </c>
      <c r="G19" s="7" t="s">
        <v>580</v>
      </c>
    </row>
    <row r="21" customFormat="false" ht="17.15" hidden="false" customHeight="false" outlineLevel="0" collapsed="false">
      <c r="A21" s="1" t="s">
        <v>581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0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582</v>
      </c>
    </row>
    <row r="2" customFormat="false" ht="17.15" hidden="false" customHeight="false" outlineLevel="0" collapsed="false">
      <c r="A2" s="3" t="s">
        <v>583</v>
      </c>
    </row>
    <row r="3" customFormat="false" ht="17.15" hidden="false" customHeight="false" outlineLevel="0" collapsed="false">
      <c r="A3" s="4" t="s">
        <v>584</v>
      </c>
      <c r="B3" s="4" t="s">
        <v>22</v>
      </c>
      <c r="C3" s="13" t="s">
        <v>498</v>
      </c>
      <c r="D3" s="13" t="s">
        <v>585</v>
      </c>
      <c r="E3" s="13" t="s">
        <v>586</v>
      </c>
      <c r="F3" s="13" t="s">
        <v>587</v>
      </c>
      <c r="G3" s="13" t="s">
        <v>588</v>
      </c>
      <c r="H3" s="13" t="s">
        <v>589</v>
      </c>
      <c r="I3" s="13" t="s">
        <v>590</v>
      </c>
      <c r="J3" s="13" t="s">
        <v>591</v>
      </c>
      <c r="K3" s="4" t="s">
        <v>553</v>
      </c>
    </row>
    <row r="4" customFormat="false" ht="17.15" hidden="false" customHeight="false" outlineLevel="0" collapsed="false">
      <c r="A4" s="1" t="s">
        <v>592</v>
      </c>
    </row>
    <row r="5" customFormat="false" ht="15" hidden="false" customHeight="false" outlineLevel="0" collapsed="false">
      <c r="A5" s="3" t="s">
        <v>505</v>
      </c>
      <c r="B5" s="0" t="s">
        <v>333</v>
      </c>
      <c r="C5" s="23" t="n">
        <f aca="false">C86</f>
        <v>40.173</v>
      </c>
      <c r="D5" s="23" t="n">
        <f aca="false">D86</f>
        <v>59.1479</v>
      </c>
      <c r="E5" s="23" t="n">
        <f aca="false">E86</f>
        <v>80.229394518</v>
      </c>
      <c r="F5" s="23" t="n">
        <f aca="false">F86</f>
        <v>88.7637751405431</v>
      </c>
      <c r="G5" s="23" t="n">
        <f aca="false">G86</f>
        <v>97.0763833661239</v>
      </c>
      <c r="H5" s="25" t="n">
        <f aca="false">H86</f>
        <v>105.078626241508</v>
      </c>
      <c r="I5" s="25" t="n">
        <f aca="false">I86</f>
        <v>112.561928658085</v>
      </c>
      <c r="J5" s="25" t="n">
        <f aca="false">J86</f>
        <v>119.315644377571</v>
      </c>
    </row>
    <row r="6" customFormat="false" ht="15" hidden="false" customHeight="false" outlineLevel="0" collapsed="false">
      <c r="A6" s="3" t="s">
        <v>593</v>
      </c>
      <c r="B6" s="0" t="s">
        <v>44</v>
      </c>
      <c r="D6" s="20" t="n">
        <f aca="false">D88</f>
        <v>0.472329674159261</v>
      </c>
      <c r="E6" s="20" t="n">
        <f aca="false">E88</f>
        <v>0.35642</v>
      </c>
      <c r="F6" s="20" t="n">
        <f aca="false">F88</f>
        <v>0.106374735517023</v>
      </c>
      <c r="G6" s="20" t="n">
        <f aca="false">G88</f>
        <v>0.0936486557992731</v>
      </c>
      <c r="H6" s="26" t="n">
        <f aca="false">H88</f>
        <v>0.0824324371995154</v>
      </c>
      <c r="I6" s="26" t="n">
        <f aca="false">I88</f>
        <v>0.0712162185997577</v>
      </c>
      <c r="J6" s="26" t="n">
        <f aca="false">J88</f>
        <v>0.06</v>
      </c>
    </row>
    <row r="7" customFormat="false" ht="17.15" hidden="false" customHeight="false" outlineLevel="0" collapsed="false">
      <c r="A7" s="0" t="s">
        <v>594</v>
      </c>
      <c r="B7" s="0" t="s">
        <v>333</v>
      </c>
      <c r="D7" s="23" t="n">
        <f aca="false">D79</f>
        <v>34.305782</v>
      </c>
      <c r="E7" s="23" t="n">
        <f aca="false">E79</f>
        <v>49.709078118</v>
      </c>
      <c r="F7" s="23" t="n">
        <f aca="false">F79</f>
        <v>55.7829061005431</v>
      </c>
      <c r="G7" s="23" t="n">
        <f aca="false">G79</f>
        <v>62.7422103741239</v>
      </c>
    </row>
    <row r="8" customFormat="false" ht="17.15" hidden="false" customHeight="false" outlineLevel="0" collapsed="false">
      <c r="A8" s="0" t="s">
        <v>595</v>
      </c>
      <c r="B8" s="0" t="s">
        <v>333</v>
      </c>
      <c r="D8" s="23" t="n">
        <f aca="false">D81</f>
        <v>22.2987583</v>
      </c>
      <c r="E8" s="23" t="n">
        <f aca="false">E81</f>
        <v>37.928660924617</v>
      </c>
      <c r="F8" s="23" t="n">
        <f aca="false">F81</f>
        <v>43.571555187083</v>
      </c>
      <c r="G8" s="23" t="n">
        <f aca="false">G81</f>
        <v>49.621811387494</v>
      </c>
    </row>
    <row r="9" customFormat="false" ht="17.15" hidden="false" customHeight="false" outlineLevel="0" collapsed="false">
      <c r="A9" s="0" t="s">
        <v>596</v>
      </c>
      <c r="B9" s="0" t="s">
        <v>44</v>
      </c>
      <c r="D9" s="20" t="n">
        <f aca="false">D80</f>
        <v>1</v>
      </c>
      <c r="E9" s="20" t="n">
        <f aca="false">E80</f>
        <v>0.952550651332759</v>
      </c>
      <c r="F9" s="20" t="n">
        <f aca="false">F80</f>
        <v>0.958636353489023</v>
      </c>
      <c r="G9" s="20" t="n">
        <f aca="false">G80</f>
        <v>1</v>
      </c>
    </row>
    <row r="10" customFormat="false" ht="15" hidden="false" customHeight="false" outlineLevel="0" collapsed="false">
      <c r="A10" s="3" t="s">
        <v>512</v>
      </c>
      <c r="B10" s="0" t="s">
        <v>44</v>
      </c>
      <c r="C10" s="16" t="n">
        <f aca="false">C97</f>
        <v>0.0907823662659</v>
      </c>
      <c r="D10" s="16" t="n">
        <f aca="false">D97</f>
        <v>0.268820913337583</v>
      </c>
      <c r="E10" s="16" t="n">
        <f aca="false">E97</f>
        <v>0.35815087989632</v>
      </c>
      <c r="F10" s="16" t="n">
        <f aca="false">F97</f>
        <v>0.351668006704224</v>
      </c>
      <c r="G10" s="16" t="n">
        <f aca="false">G97</f>
        <v>0.339255912344029</v>
      </c>
    </row>
    <row r="11" customFormat="false" ht="15" hidden="false" customHeight="false" outlineLevel="0" collapsed="false">
      <c r="A11" s="3" t="s">
        <v>597</v>
      </c>
      <c r="B11" s="0" t="s">
        <v>333</v>
      </c>
      <c r="C11" s="23" t="n">
        <f aca="false">C93</f>
        <v>6.894</v>
      </c>
      <c r="D11" s="23" t="n">
        <f aca="false">D93</f>
        <v>7.1</v>
      </c>
      <c r="E11" s="23" t="n">
        <f aca="false">E93</f>
        <v>6.7125</v>
      </c>
      <c r="F11" s="23" t="n">
        <f aca="false">F93</f>
        <v>7.6234375</v>
      </c>
      <c r="G11" s="23" t="n">
        <f aca="false">G93</f>
        <v>8.9205078125</v>
      </c>
      <c r="H11" s="25" t="n">
        <f aca="false">H93</f>
        <v>9.65584701254169</v>
      </c>
      <c r="I11" s="25" t="n">
        <f aca="false">I93</f>
        <v>10.3434999241527</v>
      </c>
      <c r="J11" s="25" t="n">
        <f aca="false">J93</f>
        <v>10.9641099196018</v>
      </c>
    </row>
    <row r="12" customFormat="false" ht="15" hidden="false" customHeight="false" outlineLevel="0" collapsed="false">
      <c r="A12" s="3" t="s">
        <v>598</v>
      </c>
      <c r="B12" s="0" t="s">
        <v>44</v>
      </c>
      <c r="C12" s="16" t="n">
        <f aca="false">C100</f>
        <v>0.0493366191222961</v>
      </c>
      <c r="D12" s="16" t="n">
        <f aca="false">D100</f>
        <v>0.236698048451424</v>
      </c>
      <c r="E12" s="16" t="n">
        <f aca="false">E100</f>
        <v>0.329404323676423</v>
      </c>
      <c r="F12" s="16" t="n">
        <f aca="false">F100</f>
        <v>0.324027009827558</v>
      </c>
      <c r="G12" s="16" t="n">
        <f aca="false">G100</f>
        <v>0.31256167005394</v>
      </c>
    </row>
    <row r="13" customFormat="false" ht="15" hidden="false" customHeight="false" outlineLevel="0" collapsed="false">
      <c r="A13" s="3" t="s">
        <v>523</v>
      </c>
      <c r="B13" s="0" t="s">
        <v>333</v>
      </c>
      <c r="C13" s="23" t="n">
        <f aca="false">C104</f>
        <v>1.947</v>
      </c>
      <c r="D13" s="23" t="n">
        <f aca="false">D104</f>
        <v>11.509862075</v>
      </c>
      <c r="E13" s="23" t="n">
        <f aca="false">E104</f>
        <v>21.3520484577348</v>
      </c>
      <c r="F13" s="23" t="n">
        <f aca="false">F104</f>
        <v>23.1958699054388</v>
      </c>
      <c r="G13" s="23" t="n">
        <f aca="false">G104</f>
        <v>24.4444616410927</v>
      </c>
      <c r="H13" s="25" t="n">
        <f aca="false">H104</f>
        <v>26.459478190198</v>
      </c>
      <c r="I13" s="25" t="n">
        <f aca="false">I104</f>
        <v>28.3438221730267</v>
      </c>
      <c r="J13" s="25" t="n">
        <f aca="false">J104</f>
        <v>30.0444515034082</v>
      </c>
    </row>
    <row r="14" customFormat="false" ht="15" hidden="false" customHeight="false" outlineLevel="0" collapsed="false">
      <c r="A14" s="3" t="s">
        <v>599</v>
      </c>
      <c r="B14" s="0" t="s">
        <v>44</v>
      </c>
      <c r="C14" s="16" t="n">
        <f aca="false">C108</f>
        <v>0.0484653872003585</v>
      </c>
      <c r="D14" s="16" t="n">
        <f aca="false">D108</f>
        <v>0.194594602259759</v>
      </c>
      <c r="E14" s="16" t="n">
        <f aca="false">E108</f>
        <v>0.266137474749911</v>
      </c>
      <c r="F14" s="16" t="n">
        <f aca="false">F108</f>
        <v>0.261321353995049</v>
      </c>
      <c r="G14" s="16" t="n">
        <f aca="false">G108</f>
        <v>0.251806472320876</v>
      </c>
      <c r="H14" s="27" t="n">
        <f aca="false">H108</f>
        <v>0.251806472320876</v>
      </c>
      <c r="I14" s="27" t="n">
        <f aca="false">I108</f>
        <v>0.251806472320876</v>
      </c>
      <c r="J14" s="27" t="n">
        <f aca="false">J108</f>
        <v>0.251806472320876</v>
      </c>
    </row>
    <row r="15" customFormat="false" ht="15" hidden="false" customHeight="false" outlineLevel="0" collapsed="false">
      <c r="A15" s="0" t="s">
        <v>600</v>
      </c>
      <c r="B15" s="0" t="s">
        <v>406</v>
      </c>
      <c r="C15" s="18" t="n">
        <f aca="false">C106</f>
        <v>3.01</v>
      </c>
      <c r="D15" s="18" t="n">
        <f aca="false">D106</f>
        <v>17.820894339844</v>
      </c>
      <c r="E15" s="18" t="n">
        <f aca="false">E106</f>
        <v>33.0440107986054</v>
      </c>
      <c r="F15" s="18" t="n">
        <f aca="false">F106</f>
        <v>35.8974726549342</v>
      </c>
      <c r="G15" s="18" t="n">
        <f aca="false">G106</f>
        <v>37.8297687003307</v>
      </c>
      <c r="H15" s="28" t="n">
        <f aca="false">H106</f>
        <v>40.9481687329929</v>
      </c>
      <c r="I15" s="28" t="n">
        <f aca="false">I106</f>
        <v>43.8643424687414</v>
      </c>
      <c r="J15" s="28" t="n">
        <f aca="false">J106</f>
        <v>46.4962030168659</v>
      </c>
    </row>
    <row r="16" customFormat="false" ht="17.15" hidden="false" customHeight="false" outlineLevel="0" collapsed="false">
      <c r="A16" s="0" t="s">
        <v>601</v>
      </c>
      <c r="B16" s="0" t="s">
        <v>44</v>
      </c>
      <c r="D16" s="20" t="n">
        <f aca="false">D107</f>
        <v>4.92056290360265</v>
      </c>
      <c r="E16" s="20" t="n">
        <f aca="false">E107</f>
        <v>0.854228534688382</v>
      </c>
      <c r="F16" s="20" t="n">
        <f aca="false">F107</f>
        <v>0.0863533750100707</v>
      </c>
      <c r="G16" s="20" t="n">
        <f aca="false">G107</f>
        <v>0.0538281918610473</v>
      </c>
      <c r="H16" s="26" t="n">
        <f aca="false">H107</f>
        <v>0.0824324371995153</v>
      </c>
      <c r="I16" s="26" t="n">
        <f aca="false">I107</f>
        <v>0.0712162185997576</v>
      </c>
      <c r="J16" s="26" t="n">
        <f aca="false">J107</f>
        <v>0.0600000000000001</v>
      </c>
    </row>
    <row r="18" customFormat="false" ht="17.15" hidden="false" customHeight="false" outlineLevel="0" collapsed="false">
      <c r="A18" s="1" t="s">
        <v>602</v>
      </c>
    </row>
    <row r="19" customFormat="false" ht="15" hidden="false" customHeight="false" outlineLevel="0" collapsed="false">
      <c r="A19" s="3" t="s">
        <v>505</v>
      </c>
      <c r="B19" s="0" t="s">
        <v>333</v>
      </c>
      <c r="C19" s="23" t="n">
        <f aca="false">C140</f>
        <v>40.173</v>
      </c>
      <c r="D19" s="23" t="n">
        <f aca="false">D140</f>
        <v>59.1479</v>
      </c>
      <c r="E19" s="23" t="n">
        <f aca="false">E140</f>
        <v>79.283028118</v>
      </c>
      <c r="F19" s="23" t="n">
        <f aca="false">F140</f>
        <v>79.8564386946343</v>
      </c>
      <c r="G19" s="23" t="n">
        <f aca="false">G140</f>
        <v>86.8011102059998</v>
      </c>
      <c r="H19" s="25" t="n">
        <f aca="false">H140</f>
        <v>92.9908657225925</v>
      </c>
      <c r="I19" s="25" t="n">
        <f aca="false">I140</f>
        <v>98.1662553997315</v>
      </c>
      <c r="J19" s="25" t="n">
        <f aca="false">J140</f>
        <v>102.092905615721</v>
      </c>
    </row>
    <row r="20" customFormat="false" ht="15" hidden="false" customHeight="false" outlineLevel="0" collapsed="false">
      <c r="A20" s="3" t="s">
        <v>593</v>
      </c>
      <c r="B20" s="0" t="s">
        <v>44</v>
      </c>
      <c r="D20" s="20" t="n">
        <f aca="false">D142</f>
        <v>0.472329674159261</v>
      </c>
      <c r="E20" s="20" t="n">
        <f aca="false">E142</f>
        <v>0.34042</v>
      </c>
      <c r="F20" s="20" t="n">
        <f aca="false">F142</f>
        <v>0.0072324505035406</v>
      </c>
      <c r="G20" s="20" t="n">
        <f aca="false">G142</f>
        <v>0.0869644530220226</v>
      </c>
      <c r="H20" s="26" t="n">
        <f aca="false">H142</f>
        <v>0.0713096353480151</v>
      </c>
      <c r="I20" s="26" t="n">
        <f aca="false">I142</f>
        <v>0.0556548176740075</v>
      </c>
      <c r="J20" s="26" t="n">
        <f aca="false">J142</f>
        <v>0.04</v>
      </c>
    </row>
    <row r="21" customFormat="false" ht="17.15" hidden="false" customHeight="false" outlineLevel="0" collapsed="false">
      <c r="A21" s="0" t="s">
        <v>594</v>
      </c>
      <c r="B21" s="0" t="s">
        <v>333</v>
      </c>
      <c r="D21" s="23" t="n">
        <f aca="false">D133</f>
        <v>34.305782</v>
      </c>
      <c r="E21" s="23" t="n">
        <f aca="false">E133</f>
        <v>49.709078118</v>
      </c>
      <c r="F21" s="23" t="n">
        <f aca="false">F133</f>
        <v>49.0995306946343</v>
      </c>
      <c r="G21" s="23" t="n">
        <f aca="false">G133</f>
        <v>55.2989386659998</v>
      </c>
    </row>
    <row r="22" customFormat="false" ht="17.15" hidden="false" customHeight="false" outlineLevel="0" collapsed="false">
      <c r="A22" s="0" t="s">
        <v>595</v>
      </c>
      <c r="B22" s="0" t="s">
        <v>333</v>
      </c>
      <c r="D22" s="23" t="n">
        <f aca="false">D135</f>
        <v>22.2987583</v>
      </c>
      <c r="E22" s="23" t="n">
        <f aca="false">E135</f>
        <v>37.928660924617</v>
      </c>
      <c r="F22" s="23" t="n">
        <f aca="false">F135</f>
        <v>36.3612792513043</v>
      </c>
      <c r="G22" s="23" t="n">
        <f aca="false">G135</f>
        <v>42.1785396793699</v>
      </c>
    </row>
    <row r="23" customFormat="false" ht="17.15" hidden="false" customHeight="false" outlineLevel="0" collapsed="false">
      <c r="A23" s="0" t="s">
        <v>596</v>
      </c>
      <c r="B23" s="0" t="s">
        <v>44</v>
      </c>
      <c r="D23" s="20" t="n">
        <f aca="false">D134</f>
        <v>1</v>
      </c>
      <c r="E23" s="20" t="n">
        <f aca="false">E134</f>
        <v>0.952550651332759</v>
      </c>
      <c r="F23" s="20" t="n">
        <f aca="false">F134</f>
        <v>1</v>
      </c>
      <c r="G23" s="20" t="n">
        <f aca="false">G134</f>
        <v>1</v>
      </c>
    </row>
    <row r="24" customFormat="false" ht="15" hidden="false" customHeight="false" outlineLevel="0" collapsed="false">
      <c r="A24" s="3" t="s">
        <v>512</v>
      </c>
      <c r="B24" s="0" t="s">
        <v>44</v>
      </c>
      <c r="C24" s="16" t="n">
        <f aca="false">C151</f>
        <v>0.0907823662659</v>
      </c>
      <c r="D24" s="16" t="n">
        <f aca="false">D151</f>
        <v>0.268820913337583</v>
      </c>
      <c r="E24" s="16" t="n">
        <f aca="false">E151</f>
        <v>0.357651345480496</v>
      </c>
      <c r="F24" s="16" t="n">
        <f aca="false">F151</f>
        <v>0.334085362106327</v>
      </c>
      <c r="G24" s="16" t="n">
        <f aca="false">G151</f>
        <v>0.322040214515058</v>
      </c>
    </row>
    <row r="25" customFormat="false" ht="15" hidden="false" customHeight="false" outlineLevel="0" collapsed="false">
      <c r="A25" s="3" t="s">
        <v>597</v>
      </c>
      <c r="B25" s="0" t="s">
        <v>333</v>
      </c>
      <c r="C25" s="23" t="n">
        <f aca="false">C147</f>
        <v>6.894</v>
      </c>
      <c r="D25" s="23" t="n">
        <f aca="false">D147</f>
        <v>7.1</v>
      </c>
      <c r="E25" s="23" t="n">
        <f aca="false">E147</f>
        <v>6.7125</v>
      </c>
      <c r="F25" s="23" t="n">
        <f aca="false">F147</f>
        <v>7.6234375</v>
      </c>
      <c r="G25" s="23" t="n">
        <f aca="false">G147</f>
        <v>8.9205078125</v>
      </c>
      <c r="H25" s="25" t="n">
        <f aca="false">H147</f>
        <v>9.55662597172849</v>
      </c>
      <c r="I25" s="25" t="n">
        <f aca="false">I147</f>
        <v>10.0884982477637</v>
      </c>
      <c r="J25" s="25" t="n">
        <f aca="false">J147</f>
        <v>10.4920381776743</v>
      </c>
    </row>
    <row r="26" customFormat="false" ht="15" hidden="false" customHeight="false" outlineLevel="0" collapsed="false">
      <c r="A26" s="3" t="s">
        <v>598</v>
      </c>
      <c r="B26" s="0" t="s">
        <v>44</v>
      </c>
      <c r="C26" s="16" t="n">
        <f aca="false">C154</f>
        <v>0.0493366191222961</v>
      </c>
      <c r="D26" s="16" t="n">
        <f aca="false">D154</f>
        <v>0.236698048451424</v>
      </c>
      <c r="E26" s="16" t="n">
        <f aca="false">E154</f>
        <v>0.328791716196476</v>
      </c>
      <c r="F26" s="16" t="n">
        <f aca="false">F154</f>
        <v>0.305308623654604</v>
      </c>
      <c r="G26" s="16" t="n">
        <f aca="false">G154</f>
        <v>0.29418440896496</v>
      </c>
    </row>
    <row r="27" customFormat="false" ht="15" hidden="false" customHeight="false" outlineLevel="0" collapsed="false">
      <c r="A27" s="3" t="s">
        <v>523</v>
      </c>
      <c r="B27" s="0" t="s">
        <v>333</v>
      </c>
      <c r="C27" s="23" t="n">
        <f aca="false">C158</f>
        <v>1.947</v>
      </c>
      <c r="D27" s="23" t="n">
        <f aca="false">D158</f>
        <v>11.509862075</v>
      </c>
      <c r="E27" s="23" t="n">
        <f aca="false">E158</f>
        <v>21.0674062753348</v>
      </c>
      <c r="F27" s="23" t="n">
        <f aca="false">F158</f>
        <v>19.7348789163755</v>
      </c>
      <c r="G27" s="23" t="n">
        <f aca="false">G158</f>
        <v>20.647071309729</v>
      </c>
      <c r="H27" s="25" t="n">
        <f aca="false">H158</f>
        <v>21.3820928879693</v>
      </c>
      <c r="I27" s="25" t="n">
        <f aca="false">I158</f>
        <v>21.7937607702021</v>
      </c>
      <c r="J27" s="25" t="n">
        <f aca="false">J158</f>
        <v>21.8560286581169</v>
      </c>
    </row>
    <row r="28" customFormat="false" ht="15" hidden="false" customHeight="false" outlineLevel="0" collapsed="false">
      <c r="A28" s="3" t="s">
        <v>599</v>
      </c>
      <c r="B28" s="0" t="s">
        <v>44</v>
      </c>
      <c r="C28" s="16" t="n">
        <f aca="false">C162</f>
        <v>0.0484653872003585</v>
      </c>
      <c r="D28" s="16" t="n">
        <f aca="false">D162</f>
        <v>0.194594602259759</v>
      </c>
      <c r="E28" s="16" t="n">
        <f aca="false">E162</f>
        <v>0.265724036725482</v>
      </c>
      <c r="F28" s="16" t="n">
        <f aca="false">F162</f>
        <v>0.247129464310828</v>
      </c>
      <c r="G28" s="16" t="n">
        <f aca="false">G162</f>
        <v>0.237866442730151</v>
      </c>
      <c r="H28" s="27" t="n">
        <f aca="false">H162</f>
        <v>0.229937561305813</v>
      </c>
      <c r="I28" s="27" t="n">
        <f aca="false">I162</f>
        <v>0.222008679881475</v>
      </c>
      <c r="J28" s="27" t="n">
        <f aca="false">J162</f>
        <v>0.214079798457136</v>
      </c>
    </row>
    <row r="29" customFormat="false" ht="15" hidden="false" customHeight="false" outlineLevel="0" collapsed="false">
      <c r="A29" s="0" t="s">
        <v>600</v>
      </c>
      <c r="B29" s="0" t="s">
        <v>406</v>
      </c>
      <c r="C29" s="18" t="n">
        <f aca="false">C160</f>
        <v>3.01</v>
      </c>
      <c r="D29" s="18" t="n">
        <f aca="false">D160</f>
        <v>17.820894339844</v>
      </c>
      <c r="E29" s="18" t="n">
        <f aca="false">E160</f>
        <v>32.6035041480335</v>
      </c>
      <c r="F29" s="18" t="n">
        <f aca="false">F160</f>
        <v>30.5413109806637</v>
      </c>
      <c r="G29" s="18" t="n">
        <f aca="false">G160</f>
        <v>31.9530020114351</v>
      </c>
      <c r="H29" s="28" t="n">
        <f aca="false">H160</f>
        <v>33.0905069687068</v>
      </c>
      <c r="I29" s="28" t="n">
        <f aca="false">I160</f>
        <v>33.7275960973151</v>
      </c>
      <c r="J29" s="28" t="n">
        <f aca="false">J160</f>
        <v>33.8239606575931</v>
      </c>
    </row>
    <row r="30" customFormat="false" ht="17.15" hidden="false" customHeight="false" outlineLevel="0" collapsed="false">
      <c r="A30" s="0" t="s">
        <v>601</v>
      </c>
      <c r="B30" s="0" t="s">
        <v>44</v>
      </c>
      <c r="D30" s="20" t="n">
        <f aca="false">D161</f>
        <v>4.92056290360265</v>
      </c>
      <c r="E30" s="20" t="n">
        <f aca="false">E161</f>
        <v>0.829509985654232</v>
      </c>
      <c r="F30" s="20" t="n">
        <f aca="false">F161</f>
        <v>-0.0632506603586722</v>
      </c>
      <c r="G30" s="20" t="n">
        <f aca="false">G161</f>
        <v>0.0462223455851376</v>
      </c>
      <c r="H30" s="26" t="n">
        <f aca="false">H161</f>
        <v>0.0355993141697482</v>
      </c>
      <c r="I30" s="26" t="n">
        <f aca="false">I161</f>
        <v>0.0192529274093862</v>
      </c>
      <c r="J30" s="26" t="n">
        <f aca="false">J161</f>
        <v>0.00285714285714289</v>
      </c>
    </row>
    <row r="32" customFormat="false" ht="17.15" hidden="false" customHeight="false" outlineLevel="0" collapsed="false">
      <c r="A32" s="1" t="s">
        <v>603</v>
      </c>
    </row>
    <row r="33" customFormat="false" ht="15" hidden="false" customHeight="false" outlineLevel="0" collapsed="false">
      <c r="A33" s="3" t="s">
        <v>505</v>
      </c>
      <c r="B33" s="0" t="s">
        <v>333</v>
      </c>
      <c r="C33" s="23" t="n">
        <f aca="false">C194</f>
        <v>40.173</v>
      </c>
      <c r="D33" s="23" t="n">
        <f aca="false">D194</f>
        <v>59.1479</v>
      </c>
      <c r="E33" s="23" t="n">
        <f aca="false">E194</f>
        <v>77.390295318</v>
      </c>
      <c r="F33" s="23" t="n">
        <f aca="false">F194</f>
        <v>67.6904280818082</v>
      </c>
      <c r="G33" s="23" t="n">
        <f aca="false">G194</f>
        <v>70.5747030191263</v>
      </c>
      <c r="H33" s="25" t="n">
        <f aca="false">H194</f>
        <v>73.0499832307203</v>
      </c>
      <c r="I33" s="25" t="n">
        <f aca="false">I194</f>
        <v>75.0615311596754</v>
      </c>
      <c r="J33" s="25" t="n">
        <f aca="false">J194</f>
        <v>76.5627617828689</v>
      </c>
    </row>
    <row r="34" customFormat="false" ht="15" hidden="false" customHeight="false" outlineLevel="0" collapsed="false">
      <c r="A34" s="3" t="s">
        <v>593</v>
      </c>
      <c r="B34" s="0" t="s">
        <v>44</v>
      </c>
      <c r="D34" s="20" t="n">
        <f aca="false">D196</f>
        <v>0.472329674159261</v>
      </c>
      <c r="E34" s="20" t="n">
        <f aca="false">E196</f>
        <v>0.30842</v>
      </c>
      <c r="F34" s="20" t="n">
        <f aca="false">F196</f>
        <v>-0.125336997311286</v>
      </c>
      <c r="G34" s="20" t="n">
        <f aca="false">G196</f>
        <v>0.0426097901734683</v>
      </c>
      <c r="H34" s="26" t="n">
        <f aca="false">H196</f>
        <v>0.0350731934489789</v>
      </c>
      <c r="I34" s="26" t="n">
        <f aca="false">I196</f>
        <v>0.0275365967244894</v>
      </c>
      <c r="J34" s="26" t="n">
        <f aca="false">J196</f>
        <v>0.02</v>
      </c>
    </row>
    <row r="35" customFormat="false" ht="17.15" hidden="false" customHeight="false" outlineLevel="0" collapsed="false">
      <c r="A35" s="0" t="s">
        <v>594</v>
      </c>
      <c r="B35" s="0" t="s">
        <v>333</v>
      </c>
      <c r="D35" s="23" t="n">
        <f aca="false">D187</f>
        <v>34.305782</v>
      </c>
      <c r="E35" s="23" t="n">
        <f aca="false">E187</f>
        <v>49.709078118</v>
      </c>
      <c r="F35" s="23" t="n">
        <f aca="false">F187</f>
        <v>40.0092108818082</v>
      </c>
      <c r="G35" s="23" t="n">
        <f aca="false">G187</f>
        <v>42.8934858191263</v>
      </c>
    </row>
    <row r="36" customFormat="false" ht="17.15" hidden="false" customHeight="false" outlineLevel="0" collapsed="false">
      <c r="A36" s="0" t="s">
        <v>595</v>
      </c>
      <c r="B36" s="0" t="s">
        <v>333</v>
      </c>
      <c r="D36" s="23" t="n">
        <f aca="false">D189</f>
        <v>22.2987583</v>
      </c>
      <c r="E36" s="23" t="n">
        <f aca="false">E189</f>
        <v>37.928660924617</v>
      </c>
      <c r="F36" s="23" t="n">
        <f aca="false">F189</f>
        <v>27.2709594384782</v>
      </c>
      <c r="G36" s="23" t="n">
        <f aca="false">G189</f>
        <v>29.7730868324964</v>
      </c>
    </row>
    <row r="37" customFormat="false" ht="17.15" hidden="false" customHeight="false" outlineLevel="0" collapsed="false">
      <c r="A37" s="0" t="s">
        <v>596</v>
      </c>
      <c r="B37" s="0" t="s">
        <v>44</v>
      </c>
      <c r="D37" s="20" t="n">
        <f aca="false">D188</f>
        <v>1</v>
      </c>
      <c r="E37" s="20" t="n">
        <f aca="false">E188</f>
        <v>0.952550651332759</v>
      </c>
      <c r="F37" s="20" t="n">
        <f aca="false">F188</f>
        <v>1</v>
      </c>
      <c r="G37" s="20" t="n">
        <f aca="false">G188</f>
        <v>1</v>
      </c>
    </row>
    <row r="38" customFormat="false" ht="15" hidden="false" customHeight="false" outlineLevel="0" collapsed="false">
      <c r="A38" s="3" t="s">
        <v>512</v>
      </c>
      <c r="B38" s="0" t="s">
        <v>44</v>
      </c>
      <c r="C38" s="16" t="n">
        <f aca="false">C205</f>
        <v>0.0907823662659</v>
      </c>
      <c r="D38" s="16" t="n">
        <f aca="false">D205</f>
        <v>0.268820913337583</v>
      </c>
      <c r="E38" s="16" t="n">
        <f aca="false">E205</f>
        <v>0.356615625341225</v>
      </c>
      <c r="F38" s="16" t="n">
        <f aca="false">F205</f>
        <v>0.303124106616406</v>
      </c>
      <c r="G38" s="16" t="n">
        <f aca="false">G205</f>
        <v>0.283565996053604</v>
      </c>
    </row>
    <row r="39" customFormat="false" ht="15" hidden="false" customHeight="false" outlineLevel="0" collapsed="false">
      <c r="A39" s="3" t="s">
        <v>597</v>
      </c>
      <c r="B39" s="0" t="s">
        <v>333</v>
      </c>
      <c r="C39" s="23" t="n">
        <f aca="false">C201</f>
        <v>6.894</v>
      </c>
      <c r="D39" s="23" t="n">
        <f aca="false">D201</f>
        <v>7.1</v>
      </c>
      <c r="E39" s="23" t="n">
        <f aca="false">E201</f>
        <v>6.7125</v>
      </c>
      <c r="F39" s="23" t="n">
        <f aca="false">F201</f>
        <v>7.6234375</v>
      </c>
      <c r="G39" s="23" t="n">
        <f aca="false">G201</f>
        <v>8.9205078125</v>
      </c>
      <c r="H39" s="25" t="n">
        <f aca="false">H201</f>
        <v>9.23337850867094</v>
      </c>
      <c r="I39" s="25" t="n">
        <f aca="false">I201</f>
        <v>9.48763432906878</v>
      </c>
      <c r="J39" s="25" t="n">
        <f aca="false">J201</f>
        <v>9.67738701565015</v>
      </c>
    </row>
    <row r="40" customFormat="false" ht="15" hidden="false" customHeight="false" outlineLevel="0" collapsed="false">
      <c r="A40" s="3" t="s">
        <v>598</v>
      </c>
      <c r="B40" s="0" t="s">
        <v>44</v>
      </c>
      <c r="C40" s="16" t="n">
        <f aca="false">C208</f>
        <v>0.0493366191222961</v>
      </c>
      <c r="D40" s="16" t="n">
        <f aca="false">D208</f>
        <v>0.236698048451424</v>
      </c>
      <c r="E40" s="16" t="n">
        <f aca="false">E208</f>
        <v>0.327521553652416</v>
      </c>
      <c r="F40" s="16" t="n">
        <f aca="false">F208</f>
        <v>0.272362392156003</v>
      </c>
      <c r="G40" s="16" t="n">
        <f aca="false">G208</f>
        <v>0.253307154369148</v>
      </c>
    </row>
    <row r="41" customFormat="false" ht="15" hidden="false" customHeight="false" outlineLevel="0" collapsed="false">
      <c r="A41" s="3" t="s">
        <v>523</v>
      </c>
      <c r="B41" s="0" t="s">
        <v>333</v>
      </c>
      <c r="C41" s="23" t="n">
        <f aca="false">C212</f>
        <v>1.947</v>
      </c>
      <c r="D41" s="23" t="n">
        <f aca="false">D212</f>
        <v>11.509862075</v>
      </c>
      <c r="E41" s="23" t="n">
        <f aca="false">E212</f>
        <v>20.4981219105348</v>
      </c>
      <c r="F41" s="23" t="n">
        <f aca="false">F212</f>
        <v>15.0386982655559</v>
      </c>
      <c r="G41" s="23" t="n">
        <f aca="false">G212</f>
        <v>14.5968909818559</v>
      </c>
      <c r="H41" s="25" t="n">
        <f aca="false">H212</f>
        <v>14.1015938588151</v>
      </c>
      <c r="I41" s="25" t="n">
        <f aca="false">I212</f>
        <v>13.4549106362151</v>
      </c>
      <c r="J41" s="25" t="n">
        <f aca="false">J212</f>
        <v>12.6683158605595</v>
      </c>
    </row>
    <row r="42" customFormat="false" ht="15" hidden="false" customHeight="false" outlineLevel="0" collapsed="false">
      <c r="A42" s="3" t="s">
        <v>599</v>
      </c>
      <c r="B42" s="0" t="s">
        <v>44</v>
      </c>
      <c r="C42" s="16" t="n">
        <f aca="false">C216</f>
        <v>0.0484653872003585</v>
      </c>
      <c r="D42" s="16" t="n">
        <f aca="false">D216</f>
        <v>0.194594602259759</v>
      </c>
      <c r="E42" s="16" t="n">
        <f aca="false">E216</f>
        <v>0.264866826341819</v>
      </c>
      <c r="F42" s="16" t="n">
        <f aca="false">F216</f>
        <v>0.222168756967834</v>
      </c>
      <c r="G42" s="16" t="n">
        <f aca="false">G216</f>
        <v>0.206828939512505</v>
      </c>
      <c r="H42" s="27" t="n">
        <f aca="false">H216</f>
        <v>0.193040343545005</v>
      </c>
      <c r="I42" s="27" t="n">
        <f aca="false">I216</f>
        <v>0.179251747577504</v>
      </c>
      <c r="J42" s="27" t="n">
        <f aca="false">J216</f>
        <v>0.165463151610004</v>
      </c>
    </row>
    <row r="43" customFormat="false" ht="15" hidden="false" customHeight="false" outlineLevel="0" collapsed="false">
      <c r="A43" s="0" t="s">
        <v>600</v>
      </c>
      <c r="B43" s="0" t="s">
        <v>406</v>
      </c>
      <c r="C43" s="18" t="n">
        <f aca="false">C214</f>
        <v>3.01</v>
      </c>
      <c r="D43" s="18" t="n">
        <f aca="false">D214</f>
        <v>17.820894339844</v>
      </c>
      <c r="E43" s="18" t="n">
        <f aca="false">E214</f>
        <v>31.7224908468899</v>
      </c>
      <c r="F43" s="18" t="n">
        <f aca="false">F214</f>
        <v>23.2735940473187</v>
      </c>
      <c r="G43" s="18" t="n">
        <f aca="false">G214</f>
        <v>22.5898617729945</v>
      </c>
      <c r="H43" s="28" t="n">
        <f aca="false">H214</f>
        <v>21.8233496739481</v>
      </c>
      <c r="I43" s="28" t="n">
        <f aca="false">I214</f>
        <v>20.8225554207331</v>
      </c>
      <c r="J43" s="28" t="n">
        <f aca="false">J214</f>
        <v>19.6052367961364</v>
      </c>
    </row>
    <row r="44" customFormat="false" ht="17.15" hidden="false" customHeight="false" outlineLevel="0" collapsed="false">
      <c r="A44" s="0" t="s">
        <v>601</v>
      </c>
      <c r="B44" s="0" t="s">
        <v>44</v>
      </c>
      <c r="D44" s="20" t="n">
        <f aca="false">D215</f>
        <v>4.92056290360265</v>
      </c>
      <c r="E44" s="20" t="n">
        <f aca="false">E215</f>
        <v>0.780072887585933</v>
      </c>
      <c r="F44" s="20" t="n">
        <f aca="false">F215</f>
        <v>-0.266337748834107</v>
      </c>
      <c r="G44" s="20" t="n">
        <f aca="false">G215</f>
        <v>-0.029378027000644</v>
      </c>
      <c r="H44" s="26" t="n">
        <f aca="false">H215</f>
        <v>-0.0339316861142865</v>
      </c>
      <c r="I44" s="26" t="n">
        <f aca="false">I215</f>
        <v>-0.0458588744701169</v>
      </c>
      <c r="J44" s="26" t="n">
        <f aca="false">J215</f>
        <v>-0.0584615384615385</v>
      </c>
    </row>
    <row r="46" customFormat="false" ht="17.15" hidden="false" customHeight="false" outlineLevel="0" collapsed="false">
      <c r="A46" s="1" t="s">
        <v>604</v>
      </c>
    </row>
    <row r="47" customFormat="false" ht="17.15" hidden="false" customHeight="false" outlineLevel="0" collapsed="false">
      <c r="A47" s="3" t="s">
        <v>605</v>
      </c>
      <c r="D47" s="29" t="n">
        <f aca="false">ABS(D86-a26_rev)+ABS(D140-a26_rev)+ABS(D194-a26_rev)</f>
        <v>0</v>
      </c>
    </row>
    <row r="48" customFormat="false" ht="17.15" hidden="false" customHeight="false" outlineLevel="0" collapsed="false">
      <c r="A48" s="3" t="s">
        <v>606</v>
      </c>
      <c r="D48" s="29" t="n">
        <f aca="false">ABS(D106-a26_eps)+ABS(D160-a26_eps)+ABS(D214-a26_eps)</f>
        <v>0</v>
      </c>
    </row>
    <row r="49" customFormat="false" ht="17.15" hidden="false" customHeight="false" outlineLevel="0" collapsed="false">
      <c r="A49" s="3" t="s">
        <v>607</v>
      </c>
      <c r="D49" s="29" t="n">
        <f aca="false">IF(D75&gt;0,0,1)</f>
        <v>0</v>
      </c>
    </row>
    <row r="60" customFormat="false" ht="17.15" hidden="false" customHeight="false" outlineLevel="0" collapsed="false">
      <c r="A60" s="1" t="s">
        <v>608</v>
      </c>
    </row>
    <row r="61" customFormat="false" ht="17.15" hidden="false" customHeight="false" outlineLevel="0" collapsed="false">
      <c r="A61" s="4" t="s">
        <v>21</v>
      </c>
      <c r="B61" s="4" t="s">
        <v>22</v>
      </c>
      <c r="C61" s="13" t="s">
        <v>498</v>
      </c>
      <c r="D61" s="13" t="s">
        <v>585</v>
      </c>
      <c r="E61" s="13" t="s">
        <v>586</v>
      </c>
      <c r="F61" s="13" t="s">
        <v>587</v>
      </c>
      <c r="G61" s="13" t="s">
        <v>588</v>
      </c>
      <c r="H61" s="13" t="s">
        <v>589</v>
      </c>
      <c r="I61" s="13" t="s">
        <v>590</v>
      </c>
      <c r="J61" s="13" t="s">
        <v>591</v>
      </c>
      <c r="K61" s="4" t="s">
        <v>553</v>
      </c>
    </row>
    <row r="62" customFormat="false" ht="17.15" hidden="false" customHeight="false" outlineLevel="0" collapsed="false">
      <c r="A62" s="5" t="s">
        <v>609</v>
      </c>
    </row>
    <row r="63" customFormat="false" ht="17.15" hidden="false" customHeight="false" outlineLevel="0" collapsed="false">
      <c r="A63" s="0" t="s">
        <v>610</v>
      </c>
      <c r="B63" s="3" t="s">
        <v>32</v>
      </c>
      <c r="D63" s="21" t="n">
        <f aca="false">(u_bw_26+u_rb_26+u_ru_26+u_hp_26)*1</f>
        <v>7.6</v>
      </c>
      <c r="E63" s="21" t="n">
        <f aca="false">(u_bw_27+u_rb_27+u_ru_27+u_hp_27)*1*1</f>
        <v>9.7</v>
      </c>
      <c r="F63" s="21" t="n">
        <f aca="false">(u_bw_28+u_rb_28+u_ru_28+u_hp_28)*um28_A*1</f>
        <v>9.5</v>
      </c>
      <c r="G63" s="21" t="n">
        <f aca="false">(u_bw_28*(1+g29_bw)+u_rb_28*(1+g29_rb)+u_ru_28*(1+g29_ru)+u_hp_28*(1+g29_hp))*um29_A*1</f>
        <v>10.6</v>
      </c>
      <c r="K63" s="7" t="s">
        <v>611</v>
      </c>
    </row>
    <row r="64" customFormat="false" ht="17.15" hidden="false" customHeight="false" outlineLevel="0" collapsed="false">
      <c r="A64" s="3" t="s">
        <v>612</v>
      </c>
      <c r="B64" s="3" t="s">
        <v>32</v>
      </c>
      <c r="D64" s="21" t="n">
        <f aca="false">(u_amd_26+u_tpu_26+u_trn_26+u_oth_26)*1</f>
        <v>7.6</v>
      </c>
      <c r="E64" s="21" t="n">
        <f aca="false">(u_amd_27+u_tpu_27+u_trn_27+u_oth_27)*1*1</f>
        <v>14</v>
      </c>
      <c r="F64" s="21" t="n">
        <f aca="false">(u_amd_28+u_tpu_28+u_trn_28+u_oth_28)*um28_A*1</f>
        <v>17</v>
      </c>
      <c r="G64" s="21" t="n">
        <f aca="false">(u_amd_28*(1+g29_amd)+u_tpu_28*(1+g29_tpu)+u_trn_28*(1+g29_trn)+u_oth_28*(1+g29_oth))*um29_A*1</f>
        <v>19.55</v>
      </c>
      <c r="K64" s="7" t="s">
        <v>613</v>
      </c>
    </row>
    <row r="65" customFormat="false" ht="17.15" hidden="false" customHeight="false" outlineLevel="0" collapsed="false">
      <c r="A65" s="3" t="s">
        <v>614</v>
      </c>
      <c r="B65" s="0" t="s">
        <v>154</v>
      </c>
      <c r="D65" s="19" t="n">
        <f aca="false">1</f>
        <v>1</v>
      </c>
      <c r="E65" s="19" t="n">
        <f aca="false">D65*(1+g_asp)</f>
        <v>1.18</v>
      </c>
      <c r="F65" s="19" t="n">
        <f aca="false">E65*(1+g_asp)</f>
        <v>1.3924</v>
      </c>
      <c r="G65" s="19" t="n">
        <f aca="false">F65*(1+g_asp)</f>
        <v>1.643032</v>
      </c>
      <c r="K65" s="7" t="s">
        <v>615</v>
      </c>
    </row>
    <row r="66" customFormat="false" ht="17.15" hidden="false" customHeight="false" outlineLevel="0" collapsed="false">
      <c r="A66" s="0" t="s">
        <v>616</v>
      </c>
      <c r="B66" s="0" t="s">
        <v>154</v>
      </c>
      <c r="D66" s="18" t="n">
        <f aca="false">1</f>
        <v>1</v>
      </c>
      <c r="E66" s="18" t="n">
        <f aca="false">ibpp_27</f>
        <v>1</v>
      </c>
      <c r="F66" s="18" t="n">
        <f aca="false">ibpp_28</f>
        <v>0.95</v>
      </c>
      <c r="G66" s="18" t="n">
        <f aca="false">ibpp_29</f>
        <v>0.9</v>
      </c>
      <c r="K66" s="7" t="s">
        <v>617</v>
      </c>
    </row>
    <row r="67" customFormat="false" ht="17.15" hidden="false" customHeight="false" outlineLevel="0" collapsed="false">
      <c r="A67" s="3" t="s">
        <v>618</v>
      </c>
      <c r="B67" s="0" t="s">
        <v>154</v>
      </c>
      <c r="D67" s="18" t="n">
        <f aca="false">1</f>
        <v>1</v>
      </c>
      <c r="E67" s="18" t="n">
        <f aca="false">1+carry</f>
        <v>1.15</v>
      </c>
      <c r="F67" s="18" t="n">
        <f aca="false">1+carry</f>
        <v>1.15</v>
      </c>
      <c r="G67" s="18" t="n">
        <f aca="false">1+carry</f>
        <v>1.15</v>
      </c>
      <c r="K67" s="7" t="s">
        <v>619</v>
      </c>
    </row>
    <row r="68" customFormat="false" ht="17.15" hidden="false" customHeight="false" outlineLevel="0" collapsed="false">
      <c r="A68" s="3" t="s">
        <v>620</v>
      </c>
      <c r="B68" s="0" t="s">
        <v>621</v>
      </c>
      <c r="D68" s="23" t="n">
        <f aca="false">v26*D65*D66</f>
        <v>215.308596</v>
      </c>
      <c r="E68" s="23" t="n">
        <f aca="false">v26*E65*E66</f>
        <v>254.06414328</v>
      </c>
      <c r="F68" s="23" t="n">
        <f aca="false">v26*F65*F66</f>
        <v>284.80590461688</v>
      </c>
      <c r="G68" s="23" t="n">
        <f aca="false">v26*G65*G66</f>
        <v>318.383021792765</v>
      </c>
      <c r="K68" s="7" t="s">
        <v>622</v>
      </c>
    </row>
    <row r="69" customFormat="false" ht="17.15" hidden="false" customHeight="false" outlineLevel="0" collapsed="false">
      <c r="A69" s="3" t="s">
        <v>623</v>
      </c>
      <c r="B69" s="0" t="s">
        <v>44</v>
      </c>
      <c r="D69" s="20" t="n">
        <f aca="false">sh_nv_26</f>
        <v>0.02</v>
      </c>
      <c r="E69" s="20" t="n">
        <f aca="false">sh_nv_27</f>
        <v>0.03</v>
      </c>
      <c r="F69" s="20" t="n">
        <f aca="false">sh_nv_28</f>
        <v>0.04</v>
      </c>
      <c r="G69" s="20" t="n">
        <f aca="false">sh_nv_29</f>
        <v>0.04</v>
      </c>
    </row>
    <row r="70" customFormat="false" ht="17.15" hidden="false" customHeight="false" outlineLevel="0" collapsed="false">
      <c r="A70" s="3" t="s">
        <v>624</v>
      </c>
      <c r="B70" s="0" t="s">
        <v>44</v>
      </c>
      <c r="D70" s="20" t="n">
        <f aca="false">sh_ot_26</f>
        <v>0.05</v>
      </c>
      <c r="E70" s="20" t="n">
        <f aca="false">sh_ot_27</f>
        <v>0.06</v>
      </c>
      <c r="F70" s="20" t="n">
        <f aca="false">sh_ot_28</f>
        <v>0.07</v>
      </c>
      <c r="G70" s="20" t="n">
        <f aca="false">sh_ot_29</f>
        <v>0.07</v>
      </c>
    </row>
    <row r="71" customFormat="false" ht="17.15" hidden="false" customHeight="false" outlineLevel="0" collapsed="false">
      <c r="A71" s="3" t="s">
        <v>625</v>
      </c>
      <c r="B71" s="0" t="s">
        <v>575</v>
      </c>
      <c r="D71" s="22" t="n">
        <f aca="false">(D63*D68*D69+D64*D68*v_ot*D70)*D67</f>
        <v>98.180719776</v>
      </c>
      <c r="E71" s="22" t="n">
        <f aca="false">(E63*E68*E69+E64*E68*v_ot*E70)*E67</f>
        <v>281.363335475436</v>
      </c>
      <c r="F71" s="22" t="n">
        <f aca="false">(F63*F68*F69+F64*F68*v_ot*F70)*F67</f>
        <v>436.265684692137</v>
      </c>
      <c r="G71" s="22" t="n">
        <f aca="false">(G63*G68*G69+G64*G68*v_ot*G70)*G67</f>
        <v>556.094153523679</v>
      </c>
    </row>
    <row r="72" customFormat="false" ht="15" hidden="false" customHeight="false" outlineLevel="0" collapsed="false">
      <c r="A72" s="3" t="s">
        <v>626</v>
      </c>
      <c r="B72" s="0" t="s">
        <v>333</v>
      </c>
      <c r="D72" s="21" t="n">
        <f aca="false">D71*fx/1000</f>
        <v>3.141783032832</v>
      </c>
      <c r="E72" s="21" t="n">
        <f aca="false">E71*fx/1000</f>
        <v>9.00362673521395</v>
      </c>
      <c r="F72" s="21" t="n">
        <f aca="false">F71*fx/1000</f>
        <v>13.9605019101484</v>
      </c>
      <c r="G72" s="21" t="n">
        <f aca="false">G71*fx/1000</f>
        <v>17.7950129127577</v>
      </c>
    </row>
    <row r="73" customFormat="false" ht="17.15" hidden="false" customHeight="false" outlineLevel="0" collapsed="false">
      <c r="A73" s="5" t="s">
        <v>627</v>
      </c>
    </row>
    <row r="74" customFormat="false" ht="17.15" hidden="false" customHeight="false" outlineLevel="0" collapsed="false">
      <c r="A74" s="0" t="s">
        <v>628</v>
      </c>
      <c r="B74" s="0" t="s">
        <v>333</v>
      </c>
      <c r="D74" s="21" t="n">
        <f aca="false">a26_abf*ai_abf</f>
        <v>22.2987583</v>
      </c>
      <c r="K74" s="3" t="s">
        <v>629</v>
      </c>
    </row>
    <row r="75" customFormat="false" ht="17.15" hidden="false" customHeight="false" outlineLevel="0" collapsed="false">
      <c r="A75" s="3" t="s">
        <v>630</v>
      </c>
      <c r="B75" s="0" t="s">
        <v>333</v>
      </c>
      <c r="D75" s="21" t="n">
        <f aca="false">D74-D72</f>
        <v>19.156975267168</v>
      </c>
      <c r="E75" s="21" t="n">
        <f aca="false">$D75*(swm_27/swm_26)^el_o*1*1*E66*E67</f>
        <v>30.814372309298</v>
      </c>
      <c r="F75" s="21" t="n">
        <f aca="false">$D75*(swm_28/swm_26)^el_o*um28_A*1*F66*F67</f>
        <v>31.4910971539819</v>
      </c>
      <c r="G75" s="21" t="n">
        <f aca="false">$D75*(swm_29/swm_26)^el_o*um29_A*1*G66*G67</f>
        <v>31.8267984747363</v>
      </c>
      <c r="K75" s="7" t="s">
        <v>631</v>
      </c>
    </row>
    <row r="76" customFormat="false" ht="17.15" hidden="false" customHeight="false" outlineLevel="0" collapsed="false">
      <c r="A76" s="3" t="s">
        <v>632</v>
      </c>
      <c r="B76" s="0" t="s">
        <v>333</v>
      </c>
      <c r="D76" s="21" t="n">
        <f aca="false">a26_abf-D74</f>
        <v>12.0070237</v>
      </c>
      <c r="E76" s="21" t="n">
        <f aca="false">D76*(1+g_nai)</f>
        <v>12.367234411</v>
      </c>
      <c r="F76" s="21" t="n">
        <f aca="false">E76*(1+g_nai)</f>
        <v>12.73825144333</v>
      </c>
      <c r="G76" s="21" t="n">
        <f aca="false">F76*(1+g_nai)</f>
        <v>13.1203989866299</v>
      </c>
    </row>
    <row r="77" customFormat="false" ht="17.15" hidden="false" customHeight="false" outlineLevel="0" collapsed="false">
      <c r="A77" s="0" t="s">
        <v>633</v>
      </c>
      <c r="B77" s="0" t="s">
        <v>333</v>
      </c>
      <c r="D77" s="21" t="n">
        <f aca="false">D72+D75+D76</f>
        <v>34.305782</v>
      </c>
      <c r="E77" s="21" t="n">
        <f aca="false">E72+E75+E76</f>
        <v>52.185233455512</v>
      </c>
      <c r="F77" s="21" t="n">
        <f aca="false">F72+F75+F76</f>
        <v>58.1898505074603</v>
      </c>
      <c r="G77" s="21" t="n">
        <f aca="false">G72+G75+G76</f>
        <v>62.7422103741239</v>
      </c>
    </row>
    <row r="78" customFormat="false" ht="17.15" hidden="false" customHeight="false" outlineLevel="0" collapsed="false">
      <c r="A78" s="0" t="s">
        <v>634</v>
      </c>
      <c r="B78" s="0" t="s">
        <v>333</v>
      </c>
      <c r="D78" s="21" t="n">
        <f aca="false">a26_abf</f>
        <v>34.305782</v>
      </c>
      <c r="E78" s="21" t="n">
        <f aca="false">$D77*cap_27*(1+g_mix)^1*E66*E67</f>
        <v>49.709078118</v>
      </c>
      <c r="F78" s="21" t="n">
        <f aca="false">$D77*cap_28*(1+g_mix)^2*F66*F67</f>
        <v>55.7829061005431</v>
      </c>
      <c r="G78" s="21" t="n">
        <f aca="false">$D77*cap_29*(1+g_mix)^3*G66*G67</f>
        <v>65.765110350114</v>
      </c>
      <c r="K78" s="7" t="s">
        <v>635</v>
      </c>
    </row>
    <row r="79" customFormat="false" ht="17.15" hidden="false" customHeight="false" outlineLevel="0" collapsed="false">
      <c r="A79" s="0" t="s">
        <v>636</v>
      </c>
      <c r="B79" s="0" t="s">
        <v>333</v>
      </c>
      <c r="D79" s="21" t="n">
        <f aca="false">a26_abf</f>
        <v>34.305782</v>
      </c>
      <c r="E79" s="21" t="n">
        <f aca="false">MIN(E77,E78)</f>
        <v>49.709078118</v>
      </c>
      <c r="F79" s="21" t="n">
        <f aca="false">MIN(F77,F78)</f>
        <v>55.7829061005431</v>
      </c>
      <c r="G79" s="21" t="n">
        <f aca="false">MIN(G77,G78)</f>
        <v>62.7422103741239</v>
      </c>
    </row>
    <row r="80" customFormat="false" ht="17.15" hidden="false" customHeight="false" outlineLevel="0" collapsed="false">
      <c r="A80" s="3" t="s">
        <v>637</v>
      </c>
      <c r="B80" s="0" t="s">
        <v>44</v>
      </c>
      <c r="D80" s="20" t="n">
        <f aca="false">D79/D77</f>
        <v>1</v>
      </c>
      <c r="E80" s="20" t="n">
        <f aca="false">E79/E77</f>
        <v>0.952550651332759</v>
      </c>
      <c r="F80" s="20" t="n">
        <f aca="false">F79/F77</f>
        <v>0.958636353489023</v>
      </c>
      <c r="G80" s="20" t="n">
        <f aca="false">G79/G77</f>
        <v>1</v>
      </c>
    </row>
    <row r="81" customFormat="false" ht="17.15" hidden="false" customHeight="false" outlineLevel="0" collapsed="false">
      <c r="A81" s="0" t="s">
        <v>638</v>
      </c>
      <c r="B81" s="0" t="s">
        <v>333</v>
      </c>
      <c r="D81" s="21" t="n">
        <f aca="false">(D72+D75)*D80</f>
        <v>22.2987583</v>
      </c>
      <c r="E81" s="21" t="n">
        <f aca="false">(E72+E75)*E80</f>
        <v>37.928660924617</v>
      </c>
      <c r="F81" s="21" t="n">
        <f aca="false">(F72+F75)*F80</f>
        <v>43.571555187083</v>
      </c>
      <c r="G81" s="21" t="n">
        <f aca="false">(G72+G75)*G80</f>
        <v>49.621811387494</v>
      </c>
    </row>
    <row r="82" customFormat="false" ht="17.15" hidden="false" customHeight="false" outlineLevel="0" collapsed="false">
      <c r="A82" s="3" t="s">
        <v>639</v>
      </c>
      <c r="B82" s="0" t="s">
        <v>44</v>
      </c>
      <c r="D82" s="20" t="n">
        <f aca="false">D72/(D72+D75)</f>
        <v>0.140894976776891</v>
      </c>
      <c r="E82" s="20" t="n">
        <f aca="false">E72/(E72+E75)</f>
        <v>0.226119517586731</v>
      </c>
      <c r="F82" s="20" t="n">
        <f aca="false">F72/(F72+F75)</f>
        <v>0.307150951728908</v>
      </c>
      <c r="G82" s="20" t="n">
        <f aca="false">G72/(G72+G75)</f>
        <v>0.358612723219583</v>
      </c>
    </row>
    <row r="83" customFormat="false" ht="17.15" hidden="false" customHeight="false" outlineLevel="0" collapsed="false">
      <c r="A83" s="5" t="s">
        <v>640</v>
      </c>
    </row>
    <row r="84" customFormat="false" ht="17.15" hidden="false" customHeight="false" outlineLevel="0" collapsed="false">
      <c r="A84" s="0" t="s">
        <v>641</v>
      </c>
      <c r="B84" s="0" t="s">
        <v>333</v>
      </c>
      <c r="D84" s="21" t="n">
        <f aca="false">a26_bt</f>
        <v>18.927328</v>
      </c>
      <c r="E84" s="21" t="n">
        <f aca="false">D84*(1+g_bt27_A)</f>
        <v>24.6055264</v>
      </c>
      <c r="F84" s="21" t="n">
        <f aca="false">E84*(1+g_bt28_A)</f>
        <v>27.06607904</v>
      </c>
      <c r="G84" s="21" t="n">
        <f aca="false">F84*(1+g_bt29_A)</f>
        <v>28.419382992</v>
      </c>
      <c r="K84" s="7" t="s">
        <v>642</v>
      </c>
    </row>
    <row r="85" customFormat="false" ht="17.15" hidden="false" customHeight="false" outlineLevel="0" collapsed="false">
      <c r="A85" s="0" t="s">
        <v>540</v>
      </c>
      <c r="B85" s="0" t="s">
        <v>333</v>
      </c>
      <c r="D85" s="21" t="n">
        <f aca="false">a26_pcb</f>
        <v>5.91479</v>
      </c>
      <c r="E85" s="21" t="n">
        <f aca="false">D85*(1+g_pcb)</f>
        <v>5.91479</v>
      </c>
      <c r="F85" s="21" t="n">
        <f aca="false">E85*(1+g_pcb)</f>
        <v>5.91479</v>
      </c>
      <c r="G85" s="21" t="n">
        <f aca="false">F85*(1+g_pcb)</f>
        <v>5.91479</v>
      </c>
    </row>
    <row r="86" customFormat="false" ht="17.15" hidden="false" customHeight="false" outlineLevel="0" collapsed="false">
      <c r="A86" s="3" t="s">
        <v>505</v>
      </c>
      <c r="B86" s="0" t="s">
        <v>333</v>
      </c>
      <c r="C86" s="23" t="n">
        <f aca="false">a25_rev</f>
        <v>40.173</v>
      </c>
      <c r="D86" s="23" t="n">
        <f aca="false">D79+D84+D85</f>
        <v>59.1479</v>
      </c>
      <c r="E86" s="23" t="n">
        <f aca="false">E79+E84+E85</f>
        <v>80.229394518</v>
      </c>
      <c r="F86" s="23" t="n">
        <f aca="false">F79+F84+F85</f>
        <v>88.7637751405431</v>
      </c>
      <c r="G86" s="23" t="n">
        <f aca="false">G79+G84+G85</f>
        <v>97.0763833661239</v>
      </c>
      <c r="H86" s="25" t="n">
        <f aca="false">G86*(1+H88)</f>
        <v>105.078626241508</v>
      </c>
      <c r="I86" s="25" t="n">
        <f aca="false">H86*(1+I88)</f>
        <v>112.561928658085</v>
      </c>
      <c r="J86" s="25" t="n">
        <f aca="false">I86*(1+J88)</f>
        <v>119.315644377571</v>
      </c>
      <c r="K86" s="7" t="s">
        <v>643</v>
      </c>
    </row>
    <row r="87" customFormat="false" ht="17.15" hidden="false" customHeight="false" outlineLevel="0" collapsed="false">
      <c r="A87" s="3" t="s">
        <v>644</v>
      </c>
      <c r="B87" s="0" t="s">
        <v>333</v>
      </c>
      <c r="D87" s="19" t="n">
        <f aca="false">D79+D84+D85-a26_rev</f>
        <v>0</v>
      </c>
      <c r="E87" s="19" t="n">
        <f aca="false">E79+E84+E85-E86</f>
        <v>0</v>
      </c>
      <c r="F87" s="19" t="n">
        <f aca="false">F79+F84+F85-F86</f>
        <v>0</v>
      </c>
      <c r="G87" s="19" t="n">
        <f aca="false">G79+G84+G85-G86</f>
        <v>0</v>
      </c>
    </row>
    <row r="88" customFormat="false" ht="15" hidden="false" customHeight="false" outlineLevel="0" collapsed="false">
      <c r="A88" s="3" t="s">
        <v>645</v>
      </c>
      <c r="B88" s="0" t="s">
        <v>44</v>
      </c>
      <c r="D88" s="20" t="n">
        <f aca="false">D86/C86-1</f>
        <v>0.472329674159261</v>
      </c>
      <c r="E88" s="20" t="n">
        <f aca="false">E86/D86-1</f>
        <v>0.35642</v>
      </c>
      <c r="F88" s="20" t="n">
        <f aca="false">F86/E86-1</f>
        <v>0.106374735517023</v>
      </c>
      <c r="G88" s="20" t="n">
        <f aca="false">G86/F86-1</f>
        <v>0.0936486557992731</v>
      </c>
      <c r="H88" s="26" t="n">
        <f aca="false">$G88+(fade_gA-$G88)*1/3</f>
        <v>0.0824324371995154</v>
      </c>
      <c r="I88" s="26" t="n">
        <f aca="false">$G88+(fade_gA-$G88)*2/3</f>
        <v>0.0712162185997577</v>
      </c>
      <c r="J88" s="26" t="n">
        <f aca="false">$G88+(fade_gA-$G88)*3/3</f>
        <v>0.06</v>
      </c>
    </row>
    <row r="89" customFormat="false" ht="17.15" hidden="false" customHeight="false" outlineLevel="0" collapsed="false">
      <c r="A89" s="0" t="s">
        <v>646</v>
      </c>
      <c r="B89" s="0" t="s">
        <v>44</v>
      </c>
      <c r="D89" s="20" t="n">
        <f aca="false">D79/D86</f>
        <v>0.58</v>
      </c>
      <c r="E89" s="20" t="n">
        <f aca="false">E79/E86</f>
        <v>0.619586853629407</v>
      </c>
      <c r="F89" s="20" t="n">
        <f aca="false">F79/F86</f>
        <v>0.62844224473576</v>
      </c>
      <c r="G89" s="20" t="n">
        <f aca="false">G79/G86</f>
        <v>0.646317963221718</v>
      </c>
    </row>
    <row r="90" customFormat="false" ht="17.15" hidden="false" customHeight="false" outlineLevel="0" collapsed="false">
      <c r="A90" s="0" t="s">
        <v>647</v>
      </c>
      <c r="B90" s="0" t="s">
        <v>44</v>
      </c>
      <c r="D90" s="20" t="n">
        <f aca="false">D81/D86</f>
        <v>0.377</v>
      </c>
      <c r="E90" s="20" t="n">
        <f aca="false">E81/E86</f>
        <v>0.472752675655648</v>
      </c>
      <c r="F90" s="20" t="n">
        <f aca="false">F81/F86</f>
        <v>0.490870911225829</v>
      </c>
      <c r="G90" s="20" t="n">
        <f aca="false">G81/G86</f>
        <v>0.511162547128947</v>
      </c>
      <c r="K90" s="3" t="s">
        <v>648</v>
      </c>
    </row>
    <row r="91" customFormat="false" ht="17.15" hidden="false" customHeight="false" outlineLevel="0" collapsed="false">
      <c r="A91" s="5" t="s">
        <v>649</v>
      </c>
    </row>
    <row r="92" customFormat="false" ht="15" hidden="false" customHeight="false" outlineLevel="0" collapsed="false">
      <c r="A92" s="3" t="s">
        <v>650</v>
      </c>
      <c r="B92" s="0" t="s">
        <v>333</v>
      </c>
      <c r="C92" s="23" t="n">
        <f aca="false">a25_cx</f>
        <v>2.422</v>
      </c>
      <c r="D92" s="23" t="n">
        <f aca="false">capex26</f>
        <v>4</v>
      </c>
      <c r="E92" s="23" t="n">
        <f aca="false">cx27</f>
        <v>14</v>
      </c>
      <c r="F92" s="23" t="n">
        <f aca="false">cx28</f>
        <v>18</v>
      </c>
      <c r="G92" s="23" t="n">
        <f aca="false">cx29</f>
        <v>12</v>
      </c>
      <c r="H92" s="25" t="n">
        <f aca="false">H86*H109</f>
        <v>12.4247845914869</v>
      </c>
      <c r="I92" s="25" t="n">
        <f aca="false">I86*I109</f>
        <v>12.7050313468192</v>
      </c>
      <c r="J92" s="25" t="n">
        <f aca="false">J86*J109</f>
        <v>12.8264578422271</v>
      </c>
    </row>
    <row r="93" customFormat="false" ht="17.15" hidden="false" customHeight="false" outlineLevel="0" collapsed="false">
      <c r="A93" s="3" t="s">
        <v>651</v>
      </c>
      <c r="B93" s="0" t="s">
        <v>333</v>
      </c>
      <c r="C93" s="23" t="n">
        <f aca="false">a25_da</f>
        <v>6.894</v>
      </c>
      <c r="D93" s="23" t="n">
        <f aca="false">da26</f>
        <v>7.1</v>
      </c>
      <c r="E93" s="23" t="n">
        <f aca="false">D93*(1-1/life)+D92/life</f>
        <v>6.7125</v>
      </c>
      <c r="F93" s="23" t="n">
        <f aca="false">E93*(1-1/life)+E92/life</f>
        <v>7.6234375</v>
      </c>
      <c r="G93" s="23" t="n">
        <f aca="false">F93*(1-1/life)+F92/life</f>
        <v>8.9205078125</v>
      </c>
      <c r="H93" s="25" t="n">
        <f aca="false">H86*H94</f>
        <v>9.65584701254169</v>
      </c>
      <c r="I93" s="25" t="n">
        <f aca="false">I86*I94</f>
        <v>10.3434999241527</v>
      </c>
      <c r="J93" s="25" t="n">
        <f aca="false">J86*J94</f>
        <v>10.9641099196018</v>
      </c>
      <c r="K93" s="3" t="s">
        <v>652</v>
      </c>
    </row>
    <row r="94" customFormat="false" ht="17.15" hidden="false" customHeight="false" outlineLevel="0" collapsed="false">
      <c r="A94" s="3" t="s">
        <v>653</v>
      </c>
      <c r="B94" s="0" t="s">
        <v>44</v>
      </c>
      <c r="C94" s="20" t="n">
        <f aca="false">C93/C86</f>
        <v>0.171607796281084</v>
      </c>
      <c r="D94" s="20" t="n">
        <f aca="false">D93/D86</f>
        <v>0.120038074048276</v>
      </c>
      <c r="E94" s="20" t="n">
        <f aca="false">E93/E86</f>
        <v>0.0836663424961285</v>
      </c>
      <c r="F94" s="20" t="n">
        <f aca="false">F93/F86</f>
        <v>0.0858845569369883</v>
      </c>
      <c r="G94" s="20" t="n">
        <f aca="false">G93/G86</f>
        <v>0.0918916373187933</v>
      </c>
      <c r="H94" s="26" t="n">
        <f aca="false">$G94</f>
        <v>0.0918916373187933</v>
      </c>
      <c r="I94" s="26" t="n">
        <f aca="false">$G94</f>
        <v>0.0918916373187933</v>
      </c>
      <c r="J94" s="26" t="n">
        <f aca="false">$G94</f>
        <v>0.0918916373187933</v>
      </c>
    </row>
    <row r="95" customFormat="false" ht="17.15" hidden="false" customHeight="false" outlineLevel="0" collapsed="false">
      <c r="A95" s="3" t="s">
        <v>654</v>
      </c>
      <c r="B95" s="0" t="s">
        <v>333</v>
      </c>
      <c r="E95" s="21" t="n">
        <f aca="false">E81*(1-1/(E66*E67))</f>
        <v>4.94721664234135</v>
      </c>
      <c r="F95" s="21" t="n">
        <f aca="false">F81*(1-1/(F66*F67))</f>
        <v>3.68912480989031</v>
      </c>
      <c r="G95" s="21" t="n">
        <f aca="false">G81*(1-1/(G66*G67))</f>
        <v>1.67803226914231</v>
      </c>
      <c r="K95" s="7" t="s">
        <v>655</v>
      </c>
    </row>
    <row r="96" customFormat="false" ht="17.15" hidden="false" customHeight="false" outlineLevel="0" collapsed="false">
      <c r="A96" s="3" t="s">
        <v>656</v>
      </c>
      <c r="B96" s="0" t="s">
        <v>333</v>
      </c>
      <c r="C96" s="21" t="n">
        <f aca="false">a25_gp</f>
        <v>3.647</v>
      </c>
      <c r="D96" s="21" t="n">
        <f aca="false">a26_gp</f>
        <v>15.9001925</v>
      </c>
      <c r="E96" s="21" t="n">
        <f aca="false">$D96+ft_abf*(E79-E95-$D79)+ft_oth*((E86-E79)-($D86-$D79))+E95-(E93-$D93)</f>
        <v>28.7342282401707</v>
      </c>
      <c r="F96" s="21" t="n">
        <f aca="false">$D96+ft_abf*(F79-F95-$D79)+ft_oth*((F86-F79)-($D86-$D79))+F95-(F93-$D93)</f>
        <v>31.2153798712167</v>
      </c>
      <c r="G96" s="21" t="n">
        <f aca="false">$D96+ft_abf*(G79-G95-$D79)+ft_oth*((G86-G79)-($D86-$D79))+G95-(G93-$D93)</f>
        <v>32.9337370059331</v>
      </c>
      <c r="K96" s="3" t="s">
        <v>657</v>
      </c>
    </row>
    <row r="97" customFormat="false" ht="15" hidden="false" customHeight="false" outlineLevel="0" collapsed="false">
      <c r="A97" s="3" t="s">
        <v>512</v>
      </c>
      <c r="B97" s="0" t="s">
        <v>44</v>
      </c>
      <c r="C97" s="16" t="n">
        <f aca="false">C96/C86</f>
        <v>0.0907823662659</v>
      </c>
      <c r="D97" s="16" t="n">
        <f aca="false">D96/D86</f>
        <v>0.268820913337583</v>
      </c>
      <c r="E97" s="16" t="n">
        <f aca="false">E96/E86</f>
        <v>0.35815087989632</v>
      </c>
      <c r="F97" s="16" t="n">
        <f aca="false">F96/F86</f>
        <v>0.351668006704224</v>
      </c>
      <c r="G97" s="16" t="n">
        <f aca="false">G96/G86</f>
        <v>0.339255912344029</v>
      </c>
    </row>
    <row r="98" customFormat="false" ht="15" hidden="false" customHeight="false" outlineLevel="0" collapsed="false">
      <c r="A98" s="3" t="s">
        <v>514</v>
      </c>
      <c r="B98" s="0" t="s">
        <v>333</v>
      </c>
      <c r="C98" s="21" t="n">
        <f aca="false">a25_opx</f>
        <v>1.665</v>
      </c>
      <c r="D98" s="21" t="n">
        <f aca="false">a26_opx</f>
        <v>1.9</v>
      </c>
      <c r="E98" s="21" t="n">
        <f aca="false">D98*(1+phi*E88)</f>
        <v>2.3063188</v>
      </c>
      <c r="F98" s="21" t="n">
        <f aca="false">E98*(1+phi*F88)</f>
        <v>2.45351923142076</v>
      </c>
      <c r="G98" s="21" t="n">
        <f aca="false">F98*(1+phi*G88)</f>
        <v>2.59138049822089</v>
      </c>
    </row>
    <row r="99" customFormat="false" ht="15" hidden="false" customHeight="false" outlineLevel="0" collapsed="false">
      <c r="A99" s="3" t="s">
        <v>517</v>
      </c>
      <c r="B99" s="0" t="s">
        <v>333</v>
      </c>
      <c r="C99" s="21" t="n">
        <f aca="false">C96-C98</f>
        <v>1.982</v>
      </c>
      <c r="D99" s="21" t="n">
        <f aca="false">D96-D98</f>
        <v>14.0001925</v>
      </c>
      <c r="E99" s="21" t="n">
        <f aca="false">E96-E98</f>
        <v>26.4279094401707</v>
      </c>
      <c r="F99" s="21" t="n">
        <f aca="false">F96-F98</f>
        <v>28.761860639796</v>
      </c>
      <c r="G99" s="21" t="n">
        <f aca="false">G96-G98</f>
        <v>30.3423565077122</v>
      </c>
    </row>
    <row r="100" customFormat="false" ht="15" hidden="false" customHeight="false" outlineLevel="0" collapsed="false">
      <c r="A100" s="3" t="s">
        <v>598</v>
      </c>
      <c r="B100" s="0" t="s">
        <v>44</v>
      </c>
      <c r="C100" s="16" t="n">
        <f aca="false">C99/C86</f>
        <v>0.0493366191222961</v>
      </c>
      <c r="D100" s="16" t="n">
        <f aca="false">D99/D86</f>
        <v>0.236698048451424</v>
      </c>
      <c r="E100" s="16" t="n">
        <f aca="false">E99/E86</f>
        <v>0.329404323676423</v>
      </c>
      <c r="F100" s="16" t="n">
        <f aca="false">F99/F86</f>
        <v>0.324027009827558</v>
      </c>
      <c r="G100" s="16" t="n">
        <f aca="false">G99/G86</f>
        <v>0.31256167005394</v>
      </c>
    </row>
    <row r="101" customFormat="false" ht="15" hidden="false" customHeight="false" outlineLevel="0" collapsed="false">
      <c r="A101" s="3" t="s">
        <v>520</v>
      </c>
      <c r="B101" s="0" t="s">
        <v>333</v>
      </c>
      <c r="C101" s="21" t="n">
        <f aca="false">a25_nonop</f>
        <v>0.364</v>
      </c>
      <c r="D101" s="21" t="n">
        <f aca="false">a26_nonop</f>
        <v>0.623</v>
      </c>
      <c r="E101" s="21" t="n">
        <f aca="false">nonop27</f>
        <v>0.6</v>
      </c>
      <c r="F101" s="21" t="n">
        <f aca="false">nonop28</f>
        <v>0.6</v>
      </c>
      <c r="G101" s="21" t="n">
        <f aca="false">nonop29</f>
        <v>0.6</v>
      </c>
    </row>
    <row r="102" customFormat="false" ht="15" hidden="false" customHeight="false" outlineLevel="0" collapsed="false">
      <c r="A102" s="3" t="s">
        <v>522</v>
      </c>
      <c r="B102" s="0" t="s">
        <v>333</v>
      </c>
      <c r="C102" s="21" t="n">
        <f aca="false">C99+C101</f>
        <v>2.346</v>
      </c>
      <c r="D102" s="21" t="n">
        <f aca="false">D99+D101</f>
        <v>14.6231925</v>
      </c>
      <c r="E102" s="21" t="n">
        <f aca="false">E99+E101</f>
        <v>27.0279094401707</v>
      </c>
      <c r="F102" s="21" t="n">
        <f aca="false">F99+F101</f>
        <v>29.361860639796</v>
      </c>
      <c r="G102" s="21" t="n">
        <f aca="false">G99+G101</f>
        <v>30.9423565077122</v>
      </c>
    </row>
    <row r="103" customFormat="false" ht="15" hidden="false" customHeight="false" outlineLevel="0" collapsed="false">
      <c r="A103" s="3" t="s">
        <v>525</v>
      </c>
      <c r="B103" s="0" t="s">
        <v>333</v>
      </c>
      <c r="E103" s="21" t="n">
        <f aca="false">E102*tax</f>
        <v>5.67586098243584</v>
      </c>
      <c r="F103" s="21" t="n">
        <f aca="false">F102*tax</f>
        <v>6.16599073435715</v>
      </c>
      <c r="G103" s="21" t="n">
        <f aca="false">G102*tax</f>
        <v>6.49789486661957</v>
      </c>
    </row>
    <row r="104" customFormat="false" ht="15" hidden="false" customHeight="false" outlineLevel="0" collapsed="false">
      <c r="A104" s="3" t="s">
        <v>523</v>
      </c>
      <c r="B104" s="0" t="s">
        <v>333</v>
      </c>
      <c r="C104" s="21" t="n">
        <f aca="false">a25_ni</f>
        <v>1.947</v>
      </c>
      <c r="D104" s="21" t="n">
        <f aca="false">a26_ni</f>
        <v>11.509862075</v>
      </c>
      <c r="E104" s="21" t="n">
        <f aca="false">E102-E103</f>
        <v>21.3520484577348</v>
      </c>
      <c r="F104" s="21" t="n">
        <f aca="false">F102-F103</f>
        <v>23.1958699054388</v>
      </c>
      <c r="G104" s="21" t="n">
        <f aca="false">G102-G103</f>
        <v>24.4444616410927</v>
      </c>
      <c r="H104" s="30" t="n">
        <f aca="false">H86*H108</f>
        <v>26.459478190198</v>
      </c>
      <c r="I104" s="30" t="n">
        <f aca="false">I86*I108</f>
        <v>28.3438221730267</v>
      </c>
      <c r="J104" s="30" t="n">
        <f aca="false">J86*J108</f>
        <v>30.0444515034082</v>
      </c>
    </row>
    <row r="105" customFormat="false" ht="15" hidden="false" customHeight="false" outlineLevel="0" collapsed="false">
      <c r="A105" s="3" t="s">
        <v>658</v>
      </c>
      <c r="B105" s="3" t="s">
        <v>400</v>
      </c>
      <c r="C105" s="29" t="n">
        <f aca="false">a25_sh</f>
        <v>0.646843853820598</v>
      </c>
      <c r="D105" s="29" t="n">
        <f aca="false">a26_sh</f>
        <v>0.645863325123153</v>
      </c>
      <c r="E105" s="29" t="n">
        <f aca="false">a26_shend*(1+sh_g)</f>
        <v>0.64617</v>
      </c>
      <c r="F105" s="29" t="n">
        <f aca="false">E105*(1+sh_g)</f>
        <v>0.64617</v>
      </c>
      <c r="G105" s="29" t="n">
        <f aca="false">F105*(1+sh_g)</f>
        <v>0.64617</v>
      </c>
      <c r="H105" s="31" t="n">
        <f aca="false">G105*(1+sh_g)</f>
        <v>0.64617</v>
      </c>
      <c r="I105" s="31" t="n">
        <f aca="false">H105*(1+sh_g)</f>
        <v>0.64617</v>
      </c>
      <c r="J105" s="31" t="n">
        <f aca="false">I105*(1+sh_g)</f>
        <v>0.64617</v>
      </c>
    </row>
    <row r="106" customFormat="false" ht="17.15" hidden="false" customHeight="false" outlineLevel="0" collapsed="false">
      <c r="A106" s="0" t="s">
        <v>528</v>
      </c>
      <c r="B106" s="0" t="s">
        <v>406</v>
      </c>
      <c r="C106" s="18" t="n">
        <f aca="false">C104/C105</f>
        <v>3.01</v>
      </c>
      <c r="D106" s="18" t="n">
        <f aca="false">D104/D105</f>
        <v>17.820894339844</v>
      </c>
      <c r="E106" s="18" t="n">
        <f aca="false">E104/E105</f>
        <v>33.0440107986054</v>
      </c>
      <c r="F106" s="18" t="n">
        <f aca="false">F104/F105</f>
        <v>35.8974726549342</v>
      </c>
      <c r="G106" s="18" t="n">
        <f aca="false">G104/G105</f>
        <v>37.8297687003307</v>
      </c>
      <c r="H106" s="28" t="n">
        <f aca="false">H104/H105</f>
        <v>40.9481687329929</v>
      </c>
      <c r="I106" s="28" t="n">
        <f aca="false">I104/I105</f>
        <v>43.8643424687414</v>
      </c>
      <c r="J106" s="28" t="n">
        <f aca="false">J104/J105</f>
        <v>46.4962030168659</v>
      </c>
    </row>
    <row r="107" customFormat="false" ht="17.15" hidden="false" customHeight="false" outlineLevel="0" collapsed="false">
      <c r="A107" s="0" t="s">
        <v>659</v>
      </c>
      <c r="B107" s="0" t="s">
        <v>44</v>
      </c>
      <c r="D107" s="20" t="n">
        <f aca="false">D106/C106-1</f>
        <v>4.92056290360265</v>
      </c>
      <c r="E107" s="20" t="n">
        <f aca="false">E106/D106-1</f>
        <v>0.854228534688382</v>
      </c>
      <c r="F107" s="20" t="n">
        <f aca="false">F106/E106-1</f>
        <v>0.0863533750100707</v>
      </c>
      <c r="G107" s="20" t="n">
        <f aca="false">G106/F106-1</f>
        <v>0.0538281918610473</v>
      </c>
      <c r="H107" s="26" t="n">
        <f aca="false">H106/G106-1</f>
        <v>0.0824324371995153</v>
      </c>
      <c r="I107" s="26" t="n">
        <f aca="false">I106/H106-1</f>
        <v>0.0712162185997576</v>
      </c>
      <c r="J107" s="26" t="n">
        <f aca="false">J106/I106-1</f>
        <v>0.0600000000000001</v>
      </c>
    </row>
    <row r="108" customFormat="false" ht="17.15" hidden="false" customHeight="false" outlineLevel="0" collapsed="false">
      <c r="A108" s="3" t="s">
        <v>660</v>
      </c>
      <c r="B108" s="0" t="s">
        <v>44</v>
      </c>
      <c r="C108" s="16" t="n">
        <f aca="false">C104/C86</f>
        <v>0.0484653872003585</v>
      </c>
      <c r="D108" s="16" t="n">
        <f aca="false">D104/D86</f>
        <v>0.194594602259759</v>
      </c>
      <c r="E108" s="16" t="n">
        <f aca="false">E104/E86</f>
        <v>0.266137474749911</v>
      </c>
      <c r="F108" s="16" t="n">
        <f aca="false">F104/F86</f>
        <v>0.261321353995049</v>
      </c>
      <c r="G108" s="16" t="n">
        <f aca="false">G104/G86</f>
        <v>0.251806472320876</v>
      </c>
      <c r="H108" s="27" t="n">
        <f aca="false">$G108+(fade_mA-$G108)*1/3</f>
        <v>0.251806472320876</v>
      </c>
      <c r="I108" s="27" t="n">
        <f aca="false">$G108+(fade_mA-$G108)*2/3</f>
        <v>0.251806472320876</v>
      </c>
      <c r="J108" s="27" t="n">
        <f aca="false">$G108+(fade_mA-$G108)*3/3</f>
        <v>0.251806472320876</v>
      </c>
    </row>
    <row r="109" customFormat="false" ht="17.15" hidden="false" customHeight="false" outlineLevel="0" collapsed="false">
      <c r="A109" s="3" t="s">
        <v>661</v>
      </c>
      <c r="B109" s="0" t="s">
        <v>44</v>
      </c>
      <c r="C109" s="20" t="n">
        <f aca="false">C92/C86</f>
        <v>0.0602892489980833</v>
      </c>
      <c r="D109" s="20" t="n">
        <f aca="false">D92/D86</f>
        <v>0.0676270839708595</v>
      </c>
      <c r="E109" s="20" t="n">
        <f aca="false">E92/E86</f>
        <v>0.174499634256357</v>
      </c>
      <c r="F109" s="20" t="n">
        <f aca="false">F92/F86</f>
        <v>0.202785426504223</v>
      </c>
      <c r="G109" s="20" t="n">
        <f aca="false">G92/G86</f>
        <v>0.123613999449711</v>
      </c>
      <c r="H109" s="26" t="n">
        <f aca="false">$G109+($G94*(1+tp_g)^(life/2)-$G109)*1/3</f>
        <v>0.118242739136409</v>
      </c>
      <c r="I109" s="26" t="n">
        <f aca="false">$G109+($G94*(1+tp_g)^(life/2)-$G109)*2/3</f>
        <v>0.112871478823108</v>
      </c>
      <c r="J109" s="26" t="n">
        <f aca="false">$G109+($G94*(1+tp_g)^(life/2)-$G109)*3/3</f>
        <v>0.107500218509806</v>
      </c>
      <c r="K109" s="7" t="s">
        <v>662</v>
      </c>
    </row>
    <row r="110" customFormat="false" ht="15" hidden="false" customHeight="false" outlineLevel="0" collapsed="false">
      <c r="A110" s="3" t="s">
        <v>663</v>
      </c>
      <c r="B110" s="0" t="s">
        <v>333</v>
      </c>
      <c r="E110" s="21" t="n">
        <f aca="false">E104+E93-E92</f>
        <v>14.0645484577348</v>
      </c>
      <c r="F110" s="21" t="n">
        <f aca="false">F104+F93-F92</f>
        <v>12.8193074054388</v>
      </c>
      <c r="G110" s="21" t="n">
        <f aca="false">G104+G93-G92</f>
        <v>21.3649694535927</v>
      </c>
      <c r="H110" s="30" t="n">
        <f aca="false">H104+H93-H92</f>
        <v>23.6905406112528</v>
      </c>
      <c r="I110" s="30" t="n">
        <f aca="false">I104+I93-I92</f>
        <v>25.9822907503601</v>
      </c>
      <c r="J110" s="30" t="n">
        <f aca="false">J104+J93-J92</f>
        <v>28.182103580783</v>
      </c>
      <c r="K110" s="3" t="s">
        <v>664</v>
      </c>
    </row>
    <row r="111" customFormat="false" ht="15" hidden="false" customHeight="false" outlineLevel="0" collapsed="false">
      <c r="A111" s="3" t="s">
        <v>665</v>
      </c>
      <c r="B111" s="0" t="s">
        <v>406</v>
      </c>
      <c r="E111" s="18" t="n">
        <f aca="false">E110/E105</f>
        <v>21.7660189388781</v>
      </c>
      <c r="F111" s="18" t="n">
        <f aca="false">F110/F105</f>
        <v>19.8389083452324</v>
      </c>
      <c r="G111" s="18" t="n">
        <f aca="false">G110/G105</f>
        <v>33.0640070780022</v>
      </c>
      <c r="H111" s="28" t="n">
        <f aca="false">H110/H105</f>
        <v>36.6630153229843</v>
      </c>
      <c r="I111" s="28" t="n">
        <f aca="false">I110/I105</f>
        <v>40.2096828239629</v>
      </c>
      <c r="J111" s="28" t="n">
        <f aca="false">J110/J105</f>
        <v>43.6140699518439</v>
      </c>
    </row>
    <row r="114" customFormat="false" ht="17.15" hidden="false" customHeight="false" outlineLevel="0" collapsed="false">
      <c r="A114" s="1" t="s">
        <v>666</v>
      </c>
    </row>
    <row r="115" customFormat="false" ht="17.15" hidden="false" customHeight="false" outlineLevel="0" collapsed="false">
      <c r="A115" s="4" t="s">
        <v>21</v>
      </c>
      <c r="B115" s="4" t="s">
        <v>22</v>
      </c>
      <c r="C115" s="13" t="s">
        <v>498</v>
      </c>
      <c r="D115" s="13" t="s">
        <v>585</v>
      </c>
      <c r="E115" s="13" t="s">
        <v>586</v>
      </c>
      <c r="F115" s="13" t="s">
        <v>587</v>
      </c>
      <c r="G115" s="13" t="s">
        <v>588</v>
      </c>
      <c r="H115" s="13" t="s">
        <v>589</v>
      </c>
      <c r="I115" s="13" t="s">
        <v>590</v>
      </c>
      <c r="J115" s="13" t="s">
        <v>591</v>
      </c>
      <c r="K115" s="4" t="s">
        <v>553</v>
      </c>
    </row>
    <row r="116" customFormat="false" ht="17.15" hidden="false" customHeight="false" outlineLevel="0" collapsed="false">
      <c r="A116" s="5" t="s">
        <v>609</v>
      </c>
    </row>
    <row r="117" customFormat="false" ht="17.15" hidden="false" customHeight="false" outlineLevel="0" collapsed="false">
      <c r="A117" s="0" t="s">
        <v>610</v>
      </c>
      <c r="B117" s="3" t="s">
        <v>32</v>
      </c>
      <c r="D117" s="21" t="n">
        <f aca="false">(u_bw_26+u_rb_26+u_ru_26+u_hp_26)*1</f>
        <v>7.6</v>
      </c>
      <c r="E117" s="21" t="n">
        <f aca="false">(u_bw_27+u_rb_27+u_ru_27+u_hp_27)*1*1</f>
        <v>9.7</v>
      </c>
      <c r="F117" s="21" t="n">
        <f aca="false">(u_bw_28+u_rb_28+u_ru_28+u_hp_28)*um28_B*1</f>
        <v>7.6</v>
      </c>
      <c r="G117" s="21" t="n">
        <f aca="false">(u_bw_28*(1+g29_bw)+u_rb_28*(1+g29_rb)+u_ru_28*(1+g29_ru)+u_hp_28*(1+g29_hp))*um29_B*1</f>
        <v>9.01</v>
      </c>
      <c r="K117" s="7" t="s">
        <v>611</v>
      </c>
    </row>
    <row r="118" customFormat="false" ht="17.15" hidden="false" customHeight="false" outlineLevel="0" collapsed="false">
      <c r="A118" s="3" t="s">
        <v>612</v>
      </c>
      <c r="B118" s="3" t="s">
        <v>32</v>
      </c>
      <c r="D118" s="21" t="n">
        <f aca="false">(u_amd_26+u_tpu_26+u_trn_26+u_oth_26)*1</f>
        <v>7.6</v>
      </c>
      <c r="E118" s="21" t="n">
        <f aca="false">(u_amd_27+u_tpu_27+u_trn_27+u_oth_27)*1*1</f>
        <v>14</v>
      </c>
      <c r="F118" s="21" t="n">
        <f aca="false">(u_amd_28+u_tpu_28+u_trn_28+u_oth_28)*um28_B*1</f>
        <v>13.6</v>
      </c>
      <c r="G118" s="21" t="n">
        <f aca="false">(u_amd_28*(1+g29_amd)+u_tpu_28*(1+g29_tpu)+u_trn_28*(1+g29_trn)+u_oth_28*(1+g29_oth))*um29_B*1</f>
        <v>16.6175</v>
      </c>
      <c r="K118" s="7" t="s">
        <v>613</v>
      </c>
    </row>
    <row r="119" customFormat="false" ht="17.15" hidden="false" customHeight="false" outlineLevel="0" collapsed="false">
      <c r="A119" s="3" t="s">
        <v>614</v>
      </c>
      <c r="B119" s="0" t="s">
        <v>154</v>
      </c>
      <c r="D119" s="19" t="n">
        <f aca="false">1</f>
        <v>1</v>
      </c>
      <c r="E119" s="19" t="n">
        <f aca="false">D119*(1+g_asp)</f>
        <v>1.18</v>
      </c>
      <c r="F119" s="19" t="n">
        <f aca="false">E119*(1+g_asp)</f>
        <v>1.3924</v>
      </c>
      <c r="G119" s="19" t="n">
        <f aca="false">F119*(1+g_asp)</f>
        <v>1.643032</v>
      </c>
      <c r="K119" s="7" t="s">
        <v>615</v>
      </c>
    </row>
    <row r="120" customFormat="false" ht="17.15" hidden="false" customHeight="false" outlineLevel="0" collapsed="false">
      <c r="A120" s="0" t="s">
        <v>616</v>
      </c>
      <c r="B120" s="0" t="s">
        <v>154</v>
      </c>
      <c r="D120" s="18" t="n">
        <f aca="false">1</f>
        <v>1</v>
      </c>
      <c r="E120" s="18" t="n">
        <f aca="false">ibpp_27</f>
        <v>1</v>
      </c>
      <c r="F120" s="18" t="n">
        <f aca="false">ibpp_28</f>
        <v>0.95</v>
      </c>
      <c r="G120" s="18" t="n">
        <f aca="false">ibpp_29</f>
        <v>0.9</v>
      </c>
      <c r="K120" s="7" t="s">
        <v>617</v>
      </c>
    </row>
    <row r="121" customFormat="false" ht="17.15" hidden="false" customHeight="false" outlineLevel="0" collapsed="false">
      <c r="A121" s="3" t="s">
        <v>618</v>
      </c>
      <c r="B121" s="0" t="s">
        <v>154</v>
      </c>
      <c r="D121" s="18" t="n">
        <f aca="false">1</f>
        <v>1</v>
      </c>
      <c r="E121" s="18" t="n">
        <f aca="false">1+carry</f>
        <v>1.15</v>
      </c>
      <c r="F121" s="18" t="n">
        <f aca="false">1+carry</f>
        <v>1.15</v>
      </c>
      <c r="G121" s="18" t="n">
        <f aca="false">1+carry</f>
        <v>1.15</v>
      </c>
      <c r="K121" s="7" t="s">
        <v>619</v>
      </c>
    </row>
    <row r="122" customFormat="false" ht="17.15" hidden="false" customHeight="false" outlineLevel="0" collapsed="false">
      <c r="A122" s="3" t="s">
        <v>620</v>
      </c>
      <c r="B122" s="0" t="s">
        <v>621</v>
      </c>
      <c r="D122" s="23" t="n">
        <f aca="false">v26*D119*D120</f>
        <v>215.308596</v>
      </c>
      <c r="E122" s="23" t="n">
        <f aca="false">v26*E119*E120</f>
        <v>254.06414328</v>
      </c>
      <c r="F122" s="23" t="n">
        <f aca="false">v26*F119*F120</f>
        <v>284.80590461688</v>
      </c>
      <c r="G122" s="23" t="n">
        <f aca="false">v26*G119*G120</f>
        <v>318.383021792765</v>
      </c>
      <c r="K122" s="7" t="s">
        <v>622</v>
      </c>
    </row>
    <row r="123" customFormat="false" ht="17.15" hidden="false" customHeight="false" outlineLevel="0" collapsed="false">
      <c r="A123" s="3" t="s">
        <v>623</v>
      </c>
      <c r="B123" s="0" t="s">
        <v>44</v>
      </c>
      <c r="D123" s="20" t="n">
        <f aca="false">sh_nv_26</f>
        <v>0.02</v>
      </c>
      <c r="E123" s="20" t="n">
        <f aca="false">sh_nv_27</f>
        <v>0.03</v>
      </c>
      <c r="F123" s="20" t="n">
        <f aca="false">sh_nv_28</f>
        <v>0.04</v>
      </c>
      <c r="G123" s="20" t="n">
        <f aca="false">sh_nv_29</f>
        <v>0.04</v>
      </c>
    </row>
    <row r="124" customFormat="false" ht="17.15" hidden="false" customHeight="false" outlineLevel="0" collapsed="false">
      <c r="A124" s="3" t="s">
        <v>624</v>
      </c>
      <c r="B124" s="0" t="s">
        <v>44</v>
      </c>
      <c r="D124" s="20" t="n">
        <f aca="false">sh_ot_26</f>
        <v>0.05</v>
      </c>
      <c r="E124" s="20" t="n">
        <f aca="false">sh_ot_27</f>
        <v>0.06</v>
      </c>
      <c r="F124" s="20" t="n">
        <f aca="false">sh_ot_28</f>
        <v>0.07</v>
      </c>
      <c r="G124" s="20" t="n">
        <f aca="false">sh_ot_29</f>
        <v>0.07</v>
      </c>
    </row>
    <row r="125" customFormat="false" ht="17.15" hidden="false" customHeight="false" outlineLevel="0" collapsed="false">
      <c r="A125" s="3" t="s">
        <v>625</v>
      </c>
      <c r="B125" s="0" t="s">
        <v>575</v>
      </c>
      <c r="D125" s="22" t="n">
        <f aca="false">(D117*D122*D123+D118*D122*v_ot*D124)*D121</f>
        <v>98.180719776</v>
      </c>
      <c r="E125" s="22" t="n">
        <f aca="false">(E117*E122*E123+E118*E122*v_ot*E124)*E121</f>
        <v>281.363335475436</v>
      </c>
      <c r="F125" s="22" t="n">
        <f aca="false">(F117*F122*F123+F118*F122*v_ot*F124)*F121</f>
        <v>349.012547753709</v>
      </c>
      <c r="G125" s="22" t="n">
        <f aca="false">(G117*G122*G123+G118*G122*v_ot*G124)*G121</f>
        <v>472.680030495127</v>
      </c>
    </row>
    <row r="126" customFormat="false" ht="15" hidden="false" customHeight="false" outlineLevel="0" collapsed="false">
      <c r="A126" s="3" t="s">
        <v>626</v>
      </c>
      <c r="B126" s="0" t="s">
        <v>333</v>
      </c>
      <c r="D126" s="21" t="n">
        <f aca="false">D125*fx/1000</f>
        <v>3.141783032832</v>
      </c>
      <c r="E126" s="21" t="n">
        <f aca="false">E125*fx/1000</f>
        <v>9.00362673521395</v>
      </c>
      <c r="F126" s="21" t="n">
        <f aca="false">F125*fx/1000</f>
        <v>11.1684015281187</v>
      </c>
      <c r="G126" s="21" t="n">
        <f aca="false">G125*fx/1000</f>
        <v>15.1257609758441</v>
      </c>
    </row>
    <row r="127" customFormat="false" ht="17.15" hidden="false" customHeight="false" outlineLevel="0" collapsed="false">
      <c r="A127" s="5" t="s">
        <v>627</v>
      </c>
    </row>
    <row r="128" customFormat="false" ht="17.15" hidden="false" customHeight="false" outlineLevel="0" collapsed="false">
      <c r="A128" s="0" t="s">
        <v>628</v>
      </c>
      <c r="B128" s="0" t="s">
        <v>333</v>
      </c>
      <c r="D128" s="21" t="n">
        <f aca="false">a26_abf*ai_abf</f>
        <v>22.2987583</v>
      </c>
      <c r="K128" s="3" t="s">
        <v>629</v>
      </c>
    </row>
    <row r="129" customFormat="false" ht="17.15" hidden="false" customHeight="false" outlineLevel="0" collapsed="false">
      <c r="A129" s="3" t="s">
        <v>630</v>
      </c>
      <c r="B129" s="0" t="s">
        <v>333</v>
      </c>
      <c r="D129" s="21" t="n">
        <f aca="false">D128-D126</f>
        <v>19.156975267168</v>
      </c>
      <c r="E129" s="21" t="n">
        <f aca="false">$D129*(swm_27/swm_26)^el_o*1*1*E120*E121</f>
        <v>30.814372309298</v>
      </c>
      <c r="F129" s="21" t="n">
        <f aca="false">$D129*(swm_28/swm_26)^el_o*um28_B*1*F120*F121</f>
        <v>25.1928777231856</v>
      </c>
      <c r="G129" s="21" t="n">
        <f aca="false">$D129*(swm_29/swm_26)^el_o*um29_B*1*G120*G121</f>
        <v>27.0527787035258</v>
      </c>
      <c r="K129" s="7" t="s">
        <v>631</v>
      </c>
    </row>
    <row r="130" customFormat="false" ht="17.15" hidden="false" customHeight="false" outlineLevel="0" collapsed="false">
      <c r="A130" s="3" t="s">
        <v>632</v>
      </c>
      <c r="B130" s="0" t="s">
        <v>333</v>
      </c>
      <c r="D130" s="21" t="n">
        <f aca="false">a26_abf-D128</f>
        <v>12.0070237</v>
      </c>
      <c r="E130" s="21" t="n">
        <f aca="false">D130*(1+g_nai)</f>
        <v>12.367234411</v>
      </c>
      <c r="F130" s="21" t="n">
        <f aca="false">E130*(1+g_nai)</f>
        <v>12.73825144333</v>
      </c>
      <c r="G130" s="21" t="n">
        <f aca="false">F130*(1+g_nai)</f>
        <v>13.1203989866299</v>
      </c>
    </row>
    <row r="131" customFormat="false" ht="17.15" hidden="false" customHeight="false" outlineLevel="0" collapsed="false">
      <c r="A131" s="0" t="s">
        <v>633</v>
      </c>
      <c r="B131" s="0" t="s">
        <v>333</v>
      </c>
      <c r="D131" s="21" t="n">
        <f aca="false">D126+D129+D130</f>
        <v>34.305782</v>
      </c>
      <c r="E131" s="21" t="n">
        <f aca="false">E126+E129+E130</f>
        <v>52.185233455512</v>
      </c>
      <c r="F131" s="21" t="n">
        <f aca="false">F126+F129+F130</f>
        <v>49.0995306946343</v>
      </c>
      <c r="G131" s="21" t="n">
        <f aca="false">G126+G129+G130</f>
        <v>55.2989386659998</v>
      </c>
    </row>
    <row r="132" customFormat="false" ht="17.15" hidden="false" customHeight="false" outlineLevel="0" collapsed="false">
      <c r="A132" s="0" t="s">
        <v>634</v>
      </c>
      <c r="B132" s="0" t="s">
        <v>333</v>
      </c>
      <c r="D132" s="21" t="n">
        <f aca="false">a26_abf</f>
        <v>34.305782</v>
      </c>
      <c r="E132" s="21" t="n">
        <f aca="false">$D131*cap_27*(1+g_mix)^1*E120*E121</f>
        <v>49.709078118</v>
      </c>
      <c r="F132" s="21" t="n">
        <f aca="false">$D131*cap_28*(1+g_mix)^2*F120*F121</f>
        <v>55.7829061005431</v>
      </c>
      <c r="G132" s="21" t="n">
        <f aca="false">$D131*cap_29*(1+g_mix)^3*G120*G121</f>
        <v>65.765110350114</v>
      </c>
      <c r="K132" s="7" t="s">
        <v>635</v>
      </c>
    </row>
    <row r="133" customFormat="false" ht="17.15" hidden="false" customHeight="false" outlineLevel="0" collapsed="false">
      <c r="A133" s="0" t="s">
        <v>636</v>
      </c>
      <c r="B133" s="0" t="s">
        <v>333</v>
      </c>
      <c r="D133" s="21" t="n">
        <f aca="false">a26_abf</f>
        <v>34.305782</v>
      </c>
      <c r="E133" s="21" t="n">
        <f aca="false">MIN(E131,E132)</f>
        <v>49.709078118</v>
      </c>
      <c r="F133" s="21" t="n">
        <f aca="false">MIN(F131,F132)</f>
        <v>49.0995306946343</v>
      </c>
      <c r="G133" s="21" t="n">
        <f aca="false">MIN(G131,G132)</f>
        <v>55.2989386659998</v>
      </c>
    </row>
    <row r="134" customFormat="false" ht="17.15" hidden="false" customHeight="false" outlineLevel="0" collapsed="false">
      <c r="A134" s="3" t="s">
        <v>637</v>
      </c>
      <c r="B134" s="0" t="s">
        <v>44</v>
      </c>
      <c r="D134" s="20" t="n">
        <f aca="false">D133/D131</f>
        <v>1</v>
      </c>
      <c r="E134" s="20" t="n">
        <f aca="false">E133/E131</f>
        <v>0.952550651332759</v>
      </c>
      <c r="F134" s="20" t="n">
        <f aca="false">F133/F131</f>
        <v>1</v>
      </c>
      <c r="G134" s="20" t="n">
        <f aca="false">G133/G131</f>
        <v>1</v>
      </c>
    </row>
    <row r="135" customFormat="false" ht="17.15" hidden="false" customHeight="false" outlineLevel="0" collapsed="false">
      <c r="A135" s="0" t="s">
        <v>638</v>
      </c>
      <c r="B135" s="0" t="s">
        <v>333</v>
      </c>
      <c r="D135" s="21" t="n">
        <f aca="false">(D126+D129)*D134</f>
        <v>22.2987583</v>
      </c>
      <c r="E135" s="21" t="n">
        <f aca="false">(E126+E129)*E134</f>
        <v>37.928660924617</v>
      </c>
      <c r="F135" s="21" t="n">
        <f aca="false">(F126+F129)*F134</f>
        <v>36.3612792513043</v>
      </c>
      <c r="G135" s="21" t="n">
        <f aca="false">(G126+G129)*G134</f>
        <v>42.1785396793699</v>
      </c>
    </row>
    <row r="136" customFormat="false" ht="17.15" hidden="false" customHeight="false" outlineLevel="0" collapsed="false">
      <c r="A136" s="3" t="s">
        <v>639</v>
      </c>
      <c r="B136" s="0" t="s">
        <v>44</v>
      </c>
      <c r="D136" s="20" t="n">
        <f aca="false">D126/(D126+D129)</f>
        <v>0.140894976776891</v>
      </c>
      <c r="E136" s="20" t="n">
        <f aca="false">E126/(E126+E129)</f>
        <v>0.226119517586731</v>
      </c>
      <c r="F136" s="20" t="n">
        <f aca="false">F126/(F126+F129)</f>
        <v>0.307150951728908</v>
      </c>
      <c r="G136" s="20" t="n">
        <f aca="false">G126/(G126+G129)</f>
        <v>0.358612723219583</v>
      </c>
    </row>
    <row r="137" customFormat="false" ht="17.15" hidden="false" customHeight="false" outlineLevel="0" collapsed="false">
      <c r="A137" s="5" t="s">
        <v>640</v>
      </c>
    </row>
    <row r="138" customFormat="false" ht="17.15" hidden="false" customHeight="false" outlineLevel="0" collapsed="false">
      <c r="A138" s="0" t="s">
        <v>641</v>
      </c>
      <c r="B138" s="0" t="s">
        <v>333</v>
      </c>
      <c r="D138" s="21" t="n">
        <f aca="false">a26_bt</f>
        <v>18.927328</v>
      </c>
      <c r="E138" s="21" t="n">
        <f aca="false">D138*(1+g_bt27_B)</f>
        <v>23.65916</v>
      </c>
      <c r="F138" s="21" t="n">
        <f aca="false">E138*(1+g_bt28_B)</f>
        <v>24.842118</v>
      </c>
      <c r="G138" s="21" t="n">
        <f aca="false">F138*(1+g_bt29_B)</f>
        <v>25.58738154</v>
      </c>
      <c r="K138" s="7" t="s">
        <v>642</v>
      </c>
    </row>
    <row r="139" customFormat="false" ht="17.15" hidden="false" customHeight="false" outlineLevel="0" collapsed="false">
      <c r="A139" s="0" t="s">
        <v>540</v>
      </c>
      <c r="B139" s="0" t="s">
        <v>333</v>
      </c>
      <c r="D139" s="21" t="n">
        <f aca="false">a26_pcb</f>
        <v>5.91479</v>
      </c>
      <c r="E139" s="21" t="n">
        <f aca="false">D139*(1+g_pcb)</f>
        <v>5.91479</v>
      </c>
      <c r="F139" s="21" t="n">
        <f aca="false">E139*(1+g_pcb)</f>
        <v>5.91479</v>
      </c>
      <c r="G139" s="21" t="n">
        <f aca="false">F139*(1+g_pcb)</f>
        <v>5.91479</v>
      </c>
    </row>
    <row r="140" customFormat="false" ht="17.15" hidden="false" customHeight="false" outlineLevel="0" collapsed="false">
      <c r="A140" s="3" t="s">
        <v>505</v>
      </c>
      <c r="B140" s="0" t="s">
        <v>333</v>
      </c>
      <c r="C140" s="23" t="n">
        <f aca="false">a25_rev</f>
        <v>40.173</v>
      </c>
      <c r="D140" s="23" t="n">
        <f aca="false">D133+D138+D139</f>
        <v>59.1479</v>
      </c>
      <c r="E140" s="23" t="n">
        <f aca="false">E133+E138+E139</f>
        <v>79.283028118</v>
      </c>
      <c r="F140" s="23" t="n">
        <f aca="false">F133+F138+F139</f>
        <v>79.8564386946343</v>
      </c>
      <c r="G140" s="23" t="n">
        <f aca="false">G133+G138+G139</f>
        <v>86.8011102059998</v>
      </c>
      <c r="H140" s="25" t="n">
        <f aca="false">G140*(1+H142)</f>
        <v>92.9908657225925</v>
      </c>
      <c r="I140" s="25" t="n">
        <f aca="false">H140*(1+I142)</f>
        <v>98.1662553997315</v>
      </c>
      <c r="J140" s="25" t="n">
        <f aca="false">I140*(1+J142)</f>
        <v>102.092905615721</v>
      </c>
      <c r="K140" s="7" t="s">
        <v>643</v>
      </c>
    </row>
    <row r="141" customFormat="false" ht="17.15" hidden="false" customHeight="false" outlineLevel="0" collapsed="false">
      <c r="A141" s="3" t="s">
        <v>644</v>
      </c>
      <c r="B141" s="0" t="s">
        <v>333</v>
      </c>
      <c r="D141" s="19" t="n">
        <f aca="false">D133+D138+D139-a26_rev</f>
        <v>0</v>
      </c>
      <c r="E141" s="19" t="n">
        <f aca="false">E133+E138+E139-E140</f>
        <v>0</v>
      </c>
      <c r="F141" s="19" t="n">
        <f aca="false">F133+F138+F139-F140</f>
        <v>0</v>
      </c>
      <c r="G141" s="19" t="n">
        <f aca="false">G133+G138+G139-G140</f>
        <v>0</v>
      </c>
    </row>
    <row r="142" customFormat="false" ht="15" hidden="false" customHeight="false" outlineLevel="0" collapsed="false">
      <c r="A142" s="3" t="s">
        <v>645</v>
      </c>
      <c r="B142" s="0" t="s">
        <v>44</v>
      </c>
      <c r="D142" s="20" t="n">
        <f aca="false">D140/C140-1</f>
        <v>0.472329674159261</v>
      </c>
      <c r="E142" s="20" t="n">
        <f aca="false">E140/D140-1</f>
        <v>0.34042</v>
      </c>
      <c r="F142" s="20" t="n">
        <f aca="false">F140/E140-1</f>
        <v>0.0072324505035406</v>
      </c>
      <c r="G142" s="20" t="n">
        <f aca="false">G140/F140-1</f>
        <v>0.0869644530220226</v>
      </c>
      <c r="H142" s="26" t="n">
        <f aca="false">$G142+(fade_gB-$G142)*1/3</f>
        <v>0.0713096353480151</v>
      </c>
      <c r="I142" s="26" t="n">
        <f aca="false">$G142+(fade_gB-$G142)*2/3</f>
        <v>0.0556548176740075</v>
      </c>
      <c r="J142" s="26" t="n">
        <f aca="false">$G142+(fade_gB-$G142)*3/3</f>
        <v>0.04</v>
      </c>
    </row>
    <row r="143" customFormat="false" ht="17.15" hidden="false" customHeight="false" outlineLevel="0" collapsed="false">
      <c r="A143" s="0" t="s">
        <v>646</v>
      </c>
      <c r="B143" s="0" t="s">
        <v>44</v>
      </c>
      <c r="D143" s="20" t="n">
        <f aca="false">D133/D140</f>
        <v>0.58</v>
      </c>
      <c r="E143" s="20" t="n">
        <f aca="false">E133/E140</f>
        <v>0.626982587547187</v>
      </c>
      <c r="F143" s="20" t="n">
        <f aca="false">F133/F140</f>
        <v>0.614847487531815</v>
      </c>
      <c r="G143" s="20" t="n">
        <f aca="false">G133/G140</f>
        <v>0.637076398386636</v>
      </c>
    </row>
    <row r="144" customFormat="false" ht="17.15" hidden="false" customHeight="false" outlineLevel="0" collapsed="false">
      <c r="A144" s="0" t="s">
        <v>647</v>
      </c>
      <c r="B144" s="0" t="s">
        <v>44</v>
      </c>
      <c r="D144" s="20" t="n">
        <f aca="false">D135/D140</f>
        <v>0.377</v>
      </c>
      <c r="E144" s="20" t="n">
        <f aca="false">E135/E140</f>
        <v>0.47839571500935</v>
      </c>
      <c r="F144" s="20" t="n">
        <f aca="false">F135/F140</f>
        <v>0.455333093306945</v>
      </c>
      <c r="G144" s="20" t="n">
        <f aca="false">G135/G140</f>
        <v>0.485921661362051</v>
      </c>
      <c r="K144" s="3" t="s">
        <v>648</v>
      </c>
    </row>
    <row r="145" customFormat="false" ht="17.15" hidden="false" customHeight="false" outlineLevel="0" collapsed="false">
      <c r="A145" s="5" t="s">
        <v>649</v>
      </c>
    </row>
    <row r="146" customFormat="false" ht="15" hidden="false" customHeight="false" outlineLevel="0" collapsed="false">
      <c r="A146" s="3" t="s">
        <v>650</v>
      </c>
      <c r="B146" s="0" t="s">
        <v>333</v>
      </c>
      <c r="C146" s="23" t="n">
        <f aca="false">a25_cx</f>
        <v>2.422</v>
      </c>
      <c r="D146" s="23" t="n">
        <f aca="false">capex26</f>
        <v>4</v>
      </c>
      <c r="E146" s="23" t="n">
        <f aca="false">cx27</f>
        <v>14</v>
      </c>
      <c r="F146" s="23" t="n">
        <f aca="false">cx28</f>
        <v>18</v>
      </c>
      <c r="G146" s="23" t="n">
        <f aca="false">cx29</f>
        <v>12</v>
      </c>
      <c r="H146" s="25" t="n">
        <f aca="false">H140*H163</f>
        <v>12.2971106486991</v>
      </c>
      <c r="I146" s="25" t="n">
        <f aca="false">I140*I163</f>
        <v>12.3918100662305</v>
      </c>
      <c r="J146" s="25" t="n">
        <f aca="false">J140*J163</f>
        <v>12.2742006739991</v>
      </c>
    </row>
    <row r="147" customFormat="false" ht="17.15" hidden="false" customHeight="false" outlineLevel="0" collapsed="false">
      <c r="A147" s="3" t="s">
        <v>651</v>
      </c>
      <c r="B147" s="0" t="s">
        <v>333</v>
      </c>
      <c r="C147" s="23" t="n">
        <f aca="false">a25_da</f>
        <v>6.894</v>
      </c>
      <c r="D147" s="23" t="n">
        <f aca="false">da26</f>
        <v>7.1</v>
      </c>
      <c r="E147" s="23" t="n">
        <f aca="false">D147*(1-1/life)+D146/life</f>
        <v>6.7125</v>
      </c>
      <c r="F147" s="23" t="n">
        <f aca="false">E147*(1-1/life)+E146/life</f>
        <v>7.6234375</v>
      </c>
      <c r="G147" s="23" t="n">
        <f aca="false">F147*(1-1/life)+F146/life</f>
        <v>8.9205078125</v>
      </c>
      <c r="H147" s="25" t="n">
        <f aca="false">H140*H148</f>
        <v>9.55662597172849</v>
      </c>
      <c r="I147" s="25" t="n">
        <f aca="false">I140*I148</f>
        <v>10.0884982477637</v>
      </c>
      <c r="J147" s="25" t="n">
        <f aca="false">J140*J148</f>
        <v>10.4920381776743</v>
      </c>
      <c r="K147" s="3" t="s">
        <v>652</v>
      </c>
    </row>
    <row r="148" customFormat="false" ht="17.15" hidden="false" customHeight="false" outlineLevel="0" collapsed="false">
      <c r="A148" s="3" t="s">
        <v>653</v>
      </c>
      <c r="B148" s="0" t="s">
        <v>44</v>
      </c>
      <c r="C148" s="20" t="n">
        <f aca="false">C147/C140</f>
        <v>0.171607796281084</v>
      </c>
      <c r="D148" s="20" t="n">
        <f aca="false">D147/D140</f>
        <v>0.120038074048276</v>
      </c>
      <c r="E148" s="20" t="n">
        <f aca="false">E147/E140</f>
        <v>0.084665030578922</v>
      </c>
      <c r="F148" s="20" t="n">
        <f aca="false">F147/F140</f>
        <v>0.09546428095988</v>
      </c>
      <c r="G148" s="20" t="n">
        <f aca="false">G147/G140</f>
        <v>0.102769512870625</v>
      </c>
      <c r="H148" s="26" t="n">
        <f aca="false">$G148</f>
        <v>0.102769512870625</v>
      </c>
      <c r="I148" s="26" t="n">
        <f aca="false">$G148</f>
        <v>0.102769512870625</v>
      </c>
      <c r="J148" s="26" t="n">
        <f aca="false">$G148</f>
        <v>0.102769512870625</v>
      </c>
    </row>
    <row r="149" customFormat="false" ht="17.15" hidden="false" customHeight="false" outlineLevel="0" collapsed="false">
      <c r="A149" s="3" t="s">
        <v>654</v>
      </c>
      <c r="B149" s="0" t="s">
        <v>333</v>
      </c>
      <c r="E149" s="21" t="n">
        <f aca="false">E135*(1-1/(E120*E121))</f>
        <v>4.94721664234135</v>
      </c>
      <c r="F149" s="21" t="n">
        <f aca="false">F135*(1-1/(F120*F121))</f>
        <v>3.07864378100287</v>
      </c>
      <c r="G149" s="21" t="n">
        <f aca="false">G135*(1-1/(G120*G121))</f>
        <v>1.42632742877096</v>
      </c>
      <c r="K149" s="7" t="s">
        <v>655</v>
      </c>
    </row>
    <row r="150" customFormat="false" ht="17.15" hidden="false" customHeight="false" outlineLevel="0" collapsed="false">
      <c r="A150" s="3" t="s">
        <v>656</v>
      </c>
      <c r="B150" s="0" t="s">
        <v>333</v>
      </c>
      <c r="C150" s="21" t="n">
        <f aca="false">a25_gp</f>
        <v>3.647</v>
      </c>
      <c r="D150" s="21" t="n">
        <f aca="false">a26_gp</f>
        <v>15.9001925</v>
      </c>
      <c r="E150" s="21" t="n">
        <f aca="false">$D150+ft_abf*(E133-E149-$D133)+ft_oth*((E140-E133)-($D140-$D133))+E149-(E147-$D147)</f>
        <v>28.3556816801707</v>
      </c>
      <c r="F150" s="21" t="n">
        <f aca="false">$D150+ft_abf*(F133-F149-$D133)+ft_oth*((F140-F133)-($D140-$D133))+F149-(F147-$D147)</f>
        <v>26.6788672378186</v>
      </c>
      <c r="G150" s="21" t="n">
        <f aca="false">$D150+ft_abf*(G133-G149-$D133)+ft_oth*((G140-G133)-($D140-$D133))+G149-(G147-$D147)</f>
        <v>27.9534481508854</v>
      </c>
      <c r="K150" s="3" t="s">
        <v>657</v>
      </c>
    </row>
    <row r="151" customFormat="false" ht="15" hidden="false" customHeight="false" outlineLevel="0" collapsed="false">
      <c r="A151" s="3" t="s">
        <v>512</v>
      </c>
      <c r="B151" s="0" t="s">
        <v>44</v>
      </c>
      <c r="C151" s="16" t="n">
        <f aca="false">C150/C140</f>
        <v>0.0907823662659</v>
      </c>
      <c r="D151" s="16" t="n">
        <f aca="false">D150/D140</f>
        <v>0.268820913337583</v>
      </c>
      <c r="E151" s="16" t="n">
        <f aca="false">E150/E140</f>
        <v>0.357651345480496</v>
      </c>
      <c r="F151" s="16" t="n">
        <f aca="false">F150/F140</f>
        <v>0.334085362106327</v>
      </c>
      <c r="G151" s="16" t="n">
        <f aca="false">G150/G140</f>
        <v>0.322040214515058</v>
      </c>
    </row>
    <row r="152" customFormat="false" ht="15" hidden="false" customHeight="false" outlineLevel="0" collapsed="false">
      <c r="A152" s="3" t="s">
        <v>514</v>
      </c>
      <c r="B152" s="0" t="s">
        <v>333</v>
      </c>
      <c r="C152" s="21" t="n">
        <f aca="false">a25_opx</f>
        <v>1.665</v>
      </c>
      <c r="D152" s="21" t="n">
        <f aca="false">a26_opx</f>
        <v>1.9</v>
      </c>
      <c r="E152" s="21" t="n">
        <f aca="false">D152*(1+phi*E142)</f>
        <v>2.2880788</v>
      </c>
      <c r="F152" s="21" t="n">
        <f aca="false">E152*(1+phi*F142)</f>
        <v>2.29800785000152</v>
      </c>
      <c r="G152" s="21" t="n">
        <f aca="false">F152*(1+phi*G142)</f>
        <v>2.41791484743094</v>
      </c>
    </row>
    <row r="153" customFormat="false" ht="15" hidden="false" customHeight="false" outlineLevel="0" collapsed="false">
      <c r="A153" s="3" t="s">
        <v>517</v>
      </c>
      <c r="B153" s="0" t="s">
        <v>333</v>
      </c>
      <c r="C153" s="21" t="n">
        <f aca="false">C150-C152</f>
        <v>1.982</v>
      </c>
      <c r="D153" s="21" t="n">
        <f aca="false">D150-D152</f>
        <v>14.0001925</v>
      </c>
      <c r="E153" s="21" t="n">
        <f aca="false">E150-E152</f>
        <v>26.0676028801707</v>
      </c>
      <c r="F153" s="21" t="n">
        <f aca="false">F150-F152</f>
        <v>24.380859387817</v>
      </c>
      <c r="G153" s="21" t="n">
        <f aca="false">G150-G152</f>
        <v>25.5355333034545</v>
      </c>
    </row>
    <row r="154" customFormat="false" ht="15" hidden="false" customHeight="false" outlineLevel="0" collapsed="false">
      <c r="A154" s="3" t="s">
        <v>598</v>
      </c>
      <c r="B154" s="0" t="s">
        <v>44</v>
      </c>
      <c r="C154" s="16" t="n">
        <f aca="false">C153/C140</f>
        <v>0.0493366191222961</v>
      </c>
      <c r="D154" s="16" t="n">
        <f aca="false">D153/D140</f>
        <v>0.236698048451424</v>
      </c>
      <c r="E154" s="16" t="n">
        <f aca="false">E153/E140</f>
        <v>0.328791716196476</v>
      </c>
      <c r="F154" s="16" t="n">
        <f aca="false">F153/F140</f>
        <v>0.305308623654604</v>
      </c>
      <c r="G154" s="16" t="n">
        <f aca="false">G153/G140</f>
        <v>0.29418440896496</v>
      </c>
    </row>
    <row r="155" customFormat="false" ht="15" hidden="false" customHeight="false" outlineLevel="0" collapsed="false">
      <c r="A155" s="3" t="s">
        <v>520</v>
      </c>
      <c r="B155" s="0" t="s">
        <v>333</v>
      </c>
      <c r="C155" s="21" t="n">
        <f aca="false">a25_nonop</f>
        <v>0.364</v>
      </c>
      <c r="D155" s="21" t="n">
        <f aca="false">a26_nonop</f>
        <v>0.623</v>
      </c>
      <c r="E155" s="21" t="n">
        <f aca="false">nonop27</f>
        <v>0.6</v>
      </c>
      <c r="F155" s="21" t="n">
        <f aca="false">nonop28</f>
        <v>0.6</v>
      </c>
      <c r="G155" s="21" t="n">
        <f aca="false">nonop29</f>
        <v>0.6</v>
      </c>
    </row>
    <row r="156" customFormat="false" ht="15" hidden="false" customHeight="false" outlineLevel="0" collapsed="false">
      <c r="A156" s="3" t="s">
        <v>522</v>
      </c>
      <c r="B156" s="0" t="s">
        <v>333</v>
      </c>
      <c r="C156" s="21" t="n">
        <f aca="false">C153+C155</f>
        <v>2.346</v>
      </c>
      <c r="D156" s="21" t="n">
        <f aca="false">D153+D155</f>
        <v>14.6231925</v>
      </c>
      <c r="E156" s="21" t="n">
        <f aca="false">E153+E155</f>
        <v>26.6676028801707</v>
      </c>
      <c r="F156" s="21" t="n">
        <f aca="false">F153+F155</f>
        <v>24.9808593878171</v>
      </c>
      <c r="G156" s="21" t="n">
        <f aca="false">G153+G155</f>
        <v>26.1355333034545</v>
      </c>
    </row>
    <row r="157" customFormat="false" ht="15" hidden="false" customHeight="false" outlineLevel="0" collapsed="false">
      <c r="A157" s="3" t="s">
        <v>525</v>
      </c>
      <c r="B157" s="0" t="s">
        <v>333</v>
      </c>
      <c r="E157" s="21" t="n">
        <f aca="false">E156*tax</f>
        <v>5.60019660483584</v>
      </c>
      <c r="F157" s="21" t="n">
        <f aca="false">F156*tax</f>
        <v>5.24598047144158</v>
      </c>
      <c r="G157" s="21" t="n">
        <f aca="false">G156*tax</f>
        <v>5.48846199372543</v>
      </c>
    </row>
    <row r="158" customFormat="false" ht="15" hidden="false" customHeight="false" outlineLevel="0" collapsed="false">
      <c r="A158" s="3" t="s">
        <v>523</v>
      </c>
      <c r="B158" s="0" t="s">
        <v>333</v>
      </c>
      <c r="C158" s="21" t="n">
        <f aca="false">a25_ni</f>
        <v>1.947</v>
      </c>
      <c r="D158" s="21" t="n">
        <f aca="false">a26_ni</f>
        <v>11.509862075</v>
      </c>
      <c r="E158" s="21" t="n">
        <f aca="false">E156-E157</f>
        <v>21.0674062753348</v>
      </c>
      <c r="F158" s="21" t="n">
        <f aca="false">F156-F157</f>
        <v>19.7348789163755</v>
      </c>
      <c r="G158" s="21" t="n">
        <f aca="false">G156-G157</f>
        <v>20.647071309729</v>
      </c>
      <c r="H158" s="30" t="n">
        <f aca="false">H140*H162</f>
        <v>21.3820928879693</v>
      </c>
      <c r="I158" s="30" t="n">
        <f aca="false">I140*I162</f>
        <v>21.7937607702021</v>
      </c>
      <c r="J158" s="30" t="n">
        <f aca="false">J140*J162</f>
        <v>21.8560286581169</v>
      </c>
    </row>
    <row r="159" customFormat="false" ht="15" hidden="false" customHeight="false" outlineLevel="0" collapsed="false">
      <c r="A159" s="3" t="s">
        <v>658</v>
      </c>
      <c r="B159" s="3" t="s">
        <v>400</v>
      </c>
      <c r="C159" s="29" t="n">
        <f aca="false">a25_sh</f>
        <v>0.646843853820598</v>
      </c>
      <c r="D159" s="29" t="n">
        <f aca="false">a26_sh</f>
        <v>0.645863325123153</v>
      </c>
      <c r="E159" s="29" t="n">
        <f aca="false">a26_shend*(1+sh_g)</f>
        <v>0.64617</v>
      </c>
      <c r="F159" s="29" t="n">
        <f aca="false">E159*(1+sh_g)</f>
        <v>0.64617</v>
      </c>
      <c r="G159" s="29" t="n">
        <f aca="false">F159*(1+sh_g)</f>
        <v>0.64617</v>
      </c>
      <c r="H159" s="31" t="n">
        <f aca="false">G159*(1+sh_g)</f>
        <v>0.64617</v>
      </c>
      <c r="I159" s="31" t="n">
        <f aca="false">H159*(1+sh_g)</f>
        <v>0.64617</v>
      </c>
      <c r="J159" s="31" t="n">
        <f aca="false">I159*(1+sh_g)</f>
        <v>0.64617</v>
      </c>
    </row>
    <row r="160" customFormat="false" ht="17.15" hidden="false" customHeight="false" outlineLevel="0" collapsed="false">
      <c r="A160" s="0" t="s">
        <v>528</v>
      </c>
      <c r="B160" s="0" t="s">
        <v>406</v>
      </c>
      <c r="C160" s="18" t="n">
        <f aca="false">C158/C159</f>
        <v>3.01</v>
      </c>
      <c r="D160" s="18" t="n">
        <f aca="false">D158/D159</f>
        <v>17.820894339844</v>
      </c>
      <c r="E160" s="18" t="n">
        <f aca="false">E158/E159</f>
        <v>32.6035041480335</v>
      </c>
      <c r="F160" s="18" t="n">
        <f aca="false">F158/F159</f>
        <v>30.5413109806637</v>
      </c>
      <c r="G160" s="18" t="n">
        <f aca="false">G158/G159</f>
        <v>31.9530020114351</v>
      </c>
      <c r="H160" s="28" t="n">
        <f aca="false">H158/H159</f>
        <v>33.0905069687068</v>
      </c>
      <c r="I160" s="28" t="n">
        <f aca="false">I158/I159</f>
        <v>33.7275960973151</v>
      </c>
      <c r="J160" s="28" t="n">
        <f aca="false">J158/J159</f>
        <v>33.8239606575931</v>
      </c>
    </row>
    <row r="161" customFormat="false" ht="17.15" hidden="false" customHeight="false" outlineLevel="0" collapsed="false">
      <c r="A161" s="0" t="s">
        <v>659</v>
      </c>
      <c r="B161" s="0" t="s">
        <v>44</v>
      </c>
      <c r="D161" s="20" t="n">
        <f aca="false">D160/C160-1</f>
        <v>4.92056290360265</v>
      </c>
      <c r="E161" s="20" t="n">
        <f aca="false">E160/D160-1</f>
        <v>0.829509985654232</v>
      </c>
      <c r="F161" s="20" t="n">
        <f aca="false">F160/E160-1</f>
        <v>-0.0632506603586722</v>
      </c>
      <c r="G161" s="20" t="n">
        <f aca="false">G160/F160-1</f>
        <v>0.0462223455851376</v>
      </c>
      <c r="H161" s="26" t="n">
        <f aca="false">H160/G160-1</f>
        <v>0.0355993141697482</v>
      </c>
      <c r="I161" s="26" t="n">
        <f aca="false">I160/H160-1</f>
        <v>0.0192529274093862</v>
      </c>
      <c r="J161" s="26" t="n">
        <f aca="false">J160/I160-1</f>
        <v>0.00285714285714289</v>
      </c>
    </row>
    <row r="162" customFormat="false" ht="17.15" hidden="false" customHeight="false" outlineLevel="0" collapsed="false">
      <c r="A162" s="3" t="s">
        <v>660</v>
      </c>
      <c r="B162" s="0" t="s">
        <v>44</v>
      </c>
      <c r="C162" s="16" t="n">
        <f aca="false">C158/C140</f>
        <v>0.0484653872003585</v>
      </c>
      <c r="D162" s="16" t="n">
        <f aca="false">D158/D140</f>
        <v>0.194594602259759</v>
      </c>
      <c r="E162" s="16" t="n">
        <f aca="false">E158/E140</f>
        <v>0.265724036725482</v>
      </c>
      <c r="F162" s="16" t="n">
        <f aca="false">F158/F140</f>
        <v>0.247129464310828</v>
      </c>
      <c r="G162" s="16" t="n">
        <f aca="false">G158/G140</f>
        <v>0.237866442730151</v>
      </c>
      <c r="H162" s="27" t="n">
        <f aca="false">$G162+(fade_mB-$G162)*1/3</f>
        <v>0.229937561305813</v>
      </c>
      <c r="I162" s="27" t="n">
        <f aca="false">$G162+(fade_mB-$G162)*2/3</f>
        <v>0.222008679881475</v>
      </c>
      <c r="J162" s="27" t="n">
        <f aca="false">$G162+(fade_mB-$G162)*3/3</f>
        <v>0.214079798457136</v>
      </c>
    </row>
    <row r="163" customFormat="false" ht="17.15" hidden="false" customHeight="false" outlineLevel="0" collapsed="false">
      <c r="A163" s="3" t="s">
        <v>661</v>
      </c>
      <c r="B163" s="0" t="s">
        <v>44</v>
      </c>
      <c r="C163" s="20" t="n">
        <f aca="false">C146/C140</f>
        <v>0.0602892489980833</v>
      </c>
      <c r="D163" s="20" t="n">
        <f aca="false">D146/D140</f>
        <v>0.0676270839708595</v>
      </c>
      <c r="E163" s="20" t="n">
        <f aca="false">E146/E140</f>
        <v>0.176582559121774</v>
      </c>
      <c r="F163" s="20" t="n">
        <f aca="false">F146/F140</f>
        <v>0.225404492038905</v>
      </c>
      <c r="G163" s="20" t="n">
        <f aca="false">G146/G140</f>
        <v>0.138247079691966</v>
      </c>
      <c r="H163" s="26" t="n">
        <f aca="false">$G163+($G148*(1+tp_g)^(life/2)-$G163)*1/3</f>
        <v>0.132239984574221</v>
      </c>
      <c r="I163" s="26" t="n">
        <f aca="false">$G163+($G148*(1+tp_g)^(life/2)-$G163)*2/3</f>
        <v>0.126232889456476</v>
      </c>
      <c r="J163" s="26" t="n">
        <f aca="false">$G163+($G148*(1+tp_g)^(life/2)-$G163)*3/3</f>
        <v>0.12022579433873</v>
      </c>
      <c r="K163" s="7" t="s">
        <v>662</v>
      </c>
    </row>
    <row r="164" customFormat="false" ht="15" hidden="false" customHeight="false" outlineLevel="0" collapsed="false">
      <c r="A164" s="3" t="s">
        <v>663</v>
      </c>
      <c r="B164" s="0" t="s">
        <v>333</v>
      </c>
      <c r="E164" s="21" t="n">
        <f aca="false">E158+E147-E146</f>
        <v>13.7799062753348</v>
      </c>
      <c r="F164" s="21" t="n">
        <f aca="false">F158+F147-F146</f>
        <v>9.35831641637547</v>
      </c>
      <c r="G164" s="21" t="n">
        <f aca="false">G158+G147-G146</f>
        <v>17.567579122229</v>
      </c>
      <c r="H164" s="30" t="n">
        <f aca="false">H158+H147-H146</f>
        <v>18.6416082109987</v>
      </c>
      <c r="I164" s="30" t="n">
        <f aca="false">I158+I147-I146</f>
        <v>19.4904489517353</v>
      </c>
      <c r="J164" s="30" t="n">
        <f aca="false">J158+J147-J146</f>
        <v>20.0738661617922</v>
      </c>
      <c r="K164" s="3" t="s">
        <v>664</v>
      </c>
    </row>
    <row r="165" customFormat="false" ht="15" hidden="false" customHeight="false" outlineLevel="0" collapsed="false">
      <c r="A165" s="3" t="s">
        <v>665</v>
      </c>
      <c r="B165" s="0" t="s">
        <v>406</v>
      </c>
      <c r="E165" s="18" t="n">
        <f aca="false">E164/E159</f>
        <v>21.3255122883062</v>
      </c>
      <c r="F165" s="18" t="n">
        <f aca="false">F164/F159</f>
        <v>14.4827466709619</v>
      </c>
      <c r="G165" s="18" t="n">
        <f aca="false">G164/G159</f>
        <v>27.1872403891066</v>
      </c>
      <c r="H165" s="28" t="n">
        <f aca="false">H164/H159</f>
        <v>28.8493867109254</v>
      </c>
      <c r="I165" s="28" t="n">
        <f aca="false">I164/I159</f>
        <v>30.1630359684531</v>
      </c>
      <c r="J165" s="28" t="n">
        <f aca="false">J164/J159</f>
        <v>31.0659209833205</v>
      </c>
    </row>
    <row r="168" customFormat="false" ht="17.15" hidden="false" customHeight="false" outlineLevel="0" collapsed="false">
      <c r="A168" s="1" t="s">
        <v>667</v>
      </c>
    </row>
    <row r="169" customFormat="false" ht="17.15" hidden="false" customHeight="false" outlineLevel="0" collapsed="false">
      <c r="A169" s="4" t="s">
        <v>21</v>
      </c>
      <c r="B169" s="4" t="s">
        <v>22</v>
      </c>
      <c r="C169" s="13" t="s">
        <v>498</v>
      </c>
      <c r="D169" s="13" t="s">
        <v>585</v>
      </c>
      <c r="E169" s="13" t="s">
        <v>586</v>
      </c>
      <c r="F169" s="13" t="s">
        <v>587</v>
      </c>
      <c r="G169" s="13" t="s">
        <v>588</v>
      </c>
      <c r="H169" s="13" t="s">
        <v>589</v>
      </c>
      <c r="I169" s="13" t="s">
        <v>590</v>
      </c>
      <c r="J169" s="13" t="s">
        <v>591</v>
      </c>
      <c r="K169" s="4" t="s">
        <v>553</v>
      </c>
    </row>
    <row r="170" customFormat="false" ht="17.15" hidden="false" customHeight="false" outlineLevel="0" collapsed="false">
      <c r="A170" s="5" t="s">
        <v>609</v>
      </c>
    </row>
    <row r="171" customFormat="false" ht="17.15" hidden="false" customHeight="false" outlineLevel="0" collapsed="false">
      <c r="A171" s="0" t="s">
        <v>610</v>
      </c>
      <c r="B171" s="3" t="s">
        <v>32</v>
      </c>
      <c r="D171" s="21" t="n">
        <f aca="false">(u_bw_26+u_rb_26+u_ru_26+u_hp_26)*1</f>
        <v>7.6</v>
      </c>
      <c r="E171" s="21" t="n">
        <f aca="false">(u_bw_27+u_rb_27+u_ru_27+u_hp_27)*1*1</f>
        <v>9.7</v>
      </c>
      <c r="F171" s="21" t="n">
        <f aca="false">(u_bw_28+u_rb_28+u_ru_28+u_hp_28)*um28_C*1</f>
        <v>5.7</v>
      </c>
      <c r="G171" s="21" t="n">
        <f aca="false">(u_bw_28*(1+g29_bw)+u_rb_28*(1+g29_rb)+u_ru_28*(1+g29_ru)+u_hp_28*(1+g29_hp))*um29_C*1</f>
        <v>6.36</v>
      </c>
      <c r="K171" s="7" t="s">
        <v>611</v>
      </c>
    </row>
    <row r="172" customFormat="false" ht="17.15" hidden="false" customHeight="false" outlineLevel="0" collapsed="false">
      <c r="A172" s="3" t="s">
        <v>612</v>
      </c>
      <c r="B172" s="3" t="s">
        <v>32</v>
      </c>
      <c r="D172" s="21" t="n">
        <f aca="false">(u_amd_26+u_tpu_26+u_trn_26+u_oth_26)*1</f>
        <v>7.6</v>
      </c>
      <c r="E172" s="21" t="n">
        <f aca="false">(u_amd_27+u_tpu_27+u_trn_27+u_oth_27)*1*1</f>
        <v>14</v>
      </c>
      <c r="F172" s="21" t="n">
        <f aca="false">(u_amd_28+u_tpu_28+u_trn_28+u_oth_28)*um28_C*1</f>
        <v>10.2</v>
      </c>
      <c r="G172" s="21" t="n">
        <f aca="false">(u_amd_28*(1+g29_amd)+u_tpu_28*(1+g29_tpu)+u_trn_28*(1+g29_trn)+u_oth_28*(1+g29_oth))*um29_C*1</f>
        <v>11.73</v>
      </c>
      <c r="K172" s="7" t="s">
        <v>613</v>
      </c>
    </row>
    <row r="173" customFormat="false" ht="17.15" hidden="false" customHeight="false" outlineLevel="0" collapsed="false">
      <c r="A173" s="3" t="s">
        <v>614</v>
      </c>
      <c r="B173" s="0" t="s">
        <v>154</v>
      </c>
      <c r="D173" s="19" t="n">
        <f aca="false">1</f>
        <v>1</v>
      </c>
      <c r="E173" s="19" t="n">
        <f aca="false">D173*(1+g_asp)</f>
        <v>1.18</v>
      </c>
      <c r="F173" s="19" t="n">
        <f aca="false">E173*(1+g_asp)</f>
        <v>1.3924</v>
      </c>
      <c r="G173" s="19" t="n">
        <f aca="false">F173*(1+g_asp)</f>
        <v>1.643032</v>
      </c>
      <c r="K173" s="7" t="s">
        <v>615</v>
      </c>
    </row>
    <row r="174" customFormat="false" ht="17.15" hidden="false" customHeight="false" outlineLevel="0" collapsed="false">
      <c r="A174" s="0" t="s">
        <v>616</v>
      </c>
      <c r="B174" s="0" t="s">
        <v>154</v>
      </c>
      <c r="D174" s="18" t="n">
        <f aca="false">1</f>
        <v>1</v>
      </c>
      <c r="E174" s="18" t="n">
        <f aca="false">ibpp_27</f>
        <v>1</v>
      </c>
      <c r="F174" s="18" t="n">
        <f aca="false">ibpp_28</f>
        <v>0.95</v>
      </c>
      <c r="G174" s="18" t="n">
        <f aca="false">ibpp_29</f>
        <v>0.9</v>
      </c>
      <c r="K174" s="7" t="s">
        <v>617</v>
      </c>
    </row>
    <row r="175" customFormat="false" ht="17.15" hidden="false" customHeight="false" outlineLevel="0" collapsed="false">
      <c r="A175" s="3" t="s">
        <v>618</v>
      </c>
      <c r="B175" s="0" t="s">
        <v>154</v>
      </c>
      <c r="D175" s="18" t="n">
        <f aca="false">1</f>
        <v>1</v>
      </c>
      <c r="E175" s="18" t="n">
        <f aca="false">1+carry</f>
        <v>1.15</v>
      </c>
      <c r="F175" s="18" t="n">
        <f aca="false">1+carry</f>
        <v>1.15</v>
      </c>
      <c r="G175" s="18" t="n">
        <f aca="false">1+carry</f>
        <v>1.15</v>
      </c>
      <c r="K175" s="7" t="s">
        <v>619</v>
      </c>
    </row>
    <row r="176" customFormat="false" ht="17.15" hidden="false" customHeight="false" outlineLevel="0" collapsed="false">
      <c r="A176" s="3" t="s">
        <v>620</v>
      </c>
      <c r="B176" s="0" t="s">
        <v>621</v>
      </c>
      <c r="D176" s="23" t="n">
        <f aca="false">v26*D173*D174</f>
        <v>215.308596</v>
      </c>
      <c r="E176" s="23" t="n">
        <f aca="false">v26*E173*E174</f>
        <v>254.06414328</v>
      </c>
      <c r="F176" s="23" t="n">
        <f aca="false">v26*F173*F174</f>
        <v>284.80590461688</v>
      </c>
      <c r="G176" s="23" t="n">
        <f aca="false">v26*G173*G174</f>
        <v>318.383021792765</v>
      </c>
      <c r="K176" s="7" t="s">
        <v>622</v>
      </c>
    </row>
    <row r="177" customFormat="false" ht="17.15" hidden="false" customHeight="false" outlineLevel="0" collapsed="false">
      <c r="A177" s="3" t="s">
        <v>623</v>
      </c>
      <c r="B177" s="0" t="s">
        <v>44</v>
      </c>
      <c r="D177" s="20" t="n">
        <f aca="false">sh_nv_26</f>
        <v>0.02</v>
      </c>
      <c r="E177" s="20" t="n">
        <f aca="false">sh_nv_27</f>
        <v>0.03</v>
      </c>
      <c r="F177" s="20" t="n">
        <f aca="false">sh_nv_28</f>
        <v>0.04</v>
      </c>
      <c r="G177" s="20" t="n">
        <f aca="false">sh_nv_29</f>
        <v>0.04</v>
      </c>
    </row>
    <row r="178" customFormat="false" ht="17.15" hidden="false" customHeight="false" outlineLevel="0" collapsed="false">
      <c r="A178" s="3" t="s">
        <v>624</v>
      </c>
      <c r="B178" s="0" t="s">
        <v>44</v>
      </c>
      <c r="D178" s="20" t="n">
        <f aca="false">sh_ot_26</f>
        <v>0.05</v>
      </c>
      <c r="E178" s="20" t="n">
        <f aca="false">sh_ot_27</f>
        <v>0.06</v>
      </c>
      <c r="F178" s="20" t="n">
        <f aca="false">sh_ot_28</f>
        <v>0.07</v>
      </c>
      <c r="G178" s="20" t="n">
        <f aca="false">sh_ot_29</f>
        <v>0.07</v>
      </c>
    </row>
    <row r="179" customFormat="false" ht="17.15" hidden="false" customHeight="false" outlineLevel="0" collapsed="false">
      <c r="A179" s="3" t="s">
        <v>625</v>
      </c>
      <c r="B179" s="0" t="s">
        <v>575</v>
      </c>
      <c r="D179" s="22" t="n">
        <f aca="false">(D171*D176*D177+D172*D176*v_ot*D178)*D175</f>
        <v>98.180719776</v>
      </c>
      <c r="E179" s="22" t="n">
        <f aca="false">(E171*E176*E177+E172*E176*v_ot*E178)*E175</f>
        <v>281.363335475436</v>
      </c>
      <c r="F179" s="22" t="n">
        <f aca="false">(F171*F176*F177+F172*F176*v_ot*F178)*F175</f>
        <v>261.759410815282</v>
      </c>
      <c r="G179" s="22" t="n">
        <f aca="false">(G171*G176*G177+G172*G176*v_ot*G178)*G175</f>
        <v>333.656492114207</v>
      </c>
    </row>
    <row r="180" customFormat="false" ht="15" hidden="false" customHeight="false" outlineLevel="0" collapsed="false">
      <c r="A180" s="3" t="s">
        <v>626</v>
      </c>
      <c r="B180" s="0" t="s">
        <v>333</v>
      </c>
      <c r="D180" s="21" t="n">
        <f aca="false">D179*fx/1000</f>
        <v>3.141783032832</v>
      </c>
      <c r="E180" s="21" t="n">
        <f aca="false">E179*fx/1000</f>
        <v>9.00362673521395</v>
      </c>
      <c r="F180" s="21" t="n">
        <f aca="false">F179*fx/1000</f>
        <v>8.37630114608903</v>
      </c>
      <c r="G180" s="21" t="n">
        <f aca="false">G179*fx/1000</f>
        <v>10.6770077476546</v>
      </c>
    </row>
    <row r="181" customFormat="false" ht="17.15" hidden="false" customHeight="false" outlineLevel="0" collapsed="false">
      <c r="A181" s="5" t="s">
        <v>627</v>
      </c>
    </row>
    <row r="182" customFormat="false" ht="17.15" hidden="false" customHeight="false" outlineLevel="0" collapsed="false">
      <c r="A182" s="0" t="s">
        <v>628</v>
      </c>
      <c r="B182" s="0" t="s">
        <v>333</v>
      </c>
      <c r="D182" s="21" t="n">
        <f aca="false">a26_abf*ai_abf</f>
        <v>22.2987583</v>
      </c>
      <c r="K182" s="3" t="s">
        <v>629</v>
      </c>
    </row>
    <row r="183" customFormat="false" ht="17.15" hidden="false" customHeight="false" outlineLevel="0" collapsed="false">
      <c r="A183" s="3" t="s">
        <v>630</v>
      </c>
      <c r="B183" s="0" t="s">
        <v>333</v>
      </c>
      <c r="D183" s="21" t="n">
        <f aca="false">D182-D180</f>
        <v>19.156975267168</v>
      </c>
      <c r="E183" s="21" t="n">
        <f aca="false">$D183*(swm_27/swm_26)^el_o*1*1*E174*E175</f>
        <v>30.814372309298</v>
      </c>
      <c r="F183" s="21" t="n">
        <f aca="false">$D183*(swm_28/swm_26)^el_o*um28_C*1*F174*F175</f>
        <v>18.8946582923892</v>
      </c>
      <c r="G183" s="21" t="n">
        <f aca="false">$D183*(swm_29/swm_26)^el_o*um29_C*1*G174*G175</f>
        <v>19.0960790848418</v>
      </c>
      <c r="K183" s="7" t="s">
        <v>631</v>
      </c>
    </row>
    <row r="184" customFormat="false" ht="17.15" hidden="false" customHeight="false" outlineLevel="0" collapsed="false">
      <c r="A184" s="3" t="s">
        <v>632</v>
      </c>
      <c r="B184" s="0" t="s">
        <v>333</v>
      </c>
      <c r="D184" s="21" t="n">
        <f aca="false">a26_abf-D182</f>
        <v>12.0070237</v>
      </c>
      <c r="E184" s="21" t="n">
        <f aca="false">D184*(1+g_nai)</f>
        <v>12.367234411</v>
      </c>
      <c r="F184" s="21" t="n">
        <f aca="false">E184*(1+g_nai)</f>
        <v>12.73825144333</v>
      </c>
      <c r="G184" s="21" t="n">
        <f aca="false">F184*(1+g_nai)</f>
        <v>13.1203989866299</v>
      </c>
    </row>
    <row r="185" customFormat="false" ht="17.15" hidden="false" customHeight="false" outlineLevel="0" collapsed="false">
      <c r="A185" s="0" t="s">
        <v>633</v>
      </c>
      <c r="B185" s="0" t="s">
        <v>333</v>
      </c>
      <c r="D185" s="21" t="n">
        <f aca="false">D180+D183+D184</f>
        <v>34.305782</v>
      </c>
      <c r="E185" s="21" t="n">
        <f aca="false">E180+E183+E184</f>
        <v>52.185233455512</v>
      </c>
      <c r="F185" s="21" t="n">
        <f aca="false">F180+F183+F184</f>
        <v>40.0092108818082</v>
      </c>
      <c r="G185" s="21" t="n">
        <f aca="false">G180+G183+G184</f>
        <v>42.8934858191263</v>
      </c>
    </row>
    <row r="186" customFormat="false" ht="17.15" hidden="false" customHeight="false" outlineLevel="0" collapsed="false">
      <c r="A186" s="0" t="s">
        <v>634</v>
      </c>
      <c r="B186" s="0" t="s">
        <v>333</v>
      </c>
      <c r="D186" s="21" t="n">
        <f aca="false">a26_abf</f>
        <v>34.305782</v>
      </c>
      <c r="E186" s="21" t="n">
        <f aca="false">$D185*cap_27*(1+g_mix)^1*E174*E175</f>
        <v>49.709078118</v>
      </c>
      <c r="F186" s="21" t="n">
        <f aca="false">$D185*cap_28*(1+g_mix)^2*F174*F175</f>
        <v>55.7829061005431</v>
      </c>
      <c r="G186" s="21" t="n">
        <f aca="false">$D185*cap_29*(1+g_mix)^3*G174*G175</f>
        <v>65.765110350114</v>
      </c>
      <c r="K186" s="7" t="s">
        <v>635</v>
      </c>
    </row>
    <row r="187" customFormat="false" ht="17.15" hidden="false" customHeight="false" outlineLevel="0" collapsed="false">
      <c r="A187" s="0" t="s">
        <v>636</v>
      </c>
      <c r="B187" s="0" t="s">
        <v>333</v>
      </c>
      <c r="D187" s="21" t="n">
        <f aca="false">a26_abf</f>
        <v>34.305782</v>
      </c>
      <c r="E187" s="21" t="n">
        <f aca="false">MIN(E185,E186)</f>
        <v>49.709078118</v>
      </c>
      <c r="F187" s="21" t="n">
        <f aca="false">MIN(F185,F186)</f>
        <v>40.0092108818082</v>
      </c>
      <c r="G187" s="21" t="n">
        <f aca="false">MIN(G185,G186)</f>
        <v>42.8934858191263</v>
      </c>
    </row>
    <row r="188" customFormat="false" ht="17.15" hidden="false" customHeight="false" outlineLevel="0" collapsed="false">
      <c r="A188" s="3" t="s">
        <v>637</v>
      </c>
      <c r="B188" s="0" t="s">
        <v>44</v>
      </c>
      <c r="D188" s="20" t="n">
        <f aca="false">D187/D185</f>
        <v>1</v>
      </c>
      <c r="E188" s="20" t="n">
        <f aca="false">E187/E185</f>
        <v>0.952550651332759</v>
      </c>
      <c r="F188" s="20" t="n">
        <f aca="false">F187/F185</f>
        <v>1</v>
      </c>
      <c r="G188" s="20" t="n">
        <f aca="false">G187/G185</f>
        <v>1</v>
      </c>
    </row>
    <row r="189" customFormat="false" ht="17.15" hidden="false" customHeight="false" outlineLevel="0" collapsed="false">
      <c r="A189" s="0" t="s">
        <v>638</v>
      </c>
      <c r="B189" s="0" t="s">
        <v>333</v>
      </c>
      <c r="D189" s="21" t="n">
        <f aca="false">(D180+D183)*D188</f>
        <v>22.2987583</v>
      </c>
      <c r="E189" s="21" t="n">
        <f aca="false">(E180+E183)*E188</f>
        <v>37.928660924617</v>
      </c>
      <c r="F189" s="21" t="n">
        <f aca="false">(F180+F183)*F188</f>
        <v>27.2709594384782</v>
      </c>
      <c r="G189" s="21" t="n">
        <f aca="false">(G180+G183)*G188</f>
        <v>29.7730868324964</v>
      </c>
    </row>
    <row r="190" customFormat="false" ht="17.15" hidden="false" customHeight="false" outlineLevel="0" collapsed="false">
      <c r="A190" s="3" t="s">
        <v>639</v>
      </c>
      <c r="B190" s="0" t="s">
        <v>44</v>
      </c>
      <c r="D190" s="20" t="n">
        <f aca="false">D180/(D180+D183)</f>
        <v>0.140894976776891</v>
      </c>
      <c r="E190" s="20" t="n">
        <f aca="false">E180/(E180+E183)</f>
        <v>0.226119517586731</v>
      </c>
      <c r="F190" s="20" t="n">
        <f aca="false">F180/(F180+F183)</f>
        <v>0.307150951728908</v>
      </c>
      <c r="G190" s="20" t="n">
        <f aca="false">G180/(G180+G183)</f>
        <v>0.358612723219583</v>
      </c>
    </row>
    <row r="191" customFormat="false" ht="17.15" hidden="false" customHeight="false" outlineLevel="0" collapsed="false">
      <c r="A191" s="5" t="s">
        <v>640</v>
      </c>
    </row>
    <row r="192" customFormat="false" ht="17.15" hidden="false" customHeight="false" outlineLevel="0" collapsed="false">
      <c r="A192" s="0" t="s">
        <v>641</v>
      </c>
      <c r="B192" s="0" t="s">
        <v>333</v>
      </c>
      <c r="D192" s="21" t="n">
        <f aca="false">a26_bt</f>
        <v>18.927328</v>
      </c>
      <c r="E192" s="21" t="n">
        <f aca="false">D192*(1+g_bt27_C)</f>
        <v>21.7664272</v>
      </c>
      <c r="F192" s="21" t="n">
        <f aca="false">E192*(1+g_bt28_C)</f>
        <v>21.7664272</v>
      </c>
      <c r="G192" s="21" t="n">
        <f aca="false">F192*(1+g_bt29_C)</f>
        <v>21.7664272</v>
      </c>
      <c r="K192" s="7" t="s">
        <v>642</v>
      </c>
    </row>
    <row r="193" customFormat="false" ht="17.15" hidden="false" customHeight="false" outlineLevel="0" collapsed="false">
      <c r="A193" s="0" t="s">
        <v>540</v>
      </c>
      <c r="B193" s="0" t="s">
        <v>333</v>
      </c>
      <c r="D193" s="21" t="n">
        <f aca="false">a26_pcb</f>
        <v>5.91479</v>
      </c>
      <c r="E193" s="21" t="n">
        <f aca="false">D193*(1+g_pcb)</f>
        <v>5.91479</v>
      </c>
      <c r="F193" s="21" t="n">
        <f aca="false">E193*(1+g_pcb)</f>
        <v>5.91479</v>
      </c>
      <c r="G193" s="21" t="n">
        <f aca="false">F193*(1+g_pcb)</f>
        <v>5.91479</v>
      </c>
    </row>
    <row r="194" customFormat="false" ht="17.15" hidden="false" customHeight="false" outlineLevel="0" collapsed="false">
      <c r="A194" s="3" t="s">
        <v>505</v>
      </c>
      <c r="B194" s="0" t="s">
        <v>333</v>
      </c>
      <c r="C194" s="23" t="n">
        <f aca="false">a25_rev</f>
        <v>40.173</v>
      </c>
      <c r="D194" s="23" t="n">
        <f aca="false">D187+D192+D193</f>
        <v>59.1479</v>
      </c>
      <c r="E194" s="23" t="n">
        <f aca="false">E187+E192+E193</f>
        <v>77.390295318</v>
      </c>
      <c r="F194" s="23" t="n">
        <f aca="false">F187+F192+F193</f>
        <v>67.6904280818082</v>
      </c>
      <c r="G194" s="23" t="n">
        <f aca="false">G187+G192+G193</f>
        <v>70.5747030191263</v>
      </c>
      <c r="H194" s="25" t="n">
        <f aca="false">G194*(1+H196)</f>
        <v>73.0499832307203</v>
      </c>
      <c r="I194" s="25" t="n">
        <f aca="false">H194*(1+I196)</f>
        <v>75.0615311596754</v>
      </c>
      <c r="J194" s="25" t="n">
        <f aca="false">I194*(1+J196)</f>
        <v>76.5627617828689</v>
      </c>
      <c r="K194" s="7" t="s">
        <v>643</v>
      </c>
    </row>
    <row r="195" customFormat="false" ht="17.15" hidden="false" customHeight="false" outlineLevel="0" collapsed="false">
      <c r="A195" s="3" t="s">
        <v>644</v>
      </c>
      <c r="B195" s="0" t="s">
        <v>333</v>
      </c>
      <c r="D195" s="19" t="n">
        <f aca="false">D187+D192+D193-a26_rev</f>
        <v>0</v>
      </c>
      <c r="E195" s="19" t="n">
        <f aca="false">E187+E192+E193-E194</f>
        <v>0</v>
      </c>
      <c r="F195" s="19" t="n">
        <f aca="false">F187+F192+F193-F194</f>
        <v>0</v>
      </c>
      <c r="G195" s="19" t="n">
        <f aca="false">G187+G192+G193-G194</f>
        <v>0</v>
      </c>
    </row>
    <row r="196" customFormat="false" ht="15" hidden="false" customHeight="false" outlineLevel="0" collapsed="false">
      <c r="A196" s="3" t="s">
        <v>645</v>
      </c>
      <c r="B196" s="0" t="s">
        <v>44</v>
      </c>
      <c r="D196" s="20" t="n">
        <f aca="false">D194/C194-1</f>
        <v>0.472329674159261</v>
      </c>
      <c r="E196" s="20" t="n">
        <f aca="false">E194/D194-1</f>
        <v>0.30842</v>
      </c>
      <c r="F196" s="20" t="n">
        <f aca="false">F194/E194-1</f>
        <v>-0.125336997311286</v>
      </c>
      <c r="G196" s="20" t="n">
        <f aca="false">G194/F194-1</f>
        <v>0.0426097901734683</v>
      </c>
      <c r="H196" s="26" t="n">
        <f aca="false">$G196+(fade_gC-$G196)*1/3</f>
        <v>0.0350731934489789</v>
      </c>
      <c r="I196" s="26" t="n">
        <f aca="false">$G196+(fade_gC-$G196)*2/3</f>
        <v>0.0275365967244894</v>
      </c>
      <c r="J196" s="26" t="n">
        <f aca="false">$G196+(fade_gC-$G196)*3/3</f>
        <v>0.02</v>
      </c>
    </row>
    <row r="197" customFormat="false" ht="17.15" hidden="false" customHeight="false" outlineLevel="0" collapsed="false">
      <c r="A197" s="0" t="s">
        <v>646</v>
      </c>
      <c r="B197" s="0" t="s">
        <v>44</v>
      </c>
      <c r="D197" s="20" t="n">
        <f aca="false">D187/D194</f>
        <v>0.58</v>
      </c>
      <c r="E197" s="20" t="n">
        <f aca="false">E187/E194</f>
        <v>0.642316687302243</v>
      </c>
      <c r="F197" s="20" t="n">
        <f aca="false">F187/F194</f>
        <v>0.591061572744887</v>
      </c>
      <c r="G197" s="20" t="n">
        <f aca="false">G187/G194</f>
        <v>0.607774230484567</v>
      </c>
    </row>
    <row r="198" customFormat="false" ht="17.15" hidden="false" customHeight="false" outlineLevel="0" collapsed="false">
      <c r="A198" s="0" t="s">
        <v>647</v>
      </c>
      <c r="B198" s="0" t="s">
        <v>44</v>
      </c>
      <c r="D198" s="20" t="n">
        <f aca="false">D189/D194</f>
        <v>0.377</v>
      </c>
      <c r="E198" s="20" t="n">
        <f aca="false">E189/E194</f>
        <v>0.490095828795672</v>
      </c>
      <c r="F198" s="20" t="n">
        <f aca="false">F189/F194</f>
        <v>0.402877632942718</v>
      </c>
      <c r="G198" s="20" t="n">
        <f aca="false">G189/G194</f>
        <v>0.421866271607656</v>
      </c>
      <c r="K198" s="3" t="s">
        <v>648</v>
      </c>
    </row>
    <row r="199" customFormat="false" ht="17.15" hidden="false" customHeight="false" outlineLevel="0" collapsed="false">
      <c r="A199" s="5" t="s">
        <v>649</v>
      </c>
    </row>
    <row r="200" customFormat="false" ht="15" hidden="false" customHeight="false" outlineLevel="0" collapsed="false">
      <c r="A200" s="3" t="s">
        <v>650</v>
      </c>
      <c r="B200" s="0" t="s">
        <v>333</v>
      </c>
      <c r="C200" s="23" t="n">
        <f aca="false">a25_cx</f>
        <v>2.422</v>
      </c>
      <c r="D200" s="23" t="n">
        <f aca="false">capex26</f>
        <v>4</v>
      </c>
      <c r="E200" s="23" t="n">
        <f aca="false">cx27</f>
        <v>14</v>
      </c>
      <c r="F200" s="23" t="n">
        <f aca="false">cx28</f>
        <v>18</v>
      </c>
      <c r="G200" s="23" t="n">
        <f aca="false">cx29</f>
        <v>12</v>
      </c>
      <c r="H200" s="25" t="n">
        <f aca="false">H194*H217</f>
        <v>11.8811678429547</v>
      </c>
      <c r="I200" s="25" t="n">
        <f aca="false">I194*I217</f>
        <v>11.6537625022366</v>
      </c>
      <c r="J200" s="25" t="n">
        <f aca="false">J194*J217</f>
        <v>11.3211740386912</v>
      </c>
    </row>
    <row r="201" customFormat="false" ht="17.15" hidden="false" customHeight="false" outlineLevel="0" collapsed="false">
      <c r="A201" s="3" t="s">
        <v>651</v>
      </c>
      <c r="B201" s="0" t="s">
        <v>333</v>
      </c>
      <c r="C201" s="23" t="n">
        <f aca="false">a25_da</f>
        <v>6.894</v>
      </c>
      <c r="D201" s="23" t="n">
        <f aca="false">da26</f>
        <v>7.1</v>
      </c>
      <c r="E201" s="23" t="n">
        <f aca="false">D201*(1-1/life)+D200/life</f>
        <v>6.7125</v>
      </c>
      <c r="F201" s="23" t="n">
        <f aca="false">E201*(1-1/life)+E200/life</f>
        <v>7.6234375</v>
      </c>
      <c r="G201" s="23" t="n">
        <f aca="false">F201*(1-1/life)+F200/life</f>
        <v>8.9205078125</v>
      </c>
      <c r="H201" s="25" t="n">
        <f aca="false">H194*H202</f>
        <v>9.23337850867094</v>
      </c>
      <c r="I201" s="25" t="n">
        <f aca="false">I194*I202</f>
        <v>9.48763432906878</v>
      </c>
      <c r="J201" s="25" t="n">
        <f aca="false">J194*J202</f>
        <v>9.67738701565015</v>
      </c>
      <c r="K201" s="3" t="s">
        <v>652</v>
      </c>
    </row>
    <row r="202" customFormat="false" ht="17.15" hidden="false" customHeight="false" outlineLevel="0" collapsed="false">
      <c r="A202" s="3" t="s">
        <v>653</v>
      </c>
      <c r="B202" s="0" t="s">
        <v>44</v>
      </c>
      <c r="C202" s="20" t="n">
        <f aca="false">C201/C194</f>
        <v>0.171607796281084</v>
      </c>
      <c r="D202" s="20" t="n">
        <f aca="false">D201/D194</f>
        <v>0.120038074048276</v>
      </c>
      <c r="E202" s="20" t="n">
        <f aca="false">E201/E194</f>
        <v>0.0867356814238536</v>
      </c>
      <c r="F202" s="20" t="n">
        <f aca="false">F201/F194</f>
        <v>0.112622090242753</v>
      </c>
      <c r="G202" s="20" t="n">
        <f aca="false">G201/G194</f>
        <v>0.126398092105077</v>
      </c>
      <c r="H202" s="26" t="n">
        <f aca="false">$G202</f>
        <v>0.126398092105077</v>
      </c>
      <c r="I202" s="26" t="n">
        <f aca="false">$G202</f>
        <v>0.126398092105077</v>
      </c>
      <c r="J202" s="26" t="n">
        <f aca="false">$G202</f>
        <v>0.126398092105077</v>
      </c>
    </row>
    <row r="203" customFormat="false" ht="17.15" hidden="false" customHeight="false" outlineLevel="0" collapsed="false">
      <c r="A203" s="3" t="s">
        <v>654</v>
      </c>
      <c r="B203" s="0" t="s">
        <v>333</v>
      </c>
      <c r="E203" s="21" t="n">
        <f aca="false">E189*(1-1/(E174*E175))</f>
        <v>4.94721664234135</v>
      </c>
      <c r="F203" s="21" t="n">
        <f aca="false">F189*(1-1/(F174*F175))</f>
        <v>2.30898283575215</v>
      </c>
      <c r="G203" s="21" t="n">
        <f aca="false">G189*(1-1/(G174*G175))</f>
        <v>1.00681936148538</v>
      </c>
      <c r="K203" s="7" t="s">
        <v>655</v>
      </c>
    </row>
    <row r="204" customFormat="false" ht="17.15" hidden="false" customHeight="false" outlineLevel="0" collapsed="false">
      <c r="A204" s="3" t="s">
        <v>656</v>
      </c>
      <c r="B204" s="0" t="s">
        <v>333</v>
      </c>
      <c r="C204" s="21" t="n">
        <f aca="false">a25_gp</f>
        <v>3.647</v>
      </c>
      <c r="D204" s="21" t="n">
        <f aca="false">a26_gp</f>
        <v>15.9001925</v>
      </c>
      <c r="E204" s="21" t="n">
        <f aca="false">$D204+ft_abf*(E187-E203-$D187)+ft_oth*((E194-E187)-($D194-$D187))+E203-(E201-$D201)</f>
        <v>27.5985885601707</v>
      </c>
      <c r="F204" s="21" t="n">
        <f aca="false">$D204+ft_abf*(F187-F203-$D187)+ft_oth*((F194-F187)-($D194-$D187))+F203-(F201-$D201)</f>
        <v>20.5186005387802</v>
      </c>
      <c r="G204" s="21" t="n">
        <f aca="false">$D204+ft_abf*(G187-G203-$D187)+ft_oth*((G194-G187)-($D194-$D187))+G203-(G201-$D201)</f>
        <v>20.0125859578058</v>
      </c>
      <c r="K204" s="3" t="s">
        <v>657</v>
      </c>
    </row>
    <row r="205" customFormat="false" ht="15" hidden="false" customHeight="false" outlineLevel="0" collapsed="false">
      <c r="A205" s="3" t="s">
        <v>512</v>
      </c>
      <c r="B205" s="0" t="s">
        <v>44</v>
      </c>
      <c r="C205" s="16" t="n">
        <f aca="false">C204/C194</f>
        <v>0.0907823662659</v>
      </c>
      <c r="D205" s="16" t="n">
        <f aca="false">D204/D194</f>
        <v>0.268820913337583</v>
      </c>
      <c r="E205" s="16" t="n">
        <f aca="false">E204/E194</f>
        <v>0.356615625341225</v>
      </c>
      <c r="F205" s="16" t="n">
        <f aca="false">F204/F194</f>
        <v>0.303124106616406</v>
      </c>
      <c r="G205" s="16" t="n">
        <f aca="false">G204/G194</f>
        <v>0.283565996053604</v>
      </c>
    </row>
    <row r="206" customFormat="false" ht="15" hidden="false" customHeight="false" outlineLevel="0" collapsed="false">
      <c r="A206" s="3" t="s">
        <v>514</v>
      </c>
      <c r="B206" s="0" t="s">
        <v>333</v>
      </c>
      <c r="C206" s="21" t="n">
        <f aca="false">a25_opx</f>
        <v>1.665</v>
      </c>
      <c r="D206" s="21" t="n">
        <f aca="false">a26_opx</f>
        <v>1.9</v>
      </c>
      <c r="E206" s="21" t="n">
        <f aca="false">D206*(1+phi*E196)</f>
        <v>2.2515988</v>
      </c>
      <c r="F206" s="21" t="n">
        <f aca="false">E206*(1+phi*F196)</f>
        <v>2.08227362035498</v>
      </c>
      <c r="G206" s="21" t="n">
        <f aca="false">F206*(1+phi*G196)</f>
        <v>2.13550876558323</v>
      </c>
    </row>
    <row r="207" customFormat="false" ht="15" hidden="false" customHeight="false" outlineLevel="0" collapsed="false">
      <c r="A207" s="3" t="s">
        <v>517</v>
      </c>
      <c r="B207" s="0" t="s">
        <v>333</v>
      </c>
      <c r="C207" s="21" t="n">
        <f aca="false">C204-C206</f>
        <v>1.982</v>
      </c>
      <c r="D207" s="21" t="n">
        <f aca="false">D204-D206</f>
        <v>14.0001925</v>
      </c>
      <c r="E207" s="21" t="n">
        <f aca="false">E204-E206</f>
        <v>25.3469897601707</v>
      </c>
      <c r="F207" s="21" t="n">
        <f aca="false">F204-F206</f>
        <v>18.4363269184252</v>
      </c>
      <c r="G207" s="21" t="n">
        <f aca="false">G204-G206</f>
        <v>17.8770771922226</v>
      </c>
    </row>
    <row r="208" customFormat="false" ht="15" hidden="false" customHeight="false" outlineLevel="0" collapsed="false">
      <c r="A208" s="3" t="s">
        <v>598</v>
      </c>
      <c r="B208" s="0" t="s">
        <v>44</v>
      </c>
      <c r="C208" s="16" t="n">
        <f aca="false">C207/C194</f>
        <v>0.0493366191222961</v>
      </c>
      <c r="D208" s="16" t="n">
        <f aca="false">D207/D194</f>
        <v>0.236698048451424</v>
      </c>
      <c r="E208" s="16" t="n">
        <f aca="false">E207/E194</f>
        <v>0.327521553652416</v>
      </c>
      <c r="F208" s="16" t="n">
        <f aca="false">F207/F194</f>
        <v>0.272362392156003</v>
      </c>
      <c r="G208" s="16" t="n">
        <f aca="false">G207/G194</f>
        <v>0.253307154369148</v>
      </c>
    </row>
    <row r="209" customFormat="false" ht="15" hidden="false" customHeight="false" outlineLevel="0" collapsed="false">
      <c r="A209" s="3" t="s">
        <v>520</v>
      </c>
      <c r="B209" s="0" t="s">
        <v>333</v>
      </c>
      <c r="C209" s="21" t="n">
        <f aca="false">a25_nonop</f>
        <v>0.364</v>
      </c>
      <c r="D209" s="21" t="n">
        <f aca="false">a26_nonop</f>
        <v>0.623</v>
      </c>
      <c r="E209" s="21" t="n">
        <f aca="false">nonop27</f>
        <v>0.6</v>
      </c>
      <c r="F209" s="21" t="n">
        <f aca="false">nonop28</f>
        <v>0.6</v>
      </c>
      <c r="G209" s="21" t="n">
        <f aca="false">nonop29</f>
        <v>0.6</v>
      </c>
    </row>
    <row r="210" customFormat="false" ht="15" hidden="false" customHeight="false" outlineLevel="0" collapsed="false">
      <c r="A210" s="3" t="s">
        <v>522</v>
      </c>
      <c r="B210" s="0" t="s">
        <v>333</v>
      </c>
      <c r="C210" s="21" t="n">
        <f aca="false">C207+C209</f>
        <v>2.346</v>
      </c>
      <c r="D210" s="21" t="n">
        <f aca="false">D207+D209</f>
        <v>14.6231925</v>
      </c>
      <c r="E210" s="21" t="n">
        <f aca="false">E207+E209</f>
        <v>25.9469897601707</v>
      </c>
      <c r="F210" s="21" t="n">
        <f aca="false">F207+F209</f>
        <v>19.0363269184252</v>
      </c>
      <c r="G210" s="21" t="n">
        <f aca="false">G207+G209</f>
        <v>18.4770771922226</v>
      </c>
    </row>
    <row r="211" customFormat="false" ht="15" hidden="false" customHeight="false" outlineLevel="0" collapsed="false">
      <c r="A211" s="3" t="s">
        <v>525</v>
      </c>
      <c r="B211" s="0" t="s">
        <v>333</v>
      </c>
      <c r="E211" s="21" t="n">
        <f aca="false">E210*tax</f>
        <v>5.44886784963584</v>
      </c>
      <c r="F211" s="21" t="n">
        <f aca="false">F210*tax</f>
        <v>3.99762865286929</v>
      </c>
      <c r="G211" s="21" t="n">
        <f aca="false">G210*tax</f>
        <v>3.88018621036675</v>
      </c>
    </row>
    <row r="212" customFormat="false" ht="15" hidden="false" customHeight="false" outlineLevel="0" collapsed="false">
      <c r="A212" s="3" t="s">
        <v>523</v>
      </c>
      <c r="B212" s="0" t="s">
        <v>333</v>
      </c>
      <c r="C212" s="21" t="n">
        <f aca="false">a25_ni</f>
        <v>1.947</v>
      </c>
      <c r="D212" s="21" t="n">
        <f aca="false">a26_ni</f>
        <v>11.509862075</v>
      </c>
      <c r="E212" s="21" t="n">
        <f aca="false">E210-E211</f>
        <v>20.4981219105348</v>
      </c>
      <c r="F212" s="21" t="n">
        <f aca="false">F210-F211</f>
        <v>15.0386982655559</v>
      </c>
      <c r="G212" s="21" t="n">
        <f aca="false">G210-G211</f>
        <v>14.5968909818559</v>
      </c>
      <c r="H212" s="30" t="n">
        <f aca="false">H194*H216</f>
        <v>14.1015938588151</v>
      </c>
      <c r="I212" s="30" t="n">
        <f aca="false">I194*I216</f>
        <v>13.4549106362151</v>
      </c>
      <c r="J212" s="30" t="n">
        <f aca="false">J194*J216</f>
        <v>12.6683158605595</v>
      </c>
    </row>
    <row r="213" customFormat="false" ht="15" hidden="false" customHeight="false" outlineLevel="0" collapsed="false">
      <c r="A213" s="3" t="s">
        <v>658</v>
      </c>
      <c r="B213" s="3" t="s">
        <v>400</v>
      </c>
      <c r="C213" s="29" t="n">
        <f aca="false">a25_sh</f>
        <v>0.646843853820598</v>
      </c>
      <c r="D213" s="29" t="n">
        <f aca="false">a26_sh</f>
        <v>0.645863325123153</v>
      </c>
      <c r="E213" s="29" t="n">
        <f aca="false">a26_shend*(1+sh_g)</f>
        <v>0.64617</v>
      </c>
      <c r="F213" s="29" t="n">
        <f aca="false">E213*(1+sh_g)</f>
        <v>0.64617</v>
      </c>
      <c r="G213" s="29" t="n">
        <f aca="false">F213*(1+sh_g)</f>
        <v>0.64617</v>
      </c>
      <c r="H213" s="31" t="n">
        <f aca="false">G213*(1+sh_g)</f>
        <v>0.64617</v>
      </c>
      <c r="I213" s="31" t="n">
        <f aca="false">H213*(1+sh_g)</f>
        <v>0.64617</v>
      </c>
      <c r="J213" s="31" t="n">
        <f aca="false">I213*(1+sh_g)</f>
        <v>0.64617</v>
      </c>
    </row>
    <row r="214" customFormat="false" ht="17.15" hidden="false" customHeight="false" outlineLevel="0" collapsed="false">
      <c r="A214" s="0" t="s">
        <v>528</v>
      </c>
      <c r="B214" s="0" t="s">
        <v>406</v>
      </c>
      <c r="C214" s="18" t="n">
        <f aca="false">C212/C213</f>
        <v>3.01</v>
      </c>
      <c r="D214" s="18" t="n">
        <f aca="false">D212/D213</f>
        <v>17.820894339844</v>
      </c>
      <c r="E214" s="18" t="n">
        <f aca="false">E212/E213</f>
        <v>31.7224908468899</v>
      </c>
      <c r="F214" s="18" t="n">
        <f aca="false">F212/F213</f>
        <v>23.2735940473187</v>
      </c>
      <c r="G214" s="18" t="n">
        <f aca="false">G212/G213</f>
        <v>22.5898617729945</v>
      </c>
      <c r="H214" s="28" t="n">
        <f aca="false">H212/H213</f>
        <v>21.8233496739481</v>
      </c>
      <c r="I214" s="28" t="n">
        <f aca="false">I212/I213</f>
        <v>20.8225554207331</v>
      </c>
      <c r="J214" s="28" t="n">
        <f aca="false">J212/J213</f>
        <v>19.6052367961364</v>
      </c>
    </row>
    <row r="215" customFormat="false" ht="17.15" hidden="false" customHeight="false" outlineLevel="0" collapsed="false">
      <c r="A215" s="0" t="s">
        <v>659</v>
      </c>
      <c r="B215" s="0" t="s">
        <v>44</v>
      </c>
      <c r="D215" s="20" t="n">
        <f aca="false">D214/C214-1</f>
        <v>4.92056290360265</v>
      </c>
      <c r="E215" s="20" t="n">
        <f aca="false">E214/D214-1</f>
        <v>0.780072887585933</v>
      </c>
      <c r="F215" s="20" t="n">
        <f aca="false">F214/E214-1</f>
        <v>-0.266337748834107</v>
      </c>
      <c r="G215" s="20" t="n">
        <f aca="false">G214/F214-1</f>
        <v>-0.029378027000644</v>
      </c>
      <c r="H215" s="26" t="n">
        <f aca="false">H214/G214-1</f>
        <v>-0.0339316861142865</v>
      </c>
      <c r="I215" s="26" t="n">
        <f aca="false">I214/H214-1</f>
        <v>-0.0458588744701169</v>
      </c>
      <c r="J215" s="26" t="n">
        <f aca="false">J214/I214-1</f>
        <v>-0.0584615384615385</v>
      </c>
    </row>
    <row r="216" customFormat="false" ht="17.15" hidden="false" customHeight="false" outlineLevel="0" collapsed="false">
      <c r="A216" s="3" t="s">
        <v>660</v>
      </c>
      <c r="B216" s="0" t="s">
        <v>44</v>
      </c>
      <c r="C216" s="16" t="n">
        <f aca="false">C212/C194</f>
        <v>0.0484653872003585</v>
      </c>
      <c r="D216" s="16" t="n">
        <f aca="false">D212/D194</f>
        <v>0.194594602259759</v>
      </c>
      <c r="E216" s="16" t="n">
        <f aca="false">E212/E194</f>
        <v>0.264866826341819</v>
      </c>
      <c r="F216" s="16" t="n">
        <f aca="false">F212/F194</f>
        <v>0.222168756967834</v>
      </c>
      <c r="G216" s="16" t="n">
        <f aca="false">G212/G194</f>
        <v>0.206828939512505</v>
      </c>
      <c r="H216" s="27" t="n">
        <f aca="false">$G216+(fade_mC-$G216)*1/3</f>
        <v>0.193040343545005</v>
      </c>
      <c r="I216" s="27" t="n">
        <f aca="false">$G216+(fade_mC-$G216)*2/3</f>
        <v>0.179251747577504</v>
      </c>
      <c r="J216" s="27" t="n">
        <f aca="false">$G216+(fade_mC-$G216)*3/3</f>
        <v>0.165463151610004</v>
      </c>
    </row>
    <row r="217" customFormat="false" ht="17.15" hidden="false" customHeight="false" outlineLevel="0" collapsed="false">
      <c r="A217" s="3" t="s">
        <v>661</v>
      </c>
      <c r="B217" s="0" t="s">
        <v>44</v>
      </c>
      <c r="C217" s="20" t="n">
        <f aca="false">C200/C194</f>
        <v>0.0602892489980833</v>
      </c>
      <c r="D217" s="20" t="n">
        <f aca="false">D200/D194</f>
        <v>0.0676270839708595</v>
      </c>
      <c r="E217" s="20" t="n">
        <f aca="false">E200/E194</f>
        <v>0.180901234999471</v>
      </c>
      <c r="F217" s="20" t="n">
        <f aca="false">F200/F194</f>
        <v>0.265916474604738</v>
      </c>
      <c r="G217" s="20" t="n">
        <f aca="false">G200/G194</f>
        <v>0.170032596477918</v>
      </c>
      <c r="H217" s="26" t="n">
        <f aca="false">$G217+($G202*(1+tp_g)^(life/2)-$G217)*1/3</f>
        <v>0.162644360990876</v>
      </c>
      <c r="I217" s="26" t="n">
        <f aca="false">$G217+($G202*(1+tp_g)^(life/2)-$G217)*2/3</f>
        <v>0.155256125503835</v>
      </c>
      <c r="J217" s="26" t="n">
        <f aca="false">$G217+($G202*(1+tp_g)^(life/2)-$G217)*3/3</f>
        <v>0.147867890016793</v>
      </c>
      <c r="K217" s="7" t="s">
        <v>662</v>
      </c>
    </row>
    <row r="218" customFormat="false" ht="15" hidden="false" customHeight="false" outlineLevel="0" collapsed="false">
      <c r="A218" s="3" t="s">
        <v>663</v>
      </c>
      <c r="B218" s="0" t="s">
        <v>333</v>
      </c>
      <c r="E218" s="21" t="n">
        <f aca="false">E212+E201-E200</f>
        <v>13.2106219105348</v>
      </c>
      <c r="F218" s="21" t="n">
        <f aca="false">F212+F201-F200</f>
        <v>4.6621357655559</v>
      </c>
      <c r="G218" s="21" t="n">
        <f aca="false">G212+G201-G200</f>
        <v>11.5173987943559</v>
      </c>
      <c r="H218" s="30" t="n">
        <f aca="false">H212+H201-H200</f>
        <v>11.4538045245313</v>
      </c>
      <c r="I218" s="30" t="n">
        <f aca="false">I212+I201-I200</f>
        <v>11.2887824630473</v>
      </c>
      <c r="J218" s="30" t="n">
        <f aca="false">J212+J201-J200</f>
        <v>11.0245288375184</v>
      </c>
      <c r="K218" s="3" t="s">
        <v>664</v>
      </c>
    </row>
    <row r="219" customFormat="false" ht="15" hidden="false" customHeight="false" outlineLevel="0" collapsed="false">
      <c r="A219" s="3" t="s">
        <v>665</v>
      </c>
      <c r="B219" s="0" t="s">
        <v>406</v>
      </c>
      <c r="E219" s="18" t="n">
        <f aca="false">E218/E213</f>
        <v>20.4444989871626</v>
      </c>
      <c r="F219" s="18" t="n">
        <f aca="false">F218/F213</f>
        <v>7.21502973761688</v>
      </c>
      <c r="G219" s="18" t="n">
        <f aca="false">G218/G213</f>
        <v>17.824100150666</v>
      </c>
      <c r="H219" s="28" t="n">
        <f aca="false">H218/H213</f>
        <v>17.7256829077971</v>
      </c>
      <c r="I219" s="28" t="n">
        <f aca="false">I218/I213</f>
        <v>17.4702980067897</v>
      </c>
      <c r="J219" s="28" t="n">
        <f aca="false">J218/J213</f>
        <v>17.0613442863618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668</v>
      </c>
    </row>
    <row r="2" customFormat="false" ht="17.15" hidden="false" customHeight="false" outlineLevel="0" collapsed="false">
      <c r="A2" s="3" t="s">
        <v>669</v>
      </c>
    </row>
    <row r="4" customFormat="false" ht="17.15" hidden="false" customHeight="false" outlineLevel="0" collapsed="false">
      <c r="A4" s="5" t="s">
        <v>670</v>
      </c>
    </row>
    <row r="5" customFormat="false" ht="17.15" hidden="false" customHeight="false" outlineLevel="0" collapsed="false">
      <c r="A5" s="5" t="s">
        <v>671</v>
      </c>
    </row>
    <row r="6" customFormat="false" ht="17.15" hidden="false" customHeight="false" outlineLevel="0" collapsed="false">
      <c r="A6" s="4" t="s">
        <v>21</v>
      </c>
      <c r="B6" s="13" t="s">
        <v>672</v>
      </c>
      <c r="C6" s="13" t="s">
        <v>673</v>
      </c>
      <c r="D6" s="13" t="s">
        <v>674</v>
      </c>
      <c r="E6" s="4" t="s">
        <v>553</v>
      </c>
    </row>
    <row r="7" customFormat="false" ht="17.15" hidden="false" customHeight="false" outlineLevel="0" collapsed="false">
      <c r="A7" s="3" t="s">
        <v>675</v>
      </c>
      <c r="E7" s="0" t="s">
        <v>676</v>
      </c>
    </row>
    <row r="8" customFormat="false" ht="15" hidden="false" customHeight="false" outlineLevel="0" collapsed="false">
      <c r="A8" s="0" t="s">
        <v>677</v>
      </c>
      <c r="B8" s="18" t="n">
        <f aca="false">PL!E15</f>
        <v>33.0440107986054</v>
      </c>
      <c r="C8" s="18" t="n">
        <f aca="false">PL!E29</f>
        <v>32.6035041480335</v>
      </c>
      <c r="D8" s="18" t="n">
        <f aca="false">PL!E43</f>
        <v>31.7224908468899</v>
      </c>
    </row>
    <row r="9" customFormat="false" ht="15" hidden="false" customHeight="false" outlineLevel="0" collapsed="false">
      <c r="A9" s="0" t="s">
        <v>678</v>
      </c>
      <c r="B9" s="18" t="n">
        <f aca="false">PL!F15</f>
        <v>35.8974726549342</v>
      </c>
      <c r="C9" s="18" t="n">
        <f aca="false">PL!F29</f>
        <v>30.5413109806637</v>
      </c>
      <c r="D9" s="18" t="n">
        <f aca="false">PL!F43</f>
        <v>23.2735940473187</v>
      </c>
    </row>
    <row r="10" customFormat="false" ht="15" hidden="false" customHeight="false" outlineLevel="0" collapsed="false">
      <c r="A10" s="0" t="s">
        <v>679</v>
      </c>
      <c r="B10" s="18" t="n">
        <f aca="false">PL!G15</f>
        <v>37.8297687003307</v>
      </c>
      <c r="C10" s="18" t="n">
        <f aca="false">PL!G29</f>
        <v>31.9530020114351</v>
      </c>
      <c r="D10" s="18" t="n">
        <f aca="false">PL!G43</f>
        <v>22.5898617729945</v>
      </c>
    </row>
    <row r="11" customFormat="false" ht="15" hidden="false" customHeight="false" outlineLevel="0" collapsed="false">
      <c r="A11" s="0" t="s">
        <v>680</v>
      </c>
      <c r="B11" s="18" t="n">
        <f aca="false">PL!H15</f>
        <v>40.9481687329929</v>
      </c>
      <c r="C11" s="18" t="n">
        <f aca="false">PL!H29</f>
        <v>33.0905069687068</v>
      </c>
      <c r="D11" s="18" t="n">
        <f aca="false">PL!H43</f>
        <v>21.8233496739481</v>
      </c>
    </row>
    <row r="12" customFormat="false" ht="15" hidden="false" customHeight="false" outlineLevel="0" collapsed="false">
      <c r="A12" s="0" t="s">
        <v>681</v>
      </c>
      <c r="B12" s="18" t="n">
        <f aca="false">PL!I15</f>
        <v>43.8643424687414</v>
      </c>
      <c r="C12" s="18" t="n">
        <f aca="false">PL!I29</f>
        <v>33.7275960973151</v>
      </c>
      <c r="D12" s="18" t="n">
        <f aca="false">PL!I43</f>
        <v>20.8225554207331</v>
      </c>
    </row>
    <row r="13" customFormat="false" ht="15" hidden="false" customHeight="false" outlineLevel="0" collapsed="false">
      <c r="A13" s="0" t="s">
        <v>682</v>
      </c>
      <c r="B13" s="18" t="n">
        <f aca="false">PL!J15</f>
        <v>46.4962030168659</v>
      </c>
      <c r="C13" s="18" t="n">
        <f aca="false">PL!J29</f>
        <v>33.8239606575931</v>
      </c>
      <c r="D13" s="18" t="n">
        <f aca="false">PL!J43</f>
        <v>19.6052367961364</v>
      </c>
    </row>
    <row r="14" customFormat="false" ht="17.15" hidden="false" customHeight="false" outlineLevel="0" collapsed="false">
      <c r="A14" s="3" t="s">
        <v>683</v>
      </c>
      <c r="E14" s="3" t="s">
        <v>684</v>
      </c>
    </row>
    <row r="15" customFormat="false" ht="17.15" hidden="false" customHeight="false" outlineLevel="0" collapsed="false">
      <c r="A15" s="3" t="s">
        <v>685</v>
      </c>
      <c r="B15" s="20" t="n">
        <f aca="false">MIN(tp_g/tp_roe,0.8)</f>
        <v>0.743494423791822</v>
      </c>
      <c r="E15" s="7" t="s">
        <v>686</v>
      </c>
    </row>
    <row r="16" customFormat="false" ht="15" hidden="false" customHeight="false" outlineLevel="0" collapsed="false">
      <c r="A16" s="0" t="s">
        <v>677</v>
      </c>
      <c r="B16" s="18" t="n">
        <f aca="false">PL!E111</f>
        <v>21.7660189388781</v>
      </c>
      <c r="C16" s="18" t="n">
        <f aca="false">PL!E165</f>
        <v>21.3255122883062</v>
      </c>
      <c r="D16" s="18" t="n">
        <f aca="false">PL!E219</f>
        <v>20.4444989871626</v>
      </c>
    </row>
    <row r="17" customFormat="false" ht="15" hidden="false" customHeight="false" outlineLevel="0" collapsed="false">
      <c r="A17" s="0" t="s">
        <v>678</v>
      </c>
      <c r="B17" s="18" t="n">
        <f aca="false">PL!F111</f>
        <v>19.8389083452324</v>
      </c>
      <c r="C17" s="18" t="n">
        <f aca="false">PL!F165</f>
        <v>14.4827466709619</v>
      </c>
      <c r="D17" s="18" t="n">
        <f aca="false">PL!F219</f>
        <v>7.21502973761688</v>
      </c>
    </row>
    <row r="18" customFormat="false" ht="15" hidden="false" customHeight="false" outlineLevel="0" collapsed="false">
      <c r="A18" s="0" t="s">
        <v>679</v>
      </c>
      <c r="B18" s="18" t="n">
        <f aca="false">PL!G111</f>
        <v>33.0640070780022</v>
      </c>
      <c r="C18" s="18" t="n">
        <f aca="false">PL!G165</f>
        <v>27.1872403891066</v>
      </c>
      <c r="D18" s="18" t="n">
        <f aca="false">PL!G219</f>
        <v>17.824100150666</v>
      </c>
    </row>
    <row r="19" customFormat="false" ht="15" hidden="false" customHeight="false" outlineLevel="0" collapsed="false">
      <c r="A19" s="0" t="s">
        <v>680</v>
      </c>
      <c r="B19" s="18" t="n">
        <f aca="false">PL!H111</f>
        <v>36.6630153229843</v>
      </c>
      <c r="C19" s="18" t="n">
        <f aca="false">PL!H165</f>
        <v>28.8493867109254</v>
      </c>
      <c r="D19" s="18" t="n">
        <f aca="false">PL!H219</f>
        <v>17.7256829077971</v>
      </c>
    </row>
    <row r="20" customFormat="false" ht="15" hidden="false" customHeight="false" outlineLevel="0" collapsed="false">
      <c r="A20" s="0" t="s">
        <v>681</v>
      </c>
      <c r="B20" s="18" t="n">
        <f aca="false">PL!I111</f>
        <v>40.2096828239629</v>
      </c>
      <c r="C20" s="18" t="n">
        <f aca="false">PL!I165</f>
        <v>30.1630359684531</v>
      </c>
      <c r="D20" s="18" t="n">
        <f aca="false">PL!I219</f>
        <v>17.4702980067897</v>
      </c>
    </row>
    <row r="21" customFormat="false" ht="15" hidden="false" customHeight="false" outlineLevel="0" collapsed="false">
      <c r="A21" s="0" t="s">
        <v>682</v>
      </c>
      <c r="B21" s="18" t="n">
        <f aca="false">PL!J111</f>
        <v>43.6140699518439</v>
      </c>
      <c r="C21" s="18" t="n">
        <f aca="false">PL!J165</f>
        <v>31.0659209833205</v>
      </c>
      <c r="D21" s="18" t="n">
        <f aca="false">PL!J219</f>
        <v>17.0613442863618</v>
      </c>
    </row>
    <row r="22" customFormat="false" ht="17.15" hidden="false" customHeight="false" outlineLevel="0" collapsed="false">
      <c r="A22" s="0" t="s">
        <v>687</v>
      </c>
      <c r="B22" s="18" t="n">
        <f aca="false">MAX(0,SUMPRODUCT(B16:B21,1/(1+tp_r)^{1;2;3;4;5;6})+B21*(1+tp_g)/(tp_r-tp_g)/(1+tp_r)^6)</f>
        <v>562.381375740361</v>
      </c>
      <c r="C22" s="18" t="n">
        <f aca="false">MAX(0,SUMPRODUCT(C16:C21,1/(1+tp_r)^{1;2;3;4;5;6})+C21*(1+tp_g)/(tp_r-tp_g)/(1+tp_r)^6)</f>
        <v>411.707155064953</v>
      </c>
      <c r="D22" s="18" t="n">
        <f aca="false">MAX(0,SUMPRODUCT(D16:D21,1/(1+tp_r)^{1;2;3;4;5;6})+D21*(1+tp_g)/(tp_r-tp_g)/(1+tp_r)^6)</f>
        <v>237.457354528426</v>
      </c>
      <c r="E22" s="7" t="s">
        <v>688</v>
      </c>
    </row>
    <row r="23" customFormat="false" ht="17.15" hidden="false" customHeight="false" outlineLevel="0" collapsed="false">
      <c r="A23" s="0" t="s">
        <v>689</v>
      </c>
      <c r="B23" s="18" t="n">
        <f aca="false">B22*(1+tp_r)</f>
        <v>618.619513314397</v>
      </c>
      <c r="C23" s="18" t="n">
        <f aca="false">C22*(1+tp_r)</f>
        <v>452.877870571448</v>
      </c>
      <c r="D23" s="18" t="n">
        <f aca="false">D22*(1+tp_r)</f>
        <v>261.203089981269</v>
      </c>
    </row>
    <row r="24" customFormat="false" ht="17.15" hidden="false" customHeight="false" outlineLevel="0" collapsed="false">
      <c r="A24" s="0" t="s">
        <v>690</v>
      </c>
      <c r="B24" s="32" t="n">
        <f aca="false">tp_wA*B23+tp_wB*C23+tp_wC*D23</f>
        <v>464.265407276297</v>
      </c>
      <c r="E24" s="7" t="s">
        <v>691</v>
      </c>
    </row>
    <row r="25" customFormat="false" ht="17.15" hidden="false" customHeight="false" outlineLevel="0" collapsed="false">
      <c r="A25" s="3" t="s">
        <v>692</v>
      </c>
      <c r="B25" s="18" t="n">
        <f aca="false">(tp_wA*MAX(0,SUMPRODUCT(B8:B13,1/(1+tp_r)^{1;2;3;4;5;6})+B13*(1+tp_g)/(tp_r-tp_g)/(1+tp_r)^6)+tp_wB*MAX(0,SUMPRODUCT(C8:C13,1/(1+tp_r)^{1;2;3;4;5;6})+C13*(1+tp_g)/(tp_r-tp_g)/(1+tp_r)^6)+tp_wC*MAX(0,SUMPRODUCT(D8:D13,1/(1+tp_r)^{1;2;3;4;5;6})+D13*(1+tp_g)/(tp_r-tp_g)/(1+tp_r)^6))*(1-B15)*(1+tp_r)</f>
        <v>136.207582133122</v>
      </c>
      <c r="E25" s="3" t="s">
        <v>693</v>
      </c>
    </row>
    <row r="26" customFormat="false" ht="17.15" hidden="false" customHeight="false" outlineLevel="0" collapsed="false">
      <c r="A26" s="5" t="s">
        <v>694</v>
      </c>
    </row>
    <row r="27" customFormat="false" ht="17.15" hidden="false" customHeight="false" outlineLevel="0" collapsed="false">
      <c r="A27" s="4" t="s">
        <v>695</v>
      </c>
      <c r="B27" s="4" t="s">
        <v>696</v>
      </c>
      <c r="C27" s="4" t="s">
        <v>697</v>
      </c>
      <c r="D27" s="4" t="s">
        <v>698</v>
      </c>
      <c r="E27" s="4" t="s">
        <v>699</v>
      </c>
      <c r="F27" s="4" t="s">
        <v>26</v>
      </c>
    </row>
    <row r="28" customFormat="false" ht="17.15" hidden="false" customHeight="false" outlineLevel="0" collapsed="false">
      <c r="A28" s="3" t="s">
        <v>700</v>
      </c>
      <c r="B28" s="0" t="s">
        <v>701</v>
      </c>
      <c r="C28" s="33" t="n">
        <v>42.28</v>
      </c>
      <c r="D28" s="7" t="s">
        <v>702</v>
      </c>
      <c r="E28" s="7" t="s">
        <v>703</v>
      </c>
      <c r="F28" s="7" t="s">
        <v>206</v>
      </c>
    </row>
    <row r="29" customFormat="false" ht="17.15" hidden="false" customHeight="false" outlineLevel="0" collapsed="false">
      <c r="A29" s="3" t="s">
        <v>704</v>
      </c>
      <c r="B29" s="0" t="s">
        <v>705</v>
      </c>
      <c r="C29" s="33" t="n">
        <v>44.7</v>
      </c>
      <c r="D29" s="7" t="s">
        <v>702</v>
      </c>
      <c r="E29" s="7" t="s">
        <v>703</v>
      </c>
      <c r="F29" s="7" t="s">
        <v>206</v>
      </c>
    </row>
    <row r="30" customFormat="false" ht="17.15" hidden="false" customHeight="false" outlineLevel="0" collapsed="false">
      <c r="A30" s="0" t="s">
        <v>706</v>
      </c>
      <c r="B30" s="0" t="s">
        <v>707</v>
      </c>
      <c r="C30" s="33" t="n">
        <v>53.97</v>
      </c>
      <c r="D30" s="7" t="s">
        <v>708</v>
      </c>
      <c r="E30" s="7" t="s">
        <v>703</v>
      </c>
      <c r="F30" s="7" t="s">
        <v>206</v>
      </c>
    </row>
    <row r="31" customFormat="false" ht="17.15" hidden="false" customHeight="false" outlineLevel="0" collapsed="false">
      <c r="A31" s="3" t="s">
        <v>709</v>
      </c>
      <c r="B31" s="0" t="s">
        <v>710</v>
      </c>
      <c r="C31" s="33" t="n">
        <v>43.4</v>
      </c>
      <c r="D31" s="7" t="s">
        <v>711</v>
      </c>
      <c r="E31" s="7" t="s">
        <v>703</v>
      </c>
      <c r="F31" s="7" t="s">
        <v>206</v>
      </c>
    </row>
    <row r="32" customFormat="false" ht="17.15" hidden="false" customHeight="false" outlineLevel="0" collapsed="false">
      <c r="A32" s="0" t="s">
        <v>712</v>
      </c>
      <c r="B32" s="0" t="s">
        <v>713</v>
      </c>
      <c r="C32" s="33" t="n">
        <v>14.91</v>
      </c>
      <c r="D32" s="7" t="s">
        <v>714</v>
      </c>
      <c r="E32" s="7" t="s">
        <v>703</v>
      </c>
      <c r="F32" s="7" t="s">
        <v>206</v>
      </c>
    </row>
    <row r="33" customFormat="false" ht="17.15" hidden="false" customHeight="false" outlineLevel="0" collapsed="false">
      <c r="A33" s="3" t="s">
        <v>715</v>
      </c>
      <c r="B33" s="34" t="n">
        <f aca="false">MEDIAN(C28:C32)</f>
        <v>43.4</v>
      </c>
      <c r="E33" s="7" t="s">
        <v>716</v>
      </c>
    </row>
    <row r="34" customFormat="false" ht="17.15" hidden="false" customHeight="false" outlineLevel="0" collapsed="false">
      <c r="A34" s="0" t="s">
        <v>717</v>
      </c>
      <c r="B34" s="18" t="n">
        <f aca="false">tp_wA*(2/12*B8+10/12*B9)+tp_wB*(2/12*C8+10/12*C9)+tp_wC*(2/12*D8+10/12*D9)</f>
        <v>31.0054223273926</v>
      </c>
      <c r="E34" s="3" t="s">
        <v>718</v>
      </c>
    </row>
    <row r="35" customFormat="false" ht="17.15" hidden="false" customHeight="false" outlineLevel="0" collapsed="false">
      <c r="A35" s="0" t="s">
        <v>719</v>
      </c>
      <c r="B35" s="32" t="n">
        <f aca="false">B33*B34</f>
        <v>1345.63532900884</v>
      </c>
      <c r="E35" s="3" t="s">
        <v>720</v>
      </c>
    </row>
    <row r="37" customFormat="false" ht="17.15" hidden="false" customHeight="false" outlineLevel="0" collapsed="false">
      <c r="A37" s="5" t="s">
        <v>721</v>
      </c>
    </row>
    <row r="38" customFormat="false" ht="15" hidden="false" customHeight="false" outlineLevel="0" collapsed="false">
      <c r="A38" s="4" t="s">
        <v>21</v>
      </c>
      <c r="B38" s="4" t="s">
        <v>722</v>
      </c>
      <c r="C38" s="4"/>
      <c r="D38" s="4"/>
      <c r="E38" s="4" t="s">
        <v>553</v>
      </c>
    </row>
    <row r="39" customFormat="false" ht="17.15" hidden="false" customHeight="false" outlineLevel="0" collapsed="false">
      <c r="A39" s="3" t="s">
        <v>723</v>
      </c>
      <c r="B39" s="32" t="n">
        <f aca="false">tp_w_dcf*B24+(1-tp_w_dcf)*tp_comp_adj</f>
        <v>1346.87795869805</v>
      </c>
      <c r="E39" s="7" t="s">
        <v>724</v>
      </c>
    </row>
    <row r="40" customFormat="false" ht="17.15" hidden="false" customHeight="false" outlineLevel="0" collapsed="false">
      <c r="A40" s="0" t="s">
        <v>725</v>
      </c>
      <c r="B40" s="18" t="n">
        <f aca="false">B35</f>
        <v>1345.63532900884</v>
      </c>
    </row>
    <row r="41" customFormat="false" ht="17.15" hidden="false" customHeight="false" outlineLevel="0" collapsed="false">
      <c r="A41" s="3" t="s">
        <v>726</v>
      </c>
      <c r="B41" s="18" t="n">
        <f aca="false">cons_tp</f>
        <v>1651.31</v>
      </c>
      <c r="E41" s="7" t="s">
        <v>727</v>
      </c>
    </row>
    <row r="42" customFormat="false" ht="17.15" hidden="false" customHeight="false" outlineLevel="0" collapsed="false">
      <c r="A42" s="3" t="s">
        <v>728</v>
      </c>
      <c r="B42" s="20" t="n">
        <f aca="false">B39/px-1</f>
        <v>0.064725659049842</v>
      </c>
      <c r="E42" s="3" t="s">
        <v>729</v>
      </c>
    </row>
    <row r="43" customFormat="false" ht="17.15" hidden="false" customHeight="false" outlineLevel="0" collapsed="false">
      <c r="A43" s="3" t="s">
        <v>730</v>
      </c>
      <c r="B43" s="20" t="n">
        <f aca="false">B40/px-1</f>
        <v>0.0637433430899907</v>
      </c>
    </row>
    <row r="44" customFormat="false" ht="17.15" hidden="false" customHeight="false" outlineLevel="0" collapsed="false">
      <c r="A44" s="3" t="s">
        <v>731</v>
      </c>
      <c r="B44" s="20" t="n">
        <f aca="false">B34/cons_feps-1</f>
        <v>-0.00398771894956962</v>
      </c>
      <c r="E44" s="3" t="s">
        <v>732</v>
      </c>
    </row>
    <row r="45" customFormat="false" ht="17.15" hidden="false" customHeight="false" outlineLevel="0" collapsed="false">
      <c r="A45" s="3" t="s">
        <v>733</v>
      </c>
      <c r="B45" s="20" t="n">
        <f aca="false">(cons_tp/cons_feps)/B33-1</f>
        <v>0.222266541584376</v>
      </c>
      <c r="E45" s="0" t="str">
        <f aca="false">"共識目標價隱含 "&amp;TEXT(cons_tp/cons_feps,"0.0")&amp;"x，同業中位數 "&amp;TEXT(B33,"0.0")&amp;"x"</f>
        <v>共識目標價隱含 53.0x，同業中位數 43.4x</v>
      </c>
    </row>
    <row r="46" customFormat="false" ht="17.15" hidden="false" customHeight="false" outlineLevel="0" collapsed="false">
      <c r="A46" s="3" t="s">
        <v>734</v>
      </c>
      <c r="B46" s="35" t="str">
        <f aca="false">TEXT(D23,"#,##0")&amp;"～"&amp;TEXT(B23,"#,##0")</f>
        <v>261～619</v>
      </c>
      <c r="E46" s="7" t="s">
        <v>735</v>
      </c>
    </row>
    <row r="47" customFormat="false" ht="17.15" hidden="false" customHeight="false" outlineLevel="0" collapsed="false">
      <c r="A47" s="3" t="s">
        <v>736</v>
      </c>
      <c r="B47" s="36" t="n">
        <f aca="false">IF(px/B9&gt;=MAX($B$86:$B$95),1,IF(px/B9&lt;=MIN($B$86:$B$95),0,PERCENTRANK($B$86:$B$95,px/B9)))</f>
        <v>0.501</v>
      </c>
      <c r="C47" s="36" t="n">
        <f aca="false">IF(px/C9&gt;=MAX($B$86:$B$95),1,IF(px/C9&lt;=MIN($B$86:$B$95),0,PERCENTRANK($B$86:$B$95,px/C9)))</f>
        <v>0.524</v>
      </c>
      <c r="D47" s="36" t="n">
        <f aca="false">IF(px/D9&gt;=MAX($B$86:$B$95),1,IF(px/D9&lt;=MIN($B$86:$B$95),0,PERCENTRANK($B$86:$B$95,px/D9)))</f>
        <v>0.572</v>
      </c>
      <c r="E47" s="3" t="s">
        <v>737</v>
      </c>
    </row>
    <row r="48" customFormat="false" ht="17.15" hidden="false" customHeight="false" outlineLevel="0" collapsed="false">
      <c r="A48" s="3" t="s">
        <v>738</v>
      </c>
      <c r="B48" s="0" t="s">
        <v>739</v>
      </c>
    </row>
    <row r="51" customFormat="false" ht="17.15" hidden="false" customHeight="false" outlineLevel="0" collapsed="false">
      <c r="A51" s="5" t="s">
        <v>740</v>
      </c>
    </row>
    <row r="52" customFormat="false" ht="15" hidden="false" customHeight="false" outlineLevel="0" collapsed="false">
      <c r="A52" s="4" t="s">
        <v>21</v>
      </c>
      <c r="B52" s="13" t="s">
        <v>741</v>
      </c>
      <c r="C52" s="13" t="s">
        <v>742</v>
      </c>
      <c r="D52" s="13" t="s">
        <v>743</v>
      </c>
      <c r="E52" s="4" t="s">
        <v>553</v>
      </c>
    </row>
    <row r="53" customFormat="false" ht="17.15" hidden="false" customHeight="false" outlineLevel="0" collapsed="false">
      <c r="A53" s="3" t="s">
        <v>744</v>
      </c>
      <c r="B53" s="22" t="n">
        <f aca="false">px</f>
        <v>1265</v>
      </c>
    </row>
    <row r="54" customFormat="false" ht="17.15" hidden="false" customHeight="false" outlineLevel="0" collapsed="false">
      <c r="A54" s="3" t="s">
        <v>745</v>
      </c>
      <c r="B54" s="34" t="n">
        <f aca="false">px/PL!D15</f>
        <v>70.9840918124806</v>
      </c>
      <c r="C54" s="34" t="n">
        <f aca="false">px/PL!D29</f>
        <v>70.9840918124806</v>
      </c>
      <c r="D54" s="34" t="n">
        <f aca="false">px/PL!D43</f>
        <v>70.9840918124806</v>
      </c>
      <c r="E54" s="7" t="s">
        <v>746</v>
      </c>
    </row>
    <row r="55" customFormat="false" ht="17.15" hidden="false" customHeight="false" outlineLevel="0" collapsed="false">
      <c r="A55" s="3" t="s">
        <v>747</v>
      </c>
      <c r="B55" s="34" t="n">
        <f aca="false">px/PL!E15</f>
        <v>38.2822777691802</v>
      </c>
      <c r="C55" s="34" t="n">
        <f aca="false">px/PL!E29</f>
        <v>38.799510453121</v>
      </c>
      <c r="D55" s="34" t="n">
        <f aca="false">px/PL!E43</f>
        <v>39.8770703758915</v>
      </c>
      <c r="E55" s="7" t="s">
        <v>748</v>
      </c>
    </row>
    <row r="56" customFormat="false" ht="17.15" hidden="false" customHeight="false" outlineLevel="0" collapsed="false">
      <c r="A56" s="3" t="s">
        <v>749</v>
      </c>
      <c r="B56" s="34" t="n">
        <f aca="false">px/PL!F15</f>
        <v>35.2392496307431</v>
      </c>
      <c r="C56" s="34" t="n">
        <f aca="false">px/PL!F29</f>
        <v>41.4193091056535</v>
      </c>
      <c r="D56" s="34" t="n">
        <f aca="false">px/PL!F43</f>
        <v>54.3534443983197</v>
      </c>
    </row>
    <row r="57" customFormat="false" ht="17.15" hidden="false" customHeight="false" outlineLevel="0" collapsed="false">
      <c r="A57" s="3" t="s">
        <v>750</v>
      </c>
      <c r="B57" s="34" t="n">
        <f aca="false">px/PL!G15</f>
        <v>33.439273975496</v>
      </c>
      <c r="C57" s="34" t="n">
        <f aca="false">px/PL!G29</f>
        <v>39.5893944345915</v>
      </c>
      <c r="D57" s="34" t="n">
        <f aca="false">px/PL!G43</f>
        <v>55.9985719572781</v>
      </c>
    </row>
    <row r="58" customFormat="false" ht="17.15" hidden="false" customHeight="false" outlineLevel="0" collapsed="false">
      <c r="A58" s="3" t="s">
        <v>751</v>
      </c>
      <c r="B58" s="18" t="n">
        <f aca="false">0.2*PL!D29+0.8*PL!E29</f>
        <v>29.6469821863956</v>
      </c>
    </row>
    <row r="59" customFormat="false" ht="17.15" hidden="false" customHeight="false" outlineLevel="0" collapsed="false">
      <c r="A59" s="3" t="s">
        <v>752</v>
      </c>
      <c r="B59" s="34" t="n">
        <f aca="false">px/B58</f>
        <v>42.6687610916595</v>
      </c>
    </row>
    <row r="60" customFormat="false" ht="17.15" hidden="false" customHeight="false" outlineLevel="0" collapsed="false">
      <c r="A60" s="3" t="s">
        <v>436</v>
      </c>
      <c r="B60" s="34" t="n">
        <f aca="false">pe_ttm</f>
        <v>148.7</v>
      </c>
    </row>
    <row r="61" customFormat="false" ht="17.15" hidden="false" customHeight="false" outlineLevel="0" collapsed="false">
      <c r="A61" s="3" t="s">
        <v>753</v>
      </c>
      <c r="B61" s="34" t="n">
        <f aca="false">fpe</f>
        <v>33.73</v>
      </c>
    </row>
    <row r="63" customFormat="false" ht="17.15" hidden="false" customHeight="false" outlineLevel="0" collapsed="false">
      <c r="A63" s="5" t="s">
        <v>754</v>
      </c>
    </row>
    <row r="64" customFormat="false" ht="17.15" hidden="false" customHeight="false" outlineLevel="0" collapsed="false">
      <c r="A64" s="4" t="s">
        <v>755</v>
      </c>
      <c r="B64" s="4" t="s">
        <v>756</v>
      </c>
      <c r="C64" s="13" t="s">
        <v>757</v>
      </c>
      <c r="D64" s="4" t="s">
        <v>758</v>
      </c>
      <c r="E64" s="4" t="s">
        <v>759</v>
      </c>
      <c r="F64" s="4" t="s">
        <v>553</v>
      </c>
    </row>
    <row r="65" customFormat="false" ht="17.15" hidden="false" customHeight="false" outlineLevel="0" collapsed="false">
      <c r="A65" s="0" t="s">
        <v>741</v>
      </c>
      <c r="B65" s="0" t="n">
        <f aca="false">INDEX({2026,2027,2028,2029},MATCH(MAX(PL!D86:G86),PL!D86:G86,0))</f>
        <v>2029</v>
      </c>
      <c r="C65" s="0" t="str">
        <f aca="false">IF(B65=2029,"中段",IF(2027&lt;B65,"中段",IF(2027=B65,"見頂","谷底")))</f>
        <v>中段</v>
      </c>
      <c r="D65" s="34" t="n">
        <f aca="false">IF(C65="見頂",pe_peak,IF(C65="谷底",pe_trough,pe_mid))</f>
        <v>34.93</v>
      </c>
      <c r="E65" s="0" t="str">
        <f aca="false">IF(B65=2029,"是：營收到觀測期末仍在增加","否")</f>
        <v>是：營收到觀測期末仍在增加</v>
      </c>
      <c r="F65" s="7" t="s">
        <v>760</v>
      </c>
    </row>
    <row r="66" customFormat="false" ht="15" hidden="false" customHeight="false" outlineLevel="0" collapsed="false">
      <c r="A66" s="0" t="s">
        <v>742</v>
      </c>
      <c r="B66" s="0" t="n">
        <f aca="false">INDEX({2026,2027,2028,2029},MATCH(MAX(PL!D140:G140),PL!D140:G140,0))</f>
        <v>2029</v>
      </c>
      <c r="C66" s="0" t="str">
        <f aca="false">IF(B66=2029,"中段",IF(2027&lt;B66,"中段",IF(2027=B66,"見頂","谷底")))</f>
        <v>中段</v>
      </c>
      <c r="D66" s="34" t="n">
        <f aca="false">IF(C66="見頂",pe_peak,IF(C66="谷底",pe_trough,pe_mid))</f>
        <v>34.93</v>
      </c>
      <c r="E66" s="0" t="str">
        <f aca="false">IF(B66=2029,"是：營收到觀測期末仍在增加","否")</f>
        <v>是：營收到觀測期末仍在增加</v>
      </c>
      <c r="F66" s="3" t="s">
        <v>46</v>
      </c>
    </row>
    <row r="67" customFormat="false" ht="15" hidden="false" customHeight="false" outlineLevel="0" collapsed="false">
      <c r="A67" s="0" t="s">
        <v>743</v>
      </c>
      <c r="B67" s="0" t="n">
        <f aca="false">INDEX({2026,2027,2028,2029},MATCH(MAX(PL!D194:G194),PL!D194:G194,0))</f>
        <v>2027</v>
      </c>
      <c r="C67" s="0" t="str">
        <f aca="false">IF(B67=2029,"中段",IF(2027&lt;B67,"中段",IF(2027=B67,"見頂","谷底")))</f>
        <v>見頂</v>
      </c>
      <c r="D67" s="34" t="n">
        <f aca="false">IF(C67="見頂",pe_peak,IF(C67="谷底",pe_trough,pe_mid))</f>
        <v>28.98</v>
      </c>
      <c r="E67" s="0" t="str">
        <f aca="false">IF(B67=2029,"是：營收到觀測期末仍在增加","否")</f>
        <v>否</v>
      </c>
      <c r="F67" s="3" t="s">
        <v>46</v>
      </c>
    </row>
    <row r="69" customFormat="false" ht="17.15" hidden="false" customHeight="false" outlineLevel="0" collapsed="false">
      <c r="A69" s="5" t="s">
        <v>761</v>
      </c>
    </row>
    <row r="70" customFormat="false" ht="17.15" hidden="false" customHeight="false" outlineLevel="0" collapsed="false">
      <c r="A70" s="4" t="s">
        <v>755</v>
      </c>
      <c r="B70" s="13" t="s">
        <v>762</v>
      </c>
      <c r="C70" s="4" t="s">
        <v>763</v>
      </c>
      <c r="D70" s="4" t="s">
        <v>764</v>
      </c>
      <c r="E70" s="4" t="s">
        <v>765</v>
      </c>
      <c r="F70" s="4" t="s">
        <v>766</v>
      </c>
      <c r="G70" s="4" t="s">
        <v>767</v>
      </c>
    </row>
    <row r="71" customFormat="false" ht="15" hidden="false" customHeight="false" outlineLevel="0" collapsed="false">
      <c r="A71" s="8" t="s">
        <v>741</v>
      </c>
      <c r="B71" s="32" t="n">
        <f aca="false">PL!E15</f>
        <v>33.0440107986054</v>
      </c>
      <c r="C71" s="32" t="n">
        <f aca="false">B71</f>
        <v>33.0440107986054</v>
      </c>
      <c r="D71" s="37" t="n">
        <f aca="false">D65</f>
        <v>34.93</v>
      </c>
      <c r="E71" s="38" t="n">
        <f aca="false">C71*D71</f>
        <v>1154.22729719529</v>
      </c>
      <c r="F71" s="39" t="n">
        <f aca="false">E71/px-1</f>
        <v>-0.0875673539958217</v>
      </c>
      <c r="G71" s="37" t="n">
        <f aca="false">px/C71</f>
        <v>38.2822777691802</v>
      </c>
    </row>
    <row r="72" customFormat="false" ht="15" hidden="false" customHeight="false" outlineLevel="0" collapsed="false">
      <c r="A72" s="8" t="s">
        <v>742</v>
      </c>
      <c r="B72" s="32" t="n">
        <f aca="false">PL!E29</f>
        <v>32.6035041480335</v>
      </c>
      <c r="C72" s="32" t="n">
        <f aca="false">B72</f>
        <v>32.6035041480335</v>
      </c>
      <c r="D72" s="37" t="n">
        <f aca="false">D66</f>
        <v>34.93</v>
      </c>
      <c r="E72" s="38" t="n">
        <f aca="false">C72*D72</f>
        <v>1138.84039989081</v>
      </c>
      <c r="F72" s="39" t="n">
        <f aca="false">E72/px-1</f>
        <v>-0.0997309091772243</v>
      </c>
      <c r="G72" s="37" t="n">
        <f aca="false">px/C72</f>
        <v>38.799510453121</v>
      </c>
    </row>
    <row r="73" customFormat="false" ht="15" hidden="false" customHeight="false" outlineLevel="0" collapsed="false">
      <c r="A73" s="8" t="s">
        <v>743</v>
      </c>
      <c r="B73" s="32" t="n">
        <f aca="false">PL!E43</f>
        <v>31.7224908468899</v>
      </c>
      <c r="C73" s="32" t="n">
        <f aca="false">B73</f>
        <v>31.7224908468899</v>
      </c>
      <c r="D73" s="37" t="n">
        <f aca="false">D67</f>
        <v>28.98</v>
      </c>
      <c r="E73" s="38" t="n">
        <f aca="false">C73*D73</f>
        <v>919.317784742869</v>
      </c>
      <c r="F73" s="39" t="n">
        <f aca="false">E73/px-1</f>
        <v>-0.273266573325796</v>
      </c>
      <c r="G73" s="37" t="n">
        <f aca="false">px/C73</f>
        <v>39.8770703758915</v>
      </c>
    </row>
    <row r="75" customFormat="false" ht="17.15" hidden="false" customHeight="false" outlineLevel="0" collapsed="false">
      <c r="A75" s="5" t="s">
        <v>768</v>
      </c>
    </row>
    <row r="76" customFormat="false" ht="17.15" hidden="false" customHeight="false" outlineLevel="0" collapsed="false">
      <c r="A76" s="13" t="s">
        <v>769</v>
      </c>
      <c r="B76" s="4" t="s">
        <v>770</v>
      </c>
      <c r="C76" s="4" t="s">
        <v>771</v>
      </c>
      <c r="D76" s="4" t="s">
        <v>772</v>
      </c>
      <c r="E76" s="4" t="s">
        <v>773</v>
      </c>
    </row>
    <row r="77" customFormat="false" ht="15" hidden="false" customHeight="false" outlineLevel="0" collapsed="false">
      <c r="A77" s="17" t="n">
        <v>0.75</v>
      </c>
      <c r="B77" s="34" t="n">
        <f aca="false">px*A77/PL!F15</f>
        <v>26.4294372230573</v>
      </c>
      <c r="C77" s="34" t="n">
        <f aca="false">px*A77/PL!F29</f>
        <v>31.0644818292401</v>
      </c>
      <c r="D77" s="34" t="n">
        <f aca="false">px*A77/PL!F43</f>
        <v>40.7650832987398</v>
      </c>
      <c r="E77" s="34" t="n">
        <f aca="false">pe_mid</f>
        <v>34.93</v>
      </c>
    </row>
    <row r="78" customFormat="false" ht="15" hidden="false" customHeight="false" outlineLevel="0" collapsed="false">
      <c r="A78" s="17" t="n">
        <v>1</v>
      </c>
      <c r="B78" s="34" t="n">
        <f aca="false">px*A78/PL!F15</f>
        <v>35.2392496307431</v>
      </c>
      <c r="C78" s="34" t="n">
        <f aca="false">px*A78/PL!F29</f>
        <v>41.4193091056535</v>
      </c>
      <c r="D78" s="34" t="n">
        <f aca="false">px*A78/PL!F43</f>
        <v>54.3534443983197</v>
      </c>
      <c r="E78" s="34" t="n">
        <f aca="false">pe_mid</f>
        <v>34.93</v>
      </c>
    </row>
    <row r="79" customFormat="false" ht="15" hidden="false" customHeight="false" outlineLevel="0" collapsed="false">
      <c r="A79" s="17" t="n">
        <v>1.1</v>
      </c>
      <c r="B79" s="34" t="n">
        <f aca="false">px*A79/PL!F15</f>
        <v>38.7631745938174</v>
      </c>
      <c r="C79" s="34" t="n">
        <f aca="false">px*A79/PL!F29</f>
        <v>45.5612400162189</v>
      </c>
      <c r="D79" s="34" t="n">
        <f aca="false">px*A79/PL!F43</f>
        <v>59.7887888381517</v>
      </c>
      <c r="E79" s="34" t="n">
        <f aca="false">pe_mid</f>
        <v>34.93</v>
      </c>
    </row>
    <row r="80" customFormat="false" ht="15" hidden="false" customHeight="false" outlineLevel="0" collapsed="false">
      <c r="A80" s="17" t="n">
        <v>1.21</v>
      </c>
      <c r="B80" s="34" t="n">
        <f aca="false">px*A80/PL!F15</f>
        <v>42.6394920531992</v>
      </c>
      <c r="C80" s="34" t="n">
        <f aca="false">px*A80/PL!F29</f>
        <v>50.1173640178408</v>
      </c>
      <c r="D80" s="34" t="n">
        <f aca="false">px*A80/PL!F43</f>
        <v>65.7676677219669</v>
      </c>
      <c r="E80" s="34" t="n">
        <f aca="false">pe_mid</f>
        <v>34.93</v>
      </c>
    </row>
    <row r="81" customFormat="false" ht="15" hidden="false" customHeight="false" outlineLevel="0" collapsed="false">
      <c r="A81" s="17" t="n">
        <v>1.5</v>
      </c>
      <c r="B81" s="34" t="n">
        <f aca="false">px*A81/PL!F15</f>
        <v>52.8588744461147</v>
      </c>
      <c r="C81" s="34" t="n">
        <f aca="false">px*A81/PL!F29</f>
        <v>62.1289636584803</v>
      </c>
      <c r="D81" s="34" t="n">
        <f aca="false">px*A81/PL!F43</f>
        <v>81.5301665974796</v>
      </c>
      <c r="E81" s="34" t="n">
        <f aca="false">pe_mid</f>
        <v>34.93</v>
      </c>
    </row>
    <row r="82" customFormat="false" ht="17.15" hidden="false" customHeight="false" outlineLevel="0" collapsed="false">
      <c r="A82" s="3" t="s">
        <v>774</v>
      </c>
    </row>
    <row r="84" customFormat="false" ht="17.15" hidden="false" customHeight="false" outlineLevel="0" collapsed="false">
      <c r="A84" s="5" t="s">
        <v>775</v>
      </c>
    </row>
    <row r="85" customFormat="false" ht="17.15" hidden="false" customHeight="false" outlineLevel="0" collapsed="false">
      <c r="A85" s="4" t="s">
        <v>776</v>
      </c>
      <c r="B85" s="4" t="s">
        <v>777</v>
      </c>
      <c r="C85" s="13" t="s">
        <v>778</v>
      </c>
      <c r="D85" s="4" t="s">
        <v>779</v>
      </c>
    </row>
    <row r="86" customFormat="false" ht="17.15" hidden="false" customHeight="false" outlineLevel="0" collapsed="false">
      <c r="A86" s="0" t="s">
        <v>780</v>
      </c>
      <c r="E86" s="3" t="s">
        <v>781</v>
      </c>
    </row>
    <row r="87" customFormat="false" ht="17.15" hidden="false" customHeight="false" outlineLevel="0" collapsed="false">
      <c r="A87" s="0" t="s">
        <v>782</v>
      </c>
      <c r="E87" s="3" t="s">
        <v>781</v>
      </c>
    </row>
    <row r="88" customFormat="false" ht="17.15" hidden="false" customHeight="false" outlineLevel="0" collapsed="false">
      <c r="A88" s="0" t="s">
        <v>783</v>
      </c>
      <c r="E88" s="3" t="s">
        <v>781</v>
      </c>
    </row>
    <row r="89" customFormat="false" ht="15" hidden="false" customHeight="false" outlineLevel="0" collapsed="false">
      <c r="A89" s="0" t="s">
        <v>784</v>
      </c>
      <c r="B89" s="18" t="n">
        <f aca="false">AVERAGE(C89:D89)</f>
        <v>95.7291666666667</v>
      </c>
      <c r="C89" s="18" t="str">
        <f aca="false">IF(ISNUMBER(B108),B108,"")</f>
        <v/>
      </c>
      <c r="D89" s="18" t="n">
        <f aca="false">IF(ISNUMBER(C108),C108,"")</f>
        <v>95.7291666666667</v>
      </c>
    </row>
    <row r="90" customFormat="false" ht="15" hidden="false" customHeight="false" outlineLevel="0" collapsed="false">
      <c r="A90" s="0" t="s">
        <v>785</v>
      </c>
      <c r="B90" s="18" t="n">
        <f aca="false">AVERAGE(C90:D90)</f>
        <v>32.0987654320988</v>
      </c>
      <c r="C90" s="18" t="str">
        <f aca="false">IF(ISNUMBER(B109),B109,"")</f>
        <v/>
      </c>
      <c r="D90" s="18" t="n">
        <f aca="false">IF(ISNUMBER(C109),C109,"")</f>
        <v>32.0987654320988</v>
      </c>
    </row>
    <row r="91" customFormat="false" ht="15" hidden="false" customHeight="false" outlineLevel="0" collapsed="false">
      <c r="A91" s="0" t="s">
        <v>786</v>
      </c>
      <c r="B91" s="18" t="n">
        <f aca="false">AVERAGE(C91:D91)</f>
        <v>34.9253174603175</v>
      </c>
      <c r="C91" s="18" t="n">
        <f aca="false">IF(ISNUMBER(B110),B110,"")</f>
        <v>34.93</v>
      </c>
      <c r="D91" s="18" t="n">
        <f aca="false">IF(ISNUMBER(C110),C110,"")</f>
        <v>34.9206349206349</v>
      </c>
    </row>
    <row r="92" customFormat="false" ht="15" hidden="false" customHeight="false" outlineLevel="0" collapsed="false">
      <c r="A92" s="0" t="s">
        <v>787</v>
      </c>
      <c r="B92" s="18" t="n">
        <f aca="false">AVERAGE(C92:D92)</f>
        <v>7.55703826955075</v>
      </c>
      <c r="C92" s="18" t="n">
        <f aca="false">IF(ISNUMBER(B111),B111,"")</f>
        <v>7.56</v>
      </c>
      <c r="D92" s="18" t="n">
        <f aca="false">IF(ISNUMBER(C111),C111,"")</f>
        <v>7.5540765391015</v>
      </c>
    </row>
    <row r="93" customFormat="false" ht="15" hidden="false" customHeight="false" outlineLevel="0" collapsed="false">
      <c r="A93" s="0" t="s">
        <v>788</v>
      </c>
      <c r="B93" s="18" t="n">
        <f aca="false">AVERAGE(C93:D93)</f>
        <v>27.9422222222222</v>
      </c>
      <c r="C93" s="18" t="n">
        <f aca="false">IF(ISNUMBER(B112),B112,"")</f>
        <v>27.94</v>
      </c>
      <c r="D93" s="18" t="n">
        <f aca="false">IF(ISNUMBER(C112),C112,"")</f>
        <v>27.9444444444444</v>
      </c>
    </row>
    <row r="94" customFormat="false" ht="15" hidden="false" customHeight="false" outlineLevel="0" collapsed="false">
      <c r="A94" s="0" t="s">
        <v>789</v>
      </c>
      <c r="B94" s="18" t="n">
        <f aca="false">AVERAGE(C94:D94)</f>
        <v>410.86125</v>
      </c>
      <c r="C94" s="18" t="n">
        <f aca="false">IF(ISNUMBER(B113),B113,"")</f>
        <v>413.91</v>
      </c>
      <c r="D94" s="18" t="n">
        <f aca="false">IF(ISNUMBER(C113),C113,"")</f>
        <v>407.8125</v>
      </c>
    </row>
    <row r="95" customFormat="false" ht="15" hidden="false" customHeight="false" outlineLevel="0" collapsed="false">
      <c r="A95" s="0" t="s">
        <v>790</v>
      </c>
      <c r="B95" s="18" t="n">
        <f aca="false">AVERAGE(C95:D95)</f>
        <v>80.0282225913621</v>
      </c>
      <c r="C95" s="18" t="n">
        <f aca="false">IF(ISNUMBER(B114),B114,"")</f>
        <v>79.99</v>
      </c>
      <c r="D95" s="18" t="n">
        <f aca="false">IF(ISNUMBER(C114),C114,"")</f>
        <v>80.0664451827243</v>
      </c>
    </row>
    <row r="96" customFormat="false" ht="15" hidden="false" customHeight="false" outlineLevel="0" collapsed="false">
      <c r="A96" s="3" t="s">
        <v>791</v>
      </c>
      <c r="B96" s="0" t="n">
        <f aca="false">COUNT($B$86:$B$95)</f>
        <v>7</v>
      </c>
    </row>
    <row r="100" customFormat="false" ht="17.15" hidden="false" customHeight="false" outlineLevel="0" collapsed="false">
      <c r="A100" s="5" t="s">
        <v>792</v>
      </c>
    </row>
    <row r="101" customFormat="false" ht="17.15" hidden="false" customHeight="false" outlineLevel="0" collapsed="false">
      <c r="A101" s="3" t="s">
        <v>793</v>
      </c>
    </row>
    <row r="103" customFormat="false" ht="17.15" hidden="false" customHeight="false" outlineLevel="0" collapsed="false">
      <c r="A103" s="5" t="s">
        <v>794</v>
      </c>
    </row>
    <row r="104" customFormat="false" ht="17.15" hidden="false" customHeight="false" outlineLevel="0" collapsed="false">
      <c r="A104" s="4" t="s">
        <v>776</v>
      </c>
      <c r="B104" s="13" t="s">
        <v>795</v>
      </c>
      <c r="C104" s="4" t="s">
        <v>796</v>
      </c>
      <c r="D104" s="4" t="s">
        <v>797</v>
      </c>
    </row>
    <row r="105" customFormat="false" ht="17.15" hidden="false" customHeight="false" outlineLevel="0" collapsed="false">
      <c r="A105" s="0" t="s">
        <v>780</v>
      </c>
      <c r="D105" s="0" t="s">
        <v>798</v>
      </c>
    </row>
    <row r="106" customFormat="false" ht="15" hidden="false" customHeight="false" outlineLevel="0" collapsed="false">
      <c r="A106" s="0" t="s">
        <v>782</v>
      </c>
    </row>
    <row r="107" customFormat="false" ht="15" hidden="false" customHeight="false" outlineLevel="0" collapsed="false">
      <c r="A107" s="0" t="s">
        <v>783</v>
      </c>
    </row>
    <row r="108" customFormat="false" ht="15" hidden="false" customHeight="false" outlineLevel="0" collapsed="false">
      <c r="A108" s="0" t="s">
        <v>784</v>
      </c>
      <c r="C108" s="18" t="n">
        <f aca="false">45.95/0.48</f>
        <v>95.7291666666667</v>
      </c>
    </row>
    <row r="109" customFormat="false" ht="15" hidden="false" customHeight="false" outlineLevel="0" collapsed="false">
      <c r="A109" s="0" t="s">
        <v>785</v>
      </c>
      <c r="C109" s="18" t="n">
        <f aca="false">182/5.67</f>
        <v>32.0987654320988</v>
      </c>
    </row>
    <row r="110" customFormat="false" ht="15" hidden="false" customHeight="false" outlineLevel="0" collapsed="false">
      <c r="A110" s="0" t="s">
        <v>786</v>
      </c>
      <c r="B110" s="17" t="n">
        <v>34.93</v>
      </c>
      <c r="C110" s="18" t="n">
        <f aca="false">572/16.38</f>
        <v>34.9206349206349</v>
      </c>
    </row>
    <row r="111" customFormat="false" ht="15" hidden="false" customHeight="false" outlineLevel="0" collapsed="false">
      <c r="A111" s="0" t="s">
        <v>787</v>
      </c>
      <c r="B111" s="17" t="n">
        <v>7.56</v>
      </c>
      <c r="C111" s="18" t="n">
        <f aca="false">227/30.05</f>
        <v>7.5540765391015</v>
      </c>
    </row>
    <row r="112" customFormat="false" ht="15" hidden="false" customHeight="false" outlineLevel="0" collapsed="false">
      <c r="A112" s="0" t="s">
        <v>788</v>
      </c>
      <c r="B112" s="17" t="n">
        <v>27.94</v>
      </c>
      <c r="C112" s="18" t="n">
        <f aca="false">251.5/9</f>
        <v>27.9444444444444</v>
      </c>
    </row>
    <row r="113" customFormat="false" ht="15" hidden="false" customHeight="false" outlineLevel="0" collapsed="false">
      <c r="A113" s="0" t="s">
        <v>789</v>
      </c>
      <c r="B113" s="17" t="n">
        <v>413.91</v>
      </c>
      <c r="C113" s="18" t="n">
        <f aca="false">130.5/0.32</f>
        <v>407.8125</v>
      </c>
    </row>
    <row r="114" customFormat="false" ht="15" hidden="false" customHeight="false" outlineLevel="0" collapsed="false">
      <c r="A114" s="0" t="s">
        <v>790</v>
      </c>
      <c r="B114" s="17" t="n">
        <v>79.99</v>
      </c>
      <c r="C114" s="18" t="n">
        <f aca="false">241/3.01</f>
        <v>80.0664451827243</v>
      </c>
    </row>
    <row r="115" customFormat="false" ht="17.15" hidden="false" customHeight="false" outlineLevel="0" collapsed="false">
      <c r="A115" s="0" t="s">
        <v>799</v>
      </c>
      <c r="B115" s="18" t="n">
        <f aca="false">PERCENTILE(B105:B114,0.25)</f>
        <v>27.94</v>
      </c>
      <c r="C115" s="18" t="n">
        <f aca="false">PERCENTILE(C105:C114,0.25)</f>
        <v>30.0216049382716</v>
      </c>
    </row>
    <row r="116" customFormat="false" ht="15" hidden="false" customHeight="false" outlineLevel="0" collapsed="false">
      <c r="A116" s="3" t="s">
        <v>800</v>
      </c>
      <c r="B116" s="18" t="n">
        <f aca="false">MEDIAN(B105:B114)</f>
        <v>34.93</v>
      </c>
      <c r="C116" s="18" t="n">
        <f aca="false">MEDIAN(C105:C114)</f>
        <v>34.9206349206349</v>
      </c>
    </row>
    <row r="117" customFormat="false" ht="17.15" hidden="false" customHeight="false" outlineLevel="0" collapsed="false">
      <c r="A117" s="0" t="s">
        <v>801</v>
      </c>
      <c r="B117" s="18" t="n">
        <f aca="false">PERCENTILE(B105:B114,0.75)</f>
        <v>79.99</v>
      </c>
      <c r="C117" s="18" t="n">
        <f aca="false">PERCENTILE(C105:C114,0.75)</f>
        <v>87.8978059246955</v>
      </c>
    </row>
    <row r="118" customFormat="false" ht="15" hidden="false" customHeight="false" outlineLevel="0" collapsed="false">
      <c r="A118" s="3" t="s">
        <v>802</v>
      </c>
      <c r="B118" s="18" t="n">
        <f aca="false">MIN(B105:B114)</f>
        <v>7.56</v>
      </c>
      <c r="C118" s="18" t="n">
        <f aca="false">MIN(C105:C114)</f>
        <v>7.5540765391015</v>
      </c>
    </row>
    <row r="119" customFormat="false" ht="15" hidden="false" customHeight="false" outlineLevel="0" collapsed="false">
      <c r="A119" s="3" t="s">
        <v>803</v>
      </c>
      <c r="B119" s="18" t="n">
        <f aca="false">MAX(B105:B114)</f>
        <v>413.91</v>
      </c>
      <c r="C119" s="18" t="n">
        <f aca="false">MAX(C105:C114)</f>
        <v>407.8125</v>
      </c>
    </row>
    <row r="120" customFormat="false" ht="17.15" hidden="false" customHeight="false" outlineLevel="0" collapsed="false">
      <c r="A120" s="1" t="s">
        <v>804</v>
      </c>
      <c r="B120" s="18" t="n">
        <f aca="false">ROUND(AVERAGE(B115,C115),2)</f>
        <v>28.98</v>
      </c>
    </row>
    <row r="121" customFormat="false" ht="17.15" hidden="false" customHeight="false" outlineLevel="0" collapsed="false">
      <c r="A121" s="1" t="s">
        <v>805</v>
      </c>
      <c r="B121" s="18" t="n">
        <f aca="false">ROUND(AVERAGE(B116,C116),2)</f>
        <v>34.93</v>
      </c>
    </row>
    <row r="122" customFormat="false" ht="17.15" hidden="false" customHeight="false" outlineLevel="0" collapsed="false">
      <c r="A122" s="1" t="s">
        <v>806</v>
      </c>
      <c r="B122" s="18" t="n">
        <f aca="false">ROUND(AVERAGE(B117,C117),2)</f>
        <v>83.94</v>
      </c>
    </row>
    <row r="123" customFormat="false" ht="17.15" hidden="false" customHeight="false" outlineLevel="0" collapsed="false">
      <c r="A123" s="1" t="s">
        <v>807</v>
      </c>
      <c r="B123" s="18" t="n">
        <f aca="false">ROUND(MIN(B118,C118),2)</f>
        <v>7.55</v>
      </c>
    </row>
    <row r="124" customFormat="false" ht="17.15" hidden="false" customHeight="false" outlineLevel="0" collapsed="false">
      <c r="A124" s="1" t="s">
        <v>808</v>
      </c>
      <c r="B124" s="18" t="n">
        <f aca="false">ROUND(MAX(B119,C119),2)</f>
        <v>413.91</v>
      </c>
    </row>
    <row r="126" customFormat="false" ht="17.15" hidden="false" customHeight="false" outlineLevel="0" collapsed="false">
      <c r="A126" s="5" t="s">
        <v>809</v>
      </c>
    </row>
    <row r="127" customFormat="false" ht="17.15" hidden="false" customHeight="false" outlineLevel="0" collapsed="false">
      <c r="A127" s="4" t="s">
        <v>810</v>
      </c>
      <c r="B127" s="4" t="s">
        <v>811</v>
      </c>
      <c r="C127" s="4" t="s">
        <v>812</v>
      </c>
      <c r="D127" s="4" t="s">
        <v>24</v>
      </c>
      <c r="E127" s="4" t="s">
        <v>813</v>
      </c>
      <c r="F127" s="4" t="s">
        <v>765</v>
      </c>
      <c r="G127" s="4" t="s">
        <v>814</v>
      </c>
      <c r="H127" s="4" t="s">
        <v>815</v>
      </c>
    </row>
    <row r="128" customFormat="false" ht="17.15" hidden="false" customHeight="false" outlineLevel="0" collapsed="false">
      <c r="A128" s="3" t="s">
        <v>816</v>
      </c>
      <c r="B128" s="0" t="s">
        <v>817</v>
      </c>
      <c r="C128" s="18" t="n">
        <f aca="false">B120</f>
        <v>28.98</v>
      </c>
      <c r="D128" s="7" t="s">
        <v>818</v>
      </c>
      <c r="E128" s="18" t="n">
        <f aca="false">C72</f>
        <v>32.6035041480335</v>
      </c>
      <c r="F128" s="23" t="n">
        <f aca="false">C128*E128</f>
        <v>944.849550210012</v>
      </c>
      <c r="G128" s="20" t="n">
        <f aca="false">F128/px-1</f>
        <v>-0.253083359517777</v>
      </c>
      <c r="H128" s="18" t="n">
        <f aca="false">px/E128</f>
        <v>38.799510453121</v>
      </c>
    </row>
    <row r="129" customFormat="false" ht="17.15" hidden="false" customHeight="false" outlineLevel="0" collapsed="false">
      <c r="A129" s="3" t="s">
        <v>819</v>
      </c>
      <c r="B129" s="3" t="s">
        <v>820</v>
      </c>
      <c r="C129" s="18" t="n">
        <f aca="false">B121</f>
        <v>34.93</v>
      </c>
      <c r="D129" s="7" t="s">
        <v>818</v>
      </c>
      <c r="E129" s="18" t="n">
        <f aca="false">C72</f>
        <v>32.6035041480335</v>
      </c>
      <c r="F129" s="23" t="n">
        <f aca="false">C129*E129</f>
        <v>1138.84039989081</v>
      </c>
      <c r="G129" s="20" t="n">
        <f aca="false">F129/px-1</f>
        <v>-0.0997309091772243</v>
      </c>
      <c r="H129" s="18" t="n">
        <f aca="false">px/E129</f>
        <v>38.799510453121</v>
      </c>
    </row>
    <row r="130" customFormat="false" ht="17.15" hidden="false" customHeight="false" outlineLevel="0" collapsed="false">
      <c r="A130" s="3" t="s">
        <v>821</v>
      </c>
      <c r="B130" s="0" t="s">
        <v>822</v>
      </c>
      <c r="C130" s="18" t="n">
        <f aca="false">B122</f>
        <v>83.94</v>
      </c>
      <c r="D130" s="7" t="s">
        <v>818</v>
      </c>
      <c r="E130" s="18" t="n">
        <f aca="false">C72</f>
        <v>32.6035041480335</v>
      </c>
      <c r="F130" s="23" t="n">
        <f aca="false">C130*E130</f>
        <v>2736.73813818594</v>
      </c>
      <c r="G130" s="20" t="n">
        <f aca="false">F130/px-1</f>
        <v>1.16342935824975</v>
      </c>
      <c r="H130" s="18" t="n">
        <f aca="false">px/E130</f>
        <v>38.799510453121</v>
      </c>
    </row>
    <row r="133" customFormat="false" ht="17.15" hidden="false" customHeight="false" outlineLevel="0" collapsed="false">
      <c r="A133" s="3" t="s">
        <v>823</v>
      </c>
      <c r="B133" s="35" t="str">
        <f aca="false">IF(B42&gt;0.5,"大於 50%",IF(B42&gt;0.25,"25%–50%",IF(B42&gt;=0,"0%–25%",IF(B42&gt;=-0.25,"0%～−25%",IF(B42&gt;=-0.5,"−25%～−50%","小於 −50%")))))</f>
        <v>0%–25%</v>
      </c>
      <c r="E133" s="3" t="s">
        <v>824</v>
      </c>
    </row>
    <row r="134" customFormat="false" ht="17.15" hidden="false" customHeight="false" outlineLevel="0" collapsed="false">
      <c r="A134" s="3" t="s">
        <v>825</v>
      </c>
      <c r="B134" s="35" t="str">
        <f aca="false">IF(B42&gt;0.5,"強力買進",IF(B42&gt;0.25,"買進",IF(B42&gt;=-0.25,"中立",IF(B42&gt;=-0.5,"放空","強力放空"))))</f>
        <v>中立</v>
      </c>
      <c r="E134" s="3" t="s">
        <v>826</v>
      </c>
    </row>
    <row r="137" customFormat="false" ht="17.15" hidden="false" customHeight="false" outlineLevel="0" collapsed="false">
      <c r="A137" s="5" t="s">
        <v>827</v>
      </c>
    </row>
    <row r="138" customFormat="false" ht="17.15" hidden="false" customHeight="false" outlineLevel="0" collapsed="false">
      <c r="A138" s="3" t="s">
        <v>828</v>
      </c>
    </row>
    <row r="139" customFormat="false" ht="17.15" hidden="false" customHeight="false" outlineLevel="0" collapsed="false">
      <c r="A139" s="4" t="s">
        <v>829</v>
      </c>
      <c r="B139" s="4" t="s">
        <v>696</v>
      </c>
      <c r="C139" s="4" t="s">
        <v>830</v>
      </c>
      <c r="D139" s="13" t="s">
        <v>831</v>
      </c>
      <c r="E139" s="13" t="s">
        <v>832</v>
      </c>
      <c r="F139" s="13" t="s">
        <v>833</v>
      </c>
      <c r="G139" s="13" t="s">
        <v>834</v>
      </c>
      <c r="H139" s="13" t="s">
        <v>835</v>
      </c>
      <c r="I139" s="13" t="s">
        <v>836</v>
      </c>
      <c r="J139" s="13" t="s">
        <v>837</v>
      </c>
      <c r="K139" s="13" t="s">
        <v>838</v>
      </c>
      <c r="L139" s="13" t="s">
        <v>839</v>
      </c>
      <c r="M139" s="13" t="s">
        <v>840</v>
      </c>
      <c r="N139" s="4" t="s">
        <v>841</v>
      </c>
      <c r="O139" s="13" t="s">
        <v>842</v>
      </c>
      <c r="P139" s="4" t="s">
        <v>843</v>
      </c>
      <c r="Q139" s="4" t="s">
        <v>699</v>
      </c>
    </row>
    <row r="140" customFormat="false" ht="17.15" hidden="false" customHeight="false" outlineLevel="0" collapsed="false">
      <c r="A140" s="3" t="s">
        <v>844</v>
      </c>
      <c r="B140" s="0" t="s">
        <v>845</v>
      </c>
      <c r="C140" s="3" t="s">
        <v>846</v>
      </c>
      <c r="D140" s="17" t="n">
        <v>33.246</v>
      </c>
      <c r="E140" s="17" t="n">
        <v>32.75</v>
      </c>
      <c r="F140" s="17" t="n">
        <v>48.109</v>
      </c>
      <c r="G140" s="17" t="n">
        <v>26.1905</v>
      </c>
      <c r="H140" s="17" t="n">
        <v>26.139</v>
      </c>
      <c r="I140" s="17" t="n">
        <v>12.3135</v>
      </c>
      <c r="J140" s="17" t="n">
        <v>12.602</v>
      </c>
      <c r="K140" s="17" t="n">
        <v>21.9195</v>
      </c>
      <c r="L140" s="17" t="n">
        <v>28.0235</v>
      </c>
      <c r="M140" s="17" t="n">
        <v>35.814</v>
      </c>
      <c r="N140" s="7" t="n">
        <f aca="false">COUNT(D140:M140)</f>
        <v>10</v>
      </c>
      <c r="O140" s="18" t="n">
        <f aca="false">IF(N140&gt;0,MEDIAN(D140:M140),"")</f>
        <v>27.107</v>
      </c>
      <c r="P140" s="18" t="n">
        <f aca="false">IF(N140&gt;=7,O140,"")</f>
        <v>27.107</v>
      </c>
      <c r="Q140" s="7" t="s">
        <v>847</v>
      </c>
    </row>
    <row r="141" customFormat="false" ht="17.15" hidden="false" customHeight="false" outlineLevel="0" collapsed="false">
      <c r="A141" s="3" t="s">
        <v>700</v>
      </c>
      <c r="B141" s="0" t="s">
        <v>701</v>
      </c>
      <c r="C141" s="3" t="s">
        <v>848</v>
      </c>
      <c r="D141" s="17" t="n">
        <v>36.2455</v>
      </c>
      <c r="E141" s="17" t="n">
        <v>38.823</v>
      </c>
      <c r="F141" s="17" t="n">
        <v>16.6045</v>
      </c>
      <c r="G141" s="17" t="n">
        <v>14.654</v>
      </c>
      <c r="H141" s="17" t="n">
        <v>19.9305</v>
      </c>
      <c r="I141" s="17" t="n">
        <v>12.189</v>
      </c>
      <c r="J141" s="17" t="n">
        <v>11.7795</v>
      </c>
      <c r="K141" s="17" t="n">
        <v>16.117</v>
      </c>
      <c r="L141" s="17" t="n">
        <v>14.3045</v>
      </c>
      <c r="M141" s="17" t="n">
        <v>32.275</v>
      </c>
      <c r="N141" s="7" t="n">
        <f aca="false">COUNT(D141:M141)</f>
        <v>10</v>
      </c>
      <c r="O141" s="18" t="n">
        <f aca="false">IF(N141&gt;0,MEDIAN(D141:M141),"")</f>
        <v>16.36075</v>
      </c>
      <c r="P141" s="18" t="n">
        <f aca="false">IF(N141&gt;=7,O141,"")</f>
        <v>16.36075</v>
      </c>
      <c r="Q141" s="7" t="s">
        <v>849</v>
      </c>
    </row>
    <row r="142" customFormat="false" ht="17.15" hidden="false" customHeight="false" outlineLevel="0" collapsed="false">
      <c r="A142" s="3" t="s">
        <v>704</v>
      </c>
      <c r="B142" s="0" t="s">
        <v>705</v>
      </c>
      <c r="C142" s="3" t="s">
        <v>848</v>
      </c>
      <c r="D142" s="17" t="n">
        <v>12.649</v>
      </c>
      <c r="E142" s="17" t="n">
        <v>12.413</v>
      </c>
      <c r="F142" s="17" t="n">
        <v>18.1005</v>
      </c>
      <c r="G142" s="17" t="n">
        <v>30.043</v>
      </c>
      <c r="H142" s="17" t="n">
        <v>22.6855</v>
      </c>
      <c r="I142" s="17" t="n">
        <v>11.458</v>
      </c>
      <c r="J142" s="17" t="n">
        <v>11.5835</v>
      </c>
      <c r="K142" s="17" t="n">
        <v>20.1675</v>
      </c>
      <c r="L142" s="17" t="n">
        <v>18.7765</v>
      </c>
      <c r="M142" s="17" t="n">
        <v>37.4805</v>
      </c>
      <c r="N142" s="7" t="n">
        <f aca="false">COUNT(D142:M142)</f>
        <v>10</v>
      </c>
      <c r="O142" s="18" t="n">
        <f aca="false">IF(N142&gt;0,MEDIAN(D142:M142),"")</f>
        <v>18.4385</v>
      </c>
      <c r="P142" s="18" t="n">
        <f aca="false">IF(N142&gt;=7,O142,"")</f>
        <v>18.4385</v>
      </c>
      <c r="Q142" s="7" t="s">
        <v>850</v>
      </c>
    </row>
    <row r="143" customFormat="false" ht="17.15" hidden="false" customHeight="false" outlineLevel="0" collapsed="false">
      <c r="A143" s="0" t="s">
        <v>706</v>
      </c>
      <c r="B143" s="0" t="s">
        <v>707</v>
      </c>
      <c r="C143" s="3" t="s">
        <v>848</v>
      </c>
      <c r="D143" s="17" t="n">
        <v>27.158</v>
      </c>
      <c r="E143" s="17" t="n">
        <v>19.7875</v>
      </c>
      <c r="F143" s="17" t="n">
        <v>22.96</v>
      </c>
      <c r="G143" s="17" t="n">
        <v>23.0705</v>
      </c>
      <c r="H143" s="17" t="n">
        <v>21.41</v>
      </c>
      <c r="I143" s="17" t="n">
        <v>12.928</v>
      </c>
      <c r="J143" s="17" t="n">
        <v>17.4575</v>
      </c>
      <c r="K143" s="17" t="n">
        <v>20.983</v>
      </c>
      <c r="L143" s="17" t="n">
        <v>19.837</v>
      </c>
      <c r="M143" s="17" t="n">
        <v>51.143</v>
      </c>
      <c r="N143" s="7" t="n">
        <f aca="false">COUNT(D143:M143)</f>
        <v>10</v>
      </c>
      <c r="O143" s="18" t="n">
        <f aca="false">IF(N143&gt;0,MEDIAN(D143:M143),"")</f>
        <v>21.1965</v>
      </c>
      <c r="P143" s="18" t="n">
        <f aca="false">IF(N143&gt;=7,O143,"")</f>
        <v>21.1965</v>
      </c>
      <c r="Q143" s="7" t="s">
        <v>851</v>
      </c>
    </row>
    <row r="144" customFormat="false" ht="17.15" hidden="false" customHeight="false" outlineLevel="0" collapsed="false">
      <c r="A144" s="3" t="s">
        <v>709</v>
      </c>
      <c r="B144" s="0" t="s">
        <v>710</v>
      </c>
      <c r="C144" s="3" t="s">
        <v>848</v>
      </c>
      <c r="D144" s="17" t="n">
        <v>26.6675</v>
      </c>
      <c r="E144" s="17" t="n">
        <v>17.1685</v>
      </c>
      <c r="F144" s="17" t="n">
        <v>10.305</v>
      </c>
      <c r="G144" s="17" t="n">
        <v>16.685</v>
      </c>
      <c r="H144" s="17" t="n">
        <v>14.069</v>
      </c>
      <c r="I144" s="17" t="n">
        <v>9.6445</v>
      </c>
      <c r="J144" s="17" t="n">
        <v>12.798</v>
      </c>
      <c r="K144" s="17" t="n">
        <v>15.2645</v>
      </c>
      <c r="L144" s="17" t="n">
        <v>13.68</v>
      </c>
      <c r="M144" s="17" t="n">
        <v>32.8125</v>
      </c>
      <c r="N144" s="7" t="n">
        <f aca="false">COUNT(D144:M144)</f>
        <v>10</v>
      </c>
      <c r="O144" s="18" t="n">
        <f aca="false">IF(N144&gt;0,MEDIAN(D144:M144),"")</f>
        <v>14.66675</v>
      </c>
      <c r="P144" s="18" t="n">
        <f aca="false">IF(N144&gt;=7,O144,"")</f>
        <v>14.66675</v>
      </c>
      <c r="Q144" s="7" t="s">
        <v>852</v>
      </c>
    </row>
    <row r="145" customFormat="false" ht="17.15" hidden="false" customHeight="false" outlineLevel="0" collapsed="false">
      <c r="A145" s="0" t="s">
        <v>712</v>
      </c>
      <c r="B145" s="0" t="s">
        <v>713</v>
      </c>
      <c r="C145" s="3" t="s">
        <v>848</v>
      </c>
      <c r="D145" s="17" t="n">
        <v>42.9415</v>
      </c>
      <c r="E145" s="17" t="n">
        <v>12.716</v>
      </c>
      <c r="F145" s="17" t="n">
        <v>8.306</v>
      </c>
      <c r="G145" s="17" t="n">
        <v>9.871</v>
      </c>
      <c r="H145" s="17" t="n">
        <v>17.1775</v>
      </c>
      <c r="I145" s="17" t="n">
        <v>17.1875</v>
      </c>
      <c r="J145" s="17" t="n">
        <v>9.7265</v>
      </c>
      <c r="K145" s="17" t="n">
        <v>9.708</v>
      </c>
      <c r="L145" s="17" t="n">
        <v>85.82</v>
      </c>
      <c r="M145" s="17" t="n">
        <v>30.0005</v>
      </c>
      <c r="N145" s="7" t="n">
        <f aca="false">COUNT(D145:M145)</f>
        <v>10</v>
      </c>
      <c r="O145" s="18" t="n">
        <f aca="false">IF(N145&gt;0,MEDIAN(D145:M145),"")</f>
        <v>14.94675</v>
      </c>
      <c r="P145" s="18" t="n">
        <f aca="false">IF(N145&gt;=7,O145,"")</f>
        <v>14.94675</v>
      </c>
      <c r="Q145" s="7" t="s">
        <v>853</v>
      </c>
    </row>
    <row r="147" customFormat="false" ht="17.15" hidden="false" customHeight="false" outlineLevel="0" collapsed="false">
      <c r="A147" s="3" t="s">
        <v>854</v>
      </c>
      <c r="B147" s="18" t="n">
        <f aca="false">P140</f>
        <v>27.107</v>
      </c>
      <c r="E147" s="3" t="s">
        <v>855</v>
      </c>
    </row>
    <row r="148" customFormat="false" ht="15" hidden="false" customHeight="false" outlineLevel="0" collapsed="false">
      <c r="A148" s="3" t="s">
        <v>856</v>
      </c>
      <c r="B148" s="40" t="n">
        <f aca="false">COUNT(P141:P145)</f>
        <v>5</v>
      </c>
    </row>
    <row r="149" customFormat="false" ht="17.15" hidden="false" customHeight="false" outlineLevel="0" collapsed="false">
      <c r="A149" s="3" t="s">
        <v>857</v>
      </c>
      <c r="B149" s="18" t="n">
        <f aca="false">IF(B148&gt;0,MEDIAN(P141:P145),"")</f>
        <v>16.36075</v>
      </c>
    </row>
    <row r="150" customFormat="false" ht="17.15" hidden="false" customHeight="false" outlineLevel="0" collapsed="false">
      <c r="A150" s="3" t="s">
        <v>858</v>
      </c>
      <c r="B150" s="18" t="n">
        <f aca="false">IF(AND(ISNUMBER(B147),B148&gt;=2),B147/B149,"")</f>
        <v>1.65683113549195</v>
      </c>
      <c r="E150" s="3" t="s">
        <v>859</v>
      </c>
    </row>
    <row r="151" customFormat="false" ht="17.15" hidden="false" customHeight="false" outlineLevel="0" collapsed="false">
      <c r="A151" s="3" t="s">
        <v>860</v>
      </c>
      <c r="B151" s="17" t="n">
        <v>0.5</v>
      </c>
      <c r="E151" s="7" t="s">
        <v>861</v>
      </c>
    </row>
    <row r="152" customFormat="false" ht="17.15" hidden="false" customHeight="false" outlineLevel="0" collapsed="false">
      <c r="A152" s="3" t="s">
        <v>862</v>
      </c>
      <c r="B152" s="17" t="n">
        <v>2</v>
      </c>
      <c r="E152" s="7" t="s">
        <v>863</v>
      </c>
    </row>
    <row r="153" customFormat="false" ht="17.15" hidden="false" customHeight="false" outlineLevel="0" collapsed="false">
      <c r="A153" s="1" t="s">
        <v>864</v>
      </c>
      <c r="B153" s="32" t="n">
        <f aca="false">IF(ISNUMBER(B150),MIN(MAX(B150,B151),B152),1)</f>
        <v>1.65683113549195</v>
      </c>
      <c r="E153" s="3" t="s">
        <v>865</v>
      </c>
    </row>
    <row r="154" customFormat="false" ht="17.15" hidden="false" customHeight="false" outlineLevel="0" collapsed="false">
      <c r="A154" s="5" t="s">
        <v>866</v>
      </c>
      <c r="B154" s="32" t="n">
        <f aca="false">Val!$B$35*B153</f>
        <v>2229.4905101198</v>
      </c>
      <c r="E154" s="3" t="s">
        <v>867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2"/>
    <col collapsed="false" customWidth="true" hidden="false" outlineLevel="0" max="8" min="2" style="0" width="11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868</v>
      </c>
    </row>
    <row r="3" customFormat="false" ht="17.15" hidden="false" customHeight="false" outlineLevel="0" collapsed="false">
      <c r="A3" s="4" t="s">
        <v>21</v>
      </c>
      <c r="B3" s="4" t="s">
        <v>869</v>
      </c>
      <c r="C3" s="4" t="s">
        <v>870</v>
      </c>
      <c r="D3" s="4" t="s">
        <v>871</v>
      </c>
      <c r="E3" s="4" t="s">
        <v>872</v>
      </c>
      <c r="F3" s="4" t="s">
        <v>873</v>
      </c>
      <c r="G3" s="4" t="s">
        <v>874</v>
      </c>
      <c r="H3" s="4" t="s">
        <v>875</v>
      </c>
      <c r="I3" s="4" t="s">
        <v>876</v>
      </c>
      <c r="J3" s="4" t="s">
        <v>553</v>
      </c>
    </row>
    <row r="4" customFormat="false" ht="17.15" hidden="false" customHeight="false" outlineLevel="0" collapsed="false">
      <c r="A4" s="5" t="s">
        <v>877</v>
      </c>
    </row>
    <row r="5" customFormat="false" ht="17.15" hidden="false" customHeight="false" outlineLevel="0" collapsed="false">
      <c r="A5" s="0" t="s">
        <v>878</v>
      </c>
      <c r="B5" s="21" t="n">
        <v>18.44</v>
      </c>
      <c r="C5" s="21" t="n">
        <f aca="false">PL!D106</f>
        <v>17.820894339844</v>
      </c>
      <c r="D5" s="20" t="n">
        <f aca="false">C5/B5-1</f>
        <v>-0.0335740596613897</v>
      </c>
      <c r="E5" s="21" t="n">
        <f aca="false">PL!D160</f>
        <v>17.820894339844</v>
      </c>
      <c r="F5" s="20" t="n">
        <f aca="false">E5/B5-1</f>
        <v>-0.0335740596613897</v>
      </c>
      <c r="G5" s="21" t="n">
        <f aca="false">PL!D214</f>
        <v>17.820894339844</v>
      </c>
      <c r="H5" s="20" t="n">
        <f aca="false">G5/B5-1</f>
        <v>-0.0335740596613897</v>
      </c>
      <c r="I5" s="7" t="s">
        <v>879</v>
      </c>
      <c r="J5" s="7" t="s">
        <v>880</v>
      </c>
    </row>
    <row r="6" customFormat="false" ht="17.15" hidden="false" customHeight="false" outlineLevel="0" collapsed="false">
      <c r="A6" s="0" t="s">
        <v>881</v>
      </c>
      <c r="B6" s="21" t="n">
        <v>17.27</v>
      </c>
      <c r="C6" s="21" t="n">
        <f aca="false">PL!D106</f>
        <v>17.820894339844</v>
      </c>
      <c r="D6" s="20" t="n">
        <f aca="false">C6/B6-1</f>
        <v>0.0318989195045729</v>
      </c>
      <c r="E6" s="21" t="n">
        <f aca="false">PL!D160</f>
        <v>17.820894339844</v>
      </c>
      <c r="F6" s="20" t="n">
        <f aca="false">E6/B6-1</f>
        <v>0.0318989195045729</v>
      </c>
      <c r="G6" s="21" t="n">
        <f aca="false">PL!D214</f>
        <v>17.820894339844</v>
      </c>
      <c r="H6" s="20" t="n">
        <f aca="false">G6/B6-1</f>
        <v>0.0318989195045729</v>
      </c>
      <c r="I6" s="3" t="s">
        <v>882</v>
      </c>
    </row>
    <row r="7" customFormat="false" ht="17.15" hidden="false" customHeight="false" outlineLevel="0" collapsed="false">
      <c r="A7" s="0" t="s">
        <v>883</v>
      </c>
      <c r="B7" s="21" t="n">
        <f aca="false">bk_eps27</f>
        <v>41.34</v>
      </c>
      <c r="C7" s="21" t="n">
        <f aca="false">PL!E106</f>
        <v>33.0440107986054</v>
      </c>
      <c r="D7" s="20" t="n">
        <f aca="false">C7/B7-1</f>
        <v>-0.200677048896822</v>
      </c>
      <c r="E7" s="21" t="n">
        <f aca="false">PL!E160</f>
        <v>32.6035041480335</v>
      </c>
      <c r="F7" s="20" t="n">
        <f aca="false">E7/B7-1</f>
        <v>-0.21133274920093</v>
      </c>
      <c r="G7" s="21" t="n">
        <f aca="false">PL!E214</f>
        <v>31.7224908468899</v>
      </c>
      <c r="H7" s="20" t="n">
        <f aca="false">G7/B7-1</f>
        <v>-0.232644149809147</v>
      </c>
      <c r="I7" s="7" t="s">
        <v>884</v>
      </c>
      <c r="J7" s="3" t="s">
        <v>885</v>
      </c>
    </row>
    <row r="8" customFormat="false" ht="17.15" hidden="false" customHeight="false" outlineLevel="0" collapsed="false">
      <c r="A8" s="0" t="s">
        <v>886</v>
      </c>
      <c r="B8" s="21" t="n">
        <f aca="false">cons_eps27</f>
        <v>32.12</v>
      </c>
      <c r="C8" s="21" t="n">
        <f aca="false">PL!E106</f>
        <v>33.0440107986054</v>
      </c>
      <c r="D8" s="20" t="n">
        <f aca="false">C8/B8-1</f>
        <v>0.0287674594833554</v>
      </c>
      <c r="E8" s="21" t="n">
        <f aca="false">PL!E160</f>
        <v>32.6035041480335</v>
      </c>
      <c r="F8" s="20" t="n">
        <f aca="false">E8/B8-1</f>
        <v>0.0150530556672956</v>
      </c>
      <c r="G8" s="21" t="n">
        <f aca="false">PL!E214</f>
        <v>31.7224908468899</v>
      </c>
      <c r="H8" s="20" t="n">
        <f aca="false">G8/B8-1</f>
        <v>-0.0123757519648232</v>
      </c>
      <c r="I8" s="3" t="s">
        <v>887</v>
      </c>
    </row>
    <row r="9" customFormat="false" ht="17.15" hidden="false" customHeight="false" outlineLevel="0" collapsed="false">
      <c r="A9" s="0" t="s">
        <v>888</v>
      </c>
      <c r="B9" s="21" t="n">
        <f aca="false">cons_eps28</f>
        <v>59.21</v>
      </c>
      <c r="C9" s="21" t="n">
        <f aca="false">PL!F106</f>
        <v>35.8974726549342</v>
      </c>
      <c r="D9" s="20" t="n">
        <f aca="false">C9/B9-1</f>
        <v>-0.393726183838302</v>
      </c>
      <c r="E9" s="21" t="n">
        <f aca="false">PL!F160</f>
        <v>30.5413109806637</v>
      </c>
      <c r="F9" s="20" t="n">
        <f aca="false">E9/B9-1</f>
        <v>-0.484186607318634</v>
      </c>
      <c r="G9" s="21" t="n">
        <f aca="false">PL!F214</f>
        <v>23.2735940473187</v>
      </c>
      <c r="H9" s="20" t="n">
        <f aca="false">G9/B9-1</f>
        <v>-0.606931362146282</v>
      </c>
      <c r="I9" s="3" t="s">
        <v>889</v>
      </c>
    </row>
    <row r="10" customFormat="false" ht="17.15" hidden="false" customHeight="false" outlineLevel="0" collapsed="false">
      <c r="A10" s="0" t="s">
        <v>890</v>
      </c>
      <c r="B10" s="21" t="n">
        <f aca="false">bk_eps28</f>
        <v>65.72</v>
      </c>
      <c r="C10" s="21" t="n">
        <f aca="false">PL!F106</f>
        <v>35.8974726549342</v>
      </c>
      <c r="D10" s="20" t="n">
        <f aca="false">C10/B10-1</f>
        <v>-0.45378160902413</v>
      </c>
      <c r="E10" s="21" t="n">
        <f aca="false">PL!F160</f>
        <v>30.5413109806637</v>
      </c>
      <c r="F10" s="20" t="n">
        <f aca="false">E10/B10-1</f>
        <v>-0.53528133017858</v>
      </c>
      <c r="G10" s="21" t="n">
        <f aca="false">PL!F214</f>
        <v>23.2735940473187</v>
      </c>
      <c r="H10" s="20" t="n">
        <f aca="false">G10/B10-1</f>
        <v>-0.64586740646198</v>
      </c>
      <c r="I10" s="7" t="s">
        <v>884</v>
      </c>
    </row>
    <row r="11" customFormat="false" ht="17.15" hidden="false" customHeight="false" outlineLevel="0" collapsed="false">
      <c r="A11" s="0" t="s">
        <v>891</v>
      </c>
      <c r="B11" s="23" t="n">
        <f aca="false">cons_rev27</f>
        <v>90.26</v>
      </c>
      <c r="C11" s="23" t="n">
        <f aca="false">PL!E86</f>
        <v>80.229394518</v>
      </c>
      <c r="D11" s="20" t="n">
        <f aca="false">C11/B11-1</f>
        <v>-0.111130129426102</v>
      </c>
      <c r="E11" s="23" t="n">
        <f aca="false">PL!E140</f>
        <v>79.283028118</v>
      </c>
      <c r="F11" s="20" t="n">
        <f aca="false">E11/B11-1</f>
        <v>-0.121615021958786</v>
      </c>
      <c r="G11" s="23" t="n">
        <f aca="false">PL!E194</f>
        <v>77.390295318</v>
      </c>
      <c r="H11" s="20" t="n">
        <f aca="false">G11/B11-1</f>
        <v>-0.142584807024153</v>
      </c>
      <c r="I11" s="3" t="s">
        <v>889</v>
      </c>
      <c r="J11" s="3" t="s">
        <v>892</v>
      </c>
    </row>
    <row r="12" customFormat="false" ht="17.15" hidden="false" customHeight="false" outlineLevel="0" collapsed="false">
      <c r="A12" s="0" t="s">
        <v>893</v>
      </c>
      <c r="B12" s="23" t="n">
        <f aca="false">cons_rev28</f>
        <v>133.54</v>
      </c>
      <c r="C12" s="23" t="n">
        <f aca="false">PL!F86</f>
        <v>88.7637751405431</v>
      </c>
      <c r="D12" s="20" t="n">
        <f aca="false">C12/B12-1</f>
        <v>-0.335301968394914</v>
      </c>
      <c r="E12" s="23" t="n">
        <f aca="false">PL!F140</f>
        <v>79.8564386946343</v>
      </c>
      <c r="F12" s="20" t="n">
        <f aca="false">E12/B12-1</f>
        <v>-0.402003604203727</v>
      </c>
      <c r="G12" s="23" t="n">
        <f aca="false">PL!F194</f>
        <v>67.6904280818082</v>
      </c>
      <c r="H12" s="20" t="n">
        <f aca="false">G12/B12-1</f>
        <v>-0.493107472803593</v>
      </c>
      <c r="I12" s="3" t="s">
        <v>889</v>
      </c>
      <c r="J12" s="3" t="s">
        <v>894</v>
      </c>
    </row>
    <row r="13" customFormat="false" ht="17.15" hidden="false" customHeight="false" outlineLevel="0" collapsed="false">
      <c r="A13" s="3" t="s">
        <v>895</v>
      </c>
      <c r="B13" s="21" t="n">
        <f aca="false">cons_feps</f>
        <v>31.1295582567447</v>
      </c>
      <c r="C13" s="21" t="n">
        <f aca="false">0.2*PL!D106+0.8*PL!E106</f>
        <v>29.9993875068531</v>
      </c>
      <c r="D13" s="20" t="n">
        <f aca="false">C13/B13-1</f>
        <v>-0.0363053898989002</v>
      </c>
      <c r="E13" s="21" t="n">
        <f aca="false">0.2*PL!D160+0.8*PL!E160</f>
        <v>29.6469821863956</v>
      </c>
      <c r="F13" s="20" t="n">
        <f aca="false">E13/B13-1</f>
        <v>-0.047625991288453</v>
      </c>
      <c r="G13" s="21" t="n">
        <f aca="false">0.2*PL!D214+0.8*PL!E214</f>
        <v>28.9421715454807</v>
      </c>
      <c r="H13" s="20" t="n">
        <f aca="false">G13/B13-1</f>
        <v>-0.0702671940675582</v>
      </c>
      <c r="I13" s="7" t="s">
        <v>896</v>
      </c>
      <c r="J13" s="3" t="s">
        <v>897</v>
      </c>
    </row>
    <row r="14" customFormat="false" ht="17.15" hidden="false" customHeight="false" outlineLevel="0" collapsed="false">
      <c r="A14" s="5" t="s">
        <v>898</v>
      </c>
    </row>
    <row r="15" customFormat="false" ht="17.15" hidden="false" customHeight="false" outlineLevel="0" collapsed="false">
      <c r="A15" s="0" t="s">
        <v>899</v>
      </c>
      <c r="B15" s="20" t="n">
        <v>0.281</v>
      </c>
      <c r="C15" s="20" t="n">
        <f aca="false">Q!E6</f>
        <v>0.3</v>
      </c>
      <c r="D15" s="20" t="n">
        <f aca="false">C15-B15</f>
        <v>0.019</v>
      </c>
      <c r="E15" s="20" t="n">
        <f aca="false">Q!E6</f>
        <v>0.3</v>
      </c>
      <c r="F15" s="20" t="n">
        <f aca="false">E15-B15</f>
        <v>0.019</v>
      </c>
      <c r="G15" s="20" t="n">
        <f aca="false">Q!E6</f>
        <v>0.3</v>
      </c>
      <c r="H15" s="20" t="n">
        <f aca="false">G15-B15</f>
        <v>0.019</v>
      </c>
      <c r="I15" s="3" t="s">
        <v>900</v>
      </c>
      <c r="J15" s="7" t="s">
        <v>901</v>
      </c>
    </row>
    <row r="16" customFormat="false" ht="17.15" hidden="false" customHeight="false" outlineLevel="0" collapsed="false">
      <c r="A16" s="0" t="s">
        <v>902</v>
      </c>
      <c r="B16" s="18" t="n">
        <v>5.62</v>
      </c>
      <c r="C16" s="18" t="n">
        <f aca="false">Q!E14</f>
        <v>5.57952705944256</v>
      </c>
      <c r="D16" s="20" t="n">
        <f aca="false">C16/B16-1</f>
        <v>-0.00720159084651917</v>
      </c>
      <c r="E16" s="18" t="n">
        <f aca="false">Q!E14</f>
        <v>5.57952705944256</v>
      </c>
      <c r="F16" s="20" t="n">
        <f aca="false">E16/B16-1</f>
        <v>-0.00720159084651917</v>
      </c>
      <c r="G16" s="18" t="n">
        <f aca="false">Q!E14</f>
        <v>5.57952705944256</v>
      </c>
      <c r="H16" s="20" t="n">
        <f aca="false">G16/B16-1</f>
        <v>-0.00720159084651917</v>
      </c>
      <c r="I16" s="7" t="s">
        <v>903</v>
      </c>
    </row>
    <row r="17" customFormat="false" ht="17.15" hidden="false" customHeight="false" outlineLevel="0" collapsed="false">
      <c r="A17" s="0" t="s">
        <v>904</v>
      </c>
      <c r="B17" s="20" t="n">
        <v>0.325</v>
      </c>
      <c r="C17" s="20" t="n">
        <f aca="false">Q!F6</f>
        <v>0.325</v>
      </c>
      <c r="D17" s="20" t="n">
        <f aca="false">C17-B17</f>
        <v>0</v>
      </c>
      <c r="E17" s="20" t="n">
        <f aca="false">Q!F6</f>
        <v>0.325</v>
      </c>
      <c r="F17" s="20" t="n">
        <f aca="false">E17-B17</f>
        <v>0</v>
      </c>
      <c r="G17" s="20" t="n">
        <f aca="false">Q!F6</f>
        <v>0.325</v>
      </c>
      <c r="H17" s="20" t="n">
        <f aca="false">G17-B17</f>
        <v>0</v>
      </c>
      <c r="I17" s="7" t="s">
        <v>905</v>
      </c>
    </row>
    <row r="18" customFormat="false" ht="17.15" hidden="false" customHeight="false" outlineLevel="0" collapsed="false">
      <c r="A18" s="0" t="s">
        <v>906</v>
      </c>
      <c r="B18" s="20" t="n">
        <v>0.399</v>
      </c>
      <c r="C18" s="20" t="n">
        <f aca="false">PL!E97</f>
        <v>0.35815087989632</v>
      </c>
      <c r="D18" s="20" t="n">
        <f aca="false">C18-B18</f>
        <v>-0.0408491201036803</v>
      </c>
      <c r="E18" s="20" t="n">
        <f aca="false">PL!E151</f>
        <v>0.357651345480496</v>
      </c>
      <c r="F18" s="20" t="n">
        <f aca="false">E18-B18</f>
        <v>-0.0413486545195044</v>
      </c>
      <c r="G18" s="20" t="n">
        <f aca="false">PL!E205</f>
        <v>0.356615625341225</v>
      </c>
      <c r="H18" s="20" t="n">
        <f aca="false">G18-B18</f>
        <v>-0.0423843746587747</v>
      </c>
      <c r="I18" s="7" t="s">
        <v>879</v>
      </c>
      <c r="J18" s="3" t="s">
        <v>907</v>
      </c>
    </row>
    <row r="19" customFormat="false" ht="17.15" hidden="false" customHeight="false" outlineLevel="0" collapsed="false">
      <c r="A19" s="0" t="s">
        <v>908</v>
      </c>
      <c r="B19" s="20" t="n">
        <v>0.466</v>
      </c>
      <c r="C19" s="20" t="n">
        <f aca="false">PL!F97</f>
        <v>0.351668006704224</v>
      </c>
      <c r="D19" s="20" t="n">
        <f aca="false">C19-B19</f>
        <v>-0.114331993295776</v>
      </c>
      <c r="E19" s="20" t="n">
        <f aca="false">PL!F151</f>
        <v>0.334085362106327</v>
      </c>
      <c r="F19" s="20" t="n">
        <f aca="false">E19-B19</f>
        <v>-0.131914637893673</v>
      </c>
      <c r="G19" s="20" t="n">
        <f aca="false">PL!F205</f>
        <v>0.303124106616406</v>
      </c>
      <c r="H19" s="20" t="n">
        <f aca="false">G19-B19</f>
        <v>-0.162875893383594</v>
      </c>
      <c r="I19" s="7" t="s">
        <v>879</v>
      </c>
      <c r="J19" s="3" t="s">
        <v>909</v>
      </c>
    </row>
    <row r="20" customFormat="false" ht="17.15" hidden="false" customHeight="false" outlineLevel="0" collapsed="false">
      <c r="A20" s="5" t="s">
        <v>910</v>
      </c>
    </row>
    <row r="21" customFormat="false" ht="17.15" hidden="false" customHeight="false" outlineLevel="0" collapsed="false">
      <c r="A21" s="0" t="s">
        <v>911</v>
      </c>
      <c r="C21" s="20" t="n">
        <f aca="false">PL!E80</f>
        <v>0.952550651332759</v>
      </c>
      <c r="E21" s="20" t="n">
        <f aca="false">PL!E134</f>
        <v>0.952550651332759</v>
      </c>
      <c r="G21" s="20" t="n">
        <f aca="false">PL!E188</f>
        <v>0.952550651332759</v>
      </c>
      <c r="I21" s="7" t="s">
        <v>912</v>
      </c>
      <c r="J21" s="3" t="s">
        <v>913</v>
      </c>
    </row>
    <row r="22" customFormat="false" ht="17.15" hidden="false" customHeight="false" outlineLevel="0" collapsed="false">
      <c r="A22" s="0" t="s">
        <v>914</v>
      </c>
      <c r="C22" s="20" t="n">
        <f aca="false">PL!F80</f>
        <v>0.958636353489023</v>
      </c>
      <c r="E22" s="20" t="n">
        <f aca="false">PL!F134</f>
        <v>1</v>
      </c>
      <c r="G22" s="20" t="n">
        <f aca="false">PL!F188</f>
        <v>1</v>
      </c>
      <c r="I22" s="7" t="s">
        <v>912</v>
      </c>
    </row>
    <row r="23" customFormat="false" ht="17.15" hidden="false" customHeight="false" outlineLevel="0" collapsed="false">
      <c r="A23" s="0" t="s">
        <v>915</v>
      </c>
      <c r="C23" s="20" t="n">
        <f aca="false">PL!D90</f>
        <v>0.377</v>
      </c>
      <c r="E23" s="20" t="n">
        <f aca="false">PL!D144</f>
        <v>0.377</v>
      </c>
      <c r="G23" s="20" t="n">
        <f aca="false">PL!D198</f>
        <v>0.377</v>
      </c>
      <c r="I23" s="7" t="s">
        <v>912</v>
      </c>
      <c r="J23" s="3" t="s">
        <v>916</v>
      </c>
    </row>
    <row r="24" customFormat="false" ht="17.15" hidden="false" customHeight="false" outlineLevel="0" collapsed="false">
      <c r="A24" s="0" t="s">
        <v>917</v>
      </c>
      <c r="C24" s="20" t="n">
        <f aca="false">Units!D10</f>
        <v>0.965</v>
      </c>
      <c r="E24" s="20" t="n">
        <f aca="false">Units!D10</f>
        <v>0.965</v>
      </c>
      <c r="G24" s="20" t="n">
        <f aca="false">Units!D10</f>
        <v>0.965</v>
      </c>
      <c r="I24" s="7" t="s">
        <v>918</v>
      </c>
      <c r="J24" s="3" t="s">
        <v>919</v>
      </c>
    </row>
    <row r="25" customFormat="false" ht="17.15" hidden="false" customHeight="false" outlineLevel="0" collapsed="false">
      <c r="A25" s="0" t="s">
        <v>920</v>
      </c>
      <c r="C25" s="20" t="n">
        <f aca="false">Units!D14</f>
        <v>0.845</v>
      </c>
      <c r="E25" s="20" t="n">
        <f aca="false">Units!D14</f>
        <v>0.845</v>
      </c>
      <c r="G25" s="20" t="n">
        <f aca="false">Units!D14</f>
        <v>0.845</v>
      </c>
      <c r="I25" s="7" t="s">
        <v>918</v>
      </c>
      <c r="J25" s="3" t="s">
        <v>919</v>
      </c>
    </row>
    <row r="26" customFormat="false" ht="17.15" hidden="false" customHeight="false" outlineLevel="0" collapsed="false">
      <c r="A26" s="0" t="s">
        <v>921</v>
      </c>
      <c r="C26" s="23" t="n">
        <f aca="false">Units!D15</f>
        <v>8.76521294316</v>
      </c>
      <c r="E26" s="23" t="n">
        <f aca="false">Units!D15</f>
        <v>8.76521294316</v>
      </c>
      <c r="G26" s="23" t="n">
        <f aca="false">Units!D15</f>
        <v>8.76521294316</v>
      </c>
      <c r="I26" s="7" t="s">
        <v>918</v>
      </c>
      <c r="J26" s="7" t="s">
        <v>922</v>
      </c>
    </row>
    <row r="27" customFormat="false" ht="17.15" hidden="false" customHeight="false" outlineLevel="0" collapsed="false">
      <c r="A27" s="0" t="s">
        <v>923</v>
      </c>
      <c r="C27" s="22" t="n">
        <f aca="false">Units!D19</f>
        <v>28.462851042825</v>
      </c>
      <c r="E27" s="22" t="n">
        <f aca="false">Units!D19</f>
        <v>28.462851042825</v>
      </c>
      <c r="G27" s="22" t="n">
        <f aca="false">Units!D19</f>
        <v>28.462851042825</v>
      </c>
      <c r="I27" s="7" t="s">
        <v>918</v>
      </c>
      <c r="J27" s="7" t="s">
        <v>924</v>
      </c>
    </row>
    <row r="28" customFormat="false" ht="17.15" hidden="false" customHeight="false" outlineLevel="0" collapsed="false">
      <c r="A28" s="5" t="s">
        <v>925</v>
      </c>
    </row>
    <row r="29" customFormat="false" ht="17.15" hidden="false" customHeight="false" outlineLevel="0" collapsed="false">
      <c r="A29" s="0" t="s">
        <v>926</v>
      </c>
      <c r="B29" s="23" t="n">
        <v>35.2</v>
      </c>
      <c r="C29" s="23" t="n">
        <f aca="false">PL!E92+PL!F92</f>
        <v>32</v>
      </c>
      <c r="D29" s="20" t="n">
        <f aca="false">C29/B29-1</f>
        <v>-0.0909090909090909</v>
      </c>
      <c r="E29" s="23" t="n">
        <f aca="false">PL!E146+PL!F146</f>
        <v>32</v>
      </c>
      <c r="F29" s="20" t="n">
        <f aca="false">E29/B29-1</f>
        <v>-0.0909090909090909</v>
      </c>
      <c r="G29" s="23" t="n">
        <f aca="false">PL!E200+PL!F200</f>
        <v>32</v>
      </c>
      <c r="H29" s="20" t="n">
        <f aca="false">G29/B29-1</f>
        <v>-0.0909090909090909</v>
      </c>
      <c r="I29" s="3" t="s">
        <v>927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10" min="3" style="0" width="14"/>
  </cols>
  <sheetData>
    <row r="1" customFormat="false" ht="17.15" hidden="false" customHeight="false" outlineLevel="0" collapsed="false">
      <c r="A1" s="0" t="s">
        <v>928</v>
      </c>
    </row>
    <row r="3" customFormat="false" ht="17.15" hidden="false" customHeight="false" outlineLevel="0" collapsed="false">
      <c r="A3" s="4" t="s">
        <v>929</v>
      </c>
      <c r="B3" s="4" t="s">
        <v>930</v>
      </c>
      <c r="C3" s="13" t="s">
        <v>931</v>
      </c>
      <c r="D3" s="13" t="s">
        <v>932</v>
      </c>
      <c r="E3" s="13" t="s">
        <v>762</v>
      </c>
      <c r="F3" s="13" t="s">
        <v>933</v>
      </c>
      <c r="G3" s="13" t="s">
        <v>934</v>
      </c>
      <c r="H3" s="13" t="s">
        <v>935</v>
      </c>
      <c r="I3" s="13" t="s">
        <v>936</v>
      </c>
      <c r="J3" s="13" t="s">
        <v>937</v>
      </c>
    </row>
    <row r="4" customFormat="false" ht="17.15" hidden="false" customHeight="false" outlineLevel="0" collapsed="false">
      <c r="A4" s="3" t="s">
        <v>938</v>
      </c>
      <c r="B4" s="0" t="s">
        <v>939</v>
      </c>
      <c r="C4" s="23" t="n">
        <f aca="false">PL!E86</f>
        <v>80.229394518</v>
      </c>
      <c r="D4" s="16" t="n">
        <f aca="false">PL!E97</f>
        <v>0.35815087989632</v>
      </c>
      <c r="E4" s="18" t="n">
        <f aca="false">PL!E106</f>
        <v>33.0440107986054</v>
      </c>
      <c r="F4" s="20" t="n">
        <f aca="false">E4/E$4-1</f>
        <v>0</v>
      </c>
      <c r="G4" s="23" t="n">
        <f aca="false">PL!F86</f>
        <v>88.7637751405431</v>
      </c>
      <c r="H4" s="16" t="n">
        <f aca="false">PL!F97</f>
        <v>0.351668006704224</v>
      </c>
      <c r="I4" s="18" t="n">
        <f aca="false">PL!F106</f>
        <v>35.8974726549342</v>
      </c>
      <c r="J4" s="20" t="n">
        <f aca="false">I4/I$4-1</f>
        <v>0</v>
      </c>
    </row>
    <row r="5" customFormat="false" ht="17.15" hidden="false" customHeight="false" outlineLevel="0" collapsed="false">
      <c r="A5" s="0" t="s">
        <v>940</v>
      </c>
      <c r="B5" s="0" t="s">
        <v>941</v>
      </c>
      <c r="C5" s="23" t="n">
        <f aca="false">E76</f>
        <v>74.7419500466096</v>
      </c>
      <c r="D5" s="16" t="n">
        <f aca="false">E87</f>
        <v>0.342436322400709</v>
      </c>
      <c r="E5" s="18" t="n">
        <f aca="false">E96</f>
        <v>29.3345474111712</v>
      </c>
      <c r="F5" s="20" t="n">
        <f aca="false">E5/E$4-1</f>
        <v>-0.112258267013721</v>
      </c>
      <c r="G5" s="23" t="n">
        <f aca="false">F76</f>
        <v>82.0803997346343</v>
      </c>
      <c r="H5" s="16" t="n">
        <f aca="false">F87</f>
        <v>0.335871313284868</v>
      </c>
      <c r="I5" s="18" t="n">
        <f aca="false">F96</f>
        <v>31.589560276873</v>
      </c>
      <c r="J5" s="20" t="n">
        <f aca="false">I5/I$4-1</f>
        <v>-0.120006007650487</v>
      </c>
    </row>
    <row r="6" customFormat="false" ht="17.15" hidden="false" customHeight="false" outlineLevel="0" collapsed="false">
      <c r="A6" s="0" t="s">
        <v>942</v>
      </c>
      <c r="B6" s="0" t="s">
        <v>943</v>
      </c>
      <c r="C6" s="23" t="n">
        <f aca="false">E130</f>
        <v>80.229394518</v>
      </c>
      <c r="D6" s="16" t="n">
        <f aca="false">E141</f>
        <v>0.359418744271986</v>
      </c>
      <c r="E6" s="18" t="n">
        <f aca="false">E150</f>
        <v>33.1683724883165</v>
      </c>
      <c r="F6" s="20" t="n">
        <f aca="false">E6/E$4-1</f>
        <v>0.00376351679791642</v>
      </c>
      <c r="G6" s="23" t="n">
        <f aca="false">F130</f>
        <v>88.7637751405431</v>
      </c>
      <c r="H6" s="16" t="n">
        <f aca="false">F141</f>
        <v>0.352454889987103</v>
      </c>
      <c r="I6" s="18" t="n">
        <f aca="false">F150</f>
        <v>35.9828664635586</v>
      </c>
      <c r="J6" s="20" t="n">
        <f aca="false">I6/I$4-1</f>
        <v>0.00237882509014797</v>
      </c>
    </row>
    <row r="7" customFormat="false" ht="17.15" hidden="false" customHeight="false" outlineLevel="0" collapsed="false">
      <c r="A7" s="0" t="s">
        <v>944</v>
      </c>
      <c r="B7" s="3" t="s">
        <v>945</v>
      </c>
      <c r="C7" s="23" t="n">
        <f aca="false">E184</f>
        <v>76.0869713415</v>
      </c>
      <c r="D7" s="16" t="n">
        <f aca="false">E195</f>
        <v>0.347718961061158</v>
      </c>
      <c r="E7" s="18" t="n">
        <f aca="false">E204</f>
        <v>30.3573656203067</v>
      </c>
      <c r="F7" s="20" t="n">
        <f aca="false">E7/E$4-1</f>
        <v>-0.0813050569034443</v>
      </c>
      <c r="G7" s="23" t="n">
        <f aca="false">F184</f>
        <v>82.565674462705</v>
      </c>
      <c r="H7" s="16" t="n">
        <f aca="false">F195</f>
        <v>0.33805062861296</v>
      </c>
      <c r="I7" s="18" t="n">
        <f aca="false">F204</f>
        <v>31.996546875675</v>
      </c>
      <c r="J7" s="20" t="n">
        <f aca="false">I7/I$4-1</f>
        <v>-0.108668535435821</v>
      </c>
    </row>
    <row r="8" customFormat="false" ht="17.15" hidden="false" customHeight="false" outlineLevel="0" collapsed="false">
      <c r="A8" s="0" t="s">
        <v>946</v>
      </c>
      <c r="B8" s="0" t="s">
        <v>947</v>
      </c>
      <c r="C8" s="23" t="n">
        <f aca="false">E238</f>
        <v>82.705549855512</v>
      </c>
      <c r="D8" s="16" t="n">
        <f aca="false">E249</f>
        <v>0.363887594786269</v>
      </c>
      <c r="E8" s="18" t="n">
        <f aca="false">E258</f>
        <v>34.6499671470502</v>
      </c>
      <c r="F8" s="20" t="n">
        <f aca="false">E8/E$4-1</f>
        <v>0.0486005272856456</v>
      </c>
      <c r="G8" s="23" t="n">
        <f aca="false">F238</f>
        <v>91.1707195474603</v>
      </c>
      <c r="H8" s="16" t="n">
        <f aca="false">F249</f>
        <v>0.356457009379414</v>
      </c>
      <c r="I8" s="18" t="n">
        <f aca="false">F258</f>
        <v>37.4110025670962</v>
      </c>
      <c r="J8" s="20" t="n">
        <f aca="false">I8/I$4-1</f>
        <v>0.0421625758089126</v>
      </c>
    </row>
    <row r="9" customFormat="false" ht="17.15" hidden="false" customHeight="false" outlineLevel="0" collapsed="false">
      <c r="A9" s="0" t="s">
        <v>948</v>
      </c>
      <c r="B9" s="0" t="s">
        <v>949</v>
      </c>
      <c r="C9" s="23" t="n">
        <f aca="false">E292</f>
        <v>77.7439406121</v>
      </c>
      <c r="D9" s="16" t="n">
        <f aca="false">E303</f>
        <v>0.341177623812457</v>
      </c>
      <c r="E9" s="18" t="n">
        <f aca="false">E312</f>
        <v>30.4009806559325</v>
      </c>
      <c r="F9" s="20" t="n">
        <f aca="false">E9/E$4-1</f>
        <v>-0.0799851494657053</v>
      </c>
      <c r="G9" s="23" t="n">
        <f aca="false">F292</f>
        <v>82.8918902878544</v>
      </c>
      <c r="H9" s="16" t="n">
        <f aca="false">F303</f>
        <v>0.313630955888121</v>
      </c>
      <c r="I9" s="18" t="n">
        <f aca="false">F312</f>
        <v>29.6469405918787</v>
      </c>
      <c r="J9" s="20" t="n">
        <f aca="false">I9/I$4-1</f>
        <v>-0.17412178632014</v>
      </c>
    </row>
    <row r="10" customFormat="false" ht="17.15" hidden="false" customHeight="false" outlineLevel="0" collapsed="false">
      <c r="A10" s="0" t="s">
        <v>950</v>
      </c>
      <c r="B10" s="0" t="s">
        <v>951</v>
      </c>
      <c r="C10" s="23" t="n">
        <f aca="false">E346</f>
        <v>82.7148484239</v>
      </c>
      <c r="D10" s="16" t="n">
        <f aca="false">E357</f>
        <v>0.374349088710191</v>
      </c>
      <c r="E10" s="18" t="n">
        <f aca="false">E366</f>
        <v>35.7118161758175</v>
      </c>
      <c r="F10" s="20" t="n">
        <f aca="false">E10/E$4-1</f>
        <v>0.0807349142170319</v>
      </c>
      <c r="G10" s="23" t="n">
        <f aca="false">F346</f>
        <v>94.6356599932319</v>
      </c>
      <c r="H10" s="16" t="n">
        <f aca="false">F357</f>
        <v>0.386034878697997</v>
      </c>
      <c r="I10" s="18" t="n">
        <f aca="false">F366</f>
        <v>42.2708370430896</v>
      </c>
      <c r="J10" s="20" t="n">
        <f aca="false">I10/I$4-1</f>
        <v>0.177543540444187</v>
      </c>
    </row>
    <row r="11" customFormat="false" ht="17.15" hidden="false" customHeight="false" outlineLevel="0" collapsed="false">
      <c r="A11" s="3" t="s">
        <v>952</v>
      </c>
      <c r="B11" s="3" t="s">
        <v>953</v>
      </c>
      <c r="C11" s="23" t="n">
        <f aca="false">E400</f>
        <v>77.2036245456</v>
      </c>
      <c r="D11" s="16" t="n">
        <f aca="false">E411</f>
        <v>0.337380987460388</v>
      </c>
      <c r="E11" s="18" t="n">
        <f aca="false">E420</f>
        <v>29.8299781149316</v>
      </c>
      <c r="F11" s="20" t="n">
        <f aca="false">E11/E$4-1</f>
        <v>-0.0972652110321142</v>
      </c>
      <c r="G11" s="23" t="n">
        <f aca="false">F400</f>
        <v>85.3682938996405</v>
      </c>
      <c r="H11" s="16" t="n">
        <f aca="false">F411</f>
        <v>0.330149446919732</v>
      </c>
      <c r="I11" s="18" t="n">
        <f aca="false">F420</f>
        <v>32.2685745289407</v>
      </c>
      <c r="J11" s="20" t="n">
        <f aca="false">I11/I$4-1</f>
        <v>-0.101090629997171</v>
      </c>
    </row>
    <row r="12" customFormat="false" ht="17.15" hidden="false" customHeight="false" outlineLevel="0" collapsed="false">
      <c r="A12" s="3" t="s">
        <v>954</v>
      </c>
      <c r="C12" s="23" t="n">
        <f aca="false">E454</f>
        <v>83.2551644904</v>
      </c>
      <c r="D12" s="16" t="n">
        <f aca="false">E465</f>
        <v>0.377772065503228</v>
      </c>
      <c r="E12" s="18" t="n">
        <f aca="false">E474</f>
        <v>36.2947872271168</v>
      </c>
      <c r="F12" s="20" t="n">
        <f aca="false">E12/E$4-1</f>
        <v>0.0983771748630653</v>
      </c>
      <c r="G12" s="23" t="n">
        <f aca="false">F454</f>
        <v>92.1592563814458</v>
      </c>
      <c r="H12" s="16" t="n">
        <f aca="false">F465</f>
        <v>0.371959840437174</v>
      </c>
      <c r="I12" s="18" t="n">
        <f aca="false">F474</f>
        <v>39.566836152265</v>
      </c>
      <c r="J12" s="20" t="n">
        <f aca="false">I12/I$4-1</f>
        <v>0.102217878473025</v>
      </c>
    </row>
    <row r="13" customFormat="false" ht="17.15" hidden="false" customHeight="false" outlineLevel="0" collapsed="false">
      <c r="A13" s="0" t="s">
        <v>955</v>
      </c>
      <c r="B13" s="3" t="s">
        <v>956</v>
      </c>
      <c r="C13" s="23" t="n">
        <f aca="false">E508</f>
        <v>80.229394518</v>
      </c>
      <c r="D13" s="16" t="n">
        <f aca="false">E519</f>
        <v>0.345118151008764</v>
      </c>
      <c r="E13" s="18" t="n">
        <f aca="false">E528</f>
        <v>31.7656625642754</v>
      </c>
      <c r="F13" s="20" t="n">
        <f aca="false">E13/E$4-1</f>
        <v>-0.0386862309821051</v>
      </c>
      <c r="G13" s="23" t="n">
        <f aca="false">F508</f>
        <v>88.7637751405431</v>
      </c>
      <c r="H13" s="16" t="n">
        <f aca="false">F519</f>
        <v>0.331628301021936</v>
      </c>
      <c r="I13" s="18" t="n">
        <f aca="false">F528</f>
        <v>33.7227323482632</v>
      </c>
      <c r="J13" s="20" t="n">
        <f aca="false">I13/I$4-1</f>
        <v>-0.0605819893666537</v>
      </c>
    </row>
    <row r="14" customFormat="false" ht="17.15" hidden="false" customHeight="false" outlineLevel="0" collapsed="false">
      <c r="A14" s="0" t="s">
        <v>957</v>
      </c>
      <c r="C14" s="23" t="n">
        <f aca="false">E562</f>
        <v>80.229394518</v>
      </c>
      <c r="D14" s="16" t="n">
        <f aca="false">E573</f>
        <v>0.371183608783876</v>
      </c>
      <c r="E14" s="18" t="n">
        <f aca="false">E582</f>
        <v>34.3223590329354</v>
      </c>
      <c r="F14" s="20" t="n">
        <f aca="false">E14/E$4-1</f>
        <v>0.0386862309821054</v>
      </c>
      <c r="G14" s="23" t="n">
        <f aca="false">F562</f>
        <v>88.7637751405431</v>
      </c>
      <c r="H14" s="16" t="n">
        <f aca="false">F573</f>
        <v>0.371707712386512</v>
      </c>
      <c r="I14" s="18" t="n">
        <f aca="false">F582</f>
        <v>38.0722129616051</v>
      </c>
      <c r="J14" s="20" t="n">
        <f aca="false">I14/I$4-1</f>
        <v>0.0605819893666537</v>
      </c>
    </row>
    <row r="15" customFormat="false" ht="17.15" hidden="false" customHeight="false" outlineLevel="0" collapsed="false">
      <c r="A15" s="3" t="s">
        <v>958</v>
      </c>
      <c r="B15" s="3" t="s">
        <v>959</v>
      </c>
      <c r="C15" s="23" t="n">
        <f aca="false">E616</f>
        <v>80.229394518</v>
      </c>
      <c r="D15" s="16" t="n">
        <f aca="false">E627</f>
        <v>0.347534699067373</v>
      </c>
      <c r="E15" s="18" t="n">
        <f aca="false">E636</f>
        <v>32.0026958034803</v>
      </c>
      <c r="F15" s="20" t="n">
        <f aca="false">E15/E$4-1</f>
        <v>-0.0315129722439466</v>
      </c>
      <c r="G15" s="23" t="n">
        <f aca="false">F616</f>
        <v>88.7637751405431</v>
      </c>
      <c r="H15" s="16" t="n">
        <f aca="false">F627</f>
        <v>0.33791450586374</v>
      </c>
      <c r="I15" s="18" t="n">
        <f aca="false">F636</f>
        <v>34.4049211619215</v>
      </c>
      <c r="J15" s="20" t="n">
        <f aca="false">I15/I$4-1</f>
        <v>-0.0415781775881516</v>
      </c>
    </row>
    <row r="16" customFormat="false" ht="17.15" hidden="false" customHeight="false" outlineLevel="0" collapsed="false">
      <c r="A16" s="3" t="s">
        <v>960</v>
      </c>
      <c r="C16" s="23" t="n">
        <f aca="false">E670</f>
        <v>80.229394518</v>
      </c>
      <c r="D16" s="16" t="n">
        <f aca="false">E681</f>
        <v>0.368767060725267</v>
      </c>
      <c r="E16" s="18" t="n">
        <f aca="false">E690</f>
        <v>34.0853257937305</v>
      </c>
      <c r="F16" s="20" t="n">
        <f aca="false">E16/E$4-1</f>
        <v>0.0315129722439465</v>
      </c>
      <c r="G16" s="23" t="n">
        <f aca="false">F670</f>
        <v>88.7637751405431</v>
      </c>
      <c r="H16" s="16" t="n">
        <f aca="false">F681</f>
        <v>0.365421507544708</v>
      </c>
      <c r="I16" s="18" t="n">
        <f aca="false">F690</f>
        <v>37.3900241479468</v>
      </c>
      <c r="J16" s="20" t="n">
        <f aca="false">I16/I$4-1</f>
        <v>0.0415781775881519</v>
      </c>
    </row>
    <row r="17" customFormat="false" ht="17.15" hidden="false" customHeight="false" outlineLevel="0" collapsed="false">
      <c r="A17" s="0" t="s">
        <v>961</v>
      </c>
      <c r="B17" s="0" t="s">
        <v>962</v>
      </c>
      <c r="C17" s="23" t="n">
        <f aca="false">E724</f>
        <v>77.390295318</v>
      </c>
      <c r="D17" s="16" t="n">
        <f aca="false">E735</f>
        <v>0.356615625341225</v>
      </c>
      <c r="E17" s="18" t="n">
        <f aca="false">E744</f>
        <v>31.7224908468899</v>
      </c>
      <c r="F17" s="20" t="n">
        <f aca="false">E17/E$4-1</f>
        <v>-0.039992722426155</v>
      </c>
      <c r="G17" s="23" t="n">
        <f aca="false">F724</f>
        <v>83.4641233005431</v>
      </c>
      <c r="H17" s="16" t="n">
        <f aca="false">F735</f>
        <v>0.348599110427934</v>
      </c>
      <c r="I17" s="18" t="n">
        <f aca="false">F744</f>
        <v>33.4229930103563</v>
      </c>
      <c r="J17" s="20" t="n">
        <f aca="false">I17/I$4-1</f>
        <v>-0.0689318623727063</v>
      </c>
    </row>
    <row r="18" customFormat="false" ht="17.15" hidden="false" customHeight="false" outlineLevel="0" collapsed="false">
      <c r="A18" s="3" t="s">
        <v>963</v>
      </c>
      <c r="B18" s="3" t="s">
        <v>964</v>
      </c>
      <c r="C18" s="23" t="n">
        <f aca="false">E778</f>
        <v>80.229394518</v>
      </c>
      <c r="D18" s="16" t="n">
        <f aca="false">E789</f>
        <v>0.359760846759995</v>
      </c>
      <c r="E18" s="18" t="n">
        <f aca="false">E798</f>
        <v>33.2019284776475</v>
      </c>
      <c r="F18" s="20" t="n">
        <f aca="false">E18/E$4-1</f>
        <v>0.00477901063538022</v>
      </c>
      <c r="G18" s="23" t="n">
        <f aca="false">F778</f>
        <v>88.7637751405431</v>
      </c>
      <c r="H18" s="16" t="n">
        <f aca="false">F789</f>
        <v>0.349459820491615</v>
      </c>
      <c r="I18" s="18" t="n">
        <f aca="false">F798</f>
        <v>35.6578368220866</v>
      </c>
      <c r="J18" s="20" t="n">
        <f aca="false">I18/I$4-1</f>
        <v>-0.00667556279382309</v>
      </c>
    </row>
    <row r="19" customFormat="false" ht="17.15" hidden="false" customHeight="false" outlineLevel="0" collapsed="false">
      <c r="A19" s="3" t="s">
        <v>965</v>
      </c>
      <c r="C19" s="23" t="n">
        <f aca="false">E832</f>
        <v>80.229394518</v>
      </c>
      <c r="D19" s="16" t="n">
        <f aca="false">E843</f>
        <v>0.357184899778115</v>
      </c>
      <c r="E19" s="18" t="n">
        <f aca="false">E852</f>
        <v>32.9492601911801</v>
      </c>
      <c r="F19" s="20" t="n">
        <f aca="false">E19/E$4-1</f>
        <v>-0.00286740638122807</v>
      </c>
      <c r="G19" s="23" t="n">
        <f aca="false">F832</f>
        <v>88.7637751405431</v>
      </c>
      <c r="H19" s="16" t="n">
        <f aca="false">F843</f>
        <v>0.352934711503811</v>
      </c>
      <c r="I19" s="18" t="n">
        <f aca="false">F852</f>
        <v>36.034937447481</v>
      </c>
      <c r="J19" s="20" t="n">
        <f aca="false">I19/I$4-1</f>
        <v>0.00382937244268544</v>
      </c>
    </row>
    <row r="20" customFormat="false" ht="17.15" hidden="false" customHeight="false" outlineLevel="0" collapsed="false">
      <c r="A20" s="3" t="s">
        <v>966</v>
      </c>
      <c r="B20" s="3" t="s">
        <v>967</v>
      </c>
      <c r="C20" s="23" t="n">
        <f aca="false">E886</f>
        <v>80.229394518</v>
      </c>
      <c r="D20" s="16" t="n">
        <f aca="false">E897</f>
        <v>0.35815087989632</v>
      </c>
      <c r="E20" s="18" t="n">
        <f aca="false">E906</f>
        <v>33.0440107986054</v>
      </c>
      <c r="F20" s="20" t="n">
        <f aca="false">E20/E$4-1</f>
        <v>0</v>
      </c>
      <c r="G20" s="23" t="n">
        <f aca="false">F886</f>
        <v>88.7637751405431</v>
      </c>
      <c r="H20" s="16" t="n">
        <f aca="false">F897</f>
        <v>0.362933863732236</v>
      </c>
      <c r="I20" s="18" t="n">
        <f aca="false">F906</f>
        <v>37.1200611378411</v>
      </c>
      <c r="J20" s="20" t="n">
        <f aca="false">I20/I$4-1</f>
        <v>0.0340577871500636</v>
      </c>
    </row>
    <row r="21" customFormat="false" ht="17.15" hidden="false" customHeight="false" outlineLevel="0" collapsed="false">
      <c r="A21" s="3" t="s">
        <v>968</v>
      </c>
      <c r="B21" s="0" t="s">
        <v>969</v>
      </c>
      <c r="C21" s="23" t="n">
        <f aca="false">E940</f>
        <v>80.229394518</v>
      </c>
      <c r="D21" s="16" t="n">
        <f aca="false">E951</f>
        <v>0.35815087989632</v>
      </c>
      <c r="E21" s="18" t="n">
        <f aca="false">E960</f>
        <v>33.0440107986054</v>
      </c>
      <c r="F21" s="20" t="n">
        <f aca="false">E21/E$4-1</f>
        <v>0</v>
      </c>
      <c r="G21" s="23" t="n">
        <f aca="false">F940</f>
        <v>88.7637751405431</v>
      </c>
      <c r="H21" s="16" t="n">
        <f aca="false">F951</f>
        <v>0.343218613933214</v>
      </c>
      <c r="I21" s="18" t="n">
        <f aca="false">F960</f>
        <v>34.9805312927539</v>
      </c>
      <c r="J21" s="20" t="n">
        <f aca="false">I21/I$4-1</f>
        <v>-0.0255433403625475</v>
      </c>
    </row>
    <row r="22" customFormat="false" ht="17.15" hidden="false" customHeight="false" outlineLevel="0" collapsed="false">
      <c r="A22" s="3" t="s">
        <v>970</v>
      </c>
      <c r="B22" s="0" t="s">
        <v>971</v>
      </c>
      <c r="C22" s="23" t="n">
        <f aca="false">E994</f>
        <v>80.229394518</v>
      </c>
      <c r="D22" s="16" t="n">
        <f aca="false">E1005</f>
        <v>0.357969216542447</v>
      </c>
      <c r="E22" s="18" t="n">
        <f aca="false">E1014</f>
        <v>33.0261918882552</v>
      </c>
      <c r="F22" s="20" t="n">
        <f aca="false">E22/E$4-1</f>
        <v>-0.0005392478067755</v>
      </c>
      <c r="G22" s="23" t="n">
        <f aca="false">F994</f>
        <v>88.7637751405431</v>
      </c>
      <c r="H22" s="16" t="n">
        <f aca="false">F1005</f>
        <v>0.351447126245476</v>
      </c>
      <c r="I22" s="18" t="n">
        <f aca="false">F1014</f>
        <v>35.8735023609483</v>
      </c>
      <c r="J22" s="20" t="n">
        <f aca="false">I22/I$4-1</f>
        <v>-0.000667743220149286</v>
      </c>
    </row>
    <row r="23" customFormat="false" ht="17.15" hidden="false" customHeight="false" outlineLevel="0" collapsed="false">
      <c r="A23" s="3" t="s">
        <v>972</v>
      </c>
      <c r="B23" s="0" t="s">
        <v>973</v>
      </c>
      <c r="C23" s="23" t="n">
        <f aca="false">E1048</f>
        <v>80.229394518</v>
      </c>
      <c r="D23" s="16" t="n">
        <f aca="false">E1059</f>
        <v>0.358325902739523</v>
      </c>
      <c r="E23" s="18" t="n">
        <f aca="false">E1068</f>
        <v>33.0611783576413</v>
      </c>
      <c r="F23" s="20" t="n">
        <f aca="false">E23/E$4-1</f>
        <v>0.000519536176785351</v>
      </c>
      <c r="G23" s="23" t="n">
        <f aca="false">F1048</f>
        <v>88.7637751405431</v>
      </c>
      <c r="H23" s="16" t="n">
        <f aca="false">F1059</f>
        <v>0.351779006221713</v>
      </c>
      <c r="I23" s="18" t="n">
        <f aca="false">F1068</f>
        <v>35.909518496751</v>
      </c>
      <c r="J23" s="20" t="n">
        <f aca="false">I23/I$4-1</f>
        <v>0.000335562392724142</v>
      </c>
    </row>
    <row r="24" customFormat="false" ht="17.15" hidden="false" customHeight="false" outlineLevel="0" collapsed="false">
      <c r="A24" s="3" t="s">
        <v>974</v>
      </c>
      <c r="B24" s="0" t="s">
        <v>975</v>
      </c>
      <c r="C24" s="23" t="n">
        <f aca="false">E1102</f>
        <v>80.229394518</v>
      </c>
      <c r="D24" s="16" t="n">
        <f aca="false">E1113</f>
        <v>0.35780999089807</v>
      </c>
      <c r="E24" s="18" t="n">
        <f aca="false">E1122</f>
        <v>33.0105738374919</v>
      </c>
      <c r="F24" s="20" t="n">
        <f aca="false">E24/E$4-1</f>
        <v>-0.0010118917257731</v>
      </c>
      <c r="G24" s="23" t="n">
        <f aca="false">F1102</f>
        <v>86.8463609656302</v>
      </c>
      <c r="H24" s="16" t="n">
        <f aca="false">F1113</f>
        <v>0.347201593651789</v>
      </c>
      <c r="I24" s="18" t="n">
        <f aca="false">F1122</f>
        <v>34.6392903318798</v>
      </c>
      <c r="J24" s="20" t="n">
        <f aca="false">I24/I$4-1</f>
        <v>-0.0350493288245846</v>
      </c>
    </row>
    <row r="25" customFormat="false" ht="17.15" hidden="false" customHeight="false" outlineLevel="0" collapsed="false">
      <c r="A25" s="3" t="s">
        <v>976</v>
      </c>
      <c r="B25" s="0" t="s">
        <v>977</v>
      </c>
      <c r="C25" s="23" t="n">
        <f aca="false">E1156</f>
        <v>80.229394518</v>
      </c>
      <c r="D25" s="16" t="n">
        <f aca="false">E1167</f>
        <v>0.358352085652811</v>
      </c>
      <c r="E25" s="18" t="n">
        <f aca="false">E1176</f>
        <v>33.0637465750315</v>
      </c>
      <c r="F25" s="20" t="n">
        <f aca="false">E25/E$4-1</f>
        <v>0.000597257292598075</v>
      </c>
      <c r="G25" s="23" t="n">
        <f aca="false">F1156</f>
        <v>88.7637751405431</v>
      </c>
      <c r="H25" s="16" t="n">
        <f aca="false">F1167</f>
        <v>0.351881134722161</v>
      </c>
      <c r="I25" s="18" t="n">
        <f aca="false">F1176</f>
        <v>35.9206016418783</v>
      </c>
      <c r="J25" s="20" t="n">
        <f aca="false">I25/I$4-1</f>
        <v>0.00064430683369876</v>
      </c>
    </row>
    <row r="26" customFormat="false" ht="17.15" hidden="false" customHeight="false" outlineLevel="0" collapsed="false">
      <c r="A26" s="3" t="s">
        <v>978</v>
      </c>
      <c r="B26" s="3" t="s">
        <v>979</v>
      </c>
      <c r="C26" s="23" t="n">
        <f aca="false">E1210</f>
        <v>78.8351674377528</v>
      </c>
      <c r="D26" s="16" t="n">
        <f aca="false">E1221</f>
        <v>0.35400338536628</v>
      </c>
      <c r="E26" s="18" t="n">
        <f aca="false">E1230</f>
        <v>32.066624490158</v>
      </c>
      <c r="F26" s="20" t="n">
        <f aca="false">E26/E$4-1</f>
        <v>-0.0295783194844074</v>
      </c>
      <c r="G26" s="23" t="n">
        <f aca="false">F1210</f>
        <v>86.4227396634181</v>
      </c>
      <c r="H26" s="16" t="n">
        <f aca="false">F1221</f>
        <v>0.346245105982951</v>
      </c>
      <c r="I26" s="18" t="n">
        <f aca="false">F1230</f>
        <v>34.3698612106963</v>
      </c>
      <c r="J26" s="20" t="n">
        <f aca="false">I26/I$4-1</f>
        <v>-0.042554846657928</v>
      </c>
    </row>
    <row r="27" customFormat="false" ht="17.15" hidden="false" customHeight="false" outlineLevel="0" collapsed="false">
      <c r="A27" s="3" t="s">
        <v>980</v>
      </c>
      <c r="C27" s="23" t="n">
        <f aca="false">E1264</f>
        <v>80.229394518</v>
      </c>
      <c r="D27" s="16" t="n">
        <f aca="false">E1275</f>
        <v>0.359265252134066</v>
      </c>
      <c r="E27" s="18" t="n">
        <f aca="false">E1284</f>
        <v>33.1533168230612</v>
      </c>
      <c r="F27" s="20" t="n">
        <f aca="false">E27/E$4-1</f>
        <v>0.00330789216605654</v>
      </c>
      <c r="G27" s="23" t="n">
        <f aca="false">F1264</f>
        <v>88.7637751405431</v>
      </c>
      <c r="H27" s="16" t="n">
        <f aca="false">F1275</f>
        <v>0.352429152897843</v>
      </c>
      <c r="I27" s="18" t="n">
        <f aca="false">F1284</f>
        <v>35.9800734342458</v>
      </c>
      <c r="J27" s="20" t="n">
        <f aca="false">I27/I$4-1</f>
        <v>0.002301019353246</v>
      </c>
    </row>
    <row r="28" customFormat="false" ht="17.15" hidden="false" customHeight="false" outlineLevel="0" collapsed="false">
      <c r="A28" s="3" t="s">
        <v>981</v>
      </c>
      <c r="B28" s="3" t="s">
        <v>982</v>
      </c>
      <c r="C28" s="23" t="n">
        <f aca="false">E1318</f>
        <v>80.229394518</v>
      </c>
      <c r="D28" s="16" t="n">
        <f aca="false">E1329</f>
        <v>0.35815087989632</v>
      </c>
      <c r="E28" s="18" t="n">
        <f aca="false">E1338</f>
        <v>32.7128370084263</v>
      </c>
      <c r="F28" s="20" t="n">
        <f aca="false">E28/E$4-1</f>
        <v>-0.0100222031822187</v>
      </c>
      <c r="G28" s="23" t="n">
        <f aca="false">F1318</f>
        <v>88.7637751405431</v>
      </c>
      <c r="H28" s="16" t="n">
        <f aca="false">F1329</f>
        <v>0.351668006704224</v>
      </c>
      <c r="I28" s="18" t="n">
        <f aca="false">F1338</f>
        <v>35.4110933056587</v>
      </c>
      <c r="J28" s="20" t="n">
        <f aca="false">I28/I$4-1</f>
        <v>-0.0135491251417844</v>
      </c>
    </row>
    <row r="29" customFormat="false" ht="17.15" hidden="false" customHeight="false" outlineLevel="0" collapsed="false">
      <c r="A29" s="3" t="s">
        <v>983</v>
      </c>
      <c r="B29" s="3" t="s">
        <v>984</v>
      </c>
      <c r="C29" s="23" t="n">
        <f aca="false">E1372</f>
        <v>80.229394518</v>
      </c>
      <c r="D29" s="16" t="n">
        <f aca="false">E1383</f>
        <v>0.35815087989632</v>
      </c>
      <c r="E29" s="18" t="n">
        <f aca="false">E1392</f>
        <v>31.7891749454938</v>
      </c>
      <c r="F29" s="20" t="n">
        <f aca="false">E29/E$4-1</f>
        <v>-0.0379746835443037</v>
      </c>
      <c r="G29" s="23" t="n">
        <f aca="false">F1372</f>
        <v>88.7637751405431</v>
      </c>
      <c r="H29" s="16" t="n">
        <f aca="false">F1383</f>
        <v>0.351668006704224</v>
      </c>
      <c r="I29" s="18" t="n">
        <f aca="false">F1392</f>
        <v>34.5342774908227</v>
      </c>
      <c r="J29" s="20" t="n">
        <f aca="false">I29/I$4-1</f>
        <v>-0.0379746835443038</v>
      </c>
    </row>
    <row r="30" customFormat="false" ht="17.15" hidden="false" customHeight="false" outlineLevel="0" collapsed="false">
      <c r="A30" s="3" t="s">
        <v>985</v>
      </c>
      <c r="B30" s="3" t="s">
        <v>986</v>
      </c>
      <c r="C30" s="23" t="n">
        <f aca="false">E1426</f>
        <v>80.229394518</v>
      </c>
      <c r="D30" s="16" t="n">
        <f aca="false">E1437</f>
        <v>0.35815087989632</v>
      </c>
      <c r="E30" s="18" t="n">
        <f aca="false">E1446</f>
        <v>32.3104577088612</v>
      </c>
      <c r="F30" s="20" t="n">
        <f aca="false">E30/E$4-1</f>
        <v>-0.0221992752095077</v>
      </c>
      <c r="G30" s="23" t="n">
        <f aca="false">F1426</f>
        <v>88.7637751405431</v>
      </c>
      <c r="H30" s="16" t="n">
        <f aca="false">F1437</f>
        <v>0.351668006704224</v>
      </c>
      <c r="I30" s="18" t="n">
        <f aca="false">F1446</f>
        <v>35.16391956519</v>
      </c>
      <c r="J30" s="20" t="n">
        <f aca="false">I30/I$4-1</f>
        <v>-0.0204346722900381</v>
      </c>
    </row>
    <row r="31" customFormat="false" ht="17.15" hidden="false" customHeight="false" outlineLevel="0" collapsed="false">
      <c r="A31" s="3" t="s">
        <v>987</v>
      </c>
      <c r="B31" s="0" t="s">
        <v>988</v>
      </c>
      <c r="C31" s="23" t="n">
        <f aca="false">PL!E140</f>
        <v>79.283028118</v>
      </c>
      <c r="D31" s="16" t="n">
        <f aca="false">PL!E151</f>
        <v>0.357651345480496</v>
      </c>
      <c r="E31" s="18" t="n">
        <f aca="false">PL!E160</f>
        <v>32.6035041480335</v>
      </c>
      <c r="F31" s="20" t="n">
        <f aca="false">E31/E$4-1</f>
        <v>-0.0133309074753851</v>
      </c>
      <c r="G31" s="23" t="n">
        <f aca="false">PL!F140</f>
        <v>79.8564386946343</v>
      </c>
      <c r="H31" s="16" t="n">
        <f aca="false">PL!F151</f>
        <v>0.334085362106327</v>
      </c>
      <c r="I31" s="18" t="n">
        <f aca="false">PL!F160</f>
        <v>30.5413109806637</v>
      </c>
      <c r="J31" s="20" t="n">
        <f aca="false">I31/I$4-1</f>
        <v>-0.14920720814406</v>
      </c>
    </row>
    <row r="32" customFormat="false" ht="17.15" hidden="false" customHeight="false" outlineLevel="0" collapsed="false">
      <c r="A32" s="3" t="s">
        <v>989</v>
      </c>
      <c r="B32" s="0" t="s">
        <v>990</v>
      </c>
      <c r="C32" s="23" t="n">
        <f aca="false">PL!E194</f>
        <v>77.390295318</v>
      </c>
      <c r="D32" s="16" t="n">
        <f aca="false">PL!E205</f>
        <v>0.356615625341225</v>
      </c>
      <c r="E32" s="18" t="n">
        <f aca="false">PL!E214</f>
        <v>31.7224908468899</v>
      </c>
      <c r="F32" s="20" t="n">
        <f aca="false">E32/E$4-1</f>
        <v>-0.039992722426155</v>
      </c>
      <c r="G32" s="23" t="n">
        <f aca="false">PL!F194</f>
        <v>67.6904280818082</v>
      </c>
      <c r="H32" s="16" t="n">
        <f aca="false">PL!F205</f>
        <v>0.303124106616406</v>
      </c>
      <c r="I32" s="18" t="n">
        <f aca="false">PL!F214</f>
        <v>23.2735940473187</v>
      </c>
      <c r="J32" s="20" t="n">
        <f aca="false">I32/I$4-1</f>
        <v>-0.351664829693249</v>
      </c>
    </row>
    <row r="34" customFormat="false" ht="17.15" hidden="false" customHeight="false" outlineLevel="0" collapsed="false">
      <c r="A34" s="3" t="s">
        <v>991</v>
      </c>
    </row>
    <row r="36" customFormat="false" ht="17.15" hidden="false" customHeight="false" outlineLevel="0" collapsed="false">
      <c r="A36" s="1" t="s">
        <v>992</v>
      </c>
    </row>
    <row r="37" customFormat="false" ht="17.15" hidden="false" customHeight="false" outlineLevel="0" collapsed="false">
      <c r="A37" s="4" t="s">
        <v>929</v>
      </c>
      <c r="B37" s="4" t="s">
        <v>930</v>
      </c>
      <c r="C37" s="13" t="s">
        <v>993</v>
      </c>
      <c r="D37" s="13" t="s">
        <v>866</v>
      </c>
      <c r="E37" s="4" t="s">
        <v>994</v>
      </c>
      <c r="F37" s="4" t="s">
        <v>995</v>
      </c>
    </row>
    <row r="38" customFormat="false" ht="17.15" hidden="false" customHeight="false" outlineLevel="0" collapsed="false">
      <c r="A38" s="3" t="s">
        <v>24</v>
      </c>
      <c r="B38" s="0" t="s">
        <v>996</v>
      </c>
      <c r="C38" s="23" t="n">
        <f aca="false">(tp_wA*MAX(0,SUMPRODUCT(Val!B16:B21,1/(1+tp_r)^{1;2;3;4;5;6})+Val!B21*(1+tp_g)/(tp_r-tp_g)/(1+tp_r)^6)+tp_wB*MAX(0,SUMPRODUCT(Val!C16:C21,1/(1+tp_r)^{1;2;3;4;5;6})+Val!C21*(1+tp_g)/(tp_r-tp_g)/(1+tp_r)^6)+tp_wC*MAX(0,SUMPRODUCT(Val!D16:D21,1/(1+tp_r)^{1;2;3;4;5;6})+Val!D21*(1+tp_g)/(tp_r-tp_g)/(1+tp_r)^6))*(1+tp_r)</f>
        <v>464.265407276297</v>
      </c>
      <c r="D38" s="23" t="n">
        <f aca="false">tp_comp_adj</f>
        <v>2229.4905101198</v>
      </c>
      <c r="E38" s="23" t="n">
        <f aca="false">tp_w_dcf*C38+(1-tp_w_dcf)*D38</f>
        <v>1346.87795869805</v>
      </c>
      <c r="F38" s="20" t="n">
        <f aca="false">E38/E$38-1</f>
        <v>0</v>
      </c>
    </row>
    <row r="39" customFormat="false" ht="17.15" hidden="false" customHeight="false" outlineLevel="0" collapsed="false">
      <c r="A39" s="3" t="s">
        <v>997</v>
      </c>
      <c r="B39" s="0" t="s">
        <v>998</v>
      </c>
      <c r="C39" s="23" t="n">
        <f aca="false">(tp_wA*MAX(0,SUMPRODUCT(Val!B16:B21,1/(1+(tp_r+0.01))^{1;2;3;4;5;6})+Val!B21*(1+tp_g)/((tp_r+0.01)-tp_g)/(1+(tp_r+0.01))^6)+tp_wB*MAX(0,SUMPRODUCT(Val!C16:C21,1/(1+(tp_r+0.01))^{1;2;3;4;5;6})+Val!C21*(1+tp_g)/((tp_r+0.01)-tp_g)/(1+(tp_r+0.01))^6)+tp_wC*MAX(0,SUMPRODUCT(Val!D16:D21,1/(1+(tp_r+0.01))^{1;2;3;4;5;6})+Val!D21*(1+tp_g)/((tp_r+0.01)-tp_g)/(1+(tp_r+0.01))^6))*(1+(tp_r+0.01))</f>
        <v>399.219422518201</v>
      </c>
      <c r="D39" s="23" t="n">
        <f aca="false">tp_comp_adj</f>
        <v>2229.4905101198</v>
      </c>
      <c r="E39" s="23" t="n">
        <f aca="false">tp_w_dcf*C39+(1-tp_w_dcf)*D39</f>
        <v>1314.354966319</v>
      </c>
      <c r="F39" s="20" t="n">
        <f aca="false">E39/E$38-1</f>
        <v>-0.0241469482583901</v>
      </c>
    </row>
    <row r="40" customFormat="false" ht="17.15" hidden="false" customHeight="false" outlineLevel="0" collapsed="false">
      <c r="A40" s="3" t="s">
        <v>999</v>
      </c>
      <c r="B40" s="0" t="s">
        <v>1000</v>
      </c>
      <c r="C40" s="23" t="n">
        <f aca="false">(tp_wA*MAX(0,SUMPRODUCT(Val!B16:B21,1/(1+(tp_r-0.01))^{1;2;3;4;5;6})+Val!B21*(1+tp_g)/((tp_r-0.01)-tp_g)/(1+(tp_r-0.01))^6)+tp_wB*MAX(0,SUMPRODUCT(Val!C16:C21,1/(1+(tp_r-0.01))^{1;2;3;4;5;6})+Val!C21*(1+tp_g)/((tp_r-0.01)-tp_g)/(1+(tp_r-0.01))^6)+tp_wC*MAX(0,SUMPRODUCT(Val!D16:D21,1/(1+(tp_r-0.01))^{1;2;3;4;5;6})+Val!D21*(1+tp_g)/((tp_r-0.01)-tp_g)/(1+(tp_r-0.01))^6))*(1+(tp_r-0.01))</f>
        <v>555.383395798586</v>
      </c>
      <c r="D40" s="23" t="n">
        <f aca="false">tp_comp_adj</f>
        <v>2229.4905101198</v>
      </c>
      <c r="E40" s="23" t="n">
        <f aca="false">tp_w_dcf*C40+(1-tp_w_dcf)*D40</f>
        <v>1392.43695295919</v>
      </c>
      <c r="F40" s="20" t="n">
        <f aca="false">E40/E$38-1</f>
        <v>0.0338256290905405</v>
      </c>
    </row>
    <row r="41" customFormat="false" ht="17.15" hidden="false" customHeight="false" outlineLevel="0" collapsed="false">
      <c r="A41" s="3" t="s">
        <v>1001</v>
      </c>
      <c r="B41" s="0" t="s">
        <v>1002</v>
      </c>
      <c r="C41" s="23" t="n">
        <f aca="false">(tp_wA*MAX(0,SUMPRODUCT(Val!B16:B21,1/(1+tp_r)^{1;2;3;4;5;6})+Val!B21*(1+(tp_g+0.01))/(tp_r-(tp_g+0.01))/(1+tp_r)^6)+tp_wB*MAX(0,SUMPRODUCT(Val!C16:C21,1/(1+tp_r)^{1;2;3;4;5;6})+Val!C21*(1+(tp_g+0.01))/(tp_r-(tp_g+0.01))/(1+tp_r)^6)+tp_wC*MAX(0,SUMPRODUCT(Val!D16:D21,1/(1+tp_r)^{1;2;3;4;5;6})+Val!D21*(1+(tp_g+0.01))/(tp_r-(tp_g+0.01))/(1+tp_r)^6))*(1+tp_r)</f>
        <v>537.1872257643</v>
      </c>
      <c r="D41" s="23" t="n">
        <f aca="false">tp_comp_adj</f>
        <v>2229.4905101198</v>
      </c>
      <c r="E41" s="23" t="n">
        <f aca="false">tp_w_dcf*C41+(1-tp_w_dcf)*D41</f>
        <v>1383.33886794205</v>
      </c>
      <c r="F41" s="20" t="n">
        <f aca="false">E41/E$38-1</f>
        <v>0.0270706852157909</v>
      </c>
    </row>
    <row r="42" customFormat="false" ht="17.15" hidden="false" customHeight="false" outlineLevel="0" collapsed="false">
      <c r="A42" s="3" t="s">
        <v>1003</v>
      </c>
      <c r="B42" s="0" t="s">
        <v>1004</v>
      </c>
      <c r="C42" s="23" t="n">
        <f aca="false">(tp_wA*MAX(0,SUMPRODUCT(Val!B16:B21,1/(1+tp_r)^{1;2;3;4;5;6})+Val!B21*(1+(tp_g-0.01))/(tp_r-(tp_g-0.01))/(1+tp_r)^6)+tp_wB*MAX(0,SUMPRODUCT(Val!C16:C21,1/(1+tp_r)^{1;2;3;4;5;6})+Val!C21*(1+(tp_g-0.01))/(tp_r-(tp_g-0.01))/(1+tp_r)^6)+tp_wC*MAX(0,SUMPRODUCT(Val!D16:D21,1/(1+tp_r)^{1;2;3;4;5;6})+Val!D21*(1+(tp_g-0.01))/(tp_r-(tp_g-0.01))/(1+tp_r)^6))*(1+tp_r)</f>
        <v>412.17839407058</v>
      </c>
      <c r="D42" s="23" t="n">
        <f aca="false">tp_comp_adj</f>
        <v>2229.4905101198</v>
      </c>
      <c r="E42" s="23" t="n">
        <f aca="false">tp_w_dcf*C42+(1-tp_w_dcf)*D42</f>
        <v>1320.83445209519</v>
      </c>
      <c r="F42" s="20" t="n">
        <f aca="false">E42/E$38-1</f>
        <v>-0.0193362037255648</v>
      </c>
    </row>
    <row r="43" customFormat="false" ht="17.15" hidden="false" customHeight="false" outlineLevel="0" collapsed="false">
      <c r="A43" s="0" t="s">
        <v>1005</v>
      </c>
      <c r="C43" s="23" t="n">
        <f aca="false">(tp_wA*MAX(0,SUMPRODUCT(Val!B16:B21,1/(1+tp_r)^{1;2;3;4;5;6})+Val!B21*(1+tp_g)/(tp_r-tp_g)/(1+tp_r)^6)+tp_wB*MAX(0,SUMPRODUCT(Val!C16:C21,1/(1+tp_r)^{1;2;3;4;5;6})+Val!C21*(1+tp_g)/(tp_r-tp_g)/(1+tp_r)^6)+tp_wC*MAX(0,SUMPRODUCT(Val!D16:D21,1/(1+tp_r)^{1;2;3;4;5;6})+Val!D21*(1+tp_g)/(tp_r-tp_g)/(1+tp_r)^6))*(1+tp_r)</f>
        <v>464.265407276297</v>
      </c>
      <c r="D43" s="23" t="n">
        <f aca="false">tp_comp_adj</f>
        <v>2229.4905101198</v>
      </c>
      <c r="E43" s="23" t="n">
        <f aca="false">0.3*C43+(1-0.3)*D43</f>
        <v>1699.92297926675</v>
      </c>
      <c r="F43" s="20" t="n">
        <f aca="false">E43/E$38-1</f>
        <v>0.262121017192953</v>
      </c>
    </row>
    <row r="44" customFormat="false" ht="17.15" hidden="false" customHeight="false" outlineLevel="0" collapsed="false">
      <c r="A44" s="0" t="s">
        <v>1006</v>
      </c>
      <c r="C44" s="23" t="n">
        <f aca="false">(tp_wA*MAX(0,SUMPRODUCT(Val!B16:B21,1/(1+tp_r)^{1;2;3;4;5;6})+Val!B21*(1+tp_g)/(tp_r-tp_g)/(1+tp_r)^6)+tp_wB*MAX(0,SUMPRODUCT(Val!C16:C21,1/(1+tp_r)^{1;2;3;4;5;6})+Val!C21*(1+tp_g)/(tp_r-tp_g)/(1+tp_r)^6)+tp_wC*MAX(0,SUMPRODUCT(Val!D16:D21,1/(1+tp_r)^{1;2;3;4;5;6})+Val!D21*(1+tp_g)/(tp_r-tp_g)/(1+tp_r)^6))*(1+tp_r)</f>
        <v>464.265407276297</v>
      </c>
      <c r="D44" s="23" t="n">
        <f aca="false">tp_comp_adj</f>
        <v>2229.4905101198</v>
      </c>
      <c r="E44" s="23" t="n">
        <f aca="false">0.7*C44+(1-0.7)*D44</f>
        <v>993.832938129349</v>
      </c>
      <c r="F44" s="20" t="n">
        <f aca="false">E44/E$38-1</f>
        <v>-0.262121017192953</v>
      </c>
    </row>
    <row r="50" customFormat="false" ht="17.15" hidden="false" customHeight="false" outlineLevel="0" collapsed="false">
      <c r="A50" s="1" t="s">
        <v>1007</v>
      </c>
    </row>
    <row r="51" customFormat="false" ht="17.15" hidden="false" customHeight="false" outlineLevel="0" collapsed="false">
      <c r="A51" s="4" t="s">
        <v>21</v>
      </c>
      <c r="B51" s="4" t="s">
        <v>22</v>
      </c>
      <c r="C51" s="13" t="s">
        <v>498</v>
      </c>
      <c r="D51" s="13" t="s">
        <v>585</v>
      </c>
      <c r="E51" s="13" t="s">
        <v>586</v>
      </c>
      <c r="F51" s="13" t="s">
        <v>587</v>
      </c>
      <c r="G51" s="13" t="s">
        <v>588</v>
      </c>
      <c r="H51" s="13" t="s">
        <v>589</v>
      </c>
      <c r="I51" s="13" t="s">
        <v>590</v>
      </c>
      <c r="J51" s="13" t="s">
        <v>591</v>
      </c>
      <c r="K51" s="4" t="s">
        <v>553</v>
      </c>
    </row>
    <row r="52" customFormat="false" ht="17.15" hidden="false" customHeight="false" outlineLevel="0" collapsed="false">
      <c r="A52" s="5" t="s">
        <v>609</v>
      </c>
    </row>
    <row r="53" customFormat="false" ht="17.15" hidden="false" customHeight="false" outlineLevel="0" collapsed="false">
      <c r="A53" s="0" t="s">
        <v>610</v>
      </c>
      <c r="B53" s="3" t="s">
        <v>32</v>
      </c>
      <c r="D53" s="21" t="n">
        <f aca="false">(u_bw_26+u_rb_26+u_ru_26+u_hp_26)*1</f>
        <v>7.6</v>
      </c>
      <c r="E53" s="21" t="n">
        <f aca="false">(u_bw_27+u_rb_27+u_ru_27+u_hp_27)*1*0.8</f>
        <v>7.76</v>
      </c>
      <c r="F53" s="21" t="n">
        <f aca="false">(u_bw_28+u_rb_28+u_ru_28+u_hp_28)*um28_A*0.8</f>
        <v>7.6</v>
      </c>
      <c r="G53" s="21" t="n">
        <f aca="false">(u_bw_28*(1+g29_bw)+u_rb_28*(1+g29_rb)+u_ru_28*(1+g29_ru)+u_hp_28*(1+g29_hp))*um29_A*0.8</f>
        <v>8.48</v>
      </c>
      <c r="K53" s="7" t="s">
        <v>611</v>
      </c>
    </row>
    <row r="54" customFormat="false" ht="17.15" hidden="false" customHeight="false" outlineLevel="0" collapsed="false">
      <c r="A54" s="3" t="s">
        <v>612</v>
      </c>
      <c r="B54" s="3" t="s">
        <v>32</v>
      </c>
      <c r="D54" s="21" t="n">
        <f aca="false">(u_amd_26+u_tpu_26+u_trn_26+u_oth_26)*1</f>
        <v>7.6</v>
      </c>
      <c r="E54" s="21" t="n">
        <f aca="false">(u_amd_27+u_tpu_27+u_trn_27+u_oth_27)*1*0.8</f>
        <v>11.2</v>
      </c>
      <c r="F54" s="21" t="n">
        <f aca="false">(u_amd_28+u_tpu_28+u_trn_28+u_oth_28)*um28_A*0.8</f>
        <v>13.6</v>
      </c>
      <c r="G54" s="21" t="n">
        <f aca="false">(u_amd_28*(1+g29_amd)+u_tpu_28*(1+g29_tpu)+u_trn_28*(1+g29_trn)+u_oth_28*(1+g29_oth))*um29_A*0.8</f>
        <v>15.64</v>
      </c>
      <c r="K54" s="7" t="s">
        <v>613</v>
      </c>
    </row>
    <row r="55" customFormat="false" ht="17.15" hidden="false" customHeight="false" outlineLevel="0" collapsed="false">
      <c r="A55" s="3" t="s">
        <v>614</v>
      </c>
      <c r="B55" s="0" t="s">
        <v>154</v>
      </c>
      <c r="D55" s="19" t="n">
        <f aca="false">1</f>
        <v>1</v>
      </c>
      <c r="E55" s="19" t="n">
        <f aca="false">D55*(1+g_asp)</f>
        <v>1.18</v>
      </c>
      <c r="F55" s="19" t="n">
        <f aca="false">E55*(1+g_asp)</f>
        <v>1.3924</v>
      </c>
      <c r="G55" s="19" t="n">
        <f aca="false">F55*(1+g_asp)</f>
        <v>1.643032</v>
      </c>
      <c r="K55" s="7" t="s">
        <v>615</v>
      </c>
    </row>
    <row r="56" customFormat="false" ht="17.15" hidden="false" customHeight="false" outlineLevel="0" collapsed="false">
      <c r="A56" s="0" t="s">
        <v>616</v>
      </c>
      <c r="B56" s="0" t="s">
        <v>154</v>
      </c>
      <c r="D56" s="18" t="n">
        <f aca="false">1</f>
        <v>1</v>
      </c>
      <c r="E56" s="18" t="n">
        <f aca="false">ibpp_27</f>
        <v>1</v>
      </c>
      <c r="F56" s="18" t="n">
        <f aca="false">ibpp_28</f>
        <v>0.95</v>
      </c>
      <c r="G56" s="18" t="n">
        <f aca="false">ibpp_29</f>
        <v>0.9</v>
      </c>
      <c r="K56" s="7" t="s">
        <v>617</v>
      </c>
    </row>
    <row r="57" customFormat="false" ht="17.15" hidden="false" customHeight="false" outlineLevel="0" collapsed="false">
      <c r="A57" s="3" t="s">
        <v>618</v>
      </c>
      <c r="B57" s="0" t="s">
        <v>154</v>
      </c>
      <c r="D57" s="18" t="n">
        <f aca="false">1</f>
        <v>1</v>
      </c>
      <c r="E57" s="18" t="n">
        <f aca="false">1+carry</f>
        <v>1.15</v>
      </c>
      <c r="F57" s="18" t="n">
        <f aca="false">1+carry</f>
        <v>1.15</v>
      </c>
      <c r="G57" s="18" t="n">
        <f aca="false">1+carry</f>
        <v>1.15</v>
      </c>
      <c r="K57" s="7" t="s">
        <v>619</v>
      </c>
    </row>
    <row r="58" customFormat="false" ht="17.15" hidden="false" customHeight="false" outlineLevel="0" collapsed="false">
      <c r="A58" s="3" t="s">
        <v>620</v>
      </c>
      <c r="B58" s="0" t="s">
        <v>621</v>
      </c>
      <c r="D58" s="23" t="n">
        <f aca="false">v26*D55*D56</f>
        <v>215.308596</v>
      </c>
      <c r="E58" s="23" t="n">
        <f aca="false">v26*E55*E56</f>
        <v>254.06414328</v>
      </c>
      <c r="F58" s="23" t="n">
        <f aca="false">v26*F55*F56</f>
        <v>284.80590461688</v>
      </c>
      <c r="G58" s="23" t="n">
        <f aca="false">v26*G55*G56</f>
        <v>318.383021792765</v>
      </c>
      <c r="K58" s="7" t="s">
        <v>622</v>
      </c>
    </row>
    <row r="59" customFormat="false" ht="17.15" hidden="false" customHeight="false" outlineLevel="0" collapsed="false">
      <c r="A59" s="3" t="s">
        <v>623</v>
      </c>
      <c r="B59" s="0" t="s">
        <v>44</v>
      </c>
      <c r="D59" s="20" t="n">
        <f aca="false">sh_nv_26</f>
        <v>0.02</v>
      </c>
      <c r="E59" s="20" t="n">
        <f aca="false">sh_nv_27</f>
        <v>0.03</v>
      </c>
      <c r="F59" s="20" t="n">
        <f aca="false">sh_nv_28</f>
        <v>0.04</v>
      </c>
      <c r="G59" s="20" t="n">
        <f aca="false">sh_nv_29</f>
        <v>0.04</v>
      </c>
    </row>
    <row r="60" customFormat="false" ht="17.15" hidden="false" customHeight="false" outlineLevel="0" collapsed="false">
      <c r="A60" s="3" t="s">
        <v>624</v>
      </c>
      <c r="B60" s="0" t="s">
        <v>44</v>
      </c>
      <c r="D60" s="20" t="n">
        <f aca="false">sh_ot_26</f>
        <v>0.05</v>
      </c>
      <c r="E60" s="20" t="n">
        <f aca="false">sh_ot_27</f>
        <v>0.06</v>
      </c>
      <c r="F60" s="20" t="n">
        <f aca="false">sh_ot_28</f>
        <v>0.07</v>
      </c>
      <c r="G60" s="20" t="n">
        <f aca="false">sh_ot_29</f>
        <v>0.07</v>
      </c>
    </row>
    <row r="61" customFormat="false" ht="17.15" hidden="false" customHeight="false" outlineLevel="0" collapsed="false">
      <c r="A61" s="3" t="s">
        <v>625</v>
      </c>
      <c r="B61" s="0" t="s">
        <v>575</v>
      </c>
      <c r="D61" s="22" t="n">
        <f aca="false">(D53*D58*D59+D54*D58*v_ot*D60)*D57</f>
        <v>98.180719776</v>
      </c>
      <c r="E61" s="22" t="n">
        <f aca="false">(E53*E58*E59+E54*E58*v_ot*E60)*E57</f>
        <v>225.090668380349</v>
      </c>
      <c r="F61" s="22" t="n">
        <f aca="false">(F53*F58*F59+F54*F58*v_ot*F60)*F57</f>
        <v>349.012547753709</v>
      </c>
      <c r="G61" s="22" t="n">
        <f aca="false">(G53*G58*G59+G54*G58*v_ot*G60)*G57</f>
        <v>444.875322818943</v>
      </c>
    </row>
    <row r="62" customFormat="false" ht="15" hidden="false" customHeight="false" outlineLevel="0" collapsed="false">
      <c r="A62" s="3" t="s">
        <v>626</v>
      </c>
      <c r="B62" s="0" t="s">
        <v>333</v>
      </c>
      <c r="D62" s="21" t="n">
        <f aca="false">D61*fx/1000</f>
        <v>3.141783032832</v>
      </c>
      <c r="E62" s="21" t="n">
        <f aca="false">E61*fx/1000</f>
        <v>7.20290138817116</v>
      </c>
      <c r="F62" s="21" t="n">
        <f aca="false">F61*fx/1000</f>
        <v>11.1684015281187</v>
      </c>
      <c r="G62" s="21" t="n">
        <f aca="false">G61*fx/1000</f>
        <v>14.2360103302062</v>
      </c>
    </row>
    <row r="63" customFormat="false" ht="17.15" hidden="false" customHeight="false" outlineLevel="0" collapsed="false">
      <c r="A63" s="5" t="s">
        <v>627</v>
      </c>
    </row>
    <row r="64" customFormat="false" ht="17.15" hidden="false" customHeight="false" outlineLevel="0" collapsed="false">
      <c r="A64" s="0" t="s">
        <v>628</v>
      </c>
      <c r="B64" s="0" t="s">
        <v>333</v>
      </c>
      <c r="D64" s="21" t="n">
        <f aca="false">a26_abf*ai_abf</f>
        <v>22.2987583</v>
      </c>
      <c r="K64" s="3" t="s">
        <v>629</v>
      </c>
    </row>
    <row r="65" customFormat="false" ht="17.15" hidden="false" customHeight="false" outlineLevel="0" collapsed="false">
      <c r="A65" s="3" t="s">
        <v>630</v>
      </c>
      <c r="B65" s="0" t="s">
        <v>333</v>
      </c>
      <c r="D65" s="21" t="n">
        <f aca="false">D64-D62</f>
        <v>19.156975267168</v>
      </c>
      <c r="E65" s="21" t="n">
        <f aca="false">$D65*(swm_27/swm_26)^el_o*1*0.8*E56*E57</f>
        <v>24.6514978474384</v>
      </c>
      <c r="F65" s="21" t="n">
        <f aca="false">$D65*(swm_28/swm_26)^el_o*um28_A*0.8*F56*F57</f>
        <v>25.1928777231856</v>
      </c>
      <c r="G65" s="21" t="n">
        <f aca="false">$D65*(swm_29/swm_26)^el_o*um29_A*0.8*G56*G57</f>
        <v>25.461438779789</v>
      </c>
      <c r="K65" s="7" t="s">
        <v>631</v>
      </c>
    </row>
    <row r="66" customFormat="false" ht="17.15" hidden="false" customHeight="false" outlineLevel="0" collapsed="false">
      <c r="A66" s="3" t="s">
        <v>632</v>
      </c>
      <c r="B66" s="0" t="s">
        <v>333</v>
      </c>
      <c r="D66" s="21" t="n">
        <f aca="false">a26_abf-D64</f>
        <v>12.0070237</v>
      </c>
      <c r="E66" s="21" t="n">
        <f aca="false">D66*(1+g_nai)</f>
        <v>12.367234411</v>
      </c>
      <c r="F66" s="21" t="n">
        <f aca="false">E66*(1+g_nai)</f>
        <v>12.73825144333</v>
      </c>
      <c r="G66" s="21" t="n">
        <f aca="false">F66*(1+g_nai)</f>
        <v>13.1203989866299</v>
      </c>
    </row>
    <row r="67" customFormat="false" ht="17.15" hidden="false" customHeight="false" outlineLevel="0" collapsed="false">
      <c r="A67" s="0" t="s">
        <v>633</v>
      </c>
      <c r="B67" s="0" t="s">
        <v>333</v>
      </c>
      <c r="D67" s="21" t="n">
        <f aca="false">D62+D65+D66</f>
        <v>34.305782</v>
      </c>
      <c r="E67" s="21" t="n">
        <f aca="false">E62+E65+E66</f>
        <v>44.2216336466096</v>
      </c>
      <c r="F67" s="21" t="n">
        <f aca="false">F62+F65+F66</f>
        <v>49.0995306946343</v>
      </c>
      <c r="G67" s="21" t="n">
        <f aca="false">G62+G65+G66</f>
        <v>52.8178480966251</v>
      </c>
    </row>
    <row r="68" customFormat="false" ht="17.15" hidden="false" customHeight="false" outlineLevel="0" collapsed="false">
      <c r="A68" s="0" t="s">
        <v>634</v>
      </c>
      <c r="B68" s="0" t="s">
        <v>333</v>
      </c>
      <c r="D68" s="21" t="n">
        <f aca="false">a26_abf</f>
        <v>34.305782</v>
      </c>
      <c r="E68" s="21" t="n">
        <f aca="false">$D67*cap_27*(1+g_mix)^1*E56*E57</f>
        <v>49.709078118</v>
      </c>
      <c r="F68" s="21" t="n">
        <f aca="false">$D67*cap_28*(1+g_mix)^2*F56*F57</f>
        <v>55.7829061005431</v>
      </c>
      <c r="G68" s="21" t="n">
        <f aca="false">$D67*cap_29*(1+g_mix)^3*G56*G57</f>
        <v>65.765110350114</v>
      </c>
      <c r="K68" s="7" t="s">
        <v>635</v>
      </c>
    </row>
    <row r="69" customFormat="false" ht="17.15" hidden="false" customHeight="false" outlineLevel="0" collapsed="false">
      <c r="A69" s="0" t="s">
        <v>636</v>
      </c>
      <c r="B69" s="0" t="s">
        <v>333</v>
      </c>
      <c r="D69" s="21" t="n">
        <f aca="false">a26_abf</f>
        <v>34.305782</v>
      </c>
      <c r="E69" s="21" t="n">
        <f aca="false">MIN(E67,E68)</f>
        <v>44.2216336466096</v>
      </c>
      <c r="F69" s="21" t="n">
        <f aca="false">MIN(F67,F68)</f>
        <v>49.0995306946343</v>
      </c>
      <c r="G69" s="21" t="n">
        <f aca="false">MIN(G67,G68)</f>
        <v>52.8178480966251</v>
      </c>
    </row>
    <row r="70" customFormat="false" ht="17.15" hidden="false" customHeight="false" outlineLevel="0" collapsed="false">
      <c r="A70" s="3" t="s">
        <v>637</v>
      </c>
      <c r="B70" s="0" t="s">
        <v>44</v>
      </c>
      <c r="D70" s="20" t="n">
        <f aca="false">D69/D67</f>
        <v>1</v>
      </c>
      <c r="E70" s="20" t="n">
        <f aca="false">E69/E67</f>
        <v>1</v>
      </c>
      <c r="F70" s="20" t="n">
        <f aca="false">F69/F67</f>
        <v>1</v>
      </c>
      <c r="G70" s="20" t="n">
        <f aca="false">G69/G67</f>
        <v>1</v>
      </c>
    </row>
    <row r="71" customFormat="false" ht="17.15" hidden="false" customHeight="false" outlineLevel="0" collapsed="false">
      <c r="A71" s="0" t="s">
        <v>638</v>
      </c>
      <c r="B71" s="0" t="s">
        <v>333</v>
      </c>
      <c r="D71" s="21" t="n">
        <f aca="false">(D62+D65)*D70</f>
        <v>22.2987583</v>
      </c>
      <c r="E71" s="21" t="n">
        <f aca="false">(E62+E65)*E70</f>
        <v>31.8543992356096</v>
      </c>
      <c r="F71" s="21" t="n">
        <f aca="false">(F62+F65)*F70</f>
        <v>36.3612792513043</v>
      </c>
      <c r="G71" s="21" t="n">
        <f aca="false">(G62+G65)*G70</f>
        <v>39.6974491099952</v>
      </c>
    </row>
    <row r="72" customFormat="false" ht="17.15" hidden="false" customHeight="false" outlineLevel="0" collapsed="false">
      <c r="A72" s="3" t="s">
        <v>639</v>
      </c>
      <c r="B72" s="0" t="s">
        <v>44</v>
      </c>
      <c r="D72" s="20" t="n">
        <f aca="false">D62/(D62+D65)</f>
        <v>0.140894976776891</v>
      </c>
      <c r="E72" s="20" t="n">
        <f aca="false">E62/(E62+E65)</f>
        <v>0.226119517586731</v>
      </c>
      <c r="F72" s="20" t="n">
        <f aca="false">F62/(F62+F65)</f>
        <v>0.307150951728908</v>
      </c>
      <c r="G72" s="20" t="n">
        <f aca="false">G62/(G62+G65)</f>
        <v>0.358612723219583</v>
      </c>
    </row>
    <row r="73" customFormat="false" ht="17.15" hidden="false" customHeight="false" outlineLevel="0" collapsed="false">
      <c r="A73" s="5" t="s">
        <v>640</v>
      </c>
    </row>
    <row r="74" customFormat="false" ht="17.15" hidden="false" customHeight="false" outlineLevel="0" collapsed="false">
      <c r="A74" s="0" t="s">
        <v>641</v>
      </c>
      <c r="B74" s="0" t="s">
        <v>333</v>
      </c>
      <c r="D74" s="21" t="n">
        <f aca="false">a26_bt</f>
        <v>18.927328</v>
      </c>
      <c r="E74" s="21" t="n">
        <f aca="false">D74*(1+g_bt27_A)</f>
        <v>24.6055264</v>
      </c>
      <c r="F74" s="21" t="n">
        <f aca="false">E74*(1+g_bt28_A)</f>
        <v>27.06607904</v>
      </c>
      <c r="G74" s="21" t="n">
        <f aca="false">F74*(1+g_bt29_A)</f>
        <v>28.419382992</v>
      </c>
      <c r="K74" s="7" t="s">
        <v>642</v>
      </c>
    </row>
    <row r="75" customFormat="false" ht="17.15" hidden="false" customHeight="false" outlineLevel="0" collapsed="false">
      <c r="A75" s="0" t="s">
        <v>540</v>
      </c>
      <c r="B75" s="0" t="s">
        <v>333</v>
      </c>
      <c r="D75" s="21" t="n">
        <f aca="false">a26_pcb</f>
        <v>5.91479</v>
      </c>
      <c r="E75" s="21" t="n">
        <f aca="false">D75*(1+g_pcb)</f>
        <v>5.91479</v>
      </c>
      <c r="F75" s="21" t="n">
        <f aca="false">E75*(1+g_pcb)</f>
        <v>5.91479</v>
      </c>
      <c r="G75" s="21" t="n">
        <f aca="false">F75*(1+g_pcb)</f>
        <v>5.91479</v>
      </c>
    </row>
    <row r="76" customFormat="false" ht="17.15" hidden="false" customHeight="false" outlineLevel="0" collapsed="false">
      <c r="A76" s="3" t="s">
        <v>505</v>
      </c>
      <c r="B76" s="0" t="s">
        <v>333</v>
      </c>
      <c r="C76" s="23" t="n">
        <f aca="false">a25_rev</f>
        <v>40.173</v>
      </c>
      <c r="D76" s="23" t="n">
        <f aca="false">D69+D74+D75</f>
        <v>59.1479</v>
      </c>
      <c r="E76" s="23" t="n">
        <f aca="false">E69+E74+E75</f>
        <v>74.7419500466096</v>
      </c>
      <c r="F76" s="23" t="n">
        <f aca="false">F69+F74+F75</f>
        <v>82.0803997346343</v>
      </c>
      <c r="G76" s="23" t="n">
        <f aca="false">G69+G74+G75</f>
        <v>87.1520210886251</v>
      </c>
      <c r="H76" s="25" t="n">
        <f aca="false">G76*(1+H78)</f>
        <v>92.485054189328</v>
      </c>
      <c r="I76" s="25" t="n">
        <f aca="false">H76*(1+I78)</f>
        <v>98.0892926607692</v>
      </c>
      <c r="J76" s="25" t="n">
        <f aca="false">I76*(1+J78)</f>
        <v>103.974650220415</v>
      </c>
      <c r="K76" s="7" t="s">
        <v>643</v>
      </c>
    </row>
    <row r="77" customFormat="false" ht="17.15" hidden="false" customHeight="false" outlineLevel="0" collapsed="false">
      <c r="A77" s="3" t="s">
        <v>644</v>
      </c>
      <c r="B77" s="0" t="s">
        <v>333</v>
      </c>
      <c r="D77" s="19" t="n">
        <f aca="false">D69+D74+D75-a26_rev</f>
        <v>0</v>
      </c>
      <c r="E77" s="19" t="n">
        <f aca="false">E69+E74+E75-E76</f>
        <v>0</v>
      </c>
      <c r="F77" s="19" t="n">
        <f aca="false">F69+F74+F75-F76</f>
        <v>0</v>
      </c>
      <c r="G77" s="19" t="n">
        <f aca="false">G69+G74+G75-G76</f>
        <v>0</v>
      </c>
    </row>
    <row r="78" customFormat="false" ht="15" hidden="false" customHeight="false" outlineLevel="0" collapsed="false">
      <c r="A78" s="3" t="s">
        <v>645</v>
      </c>
      <c r="B78" s="0" t="s">
        <v>44</v>
      </c>
      <c r="D78" s="20" t="n">
        <f aca="false">D76/C76-1</f>
        <v>0.472329674159261</v>
      </c>
      <c r="E78" s="20" t="n">
        <f aca="false">E76/D76-1</f>
        <v>0.263645032986962</v>
      </c>
      <c r="F78" s="20" t="n">
        <f aca="false">F76/E76-1</f>
        <v>0.0981838135538129</v>
      </c>
      <c r="G78" s="20" t="n">
        <f aca="false">G76/F76-1</f>
        <v>0.0617884582724666</v>
      </c>
      <c r="H78" s="26" t="n">
        <f aca="false">$G78+(fade_gA-$G78)*1/3</f>
        <v>0.0611923055149777</v>
      </c>
      <c r="I78" s="26" t="n">
        <f aca="false">$G78+(fade_gA-$G78)*2/3</f>
        <v>0.0605961527574889</v>
      </c>
      <c r="J78" s="26" t="n">
        <f aca="false">$G78+(fade_gA-$G78)*3/3</f>
        <v>0.06</v>
      </c>
    </row>
    <row r="79" customFormat="false" ht="17.15" hidden="false" customHeight="false" outlineLevel="0" collapsed="false">
      <c r="A79" s="0" t="s">
        <v>646</v>
      </c>
      <c r="B79" s="0" t="s">
        <v>44</v>
      </c>
      <c r="D79" s="20" t="n">
        <f aca="false">D69/D76</f>
        <v>0.58</v>
      </c>
      <c r="E79" s="20" t="n">
        <f aca="false">E69/E76</f>
        <v>0.591657477748877</v>
      </c>
      <c r="F79" s="20" t="n">
        <f aca="false">F69/F76</f>
        <v>0.598188250220186</v>
      </c>
      <c r="G79" s="20" t="n">
        <f aca="false">G69/G76</f>
        <v>0.60604272209493</v>
      </c>
    </row>
    <row r="80" customFormat="false" ht="17.15" hidden="false" customHeight="false" outlineLevel="0" collapsed="false">
      <c r="A80" s="0" t="s">
        <v>647</v>
      </c>
      <c r="B80" s="0" t="s">
        <v>44</v>
      </c>
      <c r="D80" s="20" t="n">
        <f aca="false">D71/D76</f>
        <v>0.377</v>
      </c>
      <c r="E80" s="20" t="n">
        <f aca="false">E71/E76</f>
        <v>0.426191706474677</v>
      </c>
      <c r="F80" s="20" t="n">
        <f aca="false">F71/F76</f>
        <v>0.442995884143598</v>
      </c>
      <c r="G80" s="20" t="n">
        <f aca="false">G71/G76</f>
        <v>0.455496597946097</v>
      </c>
      <c r="K80" s="3" t="s">
        <v>648</v>
      </c>
    </row>
    <row r="81" customFormat="false" ht="17.15" hidden="false" customHeight="false" outlineLevel="0" collapsed="false">
      <c r="A81" s="5" t="s">
        <v>649</v>
      </c>
    </row>
    <row r="82" customFormat="false" ht="15" hidden="false" customHeight="false" outlineLevel="0" collapsed="false">
      <c r="A82" s="3" t="s">
        <v>650</v>
      </c>
      <c r="B82" s="0" t="s">
        <v>333</v>
      </c>
      <c r="C82" s="23" t="n">
        <f aca="false">a25_cx</f>
        <v>2.422</v>
      </c>
      <c r="D82" s="23" t="n">
        <f aca="false">capex26</f>
        <v>4</v>
      </c>
      <c r="E82" s="23" t="n">
        <f aca="false">cx27</f>
        <v>14</v>
      </c>
      <c r="F82" s="23" t="n">
        <f aca="false">cx28</f>
        <v>18</v>
      </c>
      <c r="G82" s="23" t="n">
        <f aca="false">cx29</f>
        <v>12</v>
      </c>
      <c r="H82" s="25" t="n">
        <f aca="false">H76*H99</f>
        <v>12.1809780943738</v>
      </c>
      <c r="I82" s="25" t="n">
        <f aca="false">I76*I99</f>
        <v>12.3322392886518</v>
      </c>
      <c r="J82" s="25" t="n">
        <f aca="false">J76*J99</f>
        <v>12.4501028780027</v>
      </c>
    </row>
    <row r="83" customFormat="false" ht="17.15" hidden="false" customHeight="false" outlineLevel="0" collapsed="false">
      <c r="A83" s="3" t="s">
        <v>651</v>
      </c>
      <c r="B83" s="0" t="s">
        <v>333</v>
      </c>
      <c r="C83" s="23" t="n">
        <f aca="false">a25_da</f>
        <v>6.894</v>
      </c>
      <c r="D83" s="23" t="n">
        <f aca="false">da26</f>
        <v>7.1</v>
      </c>
      <c r="E83" s="23" t="n">
        <f aca="false">D83*(1-1/life)+D82/life</f>
        <v>6.7125</v>
      </c>
      <c r="F83" s="23" t="n">
        <f aca="false">E83*(1-1/life)+E82/life</f>
        <v>7.6234375</v>
      </c>
      <c r="G83" s="23" t="n">
        <f aca="false">F83*(1-1/life)+F82/life</f>
        <v>8.9205078125</v>
      </c>
      <c r="H83" s="25" t="n">
        <f aca="false">H76*H84</f>
        <v>9.46637425191124</v>
      </c>
      <c r="I83" s="25" t="n">
        <f aca="false">I76*I84</f>
        <v>10.0400001121396</v>
      </c>
      <c r="J83" s="25" t="n">
        <f aca="false">J76*J84</f>
        <v>10.642400118868</v>
      </c>
      <c r="K83" s="3" t="s">
        <v>652</v>
      </c>
    </row>
    <row r="84" customFormat="false" ht="17.15" hidden="false" customHeight="false" outlineLevel="0" collapsed="false">
      <c r="A84" s="3" t="s">
        <v>653</v>
      </c>
      <c r="B84" s="0" t="s">
        <v>44</v>
      </c>
      <c r="C84" s="20" t="n">
        <f aca="false">C83/C76</f>
        <v>0.171607796281084</v>
      </c>
      <c r="D84" s="20" t="n">
        <f aca="false">D83/D76</f>
        <v>0.120038074048276</v>
      </c>
      <c r="E84" s="20" t="n">
        <f aca="false">E83/E76</f>
        <v>0.0898090027864411</v>
      </c>
      <c r="F84" s="20" t="n">
        <f aca="false">F83/F76</f>
        <v>0.092877684863214</v>
      </c>
      <c r="G84" s="20" t="n">
        <f aca="false">G83/G76</f>
        <v>0.102355719363395</v>
      </c>
      <c r="H84" s="26" t="n">
        <f aca="false">$G84</f>
        <v>0.102355719363395</v>
      </c>
      <c r="I84" s="26" t="n">
        <f aca="false">$G84</f>
        <v>0.102355719363395</v>
      </c>
      <c r="J84" s="26" t="n">
        <f aca="false">$G84</f>
        <v>0.102355719363395</v>
      </c>
    </row>
    <row r="85" customFormat="false" ht="17.15" hidden="false" customHeight="false" outlineLevel="0" collapsed="false">
      <c r="A85" s="3" t="s">
        <v>654</v>
      </c>
      <c r="B85" s="0" t="s">
        <v>333</v>
      </c>
      <c r="E85" s="21" t="n">
        <f aca="false">E71*(1-1/(E56*E57))</f>
        <v>4.15492163942733</v>
      </c>
      <c r="F85" s="21" t="n">
        <f aca="false">F71*(1-1/(F56*F57))</f>
        <v>3.07864378100287</v>
      </c>
      <c r="G85" s="21" t="n">
        <f aca="false">G71*(1-1/(G56*G57))</f>
        <v>1.34242581531384</v>
      </c>
      <c r="K85" s="7" t="s">
        <v>655</v>
      </c>
    </row>
    <row r="86" customFormat="false" ht="17.15" hidden="false" customHeight="false" outlineLevel="0" collapsed="false">
      <c r="A86" s="3" t="s">
        <v>656</v>
      </c>
      <c r="B86" s="0" t="s">
        <v>333</v>
      </c>
      <c r="C86" s="21" t="n">
        <f aca="false">a25_gp</f>
        <v>3.647</v>
      </c>
      <c r="D86" s="21" t="n">
        <f aca="false">a26_gp</f>
        <v>15.9001925</v>
      </c>
      <c r="E86" s="21" t="n">
        <f aca="false">$D86+ft_abf*(E69-E85-$D69)+ft_oth*((E76-E69)-($D76-$D69))+E85-(E83-$D83)</f>
        <v>25.5943585030184</v>
      </c>
      <c r="F86" s="21" t="n">
        <f aca="false">$D86+ft_abf*(F69-F85-$D69)+ft_oth*((F76-F69)-($D76-$D69))+F85-(F83-$D83)</f>
        <v>27.5684516538186</v>
      </c>
      <c r="G86" s="21" t="n">
        <f aca="false">$D86+ft_abf*(G69-G85-$D69)+ft_oth*((G76-G69)-($D76-$D69))+G85-(G83-$D83)</f>
        <v>27.8037526402695</v>
      </c>
      <c r="K86" s="3" t="s">
        <v>657</v>
      </c>
    </row>
    <row r="87" customFormat="false" ht="15" hidden="false" customHeight="false" outlineLevel="0" collapsed="false">
      <c r="A87" s="3" t="s">
        <v>512</v>
      </c>
      <c r="B87" s="0" t="s">
        <v>44</v>
      </c>
      <c r="C87" s="16" t="n">
        <f aca="false">C86/C76</f>
        <v>0.0907823662659</v>
      </c>
      <c r="D87" s="16" t="n">
        <f aca="false">D86/D76</f>
        <v>0.268820913337583</v>
      </c>
      <c r="E87" s="16" t="n">
        <f aca="false">E86/E76</f>
        <v>0.342436322400709</v>
      </c>
      <c r="F87" s="16" t="n">
        <f aca="false">F86/F76</f>
        <v>0.335871313284868</v>
      </c>
      <c r="G87" s="16" t="n">
        <f aca="false">G86/G76</f>
        <v>0.319025907752567</v>
      </c>
    </row>
    <row r="88" customFormat="false" ht="15" hidden="false" customHeight="false" outlineLevel="0" collapsed="false">
      <c r="A88" s="3" t="s">
        <v>514</v>
      </c>
      <c r="B88" s="0" t="s">
        <v>333</v>
      </c>
      <c r="C88" s="21" t="n">
        <f aca="false">a25_opx</f>
        <v>1.665</v>
      </c>
      <c r="D88" s="21" t="n">
        <f aca="false">a26_opx</f>
        <v>1.9</v>
      </c>
      <c r="E88" s="21" t="n">
        <f aca="false">D88*(1+phi*E78)</f>
        <v>2.20055533760514</v>
      </c>
      <c r="F88" s="21" t="n">
        <f aca="false">E88*(1+phi*F78)</f>
        <v>2.3301906865945</v>
      </c>
      <c r="G88" s="21" t="n">
        <f aca="false">F88*(1+phi*G78)</f>
        <v>2.41657802059782</v>
      </c>
    </row>
    <row r="89" customFormat="false" ht="15" hidden="false" customHeight="false" outlineLevel="0" collapsed="false">
      <c r="A89" s="3" t="s">
        <v>517</v>
      </c>
      <c r="B89" s="0" t="s">
        <v>333</v>
      </c>
      <c r="C89" s="21" t="n">
        <f aca="false">C86-C88</f>
        <v>1.982</v>
      </c>
      <c r="D89" s="21" t="n">
        <f aca="false">D86-D88</f>
        <v>14.0001925</v>
      </c>
      <c r="E89" s="21" t="n">
        <f aca="false">E86-E88</f>
        <v>23.3938031654133</v>
      </c>
      <c r="F89" s="21" t="n">
        <f aca="false">F86-F88</f>
        <v>25.2382609672241</v>
      </c>
      <c r="G89" s="21" t="n">
        <f aca="false">G86-G88</f>
        <v>25.3871746196717</v>
      </c>
    </row>
    <row r="90" customFormat="false" ht="15" hidden="false" customHeight="false" outlineLevel="0" collapsed="false">
      <c r="A90" s="3" t="s">
        <v>598</v>
      </c>
      <c r="B90" s="0" t="s">
        <v>44</v>
      </c>
      <c r="C90" s="16" t="n">
        <f aca="false">C89/C76</f>
        <v>0.0493366191222961</v>
      </c>
      <c r="D90" s="16" t="n">
        <f aca="false">D89/D76</f>
        <v>0.236698048451424</v>
      </c>
      <c r="E90" s="16" t="n">
        <f aca="false">E89/E76</f>
        <v>0.312994284345335</v>
      </c>
      <c r="F90" s="16" t="n">
        <f aca="false">F89/F76</f>
        <v>0.307482188790738</v>
      </c>
      <c r="G90" s="16" t="n">
        <f aca="false">G89/G76</f>
        <v>0.291297600475098</v>
      </c>
    </row>
    <row r="91" customFormat="false" ht="15" hidden="false" customHeight="false" outlineLevel="0" collapsed="false">
      <c r="A91" s="3" t="s">
        <v>520</v>
      </c>
      <c r="B91" s="0" t="s">
        <v>333</v>
      </c>
      <c r="C91" s="21" t="n">
        <f aca="false">a25_nonop</f>
        <v>0.364</v>
      </c>
      <c r="D91" s="21" t="n">
        <f aca="false">a26_nonop</f>
        <v>0.623</v>
      </c>
      <c r="E91" s="21" t="n">
        <f aca="false">nonop27</f>
        <v>0.6</v>
      </c>
      <c r="F91" s="21" t="n">
        <f aca="false">nonop28</f>
        <v>0.6</v>
      </c>
      <c r="G91" s="21" t="n">
        <f aca="false">nonop29</f>
        <v>0.6</v>
      </c>
    </row>
    <row r="92" customFormat="false" ht="15" hidden="false" customHeight="false" outlineLevel="0" collapsed="false">
      <c r="A92" s="3" t="s">
        <v>522</v>
      </c>
      <c r="B92" s="0" t="s">
        <v>333</v>
      </c>
      <c r="C92" s="21" t="n">
        <f aca="false">C89+C91</f>
        <v>2.346</v>
      </c>
      <c r="D92" s="21" t="n">
        <f aca="false">D89+D91</f>
        <v>14.6231925</v>
      </c>
      <c r="E92" s="21" t="n">
        <f aca="false">E89+E91</f>
        <v>23.9938031654133</v>
      </c>
      <c r="F92" s="21" t="n">
        <f aca="false">F89+F91</f>
        <v>25.8382609672241</v>
      </c>
      <c r="G92" s="21" t="n">
        <f aca="false">G89+G91</f>
        <v>25.9871746196717</v>
      </c>
    </row>
    <row r="93" customFormat="false" ht="15" hidden="false" customHeight="false" outlineLevel="0" collapsed="false">
      <c r="A93" s="3" t="s">
        <v>525</v>
      </c>
      <c r="B93" s="0" t="s">
        <v>333</v>
      </c>
      <c r="E93" s="21" t="n">
        <f aca="false">E92*tax</f>
        <v>5.0386986647368</v>
      </c>
      <c r="F93" s="21" t="n">
        <f aca="false">F92*tax</f>
        <v>5.42603480311705</v>
      </c>
      <c r="G93" s="21" t="n">
        <f aca="false">G92*tax</f>
        <v>5.45730667013105</v>
      </c>
    </row>
    <row r="94" customFormat="false" ht="15" hidden="false" customHeight="false" outlineLevel="0" collapsed="false">
      <c r="A94" s="3" t="s">
        <v>523</v>
      </c>
      <c r="B94" s="0" t="s">
        <v>333</v>
      </c>
      <c r="C94" s="21" t="n">
        <f aca="false">a25_ni</f>
        <v>1.947</v>
      </c>
      <c r="D94" s="21" t="n">
        <f aca="false">a26_ni</f>
        <v>11.509862075</v>
      </c>
      <c r="E94" s="21" t="n">
        <f aca="false">E92-E93</f>
        <v>18.9551045006765</v>
      </c>
      <c r="F94" s="21" t="n">
        <f aca="false">F92-F93</f>
        <v>20.412226164107</v>
      </c>
      <c r="G94" s="21" t="n">
        <f aca="false">G92-G93</f>
        <v>20.5298679495406</v>
      </c>
      <c r="H94" s="30" t="n">
        <f aca="false">H76*H98</f>
        <v>22.2868703468006</v>
      </c>
      <c r="I94" s="30" t="n">
        <f aca="false">I76*I98</f>
        <v>24.16844385209</v>
      </c>
      <c r="J94" s="30" t="n">
        <f aca="false">J76*J98</f>
        <v>26.1814898827998</v>
      </c>
    </row>
    <row r="95" customFormat="false" ht="15" hidden="false" customHeight="false" outlineLevel="0" collapsed="false">
      <c r="A95" s="3" t="s">
        <v>658</v>
      </c>
      <c r="B95" s="3" t="s">
        <v>400</v>
      </c>
      <c r="C95" s="29" t="n">
        <f aca="false">a25_sh</f>
        <v>0.646843853820598</v>
      </c>
      <c r="D95" s="29" t="n">
        <f aca="false">a26_sh</f>
        <v>0.645863325123153</v>
      </c>
      <c r="E95" s="29" t="n">
        <f aca="false">a26_shend*(1+sh_g)</f>
        <v>0.64617</v>
      </c>
      <c r="F95" s="29" t="n">
        <f aca="false">E95*(1+sh_g)</f>
        <v>0.64617</v>
      </c>
      <c r="G95" s="29" t="n">
        <f aca="false">F95*(1+sh_g)</f>
        <v>0.64617</v>
      </c>
      <c r="H95" s="31" t="n">
        <f aca="false">G95*(1+sh_g)</f>
        <v>0.64617</v>
      </c>
      <c r="I95" s="31" t="n">
        <f aca="false">H95*(1+sh_g)</f>
        <v>0.64617</v>
      </c>
      <c r="J95" s="31" t="n">
        <f aca="false">I95*(1+sh_g)</f>
        <v>0.64617</v>
      </c>
    </row>
    <row r="96" customFormat="false" ht="17.15" hidden="false" customHeight="false" outlineLevel="0" collapsed="false">
      <c r="A96" s="0" t="s">
        <v>528</v>
      </c>
      <c r="B96" s="0" t="s">
        <v>406</v>
      </c>
      <c r="C96" s="18" t="n">
        <f aca="false">C94/C95</f>
        <v>3.01</v>
      </c>
      <c r="D96" s="18" t="n">
        <f aca="false">D94/D95</f>
        <v>17.820894339844</v>
      </c>
      <c r="E96" s="18" t="n">
        <f aca="false">E94/E95</f>
        <v>29.3345474111712</v>
      </c>
      <c r="F96" s="18" t="n">
        <f aca="false">F94/F95</f>
        <v>31.589560276873</v>
      </c>
      <c r="G96" s="18" t="n">
        <f aca="false">G94/G95</f>
        <v>31.771620393303</v>
      </c>
      <c r="H96" s="28" t="n">
        <f aca="false">H94/H95</f>
        <v>34.490722792455</v>
      </c>
      <c r="I96" s="28" t="n">
        <f aca="false">I94/I95</f>
        <v>37.4026089915812</v>
      </c>
      <c r="J96" s="28" t="n">
        <f aca="false">J94/J95</f>
        <v>40.5179594886791</v>
      </c>
    </row>
    <row r="97" customFormat="false" ht="17.15" hidden="false" customHeight="false" outlineLevel="0" collapsed="false">
      <c r="A97" s="0" t="s">
        <v>659</v>
      </c>
      <c r="B97" s="0" t="s">
        <v>44</v>
      </c>
      <c r="D97" s="20" t="n">
        <f aca="false">D96/C96-1</f>
        <v>4.92056290360265</v>
      </c>
      <c r="E97" s="20" t="n">
        <f aca="false">E96/D96-1</f>
        <v>0.646076052736872</v>
      </c>
      <c r="F97" s="20" t="n">
        <f aca="false">F96/E96-1</f>
        <v>0.0768722569363041</v>
      </c>
      <c r="G97" s="20" t="n">
        <f aca="false">G96/F96-1</f>
        <v>0.00576330011669457</v>
      </c>
      <c r="H97" s="26" t="n">
        <f aca="false">H96/G96-1</f>
        <v>0.0855827422552578</v>
      </c>
      <c r="I97" s="26" t="n">
        <f aca="false">I96/H96-1</f>
        <v>0.0844252008474349</v>
      </c>
      <c r="J97" s="26" t="n">
        <f aca="false">J96/I96-1</f>
        <v>0.0832923312328082</v>
      </c>
    </row>
    <row r="98" customFormat="false" ht="17.15" hidden="false" customHeight="false" outlineLevel="0" collapsed="false">
      <c r="A98" s="3" t="s">
        <v>660</v>
      </c>
      <c r="B98" s="0" t="s">
        <v>44</v>
      </c>
      <c r="C98" s="16" t="n">
        <f aca="false">C94/C76</f>
        <v>0.0484653872003585</v>
      </c>
      <c r="D98" s="16" t="n">
        <f aca="false">D94/D76</f>
        <v>0.194594602259759</v>
      </c>
      <c r="E98" s="16" t="n">
        <f aca="false">E94/E76</f>
        <v>0.253607304717846</v>
      </c>
      <c r="F98" s="16" t="n">
        <f aca="false">F94/F76</f>
        <v>0.248685754822098</v>
      </c>
      <c r="G98" s="16" t="n">
        <f aca="false">G94/G76</f>
        <v>0.235563876696144</v>
      </c>
      <c r="H98" s="27" t="n">
        <f aca="false">$G98+(fade_mA-$G98)*1/3</f>
        <v>0.240978075237721</v>
      </c>
      <c r="I98" s="27" t="n">
        <f aca="false">$G98+(fade_mA-$G98)*2/3</f>
        <v>0.246392273779299</v>
      </c>
      <c r="J98" s="27" t="n">
        <f aca="false">$G98+(fade_mA-$G98)*3/3</f>
        <v>0.251806472320876</v>
      </c>
    </row>
    <row r="99" customFormat="false" ht="17.15" hidden="false" customHeight="false" outlineLevel="0" collapsed="false">
      <c r="A99" s="3" t="s">
        <v>661</v>
      </c>
      <c r="B99" s="0" t="s">
        <v>44</v>
      </c>
      <c r="C99" s="20" t="n">
        <f aca="false">C82/C76</f>
        <v>0.0602892489980833</v>
      </c>
      <c r="D99" s="20" t="n">
        <f aca="false">D82/D76</f>
        <v>0.0676270839708595</v>
      </c>
      <c r="E99" s="20" t="n">
        <f aca="false">E82/E76</f>
        <v>0.187311141751981</v>
      </c>
      <c r="F99" s="20" t="n">
        <f aca="false">F82/F76</f>
        <v>0.21929717762333</v>
      </c>
      <c r="G99" s="20" t="n">
        <f aca="false">G82/G76</f>
        <v>0.137690438501675</v>
      </c>
      <c r="H99" s="26" t="n">
        <f aca="false">$G99+($G84*(1+tp_g)^(life/2)-$G99)*1/3</f>
        <v>0.131707530488525</v>
      </c>
      <c r="I99" s="26" t="n">
        <f aca="false">$G99+($G84*(1+tp_g)^(life/2)-$G99)*2/3</f>
        <v>0.125724622475375</v>
      </c>
      <c r="J99" s="26" t="n">
        <f aca="false">$G99+($G84*(1+tp_g)^(life/2)-$G99)*3/3</f>
        <v>0.119741714462225</v>
      </c>
      <c r="K99" s="7" t="s">
        <v>662</v>
      </c>
    </row>
    <row r="100" customFormat="false" ht="15" hidden="false" customHeight="false" outlineLevel="0" collapsed="false">
      <c r="A100" s="3" t="s">
        <v>663</v>
      </c>
      <c r="B100" s="0" t="s">
        <v>333</v>
      </c>
      <c r="E100" s="21" t="n">
        <f aca="false">E94+E83-E82</f>
        <v>11.6676045006765</v>
      </c>
      <c r="F100" s="21" t="n">
        <f aca="false">F94+F83-F82</f>
        <v>10.035663664107</v>
      </c>
      <c r="G100" s="21" t="n">
        <f aca="false">G94+G83-G82</f>
        <v>17.4503757620406</v>
      </c>
      <c r="H100" s="30" t="n">
        <f aca="false">H94+H83-H82</f>
        <v>19.5722665043381</v>
      </c>
      <c r="I100" s="30" t="n">
        <f aca="false">I94+I83-I82</f>
        <v>21.8762046755778</v>
      </c>
      <c r="J100" s="30" t="n">
        <f aca="false">J94+J83-J82</f>
        <v>24.3737871236651</v>
      </c>
      <c r="K100" s="3" t="s">
        <v>664</v>
      </c>
    </row>
    <row r="101" customFormat="false" ht="15" hidden="false" customHeight="false" outlineLevel="0" collapsed="false">
      <c r="A101" s="3" t="s">
        <v>665</v>
      </c>
      <c r="B101" s="0" t="s">
        <v>406</v>
      </c>
      <c r="E101" s="18" t="n">
        <f aca="false">E100/E95</f>
        <v>18.0565555514439</v>
      </c>
      <c r="F101" s="18" t="n">
        <f aca="false">F100/F95</f>
        <v>15.5309959671712</v>
      </c>
      <c r="G101" s="18" t="n">
        <f aca="false">G100/G95</f>
        <v>27.0058587709745</v>
      </c>
      <c r="H101" s="28" t="n">
        <f aca="false">H100/H95</f>
        <v>30.2896552058097</v>
      </c>
      <c r="I101" s="28" t="n">
        <f aca="false">I100/I95</f>
        <v>33.8551846659205</v>
      </c>
      <c r="J101" s="28" t="n">
        <f aca="false">J100/J95</f>
        <v>37.7203942053408</v>
      </c>
    </row>
    <row r="104" customFormat="false" ht="17.15" hidden="false" customHeight="false" outlineLevel="0" collapsed="false">
      <c r="A104" s="1" t="s">
        <v>1008</v>
      </c>
    </row>
    <row r="105" customFormat="false" ht="17.15" hidden="false" customHeight="false" outlineLevel="0" collapsed="false">
      <c r="A105" s="4" t="s">
        <v>21</v>
      </c>
      <c r="B105" s="4" t="s">
        <v>22</v>
      </c>
      <c r="C105" s="13" t="s">
        <v>498</v>
      </c>
      <c r="D105" s="13" t="s">
        <v>585</v>
      </c>
      <c r="E105" s="13" t="s">
        <v>586</v>
      </c>
      <c r="F105" s="13" t="s">
        <v>587</v>
      </c>
      <c r="G105" s="13" t="s">
        <v>588</v>
      </c>
      <c r="H105" s="13" t="s">
        <v>589</v>
      </c>
      <c r="I105" s="13" t="s">
        <v>590</v>
      </c>
      <c r="J105" s="13" t="s">
        <v>591</v>
      </c>
      <c r="K105" s="4" t="s">
        <v>553</v>
      </c>
    </row>
    <row r="106" customFormat="false" ht="17.15" hidden="false" customHeight="false" outlineLevel="0" collapsed="false">
      <c r="A106" s="5" t="s">
        <v>609</v>
      </c>
    </row>
    <row r="107" customFormat="false" ht="17.15" hidden="false" customHeight="false" outlineLevel="0" collapsed="false">
      <c r="A107" s="0" t="s">
        <v>610</v>
      </c>
      <c r="B107" s="3" t="s">
        <v>32</v>
      </c>
      <c r="D107" s="21" t="n">
        <f aca="false">(u_bw_26+u_rb_26+u_ru_26+u_hp_26)*1</f>
        <v>7.6</v>
      </c>
      <c r="E107" s="21" t="n">
        <f aca="false">(u_bw_27+u_rb_27+u_ru_27+u_hp_27)*1*1.2</f>
        <v>11.64</v>
      </c>
      <c r="F107" s="21" t="n">
        <f aca="false">(u_bw_28+u_rb_28+u_ru_28+u_hp_28)*um28_A*1.2</f>
        <v>11.4</v>
      </c>
      <c r="G107" s="21" t="n">
        <f aca="false">(u_bw_28*(1+g29_bw)+u_rb_28*(1+g29_rb)+u_ru_28*(1+g29_ru)+u_hp_28*(1+g29_hp))*um29_A*1.2</f>
        <v>12.72</v>
      </c>
      <c r="K107" s="7" t="s">
        <v>611</v>
      </c>
    </row>
    <row r="108" customFormat="false" ht="17.15" hidden="false" customHeight="false" outlineLevel="0" collapsed="false">
      <c r="A108" s="3" t="s">
        <v>612</v>
      </c>
      <c r="B108" s="3" t="s">
        <v>32</v>
      </c>
      <c r="D108" s="21" t="n">
        <f aca="false">(u_amd_26+u_tpu_26+u_trn_26+u_oth_26)*1</f>
        <v>7.6</v>
      </c>
      <c r="E108" s="21" t="n">
        <f aca="false">(u_amd_27+u_tpu_27+u_trn_27+u_oth_27)*1*1.2</f>
        <v>16.8</v>
      </c>
      <c r="F108" s="21" t="n">
        <f aca="false">(u_amd_28+u_tpu_28+u_trn_28+u_oth_28)*um28_A*1.2</f>
        <v>20.4</v>
      </c>
      <c r="G108" s="21" t="n">
        <f aca="false">(u_amd_28*(1+g29_amd)+u_tpu_28*(1+g29_tpu)+u_trn_28*(1+g29_trn)+u_oth_28*(1+g29_oth))*um29_A*1.2</f>
        <v>23.46</v>
      </c>
      <c r="K108" s="7" t="s">
        <v>613</v>
      </c>
    </row>
    <row r="109" customFormat="false" ht="17.15" hidden="false" customHeight="false" outlineLevel="0" collapsed="false">
      <c r="A109" s="3" t="s">
        <v>614</v>
      </c>
      <c r="B109" s="0" t="s">
        <v>154</v>
      </c>
      <c r="D109" s="19" t="n">
        <f aca="false">1</f>
        <v>1</v>
      </c>
      <c r="E109" s="19" t="n">
        <f aca="false">D109*(1+g_asp)</f>
        <v>1.18</v>
      </c>
      <c r="F109" s="19" t="n">
        <f aca="false">E109*(1+g_asp)</f>
        <v>1.3924</v>
      </c>
      <c r="G109" s="19" t="n">
        <f aca="false">F109*(1+g_asp)</f>
        <v>1.643032</v>
      </c>
      <c r="K109" s="7" t="s">
        <v>615</v>
      </c>
    </row>
    <row r="110" customFormat="false" ht="17.15" hidden="false" customHeight="false" outlineLevel="0" collapsed="false">
      <c r="A110" s="0" t="s">
        <v>616</v>
      </c>
      <c r="B110" s="0" t="s">
        <v>154</v>
      </c>
      <c r="D110" s="18" t="n">
        <f aca="false">1</f>
        <v>1</v>
      </c>
      <c r="E110" s="18" t="n">
        <f aca="false">ibpp_27</f>
        <v>1</v>
      </c>
      <c r="F110" s="18" t="n">
        <f aca="false">ibpp_28</f>
        <v>0.95</v>
      </c>
      <c r="G110" s="18" t="n">
        <f aca="false">ibpp_29</f>
        <v>0.9</v>
      </c>
      <c r="K110" s="7" t="s">
        <v>617</v>
      </c>
    </row>
    <row r="111" customFormat="false" ht="17.15" hidden="false" customHeight="false" outlineLevel="0" collapsed="false">
      <c r="A111" s="3" t="s">
        <v>618</v>
      </c>
      <c r="B111" s="0" t="s">
        <v>154</v>
      </c>
      <c r="D111" s="18" t="n">
        <f aca="false">1</f>
        <v>1</v>
      </c>
      <c r="E111" s="18" t="n">
        <f aca="false">1+carry</f>
        <v>1.15</v>
      </c>
      <c r="F111" s="18" t="n">
        <f aca="false">1+carry</f>
        <v>1.15</v>
      </c>
      <c r="G111" s="18" t="n">
        <f aca="false">1+carry</f>
        <v>1.15</v>
      </c>
      <c r="K111" s="7" t="s">
        <v>619</v>
      </c>
    </row>
    <row r="112" customFormat="false" ht="17.15" hidden="false" customHeight="false" outlineLevel="0" collapsed="false">
      <c r="A112" s="3" t="s">
        <v>620</v>
      </c>
      <c r="B112" s="0" t="s">
        <v>621</v>
      </c>
      <c r="D112" s="23" t="n">
        <f aca="false">v26*D109*D110</f>
        <v>215.308596</v>
      </c>
      <c r="E112" s="23" t="n">
        <f aca="false">v26*E109*E110</f>
        <v>254.06414328</v>
      </c>
      <c r="F112" s="23" t="n">
        <f aca="false">v26*F109*F110</f>
        <v>284.80590461688</v>
      </c>
      <c r="G112" s="23" t="n">
        <f aca="false">v26*G109*G110</f>
        <v>318.383021792765</v>
      </c>
      <c r="K112" s="7" t="s">
        <v>622</v>
      </c>
    </row>
    <row r="113" customFormat="false" ht="17.15" hidden="false" customHeight="false" outlineLevel="0" collapsed="false">
      <c r="A113" s="3" t="s">
        <v>623</v>
      </c>
      <c r="B113" s="0" t="s">
        <v>44</v>
      </c>
      <c r="D113" s="20" t="n">
        <f aca="false">sh_nv_26</f>
        <v>0.02</v>
      </c>
      <c r="E113" s="20" t="n">
        <f aca="false">sh_nv_27</f>
        <v>0.03</v>
      </c>
      <c r="F113" s="20" t="n">
        <f aca="false">sh_nv_28</f>
        <v>0.04</v>
      </c>
      <c r="G113" s="20" t="n">
        <f aca="false">sh_nv_29</f>
        <v>0.04</v>
      </c>
    </row>
    <row r="114" customFormat="false" ht="17.15" hidden="false" customHeight="false" outlineLevel="0" collapsed="false">
      <c r="A114" s="3" t="s">
        <v>624</v>
      </c>
      <c r="B114" s="0" t="s">
        <v>44</v>
      </c>
      <c r="D114" s="20" t="n">
        <f aca="false">sh_ot_26</f>
        <v>0.05</v>
      </c>
      <c r="E114" s="20" t="n">
        <f aca="false">sh_ot_27</f>
        <v>0.06</v>
      </c>
      <c r="F114" s="20" t="n">
        <f aca="false">sh_ot_28</f>
        <v>0.07</v>
      </c>
      <c r="G114" s="20" t="n">
        <f aca="false">sh_ot_29</f>
        <v>0.07</v>
      </c>
    </row>
    <row r="115" customFormat="false" ht="17.15" hidden="false" customHeight="false" outlineLevel="0" collapsed="false">
      <c r="A115" s="3" t="s">
        <v>625</v>
      </c>
      <c r="B115" s="0" t="s">
        <v>575</v>
      </c>
      <c r="D115" s="22" t="n">
        <f aca="false">(D107*D112*D113+D108*D112*v_ot*D114)*D111</f>
        <v>98.180719776</v>
      </c>
      <c r="E115" s="22" t="n">
        <f aca="false">(E107*E112*E113+E108*E112*v_ot*E114)*E111</f>
        <v>337.636002570523</v>
      </c>
      <c r="F115" s="22" t="n">
        <f aca="false">(F107*F112*F113+F108*F112*v_ot*F114)*F111</f>
        <v>523.518821630564</v>
      </c>
      <c r="G115" s="22" t="n">
        <f aca="false">(G107*G112*G113+G108*G112*v_ot*G114)*G111</f>
        <v>667.312984228415</v>
      </c>
    </row>
    <row r="116" customFormat="false" ht="15" hidden="false" customHeight="false" outlineLevel="0" collapsed="false">
      <c r="A116" s="3" t="s">
        <v>626</v>
      </c>
      <c r="B116" s="0" t="s">
        <v>333</v>
      </c>
      <c r="D116" s="21" t="n">
        <f aca="false">D115*fx/1000</f>
        <v>3.141783032832</v>
      </c>
      <c r="E116" s="21" t="n">
        <f aca="false">E115*fx/1000</f>
        <v>10.8043520822567</v>
      </c>
      <c r="F116" s="21" t="n">
        <f aca="false">F115*fx/1000</f>
        <v>16.7526022921781</v>
      </c>
      <c r="G116" s="21" t="n">
        <f aca="false">G115*fx/1000</f>
        <v>21.3540154953093</v>
      </c>
    </row>
    <row r="117" customFormat="false" ht="17.15" hidden="false" customHeight="false" outlineLevel="0" collapsed="false">
      <c r="A117" s="5" t="s">
        <v>627</v>
      </c>
    </row>
    <row r="118" customFormat="false" ht="17.15" hidden="false" customHeight="false" outlineLevel="0" collapsed="false">
      <c r="A118" s="0" t="s">
        <v>628</v>
      </c>
      <c r="B118" s="0" t="s">
        <v>333</v>
      </c>
      <c r="D118" s="21" t="n">
        <f aca="false">a26_abf*ai_abf</f>
        <v>22.2987583</v>
      </c>
      <c r="K118" s="3" t="s">
        <v>629</v>
      </c>
    </row>
    <row r="119" customFormat="false" ht="17.15" hidden="false" customHeight="false" outlineLevel="0" collapsed="false">
      <c r="A119" s="3" t="s">
        <v>630</v>
      </c>
      <c r="B119" s="0" t="s">
        <v>333</v>
      </c>
      <c r="D119" s="21" t="n">
        <f aca="false">D118-D116</f>
        <v>19.156975267168</v>
      </c>
      <c r="E119" s="21" t="n">
        <f aca="false">$D119*(swm_27/swm_26)^el_o*1*1.2*E110*E111</f>
        <v>36.9772467711576</v>
      </c>
      <c r="F119" s="21" t="n">
        <f aca="false">$D119*(swm_28/swm_26)^el_o*um28_A*1.2*F110*F111</f>
        <v>37.7893165847783</v>
      </c>
      <c r="G119" s="21" t="n">
        <f aca="false">$D119*(swm_29/swm_26)^el_o*um29_A*1.2*G110*G111</f>
        <v>38.1921581696835</v>
      </c>
      <c r="K119" s="7" t="s">
        <v>631</v>
      </c>
    </row>
    <row r="120" customFormat="false" ht="17.15" hidden="false" customHeight="false" outlineLevel="0" collapsed="false">
      <c r="A120" s="3" t="s">
        <v>632</v>
      </c>
      <c r="B120" s="0" t="s">
        <v>333</v>
      </c>
      <c r="D120" s="21" t="n">
        <f aca="false">a26_abf-D118</f>
        <v>12.0070237</v>
      </c>
      <c r="E120" s="21" t="n">
        <f aca="false">D120*(1+g_nai)</f>
        <v>12.367234411</v>
      </c>
      <c r="F120" s="21" t="n">
        <f aca="false">E120*(1+g_nai)</f>
        <v>12.73825144333</v>
      </c>
      <c r="G120" s="21" t="n">
        <f aca="false">F120*(1+g_nai)</f>
        <v>13.1203989866299</v>
      </c>
    </row>
    <row r="121" customFormat="false" ht="17.15" hidden="false" customHeight="false" outlineLevel="0" collapsed="false">
      <c r="A121" s="0" t="s">
        <v>633</v>
      </c>
      <c r="B121" s="0" t="s">
        <v>333</v>
      </c>
      <c r="D121" s="21" t="n">
        <f aca="false">D116+D119+D120</f>
        <v>34.305782</v>
      </c>
      <c r="E121" s="21" t="n">
        <f aca="false">E116+E119+E120</f>
        <v>60.1488332644143</v>
      </c>
      <c r="F121" s="21" t="n">
        <f aca="false">F116+F119+F120</f>
        <v>67.2801703202864</v>
      </c>
      <c r="G121" s="21" t="n">
        <f aca="false">G116+G119+G120</f>
        <v>72.6665726516227</v>
      </c>
    </row>
    <row r="122" customFormat="false" ht="17.15" hidden="false" customHeight="false" outlineLevel="0" collapsed="false">
      <c r="A122" s="0" t="s">
        <v>634</v>
      </c>
      <c r="B122" s="0" t="s">
        <v>333</v>
      </c>
      <c r="D122" s="21" t="n">
        <f aca="false">a26_abf</f>
        <v>34.305782</v>
      </c>
      <c r="E122" s="21" t="n">
        <f aca="false">$D121*cap_27*(1+g_mix)^1*E110*E111</f>
        <v>49.709078118</v>
      </c>
      <c r="F122" s="21" t="n">
        <f aca="false">$D121*cap_28*(1+g_mix)^2*F110*F111</f>
        <v>55.7829061005431</v>
      </c>
      <c r="G122" s="21" t="n">
        <f aca="false">$D121*cap_29*(1+g_mix)^3*G110*G111</f>
        <v>65.765110350114</v>
      </c>
      <c r="K122" s="7" t="s">
        <v>635</v>
      </c>
    </row>
    <row r="123" customFormat="false" ht="17.15" hidden="false" customHeight="false" outlineLevel="0" collapsed="false">
      <c r="A123" s="0" t="s">
        <v>636</v>
      </c>
      <c r="B123" s="0" t="s">
        <v>333</v>
      </c>
      <c r="D123" s="21" t="n">
        <f aca="false">a26_abf</f>
        <v>34.305782</v>
      </c>
      <c r="E123" s="21" t="n">
        <f aca="false">MIN(E121,E122)</f>
        <v>49.709078118</v>
      </c>
      <c r="F123" s="21" t="n">
        <f aca="false">MIN(F121,F122)</f>
        <v>55.7829061005431</v>
      </c>
      <c r="G123" s="21" t="n">
        <f aca="false">MIN(G121,G122)</f>
        <v>65.765110350114</v>
      </c>
    </row>
    <row r="124" customFormat="false" ht="17.15" hidden="false" customHeight="false" outlineLevel="0" collapsed="false">
      <c r="A124" s="3" t="s">
        <v>637</v>
      </c>
      <c r="B124" s="0" t="s">
        <v>44</v>
      </c>
      <c r="D124" s="20" t="n">
        <f aca="false">D123/D121</f>
        <v>1</v>
      </c>
      <c r="E124" s="20" t="n">
        <f aca="false">E123/E121</f>
        <v>0.826434619263167</v>
      </c>
      <c r="F124" s="20" t="n">
        <f aca="false">F123/F121</f>
        <v>0.829113627908332</v>
      </c>
      <c r="G124" s="20" t="n">
        <f aca="false">G123/G121</f>
        <v>0.905025625267954</v>
      </c>
    </row>
    <row r="125" customFormat="false" ht="17.15" hidden="false" customHeight="false" outlineLevel="0" collapsed="false">
      <c r="A125" s="0" t="s">
        <v>638</v>
      </c>
      <c r="B125" s="0" t="s">
        <v>333</v>
      </c>
      <c r="D125" s="21" t="n">
        <f aca="false">(D116+D119)*D124</f>
        <v>22.2987583</v>
      </c>
      <c r="E125" s="21" t="n">
        <f aca="false">(E116+E119)*E124</f>
        <v>39.4883674562069</v>
      </c>
      <c r="F125" s="21" t="n">
        <f aca="false">(F116+F119)*F124</f>
        <v>45.2214482331552</v>
      </c>
      <c r="G125" s="21" t="n">
        <f aca="false">(G116+G119)*G124</f>
        <v>53.8908130534743</v>
      </c>
    </row>
    <row r="126" customFormat="false" ht="17.15" hidden="false" customHeight="false" outlineLevel="0" collapsed="false">
      <c r="A126" s="3" t="s">
        <v>639</v>
      </c>
      <c r="B126" s="0" t="s">
        <v>44</v>
      </c>
      <c r="D126" s="20" t="n">
        <f aca="false">D116/(D116+D119)</f>
        <v>0.140894976776891</v>
      </c>
      <c r="E126" s="20" t="n">
        <f aca="false">E116/(E116+E119)</f>
        <v>0.226119517586731</v>
      </c>
      <c r="F126" s="20" t="n">
        <f aca="false">F116/(F116+F119)</f>
        <v>0.307150951728908</v>
      </c>
      <c r="G126" s="20" t="n">
        <f aca="false">G116/(G116+G119)</f>
        <v>0.358612723219583</v>
      </c>
    </row>
    <row r="127" customFormat="false" ht="17.15" hidden="false" customHeight="false" outlineLevel="0" collapsed="false">
      <c r="A127" s="5" t="s">
        <v>640</v>
      </c>
    </row>
    <row r="128" customFormat="false" ht="17.15" hidden="false" customHeight="false" outlineLevel="0" collapsed="false">
      <c r="A128" s="0" t="s">
        <v>641</v>
      </c>
      <c r="B128" s="0" t="s">
        <v>333</v>
      </c>
      <c r="D128" s="21" t="n">
        <f aca="false">a26_bt</f>
        <v>18.927328</v>
      </c>
      <c r="E128" s="21" t="n">
        <f aca="false">D128*(1+g_bt27_A)</f>
        <v>24.6055264</v>
      </c>
      <c r="F128" s="21" t="n">
        <f aca="false">E128*(1+g_bt28_A)</f>
        <v>27.06607904</v>
      </c>
      <c r="G128" s="21" t="n">
        <f aca="false">F128*(1+g_bt29_A)</f>
        <v>28.419382992</v>
      </c>
      <c r="K128" s="7" t="s">
        <v>642</v>
      </c>
    </row>
    <row r="129" customFormat="false" ht="17.15" hidden="false" customHeight="false" outlineLevel="0" collapsed="false">
      <c r="A129" s="0" t="s">
        <v>540</v>
      </c>
      <c r="B129" s="0" t="s">
        <v>333</v>
      </c>
      <c r="D129" s="21" t="n">
        <f aca="false">a26_pcb</f>
        <v>5.91479</v>
      </c>
      <c r="E129" s="21" t="n">
        <f aca="false">D129*(1+g_pcb)</f>
        <v>5.91479</v>
      </c>
      <c r="F129" s="21" t="n">
        <f aca="false">E129*(1+g_pcb)</f>
        <v>5.91479</v>
      </c>
      <c r="G129" s="21" t="n">
        <f aca="false">F129*(1+g_pcb)</f>
        <v>5.91479</v>
      </c>
    </row>
    <row r="130" customFormat="false" ht="17.15" hidden="false" customHeight="false" outlineLevel="0" collapsed="false">
      <c r="A130" s="3" t="s">
        <v>505</v>
      </c>
      <c r="B130" s="0" t="s">
        <v>333</v>
      </c>
      <c r="C130" s="23" t="n">
        <f aca="false">a25_rev</f>
        <v>40.173</v>
      </c>
      <c r="D130" s="23" t="n">
        <f aca="false">D123+D128+D129</f>
        <v>59.1479</v>
      </c>
      <c r="E130" s="23" t="n">
        <f aca="false">E123+E128+E129</f>
        <v>80.229394518</v>
      </c>
      <c r="F130" s="23" t="n">
        <f aca="false">F123+F128+F129</f>
        <v>88.7637751405431</v>
      </c>
      <c r="G130" s="23" t="n">
        <f aca="false">G123+G128+G129</f>
        <v>100.099283342114</v>
      </c>
      <c r="H130" s="25" t="n">
        <f aca="false">G130*(1+H132)</f>
        <v>110.623335925701</v>
      </c>
      <c r="I130" s="25" t="n">
        <f aca="false">H130*(1+I132)</f>
        <v>119.757291444787</v>
      </c>
      <c r="J130" s="25" t="n">
        <f aca="false">I130*(1+J132)</f>
        <v>126.942728931474</v>
      </c>
      <c r="K130" s="7" t="s">
        <v>643</v>
      </c>
    </row>
    <row r="131" customFormat="false" ht="17.15" hidden="false" customHeight="false" outlineLevel="0" collapsed="false">
      <c r="A131" s="3" t="s">
        <v>644</v>
      </c>
      <c r="B131" s="0" t="s">
        <v>333</v>
      </c>
      <c r="D131" s="19" t="n">
        <f aca="false">D123+D128+D129-a26_rev</f>
        <v>0</v>
      </c>
      <c r="E131" s="19" t="n">
        <f aca="false">E123+E128+E129-E130</f>
        <v>0</v>
      </c>
      <c r="F131" s="19" t="n">
        <f aca="false">F123+F128+F129-F130</f>
        <v>0</v>
      </c>
      <c r="G131" s="19" t="n">
        <f aca="false">G123+G128+G129-G130</f>
        <v>0</v>
      </c>
    </row>
    <row r="132" customFormat="false" ht="15" hidden="false" customHeight="false" outlineLevel="0" collapsed="false">
      <c r="A132" s="3" t="s">
        <v>645</v>
      </c>
      <c r="B132" s="0" t="s">
        <v>44</v>
      </c>
      <c r="D132" s="20" t="n">
        <f aca="false">D130/C130-1</f>
        <v>0.472329674159261</v>
      </c>
      <c r="E132" s="20" t="n">
        <f aca="false">E130/D130-1</f>
        <v>0.35642</v>
      </c>
      <c r="F132" s="20" t="n">
        <f aca="false">F130/E130-1</f>
        <v>0.106374735517023</v>
      </c>
      <c r="G132" s="20" t="n">
        <f aca="false">G130/F130-1</f>
        <v>0.127704214738759</v>
      </c>
      <c r="H132" s="26" t="n">
        <f aca="false">$G132+(fade_gA-$G132)*1/3</f>
        <v>0.105136143159173</v>
      </c>
      <c r="I132" s="26" t="n">
        <f aca="false">$G132+(fade_gA-$G132)*2/3</f>
        <v>0.0825680715795865</v>
      </c>
      <c r="J132" s="26" t="n">
        <f aca="false">$G132+(fade_gA-$G132)*3/3</f>
        <v>0.06</v>
      </c>
    </row>
    <row r="133" customFormat="false" ht="17.15" hidden="false" customHeight="false" outlineLevel="0" collapsed="false">
      <c r="A133" s="0" t="s">
        <v>646</v>
      </c>
      <c r="B133" s="0" t="s">
        <v>44</v>
      </c>
      <c r="D133" s="20" t="n">
        <f aca="false">D123/D130</f>
        <v>0.58</v>
      </c>
      <c r="E133" s="20" t="n">
        <f aca="false">E123/E130</f>
        <v>0.619586853629407</v>
      </c>
      <c r="F133" s="20" t="n">
        <f aca="false">F123/F130</f>
        <v>0.62844224473576</v>
      </c>
      <c r="G133" s="20" t="n">
        <f aca="false">G123/G130</f>
        <v>0.656998813121823</v>
      </c>
    </row>
    <row r="134" customFormat="false" ht="17.15" hidden="false" customHeight="false" outlineLevel="0" collapsed="false">
      <c r="A134" s="0" t="s">
        <v>647</v>
      </c>
      <c r="B134" s="0" t="s">
        <v>44</v>
      </c>
      <c r="D134" s="20" t="n">
        <f aca="false">D125/D130</f>
        <v>0.377</v>
      </c>
      <c r="E134" s="20" t="n">
        <f aca="false">E125/E130</f>
        <v>0.492193262749196</v>
      </c>
      <c r="F134" s="20" t="n">
        <f aca="false">F125/F130</f>
        <v>0.509458370394391</v>
      </c>
      <c r="G134" s="20" t="n">
        <f aca="false">G125/G130</f>
        <v>0.538373615216496</v>
      </c>
      <c r="K134" s="3" t="s">
        <v>648</v>
      </c>
    </row>
    <row r="135" customFormat="false" ht="17.15" hidden="false" customHeight="false" outlineLevel="0" collapsed="false">
      <c r="A135" s="5" t="s">
        <v>649</v>
      </c>
    </row>
    <row r="136" customFormat="false" ht="15" hidden="false" customHeight="false" outlineLevel="0" collapsed="false">
      <c r="A136" s="3" t="s">
        <v>650</v>
      </c>
      <c r="B136" s="0" t="s">
        <v>333</v>
      </c>
      <c r="C136" s="23" t="n">
        <f aca="false">a25_cx</f>
        <v>2.422</v>
      </c>
      <c r="D136" s="23" t="n">
        <f aca="false">capex26</f>
        <v>4</v>
      </c>
      <c r="E136" s="23" t="n">
        <f aca="false">cx27</f>
        <v>14</v>
      </c>
      <c r="F136" s="23" t="n">
        <f aca="false">cx28</f>
        <v>18</v>
      </c>
      <c r="G136" s="23" t="n">
        <f aca="false">cx29</f>
        <v>12</v>
      </c>
      <c r="H136" s="25" t="n">
        <f aca="false">H130*H153</f>
        <v>12.6853908393069</v>
      </c>
      <c r="I136" s="25" t="n">
        <f aca="false">I130*I153</f>
        <v>13.1089769562909</v>
      </c>
      <c r="J136" s="25" t="n">
        <f aca="false">J130*J153</f>
        <v>13.2342641033063</v>
      </c>
    </row>
    <row r="137" customFormat="false" ht="17.15" hidden="false" customHeight="false" outlineLevel="0" collapsed="false">
      <c r="A137" s="3" t="s">
        <v>651</v>
      </c>
      <c r="B137" s="0" t="s">
        <v>333</v>
      </c>
      <c r="C137" s="23" t="n">
        <f aca="false">a25_da</f>
        <v>6.894</v>
      </c>
      <c r="D137" s="23" t="n">
        <f aca="false">da26</f>
        <v>7.1</v>
      </c>
      <c r="E137" s="23" t="n">
        <f aca="false">D137*(1-1/life)+D136/life</f>
        <v>6.7125</v>
      </c>
      <c r="F137" s="23" t="n">
        <f aca="false">E137*(1-1/life)+E136/life</f>
        <v>7.6234375</v>
      </c>
      <c r="G137" s="23" t="n">
        <f aca="false">F137*(1-1/life)+F136/life</f>
        <v>8.9205078125</v>
      </c>
      <c r="H137" s="25" t="n">
        <f aca="false">H130*H138</f>
        <v>9.85837559892752</v>
      </c>
      <c r="I137" s="25" t="n">
        <f aca="false">I130*I138</f>
        <v>10.6723626610382</v>
      </c>
      <c r="J137" s="25" t="n">
        <f aca="false">J130*J138</f>
        <v>11.3127044207005</v>
      </c>
      <c r="K137" s="3" t="s">
        <v>652</v>
      </c>
    </row>
    <row r="138" customFormat="false" ht="17.15" hidden="false" customHeight="false" outlineLevel="0" collapsed="false">
      <c r="A138" s="3" t="s">
        <v>653</v>
      </c>
      <c r="B138" s="0" t="s">
        <v>44</v>
      </c>
      <c r="C138" s="20" t="n">
        <f aca="false">C137/C130</f>
        <v>0.171607796281084</v>
      </c>
      <c r="D138" s="20" t="n">
        <f aca="false">D137/D130</f>
        <v>0.120038074048276</v>
      </c>
      <c r="E138" s="20" t="n">
        <f aca="false">E137/E130</f>
        <v>0.0836663424961285</v>
      </c>
      <c r="F138" s="20" t="n">
        <f aca="false">F137/F130</f>
        <v>0.0858845569369883</v>
      </c>
      <c r="G138" s="20" t="n">
        <f aca="false">G137/G130</f>
        <v>0.089116600185957</v>
      </c>
      <c r="H138" s="26" t="n">
        <f aca="false">$G138</f>
        <v>0.089116600185957</v>
      </c>
      <c r="I138" s="26" t="n">
        <f aca="false">$G138</f>
        <v>0.089116600185957</v>
      </c>
      <c r="J138" s="26" t="n">
        <f aca="false">$G138</f>
        <v>0.089116600185957</v>
      </c>
    </row>
    <row r="139" customFormat="false" ht="17.15" hidden="false" customHeight="false" outlineLevel="0" collapsed="false">
      <c r="A139" s="3" t="s">
        <v>654</v>
      </c>
      <c r="B139" s="0" t="s">
        <v>333</v>
      </c>
      <c r="E139" s="21" t="n">
        <f aca="false">E125*(1-1/(E110*E111))</f>
        <v>5.15065662472263</v>
      </c>
      <c r="F139" s="21" t="n">
        <f aca="false">F125*(1-1/(F110*F111))</f>
        <v>3.82881827145707</v>
      </c>
      <c r="G139" s="21" t="n">
        <f aca="false">G125*(1-1/(G110*G111))</f>
        <v>1.82239464432038</v>
      </c>
      <c r="K139" s="7" t="s">
        <v>655</v>
      </c>
    </row>
    <row r="140" customFormat="false" ht="17.15" hidden="false" customHeight="false" outlineLevel="0" collapsed="false">
      <c r="A140" s="3" t="s">
        <v>656</v>
      </c>
      <c r="B140" s="0" t="s">
        <v>333</v>
      </c>
      <c r="C140" s="21" t="n">
        <f aca="false">a25_gp</f>
        <v>3.647</v>
      </c>
      <c r="D140" s="21" t="n">
        <f aca="false">a26_gp</f>
        <v>15.9001925</v>
      </c>
      <c r="E140" s="21" t="n">
        <f aca="false">$D140+ft_abf*(E123-E139-$D123)+ft_oth*((E130-E123)-($D130-$D123))+E139-(E137-$D137)</f>
        <v>28.8359482313613</v>
      </c>
      <c r="F140" s="21" t="n">
        <f aca="false">$D140+ft_abf*(F123-F139-$D123)+ft_oth*((F130-F123)-($D130-$D123))+F139-(F137-$D137)</f>
        <v>31.2852266020001</v>
      </c>
      <c r="G140" s="21" t="n">
        <f aca="false">$D140+ft_abf*(G123-G139-$D123)+ft_oth*((G130-G123)-($D130-$D123))+G139-(G137-$D137)</f>
        <v>34.5173681815172</v>
      </c>
      <c r="K140" s="3" t="s">
        <v>657</v>
      </c>
    </row>
    <row r="141" customFormat="false" ht="15" hidden="false" customHeight="false" outlineLevel="0" collapsed="false">
      <c r="A141" s="3" t="s">
        <v>512</v>
      </c>
      <c r="B141" s="0" t="s">
        <v>44</v>
      </c>
      <c r="C141" s="16" t="n">
        <f aca="false">C140/C130</f>
        <v>0.0907823662659</v>
      </c>
      <c r="D141" s="16" t="n">
        <f aca="false">D140/D130</f>
        <v>0.268820913337583</v>
      </c>
      <c r="E141" s="16" t="n">
        <f aca="false">E140/E130</f>
        <v>0.359418744271986</v>
      </c>
      <c r="F141" s="16" t="n">
        <f aca="false">F140/F130</f>
        <v>0.352454889987103</v>
      </c>
      <c r="G141" s="16" t="n">
        <f aca="false">G140/G130</f>
        <v>0.344831321754278</v>
      </c>
    </row>
    <row r="142" customFormat="false" ht="15" hidden="false" customHeight="false" outlineLevel="0" collapsed="false">
      <c r="A142" s="3" t="s">
        <v>514</v>
      </c>
      <c r="B142" s="0" t="s">
        <v>333</v>
      </c>
      <c r="C142" s="21" t="n">
        <f aca="false">a25_opx</f>
        <v>1.665</v>
      </c>
      <c r="D142" s="21" t="n">
        <f aca="false">a26_opx</f>
        <v>1.9</v>
      </c>
      <c r="E142" s="21" t="n">
        <f aca="false">D142*(1+phi*E132)</f>
        <v>2.3063188</v>
      </c>
      <c r="F142" s="21" t="n">
        <f aca="false">E142*(1+phi*F132)</f>
        <v>2.45351923142076</v>
      </c>
      <c r="G142" s="21" t="n">
        <f aca="false">F142*(1+phi*G132)</f>
        <v>2.64151407949778</v>
      </c>
    </row>
    <row r="143" customFormat="false" ht="15" hidden="false" customHeight="false" outlineLevel="0" collapsed="false">
      <c r="A143" s="3" t="s">
        <v>517</v>
      </c>
      <c r="B143" s="0" t="s">
        <v>333</v>
      </c>
      <c r="C143" s="21" t="n">
        <f aca="false">C140-C142</f>
        <v>1.982</v>
      </c>
      <c r="D143" s="21" t="n">
        <f aca="false">D140-D142</f>
        <v>14.0001925</v>
      </c>
      <c r="E143" s="21" t="n">
        <f aca="false">E140-E142</f>
        <v>26.5296294313613</v>
      </c>
      <c r="F143" s="21" t="n">
        <f aca="false">F140-F142</f>
        <v>28.8317073705793</v>
      </c>
      <c r="G143" s="21" t="n">
        <f aca="false">G140-G142</f>
        <v>31.8758541020194</v>
      </c>
    </row>
    <row r="144" customFormat="false" ht="15" hidden="false" customHeight="false" outlineLevel="0" collapsed="false">
      <c r="A144" s="3" t="s">
        <v>598</v>
      </c>
      <c r="B144" s="0" t="s">
        <v>44</v>
      </c>
      <c r="C144" s="16" t="n">
        <f aca="false">C143/C130</f>
        <v>0.0493366191222961</v>
      </c>
      <c r="D144" s="16" t="n">
        <f aca="false">D143/D130</f>
        <v>0.236698048451424</v>
      </c>
      <c r="E144" s="16" t="n">
        <f aca="false">E143/E130</f>
        <v>0.330672188052089</v>
      </c>
      <c r="F144" s="16" t="n">
        <f aca="false">F143/F130</f>
        <v>0.324813893110438</v>
      </c>
      <c r="G144" s="16" t="n">
        <f aca="false">G143/G130</f>
        <v>0.318442380781847</v>
      </c>
    </row>
    <row r="145" customFormat="false" ht="15" hidden="false" customHeight="false" outlineLevel="0" collapsed="false">
      <c r="A145" s="3" t="s">
        <v>520</v>
      </c>
      <c r="B145" s="0" t="s">
        <v>333</v>
      </c>
      <c r="C145" s="21" t="n">
        <f aca="false">a25_nonop</f>
        <v>0.364</v>
      </c>
      <c r="D145" s="21" t="n">
        <f aca="false">a26_nonop</f>
        <v>0.623</v>
      </c>
      <c r="E145" s="21" t="n">
        <f aca="false">nonop27</f>
        <v>0.6</v>
      </c>
      <c r="F145" s="21" t="n">
        <f aca="false">nonop28</f>
        <v>0.6</v>
      </c>
      <c r="G145" s="21" t="n">
        <f aca="false">nonop29</f>
        <v>0.6</v>
      </c>
    </row>
    <row r="146" customFormat="false" ht="15" hidden="false" customHeight="false" outlineLevel="0" collapsed="false">
      <c r="A146" s="3" t="s">
        <v>522</v>
      </c>
      <c r="B146" s="0" t="s">
        <v>333</v>
      </c>
      <c r="C146" s="21" t="n">
        <f aca="false">C143+C145</f>
        <v>2.346</v>
      </c>
      <c r="D146" s="21" t="n">
        <f aca="false">D143+D145</f>
        <v>14.6231925</v>
      </c>
      <c r="E146" s="21" t="n">
        <f aca="false">E143+E145</f>
        <v>27.1296294313613</v>
      </c>
      <c r="F146" s="21" t="n">
        <f aca="false">F143+F145</f>
        <v>29.4317073705793</v>
      </c>
      <c r="G146" s="21" t="n">
        <f aca="false">G143+G145</f>
        <v>32.4758541020194</v>
      </c>
    </row>
    <row r="147" customFormat="false" ht="15" hidden="false" customHeight="false" outlineLevel="0" collapsed="false">
      <c r="A147" s="3" t="s">
        <v>525</v>
      </c>
      <c r="B147" s="0" t="s">
        <v>333</v>
      </c>
      <c r="E147" s="21" t="n">
        <f aca="false">E146*tax</f>
        <v>5.69722218058588</v>
      </c>
      <c r="F147" s="21" t="n">
        <f aca="false">F146*tax</f>
        <v>6.18065854782166</v>
      </c>
      <c r="G147" s="21" t="n">
        <f aca="false">G146*tax</f>
        <v>6.81992936142408</v>
      </c>
    </row>
    <row r="148" customFormat="false" ht="15" hidden="false" customHeight="false" outlineLevel="0" collapsed="false">
      <c r="A148" s="3" t="s">
        <v>523</v>
      </c>
      <c r="B148" s="0" t="s">
        <v>333</v>
      </c>
      <c r="C148" s="21" t="n">
        <f aca="false">a25_ni</f>
        <v>1.947</v>
      </c>
      <c r="D148" s="21" t="n">
        <f aca="false">a26_ni</f>
        <v>11.509862075</v>
      </c>
      <c r="E148" s="21" t="n">
        <f aca="false">E146-E147</f>
        <v>21.4324072507754</v>
      </c>
      <c r="F148" s="21" t="n">
        <f aca="false">F146-F147</f>
        <v>23.2510488227577</v>
      </c>
      <c r="G148" s="21" t="n">
        <f aca="false">G146-G147</f>
        <v>25.6559247405953</v>
      </c>
      <c r="H148" s="30" t="n">
        <f aca="false">H130*H152</f>
        <v>28.1874171366084</v>
      </c>
      <c r="I148" s="30" t="n">
        <f aca="false">I130*I152</f>
        <v>30.3352294529012</v>
      </c>
      <c r="J148" s="30" t="n">
        <f aca="false">J130*J152</f>
        <v>31.9650007590198</v>
      </c>
    </row>
    <row r="149" customFormat="false" ht="15" hidden="false" customHeight="false" outlineLevel="0" collapsed="false">
      <c r="A149" s="3" t="s">
        <v>658</v>
      </c>
      <c r="B149" s="3" t="s">
        <v>400</v>
      </c>
      <c r="C149" s="29" t="n">
        <f aca="false">a25_sh</f>
        <v>0.646843853820598</v>
      </c>
      <c r="D149" s="29" t="n">
        <f aca="false">a26_sh</f>
        <v>0.645863325123153</v>
      </c>
      <c r="E149" s="29" t="n">
        <f aca="false">a26_shend*(1+sh_g)</f>
        <v>0.64617</v>
      </c>
      <c r="F149" s="29" t="n">
        <f aca="false">E149*(1+sh_g)</f>
        <v>0.64617</v>
      </c>
      <c r="G149" s="29" t="n">
        <f aca="false">F149*(1+sh_g)</f>
        <v>0.64617</v>
      </c>
      <c r="H149" s="31" t="n">
        <f aca="false">G149*(1+sh_g)</f>
        <v>0.64617</v>
      </c>
      <c r="I149" s="31" t="n">
        <f aca="false">H149*(1+sh_g)</f>
        <v>0.64617</v>
      </c>
      <c r="J149" s="31" t="n">
        <f aca="false">I149*(1+sh_g)</f>
        <v>0.64617</v>
      </c>
    </row>
    <row r="150" customFormat="false" ht="17.15" hidden="false" customHeight="false" outlineLevel="0" collapsed="false">
      <c r="A150" s="0" t="s">
        <v>528</v>
      </c>
      <c r="B150" s="0" t="s">
        <v>406</v>
      </c>
      <c r="C150" s="18" t="n">
        <f aca="false">C148/C149</f>
        <v>3.01</v>
      </c>
      <c r="D150" s="18" t="n">
        <f aca="false">D148/D149</f>
        <v>17.820894339844</v>
      </c>
      <c r="E150" s="18" t="n">
        <f aca="false">E148/E149</f>
        <v>33.1683724883165</v>
      </c>
      <c r="F150" s="18" t="n">
        <f aca="false">F148/F149</f>
        <v>35.9828664635586</v>
      </c>
      <c r="G150" s="18" t="n">
        <f aca="false">G148/G149</f>
        <v>39.7046051976962</v>
      </c>
      <c r="H150" s="28" t="n">
        <f aca="false">H148/H149</f>
        <v>43.622293106471</v>
      </c>
      <c r="I150" s="28" t="n">
        <f aca="false">I148/I149</f>
        <v>46.9462052600727</v>
      </c>
      <c r="J150" s="28" t="n">
        <f aca="false">J148/J149</f>
        <v>49.4684073216333</v>
      </c>
    </row>
    <row r="151" customFormat="false" ht="17.15" hidden="false" customHeight="false" outlineLevel="0" collapsed="false">
      <c r="A151" s="0" t="s">
        <v>659</v>
      </c>
      <c r="B151" s="0" t="s">
        <v>44</v>
      </c>
      <c r="D151" s="20" t="n">
        <f aca="false">D150/C150-1</f>
        <v>4.92056290360265</v>
      </c>
      <c r="E151" s="20" t="n">
        <f aca="false">E150/D150-1</f>
        <v>0.861206954925857</v>
      </c>
      <c r="F151" s="20" t="n">
        <f aca="false">F150/E150-1</f>
        <v>0.0848547505981361</v>
      </c>
      <c r="G151" s="20" t="n">
        <f aca="false">G150/F150-1</f>
        <v>0.103430857513998</v>
      </c>
      <c r="H151" s="26" t="n">
        <f aca="false">H150/G150-1</f>
        <v>0.0986708692673806</v>
      </c>
      <c r="I151" s="26" t="n">
        <f aca="false">I150/H150-1</f>
        <v>0.0761975567283657</v>
      </c>
      <c r="J151" s="26" t="n">
        <f aca="false">J150/I150-1</f>
        <v>0.0537253660351893</v>
      </c>
    </row>
    <row r="152" customFormat="false" ht="17.15" hidden="false" customHeight="false" outlineLevel="0" collapsed="false">
      <c r="A152" s="3" t="s">
        <v>660</v>
      </c>
      <c r="B152" s="0" t="s">
        <v>44</v>
      </c>
      <c r="C152" s="16" t="n">
        <f aca="false">C148/C130</f>
        <v>0.0484653872003585</v>
      </c>
      <c r="D152" s="16" t="n">
        <f aca="false">D148/D130</f>
        <v>0.194594602259759</v>
      </c>
      <c r="E152" s="16" t="n">
        <f aca="false">E148/E130</f>
        <v>0.267139087606687</v>
      </c>
      <c r="F152" s="16" t="n">
        <f aca="false">F148/F130</f>
        <v>0.261942991788524</v>
      </c>
      <c r="G152" s="16" t="n">
        <f aca="false">G148/G130</f>
        <v>0.256304779454913</v>
      </c>
      <c r="H152" s="27" t="n">
        <f aca="false">$G152+(fade_mA-$G152)*1/3</f>
        <v>0.254805343743567</v>
      </c>
      <c r="I152" s="27" t="n">
        <f aca="false">$G152+(fade_mA-$G152)*2/3</f>
        <v>0.253305908032222</v>
      </c>
      <c r="J152" s="27" t="n">
        <f aca="false">$G152+(fade_mA-$G152)*3/3</f>
        <v>0.251806472320876</v>
      </c>
    </row>
    <row r="153" customFormat="false" ht="17.15" hidden="false" customHeight="false" outlineLevel="0" collapsed="false">
      <c r="A153" s="3" t="s">
        <v>661</v>
      </c>
      <c r="B153" s="0" t="s">
        <v>44</v>
      </c>
      <c r="C153" s="20" t="n">
        <f aca="false">C136/C130</f>
        <v>0.0602892489980833</v>
      </c>
      <c r="D153" s="20" t="n">
        <f aca="false">D136/D130</f>
        <v>0.0676270839708595</v>
      </c>
      <c r="E153" s="20" t="n">
        <f aca="false">E136/E130</f>
        <v>0.174499634256357</v>
      </c>
      <c r="F153" s="20" t="n">
        <f aca="false">F136/F130</f>
        <v>0.202785426504223</v>
      </c>
      <c r="G153" s="20" t="n">
        <f aca="false">G136/G130</f>
        <v>0.119880978158325</v>
      </c>
      <c r="H153" s="26" t="n">
        <f aca="false">$G153+($G138*(1+tp_g)^(life/2)-$G153)*1/3</f>
        <v>0.11467192462743</v>
      </c>
      <c r="I153" s="26" t="n">
        <f aca="false">$G153+($G138*(1+tp_g)^(life/2)-$G153)*2/3</f>
        <v>0.109462871096535</v>
      </c>
      <c r="J153" s="26" t="n">
        <f aca="false">$G153+($G138*(1+tp_g)^(life/2)-$G153)*3/3</f>
        <v>0.104253817565639</v>
      </c>
      <c r="K153" s="7" t="s">
        <v>662</v>
      </c>
    </row>
    <row r="154" customFormat="false" ht="15" hidden="false" customHeight="false" outlineLevel="0" collapsed="false">
      <c r="A154" s="3" t="s">
        <v>663</v>
      </c>
      <c r="B154" s="0" t="s">
        <v>333</v>
      </c>
      <c r="E154" s="21" t="n">
        <f aca="false">E148+E137-E136</f>
        <v>14.1449072507754</v>
      </c>
      <c r="F154" s="21" t="n">
        <f aca="false">F148+F137-F136</f>
        <v>12.8744863227577</v>
      </c>
      <c r="G154" s="21" t="n">
        <f aca="false">G148+G137-G136</f>
        <v>22.5764325530953</v>
      </c>
      <c r="H154" s="30" t="n">
        <f aca="false">H148+H137-H136</f>
        <v>25.360401896229</v>
      </c>
      <c r="I154" s="30" t="n">
        <f aca="false">I148+I137-I136</f>
        <v>27.8986151576486</v>
      </c>
      <c r="J154" s="30" t="n">
        <f aca="false">J148+J137-J136</f>
        <v>30.043441076414</v>
      </c>
      <c r="K154" s="3" t="s">
        <v>664</v>
      </c>
    </row>
    <row r="155" customFormat="false" ht="15" hidden="false" customHeight="false" outlineLevel="0" collapsed="false">
      <c r="A155" s="3" t="s">
        <v>665</v>
      </c>
      <c r="B155" s="0" t="s">
        <v>406</v>
      </c>
      <c r="E155" s="18" t="n">
        <f aca="false">E154/E149</f>
        <v>21.8903806285891</v>
      </c>
      <c r="F155" s="18" t="n">
        <f aca="false">F154/F149</f>
        <v>19.9243021538568</v>
      </c>
      <c r="G155" s="18" t="n">
        <f aca="false">G154/G149</f>
        <v>34.9388435753677</v>
      </c>
      <c r="H155" s="28" t="n">
        <f aca="false">H154/H149</f>
        <v>39.247259848382</v>
      </c>
      <c r="I155" s="28" t="n">
        <f aca="false">I154/I149</f>
        <v>43.1753488364495</v>
      </c>
      <c r="J155" s="28" t="n">
        <f aca="false">J154/J149</f>
        <v>46.4946392998962</v>
      </c>
    </row>
    <row r="158" customFormat="false" ht="17.15" hidden="false" customHeight="false" outlineLevel="0" collapsed="false">
      <c r="A158" s="1" t="s">
        <v>1009</v>
      </c>
    </row>
    <row r="159" customFormat="false" ht="17.15" hidden="false" customHeight="false" outlineLevel="0" collapsed="false">
      <c r="A159" s="4" t="s">
        <v>21</v>
      </c>
      <c r="B159" s="4" t="s">
        <v>22</v>
      </c>
      <c r="C159" s="13" t="s">
        <v>498</v>
      </c>
      <c r="D159" s="13" t="s">
        <v>585</v>
      </c>
      <c r="E159" s="13" t="s">
        <v>586</v>
      </c>
      <c r="F159" s="13" t="s">
        <v>587</v>
      </c>
      <c r="G159" s="13" t="s">
        <v>588</v>
      </c>
      <c r="H159" s="13" t="s">
        <v>589</v>
      </c>
      <c r="I159" s="13" t="s">
        <v>590</v>
      </c>
      <c r="J159" s="13" t="s">
        <v>591</v>
      </c>
      <c r="K159" s="4" t="s">
        <v>553</v>
      </c>
    </row>
    <row r="160" customFormat="false" ht="17.15" hidden="false" customHeight="false" outlineLevel="0" collapsed="false">
      <c r="A160" s="5" t="s">
        <v>609</v>
      </c>
    </row>
    <row r="161" customFormat="false" ht="17.15" hidden="false" customHeight="false" outlineLevel="0" collapsed="false">
      <c r="A161" s="0" t="s">
        <v>610</v>
      </c>
      <c r="B161" s="3" t="s">
        <v>32</v>
      </c>
      <c r="D161" s="21" t="n">
        <f aca="false">(u_bw_26+u_rb_26+u_ru_26+u_hp_26)*1</f>
        <v>7.6</v>
      </c>
      <c r="E161" s="21" t="n">
        <f aca="false">(u_bw_27+u_rb_27+u_ru_27+u_hp_27)*1*1</f>
        <v>9.7</v>
      </c>
      <c r="F161" s="21" t="n">
        <f aca="false">(u_bw_28+u_rb_28+u_ru_28+u_hp_28)*um28_A*1</f>
        <v>9.5</v>
      </c>
      <c r="G161" s="21" t="n">
        <f aca="false">(u_bw_28*(1+g29_bw)+u_rb_28*(1+g29_rb)+u_ru_28*(1+g29_ru)+u_hp_28*(1+g29_hp))*um29_A*1</f>
        <v>10.6</v>
      </c>
      <c r="K161" s="7" t="s">
        <v>611</v>
      </c>
    </row>
    <row r="162" customFormat="false" ht="17.15" hidden="false" customHeight="false" outlineLevel="0" collapsed="false">
      <c r="A162" s="3" t="s">
        <v>612</v>
      </c>
      <c r="B162" s="3" t="s">
        <v>32</v>
      </c>
      <c r="D162" s="21" t="n">
        <f aca="false">(u_amd_26+u_tpu_26+u_trn_26+u_oth_26)*1</f>
        <v>7.6</v>
      </c>
      <c r="E162" s="21" t="n">
        <f aca="false">(u_amd_27+u_tpu_27+u_trn_27+u_oth_27)*1*1</f>
        <v>14</v>
      </c>
      <c r="F162" s="21" t="n">
        <f aca="false">(u_amd_28+u_tpu_28+u_trn_28+u_oth_28)*um28_A*1</f>
        <v>17</v>
      </c>
      <c r="G162" s="21" t="n">
        <f aca="false">(u_amd_28*(1+g29_amd)+u_tpu_28*(1+g29_tpu)+u_trn_28*(1+g29_trn)+u_oth_28*(1+g29_oth))*um29_A*1</f>
        <v>19.55</v>
      </c>
      <c r="K162" s="7" t="s">
        <v>613</v>
      </c>
    </row>
    <row r="163" customFormat="false" ht="17.15" hidden="false" customHeight="false" outlineLevel="0" collapsed="false">
      <c r="A163" s="3" t="s">
        <v>614</v>
      </c>
      <c r="B163" s="0" t="s">
        <v>154</v>
      </c>
      <c r="D163" s="19" t="n">
        <f aca="false">1</f>
        <v>1</v>
      </c>
      <c r="E163" s="19" t="n">
        <f aca="false">D163*(1+g_asp)</f>
        <v>1.18</v>
      </c>
      <c r="F163" s="19" t="n">
        <f aca="false">E163*(1+g_asp)</f>
        <v>1.3924</v>
      </c>
      <c r="G163" s="19" t="n">
        <f aca="false">F163*(1+g_asp)</f>
        <v>1.643032</v>
      </c>
      <c r="K163" s="7" t="s">
        <v>615</v>
      </c>
    </row>
    <row r="164" customFormat="false" ht="17.15" hidden="false" customHeight="false" outlineLevel="0" collapsed="false">
      <c r="A164" s="0" t="s">
        <v>616</v>
      </c>
      <c r="B164" s="0" t="s">
        <v>154</v>
      </c>
      <c r="D164" s="18" t="n">
        <f aca="false">1</f>
        <v>1</v>
      </c>
      <c r="E164" s="18" t="n">
        <f aca="false">ibpp_27</f>
        <v>1</v>
      </c>
      <c r="F164" s="18" t="n">
        <f aca="false">ibpp_28</f>
        <v>0.95</v>
      </c>
      <c r="G164" s="18" t="n">
        <f aca="false">ibpp_29</f>
        <v>0.9</v>
      </c>
      <c r="K164" s="7" t="s">
        <v>617</v>
      </c>
    </row>
    <row r="165" customFormat="false" ht="17.15" hidden="false" customHeight="false" outlineLevel="0" collapsed="false">
      <c r="A165" s="3" t="s">
        <v>618</v>
      </c>
      <c r="B165" s="0" t="s">
        <v>154</v>
      </c>
      <c r="D165" s="18" t="n">
        <f aca="false">1</f>
        <v>1</v>
      </c>
      <c r="E165" s="18" t="n">
        <f aca="false">1+carry</f>
        <v>1.15</v>
      </c>
      <c r="F165" s="18" t="n">
        <f aca="false">1+carry</f>
        <v>1.15</v>
      </c>
      <c r="G165" s="18" t="n">
        <f aca="false">1+carry</f>
        <v>1.15</v>
      </c>
      <c r="K165" s="7" t="s">
        <v>619</v>
      </c>
    </row>
    <row r="166" customFormat="false" ht="17.15" hidden="false" customHeight="false" outlineLevel="0" collapsed="false">
      <c r="A166" s="3" t="s">
        <v>620</v>
      </c>
      <c r="B166" s="0" t="s">
        <v>621</v>
      </c>
      <c r="D166" s="23" t="n">
        <f aca="false">v26*D163*D164</f>
        <v>215.308596</v>
      </c>
      <c r="E166" s="23" t="n">
        <f aca="false">v26*E163*E164</f>
        <v>254.06414328</v>
      </c>
      <c r="F166" s="23" t="n">
        <f aca="false">v26*F163*F164</f>
        <v>284.80590461688</v>
      </c>
      <c r="G166" s="23" t="n">
        <f aca="false">v26*G163*G164</f>
        <v>318.383021792765</v>
      </c>
      <c r="K166" s="7" t="s">
        <v>622</v>
      </c>
    </row>
    <row r="167" customFormat="false" ht="17.15" hidden="false" customHeight="false" outlineLevel="0" collapsed="false">
      <c r="A167" s="3" t="s">
        <v>623</v>
      </c>
      <c r="B167" s="0" t="s">
        <v>44</v>
      </c>
      <c r="D167" s="20" t="n">
        <f aca="false">sh_nv_26</f>
        <v>0.02</v>
      </c>
      <c r="E167" s="20" t="n">
        <f aca="false">sh_nv_27</f>
        <v>0.03</v>
      </c>
      <c r="F167" s="20" t="n">
        <f aca="false">sh_nv_28</f>
        <v>0.04</v>
      </c>
      <c r="G167" s="20" t="n">
        <f aca="false">sh_nv_29</f>
        <v>0.04</v>
      </c>
    </row>
    <row r="168" customFormat="false" ht="17.15" hidden="false" customHeight="false" outlineLevel="0" collapsed="false">
      <c r="A168" s="3" t="s">
        <v>624</v>
      </c>
      <c r="B168" s="0" t="s">
        <v>44</v>
      </c>
      <c r="D168" s="20" t="n">
        <f aca="false">sh_ot_26</f>
        <v>0.05</v>
      </c>
      <c r="E168" s="20" t="n">
        <f aca="false">sh_ot_27</f>
        <v>0.06</v>
      </c>
      <c r="F168" s="20" t="n">
        <f aca="false">sh_ot_28</f>
        <v>0.07</v>
      </c>
      <c r="G168" s="20" t="n">
        <f aca="false">sh_ot_29</f>
        <v>0.07</v>
      </c>
    </row>
    <row r="169" customFormat="false" ht="17.15" hidden="false" customHeight="false" outlineLevel="0" collapsed="false">
      <c r="A169" s="3" t="s">
        <v>625</v>
      </c>
      <c r="B169" s="0" t="s">
        <v>575</v>
      </c>
      <c r="D169" s="22" t="n">
        <f aca="false">(D161*D166*D167+D162*D166*v_ot*D168)*D165</f>
        <v>98.180719776</v>
      </c>
      <c r="E169" s="22" t="n">
        <f aca="false">(E161*E166*E167+E162*E166*v_ot*E168)*E165</f>
        <v>281.363335475436</v>
      </c>
      <c r="F169" s="22" t="n">
        <f aca="false">(F161*F166*F167+F162*F166*v_ot*F168)*F165</f>
        <v>436.265684692137</v>
      </c>
      <c r="G169" s="22" t="n">
        <f aca="false">(G161*G166*G167+G162*G166*v_ot*G168)*G165</f>
        <v>556.094153523679</v>
      </c>
    </row>
    <row r="170" customFormat="false" ht="15" hidden="false" customHeight="false" outlineLevel="0" collapsed="false">
      <c r="A170" s="3" t="s">
        <v>626</v>
      </c>
      <c r="B170" s="0" t="s">
        <v>333</v>
      </c>
      <c r="D170" s="21" t="n">
        <f aca="false">D169*fx/1000</f>
        <v>3.141783032832</v>
      </c>
      <c r="E170" s="21" t="n">
        <f aca="false">E169*fx/1000</f>
        <v>9.00362673521395</v>
      </c>
      <c r="F170" s="21" t="n">
        <f aca="false">F169*fx/1000</f>
        <v>13.9605019101484</v>
      </c>
      <c r="G170" s="21" t="n">
        <f aca="false">G169*fx/1000</f>
        <v>17.7950129127577</v>
      </c>
    </row>
    <row r="171" customFormat="false" ht="17.15" hidden="false" customHeight="false" outlineLevel="0" collapsed="false">
      <c r="A171" s="5" t="s">
        <v>627</v>
      </c>
    </row>
    <row r="172" customFormat="false" ht="17.15" hidden="false" customHeight="false" outlineLevel="0" collapsed="false">
      <c r="A172" s="0" t="s">
        <v>628</v>
      </c>
      <c r="B172" s="0" t="s">
        <v>333</v>
      </c>
      <c r="D172" s="21" t="n">
        <f aca="false">a26_abf*ai_abf</f>
        <v>22.2987583</v>
      </c>
      <c r="K172" s="3" t="s">
        <v>629</v>
      </c>
    </row>
    <row r="173" customFormat="false" ht="17.15" hidden="false" customHeight="false" outlineLevel="0" collapsed="false">
      <c r="A173" s="3" t="s">
        <v>630</v>
      </c>
      <c r="B173" s="0" t="s">
        <v>333</v>
      </c>
      <c r="D173" s="21" t="n">
        <f aca="false">D172-D170</f>
        <v>19.156975267168</v>
      </c>
      <c r="E173" s="21" t="n">
        <f aca="false">$D173*(swm_27/swm_26)^el_o*1*1*E164*E165</f>
        <v>30.814372309298</v>
      </c>
      <c r="F173" s="21" t="n">
        <f aca="false">$D173*(swm_28/swm_26)^el_o*um28_A*1*F164*F165</f>
        <v>31.4910971539819</v>
      </c>
      <c r="G173" s="21" t="n">
        <f aca="false">$D173*(swm_29/swm_26)^el_o*um29_A*1*G164*G165</f>
        <v>31.8267984747363</v>
      </c>
      <c r="K173" s="7" t="s">
        <v>631</v>
      </c>
    </row>
    <row r="174" customFormat="false" ht="17.15" hidden="false" customHeight="false" outlineLevel="0" collapsed="false">
      <c r="A174" s="3" t="s">
        <v>632</v>
      </c>
      <c r="B174" s="0" t="s">
        <v>333</v>
      </c>
      <c r="D174" s="21" t="n">
        <f aca="false">a26_abf-D172</f>
        <v>12.0070237</v>
      </c>
      <c r="E174" s="21" t="n">
        <f aca="false">D174*(1+g_nai)</f>
        <v>12.367234411</v>
      </c>
      <c r="F174" s="21" t="n">
        <f aca="false">E174*(1+g_nai)</f>
        <v>12.73825144333</v>
      </c>
      <c r="G174" s="21" t="n">
        <f aca="false">F174*(1+g_nai)</f>
        <v>13.1203989866299</v>
      </c>
    </row>
    <row r="175" customFormat="false" ht="17.15" hidden="false" customHeight="false" outlineLevel="0" collapsed="false">
      <c r="A175" s="0" t="s">
        <v>633</v>
      </c>
      <c r="B175" s="0" t="s">
        <v>333</v>
      </c>
      <c r="D175" s="21" t="n">
        <f aca="false">D170+D173+D174</f>
        <v>34.305782</v>
      </c>
      <c r="E175" s="21" t="n">
        <f aca="false">E170+E173+E174</f>
        <v>52.185233455512</v>
      </c>
      <c r="F175" s="21" t="n">
        <f aca="false">F170+F173+F174</f>
        <v>58.1898505074603</v>
      </c>
      <c r="G175" s="21" t="n">
        <f aca="false">G170+G173+G174</f>
        <v>62.7422103741239</v>
      </c>
    </row>
    <row r="176" customFormat="false" ht="17.15" hidden="false" customHeight="false" outlineLevel="0" collapsed="false">
      <c r="A176" s="0" t="s">
        <v>634</v>
      </c>
      <c r="B176" s="0" t="s">
        <v>333</v>
      </c>
      <c r="D176" s="21" t="n">
        <f aca="false">a26_abf</f>
        <v>34.305782</v>
      </c>
      <c r="E176" s="21" t="n">
        <f aca="false">$D175*cap_27_lo*(1+g_mix)^1*E164*E165</f>
        <v>45.5666549415</v>
      </c>
      <c r="F176" s="21" t="n">
        <f aca="false">$D175*cap_28_lo*(1+g_mix)^2*F164*F165</f>
        <v>49.584805422705</v>
      </c>
      <c r="G176" s="21" t="n">
        <f aca="false">$D175*cap_29_lo*(1+g_mix)^3*G164*G165</f>
        <v>55.4893118579087</v>
      </c>
      <c r="K176" s="7" t="s">
        <v>635</v>
      </c>
    </row>
    <row r="177" customFormat="false" ht="17.15" hidden="false" customHeight="false" outlineLevel="0" collapsed="false">
      <c r="A177" s="0" t="s">
        <v>636</v>
      </c>
      <c r="B177" s="0" t="s">
        <v>333</v>
      </c>
      <c r="D177" s="21" t="n">
        <f aca="false">a26_abf</f>
        <v>34.305782</v>
      </c>
      <c r="E177" s="21" t="n">
        <f aca="false">MIN(E175,E176)</f>
        <v>45.5666549415</v>
      </c>
      <c r="F177" s="21" t="n">
        <f aca="false">MIN(F175,F176)</f>
        <v>49.584805422705</v>
      </c>
      <c r="G177" s="21" t="n">
        <f aca="false">MIN(G175,G176)</f>
        <v>55.4893118579087</v>
      </c>
    </row>
    <row r="178" customFormat="false" ht="17.15" hidden="false" customHeight="false" outlineLevel="0" collapsed="false">
      <c r="A178" s="3" t="s">
        <v>637</v>
      </c>
      <c r="B178" s="0" t="s">
        <v>44</v>
      </c>
      <c r="D178" s="20" t="n">
        <f aca="false">D177/D175</f>
        <v>1</v>
      </c>
      <c r="E178" s="20" t="n">
        <f aca="false">E177/E175</f>
        <v>0.873171430388363</v>
      </c>
      <c r="F178" s="20" t="n">
        <f aca="false">F177/F175</f>
        <v>0.852121203101354</v>
      </c>
      <c r="G178" s="20" t="n">
        <f aca="false">G177/G175</f>
        <v>0.884401609809933</v>
      </c>
    </row>
    <row r="179" customFormat="false" ht="17.15" hidden="false" customHeight="false" outlineLevel="0" collapsed="false">
      <c r="A179" s="0" t="s">
        <v>638</v>
      </c>
      <c r="B179" s="0" t="s">
        <v>333</v>
      </c>
      <c r="D179" s="21" t="n">
        <f aca="false">(D170+D173)*D178</f>
        <v>22.2987583</v>
      </c>
      <c r="E179" s="21" t="n">
        <f aca="false">(E170+E173)*E178</f>
        <v>34.767939180899</v>
      </c>
      <c r="F179" s="21" t="n">
        <f aca="false">(F170+F173)*F178</f>
        <v>38.7302712774071</v>
      </c>
      <c r="G179" s="21" t="n">
        <f aca="false">(G170+G173)*G178</f>
        <v>43.8856098727846</v>
      </c>
    </row>
    <row r="180" customFormat="false" ht="17.15" hidden="false" customHeight="false" outlineLevel="0" collapsed="false">
      <c r="A180" s="3" t="s">
        <v>639</v>
      </c>
      <c r="B180" s="0" t="s">
        <v>44</v>
      </c>
      <c r="D180" s="20" t="n">
        <f aca="false">D170/(D170+D173)</f>
        <v>0.140894976776891</v>
      </c>
      <c r="E180" s="20" t="n">
        <f aca="false">E170/(E170+E173)</f>
        <v>0.226119517586731</v>
      </c>
      <c r="F180" s="20" t="n">
        <f aca="false">F170/(F170+F173)</f>
        <v>0.307150951728908</v>
      </c>
      <c r="G180" s="20" t="n">
        <f aca="false">G170/(G170+G173)</f>
        <v>0.358612723219583</v>
      </c>
    </row>
    <row r="181" customFormat="false" ht="17.15" hidden="false" customHeight="false" outlineLevel="0" collapsed="false">
      <c r="A181" s="5" t="s">
        <v>640</v>
      </c>
    </row>
    <row r="182" customFormat="false" ht="17.15" hidden="false" customHeight="false" outlineLevel="0" collapsed="false">
      <c r="A182" s="0" t="s">
        <v>641</v>
      </c>
      <c r="B182" s="0" t="s">
        <v>333</v>
      </c>
      <c r="D182" s="21" t="n">
        <f aca="false">a26_bt</f>
        <v>18.927328</v>
      </c>
      <c r="E182" s="21" t="n">
        <f aca="false">D182*(1+g_bt27_A)</f>
        <v>24.6055264</v>
      </c>
      <c r="F182" s="21" t="n">
        <f aca="false">E182*(1+g_bt28_A)</f>
        <v>27.06607904</v>
      </c>
      <c r="G182" s="21" t="n">
        <f aca="false">F182*(1+g_bt29_A)</f>
        <v>28.419382992</v>
      </c>
      <c r="K182" s="7" t="s">
        <v>642</v>
      </c>
    </row>
    <row r="183" customFormat="false" ht="17.15" hidden="false" customHeight="false" outlineLevel="0" collapsed="false">
      <c r="A183" s="0" t="s">
        <v>540</v>
      </c>
      <c r="B183" s="0" t="s">
        <v>333</v>
      </c>
      <c r="D183" s="21" t="n">
        <f aca="false">a26_pcb</f>
        <v>5.91479</v>
      </c>
      <c r="E183" s="21" t="n">
        <f aca="false">D183*(1+g_pcb)</f>
        <v>5.91479</v>
      </c>
      <c r="F183" s="21" t="n">
        <f aca="false">E183*(1+g_pcb)</f>
        <v>5.91479</v>
      </c>
      <c r="G183" s="21" t="n">
        <f aca="false">F183*(1+g_pcb)</f>
        <v>5.91479</v>
      </c>
    </row>
    <row r="184" customFormat="false" ht="17.15" hidden="false" customHeight="false" outlineLevel="0" collapsed="false">
      <c r="A184" s="3" t="s">
        <v>505</v>
      </c>
      <c r="B184" s="0" t="s">
        <v>333</v>
      </c>
      <c r="C184" s="23" t="n">
        <f aca="false">a25_rev</f>
        <v>40.173</v>
      </c>
      <c r="D184" s="23" t="n">
        <f aca="false">D177+D182+D183</f>
        <v>59.1479</v>
      </c>
      <c r="E184" s="23" t="n">
        <f aca="false">E177+E182+E183</f>
        <v>76.0869713415</v>
      </c>
      <c r="F184" s="23" t="n">
        <f aca="false">F177+F182+F183</f>
        <v>82.565674462705</v>
      </c>
      <c r="G184" s="23" t="n">
        <f aca="false">G177+G182+G183</f>
        <v>89.8234848499087</v>
      </c>
      <c r="H184" s="25" t="n">
        <f aca="false">G184*(1+H186)</f>
        <v>96.8838193478739</v>
      </c>
      <c r="I184" s="25" t="n">
        <f aca="false">H184*(1+I186)</f>
        <v>103.597980520843</v>
      </c>
      <c r="J184" s="25" t="n">
        <f aca="false">I184*(1+J186)</f>
        <v>109.813859352094</v>
      </c>
      <c r="K184" s="7" t="s">
        <v>643</v>
      </c>
    </row>
    <row r="185" customFormat="false" ht="17.15" hidden="false" customHeight="false" outlineLevel="0" collapsed="false">
      <c r="A185" s="3" t="s">
        <v>644</v>
      </c>
      <c r="B185" s="0" t="s">
        <v>333</v>
      </c>
      <c r="D185" s="19" t="n">
        <f aca="false">D177+D182+D183-a26_rev</f>
        <v>0</v>
      </c>
      <c r="E185" s="19" t="n">
        <f aca="false">E177+E182+E183-E184</f>
        <v>0</v>
      </c>
      <c r="F185" s="19" t="n">
        <f aca="false">F177+F182+F183-F184</f>
        <v>0</v>
      </c>
      <c r="G185" s="19" t="n">
        <f aca="false">G177+G182+G183-G184</f>
        <v>0</v>
      </c>
    </row>
    <row r="186" customFormat="false" ht="15" hidden="false" customHeight="false" outlineLevel="0" collapsed="false">
      <c r="A186" s="3" t="s">
        <v>645</v>
      </c>
      <c r="B186" s="0" t="s">
        <v>44</v>
      </c>
      <c r="D186" s="20" t="n">
        <f aca="false">D184/C184-1</f>
        <v>0.472329674159261</v>
      </c>
      <c r="E186" s="20" t="n">
        <f aca="false">E184/D184-1</f>
        <v>0.286385</v>
      </c>
      <c r="F186" s="20" t="n">
        <f aca="false">F184/E184-1</f>
        <v>0.0851486530082364</v>
      </c>
      <c r="G186" s="20" t="n">
        <f aca="false">G184/F184-1</f>
        <v>0.0879034833111192</v>
      </c>
      <c r="H186" s="26" t="n">
        <f aca="false">$G186+(fade_gA-$G186)*1/3</f>
        <v>0.0786023222074128</v>
      </c>
      <c r="I186" s="26" t="n">
        <f aca="false">$G186+(fade_gA-$G186)*2/3</f>
        <v>0.0693011611037064</v>
      </c>
      <c r="J186" s="26" t="n">
        <f aca="false">$G186+(fade_gA-$G186)*3/3</f>
        <v>0.06</v>
      </c>
    </row>
    <row r="187" customFormat="false" ht="17.15" hidden="false" customHeight="false" outlineLevel="0" collapsed="false">
      <c r="A187" s="0" t="s">
        <v>646</v>
      </c>
      <c r="B187" s="0" t="s">
        <v>44</v>
      </c>
      <c r="D187" s="20" t="n">
        <f aca="false">D177/D184</f>
        <v>0.58</v>
      </c>
      <c r="E187" s="20" t="n">
        <f aca="false">E177/E184</f>
        <v>0.598875919728542</v>
      </c>
      <c r="F187" s="20" t="n">
        <f aca="false">F177/F184</f>
        <v>0.600549874331887</v>
      </c>
      <c r="G187" s="20" t="n">
        <f aca="false">G177/G184</f>
        <v>0.617759508558692</v>
      </c>
    </row>
    <row r="188" customFormat="false" ht="17.15" hidden="false" customHeight="false" outlineLevel="0" collapsed="false">
      <c r="A188" s="0" t="s">
        <v>647</v>
      </c>
      <c r="B188" s="0" t="s">
        <v>44</v>
      </c>
      <c r="D188" s="20" t="n">
        <f aca="false">D179/D184</f>
        <v>0.377</v>
      </c>
      <c r="E188" s="20" t="n">
        <f aca="false">E179/E184</f>
        <v>0.456949968804127</v>
      </c>
      <c r="F188" s="20" t="n">
        <f aca="false">F179/F184</f>
        <v>0.469084417095164</v>
      </c>
      <c r="G188" s="20" t="n">
        <f aca="false">G179/G184</f>
        <v>0.488576121780575</v>
      </c>
      <c r="K188" s="3" t="s">
        <v>648</v>
      </c>
    </row>
    <row r="189" customFormat="false" ht="17.15" hidden="false" customHeight="false" outlineLevel="0" collapsed="false">
      <c r="A189" s="5" t="s">
        <v>649</v>
      </c>
    </row>
    <row r="190" customFormat="false" ht="15" hidden="false" customHeight="false" outlineLevel="0" collapsed="false">
      <c r="A190" s="3" t="s">
        <v>650</v>
      </c>
      <c r="B190" s="0" t="s">
        <v>333</v>
      </c>
      <c r="C190" s="23" t="n">
        <f aca="false">a25_cx</f>
        <v>2.422</v>
      </c>
      <c r="D190" s="23" t="n">
        <f aca="false">capex26</f>
        <v>4</v>
      </c>
      <c r="E190" s="23" t="n">
        <f aca="false">cx27</f>
        <v>14</v>
      </c>
      <c r="F190" s="23" t="n">
        <f aca="false">cx28</f>
        <v>18</v>
      </c>
      <c r="G190" s="23" t="n">
        <f aca="false">cx29</f>
        <v>12</v>
      </c>
      <c r="H190" s="25" t="n">
        <f aca="false">H184*H207</f>
        <v>12.3808203198132</v>
      </c>
      <c r="I190" s="25" t="n">
        <f aca="false">I184*I207</f>
        <v>12.6374425007187</v>
      </c>
      <c r="J190" s="25" t="n">
        <f aca="false">J184*J207</f>
        <v>12.7582230255275</v>
      </c>
    </row>
    <row r="191" customFormat="false" ht="17.15" hidden="false" customHeight="false" outlineLevel="0" collapsed="false">
      <c r="A191" s="3" t="s">
        <v>651</v>
      </c>
      <c r="B191" s="0" t="s">
        <v>333</v>
      </c>
      <c r="C191" s="23" t="n">
        <f aca="false">a25_da</f>
        <v>6.894</v>
      </c>
      <c r="D191" s="23" t="n">
        <f aca="false">da26</f>
        <v>7.1</v>
      </c>
      <c r="E191" s="23" t="n">
        <f aca="false">D191*(1-1/life)+D190/life</f>
        <v>6.7125</v>
      </c>
      <c r="F191" s="23" t="n">
        <f aca="false">E191*(1-1/life)+E190/life</f>
        <v>7.6234375</v>
      </c>
      <c r="G191" s="23" t="n">
        <f aca="false">F191*(1-1/life)+F190/life</f>
        <v>8.9205078125</v>
      </c>
      <c r="H191" s="25" t="n">
        <f aca="false">H184*H192</f>
        <v>9.62168044183187</v>
      </c>
      <c r="I191" s="25" t="n">
        <f aca="false">I184*I192</f>
        <v>10.2884740682196</v>
      </c>
      <c r="J191" s="25" t="n">
        <f aca="false">J184*J192</f>
        <v>10.9057825123128</v>
      </c>
      <c r="K191" s="3" t="s">
        <v>652</v>
      </c>
    </row>
    <row r="192" customFormat="false" ht="17.15" hidden="false" customHeight="false" outlineLevel="0" collapsed="false">
      <c r="A192" s="3" t="s">
        <v>653</v>
      </c>
      <c r="B192" s="0" t="s">
        <v>44</v>
      </c>
      <c r="C192" s="20" t="n">
        <f aca="false">C191/C184</f>
        <v>0.171607796281084</v>
      </c>
      <c r="D192" s="20" t="n">
        <f aca="false">D191/D184</f>
        <v>0.120038074048276</v>
      </c>
      <c r="E192" s="20" t="n">
        <f aca="false">E191/E184</f>
        <v>0.0882214113881914</v>
      </c>
      <c r="F192" s="20" t="n">
        <f aca="false">F191/F184</f>
        <v>0.092331801921433</v>
      </c>
      <c r="G192" s="20" t="n">
        <f aca="false">G191/G184</f>
        <v>0.0993115311369381</v>
      </c>
      <c r="H192" s="26" t="n">
        <f aca="false">$G192</f>
        <v>0.0993115311369381</v>
      </c>
      <c r="I192" s="26" t="n">
        <f aca="false">$G192</f>
        <v>0.0993115311369381</v>
      </c>
      <c r="J192" s="26" t="n">
        <f aca="false">$G192</f>
        <v>0.0993115311369381</v>
      </c>
    </row>
    <row r="193" customFormat="false" ht="17.15" hidden="false" customHeight="false" outlineLevel="0" collapsed="false">
      <c r="A193" s="3" t="s">
        <v>654</v>
      </c>
      <c r="B193" s="0" t="s">
        <v>333</v>
      </c>
      <c r="E193" s="21" t="n">
        <f aca="false">E179*(1-1/(E164*E165))</f>
        <v>4.5349485888129</v>
      </c>
      <c r="F193" s="21" t="n">
        <f aca="false">F179*(1-1/(F164*F165))</f>
        <v>3.27922205323583</v>
      </c>
      <c r="G193" s="21" t="n">
        <f aca="false">G179*(1-1/(G164*G165))</f>
        <v>1.48405444014247</v>
      </c>
      <c r="K193" s="7" t="s">
        <v>655</v>
      </c>
    </row>
    <row r="194" customFormat="false" ht="17.15" hidden="false" customHeight="false" outlineLevel="0" collapsed="false">
      <c r="A194" s="3" t="s">
        <v>656</v>
      </c>
      <c r="B194" s="0" t="s">
        <v>333</v>
      </c>
      <c r="C194" s="21" t="n">
        <f aca="false">a25_gp</f>
        <v>3.647</v>
      </c>
      <c r="D194" s="21" t="n">
        <f aca="false">a26_gp</f>
        <v>15.9001925</v>
      </c>
      <c r="E194" s="21" t="n">
        <f aca="false">$D194+ft_abf*(E177-E193-$D177)+ft_oth*((E184-E177)-($D184-$D177))+E193-(E191-$D191)</f>
        <v>26.4568826251565</v>
      </c>
      <c r="F194" s="21" t="n">
        <f aca="false">$D194+ft_abf*(F177-F193-$D177)+ft_oth*((F184-F177)-($D184-$D177))+F193-(F191-$D191)</f>
        <v>27.9113781539704</v>
      </c>
      <c r="G194" s="21" t="n">
        <f aca="false">$D194+ft_abf*(G177-G193-$D177)+ft_oth*((G184-G177)-($D184-$D177))+G193-(G191-$D191)</f>
        <v>29.2102988333256</v>
      </c>
      <c r="K194" s="3" t="s">
        <v>657</v>
      </c>
    </row>
    <row r="195" customFormat="false" ht="15" hidden="false" customHeight="false" outlineLevel="0" collapsed="false">
      <c r="A195" s="3" t="s">
        <v>512</v>
      </c>
      <c r="B195" s="0" t="s">
        <v>44</v>
      </c>
      <c r="C195" s="16" t="n">
        <f aca="false">C194/C184</f>
        <v>0.0907823662659</v>
      </c>
      <c r="D195" s="16" t="n">
        <f aca="false">D194/D184</f>
        <v>0.268820913337583</v>
      </c>
      <c r="E195" s="16" t="n">
        <f aca="false">E194/E184</f>
        <v>0.347718961061158</v>
      </c>
      <c r="F195" s="16" t="n">
        <f aca="false">F194/F184</f>
        <v>0.33805062861296</v>
      </c>
      <c r="G195" s="16" t="n">
        <f aca="false">G194/G184</f>
        <v>0.325196677485123</v>
      </c>
    </row>
    <row r="196" customFormat="false" ht="15" hidden="false" customHeight="false" outlineLevel="0" collapsed="false">
      <c r="A196" s="3" t="s">
        <v>514</v>
      </c>
      <c r="B196" s="0" t="s">
        <v>333</v>
      </c>
      <c r="C196" s="21" t="n">
        <f aca="false">a25_opx</f>
        <v>1.665</v>
      </c>
      <c r="D196" s="21" t="n">
        <f aca="false">a26_opx</f>
        <v>1.9</v>
      </c>
      <c r="E196" s="21" t="n">
        <f aca="false">D196*(1+phi*E186)</f>
        <v>2.2264789</v>
      </c>
      <c r="F196" s="21" t="n">
        <f aca="false">E196*(1+phi*F186)</f>
        <v>2.34022790757176</v>
      </c>
      <c r="G196" s="21" t="n">
        <f aca="false">F196*(1+phi*G186)</f>
        <v>2.46365641846222</v>
      </c>
    </row>
    <row r="197" customFormat="false" ht="15" hidden="false" customHeight="false" outlineLevel="0" collapsed="false">
      <c r="A197" s="3" t="s">
        <v>517</v>
      </c>
      <c r="B197" s="0" t="s">
        <v>333</v>
      </c>
      <c r="C197" s="21" t="n">
        <f aca="false">C194-C196</f>
        <v>1.982</v>
      </c>
      <c r="D197" s="21" t="n">
        <f aca="false">D194-D196</f>
        <v>14.0001925</v>
      </c>
      <c r="E197" s="21" t="n">
        <f aca="false">E194-E196</f>
        <v>24.2304037251565</v>
      </c>
      <c r="F197" s="21" t="n">
        <f aca="false">F194-F196</f>
        <v>25.5711502463987</v>
      </c>
      <c r="G197" s="21" t="n">
        <f aca="false">G194-G196</f>
        <v>26.7466424148634</v>
      </c>
    </row>
    <row r="198" customFormat="false" ht="15" hidden="false" customHeight="false" outlineLevel="0" collapsed="false">
      <c r="A198" s="3" t="s">
        <v>598</v>
      </c>
      <c r="B198" s="0" t="s">
        <v>44</v>
      </c>
      <c r="C198" s="16" t="n">
        <f aca="false">C197/C184</f>
        <v>0.0493366191222961</v>
      </c>
      <c r="D198" s="16" t="n">
        <f aca="false">D197/D184</f>
        <v>0.236698048451424</v>
      </c>
      <c r="E198" s="16" t="n">
        <f aca="false">E197/E184</f>
        <v>0.318456672646405</v>
      </c>
      <c r="F198" s="16" t="n">
        <f aca="false">F197/F184</f>
        <v>0.309706792959696</v>
      </c>
      <c r="G198" s="16" t="n">
        <f aca="false">G197/G184</f>
        <v>0.297768923790431</v>
      </c>
    </row>
    <row r="199" customFormat="false" ht="15" hidden="false" customHeight="false" outlineLevel="0" collapsed="false">
      <c r="A199" s="3" t="s">
        <v>520</v>
      </c>
      <c r="B199" s="0" t="s">
        <v>333</v>
      </c>
      <c r="C199" s="21" t="n">
        <f aca="false">a25_nonop</f>
        <v>0.364</v>
      </c>
      <c r="D199" s="21" t="n">
        <f aca="false">a26_nonop</f>
        <v>0.623</v>
      </c>
      <c r="E199" s="21" t="n">
        <f aca="false">nonop27</f>
        <v>0.6</v>
      </c>
      <c r="F199" s="21" t="n">
        <f aca="false">nonop28</f>
        <v>0.6</v>
      </c>
      <c r="G199" s="21" t="n">
        <f aca="false">nonop29</f>
        <v>0.6</v>
      </c>
    </row>
    <row r="200" customFormat="false" ht="15" hidden="false" customHeight="false" outlineLevel="0" collapsed="false">
      <c r="A200" s="3" t="s">
        <v>522</v>
      </c>
      <c r="B200" s="0" t="s">
        <v>333</v>
      </c>
      <c r="C200" s="21" t="n">
        <f aca="false">C197+C199</f>
        <v>2.346</v>
      </c>
      <c r="D200" s="21" t="n">
        <f aca="false">D197+D199</f>
        <v>14.6231925</v>
      </c>
      <c r="E200" s="21" t="n">
        <f aca="false">E197+E199</f>
        <v>24.8304037251565</v>
      </c>
      <c r="F200" s="21" t="n">
        <f aca="false">F197+F199</f>
        <v>26.1711502463987</v>
      </c>
      <c r="G200" s="21" t="n">
        <f aca="false">G197+G199</f>
        <v>27.3466424148634</v>
      </c>
    </row>
    <row r="201" customFormat="false" ht="15" hidden="false" customHeight="false" outlineLevel="0" collapsed="false">
      <c r="A201" s="3" t="s">
        <v>525</v>
      </c>
      <c r="B201" s="0" t="s">
        <v>333</v>
      </c>
      <c r="E201" s="21" t="n">
        <f aca="false">E200*tax</f>
        <v>5.21438478228286</v>
      </c>
      <c r="F201" s="21" t="n">
        <f aca="false">F200*tax</f>
        <v>5.49594155174372</v>
      </c>
      <c r="G201" s="21" t="n">
        <f aca="false">G200*tax</f>
        <v>5.74279490712131</v>
      </c>
    </row>
    <row r="202" customFormat="false" ht="15" hidden="false" customHeight="false" outlineLevel="0" collapsed="false">
      <c r="A202" s="3" t="s">
        <v>523</v>
      </c>
      <c r="B202" s="0" t="s">
        <v>333</v>
      </c>
      <c r="C202" s="21" t="n">
        <f aca="false">a25_ni</f>
        <v>1.947</v>
      </c>
      <c r="D202" s="21" t="n">
        <f aca="false">a26_ni</f>
        <v>11.509862075</v>
      </c>
      <c r="E202" s="21" t="n">
        <f aca="false">E200-E201</f>
        <v>19.6160189428736</v>
      </c>
      <c r="F202" s="21" t="n">
        <f aca="false">F200-F201</f>
        <v>20.6752086946549</v>
      </c>
      <c r="G202" s="21" t="n">
        <f aca="false">G200-G201</f>
        <v>21.6038475077421</v>
      </c>
      <c r="H202" s="30" t="n">
        <f aca="false">H184*H206</f>
        <v>23.6666309852973</v>
      </c>
      <c r="I202" s="30" t="n">
        <f aca="false">I184*I206</f>
        <v>25.6966990032559</v>
      </c>
      <c r="J202" s="30" t="n">
        <f aca="false">J184*J206</f>
        <v>27.6518405353916</v>
      </c>
    </row>
    <row r="203" customFormat="false" ht="15" hidden="false" customHeight="false" outlineLevel="0" collapsed="false">
      <c r="A203" s="3" t="s">
        <v>658</v>
      </c>
      <c r="B203" s="3" t="s">
        <v>400</v>
      </c>
      <c r="C203" s="29" t="n">
        <f aca="false">a25_sh</f>
        <v>0.646843853820598</v>
      </c>
      <c r="D203" s="29" t="n">
        <f aca="false">a26_sh</f>
        <v>0.645863325123153</v>
      </c>
      <c r="E203" s="29" t="n">
        <f aca="false">a26_shend*(1+sh_g)</f>
        <v>0.64617</v>
      </c>
      <c r="F203" s="29" t="n">
        <f aca="false">E203*(1+sh_g)</f>
        <v>0.64617</v>
      </c>
      <c r="G203" s="29" t="n">
        <f aca="false">F203*(1+sh_g)</f>
        <v>0.64617</v>
      </c>
      <c r="H203" s="31" t="n">
        <f aca="false">G203*(1+sh_g)</f>
        <v>0.64617</v>
      </c>
      <c r="I203" s="31" t="n">
        <f aca="false">H203*(1+sh_g)</f>
        <v>0.64617</v>
      </c>
      <c r="J203" s="31" t="n">
        <f aca="false">I203*(1+sh_g)</f>
        <v>0.64617</v>
      </c>
    </row>
    <row r="204" customFormat="false" ht="17.15" hidden="false" customHeight="false" outlineLevel="0" collapsed="false">
      <c r="A204" s="0" t="s">
        <v>528</v>
      </c>
      <c r="B204" s="0" t="s">
        <v>406</v>
      </c>
      <c r="C204" s="18" t="n">
        <f aca="false">C202/C203</f>
        <v>3.01</v>
      </c>
      <c r="D204" s="18" t="n">
        <f aca="false">D202/D203</f>
        <v>17.820894339844</v>
      </c>
      <c r="E204" s="18" t="n">
        <f aca="false">E202/E203</f>
        <v>30.3573656203067</v>
      </c>
      <c r="F204" s="18" t="n">
        <f aca="false">F202/F203</f>
        <v>31.996546875675</v>
      </c>
      <c r="G204" s="18" t="n">
        <f aca="false">G202/G203</f>
        <v>33.4336900625873</v>
      </c>
      <c r="H204" s="28" t="n">
        <f aca="false">H202/H203</f>
        <v>36.6260132554859</v>
      </c>
      <c r="I204" s="28" t="n">
        <f aca="false">I202/I203</f>
        <v>39.7677066457061</v>
      </c>
      <c r="J204" s="28" t="n">
        <f aca="false">J202/J203</f>
        <v>42.7934452781646</v>
      </c>
    </row>
    <row r="205" customFormat="false" ht="17.15" hidden="false" customHeight="false" outlineLevel="0" collapsed="false">
      <c r="A205" s="0" t="s">
        <v>659</v>
      </c>
      <c r="B205" s="0" t="s">
        <v>44</v>
      </c>
      <c r="D205" s="20" t="n">
        <f aca="false">D204/C204-1</f>
        <v>4.92056290360265</v>
      </c>
      <c r="E205" s="20" t="n">
        <f aca="false">E204/D204-1</f>
        <v>0.703470378163553</v>
      </c>
      <c r="F205" s="20" t="n">
        <f aca="false">F204/E204-1</f>
        <v>0.0539961627721683</v>
      </c>
      <c r="G205" s="20" t="n">
        <f aca="false">G204/F204-1</f>
        <v>0.0449155714363934</v>
      </c>
      <c r="H205" s="26" t="n">
        <f aca="false">H204/G204-1</f>
        <v>0.0954822272660481</v>
      </c>
      <c r="I205" s="26" t="n">
        <f aca="false">I204/H204-1</f>
        <v>0.0857776512094064</v>
      </c>
      <c r="J205" s="26" t="n">
        <f aca="false">J204/I204-1</f>
        <v>0.0760853186585562</v>
      </c>
    </row>
    <row r="206" customFormat="false" ht="17.15" hidden="false" customHeight="false" outlineLevel="0" collapsed="false">
      <c r="A206" s="3" t="s">
        <v>660</v>
      </c>
      <c r="B206" s="0" t="s">
        <v>44</v>
      </c>
      <c r="C206" s="16" t="n">
        <f aca="false">C202/C184</f>
        <v>0.0484653872003585</v>
      </c>
      <c r="D206" s="16" t="n">
        <f aca="false">D202/D184</f>
        <v>0.194594602259759</v>
      </c>
      <c r="E206" s="16" t="n">
        <f aca="false">E202/E184</f>
        <v>0.257810484462988</v>
      </c>
      <c r="F206" s="16" t="n">
        <f aca="false">F202/F184</f>
        <v>0.250409250929016</v>
      </c>
      <c r="G206" s="16" t="n">
        <f aca="false">G202/G184</f>
        <v>0.240514466164848</v>
      </c>
      <c r="H206" s="27" t="n">
        <f aca="false">$G206+(fade_mA-$G206)*1/3</f>
        <v>0.244278468216857</v>
      </c>
      <c r="I206" s="27" t="n">
        <f aca="false">$G206+(fade_mA-$G206)*2/3</f>
        <v>0.248042470268867</v>
      </c>
      <c r="J206" s="27" t="n">
        <f aca="false">$G206+(fade_mA-$G206)*3/3</f>
        <v>0.251806472320876</v>
      </c>
    </row>
    <row r="207" customFormat="false" ht="17.15" hidden="false" customHeight="false" outlineLevel="0" collapsed="false">
      <c r="A207" s="3" t="s">
        <v>661</v>
      </c>
      <c r="B207" s="0" t="s">
        <v>44</v>
      </c>
      <c r="C207" s="20" t="n">
        <f aca="false">C190/C184</f>
        <v>0.0602892489980833</v>
      </c>
      <c r="D207" s="20" t="n">
        <f aca="false">D190/D184</f>
        <v>0.0676270839708595</v>
      </c>
      <c r="E207" s="20" t="n">
        <f aca="false">E190/E184</f>
        <v>0.183999964161591</v>
      </c>
      <c r="F207" s="20" t="n">
        <f aca="false">F190/F184</f>
        <v>0.218008271804654</v>
      </c>
      <c r="G207" s="20" t="n">
        <f aca="false">G190/G184</f>
        <v>0.133595351149552</v>
      </c>
      <c r="H207" s="26" t="n">
        <f aca="false">$G207+($G192*(1+tp_g)^(life/2)-$G207)*1/3</f>
        <v>0.127790382368786</v>
      </c>
      <c r="I207" s="26" t="n">
        <f aca="false">$G207+($G192*(1+tp_g)^(life/2)-$G207)*2/3</f>
        <v>0.12198541358802</v>
      </c>
      <c r="J207" s="26" t="n">
        <f aca="false">$G207+($G192*(1+tp_g)^(life/2)-$G207)*3/3</f>
        <v>0.116180444807254</v>
      </c>
      <c r="K207" s="7" t="s">
        <v>662</v>
      </c>
    </row>
    <row r="208" customFormat="false" ht="15" hidden="false" customHeight="false" outlineLevel="0" collapsed="false">
      <c r="A208" s="3" t="s">
        <v>663</v>
      </c>
      <c r="B208" s="0" t="s">
        <v>333</v>
      </c>
      <c r="E208" s="21" t="n">
        <f aca="false">E202+E191-E190</f>
        <v>12.3285189428736</v>
      </c>
      <c r="F208" s="21" t="n">
        <f aca="false">F202+F191-F190</f>
        <v>10.2986461946549</v>
      </c>
      <c r="G208" s="21" t="n">
        <f aca="false">G202+G191-G190</f>
        <v>18.5243553202421</v>
      </c>
      <c r="H208" s="30" t="n">
        <f aca="false">H202+H191-H190</f>
        <v>20.907491107316</v>
      </c>
      <c r="I208" s="30" t="n">
        <f aca="false">I202+I191-I190</f>
        <v>23.3477305707569</v>
      </c>
      <c r="J208" s="30" t="n">
        <f aca="false">J202+J191-J190</f>
        <v>25.799400022177</v>
      </c>
      <c r="K208" s="3" t="s">
        <v>664</v>
      </c>
    </row>
    <row r="209" customFormat="false" ht="15" hidden="false" customHeight="false" outlineLevel="0" collapsed="false">
      <c r="A209" s="3" t="s">
        <v>665</v>
      </c>
      <c r="B209" s="0" t="s">
        <v>406</v>
      </c>
      <c r="E209" s="18" t="n">
        <f aca="false">E208/E203</f>
        <v>19.0793737605794</v>
      </c>
      <c r="F209" s="18" t="n">
        <f aca="false">F208/F203</f>
        <v>15.9379825659733</v>
      </c>
      <c r="G209" s="18" t="n">
        <f aca="false">G208/G203</f>
        <v>28.6679284402588</v>
      </c>
      <c r="H209" s="28" t="n">
        <f aca="false">H208/H203</f>
        <v>32.3560225750438</v>
      </c>
      <c r="I209" s="28" t="n">
        <f aca="false">I208/I203</f>
        <v>36.1324892377499</v>
      </c>
      <c r="J209" s="28" t="n">
        <f aca="false">J208/J203</f>
        <v>39.9266447253463</v>
      </c>
    </row>
    <row r="212" customFormat="false" ht="17.15" hidden="false" customHeight="false" outlineLevel="0" collapsed="false">
      <c r="A212" s="1" t="s">
        <v>1010</v>
      </c>
    </row>
    <row r="213" customFormat="false" ht="17.15" hidden="false" customHeight="false" outlineLevel="0" collapsed="false">
      <c r="A213" s="4" t="s">
        <v>21</v>
      </c>
      <c r="B213" s="4" t="s">
        <v>22</v>
      </c>
      <c r="C213" s="13" t="s">
        <v>498</v>
      </c>
      <c r="D213" s="13" t="s">
        <v>585</v>
      </c>
      <c r="E213" s="13" t="s">
        <v>586</v>
      </c>
      <c r="F213" s="13" t="s">
        <v>587</v>
      </c>
      <c r="G213" s="13" t="s">
        <v>588</v>
      </c>
      <c r="H213" s="13" t="s">
        <v>589</v>
      </c>
      <c r="I213" s="13" t="s">
        <v>590</v>
      </c>
      <c r="J213" s="13" t="s">
        <v>591</v>
      </c>
      <c r="K213" s="4" t="s">
        <v>553</v>
      </c>
    </row>
    <row r="214" customFormat="false" ht="17.15" hidden="false" customHeight="false" outlineLevel="0" collapsed="false">
      <c r="A214" s="5" t="s">
        <v>609</v>
      </c>
    </row>
    <row r="215" customFormat="false" ht="17.15" hidden="false" customHeight="false" outlineLevel="0" collapsed="false">
      <c r="A215" s="0" t="s">
        <v>610</v>
      </c>
      <c r="B215" s="3" t="s">
        <v>32</v>
      </c>
      <c r="D215" s="21" t="n">
        <f aca="false">(u_bw_26+u_rb_26+u_ru_26+u_hp_26)*1</f>
        <v>7.6</v>
      </c>
      <c r="E215" s="21" t="n">
        <f aca="false">(u_bw_27+u_rb_27+u_ru_27+u_hp_27)*1*1</f>
        <v>9.7</v>
      </c>
      <c r="F215" s="21" t="n">
        <f aca="false">(u_bw_28+u_rb_28+u_ru_28+u_hp_28)*um28_A*1</f>
        <v>9.5</v>
      </c>
      <c r="G215" s="21" t="n">
        <f aca="false">(u_bw_28*(1+g29_bw)+u_rb_28*(1+g29_rb)+u_ru_28*(1+g29_ru)+u_hp_28*(1+g29_hp))*um29_A*1</f>
        <v>10.6</v>
      </c>
      <c r="K215" s="7" t="s">
        <v>611</v>
      </c>
    </row>
    <row r="216" customFormat="false" ht="17.15" hidden="false" customHeight="false" outlineLevel="0" collapsed="false">
      <c r="A216" s="3" t="s">
        <v>612</v>
      </c>
      <c r="B216" s="3" t="s">
        <v>32</v>
      </c>
      <c r="D216" s="21" t="n">
        <f aca="false">(u_amd_26+u_tpu_26+u_trn_26+u_oth_26)*1</f>
        <v>7.6</v>
      </c>
      <c r="E216" s="21" t="n">
        <f aca="false">(u_amd_27+u_tpu_27+u_trn_27+u_oth_27)*1*1</f>
        <v>14</v>
      </c>
      <c r="F216" s="21" t="n">
        <f aca="false">(u_amd_28+u_tpu_28+u_trn_28+u_oth_28)*um28_A*1</f>
        <v>17</v>
      </c>
      <c r="G216" s="21" t="n">
        <f aca="false">(u_amd_28*(1+g29_amd)+u_tpu_28*(1+g29_tpu)+u_trn_28*(1+g29_trn)+u_oth_28*(1+g29_oth))*um29_A*1</f>
        <v>19.55</v>
      </c>
      <c r="K216" s="7" t="s">
        <v>613</v>
      </c>
    </row>
    <row r="217" customFormat="false" ht="17.15" hidden="false" customHeight="false" outlineLevel="0" collapsed="false">
      <c r="A217" s="3" t="s">
        <v>614</v>
      </c>
      <c r="B217" s="0" t="s">
        <v>154</v>
      </c>
      <c r="D217" s="19" t="n">
        <f aca="false">1</f>
        <v>1</v>
      </c>
      <c r="E217" s="19" t="n">
        <f aca="false">D217*(1+g_asp)</f>
        <v>1.18</v>
      </c>
      <c r="F217" s="19" t="n">
        <f aca="false">E217*(1+g_asp)</f>
        <v>1.3924</v>
      </c>
      <c r="G217" s="19" t="n">
        <f aca="false">F217*(1+g_asp)</f>
        <v>1.643032</v>
      </c>
      <c r="K217" s="7" t="s">
        <v>615</v>
      </c>
    </row>
    <row r="218" customFormat="false" ht="17.15" hidden="false" customHeight="false" outlineLevel="0" collapsed="false">
      <c r="A218" s="0" t="s">
        <v>616</v>
      </c>
      <c r="B218" s="0" t="s">
        <v>154</v>
      </c>
      <c r="D218" s="18" t="n">
        <f aca="false">1</f>
        <v>1</v>
      </c>
      <c r="E218" s="18" t="n">
        <f aca="false">ibpp_27</f>
        <v>1</v>
      </c>
      <c r="F218" s="18" t="n">
        <f aca="false">ibpp_28</f>
        <v>0.95</v>
      </c>
      <c r="G218" s="18" t="n">
        <f aca="false">ibpp_29</f>
        <v>0.9</v>
      </c>
      <c r="K218" s="7" t="s">
        <v>617</v>
      </c>
    </row>
    <row r="219" customFormat="false" ht="17.15" hidden="false" customHeight="false" outlineLevel="0" collapsed="false">
      <c r="A219" s="3" t="s">
        <v>618</v>
      </c>
      <c r="B219" s="0" t="s">
        <v>154</v>
      </c>
      <c r="D219" s="18" t="n">
        <f aca="false">1</f>
        <v>1</v>
      </c>
      <c r="E219" s="18" t="n">
        <f aca="false">1+carry</f>
        <v>1.15</v>
      </c>
      <c r="F219" s="18" t="n">
        <f aca="false">1+carry</f>
        <v>1.15</v>
      </c>
      <c r="G219" s="18" t="n">
        <f aca="false">1+carry</f>
        <v>1.15</v>
      </c>
      <c r="K219" s="7" t="s">
        <v>619</v>
      </c>
    </row>
    <row r="220" customFormat="false" ht="17.15" hidden="false" customHeight="false" outlineLevel="0" collapsed="false">
      <c r="A220" s="3" t="s">
        <v>620</v>
      </c>
      <c r="B220" s="0" t="s">
        <v>621</v>
      </c>
      <c r="D220" s="23" t="n">
        <f aca="false">v26*D217*D218</f>
        <v>215.308596</v>
      </c>
      <c r="E220" s="23" t="n">
        <f aca="false">v26*E217*E218</f>
        <v>254.06414328</v>
      </c>
      <c r="F220" s="23" t="n">
        <f aca="false">v26*F217*F218</f>
        <v>284.80590461688</v>
      </c>
      <c r="G220" s="23" t="n">
        <f aca="false">v26*G217*G218</f>
        <v>318.383021792765</v>
      </c>
      <c r="K220" s="7" t="s">
        <v>622</v>
      </c>
    </row>
    <row r="221" customFormat="false" ht="17.15" hidden="false" customHeight="false" outlineLevel="0" collapsed="false">
      <c r="A221" s="3" t="s">
        <v>623</v>
      </c>
      <c r="B221" s="0" t="s">
        <v>44</v>
      </c>
      <c r="D221" s="20" t="n">
        <f aca="false">sh_nv_26</f>
        <v>0.02</v>
      </c>
      <c r="E221" s="20" t="n">
        <f aca="false">sh_nv_27</f>
        <v>0.03</v>
      </c>
      <c r="F221" s="20" t="n">
        <f aca="false">sh_nv_28</f>
        <v>0.04</v>
      </c>
      <c r="G221" s="20" t="n">
        <f aca="false">sh_nv_29</f>
        <v>0.04</v>
      </c>
    </row>
    <row r="222" customFormat="false" ht="17.15" hidden="false" customHeight="false" outlineLevel="0" collapsed="false">
      <c r="A222" s="3" t="s">
        <v>624</v>
      </c>
      <c r="B222" s="0" t="s">
        <v>44</v>
      </c>
      <c r="D222" s="20" t="n">
        <f aca="false">sh_ot_26</f>
        <v>0.05</v>
      </c>
      <c r="E222" s="20" t="n">
        <f aca="false">sh_ot_27</f>
        <v>0.06</v>
      </c>
      <c r="F222" s="20" t="n">
        <f aca="false">sh_ot_28</f>
        <v>0.07</v>
      </c>
      <c r="G222" s="20" t="n">
        <f aca="false">sh_ot_29</f>
        <v>0.07</v>
      </c>
    </row>
    <row r="223" customFormat="false" ht="17.15" hidden="false" customHeight="false" outlineLevel="0" collapsed="false">
      <c r="A223" s="3" t="s">
        <v>625</v>
      </c>
      <c r="B223" s="0" t="s">
        <v>575</v>
      </c>
      <c r="D223" s="22" t="n">
        <f aca="false">(D215*D220*D221+D216*D220*v_ot*D222)*D219</f>
        <v>98.180719776</v>
      </c>
      <c r="E223" s="22" t="n">
        <f aca="false">(E215*E220*E221+E216*E220*v_ot*E222)*E219</f>
        <v>281.363335475436</v>
      </c>
      <c r="F223" s="22" t="n">
        <f aca="false">(F215*F220*F221+F216*F220*v_ot*F222)*F219</f>
        <v>436.265684692137</v>
      </c>
      <c r="G223" s="22" t="n">
        <f aca="false">(G215*G220*G221+G216*G220*v_ot*G222)*G219</f>
        <v>556.094153523679</v>
      </c>
    </row>
    <row r="224" customFormat="false" ht="15" hidden="false" customHeight="false" outlineLevel="0" collapsed="false">
      <c r="A224" s="3" t="s">
        <v>626</v>
      </c>
      <c r="B224" s="0" t="s">
        <v>333</v>
      </c>
      <c r="D224" s="21" t="n">
        <f aca="false">D223*fx/1000</f>
        <v>3.141783032832</v>
      </c>
      <c r="E224" s="21" t="n">
        <f aca="false">E223*fx/1000</f>
        <v>9.00362673521395</v>
      </c>
      <c r="F224" s="21" t="n">
        <f aca="false">F223*fx/1000</f>
        <v>13.9605019101484</v>
      </c>
      <c r="G224" s="21" t="n">
        <f aca="false">G223*fx/1000</f>
        <v>17.7950129127577</v>
      </c>
    </row>
    <row r="225" customFormat="false" ht="17.15" hidden="false" customHeight="false" outlineLevel="0" collapsed="false">
      <c r="A225" s="5" t="s">
        <v>627</v>
      </c>
    </row>
    <row r="226" customFormat="false" ht="17.15" hidden="false" customHeight="false" outlineLevel="0" collapsed="false">
      <c r="A226" s="0" t="s">
        <v>628</v>
      </c>
      <c r="B226" s="0" t="s">
        <v>333</v>
      </c>
      <c r="D226" s="21" t="n">
        <f aca="false">a26_abf*ai_abf</f>
        <v>22.2987583</v>
      </c>
      <c r="K226" s="3" t="s">
        <v>629</v>
      </c>
    </row>
    <row r="227" customFormat="false" ht="17.15" hidden="false" customHeight="false" outlineLevel="0" collapsed="false">
      <c r="A227" s="3" t="s">
        <v>630</v>
      </c>
      <c r="B227" s="0" t="s">
        <v>333</v>
      </c>
      <c r="D227" s="21" t="n">
        <f aca="false">D226-D224</f>
        <v>19.156975267168</v>
      </c>
      <c r="E227" s="21" t="n">
        <f aca="false">$D227*(swm_27/swm_26)^el_o*1*1*E218*E219</f>
        <v>30.814372309298</v>
      </c>
      <c r="F227" s="21" t="n">
        <f aca="false">$D227*(swm_28/swm_26)^el_o*um28_A*1*F218*F219</f>
        <v>31.4910971539819</v>
      </c>
      <c r="G227" s="21" t="n">
        <f aca="false">$D227*(swm_29/swm_26)^el_o*um29_A*1*G218*G219</f>
        <v>31.8267984747363</v>
      </c>
      <c r="K227" s="7" t="s">
        <v>631</v>
      </c>
    </row>
    <row r="228" customFormat="false" ht="17.15" hidden="false" customHeight="false" outlineLevel="0" collapsed="false">
      <c r="A228" s="3" t="s">
        <v>632</v>
      </c>
      <c r="B228" s="0" t="s">
        <v>333</v>
      </c>
      <c r="D228" s="21" t="n">
        <f aca="false">a26_abf-D226</f>
        <v>12.0070237</v>
      </c>
      <c r="E228" s="21" t="n">
        <f aca="false">D228*(1+g_nai)</f>
        <v>12.367234411</v>
      </c>
      <c r="F228" s="21" t="n">
        <f aca="false">E228*(1+g_nai)</f>
        <v>12.73825144333</v>
      </c>
      <c r="G228" s="21" t="n">
        <f aca="false">F228*(1+g_nai)</f>
        <v>13.1203989866299</v>
      </c>
    </row>
    <row r="229" customFormat="false" ht="17.15" hidden="false" customHeight="false" outlineLevel="0" collapsed="false">
      <c r="A229" s="0" t="s">
        <v>633</v>
      </c>
      <c r="B229" s="0" t="s">
        <v>333</v>
      </c>
      <c r="D229" s="21" t="n">
        <f aca="false">D224+D227+D228</f>
        <v>34.305782</v>
      </c>
      <c r="E229" s="21" t="n">
        <f aca="false">E224+E227+E228</f>
        <v>52.185233455512</v>
      </c>
      <c r="F229" s="21" t="n">
        <f aca="false">F224+F227+F228</f>
        <v>58.1898505074603</v>
      </c>
      <c r="G229" s="21" t="n">
        <f aca="false">G224+G227+G228</f>
        <v>62.7422103741239</v>
      </c>
    </row>
    <row r="230" customFormat="false" ht="17.15" hidden="false" customHeight="false" outlineLevel="0" collapsed="false">
      <c r="A230" s="0" t="s">
        <v>634</v>
      </c>
      <c r="B230" s="0" t="s">
        <v>333</v>
      </c>
      <c r="D230" s="21" t="n">
        <f aca="false">a26_abf</f>
        <v>34.305782</v>
      </c>
      <c r="E230" s="21" t="n">
        <f aca="false">$D229*cap_27_hi*(1+g_mix)^1*E218*E219</f>
        <v>53.8515012945</v>
      </c>
      <c r="F230" s="21" t="n">
        <f aca="false">$D229*cap_28_hi*(1+g_mix)^2*F218*F219</f>
        <v>61.9810067783813</v>
      </c>
      <c r="G230" s="21" t="n">
        <f aca="false">$D229*cap_29_hi*(1+g_mix)^3*G218*G219</f>
        <v>76.0409088423193</v>
      </c>
      <c r="K230" s="7" t="s">
        <v>635</v>
      </c>
    </row>
    <row r="231" customFormat="false" ht="17.15" hidden="false" customHeight="false" outlineLevel="0" collapsed="false">
      <c r="A231" s="0" t="s">
        <v>636</v>
      </c>
      <c r="B231" s="0" t="s">
        <v>333</v>
      </c>
      <c r="D231" s="21" t="n">
        <f aca="false">a26_abf</f>
        <v>34.305782</v>
      </c>
      <c r="E231" s="21" t="n">
        <f aca="false">MIN(E229,E230)</f>
        <v>52.185233455512</v>
      </c>
      <c r="F231" s="21" t="n">
        <f aca="false">MIN(F229,F230)</f>
        <v>58.1898505074603</v>
      </c>
      <c r="G231" s="21" t="n">
        <f aca="false">MIN(G229,G230)</f>
        <v>62.7422103741239</v>
      </c>
    </row>
    <row r="232" customFormat="false" ht="17.15" hidden="false" customHeight="false" outlineLevel="0" collapsed="false">
      <c r="A232" s="3" t="s">
        <v>637</v>
      </c>
      <c r="B232" s="0" t="s">
        <v>44</v>
      </c>
      <c r="D232" s="20" t="n">
        <f aca="false">D231/D229</f>
        <v>1</v>
      </c>
      <c r="E232" s="20" t="n">
        <f aca="false">E231/E229</f>
        <v>1</v>
      </c>
      <c r="F232" s="20" t="n">
        <f aca="false">F231/F229</f>
        <v>1</v>
      </c>
      <c r="G232" s="20" t="n">
        <f aca="false">G231/G229</f>
        <v>1</v>
      </c>
    </row>
    <row r="233" customFormat="false" ht="17.15" hidden="false" customHeight="false" outlineLevel="0" collapsed="false">
      <c r="A233" s="0" t="s">
        <v>638</v>
      </c>
      <c r="B233" s="0" t="s">
        <v>333</v>
      </c>
      <c r="D233" s="21" t="n">
        <f aca="false">(D224+D227)*D232</f>
        <v>22.2987583</v>
      </c>
      <c r="E233" s="21" t="n">
        <f aca="false">(E224+E227)*E232</f>
        <v>39.817999044512</v>
      </c>
      <c r="F233" s="21" t="n">
        <f aca="false">(F224+F227)*F232</f>
        <v>45.4515990641303</v>
      </c>
      <c r="G233" s="21" t="n">
        <f aca="false">(G224+G227)*G232</f>
        <v>49.621811387494</v>
      </c>
    </row>
    <row r="234" customFormat="false" ht="17.15" hidden="false" customHeight="false" outlineLevel="0" collapsed="false">
      <c r="A234" s="3" t="s">
        <v>639</v>
      </c>
      <c r="B234" s="0" t="s">
        <v>44</v>
      </c>
      <c r="D234" s="20" t="n">
        <f aca="false">D224/(D224+D227)</f>
        <v>0.140894976776891</v>
      </c>
      <c r="E234" s="20" t="n">
        <f aca="false">E224/(E224+E227)</f>
        <v>0.226119517586731</v>
      </c>
      <c r="F234" s="20" t="n">
        <f aca="false">F224/(F224+F227)</f>
        <v>0.307150951728908</v>
      </c>
      <c r="G234" s="20" t="n">
        <f aca="false">G224/(G224+G227)</f>
        <v>0.358612723219583</v>
      </c>
    </row>
    <row r="235" customFormat="false" ht="17.15" hidden="false" customHeight="false" outlineLevel="0" collapsed="false">
      <c r="A235" s="5" t="s">
        <v>640</v>
      </c>
    </row>
    <row r="236" customFormat="false" ht="17.15" hidden="false" customHeight="false" outlineLevel="0" collapsed="false">
      <c r="A236" s="0" t="s">
        <v>641</v>
      </c>
      <c r="B236" s="0" t="s">
        <v>333</v>
      </c>
      <c r="D236" s="21" t="n">
        <f aca="false">a26_bt</f>
        <v>18.927328</v>
      </c>
      <c r="E236" s="21" t="n">
        <f aca="false">D236*(1+g_bt27_A)</f>
        <v>24.6055264</v>
      </c>
      <c r="F236" s="21" t="n">
        <f aca="false">E236*(1+g_bt28_A)</f>
        <v>27.06607904</v>
      </c>
      <c r="G236" s="21" t="n">
        <f aca="false">F236*(1+g_bt29_A)</f>
        <v>28.419382992</v>
      </c>
      <c r="K236" s="7" t="s">
        <v>642</v>
      </c>
    </row>
    <row r="237" customFormat="false" ht="17.15" hidden="false" customHeight="false" outlineLevel="0" collapsed="false">
      <c r="A237" s="0" t="s">
        <v>540</v>
      </c>
      <c r="B237" s="0" t="s">
        <v>333</v>
      </c>
      <c r="D237" s="21" t="n">
        <f aca="false">a26_pcb</f>
        <v>5.91479</v>
      </c>
      <c r="E237" s="21" t="n">
        <f aca="false">D237*(1+g_pcb)</f>
        <v>5.91479</v>
      </c>
      <c r="F237" s="21" t="n">
        <f aca="false">E237*(1+g_pcb)</f>
        <v>5.91479</v>
      </c>
      <c r="G237" s="21" t="n">
        <f aca="false">F237*(1+g_pcb)</f>
        <v>5.91479</v>
      </c>
    </row>
    <row r="238" customFormat="false" ht="17.15" hidden="false" customHeight="false" outlineLevel="0" collapsed="false">
      <c r="A238" s="3" t="s">
        <v>505</v>
      </c>
      <c r="B238" s="0" t="s">
        <v>333</v>
      </c>
      <c r="C238" s="23" t="n">
        <f aca="false">a25_rev</f>
        <v>40.173</v>
      </c>
      <c r="D238" s="23" t="n">
        <f aca="false">D231+D236+D237</f>
        <v>59.1479</v>
      </c>
      <c r="E238" s="23" t="n">
        <f aca="false">E231+E236+E237</f>
        <v>82.705549855512</v>
      </c>
      <c r="F238" s="23" t="n">
        <f aca="false">F231+F236+F237</f>
        <v>91.1707195474603</v>
      </c>
      <c r="G238" s="23" t="n">
        <f aca="false">G231+G236+G237</f>
        <v>97.0763833661239</v>
      </c>
      <c r="H238" s="25" t="n">
        <f aca="false">G238*(1+H240)</f>
        <v>103.210049969702</v>
      </c>
      <c r="I238" s="25" t="n">
        <f aca="false">H238*(1+I240)</f>
        <v>109.566959325728</v>
      </c>
      <c r="J238" s="25" t="n">
        <f aca="false">I238*(1+J240)</f>
        <v>116.140976885272</v>
      </c>
      <c r="K238" s="7" t="s">
        <v>643</v>
      </c>
    </row>
    <row r="239" customFormat="false" ht="17.15" hidden="false" customHeight="false" outlineLevel="0" collapsed="false">
      <c r="A239" s="3" t="s">
        <v>644</v>
      </c>
      <c r="B239" s="0" t="s">
        <v>333</v>
      </c>
      <c r="D239" s="19" t="n">
        <f aca="false">D231+D236+D237-a26_rev</f>
        <v>0</v>
      </c>
      <c r="E239" s="19" t="n">
        <f aca="false">E231+E236+E237-E238</f>
        <v>0</v>
      </c>
      <c r="F239" s="19" t="n">
        <f aca="false">F231+F236+F237-F238</f>
        <v>0</v>
      </c>
      <c r="G239" s="19" t="n">
        <f aca="false">G231+G236+G237-G238</f>
        <v>0</v>
      </c>
    </row>
    <row r="240" customFormat="false" ht="15" hidden="false" customHeight="false" outlineLevel="0" collapsed="false">
      <c r="A240" s="3" t="s">
        <v>645</v>
      </c>
      <c r="B240" s="0" t="s">
        <v>44</v>
      </c>
      <c r="D240" s="20" t="n">
        <f aca="false">D238/C238-1</f>
        <v>0.472329674159261</v>
      </c>
      <c r="E240" s="20" t="n">
        <f aca="false">E238/D238-1</f>
        <v>0.398283791233703</v>
      </c>
      <c r="F240" s="20" t="n">
        <f aca="false">F238/E238-1</f>
        <v>0.10235310334962</v>
      </c>
      <c r="G240" s="20" t="n">
        <f aca="false">G238/F238-1</f>
        <v>0.0647758825199281</v>
      </c>
      <c r="H240" s="26" t="n">
        <f aca="false">$G240+(fade_gA-$G240)*1/3</f>
        <v>0.063183921679952</v>
      </c>
      <c r="I240" s="26" t="n">
        <f aca="false">$G240+(fade_gA-$G240)*2/3</f>
        <v>0.061591960839976</v>
      </c>
      <c r="J240" s="26" t="n">
        <f aca="false">$G240+(fade_gA-$G240)*3/3</f>
        <v>0.06</v>
      </c>
    </row>
    <row r="241" customFormat="false" ht="17.15" hidden="false" customHeight="false" outlineLevel="0" collapsed="false">
      <c r="A241" s="0" t="s">
        <v>646</v>
      </c>
      <c r="B241" s="0" t="s">
        <v>44</v>
      </c>
      <c r="D241" s="20" t="n">
        <f aca="false">D231/D238</f>
        <v>0.58</v>
      </c>
      <c r="E241" s="20" t="n">
        <f aca="false">E231/E238</f>
        <v>0.630976198655114</v>
      </c>
      <c r="F241" s="20" t="n">
        <f aca="false">F231/F238</f>
        <v>0.63825152193922</v>
      </c>
      <c r="G241" s="20" t="n">
        <f aca="false">G231/G238</f>
        <v>0.646317963221718</v>
      </c>
    </row>
    <row r="242" customFormat="false" ht="17.15" hidden="false" customHeight="false" outlineLevel="0" collapsed="false">
      <c r="A242" s="0" t="s">
        <v>647</v>
      </c>
      <c r="B242" s="0" t="s">
        <v>44</v>
      </c>
      <c r="D242" s="20" t="n">
        <f aca="false">D233/D238</f>
        <v>0.377</v>
      </c>
      <c r="E242" s="20" t="n">
        <f aca="false">E233/E238</f>
        <v>0.481442891245808</v>
      </c>
      <c r="F242" s="20" t="n">
        <f aca="false">F233/F238</f>
        <v>0.498532854514434</v>
      </c>
      <c r="G242" s="20" t="n">
        <f aca="false">G233/G238</f>
        <v>0.511162547128947</v>
      </c>
      <c r="K242" s="3" t="s">
        <v>648</v>
      </c>
    </row>
    <row r="243" customFormat="false" ht="17.15" hidden="false" customHeight="false" outlineLevel="0" collapsed="false">
      <c r="A243" s="5" t="s">
        <v>649</v>
      </c>
    </row>
    <row r="244" customFormat="false" ht="15" hidden="false" customHeight="false" outlineLevel="0" collapsed="false">
      <c r="A244" s="3" t="s">
        <v>650</v>
      </c>
      <c r="B244" s="0" t="s">
        <v>333</v>
      </c>
      <c r="C244" s="23" t="n">
        <f aca="false">a25_cx</f>
        <v>2.422</v>
      </c>
      <c r="D244" s="23" t="n">
        <f aca="false">capex26</f>
        <v>4</v>
      </c>
      <c r="E244" s="23" t="n">
        <f aca="false">cx27</f>
        <v>14</v>
      </c>
      <c r="F244" s="23" t="n">
        <f aca="false">cx28</f>
        <v>18</v>
      </c>
      <c r="G244" s="23" t="n">
        <f aca="false">cx29</f>
        <v>12</v>
      </c>
      <c r="H244" s="25" t="n">
        <f aca="false">H238*H261</f>
        <v>12.2038390148233</v>
      </c>
      <c r="I244" s="25" t="n">
        <f aca="false">I238*I261</f>
        <v>12.3669847292462</v>
      </c>
      <c r="J244" s="25" t="n">
        <f aca="false">J238*J261</f>
        <v>12.485180393109</v>
      </c>
    </row>
    <row r="245" customFormat="false" ht="17.15" hidden="false" customHeight="false" outlineLevel="0" collapsed="false">
      <c r="A245" s="3" t="s">
        <v>651</v>
      </c>
      <c r="B245" s="0" t="s">
        <v>333</v>
      </c>
      <c r="C245" s="23" t="n">
        <f aca="false">a25_da</f>
        <v>6.894</v>
      </c>
      <c r="D245" s="23" t="n">
        <f aca="false">da26</f>
        <v>7.1</v>
      </c>
      <c r="E245" s="23" t="n">
        <f aca="false">D245*(1-1/life)+D244/life</f>
        <v>6.7125</v>
      </c>
      <c r="F245" s="23" t="n">
        <f aca="false">E245*(1-1/life)+E244/life</f>
        <v>7.6234375</v>
      </c>
      <c r="G245" s="23" t="n">
        <f aca="false">F245*(1-1/life)+F244/life</f>
        <v>8.9205078125</v>
      </c>
      <c r="H245" s="25" t="n">
        <f aca="false">H238*H246</f>
        <v>9.4841404794704</v>
      </c>
      <c r="I245" s="25" t="n">
        <f aca="false">I238*I246</f>
        <v>10.0682872884828</v>
      </c>
      <c r="J245" s="25" t="n">
        <f aca="false">J238*J246</f>
        <v>10.6723845257917</v>
      </c>
      <c r="K245" s="3" t="s">
        <v>652</v>
      </c>
    </row>
    <row r="246" customFormat="false" ht="17.15" hidden="false" customHeight="false" outlineLevel="0" collapsed="false">
      <c r="A246" s="3" t="s">
        <v>653</v>
      </c>
      <c r="B246" s="0" t="s">
        <v>44</v>
      </c>
      <c r="C246" s="20" t="n">
        <f aca="false">C245/C238</f>
        <v>0.171607796281084</v>
      </c>
      <c r="D246" s="20" t="n">
        <f aca="false">D245/D238</f>
        <v>0.120038074048276</v>
      </c>
      <c r="E246" s="20" t="n">
        <f aca="false">E245/E238</f>
        <v>0.0811614215941597</v>
      </c>
      <c r="F246" s="20" t="n">
        <f aca="false">F245/F238</f>
        <v>0.083617169392104</v>
      </c>
      <c r="G246" s="20" t="n">
        <f aca="false">G245/G238</f>
        <v>0.0918916373187933</v>
      </c>
      <c r="H246" s="26" t="n">
        <f aca="false">$G246</f>
        <v>0.0918916373187933</v>
      </c>
      <c r="I246" s="26" t="n">
        <f aca="false">$G246</f>
        <v>0.0918916373187933</v>
      </c>
      <c r="J246" s="26" t="n">
        <f aca="false">$G246</f>
        <v>0.0918916373187933</v>
      </c>
    </row>
    <row r="247" customFormat="false" ht="17.15" hidden="false" customHeight="false" outlineLevel="0" collapsed="false">
      <c r="A247" s="3" t="s">
        <v>654</v>
      </c>
      <c r="B247" s="0" t="s">
        <v>333</v>
      </c>
      <c r="E247" s="21" t="n">
        <f aca="false">E233*(1-1/(E218*E219))</f>
        <v>5.19365204928416</v>
      </c>
      <c r="F247" s="21" t="n">
        <f aca="false">F233*(1-1/(F218*F219))</f>
        <v>3.84830472625359</v>
      </c>
      <c r="G247" s="21" t="n">
        <f aca="false">G233*(1-1/(G218*G219))</f>
        <v>1.67803226914231</v>
      </c>
      <c r="K247" s="7" t="s">
        <v>655</v>
      </c>
    </row>
    <row r="248" customFormat="false" ht="17.15" hidden="false" customHeight="false" outlineLevel="0" collapsed="false">
      <c r="A248" s="3" t="s">
        <v>656</v>
      </c>
      <c r="B248" s="0" t="s">
        <v>333</v>
      </c>
      <c r="C248" s="21" t="n">
        <f aca="false">a25_gp</f>
        <v>3.647</v>
      </c>
      <c r="D248" s="21" t="n">
        <f aca="false">a26_gp</f>
        <v>15.9001925</v>
      </c>
      <c r="E248" s="21" t="n">
        <f aca="false">$D248+ft_abf*(E231-E247-$D231)+ft_oth*((E238-E231)-($D238-$D231))+E247-(E245-$D245)</f>
        <v>30.0955236123981</v>
      </c>
      <c r="F248" s="21" t="n">
        <f aca="false">$D248+ft_abf*(F231-F247-$D231)+ft_oth*((F238-F231)-($D238-$D231))+F247-(F245-$D245)</f>
        <v>32.498442032857</v>
      </c>
      <c r="G248" s="21" t="n">
        <f aca="false">$D248+ft_abf*(G231-G247-$D231)+ft_oth*((G238-G231)-($D238-$D231))+G247-(G245-$D245)</f>
        <v>32.9337370059331</v>
      </c>
      <c r="K248" s="3" t="s">
        <v>657</v>
      </c>
    </row>
    <row r="249" customFormat="false" ht="15" hidden="false" customHeight="false" outlineLevel="0" collapsed="false">
      <c r="A249" s="3" t="s">
        <v>512</v>
      </c>
      <c r="B249" s="0" t="s">
        <v>44</v>
      </c>
      <c r="C249" s="16" t="n">
        <f aca="false">C248/C238</f>
        <v>0.0907823662659</v>
      </c>
      <c r="D249" s="16" t="n">
        <f aca="false">D248/D238</f>
        <v>0.268820913337583</v>
      </c>
      <c r="E249" s="16" t="n">
        <f aca="false">E248/E238</f>
        <v>0.363887594786269</v>
      </c>
      <c r="F249" s="16" t="n">
        <f aca="false">F248/F238</f>
        <v>0.356457009379414</v>
      </c>
      <c r="G249" s="16" t="n">
        <f aca="false">G248/G238</f>
        <v>0.339255912344029</v>
      </c>
    </row>
    <row r="250" customFormat="false" ht="15" hidden="false" customHeight="false" outlineLevel="0" collapsed="false">
      <c r="A250" s="3" t="s">
        <v>514</v>
      </c>
      <c r="B250" s="0" t="s">
        <v>333</v>
      </c>
      <c r="C250" s="21" t="n">
        <f aca="false">a25_opx</f>
        <v>1.665</v>
      </c>
      <c r="D250" s="21" t="n">
        <f aca="false">a26_opx</f>
        <v>1.9</v>
      </c>
      <c r="E250" s="21" t="n">
        <f aca="false">D250*(1+phi*E240)</f>
        <v>2.35404352200642</v>
      </c>
      <c r="F250" s="21" t="n">
        <f aca="false">E250*(1+phi*F240)</f>
        <v>2.49860971794488</v>
      </c>
      <c r="G250" s="21" t="n">
        <f aca="false">F250*(1+phi*G240)</f>
        <v>2.59571950767653</v>
      </c>
    </row>
    <row r="251" customFormat="false" ht="15" hidden="false" customHeight="false" outlineLevel="0" collapsed="false">
      <c r="A251" s="3" t="s">
        <v>517</v>
      </c>
      <c r="B251" s="0" t="s">
        <v>333</v>
      </c>
      <c r="C251" s="21" t="n">
        <f aca="false">C248-C250</f>
        <v>1.982</v>
      </c>
      <c r="D251" s="21" t="n">
        <f aca="false">D248-D250</f>
        <v>14.0001925</v>
      </c>
      <c r="E251" s="21" t="n">
        <f aca="false">E248-E250</f>
        <v>27.7414800903916</v>
      </c>
      <c r="F251" s="21" t="n">
        <f aca="false">F248-F250</f>
        <v>29.9998323149121</v>
      </c>
      <c r="G251" s="21" t="n">
        <f aca="false">G248-G250</f>
        <v>30.3380174982566</v>
      </c>
    </row>
    <row r="252" customFormat="false" ht="15" hidden="false" customHeight="false" outlineLevel="0" collapsed="false">
      <c r="A252" s="3" t="s">
        <v>598</v>
      </c>
      <c r="B252" s="0" t="s">
        <v>44</v>
      </c>
      <c r="C252" s="16" t="n">
        <f aca="false">C251/C238</f>
        <v>0.0493366191222961</v>
      </c>
      <c r="D252" s="16" t="n">
        <f aca="false">D251/D238</f>
        <v>0.236698048451424</v>
      </c>
      <c r="E252" s="16" t="n">
        <f aca="false">E251/E238</f>
        <v>0.335424649722497</v>
      </c>
      <c r="F252" s="16" t="n">
        <f aca="false">F251/F238</f>
        <v>0.329051174146928</v>
      </c>
      <c r="G252" s="16" t="n">
        <f aca="false">G251/G238</f>
        <v>0.312516973194568</v>
      </c>
    </row>
    <row r="253" customFormat="false" ht="15" hidden="false" customHeight="false" outlineLevel="0" collapsed="false">
      <c r="A253" s="3" t="s">
        <v>520</v>
      </c>
      <c r="B253" s="0" t="s">
        <v>333</v>
      </c>
      <c r="C253" s="21" t="n">
        <f aca="false">a25_nonop</f>
        <v>0.364</v>
      </c>
      <c r="D253" s="21" t="n">
        <f aca="false">a26_nonop</f>
        <v>0.623</v>
      </c>
      <c r="E253" s="21" t="n">
        <f aca="false">nonop27</f>
        <v>0.6</v>
      </c>
      <c r="F253" s="21" t="n">
        <f aca="false">nonop28</f>
        <v>0.6</v>
      </c>
      <c r="G253" s="21" t="n">
        <f aca="false">nonop29</f>
        <v>0.6</v>
      </c>
    </row>
    <row r="254" customFormat="false" ht="15" hidden="false" customHeight="false" outlineLevel="0" collapsed="false">
      <c r="A254" s="3" t="s">
        <v>522</v>
      </c>
      <c r="B254" s="0" t="s">
        <v>333</v>
      </c>
      <c r="C254" s="21" t="n">
        <f aca="false">C251+C253</f>
        <v>2.346</v>
      </c>
      <c r="D254" s="21" t="n">
        <f aca="false">D251+D253</f>
        <v>14.6231925</v>
      </c>
      <c r="E254" s="21" t="n">
        <f aca="false">E251+E253</f>
        <v>28.3414800903916</v>
      </c>
      <c r="F254" s="21" t="n">
        <f aca="false">F251+F253</f>
        <v>30.5998323149121</v>
      </c>
      <c r="G254" s="21" t="n">
        <f aca="false">G251+G253</f>
        <v>30.9380174982566</v>
      </c>
    </row>
    <row r="255" customFormat="false" ht="15" hidden="false" customHeight="false" outlineLevel="0" collapsed="false">
      <c r="A255" s="3" t="s">
        <v>525</v>
      </c>
      <c r="B255" s="0" t="s">
        <v>333</v>
      </c>
      <c r="E255" s="21" t="n">
        <f aca="false">E254*tax</f>
        <v>5.95171081898225</v>
      </c>
      <c r="F255" s="21" t="n">
        <f aca="false">F254*tax</f>
        <v>6.42596478613154</v>
      </c>
      <c r="G255" s="21" t="n">
        <f aca="false">G254*tax</f>
        <v>6.49698367463388</v>
      </c>
    </row>
    <row r="256" customFormat="false" ht="15" hidden="false" customHeight="false" outlineLevel="0" collapsed="false">
      <c r="A256" s="3" t="s">
        <v>523</v>
      </c>
      <c r="B256" s="0" t="s">
        <v>333</v>
      </c>
      <c r="C256" s="21" t="n">
        <f aca="false">a25_ni</f>
        <v>1.947</v>
      </c>
      <c r="D256" s="21" t="n">
        <f aca="false">a26_ni</f>
        <v>11.509862075</v>
      </c>
      <c r="E256" s="21" t="n">
        <f aca="false">E254-E255</f>
        <v>22.3897692714094</v>
      </c>
      <c r="F256" s="21" t="n">
        <f aca="false">F254-F255</f>
        <v>24.1738675287805</v>
      </c>
      <c r="G256" s="21" t="n">
        <f aca="false">G254-G255</f>
        <v>24.4410338236227</v>
      </c>
      <c r="H256" s="30" t="n">
        <f aca="false">H238*H260</f>
        <v>25.9865289906517</v>
      </c>
      <c r="I256" s="30" t="n">
        <f aca="false">I238*I260</f>
        <v>27.5883798886737</v>
      </c>
      <c r="J256" s="30" t="n">
        <f aca="false">J238*J260</f>
        <v>29.2450496813807</v>
      </c>
    </row>
    <row r="257" customFormat="false" ht="15" hidden="false" customHeight="false" outlineLevel="0" collapsed="false">
      <c r="A257" s="3" t="s">
        <v>658</v>
      </c>
      <c r="B257" s="3" t="s">
        <v>400</v>
      </c>
      <c r="C257" s="29" t="n">
        <f aca="false">a25_sh</f>
        <v>0.646843853820598</v>
      </c>
      <c r="D257" s="29" t="n">
        <f aca="false">a26_sh</f>
        <v>0.645863325123153</v>
      </c>
      <c r="E257" s="29" t="n">
        <f aca="false">a26_shend*(1+sh_g)</f>
        <v>0.64617</v>
      </c>
      <c r="F257" s="29" t="n">
        <f aca="false">E257*(1+sh_g)</f>
        <v>0.64617</v>
      </c>
      <c r="G257" s="29" t="n">
        <f aca="false">F257*(1+sh_g)</f>
        <v>0.64617</v>
      </c>
      <c r="H257" s="31" t="n">
        <f aca="false">G257*(1+sh_g)</f>
        <v>0.64617</v>
      </c>
      <c r="I257" s="31" t="n">
        <f aca="false">H257*(1+sh_g)</f>
        <v>0.64617</v>
      </c>
      <c r="J257" s="31" t="n">
        <f aca="false">I257*(1+sh_g)</f>
        <v>0.64617</v>
      </c>
    </row>
    <row r="258" customFormat="false" ht="17.15" hidden="false" customHeight="false" outlineLevel="0" collapsed="false">
      <c r="A258" s="0" t="s">
        <v>528</v>
      </c>
      <c r="B258" s="0" t="s">
        <v>406</v>
      </c>
      <c r="C258" s="18" t="n">
        <f aca="false">C256/C257</f>
        <v>3.01</v>
      </c>
      <c r="D258" s="18" t="n">
        <f aca="false">D256/D257</f>
        <v>17.820894339844</v>
      </c>
      <c r="E258" s="18" t="n">
        <f aca="false">E256/E257</f>
        <v>34.6499671470502</v>
      </c>
      <c r="F258" s="18" t="n">
        <f aca="false">F256/F257</f>
        <v>37.4110025670962</v>
      </c>
      <c r="G258" s="18" t="n">
        <f aca="false">G256/G257</f>
        <v>37.824463877343</v>
      </c>
      <c r="H258" s="28" t="n">
        <f aca="false">H256/H257</f>
        <v>40.2162418413911</v>
      </c>
      <c r="I258" s="28" t="n">
        <f aca="false">I256/I257</f>
        <v>42.6952348277909</v>
      </c>
      <c r="J258" s="28" t="n">
        <f aca="false">J256/J257</f>
        <v>45.2590644588586</v>
      </c>
    </row>
    <row r="259" customFormat="false" ht="17.15" hidden="false" customHeight="false" outlineLevel="0" collapsed="false">
      <c r="A259" s="0" t="s">
        <v>659</v>
      </c>
      <c r="B259" s="0" t="s">
        <v>44</v>
      </c>
      <c r="D259" s="20" t="n">
        <f aca="false">D258/C258-1</f>
        <v>4.92056290360265</v>
      </c>
      <c r="E259" s="20" t="n">
        <f aca="false">E258/D258-1</f>
        <v>0.944345019182327</v>
      </c>
      <c r="F259" s="20" t="n">
        <f aca="false">F258/E258-1</f>
        <v>0.0796836374571019</v>
      </c>
      <c r="G259" s="20" t="n">
        <f aca="false">G258/F258-1</f>
        <v>0.0110518639404342</v>
      </c>
      <c r="H259" s="26" t="n">
        <f aca="false">H258/G258-1</f>
        <v>0.0632336249841958</v>
      </c>
      <c r="I259" s="26" t="n">
        <f aca="false">I258/H258-1</f>
        <v>0.0616415874008489</v>
      </c>
      <c r="J259" s="26" t="n">
        <f aca="false">J258/I258-1</f>
        <v>0.0600495498246767</v>
      </c>
    </row>
    <row r="260" customFormat="false" ht="17.15" hidden="false" customHeight="false" outlineLevel="0" collapsed="false">
      <c r="A260" s="3" t="s">
        <v>660</v>
      </c>
      <c r="B260" s="0" t="s">
        <v>44</v>
      </c>
      <c r="C260" s="16" t="n">
        <f aca="false">C256/C238</f>
        <v>0.0484653872003585</v>
      </c>
      <c r="D260" s="16" t="n">
        <f aca="false">D256/D238</f>
        <v>0.194594602259759</v>
      </c>
      <c r="E260" s="16" t="n">
        <f aca="false">E256/E238</f>
        <v>0.270716648526305</v>
      </c>
      <c r="F260" s="16" t="n">
        <f aca="false">F256/F238</f>
        <v>0.26514946518763</v>
      </c>
      <c r="G260" s="16" t="n">
        <f aca="false">G256/G238</f>
        <v>0.251771161801973</v>
      </c>
      <c r="H260" s="27" t="n">
        <f aca="false">$G260+(fade_mA-$G260)*1/3</f>
        <v>0.251782931974941</v>
      </c>
      <c r="I260" s="27" t="n">
        <f aca="false">$G260+(fade_mA-$G260)*2/3</f>
        <v>0.251794702147908</v>
      </c>
      <c r="J260" s="27" t="n">
        <f aca="false">$G260+(fade_mA-$G260)*3/3</f>
        <v>0.251806472320876</v>
      </c>
    </row>
    <row r="261" customFormat="false" ht="17.15" hidden="false" customHeight="false" outlineLevel="0" collapsed="false">
      <c r="A261" s="3" t="s">
        <v>661</v>
      </c>
      <c r="B261" s="0" t="s">
        <v>44</v>
      </c>
      <c r="C261" s="20" t="n">
        <f aca="false">C244/C238</f>
        <v>0.0602892489980833</v>
      </c>
      <c r="D261" s="20" t="n">
        <f aca="false">D244/D238</f>
        <v>0.0676270839708595</v>
      </c>
      <c r="E261" s="20" t="n">
        <f aca="false">E244/E238</f>
        <v>0.169275218222456</v>
      </c>
      <c r="F261" s="20" t="n">
        <f aca="false">F244/F238</f>
        <v>0.197431808033826</v>
      </c>
      <c r="G261" s="20" t="n">
        <f aca="false">G244/G238</f>
        <v>0.123613999449711</v>
      </c>
      <c r="H261" s="26" t="n">
        <f aca="false">$G261+($G246*(1+tp_g)^(life/2)-$G261)*1/3</f>
        <v>0.118242739136409</v>
      </c>
      <c r="I261" s="26" t="n">
        <f aca="false">$G261+($G246*(1+tp_g)^(life/2)-$G261)*2/3</f>
        <v>0.112871478823108</v>
      </c>
      <c r="J261" s="26" t="n">
        <f aca="false">$G261+($G246*(1+tp_g)^(life/2)-$G261)*3/3</f>
        <v>0.107500218509806</v>
      </c>
      <c r="K261" s="7" t="s">
        <v>662</v>
      </c>
    </row>
    <row r="262" customFormat="false" ht="15" hidden="false" customHeight="false" outlineLevel="0" collapsed="false">
      <c r="A262" s="3" t="s">
        <v>663</v>
      </c>
      <c r="B262" s="0" t="s">
        <v>333</v>
      </c>
      <c r="E262" s="21" t="n">
        <f aca="false">E256+E245-E244</f>
        <v>15.1022692714094</v>
      </c>
      <c r="F262" s="21" t="n">
        <f aca="false">F256+F245-F244</f>
        <v>13.7973050287805</v>
      </c>
      <c r="G262" s="21" t="n">
        <f aca="false">G256+G245-G244</f>
        <v>21.3615416361227</v>
      </c>
      <c r="H262" s="30" t="n">
        <f aca="false">H256+H245-H244</f>
        <v>23.2668304552988</v>
      </c>
      <c r="I262" s="30" t="n">
        <f aca="false">I256+I245-I244</f>
        <v>25.2896824479102</v>
      </c>
      <c r="J262" s="30" t="n">
        <f aca="false">J256+J245-J244</f>
        <v>27.4322538140634</v>
      </c>
      <c r="K262" s="3" t="s">
        <v>664</v>
      </c>
    </row>
    <row r="263" customFormat="false" ht="15" hidden="false" customHeight="false" outlineLevel="0" collapsed="false">
      <c r="A263" s="3" t="s">
        <v>665</v>
      </c>
      <c r="B263" s="0" t="s">
        <v>406</v>
      </c>
      <c r="E263" s="18" t="n">
        <f aca="false">E262/E257</f>
        <v>23.3719752873228</v>
      </c>
      <c r="F263" s="18" t="n">
        <f aca="false">F262/F257</f>
        <v>21.3524382573944</v>
      </c>
      <c r="G263" s="18" t="n">
        <f aca="false">G262/G257</f>
        <v>33.0587022550145</v>
      </c>
      <c r="H263" s="28" t="n">
        <f aca="false">H262/H257</f>
        <v>36.0072898080982</v>
      </c>
      <c r="I263" s="28" t="n">
        <f aca="false">I262/I257</f>
        <v>39.1378158192275</v>
      </c>
      <c r="J263" s="28" t="n">
        <f aca="false">J262/J257</f>
        <v>42.4536171813353</v>
      </c>
    </row>
    <row r="266" customFormat="false" ht="17.15" hidden="false" customHeight="false" outlineLevel="0" collapsed="false">
      <c r="A266" s="1" t="s">
        <v>1011</v>
      </c>
    </row>
    <row r="267" customFormat="false" ht="17.15" hidden="false" customHeight="false" outlineLevel="0" collapsed="false">
      <c r="A267" s="4" t="s">
        <v>21</v>
      </c>
      <c r="B267" s="4" t="s">
        <v>22</v>
      </c>
      <c r="C267" s="13" t="s">
        <v>498</v>
      </c>
      <c r="D267" s="13" t="s">
        <v>585</v>
      </c>
      <c r="E267" s="13" t="s">
        <v>586</v>
      </c>
      <c r="F267" s="13" t="s">
        <v>587</v>
      </c>
      <c r="G267" s="13" t="s">
        <v>588</v>
      </c>
      <c r="H267" s="13" t="s">
        <v>589</v>
      </c>
      <c r="I267" s="13" t="s">
        <v>590</v>
      </c>
      <c r="J267" s="13" t="s">
        <v>591</v>
      </c>
      <c r="K267" s="4" t="s">
        <v>553</v>
      </c>
    </row>
    <row r="268" customFormat="false" ht="17.15" hidden="false" customHeight="false" outlineLevel="0" collapsed="false">
      <c r="A268" s="5" t="s">
        <v>609</v>
      </c>
    </row>
    <row r="269" customFormat="false" ht="17.15" hidden="false" customHeight="false" outlineLevel="0" collapsed="false">
      <c r="A269" s="0" t="s">
        <v>610</v>
      </c>
      <c r="B269" s="3" t="s">
        <v>32</v>
      </c>
      <c r="D269" s="21" t="n">
        <f aca="false">(u_bw_26+u_rb_26+u_ru_26+u_hp_26)*1</f>
        <v>7.6</v>
      </c>
      <c r="E269" s="21" t="n">
        <f aca="false">(u_bw_27+u_rb_27+u_ru_27+u_hp_27)*1*1</f>
        <v>9.7</v>
      </c>
      <c r="F269" s="21" t="n">
        <f aca="false">(u_bw_28+u_rb_28+u_ru_28+u_hp_28)*um28_A*1</f>
        <v>9.5</v>
      </c>
      <c r="G269" s="21" t="n">
        <f aca="false">(u_bw_28*(1+g29_bw)+u_rb_28*(1+g29_rb)+u_ru_28*(1+g29_ru)+u_hp_28*(1+g29_hp))*um29_A*1</f>
        <v>10.6</v>
      </c>
      <c r="K269" s="7" t="s">
        <v>611</v>
      </c>
    </row>
    <row r="270" customFormat="false" ht="17.15" hidden="false" customHeight="false" outlineLevel="0" collapsed="false">
      <c r="A270" s="3" t="s">
        <v>612</v>
      </c>
      <c r="B270" s="3" t="s">
        <v>32</v>
      </c>
      <c r="D270" s="21" t="n">
        <f aca="false">(u_amd_26+u_tpu_26+u_trn_26+u_oth_26)*1</f>
        <v>7.6</v>
      </c>
      <c r="E270" s="21" t="n">
        <f aca="false">(u_amd_27+u_tpu_27+u_trn_27+u_oth_27)*1*1</f>
        <v>14</v>
      </c>
      <c r="F270" s="21" t="n">
        <f aca="false">(u_amd_28+u_tpu_28+u_trn_28+u_oth_28)*um28_A*1</f>
        <v>17</v>
      </c>
      <c r="G270" s="21" t="n">
        <f aca="false">(u_amd_28*(1+g29_amd)+u_tpu_28*(1+g29_tpu)+u_trn_28*(1+g29_trn)+u_oth_28*(1+g29_oth))*um29_A*1</f>
        <v>19.55</v>
      </c>
      <c r="K270" s="7" t="s">
        <v>613</v>
      </c>
    </row>
    <row r="271" customFormat="false" ht="17.15" hidden="false" customHeight="false" outlineLevel="0" collapsed="false">
      <c r="A271" s="3" t="s">
        <v>614</v>
      </c>
      <c r="B271" s="0" t="s">
        <v>154</v>
      </c>
      <c r="D271" s="19" t="n">
        <f aca="false">1</f>
        <v>1</v>
      </c>
      <c r="E271" s="19" t="n">
        <f aca="false">D271*(1+g_asp)</f>
        <v>1.18</v>
      </c>
      <c r="F271" s="19" t="n">
        <f aca="false">E271*(1+g_asp)</f>
        <v>1.3924</v>
      </c>
      <c r="G271" s="19" t="n">
        <f aca="false">F271*(1+g_asp)</f>
        <v>1.643032</v>
      </c>
      <c r="K271" s="7" t="s">
        <v>615</v>
      </c>
    </row>
    <row r="272" customFormat="false" ht="17.15" hidden="false" customHeight="false" outlineLevel="0" collapsed="false">
      <c r="A272" s="0" t="s">
        <v>616</v>
      </c>
      <c r="B272" s="0" t="s">
        <v>154</v>
      </c>
      <c r="D272" s="18" t="n">
        <f aca="false">1</f>
        <v>1</v>
      </c>
      <c r="E272" s="18" t="n">
        <f aca="false">ibpp_27_lo</f>
        <v>0.95</v>
      </c>
      <c r="F272" s="18" t="n">
        <f aca="false">ibpp_28_lo</f>
        <v>0.85</v>
      </c>
      <c r="G272" s="18" t="n">
        <f aca="false">ibpp_29_lo</f>
        <v>0.75</v>
      </c>
      <c r="K272" s="7" t="s">
        <v>617</v>
      </c>
    </row>
    <row r="273" customFormat="false" ht="17.15" hidden="false" customHeight="false" outlineLevel="0" collapsed="false">
      <c r="A273" s="3" t="s">
        <v>618</v>
      </c>
      <c r="B273" s="0" t="s">
        <v>154</v>
      </c>
      <c r="D273" s="18" t="n">
        <f aca="false">1</f>
        <v>1</v>
      </c>
      <c r="E273" s="18" t="n">
        <f aca="false">1+carry</f>
        <v>1.15</v>
      </c>
      <c r="F273" s="18" t="n">
        <f aca="false">1+carry</f>
        <v>1.15</v>
      </c>
      <c r="G273" s="18" t="n">
        <f aca="false">1+carry</f>
        <v>1.15</v>
      </c>
      <c r="K273" s="7" t="s">
        <v>619</v>
      </c>
    </row>
    <row r="274" customFormat="false" ht="17.15" hidden="false" customHeight="false" outlineLevel="0" collapsed="false">
      <c r="A274" s="3" t="s">
        <v>620</v>
      </c>
      <c r="B274" s="0" t="s">
        <v>621</v>
      </c>
      <c r="D274" s="23" t="n">
        <f aca="false">v26*D271*D272</f>
        <v>215.308596</v>
      </c>
      <c r="E274" s="23" t="n">
        <f aca="false">v26*E271*E272</f>
        <v>241.360936116</v>
      </c>
      <c r="F274" s="23" t="n">
        <f aca="false">v26*F271*F272</f>
        <v>254.82633570984</v>
      </c>
      <c r="G274" s="23" t="n">
        <f aca="false">v26*G271*G272</f>
        <v>265.319184827304</v>
      </c>
      <c r="K274" s="7" t="s">
        <v>622</v>
      </c>
    </row>
    <row r="275" customFormat="false" ht="17.15" hidden="false" customHeight="false" outlineLevel="0" collapsed="false">
      <c r="A275" s="3" t="s">
        <v>623</v>
      </c>
      <c r="B275" s="0" t="s">
        <v>44</v>
      </c>
      <c r="D275" s="20" t="n">
        <f aca="false">sh_nv_26</f>
        <v>0.02</v>
      </c>
      <c r="E275" s="20" t="n">
        <f aca="false">sh_nv_27</f>
        <v>0.03</v>
      </c>
      <c r="F275" s="20" t="n">
        <f aca="false">sh_nv_28</f>
        <v>0.04</v>
      </c>
      <c r="G275" s="20" t="n">
        <f aca="false">sh_nv_29</f>
        <v>0.04</v>
      </c>
    </row>
    <row r="276" customFormat="false" ht="17.15" hidden="false" customHeight="false" outlineLevel="0" collapsed="false">
      <c r="A276" s="3" t="s">
        <v>624</v>
      </c>
      <c r="B276" s="0" t="s">
        <v>44</v>
      </c>
      <c r="D276" s="20" t="n">
        <f aca="false">sh_ot_26</f>
        <v>0.05</v>
      </c>
      <c r="E276" s="20" t="n">
        <f aca="false">sh_ot_27</f>
        <v>0.06</v>
      </c>
      <c r="F276" s="20" t="n">
        <f aca="false">sh_ot_28</f>
        <v>0.07</v>
      </c>
      <c r="G276" s="20" t="n">
        <f aca="false">sh_ot_29</f>
        <v>0.07</v>
      </c>
    </row>
    <row r="277" customFormat="false" ht="17.15" hidden="false" customHeight="false" outlineLevel="0" collapsed="false">
      <c r="A277" s="3" t="s">
        <v>625</v>
      </c>
      <c r="B277" s="0" t="s">
        <v>575</v>
      </c>
      <c r="D277" s="22" t="n">
        <f aca="false">(D269*D274*D275+D270*D274*v_ot*D276)*D273</f>
        <v>98.180719776</v>
      </c>
      <c r="E277" s="22" t="n">
        <f aca="false">(E269*E274*E275+E270*E274*v_ot*E276)*E273</f>
        <v>267.295168701664</v>
      </c>
      <c r="F277" s="22" t="n">
        <f aca="false">(F269*F274*F275+F270*F274*v_ot*F276)*F273</f>
        <v>390.342981040333</v>
      </c>
      <c r="G277" s="22" t="n">
        <f aca="false">(G269*G274*G275+G270*G274*v_ot*G276)*G273</f>
        <v>463.411794603066</v>
      </c>
    </row>
    <row r="278" customFormat="false" ht="15" hidden="false" customHeight="false" outlineLevel="0" collapsed="false">
      <c r="A278" s="3" t="s">
        <v>626</v>
      </c>
      <c r="B278" s="0" t="s">
        <v>333</v>
      </c>
      <c r="D278" s="21" t="n">
        <f aca="false">D277*fx/1000</f>
        <v>3.141783032832</v>
      </c>
      <c r="E278" s="21" t="n">
        <f aca="false">E277*fx/1000</f>
        <v>8.55344539845325</v>
      </c>
      <c r="F278" s="21" t="n">
        <f aca="false">F277*fx/1000</f>
        <v>12.4909753932907</v>
      </c>
      <c r="G278" s="21" t="n">
        <f aca="false">G277*fx/1000</f>
        <v>14.8291774272981</v>
      </c>
    </row>
    <row r="279" customFormat="false" ht="17.15" hidden="false" customHeight="false" outlineLevel="0" collapsed="false">
      <c r="A279" s="5" t="s">
        <v>627</v>
      </c>
    </row>
    <row r="280" customFormat="false" ht="17.15" hidden="false" customHeight="false" outlineLevel="0" collapsed="false">
      <c r="A280" s="0" t="s">
        <v>628</v>
      </c>
      <c r="B280" s="0" t="s">
        <v>333</v>
      </c>
      <c r="D280" s="21" t="n">
        <f aca="false">a26_abf*ai_abf</f>
        <v>22.2987583</v>
      </c>
      <c r="K280" s="3" t="s">
        <v>629</v>
      </c>
    </row>
    <row r="281" customFormat="false" ht="17.15" hidden="false" customHeight="false" outlineLevel="0" collapsed="false">
      <c r="A281" s="3" t="s">
        <v>630</v>
      </c>
      <c r="B281" s="0" t="s">
        <v>333</v>
      </c>
      <c r="D281" s="21" t="n">
        <f aca="false">D280-D278</f>
        <v>19.156975267168</v>
      </c>
      <c r="E281" s="21" t="n">
        <f aca="false">$D281*(swm_27/swm_26)^el_o*1*1*E272*E273</f>
        <v>29.2736536938331</v>
      </c>
      <c r="F281" s="21" t="n">
        <f aca="false">$D281*(swm_28/swm_26)^el_o*um28_A*1*F272*F273</f>
        <v>28.1762448219839</v>
      </c>
      <c r="G281" s="21" t="n">
        <f aca="false">$D281*(swm_29/swm_26)^el_o*um29_A*1*G272*G273</f>
        <v>26.5223320622802</v>
      </c>
      <c r="K281" s="7" t="s">
        <v>631</v>
      </c>
    </row>
    <row r="282" customFormat="false" ht="17.15" hidden="false" customHeight="false" outlineLevel="0" collapsed="false">
      <c r="A282" s="3" t="s">
        <v>632</v>
      </c>
      <c r="B282" s="0" t="s">
        <v>333</v>
      </c>
      <c r="D282" s="21" t="n">
        <f aca="false">a26_abf-D280</f>
        <v>12.0070237</v>
      </c>
      <c r="E282" s="21" t="n">
        <f aca="false">D282*(1+g_nai)</f>
        <v>12.367234411</v>
      </c>
      <c r="F282" s="21" t="n">
        <f aca="false">E282*(1+g_nai)</f>
        <v>12.73825144333</v>
      </c>
      <c r="G282" s="21" t="n">
        <f aca="false">F282*(1+g_nai)</f>
        <v>13.1203989866299</v>
      </c>
    </row>
    <row r="283" customFormat="false" ht="17.15" hidden="false" customHeight="false" outlineLevel="0" collapsed="false">
      <c r="A283" s="0" t="s">
        <v>633</v>
      </c>
      <c r="B283" s="0" t="s">
        <v>333</v>
      </c>
      <c r="D283" s="21" t="n">
        <f aca="false">D278+D281+D282</f>
        <v>34.305782</v>
      </c>
      <c r="E283" s="21" t="n">
        <f aca="false">E278+E281+E282</f>
        <v>50.1943335032864</v>
      </c>
      <c r="F283" s="21" t="n">
        <f aca="false">F278+F281+F282</f>
        <v>53.4054716586045</v>
      </c>
      <c r="G283" s="21" t="n">
        <f aca="false">G278+G281+G282</f>
        <v>54.4719084762082</v>
      </c>
    </row>
    <row r="284" customFormat="false" ht="17.15" hidden="false" customHeight="false" outlineLevel="0" collapsed="false">
      <c r="A284" s="0" t="s">
        <v>634</v>
      </c>
      <c r="B284" s="0" t="s">
        <v>333</v>
      </c>
      <c r="D284" s="21" t="n">
        <f aca="false">a26_abf</f>
        <v>34.305782</v>
      </c>
      <c r="E284" s="21" t="n">
        <f aca="false">$D283*cap_27*(1+g_mix)^1*E272*E273</f>
        <v>47.2236242121</v>
      </c>
      <c r="F284" s="21" t="n">
        <f aca="false">$D283*cap_28*(1+g_mix)^2*F272*F273</f>
        <v>49.9110212478544</v>
      </c>
      <c r="G284" s="21" t="n">
        <f aca="false">$D283*cap_29*(1+g_mix)^3*G272*G273</f>
        <v>54.804258625095</v>
      </c>
      <c r="K284" s="7" t="s">
        <v>635</v>
      </c>
    </row>
    <row r="285" customFormat="false" ht="17.15" hidden="false" customHeight="false" outlineLevel="0" collapsed="false">
      <c r="A285" s="0" t="s">
        <v>636</v>
      </c>
      <c r="B285" s="0" t="s">
        <v>333</v>
      </c>
      <c r="D285" s="21" t="n">
        <f aca="false">a26_abf</f>
        <v>34.305782</v>
      </c>
      <c r="E285" s="21" t="n">
        <f aca="false">MIN(E283,E284)</f>
        <v>47.2236242121</v>
      </c>
      <c r="F285" s="21" t="n">
        <f aca="false">MIN(F283,F284)</f>
        <v>49.9110212478544</v>
      </c>
      <c r="G285" s="21" t="n">
        <f aca="false">MIN(G283,G284)</f>
        <v>54.4719084762082</v>
      </c>
    </row>
    <row r="286" customFormat="false" ht="17.15" hidden="false" customHeight="false" outlineLevel="0" collapsed="false">
      <c r="A286" s="3" t="s">
        <v>637</v>
      </c>
      <c r="B286" s="0" t="s">
        <v>44</v>
      </c>
      <c r="D286" s="20" t="n">
        <f aca="false">D285/D283</f>
        <v>1</v>
      </c>
      <c r="E286" s="20" t="n">
        <f aca="false">E285/E283</f>
        <v>0.94081584346584</v>
      </c>
      <c r="F286" s="20" t="n">
        <f aca="false">F285/F283</f>
        <v>0.934567558300234</v>
      </c>
      <c r="G286" s="20" t="n">
        <f aca="false">G285/G283</f>
        <v>1</v>
      </c>
    </row>
    <row r="287" customFormat="false" ht="17.15" hidden="false" customHeight="false" outlineLevel="0" collapsed="false">
      <c r="A287" s="0" t="s">
        <v>638</v>
      </c>
      <c r="B287" s="0" t="s">
        <v>333</v>
      </c>
      <c r="D287" s="21" t="n">
        <f aca="false">(D278+D281)*D286</f>
        <v>22.2987583</v>
      </c>
      <c r="E287" s="21" t="n">
        <f aca="false">(E278+E281)*E286</f>
        <v>35.5883341383753</v>
      </c>
      <c r="F287" s="21" t="n">
        <f aca="false">(F278+F281)*F286</f>
        <v>38.006264699447</v>
      </c>
      <c r="G287" s="21" t="n">
        <f aca="false">(G278+G281)*G286</f>
        <v>41.3515094895783</v>
      </c>
    </row>
    <row r="288" customFormat="false" ht="17.15" hidden="false" customHeight="false" outlineLevel="0" collapsed="false">
      <c r="A288" s="3" t="s">
        <v>639</v>
      </c>
      <c r="B288" s="0" t="s">
        <v>44</v>
      </c>
      <c r="D288" s="20" t="n">
        <f aca="false">D278/(D278+D281)</f>
        <v>0.140894976776891</v>
      </c>
      <c r="E288" s="20" t="n">
        <f aca="false">E278/(E278+E281)</f>
        <v>0.226119517586731</v>
      </c>
      <c r="F288" s="20" t="n">
        <f aca="false">F278/(F278+F281)</f>
        <v>0.307150951728908</v>
      </c>
      <c r="G288" s="20" t="n">
        <f aca="false">G278/(G278+G281)</f>
        <v>0.358612723219583</v>
      </c>
    </row>
    <row r="289" customFormat="false" ht="17.15" hidden="false" customHeight="false" outlineLevel="0" collapsed="false">
      <c r="A289" s="5" t="s">
        <v>640</v>
      </c>
    </row>
    <row r="290" customFormat="false" ht="17.15" hidden="false" customHeight="false" outlineLevel="0" collapsed="false">
      <c r="A290" s="0" t="s">
        <v>641</v>
      </c>
      <c r="B290" s="0" t="s">
        <v>333</v>
      </c>
      <c r="D290" s="21" t="n">
        <f aca="false">a26_bt</f>
        <v>18.927328</v>
      </c>
      <c r="E290" s="21" t="n">
        <f aca="false">D290*(1+g_bt27_A)</f>
        <v>24.6055264</v>
      </c>
      <c r="F290" s="21" t="n">
        <f aca="false">E290*(1+g_bt28_A)</f>
        <v>27.06607904</v>
      </c>
      <c r="G290" s="21" t="n">
        <f aca="false">F290*(1+g_bt29_A)</f>
        <v>28.419382992</v>
      </c>
      <c r="K290" s="7" t="s">
        <v>642</v>
      </c>
    </row>
    <row r="291" customFormat="false" ht="17.15" hidden="false" customHeight="false" outlineLevel="0" collapsed="false">
      <c r="A291" s="0" t="s">
        <v>540</v>
      </c>
      <c r="B291" s="0" t="s">
        <v>333</v>
      </c>
      <c r="D291" s="21" t="n">
        <f aca="false">a26_pcb</f>
        <v>5.91479</v>
      </c>
      <c r="E291" s="21" t="n">
        <f aca="false">D291*(1+g_pcb)</f>
        <v>5.91479</v>
      </c>
      <c r="F291" s="21" t="n">
        <f aca="false">E291*(1+g_pcb)</f>
        <v>5.91479</v>
      </c>
      <c r="G291" s="21" t="n">
        <f aca="false">F291*(1+g_pcb)</f>
        <v>5.91479</v>
      </c>
    </row>
    <row r="292" customFormat="false" ht="17.15" hidden="false" customHeight="false" outlineLevel="0" collapsed="false">
      <c r="A292" s="3" t="s">
        <v>505</v>
      </c>
      <c r="B292" s="0" t="s">
        <v>333</v>
      </c>
      <c r="C292" s="23" t="n">
        <f aca="false">a25_rev</f>
        <v>40.173</v>
      </c>
      <c r="D292" s="23" t="n">
        <f aca="false">D285+D290+D291</f>
        <v>59.1479</v>
      </c>
      <c r="E292" s="23" t="n">
        <f aca="false">E285+E290+E291</f>
        <v>77.7439406121</v>
      </c>
      <c r="F292" s="23" t="n">
        <f aca="false">F285+F290+F291</f>
        <v>82.8918902878544</v>
      </c>
      <c r="G292" s="23" t="n">
        <f aca="false">G285+G290+G291</f>
        <v>88.8060814682082</v>
      </c>
      <c r="H292" s="25" t="n">
        <f aca="false">G292*(1+H294)</f>
        <v>94.8063086721722</v>
      </c>
      <c r="I292" s="25" t="n">
        <f aca="false">H292*(1+I294)</f>
        <v>100.853315706736</v>
      </c>
      <c r="J292" s="25" t="n">
        <f aca="false">I292*(1+J294)</f>
        <v>106.90451464914</v>
      </c>
      <c r="K292" s="7" t="s">
        <v>643</v>
      </c>
    </row>
    <row r="293" customFormat="false" ht="17.15" hidden="false" customHeight="false" outlineLevel="0" collapsed="false">
      <c r="A293" s="3" t="s">
        <v>644</v>
      </c>
      <c r="B293" s="0" t="s">
        <v>333</v>
      </c>
      <c r="D293" s="19" t="n">
        <f aca="false">D285+D290+D291-a26_rev</f>
        <v>0</v>
      </c>
      <c r="E293" s="19" t="n">
        <f aca="false">E285+E290+E291-E292</f>
        <v>0</v>
      </c>
      <c r="F293" s="19" t="n">
        <f aca="false">F285+F290+F291-F292</f>
        <v>0</v>
      </c>
      <c r="G293" s="19" t="n">
        <f aca="false">G285+G290+G291-G292</f>
        <v>0</v>
      </c>
    </row>
    <row r="294" customFormat="false" ht="15" hidden="false" customHeight="false" outlineLevel="0" collapsed="false">
      <c r="A294" s="3" t="s">
        <v>645</v>
      </c>
      <c r="B294" s="0" t="s">
        <v>44</v>
      </c>
      <c r="D294" s="20" t="n">
        <f aca="false">D292/C292-1</f>
        <v>0.472329674159261</v>
      </c>
      <c r="E294" s="20" t="n">
        <f aca="false">E292/D292-1</f>
        <v>0.314399</v>
      </c>
      <c r="F294" s="20" t="n">
        <f aca="false">F292/E292-1</f>
        <v>0.0662167319436489</v>
      </c>
      <c r="G294" s="20" t="n">
        <f aca="false">G292/F292-1</f>
        <v>0.0713482484211174</v>
      </c>
      <c r="H294" s="26" t="n">
        <f aca="false">$G294+(fade_gA-$G294)*1/3</f>
        <v>0.0675654989474116</v>
      </c>
      <c r="I294" s="26" t="n">
        <f aca="false">$G294+(fade_gA-$G294)*2/3</f>
        <v>0.0637827494737058</v>
      </c>
      <c r="J294" s="26" t="n">
        <f aca="false">$G294+(fade_gA-$G294)*3/3</f>
        <v>0.06</v>
      </c>
    </row>
    <row r="295" customFormat="false" ht="17.15" hidden="false" customHeight="false" outlineLevel="0" collapsed="false">
      <c r="A295" s="0" t="s">
        <v>646</v>
      </c>
      <c r="B295" s="0" t="s">
        <v>44</v>
      </c>
      <c r="D295" s="20" t="n">
        <f aca="false">D285/D292</f>
        <v>0.58</v>
      </c>
      <c r="E295" s="20" t="n">
        <f aca="false">E285/E292</f>
        <v>0.607425142593687</v>
      </c>
      <c r="F295" s="20" t="n">
        <f aca="false">F285/F292</f>
        <v>0.602121885199275</v>
      </c>
      <c r="G295" s="20" t="n">
        <f aca="false">G285/G292</f>
        <v>0.613380385392961</v>
      </c>
    </row>
    <row r="296" customFormat="false" ht="17.15" hidden="false" customHeight="false" outlineLevel="0" collapsed="false">
      <c r="A296" s="0" t="s">
        <v>647</v>
      </c>
      <c r="B296" s="0" t="s">
        <v>44</v>
      </c>
      <c r="D296" s="20" t="n">
        <f aca="false">D287/D292</f>
        <v>0.377</v>
      </c>
      <c r="E296" s="20" t="n">
        <f aca="false">E287/E292</f>
        <v>0.457763445719091</v>
      </c>
      <c r="F296" s="20" t="n">
        <f aca="false">F287/F292</f>
        <v>0.458504017310555</v>
      </c>
      <c r="G296" s="20" t="n">
        <f aca="false">G287/G292</f>
        <v>0.465638262672155</v>
      </c>
      <c r="K296" s="3" t="s">
        <v>648</v>
      </c>
    </row>
    <row r="297" customFormat="false" ht="17.15" hidden="false" customHeight="false" outlineLevel="0" collapsed="false">
      <c r="A297" s="5" t="s">
        <v>649</v>
      </c>
    </row>
    <row r="298" customFormat="false" ht="15" hidden="false" customHeight="false" outlineLevel="0" collapsed="false">
      <c r="A298" s="3" t="s">
        <v>650</v>
      </c>
      <c r="B298" s="0" t="s">
        <v>333</v>
      </c>
      <c r="C298" s="23" t="n">
        <f aca="false">a25_cx</f>
        <v>2.422</v>
      </c>
      <c r="D298" s="23" t="n">
        <f aca="false">capex26</f>
        <v>4</v>
      </c>
      <c r="E298" s="23" t="n">
        <f aca="false">cx27</f>
        <v>14</v>
      </c>
      <c r="F298" s="23" t="n">
        <f aca="false">cx28</f>
        <v>18</v>
      </c>
      <c r="G298" s="23" t="n">
        <f aca="false">cx29</f>
        <v>12</v>
      </c>
      <c r="H298" s="25" t="n">
        <f aca="false">H292*H315</f>
        <v>12.254133288949</v>
      </c>
      <c r="I298" s="25" t="n">
        <f aca="false">I292*I315</f>
        <v>12.4435780645084</v>
      </c>
      <c r="J298" s="25" t="n">
        <f aca="false">J292*J315</f>
        <v>12.5625057580702</v>
      </c>
    </row>
    <row r="299" customFormat="false" ht="17.15" hidden="false" customHeight="false" outlineLevel="0" collapsed="false">
      <c r="A299" s="3" t="s">
        <v>651</v>
      </c>
      <c r="B299" s="0" t="s">
        <v>333</v>
      </c>
      <c r="C299" s="23" t="n">
        <f aca="false">a25_da</f>
        <v>6.894</v>
      </c>
      <c r="D299" s="23" t="n">
        <f aca="false">da26</f>
        <v>7.1</v>
      </c>
      <c r="E299" s="23" t="n">
        <f aca="false">D299*(1-1/life)+D298/life</f>
        <v>6.7125</v>
      </c>
      <c r="F299" s="23" t="n">
        <f aca="false">E299*(1-1/life)+E298/life</f>
        <v>7.6234375</v>
      </c>
      <c r="G299" s="23" t="n">
        <f aca="false">F299*(1-1/life)+F298/life</f>
        <v>8.9205078125</v>
      </c>
      <c r="H299" s="25" t="n">
        <f aca="false">H292*H300</f>
        <v>9.52322637371585</v>
      </c>
      <c r="I299" s="25" t="n">
        <f aca="false">I292*I300</f>
        <v>10.130643935692</v>
      </c>
      <c r="J299" s="25" t="n">
        <f aca="false">J292*J300</f>
        <v>10.7384825718335</v>
      </c>
      <c r="K299" s="3" t="s">
        <v>652</v>
      </c>
    </row>
    <row r="300" customFormat="false" ht="17.15" hidden="false" customHeight="false" outlineLevel="0" collapsed="false">
      <c r="A300" s="3" t="s">
        <v>653</v>
      </c>
      <c r="B300" s="0" t="s">
        <v>44</v>
      </c>
      <c r="C300" s="20" t="n">
        <f aca="false">C299/C292</f>
        <v>0.171607796281084</v>
      </c>
      <c r="D300" s="20" t="n">
        <f aca="false">D299/D292</f>
        <v>0.120038074048276</v>
      </c>
      <c r="E300" s="20" t="n">
        <f aca="false">E299/E292</f>
        <v>0.0863411340761813</v>
      </c>
      <c r="F300" s="20" t="n">
        <f aca="false">F299/F292</f>
        <v>0.0919684359172711</v>
      </c>
      <c r="G300" s="20" t="n">
        <f aca="false">G299/G292</f>
        <v>0.100449289789838</v>
      </c>
      <c r="H300" s="26" t="n">
        <f aca="false">$G300</f>
        <v>0.100449289789838</v>
      </c>
      <c r="I300" s="26" t="n">
        <f aca="false">$G300</f>
        <v>0.100449289789838</v>
      </c>
      <c r="J300" s="26" t="n">
        <f aca="false">$G300</f>
        <v>0.100449289789838</v>
      </c>
    </row>
    <row r="301" customFormat="false" ht="17.15" hidden="false" customHeight="false" outlineLevel="0" collapsed="false">
      <c r="A301" s="3" t="s">
        <v>654</v>
      </c>
      <c r="B301" s="0" t="s">
        <v>333</v>
      </c>
      <c r="E301" s="21" t="n">
        <f aca="false">E287*(1-1/(E272*E273))</f>
        <v>3.01319991560614</v>
      </c>
      <c r="F301" s="21" t="n">
        <f aca="false">F287*(1-1/(F272*F273))</f>
        <v>-0.874824507148399</v>
      </c>
      <c r="G301" s="21" t="n">
        <f aca="false">G287*(1-1/(G272*G273))</f>
        <v>-6.59226962877336</v>
      </c>
      <c r="K301" s="7" t="s">
        <v>655</v>
      </c>
    </row>
    <row r="302" customFormat="false" ht="17.15" hidden="false" customHeight="false" outlineLevel="0" collapsed="false">
      <c r="A302" s="3" t="s">
        <v>656</v>
      </c>
      <c r="B302" s="0" t="s">
        <v>333</v>
      </c>
      <c r="C302" s="21" t="n">
        <f aca="false">a25_gp</f>
        <v>3.647</v>
      </c>
      <c r="D302" s="21" t="n">
        <f aca="false">a26_gp</f>
        <v>15.9001925</v>
      </c>
      <c r="E302" s="21" t="n">
        <f aca="false">$D302+ft_abf*(E285-E301-$D285)+ft_oth*((E292-E285)-($D292-$D285))+E301-(E299-$D299)</f>
        <v>26.5244929238531</v>
      </c>
      <c r="F302" s="21" t="n">
        <f aca="false">$D302+ft_abf*(F285-F301-$D285)+ft_oth*((F292-F285)-($D292-$D285))+F301-(F299-$D299)</f>
        <v>25.997462786353</v>
      </c>
      <c r="G302" s="21" t="n">
        <f aca="false">$D302+ft_abf*(G285-G301-$D285)+ft_oth*((G292-G285)-($D292-$D285))+G301-(G299-$D299)</f>
        <v>24.6634351080174</v>
      </c>
      <c r="K302" s="3" t="s">
        <v>657</v>
      </c>
    </row>
    <row r="303" customFormat="false" ht="15" hidden="false" customHeight="false" outlineLevel="0" collapsed="false">
      <c r="A303" s="3" t="s">
        <v>512</v>
      </c>
      <c r="B303" s="0" t="s">
        <v>44</v>
      </c>
      <c r="C303" s="16" t="n">
        <f aca="false">C302/C292</f>
        <v>0.0907823662659</v>
      </c>
      <c r="D303" s="16" t="n">
        <f aca="false">D302/D292</f>
        <v>0.268820913337583</v>
      </c>
      <c r="E303" s="16" t="n">
        <f aca="false">E302/E292</f>
        <v>0.341177623812457</v>
      </c>
      <c r="F303" s="16" t="n">
        <f aca="false">F302/F292</f>
        <v>0.313630955888121</v>
      </c>
      <c r="G303" s="16" t="n">
        <f aca="false">G302/G292</f>
        <v>0.277722366534624</v>
      </c>
    </row>
    <row r="304" customFormat="false" ht="15" hidden="false" customHeight="false" outlineLevel="0" collapsed="false">
      <c r="A304" s="3" t="s">
        <v>514</v>
      </c>
      <c r="B304" s="0" t="s">
        <v>333</v>
      </c>
      <c r="C304" s="21" t="n">
        <f aca="false">a25_opx</f>
        <v>1.665</v>
      </c>
      <c r="D304" s="21" t="n">
        <f aca="false">a26_opx</f>
        <v>1.9</v>
      </c>
      <c r="E304" s="21" t="n">
        <f aca="false">D304*(1+phi*E294)</f>
        <v>2.25841486</v>
      </c>
      <c r="F304" s="21" t="n">
        <f aca="false">E304*(1+phi*F294)</f>
        <v>2.3481417708413</v>
      </c>
      <c r="G304" s="21" t="n">
        <f aca="false">F304*(1+phi*G294)</f>
        <v>2.4486632522777</v>
      </c>
    </row>
    <row r="305" customFormat="false" ht="15" hidden="false" customHeight="false" outlineLevel="0" collapsed="false">
      <c r="A305" s="3" t="s">
        <v>517</v>
      </c>
      <c r="B305" s="0" t="s">
        <v>333</v>
      </c>
      <c r="C305" s="21" t="n">
        <f aca="false">C302-C304</f>
        <v>1.982</v>
      </c>
      <c r="D305" s="21" t="n">
        <f aca="false">D302-D304</f>
        <v>14.0001925</v>
      </c>
      <c r="E305" s="21" t="n">
        <f aca="false">E302-E304</f>
        <v>24.2660780638531</v>
      </c>
      <c r="F305" s="21" t="n">
        <f aca="false">F302-F304</f>
        <v>23.6493210155117</v>
      </c>
      <c r="G305" s="21" t="n">
        <f aca="false">G302-G304</f>
        <v>22.2147718557397</v>
      </c>
    </row>
    <row r="306" customFormat="false" ht="15" hidden="false" customHeight="false" outlineLevel="0" collapsed="false">
      <c r="A306" s="3" t="s">
        <v>598</v>
      </c>
      <c r="B306" s="0" t="s">
        <v>44</v>
      </c>
      <c r="C306" s="16" t="n">
        <f aca="false">C305/C292</f>
        <v>0.0493366191222961</v>
      </c>
      <c r="D306" s="16" t="n">
        <f aca="false">D305/D292</f>
        <v>0.236698048451424</v>
      </c>
      <c r="E306" s="16" t="n">
        <f aca="false">E305/E292</f>
        <v>0.312128223406215</v>
      </c>
      <c r="F306" s="16" t="n">
        <f aca="false">F305/F292</f>
        <v>0.285303193513695</v>
      </c>
      <c r="G306" s="16" t="n">
        <f aca="false">G305/G292</f>
        <v>0.250149218257</v>
      </c>
    </row>
    <row r="307" customFormat="false" ht="15" hidden="false" customHeight="false" outlineLevel="0" collapsed="false">
      <c r="A307" s="3" t="s">
        <v>520</v>
      </c>
      <c r="B307" s="0" t="s">
        <v>333</v>
      </c>
      <c r="C307" s="21" t="n">
        <f aca="false">a25_nonop</f>
        <v>0.364</v>
      </c>
      <c r="D307" s="21" t="n">
        <f aca="false">a26_nonop</f>
        <v>0.623</v>
      </c>
      <c r="E307" s="21" t="n">
        <f aca="false">nonop27</f>
        <v>0.6</v>
      </c>
      <c r="F307" s="21" t="n">
        <f aca="false">nonop28</f>
        <v>0.6</v>
      </c>
      <c r="G307" s="21" t="n">
        <f aca="false">nonop29</f>
        <v>0.6</v>
      </c>
    </row>
    <row r="308" customFormat="false" ht="15" hidden="false" customHeight="false" outlineLevel="0" collapsed="false">
      <c r="A308" s="3" t="s">
        <v>522</v>
      </c>
      <c r="B308" s="0" t="s">
        <v>333</v>
      </c>
      <c r="C308" s="21" t="n">
        <f aca="false">C305+C307</f>
        <v>2.346</v>
      </c>
      <c r="D308" s="21" t="n">
        <f aca="false">D305+D307</f>
        <v>14.6231925</v>
      </c>
      <c r="E308" s="21" t="n">
        <f aca="false">E305+E307</f>
        <v>24.8660780638531</v>
      </c>
      <c r="F308" s="21" t="n">
        <f aca="false">F305+F307</f>
        <v>24.2493210155117</v>
      </c>
      <c r="G308" s="21" t="n">
        <f aca="false">G305+G307</f>
        <v>22.8147718557397</v>
      </c>
    </row>
    <row r="309" customFormat="false" ht="15" hidden="false" customHeight="false" outlineLevel="0" collapsed="false">
      <c r="A309" s="3" t="s">
        <v>525</v>
      </c>
      <c r="B309" s="0" t="s">
        <v>333</v>
      </c>
      <c r="E309" s="21" t="n">
        <f aca="false">E308*tax</f>
        <v>5.22187639340915</v>
      </c>
      <c r="F309" s="21" t="n">
        <f aca="false">F308*tax</f>
        <v>5.09235741325745</v>
      </c>
      <c r="G309" s="21" t="n">
        <f aca="false">G308*tax</f>
        <v>4.79110208970535</v>
      </c>
    </row>
    <row r="310" customFormat="false" ht="15" hidden="false" customHeight="false" outlineLevel="0" collapsed="false">
      <c r="A310" s="3" t="s">
        <v>523</v>
      </c>
      <c r="B310" s="0" t="s">
        <v>333</v>
      </c>
      <c r="C310" s="21" t="n">
        <f aca="false">a25_ni</f>
        <v>1.947</v>
      </c>
      <c r="D310" s="21" t="n">
        <f aca="false">a26_ni</f>
        <v>11.509862075</v>
      </c>
      <c r="E310" s="21" t="n">
        <f aca="false">E308-E309</f>
        <v>19.6442016704439</v>
      </c>
      <c r="F310" s="21" t="n">
        <f aca="false">F308-F309</f>
        <v>19.1569636022542</v>
      </c>
      <c r="G310" s="21" t="n">
        <f aca="false">G308-G309</f>
        <v>18.0236697660344</v>
      </c>
      <c r="H310" s="30" t="n">
        <f aca="false">H292*H314</f>
        <v>20.7852460512612</v>
      </c>
      <c r="I310" s="30" t="n">
        <f aca="false">I292*I314</f>
        <v>23.7532519214375</v>
      </c>
      <c r="J310" s="30" t="n">
        <f aca="false">J292*J314</f>
        <v>26.9192487089755</v>
      </c>
    </row>
    <row r="311" customFormat="false" ht="15" hidden="false" customHeight="false" outlineLevel="0" collapsed="false">
      <c r="A311" s="3" t="s">
        <v>658</v>
      </c>
      <c r="B311" s="3" t="s">
        <v>400</v>
      </c>
      <c r="C311" s="29" t="n">
        <f aca="false">a25_sh</f>
        <v>0.646843853820598</v>
      </c>
      <c r="D311" s="29" t="n">
        <f aca="false">a26_sh</f>
        <v>0.645863325123153</v>
      </c>
      <c r="E311" s="29" t="n">
        <f aca="false">a26_shend*(1+sh_g)</f>
        <v>0.64617</v>
      </c>
      <c r="F311" s="29" t="n">
        <f aca="false">E311*(1+sh_g)</f>
        <v>0.64617</v>
      </c>
      <c r="G311" s="29" t="n">
        <f aca="false">F311*(1+sh_g)</f>
        <v>0.64617</v>
      </c>
      <c r="H311" s="31" t="n">
        <f aca="false">G311*(1+sh_g)</f>
        <v>0.64617</v>
      </c>
      <c r="I311" s="31" t="n">
        <f aca="false">H311*(1+sh_g)</f>
        <v>0.64617</v>
      </c>
      <c r="J311" s="31" t="n">
        <f aca="false">I311*(1+sh_g)</f>
        <v>0.64617</v>
      </c>
    </row>
    <row r="312" customFormat="false" ht="17.15" hidden="false" customHeight="false" outlineLevel="0" collapsed="false">
      <c r="A312" s="0" t="s">
        <v>528</v>
      </c>
      <c r="B312" s="0" t="s">
        <v>406</v>
      </c>
      <c r="C312" s="18" t="n">
        <f aca="false">C310/C311</f>
        <v>3.01</v>
      </c>
      <c r="D312" s="18" t="n">
        <f aca="false">D310/D311</f>
        <v>17.820894339844</v>
      </c>
      <c r="E312" s="18" t="n">
        <f aca="false">E310/E311</f>
        <v>30.4009806559325</v>
      </c>
      <c r="F312" s="18" t="n">
        <f aca="false">F310/F311</f>
        <v>29.6469405918787</v>
      </c>
      <c r="G312" s="18" t="n">
        <f aca="false">G310/G311</f>
        <v>27.8930773109776</v>
      </c>
      <c r="H312" s="28" t="n">
        <f aca="false">H310/H311</f>
        <v>32.1668385274172</v>
      </c>
      <c r="I312" s="28" t="n">
        <f aca="false">I310/I311</f>
        <v>36.7600661148575</v>
      </c>
      <c r="J312" s="28" t="n">
        <f aca="false">J310/J311</f>
        <v>41.659700557091</v>
      </c>
    </row>
    <row r="313" customFormat="false" ht="17.15" hidden="false" customHeight="false" outlineLevel="0" collapsed="false">
      <c r="A313" s="0" t="s">
        <v>659</v>
      </c>
      <c r="B313" s="0" t="s">
        <v>44</v>
      </c>
      <c r="D313" s="20" t="n">
        <f aca="false">D312/C312-1</f>
        <v>4.92056290360265</v>
      </c>
      <c r="E313" s="20" t="n">
        <f aca="false">E312/D312-1</f>
        <v>0.705917788197756</v>
      </c>
      <c r="F313" s="20" t="n">
        <f aca="false">F312/E312-1</f>
        <v>-0.0248031493650761</v>
      </c>
      <c r="G313" s="20" t="n">
        <f aca="false">G312/F312-1</f>
        <v>-0.0591583227775449</v>
      </c>
      <c r="H313" s="26" t="n">
        <f aca="false">H312/G312-1</f>
        <v>0.153219423184894</v>
      </c>
      <c r="I313" s="26" t="n">
        <f aca="false">I312/H312-1</f>
        <v>0.142793877101888</v>
      </c>
      <c r="J313" s="26" t="n">
        <f aca="false">J312/I312-1</f>
        <v>0.133286877856107</v>
      </c>
    </row>
    <row r="314" customFormat="false" ht="17.15" hidden="false" customHeight="false" outlineLevel="0" collapsed="false">
      <c r="A314" s="3" t="s">
        <v>660</v>
      </c>
      <c r="B314" s="0" t="s">
        <v>44</v>
      </c>
      <c r="C314" s="16" t="n">
        <f aca="false">C310/C292</f>
        <v>0.0484653872003585</v>
      </c>
      <c r="D314" s="16" t="n">
        <f aca="false">D310/D292</f>
        <v>0.194594602259759</v>
      </c>
      <c r="E314" s="16" t="n">
        <f aca="false">E310/E292</f>
        <v>0.25267823467372</v>
      </c>
      <c r="F314" s="16" t="n">
        <f aca="false">F310/F292</f>
        <v>0.231107814476529</v>
      </c>
      <c r="G314" s="16" t="n">
        <f aca="false">G310/G292</f>
        <v>0.202955354724065</v>
      </c>
      <c r="H314" s="27" t="n">
        <f aca="false">$G314+(fade_mA-$G314)*1/3</f>
        <v>0.219239060589669</v>
      </c>
      <c r="I314" s="27" t="n">
        <f aca="false">$G314+(fade_mA-$G314)*2/3</f>
        <v>0.235522766455272</v>
      </c>
      <c r="J314" s="27" t="n">
        <f aca="false">$G314+(fade_mA-$G314)*3/3</f>
        <v>0.251806472320876</v>
      </c>
    </row>
    <row r="315" customFormat="false" ht="17.15" hidden="false" customHeight="false" outlineLevel="0" collapsed="false">
      <c r="A315" s="3" t="s">
        <v>661</v>
      </c>
      <c r="B315" s="0" t="s">
        <v>44</v>
      </c>
      <c r="C315" s="20" t="n">
        <f aca="false">C298/C292</f>
        <v>0.0602892489980833</v>
      </c>
      <c r="D315" s="20" t="n">
        <f aca="false">D298/D292</f>
        <v>0.0676270839708595</v>
      </c>
      <c r="E315" s="20" t="n">
        <f aca="false">E298/E292</f>
        <v>0.180078342952184</v>
      </c>
      <c r="F315" s="20" t="n">
        <f aca="false">F298/F292</f>
        <v>0.217150313951007</v>
      </c>
      <c r="G315" s="20" t="n">
        <f aca="false">G298/G292</f>
        <v>0.135125881038855</v>
      </c>
      <c r="H315" s="26" t="n">
        <f aca="false">$G315+($G300*(1+tp_g)^(life/2)-$G315)*1/3</f>
        <v>0.129254407861424</v>
      </c>
      <c r="I315" s="26" t="n">
        <f aca="false">$G315+($G300*(1+tp_g)^(life/2)-$G315)*2/3</f>
        <v>0.123382934683993</v>
      </c>
      <c r="J315" s="26" t="n">
        <f aca="false">$G315+($G300*(1+tp_g)^(life/2)-$G315)*3/3</f>
        <v>0.117511461506562</v>
      </c>
      <c r="K315" s="7" t="s">
        <v>662</v>
      </c>
    </row>
    <row r="316" customFormat="false" ht="15" hidden="false" customHeight="false" outlineLevel="0" collapsed="false">
      <c r="A316" s="3" t="s">
        <v>663</v>
      </c>
      <c r="B316" s="0" t="s">
        <v>333</v>
      </c>
      <c r="E316" s="21" t="n">
        <f aca="false">E310+E299-E298</f>
        <v>12.3567016704439</v>
      </c>
      <c r="F316" s="21" t="n">
        <f aca="false">F310+F299-F298</f>
        <v>8.78040110225423</v>
      </c>
      <c r="G316" s="21" t="n">
        <f aca="false">G310+G299-G298</f>
        <v>14.9441775785344</v>
      </c>
      <c r="H316" s="30" t="n">
        <f aca="false">H310+H299-H298</f>
        <v>18.054339136028</v>
      </c>
      <c r="I316" s="30" t="n">
        <f aca="false">I310+I299-I298</f>
        <v>21.440317792621</v>
      </c>
      <c r="J316" s="30" t="n">
        <f aca="false">J310+J299-J298</f>
        <v>25.0952255227387</v>
      </c>
      <c r="K316" s="3" t="s">
        <v>664</v>
      </c>
    </row>
    <row r="317" customFormat="false" ht="15" hidden="false" customHeight="false" outlineLevel="0" collapsed="false">
      <c r="A317" s="3" t="s">
        <v>665</v>
      </c>
      <c r="B317" s="0" t="s">
        <v>406</v>
      </c>
      <c r="E317" s="18" t="n">
        <f aca="false">E316/E311</f>
        <v>19.1229887962052</v>
      </c>
      <c r="F317" s="18" t="n">
        <f aca="false">F316/F311</f>
        <v>13.5883762821769</v>
      </c>
      <c r="G317" s="18" t="n">
        <f aca="false">G316/G311</f>
        <v>23.1273156886491</v>
      </c>
      <c r="H317" s="28" t="n">
        <f aca="false">H316/H311</f>
        <v>27.9405406255753</v>
      </c>
      <c r="I317" s="28" t="n">
        <f aca="false">I316/I311</f>
        <v>33.1806146874987</v>
      </c>
      <c r="J317" s="28" t="n">
        <f aca="false">J316/J311</f>
        <v>38.8368781013336</v>
      </c>
    </row>
    <row r="320" customFormat="false" ht="17.15" hidden="false" customHeight="false" outlineLevel="0" collapsed="false">
      <c r="A320" s="1" t="s">
        <v>1012</v>
      </c>
    </row>
    <row r="321" customFormat="false" ht="17.15" hidden="false" customHeight="false" outlineLevel="0" collapsed="false">
      <c r="A321" s="4" t="s">
        <v>21</v>
      </c>
      <c r="B321" s="4" t="s">
        <v>22</v>
      </c>
      <c r="C321" s="13" t="s">
        <v>498</v>
      </c>
      <c r="D321" s="13" t="s">
        <v>585</v>
      </c>
      <c r="E321" s="13" t="s">
        <v>586</v>
      </c>
      <c r="F321" s="13" t="s">
        <v>587</v>
      </c>
      <c r="G321" s="13" t="s">
        <v>588</v>
      </c>
      <c r="H321" s="13" t="s">
        <v>589</v>
      </c>
      <c r="I321" s="13" t="s">
        <v>590</v>
      </c>
      <c r="J321" s="13" t="s">
        <v>591</v>
      </c>
      <c r="K321" s="4" t="s">
        <v>553</v>
      </c>
    </row>
    <row r="322" customFormat="false" ht="17.15" hidden="false" customHeight="false" outlineLevel="0" collapsed="false">
      <c r="A322" s="5" t="s">
        <v>609</v>
      </c>
    </row>
    <row r="323" customFormat="false" ht="17.15" hidden="false" customHeight="false" outlineLevel="0" collapsed="false">
      <c r="A323" s="0" t="s">
        <v>610</v>
      </c>
      <c r="B323" s="3" t="s">
        <v>32</v>
      </c>
      <c r="D323" s="21" t="n">
        <f aca="false">(u_bw_26+u_rb_26+u_ru_26+u_hp_26)*1</f>
        <v>7.6</v>
      </c>
      <c r="E323" s="21" t="n">
        <f aca="false">(u_bw_27+u_rb_27+u_ru_27+u_hp_27)*1*1</f>
        <v>9.7</v>
      </c>
      <c r="F323" s="21" t="n">
        <f aca="false">(u_bw_28+u_rb_28+u_ru_28+u_hp_28)*um28_A*1</f>
        <v>9.5</v>
      </c>
      <c r="G323" s="21" t="n">
        <f aca="false">(u_bw_28*(1+g29_bw)+u_rb_28*(1+g29_rb)+u_ru_28*(1+g29_ru)+u_hp_28*(1+g29_hp))*um29_A*1</f>
        <v>10.6</v>
      </c>
      <c r="K323" s="7" t="s">
        <v>611</v>
      </c>
    </row>
    <row r="324" customFormat="false" ht="17.15" hidden="false" customHeight="false" outlineLevel="0" collapsed="false">
      <c r="A324" s="3" t="s">
        <v>612</v>
      </c>
      <c r="B324" s="3" t="s">
        <v>32</v>
      </c>
      <c r="D324" s="21" t="n">
        <f aca="false">(u_amd_26+u_tpu_26+u_trn_26+u_oth_26)*1</f>
        <v>7.6</v>
      </c>
      <c r="E324" s="21" t="n">
        <f aca="false">(u_amd_27+u_tpu_27+u_trn_27+u_oth_27)*1*1</f>
        <v>14</v>
      </c>
      <c r="F324" s="21" t="n">
        <f aca="false">(u_amd_28+u_tpu_28+u_trn_28+u_oth_28)*um28_A*1</f>
        <v>17</v>
      </c>
      <c r="G324" s="21" t="n">
        <f aca="false">(u_amd_28*(1+g29_amd)+u_tpu_28*(1+g29_tpu)+u_trn_28*(1+g29_trn)+u_oth_28*(1+g29_oth))*um29_A*1</f>
        <v>19.55</v>
      </c>
      <c r="K324" s="7" t="s">
        <v>613</v>
      </c>
    </row>
    <row r="325" customFormat="false" ht="17.15" hidden="false" customHeight="false" outlineLevel="0" collapsed="false">
      <c r="A325" s="3" t="s">
        <v>614</v>
      </c>
      <c r="B325" s="0" t="s">
        <v>154</v>
      </c>
      <c r="D325" s="19" t="n">
        <f aca="false">1</f>
        <v>1</v>
      </c>
      <c r="E325" s="19" t="n">
        <f aca="false">D325*(1+g_asp)</f>
        <v>1.18</v>
      </c>
      <c r="F325" s="19" t="n">
        <f aca="false">E325*(1+g_asp)</f>
        <v>1.3924</v>
      </c>
      <c r="G325" s="19" t="n">
        <f aca="false">F325*(1+g_asp)</f>
        <v>1.643032</v>
      </c>
      <c r="K325" s="7" t="s">
        <v>615</v>
      </c>
    </row>
    <row r="326" customFormat="false" ht="17.15" hidden="false" customHeight="false" outlineLevel="0" collapsed="false">
      <c r="A326" s="0" t="s">
        <v>616</v>
      </c>
      <c r="B326" s="0" t="s">
        <v>154</v>
      </c>
      <c r="D326" s="18" t="n">
        <f aca="false">1</f>
        <v>1</v>
      </c>
      <c r="E326" s="18" t="n">
        <f aca="false">ibpp_27_hi</f>
        <v>1.05</v>
      </c>
      <c r="F326" s="18" t="n">
        <f aca="false">ibpp_28_hi</f>
        <v>1.05</v>
      </c>
      <c r="G326" s="18" t="n">
        <f aca="false">ibpp_29_hi</f>
        <v>1</v>
      </c>
      <c r="K326" s="7" t="s">
        <v>617</v>
      </c>
    </row>
    <row r="327" customFormat="false" ht="17.15" hidden="false" customHeight="false" outlineLevel="0" collapsed="false">
      <c r="A327" s="3" t="s">
        <v>618</v>
      </c>
      <c r="B327" s="0" t="s">
        <v>154</v>
      </c>
      <c r="D327" s="18" t="n">
        <f aca="false">1</f>
        <v>1</v>
      </c>
      <c r="E327" s="18" t="n">
        <f aca="false">1+carry</f>
        <v>1.15</v>
      </c>
      <c r="F327" s="18" t="n">
        <f aca="false">1+carry</f>
        <v>1.15</v>
      </c>
      <c r="G327" s="18" t="n">
        <f aca="false">1+carry</f>
        <v>1.15</v>
      </c>
      <c r="K327" s="7" t="s">
        <v>619</v>
      </c>
    </row>
    <row r="328" customFormat="false" ht="17.15" hidden="false" customHeight="false" outlineLevel="0" collapsed="false">
      <c r="A328" s="3" t="s">
        <v>620</v>
      </c>
      <c r="B328" s="0" t="s">
        <v>621</v>
      </c>
      <c r="D328" s="23" t="n">
        <f aca="false">v26*D325*D326</f>
        <v>215.308596</v>
      </c>
      <c r="E328" s="23" t="n">
        <f aca="false">v26*E325*E326</f>
        <v>266.767350444</v>
      </c>
      <c r="F328" s="23" t="n">
        <f aca="false">v26*F325*F326</f>
        <v>314.78547352392</v>
      </c>
      <c r="G328" s="23" t="n">
        <f aca="false">v26*G325*G326</f>
        <v>353.758913103072</v>
      </c>
      <c r="K328" s="7" t="s">
        <v>622</v>
      </c>
    </row>
    <row r="329" customFormat="false" ht="17.15" hidden="false" customHeight="false" outlineLevel="0" collapsed="false">
      <c r="A329" s="3" t="s">
        <v>623</v>
      </c>
      <c r="B329" s="0" t="s">
        <v>44</v>
      </c>
      <c r="D329" s="20" t="n">
        <f aca="false">sh_nv_26</f>
        <v>0.02</v>
      </c>
      <c r="E329" s="20" t="n">
        <f aca="false">sh_nv_27</f>
        <v>0.03</v>
      </c>
      <c r="F329" s="20" t="n">
        <f aca="false">sh_nv_28</f>
        <v>0.04</v>
      </c>
      <c r="G329" s="20" t="n">
        <f aca="false">sh_nv_29</f>
        <v>0.04</v>
      </c>
    </row>
    <row r="330" customFormat="false" ht="17.15" hidden="false" customHeight="false" outlineLevel="0" collapsed="false">
      <c r="A330" s="3" t="s">
        <v>624</v>
      </c>
      <c r="B330" s="0" t="s">
        <v>44</v>
      </c>
      <c r="D330" s="20" t="n">
        <f aca="false">sh_ot_26</f>
        <v>0.05</v>
      </c>
      <c r="E330" s="20" t="n">
        <f aca="false">sh_ot_27</f>
        <v>0.06</v>
      </c>
      <c r="F330" s="20" t="n">
        <f aca="false">sh_ot_28</f>
        <v>0.07</v>
      </c>
      <c r="G330" s="20" t="n">
        <f aca="false">sh_ot_29</f>
        <v>0.07</v>
      </c>
    </row>
    <row r="331" customFormat="false" ht="17.15" hidden="false" customHeight="false" outlineLevel="0" collapsed="false">
      <c r="A331" s="3" t="s">
        <v>625</v>
      </c>
      <c r="B331" s="0" t="s">
        <v>575</v>
      </c>
      <c r="D331" s="22" t="n">
        <f aca="false">(D323*D328*D329+D324*D328*v_ot*D330)*D327</f>
        <v>98.180719776</v>
      </c>
      <c r="E331" s="22" t="n">
        <f aca="false">(E323*E328*E329+E324*E328*v_ot*E330)*E327</f>
        <v>295.431502249208</v>
      </c>
      <c r="F331" s="22" t="n">
        <f aca="false">(F323*F328*F329+F324*F328*v_ot*F330)*F327</f>
        <v>482.188388343941</v>
      </c>
      <c r="G331" s="22" t="n">
        <f aca="false">(G323*G328*G329+G324*G328*v_ot*G330)*G327</f>
        <v>617.882392804087</v>
      </c>
    </row>
    <row r="332" customFormat="false" ht="15" hidden="false" customHeight="false" outlineLevel="0" collapsed="false">
      <c r="A332" s="3" t="s">
        <v>626</v>
      </c>
      <c r="B332" s="0" t="s">
        <v>333</v>
      </c>
      <c r="D332" s="21" t="n">
        <f aca="false">D331*fx/1000</f>
        <v>3.141783032832</v>
      </c>
      <c r="E332" s="21" t="n">
        <f aca="false">E331*fx/1000</f>
        <v>9.45380807197465</v>
      </c>
      <c r="F332" s="21" t="n">
        <f aca="false">F331*fx/1000</f>
        <v>15.4300284270061</v>
      </c>
      <c r="G332" s="21" t="n">
        <f aca="false">G331*fx/1000</f>
        <v>19.7722365697308</v>
      </c>
    </row>
    <row r="333" customFormat="false" ht="17.15" hidden="false" customHeight="false" outlineLevel="0" collapsed="false">
      <c r="A333" s="5" t="s">
        <v>627</v>
      </c>
    </row>
    <row r="334" customFormat="false" ht="17.15" hidden="false" customHeight="false" outlineLevel="0" collapsed="false">
      <c r="A334" s="0" t="s">
        <v>628</v>
      </c>
      <c r="B334" s="0" t="s">
        <v>333</v>
      </c>
      <c r="D334" s="21" t="n">
        <f aca="false">a26_abf*ai_abf</f>
        <v>22.2987583</v>
      </c>
      <c r="K334" s="3" t="s">
        <v>629</v>
      </c>
    </row>
    <row r="335" customFormat="false" ht="17.15" hidden="false" customHeight="false" outlineLevel="0" collapsed="false">
      <c r="A335" s="3" t="s">
        <v>630</v>
      </c>
      <c r="B335" s="0" t="s">
        <v>333</v>
      </c>
      <c r="D335" s="21" t="n">
        <f aca="false">D334-D332</f>
        <v>19.156975267168</v>
      </c>
      <c r="E335" s="21" t="n">
        <f aca="false">$D335*(swm_27/swm_26)^el_o*1*1*E326*E327</f>
        <v>32.3550909247629</v>
      </c>
      <c r="F335" s="21" t="n">
        <f aca="false">$D335*(swm_28/swm_26)^el_o*um28_A*1*F326*F327</f>
        <v>34.8059494859801</v>
      </c>
      <c r="G335" s="21" t="n">
        <f aca="false">$D335*(swm_29/swm_26)^el_o*um29_A*1*G326*G327</f>
        <v>35.3631094163736</v>
      </c>
      <c r="K335" s="7" t="s">
        <v>631</v>
      </c>
    </row>
    <row r="336" customFormat="false" ht="17.15" hidden="false" customHeight="false" outlineLevel="0" collapsed="false">
      <c r="A336" s="3" t="s">
        <v>632</v>
      </c>
      <c r="B336" s="0" t="s">
        <v>333</v>
      </c>
      <c r="D336" s="21" t="n">
        <f aca="false">a26_abf-D334</f>
        <v>12.0070237</v>
      </c>
      <c r="E336" s="21" t="n">
        <f aca="false">D336*(1+g_nai)</f>
        <v>12.367234411</v>
      </c>
      <c r="F336" s="21" t="n">
        <f aca="false">E336*(1+g_nai)</f>
        <v>12.73825144333</v>
      </c>
      <c r="G336" s="21" t="n">
        <f aca="false">F336*(1+g_nai)</f>
        <v>13.1203989866299</v>
      </c>
    </row>
    <row r="337" customFormat="false" ht="17.15" hidden="false" customHeight="false" outlineLevel="0" collapsed="false">
      <c r="A337" s="0" t="s">
        <v>633</v>
      </c>
      <c r="B337" s="0" t="s">
        <v>333</v>
      </c>
      <c r="D337" s="21" t="n">
        <f aca="false">D332+D335+D336</f>
        <v>34.305782</v>
      </c>
      <c r="E337" s="21" t="n">
        <f aca="false">E332+E335+E336</f>
        <v>54.1761334077376</v>
      </c>
      <c r="F337" s="21" t="n">
        <f aca="false">F332+F335+F336</f>
        <v>62.9742293563162</v>
      </c>
      <c r="G337" s="21" t="n">
        <f aca="false">G332+G335+G336</f>
        <v>68.2557449727343</v>
      </c>
    </row>
    <row r="338" customFormat="false" ht="17.15" hidden="false" customHeight="false" outlineLevel="0" collapsed="false">
      <c r="A338" s="0" t="s">
        <v>634</v>
      </c>
      <c r="B338" s="0" t="s">
        <v>333</v>
      </c>
      <c r="D338" s="21" t="n">
        <f aca="false">a26_abf</f>
        <v>34.305782</v>
      </c>
      <c r="E338" s="21" t="n">
        <f aca="false">$D337*cap_27*(1+g_mix)^1*E326*E327</f>
        <v>52.1945320239</v>
      </c>
      <c r="F338" s="21" t="n">
        <f aca="false">$D337*cap_28*(1+g_mix)^2*F326*F327</f>
        <v>61.6547909532319</v>
      </c>
      <c r="G338" s="21" t="n">
        <f aca="false">$D337*cap_29*(1+g_mix)^3*G326*G327</f>
        <v>73.07234483346</v>
      </c>
      <c r="K338" s="7" t="s">
        <v>635</v>
      </c>
    </row>
    <row r="339" customFormat="false" ht="17.15" hidden="false" customHeight="false" outlineLevel="0" collapsed="false">
      <c r="A339" s="0" t="s">
        <v>636</v>
      </c>
      <c r="B339" s="0" t="s">
        <v>333</v>
      </c>
      <c r="D339" s="21" t="n">
        <f aca="false">a26_abf</f>
        <v>34.305782</v>
      </c>
      <c r="E339" s="21" t="n">
        <f aca="false">MIN(E337,E338)</f>
        <v>52.1945320239</v>
      </c>
      <c r="F339" s="21" t="n">
        <f aca="false">MIN(F337,F338)</f>
        <v>61.6547909532319</v>
      </c>
      <c r="G339" s="21" t="n">
        <f aca="false">MIN(G337,G338)</f>
        <v>68.2557449727343</v>
      </c>
    </row>
    <row r="340" customFormat="false" ht="17.15" hidden="false" customHeight="false" outlineLevel="0" collapsed="false">
      <c r="A340" s="3" t="s">
        <v>637</v>
      </c>
      <c r="B340" s="0" t="s">
        <v>44</v>
      </c>
      <c r="D340" s="20" t="n">
        <f aca="false">D339/D337</f>
        <v>1</v>
      </c>
      <c r="E340" s="20" t="n">
        <f aca="false">E339/E337</f>
        <v>0.963422982424314</v>
      </c>
      <c r="F340" s="20" t="n">
        <f aca="false">F339/F337</f>
        <v>0.979047962689329</v>
      </c>
      <c r="G340" s="20" t="n">
        <f aca="false">G339/G337</f>
        <v>1</v>
      </c>
    </row>
    <row r="341" customFormat="false" ht="17.15" hidden="false" customHeight="false" outlineLevel="0" collapsed="false">
      <c r="A341" s="0" t="s">
        <v>638</v>
      </c>
      <c r="B341" s="0" t="s">
        <v>333</v>
      </c>
      <c r="D341" s="21" t="n">
        <f aca="false">(D332+D335)*D340</f>
        <v>22.2987583</v>
      </c>
      <c r="E341" s="21" t="n">
        <f aca="false">(E332+E335)*E340</f>
        <v>40.2796541633138</v>
      </c>
      <c r="F341" s="21" t="n">
        <f aca="false">(F332+F335)*F340</f>
        <v>49.1834318294152</v>
      </c>
      <c r="G341" s="21" t="n">
        <f aca="false">(G332+G335)*G340</f>
        <v>55.1353459861044</v>
      </c>
    </row>
    <row r="342" customFormat="false" ht="17.15" hidden="false" customHeight="false" outlineLevel="0" collapsed="false">
      <c r="A342" s="3" t="s">
        <v>639</v>
      </c>
      <c r="B342" s="0" t="s">
        <v>44</v>
      </c>
      <c r="D342" s="20" t="n">
        <f aca="false">D332/(D332+D335)</f>
        <v>0.140894976776891</v>
      </c>
      <c r="E342" s="20" t="n">
        <f aca="false">E332/(E332+E335)</f>
        <v>0.226119517586731</v>
      </c>
      <c r="F342" s="20" t="n">
        <f aca="false">F332/(F332+F335)</f>
        <v>0.307150951728908</v>
      </c>
      <c r="G342" s="20" t="n">
        <f aca="false">G332/(G332+G335)</f>
        <v>0.358612723219583</v>
      </c>
    </row>
    <row r="343" customFormat="false" ht="17.15" hidden="false" customHeight="false" outlineLevel="0" collapsed="false">
      <c r="A343" s="5" t="s">
        <v>640</v>
      </c>
    </row>
    <row r="344" customFormat="false" ht="17.15" hidden="false" customHeight="false" outlineLevel="0" collapsed="false">
      <c r="A344" s="0" t="s">
        <v>641</v>
      </c>
      <c r="B344" s="0" t="s">
        <v>333</v>
      </c>
      <c r="D344" s="21" t="n">
        <f aca="false">a26_bt</f>
        <v>18.927328</v>
      </c>
      <c r="E344" s="21" t="n">
        <f aca="false">D344*(1+g_bt27_A)</f>
        <v>24.6055264</v>
      </c>
      <c r="F344" s="21" t="n">
        <f aca="false">E344*(1+g_bt28_A)</f>
        <v>27.06607904</v>
      </c>
      <c r="G344" s="21" t="n">
        <f aca="false">F344*(1+g_bt29_A)</f>
        <v>28.419382992</v>
      </c>
      <c r="K344" s="7" t="s">
        <v>642</v>
      </c>
    </row>
    <row r="345" customFormat="false" ht="17.15" hidden="false" customHeight="false" outlineLevel="0" collapsed="false">
      <c r="A345" s="0" t="s">
        <v>540</v>
      </c>
      <c r="B345" s="0" t="s">
        <v>333</v>
      </c>
      <c r="D345" s="21" t="n">
        <f aca="false">a26_pcb</f>
        <v>5.91479</v>
      </c>
      <c r="E345" s="21" t="n">
        <f aca="false">D345*(1+g_pcb)</f>
        <v>5.91479</v>
      </c>
      <c r="F345" s="21" t="n">
        <f aca="false">E345*(1+g_pcb)</f>
        <v>5.91479</v>
      </c>
      <c r="G345" s="21" t="n">
        <f aca="false">F345*(1+g_pcb)</f>
        <v>5.91479</v>
      </c>
    </row>
    <row r="346" customFormat="false" ht="17.15" hidden="false" customHeight="false" outlineLevel="0" collapsed="false">
      <c r="A346" s="3" t="s">
        <v>505</v>
      </c>
      <c r="B346" s="0" t="s">
        <v>333</v>
      </c>
      <c r="C346" s="23" t="n">
        <f aca="false">a25_rev</f>
        <v>40.173</v>
      </c>
      <c r="D346" s="23" t="n">
        <f aca="false">D339+D344+D345</f>
        <v>59.1479</v>
      </c>
      <c r="E346" s="23" t="n">
        <f aca="false">E339+E344+E345</f>
        <v>82.7148484239</v>
      </c>
      <c r="F346" s="23" t="n">
        <f aca="false">F339+F344+F345</f>
        <v>94.6356599932319</v>
      </c>
      <c r="G346" s="23" t="n">
        <f aca="false">G339+G344+G345</f>
        <v>102.589917964734</v>
      </c>
      <c r="H346" s="25" t="n">
        <f aca="false">G346*(1+H348)</f>
        <v>110.390265886461</v>
      </c>
      <c r="I346" s="25" t="n">
        <f aca="false">H346*(1+I348)</f>
        <v>117.898694643074</v>
      </c>
      <c r="J346" s="25" t="n">
        <f aca="false">I346*(1+J348)</f>
        <v>124.972616321659</v>
      </c>
      <c r="K346" s="7" t="s">
        <v>643</v>
      </c>
    </row>
    <row r="347" customFormat="false" ht="17.15" hidden="false" customHeight="false" outlineLevel="0" collapsed="false">
      <c r="A347" s="3" t="s">
        <v>644</v>
      </c>
      <c r="B347" s="0" t="s">
        <v>333</v>
      </c>
      <c r="D347" s="19" t="n">
        <f aca="false">D339+D344+D345-a26_rev</f>
        <v>0</v>
      </c>
      <c r="E347" s="19" t="n">
        <f aca="false">E339+E344+E345-E346</f>
        <v>0</v>
      </c>
      <c r="F347" s="19" t="n">
        <f aca="false">F339+F344+F345-F346</f>
        <v>0</v>
      </c>
      <c r="G347" s="19" t="n">
        <f aca="false">G339+G344+G345-G346</f>
        <v>0</v>
      </c>
    </row>
    <row r="348" customFormat="false" ht="15" hidden="false" customHeight="false" outlineLevel="0" collapsed="false">
      <c r="A348" s="3" t="s">
        <v>645</v>
      </c>
      <c r="B348" s="0" t="s">
        <v>44</v>
      </c>
      <c r="D348" s="20" t="n">
        <f aca="false">D346/C346-1</f>
        <v>0.472329674159261</v>
      </c>
      <c r="E348" s="20" t="n">
        <f aca="false">E346/D346-1</f>
        <v>0.398441</v>
      </c>
      <c r="F348" s="20" t="n">
        <f aca="false">F346/E346-1</f>
        <v>0.144119366673317</v>
      </c>
      <c r="G348" s="20" t="n">
        <f aca="false">G346/F346-1</f>
        <v>0.0840513816046862</v>
      </c>
      <c r="H348" s="26" t="n">
        <f aca="false">$G348+(fade_gA-$G348)*1/3</f>
        <v>0.0760342544031241</v>
      </c>
      <c r="I348" s="26" t="n">
        <f aca="false">$G348+(fade_gA-$G348)*2/3</f>
        <v>0.0680171272015621</v>
      </c>
      <c r="J348" s="26" t="n">
        <f aca="false">$G348+(fade_gA-$G348)*3/3</f>
        <v>0.06</v>
      </c>
    </row>
    <row r="349" customFormat="false" ht="17.15" hidden="false" customHeight="false" outlineLevel="0" collapsed="false">
      <c r="A349" s="0" t="s">
        <v>646</v>
      </c>
      <c r="B349" s="0" t="s">
        <v>44</v>
      </c>
      <c r="D349" s="20" t="n">
        <f aca="false">D339/D346</f>
        <v>0.58</v>
      </c>
      <c r="E349" s="20" t="n">
        <f aca="false">E339/E346</f>
        <v>0.631017683263005</v>
      </c>
      <c r="F349" s="20" t="n">
        <f aca="false">F339/F346</f>
        <v>0.651496391081769</v>
      </c>
      <c r="G349" s="20" t="n">
        <f aca="false">G339/G346</f>
        <v>0.665326050813273</v>
      </c>
    </row>
    <row r="350" customFormat="false" ht="17.15" hidden="false" customHeight="false" outlineLevel="0" collapsed="false">
      <c r="A350" s="0" t="s">
        <v>647</v>
      </c>
      <c r="B350" s="0" t="s">
        <v>44</v>
      </c>
      <c r="D350" s="20" t="n">
        <f aca="false">D341/D346</f>
        <v>0.377</v>
      </c>
      <c r="E350" s="20" t="n">
        <f aca="false">E341/E346</f>
        <v>0.486970053513091</v>
      </c>
      <c r="F350" s="20" t="n">
        <f aca="false">F341/F346</f>
        <v>0.519713518486929</v>
      </c>
      <c r="G350" s="20" t="n">
        <f aca="false">G341/G346</f>
        <v>0.537434351054432</v>
      </c>
      <c r="K350" s="3" t="s">
        <v>648</v>
      </c>
    </row>
    <row r="351" customFormat="false" ht="17.15" hidden="false" customHeight="false" outlineLevel="0" collapsed="false">
      <c r="A351" s="5" t="s">
        <v>649</v>
      </c>
    </row>
    <row r="352" customFormat="false" ht="15" hidden="false" customHeight="false" outlineLevel="0" collapsed="false">
      <c r="A352" s="3" t="s">
        <v>650</v>
      </c>
      <c r="B352" s="0" t="s">
        <v>333</v>
      </c>
      <c r="C352" s="23" t="n">
        <f aca="false">a25_cx</f>
        <v>2.422</v>
      </c>
      <c r="D352" s="23" t="n">
        <f aca="false">capex26</f>
        <v>4</v>
      </c>
      <c r="E352" s="23" t="n">
        <f aca="false">cx27</f>
        <v>14</v>
      </c>
      <c r="F352" s="23" t="n">
        <f aca="false">cx28</f>
        <v>18</v>
      </c>
      <c r="G352" s="23" t="n">
        <f aca="false">cx29</f>
        <v>12</v>
      </c>
      <c r="H352" s="25" t="n">
        <f aca="false">H346*H369</f>
        <v>12.3513425545614</v>
      </c>
      <c r="I352" s="25" t="n">
        <f aca="false">I346*I369</f>
        <v>12.592214626513</v>
      </c>
      <c r="J352" s="25" t="n">
        <f aca="false">J346*J369</f>
        <v>12.7125628924702</v>
      </c>
    </row>
    <row r="353" customFormat="false" ht="17.15" hidden="false" customHeight="false" outlineLevel="0" collapsed="false">
      <c r="A353" s="3" t="s">
        <v>651</v>
      </c>
      <c r="B353" s="0" t="s">
        <v>333</v>
      </c>
      <c r="C353" s="23" t="n">
        <f aca="false">a25_da</f>
        <v>6.894</v>
      </c>
      <c r="D353" s="23" t="n">
        <f aca="false">da26</f>
        <v>7.1</v>
      </c>
      <c r="E353" s="23" t="n">
        <f aca="false">D353*(1-1/life)+D352/life</f>
        <v>6.7125</v>
      </c>
      <c r="F353" s="23" t="n">
        <f aca="false">E353*(1-1/life)+E352/life</f>
        <v>7.6234375</v>
      </c>
      <c r="G353" s="23" t="n">
        <f aca="false">F353*(1-1/life)+F352/life</f>
        <v>8.9205078125</v>
      </c>
      <c r="H353" s="25" t="n">
        <f aca="false">H346*H354</f>
        <v>9.59877197292068</v>
      </c>
      <c r="I353" s="25" t="n">
        <f aca="false">I346*I354</f>
        <v>10.2516528671816</v>
      </c>
      <c r="J353" s="25" t="n">
        <f aca="false">J346*J354</f>
        <v>10.8667520392125</v>
      </c>
      <c r="K353" s="3" t="s">
        <v>652</v>
      </c>
    </row>
    <row r="354" customFormat="false" ht="17.15" hidden="false" customHeight="false" outlineLevel="0" collapsed="false">
      <c r="A354" s="3" t="s">
        <v>653</v>
      </c>
      <c r="B354" s="0" t="s">
        <v>44</v>
      </c>
      <c r="C354" s="20" t="n">
        <f aca="false">C353/C346</f>
        <v>0.171607796281084</v>
      </c>
      <c r="D354" s="20" t="n">
        <f aca="false">D353/D346</f>
        <v>0.120038074048276</v>
      </c>
      <c r="E354" s="20" t="n">
        <f aca="false">E353/E346</f>
        <v>0.0811522976576048</v>
      </c>
      <c r="F354" s="20" t="n">
        <f aca="false">F353/F346</f>
        <v>0.0805556541851688</v>
      </c>
      <c r="G354" s="20" t="n">
        <f aca="false">G353/G346</f>
        <v>0.0869530650718178</v>
      </c>
      <c r="H354" s="26" t="n">
        <f aca="false">$G354</f>
        <v>0.0869530650718178</v>
      </c>
      <c r="I354" s="26" t="n">
        <f aca="false">$G354</f>
        <v>0.0869530650718178</v>
      </c>
      <c r="J354" s="26" t="n">
        <f aca="false">$G354</f>
        <v>0.0869530650718178</v>
      </c>
    </row>
    <row r="355" customFormat="false" ht="17.15" hidden="false" customHeight="false" outlineLevel="0" collapsed="false">
      <c r="A355" s="3" t="s">
        <v>654</v>
      </c>
      <c r="B355" s="0" t="s">
        <v>333</v>
      </c>
      <c r="E355" s="21" t="n">
        <f aca="false">E341*(1-1/(E326*E327))</f>
        <v>6.92176251667711</v>
      </c>
      <c r="F355" s="21" t="n">
        <f aca="false">F341*(1-1/(F326*F327))</f>
        <v>8.45181126675252</v>
      </c>
      <c r="G355" s="21" t="n">
        <f aca="false">G341*(1-1/(G326*G327))</f>
        <v>7.19156686775275</v>
      </c>
      <c r="K355" s="7" t="s">
        <v>655</v>
      </c>
    </row>
    <row r="356" customFormat="false" ht="17.15" hidden="false" customHeight="false" outlineLevel="0" collapsed="false">
      <c r="A356" s="3" t="s">
        <v>656</v>
      </c>
      <c r="B356" s="0" t="s">
        <v>333</v>
      </c>
      <c r="C356" s="21" t="n">
        <f aca="false">a25_gp</f>
        <v>3.647</v>
      </c>
      <c r="D356" s="21" t="n">
        <f aca="false">a26_gp</f>
        <v>15.9001925</v>
      </c>
      <c r="E356" s="21" t="n">
        <f aca="false">$D356+ft_abf*(E339-E355-$D339)+ft_oth*((E346-E339)-($D346-$D339))+E355-(E353-$D353)</f>
        <v>30.9642281302886</v>
      </c>
      <c r="F356" s="21" t="n">
        <f aca="false">$D356+ft_abf*(F339-F355-$D339)+ft_oth*((F346-F339)-($D346-$D339))+F355-(F353-$D353)</f>
        <v>36.5326655259922</v>
      </c>
      <c r="G356" s="21" t="n">
        <f aca="false">$D356+ft_abf*(G339-G355-$D339)+ft_oth*((G346-G339)-($D346-$D339))+G355-(G353-$D353)</f>
        <v>38.4472716045435</v>
      </c>
      <c r="K356" s="3" t="s">
        <v>657</v>
      </c>
    </row>
    <row r="357" customFormat="false" ht="15" hidden="false" customHeight="false" outlineLevel="0" collapsed="false">
      <c r="A357" s="3" t="s">
        <v>512</v>
      </c>
      <c r="B357" s="0" t="s">
        <v>44</v>
      </c>
      <c r="C357" s="16" t="n">
        <f aca="false">C356/C346</f>
        <v>0.0907823662659</v>
      </c>
      <c r="D357" s="16" t="n">
        <f aca="false">D356/D346</f>
        <v>0.268820913337583</v>
      </c>
      <c r="E357" s="16" t="n">
        <f aca="false">E356/E346</f>
        <v>0.374349088710191</v>
      </c>
      <c r="F357" s="16" t="n">
        <f aca="false">F356/F346</f>
        <v>0.386034878697997</v>
      </c>
      <c r="G357" s="16" t="n">
        <f aca="false">G356/G346</f>
        <v>0.374766569340273</v>
      </c>
    </row>
    <row r="358" customFormat="false" ht="15" hidden="false" customHeight="false" outlineLevel="0" collapsed="false">
      <c r="A358" s="3" t="s">
        <v>514</v>
      </c>
      <c r="B358" s="0" t="s">
        <v>333</v>
      </c>
      <c r="C358" s="21" t="n">
        <f aca="false">a25_opx</f>
        <v>1.665</v>
      </c>
      <c r="D358" s="21" t="n">
        <f aca="false">a26_opx</f>
        <v>1.9</v>
      </c>
      <c r="E358" s="21" t="n">
        <f aca="false">D358*(1+phi*E348)</f>
        <v>2.35422274</v>
      </c>
      <c r="F358" s="21" t="n">
        <f aca="false">E358*(1+phi*F348)</f>
        <v>2.55779619417803</v>
      </c>
      <c r="G358" s="21" t="n">
        <f aca="false">F358*(1+phi*G348)</f>
        <v>2.68678797656836</v>
      </c>
    </row>
    <row r="359" customFormat="false" ht="15" hidden="false" customHeight="false" outlineLevel="0" collapsed="false">
      <c r="A359" s="3" t="s">
        <v>517</v>
      </c>
      <c r="B359" s="0" t="s">
        <v>333</v>
      </c>
      <c r="C359" s="21" t="n">
        <f aca="false">C356-C358</f>
        <v>1.982</v>
      </c>
      <c r="D359" s="21" t="n">
        <f aca="false">D356-D358</f>
        <v>14.0001925</v>
      </c>
      <c r="E359" s="21" t="n">
        <f aca="false">E356-E358</f>
        <v>28.6100053902886</v>
      </c>
      <c r="F359" s="21" t="n">
        <f aca="false">F356-F358</f>
        <v>33.9748693318142</v>
      </c>
      <c r="G359" s="21" t="n">
        <f aca="false">G356-G358</f>
        <v>35.7604836279752</v>
      </c>
    </row>
    <row r="360" customFormat="false" ht="15" hidden="false" customHeight="false" outlineLevel="0" collapsed="false">
      <c r="A360" s="3" t="s">
        <v>598</v>
      </c>
      <c r="B360" s="0" t="s">
        <v>44</v>
      </c>
      <c r="C360" s="16" t="n">
        <f aca="false">C359/C346</f>
        <v>0.0493366191222961</v>
      </c>
      <c r="D360" s="16" t="n">
        <f aca="false">D359/D346</f>
        <v>0.236698048451424</v>
      </c>
      <c r="E360" s="16" t="n">
        <f aca="false">E359/E346</f>
        <v>0.345887176673129</v>
      </c>
      <c r="F360" s="16" t="n">
        <f aca="false">F359/F346</f>
        <v>0.359007052249057</v>
      </c>
      <c r="G360" s="16" t="n">
        <f aca="false">G359/G346</f>
        <v>0.348576978492838</v>
      </c>
    </row>
    <row r="361" customFormat="false" ht="15" hidden="false" customHeight="false" outlineLevel="0" collapsed="false">
      <c r="A361" s="3" t="s">
        <v>520</v>
      </c>
      <c r="B361" s="0" t="s">
        <v>333</v>
      </c>
      <c r="C361" s="21" t="n">
        <f aca="false">a25_nonop</f>
        <v>0.364</v>
      </c>
      <c r="D361" s="21" t="n">
        <f aca="false">a26_nonop</f>
        <v>0.623</v>
      </c>
      <c r="E361" s="21" t="n">
        <f aca="false">nonop27</f>
        <v>0.6</v>
      </c>
      <c r="F361" s="21" t="n">
        <f aca="false">nonop28</f>
        <v>0.6</v>
      </c>
      <c r="G361" s="21" t="n">
        <f aca="false">nonop29</f>
        <v>0.6</v>
      </c>
    </row>
    <row r="362" customFormat="false" ht="15" hidden="false" customHeight="false" outlineLevel="0" collapsed="false">
      <c r="A362" s="3" t="s">
        <v>522</v>
      </c>
      <c r="B362" s="0" t="s">
        <v>333</v>
      </c>
      <c r="C362" s="21" t="n">
        <f aca="false">C359+C361</f>
        <v>2.346</v>
      </c>
      <c r="D362" s="21" t="n">
        <f aca="false">D359+D361</f>
        <v>14.6231925</v>
      </c>
      <c r="E362" s="21" t="n">
        <f aca="false">E359+E361</f>
        <v>29.2100053902886</v>
      </c>
      <c r="F362" s="21" t="n">
        <f aca="false">F359+F361</f>
        <v>34.5748693318142</v>
      </c>
      <c r="G362" s="21" t="n">
        <f aca="false">G359+G361</f>
        <v>36.3604836279752</v>
      </c>
    </row>
    <row r="363" customFormat="false" ht="15" hidden="false" customHeight="false" outlineLevel="0" collapsed="false">
      <c r="A363" s="3" t="s">
        <v>525</v>
      </c>
      <c r="B363" s="0" t="s">
        <v>333</v>
      </c>
      <c r="E363" s="21" t="n">
        <f aca="false">E362*tax</f>
        <v>6.1341011319606</v>
      </c>
      <c r="F363" s="21" t="n">
        <f aca="false">F362*tax</f>
        <v>7.26072255968098</v>
      </c>
      <c r="G363" s="21" t="n">
        <f aca="false">G362*tax</f>
        <v>7.63570156187479</v>
      </c>
    </row>
    <row r="364" customFormat="false" ht="15" hidden="false" customHeight="false" outlineLevel="0" collapsed="false">
      <c r="A364" s="3" t="s">
        <v>523</v>
      </c>
      <c r="B364" s="0" t="s">
        <v>333</v>
      </c>
      <c r="C364" s="21" t="n">
        <f aca="false">a25_ni</f>
        <v>1.947</v>
      </c>
      <c r="D364" s="21" t="n">
        <f aca="false">a26_ni</f>
        <v>11.509862075</v>
      </c>
      <c r="E364" s="21" t="n">
        <f aca="false">E362-E363</f>
        <v>23.075904258328</v>
      </c>
      <c r="F364" s="21" t="n">
        <f aca="false">F362-F363</f>
        <v>27.3141467721332</v>
      </c>
      <c r="G364" s="21" t="n">
        <f aca="false">G362-G363</f>
        <v>28.7247820661004</v>
      </c>
      <c r="H364" s="30" t="n">
        <f aca="false">H346*H368</f>
        <v>29.8715607794035</v>
      </c>
      <c r="I364" s="30" t="n">
        <f aca="false">I346*I368</f>
        <v>30.795496458977</v>
      </c>
      <c r="J364" s="30" t="n">
        <f aca="false">J346*J368</f>
        <v>31.4689136526672</v>
      </c>
    </row>
    <row r="365" customFormat="false" ht="15" hidden="false" customHeight="false" outlineLevel="0" collapsed="false">
      <c r="A365" s="3" t="s">
        <v>658</v>
      </c>
      <c r="B365" s="3" t="s">
        <v>400</v>
      </c>
      <c r="C365" s="29" t="n">
        <f aca="false">a25_sh</f>
        <v>0.646843853820598</v>
      </c>
      <c r="D365" s="29" t="n">
        <f aca="false">a26_sh</f>
        <v>0.645863325123153</v>
      </c>
      <c r="E365" s="29" t="n">
        <f aca="false">a26_shend*(1+sh_g)</f>
        <v>0.64617</v>
      </c>
      <c r="F365" s="29" t="n">
        <f aca="false">E365*(1+sh_g)</f>
        <v>0.64617</v>
      </c>
      <c r="G365" s="29" t="n">
        <f aca="false">F365*(1+sh_g)</f>
        <v>0.64617</v>
      </c>
      <c r="H365" s="31" t="n">
        <f aca="false">G365*(1+sh_g)</f>
        <v>0.64617</v>
      </c>
      <c r="I365" s="31" t="n">
        <f aca="false">H365*(1+sh_g)</f>
        <v>0.64617</v>
      </c>
      <c r="J365" s="31" t="n">
        <f aca="false">I365*(1+sh_g)</f>
        <v>0.64617</v>
      </c>
    </row>
    <row r="366" customFormat="false" ht="17.15" hidden="false" customHeight="false" outlineLevel="0" collapsed="false">
      <c r="A366" s="0" t="s">
        <v>528</v>
      </c>
      <c r="B366" s="0" t="s">
        <v>406</v>
      </c>
      <c r="C366" s="18" t="n">
        <f aca="false">C364/C365</f>
        <v>3.01</v>
      </c>
      <c r="D366" s="18" t="n">
        <f aca="false">D364/D365</f>
        <v>17.820894339844</v>
      </c>
      <c r="E366" s="18" t="n">
        <f aca="false">E364/E365</f>
        <v>35.7118161758175</v>
      </c>
      <c r="F366" s="18" t="n">
        <f aca="false">F364/F365</f>
        <v>42.2708370430896</v>
      </c>
      <c r="G366" s="18" t="n">
        <f aca="false">G364/G365</f>
        <v>44.4539085164901</v>
      </c>
      <c r="H366" s="28" t="n">
        <f aca="false">H364/H365</f>
        <v>46.2286407282967</v>
      </c>
      <c r="I366" s="28" t="n">
        <f aca="false">I364/I365</f>
        <v>47.6585054381618</v>
      </c>
      <c r="J366" s="28" t="n">
        <f aca="false">J364/J365</f>
        <v>48.7006726599304</v>
      </c>
    </row>
    <row r="367" customFormat="false" ht="17.15" hidden="false" customHeight="false" outlineLevel="0" collapsed="false">
      <c r="A367" s="0" t="s">
        <v>659</v>
      </c>
      <c r="B367" s="0" t="s">
        <v>44</v>
      </c>
      <c r="D367" s="20" t="n">
        <f aca="false">D366/C366-1</f>
        <v>4.92056290360265</v>
      </c>
      <c r="E367" s="20" t="n">
        <f aca="false">E366/D366-1</f>
        <v>1.00392951637522</v>
      </c>
      <c r="F367" s="20" t="n">
        <f aca="false">F366/E366-1</f>
        <v>0.183665284201189</v>
      </c>
      <c r="G367" s="20" t="n">
        <f aca="false">G366/F366-1</f>
        <v>0.0516448602892616</v>
      </c>
      <c r="H367" s="26" t="n">
        <f aca="false">H366/G366-1</f>
        <v>0.039922973502954</v>
      </c>
      <c r="I367" s="26" t="n">
        <f aca="false">I366/H366-1</f>
        <v>0.0309302780124776</v>
      </c>
      <c r="J367" s="26" t="n">
        <f aca="false">J366/I366-1</f>
        <v>0.0218673920255605</v>
      </c>
    </row>
    <row r="368" customFormat="false" ht="17.15" hidden="false" customHeight="false" outlineLevel="0" collapsed="false">
      <c r="A368" s="3" t="s">
        <v>660</v>
      </c>
      <c r="B368" s="0" t="s">
        <v>44</v>
      </c>
      <c r="C368" s="16" t="n">
        <f aca="false">C364/C346</f>
        <v>0.0484653872003585</v>
      </c>
      <c r="D368" s="16" t="n">
        <f aca="false">D364/D346</f>
        <v>0.194594602259759</v>
      </c>
      <c r="E368" s="16" t="n">
        <f aca="false">E364/E346</f>
        <v>0.278981400534856</v>
      </c>
      <c r="F368" s="16" t="n">
        <f aca="false">F364/F346</f>
        <v>0.288624254050605</v>
      </c>
      <c r="G368" s="16" t="n">
        <f aca="false">G364/G346</f>
        <v>0.279996150069782</v>
      </c>
      <c r="H368" s="27" t="n">
        <f aca="false">$G368+(fade_mA-$G368)*1/3</f>
        <v>0.270599590820147</v>
      </c>
      <c r="I368" s="27" t="n">
        <f aca="false">$G368+(fade_mA-$G368)*2/3</f>
        <v>0.261203031570512</v>
      </c>
      <c r="J368" s="27" t="n">
        <f aca="false">$G368+(fade_mA-$G368)*3/3</f>
        <v>0.251806472320876</v>
      </c>
    </row>
    <row r="369" customFormat="false" ht="17.15" hidden="false" customHeight="false" outlineLevel="0" collapsed="false">
      <c r="A369" s="3" t="s">
        <v>661</v>
      </c>
      <c r="B369" s="0" t="s">
        <v>44</v>
      </c>
      <c r="C369" s="20" t="n">
        <f aca="false">C352/C346</f>
        <v>0.0602892489980833</v>
      </c>
      <c r="D369" s="20" t="n">
        <f aca="false">D352/D346</f>
        <v>0.0676270839708595</v>
      </c>
      <c r="E369" s="20" t="n">
        <f aca="false">E352/E346</f>
        <v>0.169256188783086</v>
      </c>
      <c r="F369" s="20" t="n">
        <f aca="false">F352/F346</f>
        <v>0.190203143310749</v>
      </c>
      <c r="G369" s="20" t="n">
        <f aca="false">G352/G346</f>
        <v>0.116970558492161</v>
      </c>
      <c r="H369" s="26" t="n">
        <f aca="false">$G369+($G354*(1+tp_g)^(life/2)-$G369)*1/3</f>
        <v>0.111887968158942</v>
      </c>
      <c r="I369" s="26" t="n">
        <f aca="false">$G369+($G354*(1+tp_g)^(life/2)-$G369)*2/3</f>
        <v>0.106805377825723</v>
      </c>
      <c r="J369" s="26" t="n">
        <f aca="false">$G369+($G354*(1+tp_g)^(life/2)-$G369)*3/3</f>
        <v>0.101722787492503</v>
      </c>
      <c r="K369" s="7" t="s">
        <v>662</v>
      </c>
    </row>
    <row r="370" customFormat="false" ht="15" hidden="false" customHeight="false" outlineLevel="0" collapsed="false">
      <c r="A370" s="3" t="s">
        <v>663</v>
      </c>
      <c r="B370" s="0" t="s">
        <v>333</v>
      </c>
      <c r="E370" s="21" t="n">
        <f aca="false">E364+E353-E352</f>
        <v>15.788404258328</v>
      </c>
      <c r="F370" s="21" t="n">
        <f aca="false">F364+F353-F352</f>
        <v>16.9375842721332</v>
      </c>
      <c r="G370" s="21" t="n">
        <f aca="false">G364+G353-G352</f>
        <v>25.6452898786004</v>
      </c>
      <c r="H370" s="30" t="n">
        <f aca="false">H364+H353-H352</f>
        <v>27.1189901977627</v>
      </c>
      <c r="I370" s="30" t="n">
        <f aca="false">I364+I353-I352</f>
        <v>28.4549346996456</v>
      </c>
      <c r="J370" s="30" t="n">
        <f aca="false">J364+J353-J352</f>
        <v>29.6231027994095</v>
      </c>
      <c r="K370" s="3" t="s">
        <v>664</v>
      </c>
    </row>
    <row r="371" customFormat="false" ht="15" hidden="false" customHeight="false" outlineLevel="0" collapsed="false">
      <c r="A371" s="3" t="s">
        <v>665</v>
      </c>
      <c r="B371" s="0" t="s">
        <v>406</v>
      </c>
      <c r="E371" s="18" t="n">
        <f aca="false">E370/E365</f>
        <v>24.4338243160901</v>
      </c>
      <c r="F371" s="18" t="n">
        <f aca="false">F370/F365</f>
        <v>26.2122727333878</v>
      </c>
      <c r="G371" s="18" t="n">
        <f aca="false">G370/G365</f>
        <v>39.6881468941616</v>
      </c>
      <c r="H371" s="28" t="n">
        <f aca="false">H370/H365</f>
        <v>41.9688165618377</v>
      </c>
      <c r="I371" s="28" t="n">
        <f aca="false">I370/I365</f>
        <v>44.0362980324769</v>
      </c>
      <c r="J371" s="28" t="n">
        <f aca="false">J370/J365</f>
        <v>45.8441320386424</v>
      </c>
    </row>
    <row r="374" customFormat="false" ht="17.15" hidden="false" customHeight="false" outlineLevel="0" collapsed="false">
      <c r="A374" s="1" t="s">
        <v>1013</v>
      </c>
    </row>
    <row r="375" customFormat="false" ht="17.15" hidden="false" customHeight="false" outlineLevel="0" collapsed="false">
      <c r="A375" s="4" t="s">
        <v>21</v>
      </c>
      <c r="B375" s="4" t="s">
        <v>22</v>
      </c>
      <c r="C375" s="13" t="s">
        <v>498</v>
      </c>
      <c r="D375" s="13" t="s">
        <v>585</v>
      </c>
      <c r="E375" s="13" t="s">
        <v>586</v>
      </c>
      <c r="F375" s="13" t="s">
        <v>587</v>
      </c>
      <c r="G375" s="13" t="s">
        <v>588</v>
      </c>
      <c r="H375" s="13" t="s">
        <v>589</v>
      </c>
      <c r="I375" s="13" t="s">
        <v>590</v>
      </c>
      <c r="J375" s="13" t="s">
        <v>591</v>
      </c>
      <c r="K375" s="4" t="s">
        <v>553</v>
      </c>
    </row>
    <row r="376" customFormat="false" ht="17.15" hidden="false" customHeight="false" outlineLevel="0" collapsed="false">
      <c r="A376" s="5" t="s">
        <v>609</v>
      </c>
    </row>
    <row r="377" customFormat="false" ht="17.15" hidden="false" customHeight="false" outlineLevel="0" collapsed="false">
      <c r="A377" s="0" t="s">
        <v>610</v>
      </c>
      <c r="B377" s="3" t="s">
        <v>32</v>
      </c>
      <c r="D377" s="21" t="n">
        <f aca="false">(u_bw_26+u_rb_26+u_ru_26+u_hp_26)*1</f>
        <v>7.6</v>
      </c>
      <c r="E377" s="21" t="n">
        <f aca="false">(u_bw_27+u_rb_27+u_ru_27+u_hp_27)*1*1</f>
        <v>9.7</v>
      </c>
      <c r="F377" s="21" t="n">
        <f aca="false">(u_bw_28+u_rb_28+u_ru_28+u_hp_28)*um28_A*1</f>
        <v>9.5</v>
      </c>
      <c r="G377" s="21" t="n">
        <f aca="false">(u_bw_28*(1+g29_bw)+u_rb_28*(1+g29_rb)+u_ru_28*(1+g29_ru)+u_hp_28*(1+g29_hp))*um29_A*1</f>
        <v>10.6</v>
      </c>
      <c r="K377" s="7" t="s">
        <v>611</v>
      </c>
    </row>
    <row r="378" customFormat="false" ht="17.15" hidden="false" customHeight="false" outlineLevel="0" collapsed="false">
      <c r="A378" s="3" t="s">
        <v>612</v>
      </c>
      <c r="B378" s="3" t="s">
        <v>32</v>
      </c>
      <c r="D378" s="21" t="n">
        <f aca="false">(u_amd_26+u_tpu_26+u_trn_26+u_oth_26)*1</f>
        <v>7.6</v>
      </c>
      <c r="E378" s="21" t="n">
        <f aca="false">(u_amd_27+u_tpu_27+u_trn_27+u_oth_27)*1*1</f>
        <v>14</v>
      </c>
      <c r="F378" s="21" t="n">
        <f aca="false">(u_amd_28+u_tpu_28+u_trn_28+u_oth_28)*um28_A*1</f>
        <v>17</v>
      </c>
      <c r="G378" s="21" t="n">
        <f aca="false">(u_amd_28*(1+g29_amd)+u_tpu_28*(1+g29_tpu)+u_trn_28*(1+g29_trn)+u_oth_28*(1+g29_oth))*um29_A*1</f>
        <v>19.55</v>
      </c>
      <c r="K378" s="7" t="s">
        <v>613</v>
      </c>
    </row>
    <row r="379" customFormat="false" ht="17.15" hidden="false" customHeight="false" outlineLevel="0" collapsed="false">
      <c r="A379" s="3" t="s">
        <v>614</v>
      </c>
      <c r="B379" s="0" t="s">
        <v>154</v>
      </c>
      <c r="D379" s="19" t="n">
        <f aca="false">1</f>
        <v>1</v>
      </c>
      <c r="E379" s="19" t="n">
        <f aca="false">D379*(1+g_asp)</f>
        <v>1.18</v>
      </c>
      <c r="F379" s="19" t="n">
        <f aca="false">E379*(1+g_asp)</f>
        <v>1.3924</v>
      </c>
      <c r="G379" s="19" t="n">
        <f aca="false">F379*(1+g_asp)</f>
        <v>1.643032</v>
      </c>
      <c r="K379" s="7" t="s">
        <v>615</v>
      </c>
    </row>
    <row r="380" customFormat="false" ht="17.15" hidden="false" customHeight="false" outlineLevel="0" collapsed="false">
      <c r="A380" s="0" t="s">
        <v>616</v>
      </c>
      <c r="B380" s="0" t="s">
        <v>154</v>
      </c>
      <c r="D380" s="18" t="n">
        <f aca="false">1</f>
        <v>1</v>
      </c>
      <c r="E380" s="18" t="n">
        <f aca="false">ibpp_27</f>
        <v>1</v>
      </c>
      <c r="F380" s="18" t="n">
        <f aca="false">ibpp_28</f>
        <v>0.95</v>
      </c>
      <c r="G380" s="18" t="n">
        <f aca="false">ibpp_29</f>
        <v>0.9</v>
      </c>
      <c r="K380" s="7" t="s">
        <v>617</v>
      </c>
    </row>
    <row r="381" customFormat="false" ht="17.15" hidden="false" customHeight="false" outlineLevel="0" collapsed="false">
      <c r="A381" s="3" t="s">
        <v>618</v>
      </c>
      <c r="B381" s="0" t="s">
        <v>154</v>
      </c>
      <c r="D381" s="18" t="n">
        <f aca="false">1</f>
        <v>1</v>
      </c>
      <c r="E381" s="18" t="n">
        <f aca="false">1+carry_lo</f>
        <v>1.08</v>
      </c>
      <c r="F381" s="18" t="n">
        <f aca="false">1+carry_lo</f>
        <v>1.08</v>
      </c>
      <c r="G381" s="18" t="n">
        <f aca="false">1+carry_lo</f>
        <v>1.08</v>
      </c>
      <c r="K381" s="7" t="s">
        <v>619</v>
      </c>
    </row>
    <row r="382" customFormat="false" ht="17.15" hidden="false" customHeight="false" outlineLevel="0" collapsed="false">
      <c r="A382" s="3" t="s">
        <v>620</v>
      </c>
      <c r="B382" s="0" t="s">
        <v>621</v>
      </c>
      <c r="D382" s="23" t="n">
        <f aca="false">v26*D379*D380</f>
        <v>215.308596</v>
      </c>
      <c r="E382" s="23" t="n">
        <f aca="false">v26*E379*E380</f>
        <v>254.06414328</v>
      </c>
      <c r="F382" s="23" t="n">
        <f aca="false">v26*F379*F380</f>
        <v>284.80590461688</v>
      </c>
      <c r="G382" s="23" t="n">
        <f aca="false">v26*G379*G380</f>
        <v>318.383021792765</v>
      </c>
      <c r="K382" s="7" t="s">
        <v>622</v>
      </c>
    </row>
    <row r="383" customFormat="false" ht="17.15" hidden="false" customHeight="false" outlineLevel="0" collapsed="false">
      <c r="A383" s="3" t="s">
        <v>623</v>
      </c>
      <c r="B383" s="0" t="s">
        <v>44</v>
      </c>
      <c r="D383" s="20" t="n">
        <f aca="false">sh_nv_26</f>
        <v>0.02</v>
      </c>
      <c r="E383" s="20" t="n">
        <f aca="false">sh_nv_27</f>
        <v>0.03</v>
      </c>
      <c r="F383" s="20" t="n">
        <f aca="false">sh_nv_28</f>
        <v>0.04</v>
      </c>
      <c r="G383" s="20" t="n">
        <f aca="false">sh_nv_29</f>
        <v>0.04</v>
      </c>
    </row>
    <row r="384" customFormat="false" ht="17.15" hidden="false" customHeight="false" outlineLevel="0" collapsed="false">
      <c r="A384" s="3" t="s">
        <v>624</v>
      </c>
      <c r="B384" s="0" t="s">
        <v>44</v>
      </c>
      <c r="D384" s="20" t="n">
        <f aca="false">sh_ot_26</f>
        <v>0.05</v>
      </c>
      <c r="E384" s="20" t="n">
        <f aca="false">sh_ot_27</f>
        <v>0.06</v>
      </c>
      <c r="F384" s="20" t="n">
        <f aca="false">sh_ot_28</f>
        <v>0.07</v>
      </c>
      <c r="G384" s="20" t="n">
        <f aca="false">sh_ot_29</f>
        <v>0.07</v>
      </c>
    </row>
    <row r="385" customFormat="false" ht="17.15" hidden="false" customHeight="false" outlineLevel="0" collapsed="false">
      <c r="A385" s="3" t="s">
        <v>625</v>
      </c>
      <c r="B385" s="0" t="s">
        <v>575</v>
      </c>
      <c r="D385" s="22" t="n">
        <f aca="false">(D377*D382*D383+D378*D382*v_ot*D384)*D381</f>
        <v>98.180719776</v>
      </c>
      <c r="E385" s="22" t="n">
        <f aca="false">(E377*E382*E383+E378*E382*v_ot*E384)*E381</f>
        <v>264.236871576931</v>
      </c>
      <c r="F385" s="22" t="n">
        <f aca="false">(F377*F382*F383+F378*F382*v_ot*F384)*F381</f>
        <v>409.710382145659</v>
      </c>
      <c r="G385" s="22" t="n">
        <f aca="false">(G377*G382*G383+G378*G382*v_ot*G384)*G381</f>
        <v>522.244944178759</v>
      </c>
    </row>
    <row r="386" customFormat="false" ht="15" hidden="false" customHeight="false" outlineLevel="0" collapsed="false">
      <c r="A386" s="3" t="s">
        <v>626</v>
      </c>
      <c r="B386" s="0" t="s">
        <v>333</v>
      </c>
      <c r="D386" s="21" t="n">
        <f aca="false">D385*fx/1000</f>
        <v>3.141783032832</v>
      </c>
      <c r="E386" s="21" t="n">
        <f aca="false">E385*fx/1000</f>
        <v>8.4555798904618</v>
      </c>
      <c r="F386" s="21" t="n">
        <f aca="false">F385*fx/1000</f>
        <v>13.1107322286611</v>
      </c>
      <c r="G386" s="21" t="n">
        <f aca="false">G385*fx/1000</f>
        <v>16.7118382137203</v>
      </c>
    </row>
    <row r="387" customFormat="false" ht="17.15" hidden="false" customHeight="false" outlineLevel="0" collapsed="false">
      <c r="A387" s="5" t="s">
        <v>627</v>
      </c>
    </row>
    <row r="388" customFormat="false" ht="17.15" hidden="false" customHeight="false" outlineLevel="0" collapsed="false">
      <c r="A388" s="0" t="s">
        <v>628</v>
      </c>
      <c r="B388" s="0" t="s">
        <v>333</v>
      </c>
      <c r="D388" s="21" t="n">
        <f aca="false">a26_abf*ai_abf</f>
        <v>22.2987583</v>
      </c>
      <c r="K388" s="3" t="s">
        <v>629</v>
      </c>
    </row>
    <row r="389" customFormat="false" ht="17.15" hidden="false" customHeight="false" outlineLevel="0" collapsed="false">
      <c r="A389" s="3" t="s">
        <v>630</v>
      </c>
      <c r="B389" s="0" t="s">
        <v>333</v>
      </c>
      <c r="D389" s="21" t="n">
        <f aca="false">D388-D386</f>
        <v>19.156975267168</v>
      </c>
      <c r="E389" s="21" t="n">
        <f aca="false">$D389*(swm_27/swm_26)^el_o*1*1*E380*E381</f>
        <v>28.9387148643842</v>
      </c>
      <c r="F389" s="21" t="n">
        <f aca="false">$D389*(swm_28/swm_26)^el_o*um28_A*1*F380*F381</f>
        <v>29.5742477620004</v>
      </c>
      <c r="G389" s="21" t="n">
        <f aca="false">$D389*(swm_29/swm_26)^el_o*um29_A*1*G380*G381</f>
        <v>29.8895150893176</v>
      </c>
      <c r="K389" s="7" t="s">
        <v>631</v>
      </c>
    </row>
    <row r="390" customFormat="false" ht="17.15" hidden="false" customHeight="false" outlineLevel="0" collapsed="false">
      <c r="A390" s="3" t="s">
        <v>632</v>
      </c>
      <c r="B390" s="0" t="s">
        <v>333</v>
      </c>
      <c r="D390" s="21" t="n">
        <f aca="false">a26_abf-D388</f>
        <v>12.0070237</v>
      </c>
      <c r="E390" s="21" t="n">
        <f aca="false">D390*(1+g_nai)</f>
        <v>12.367234411</v>
      </c>
      <c r="F390" s="21" t="n">
        <f aca="false">E390*(1+g_nai)</f>
        <v>12.73825144333</v>
      </c>
      <c r="G390" s="21" t="n">
        <f aca="false">F390*(1+g_nai)</f>
        <v>13.1203989866299</v>
      </c>
    </row>
    <row r="391" customFormat="false" ht="17.15" hidden="false" customHeight="false" outlineLevel="0" collapsed="false">
      <c r="A391" s="0" t="s">
        <v>633</v>
      </c>
      <c r="B391" s="0" t="s">
        <v>333</v>
      </c>
      <c r="D391" s="21" t="n">
        <f aca="false">D386+D389+D390</f>
        <v>34.305782</v>
      </c>
      <c r="E391" s="21" t="n">
        <f aca="false">E386+E389+E390</f>
        <v>49.761529165846</v>
      </c>
      <c r="F391" s="21" t="n">
        <f aca="false">F386+F389+F390</f>
        <v>55.4232314339915</v>
      </c>
      <c r="G391" s="21" t="n">
        <f aca="false">G386+G389+G390</f>
        <v>59.7217522896678</v>
      </c>
    </row>
    <row r="392" customFormat="false" ht="17.15" hidden="false" customHeight="false" outlineLevel="0" collapsed="false">
      <c r="A392" s="0" t="s">
        <v>634</v>
      </c>
      <c r="B392" s="0" t="s">
        <v>333</v>
      </c>
      <c r="D392" s="21" t="n">
        <f aca="false">a26_abf</f>
        <v>34.305782</v>
      </c>
      <c r="E392" s="21" t="n">
        <f aca="false">$D391*cap_27*(1+g_mix)^1*E380*E381</f>
        <v>46.6833081456</v>
      </c>
      <c r="F392" s="21" t="n">
        <f aca="false">$D391*cap_28*(1+g_mix)^2*F380*F381</f>
        <v>52.3874248596405</v>
      </c>
      <c r="G392" s="21" t="n">
        <f aca="false">$D391*cap_29*(1+g_mix)^3*G380*G381</f>
        <v>61.7620166766288</v>
      </c>
      <c r="K392" s="7" t="s">
        <v>635</v>
      </c>
    </row>
    <row r="393" customFormat="false" ht="17.15" hidden="false" customHeight="false" outlineLevel="0" collapsed="false">
      <c r="A393" s="0" t="s">
        <v>636</v>
      </c>
      <c r="B393" s="0" t="s">
        <v>333</v>
      </c>
      <c r="D393" s="21" t="n">
        <f aca="false">a26_abf</f>
        <v>34.305782</v>
      </c>
      <c r="E393" s="21" t="n">
        <f aca="false">MIN(E391,E392)</f>
        <v>46.6833081456</v>
      </c>
      <c r="F393" s="21" t="n">
        <f aca="false">MIN(F391,F392)</f>
        <v>52.3874248596405</v>
      </c>
      <c r="G393" s="21" t="n">
        <f aca="false">MIN(G391,G392)</f>
        <v>59.7217522896678</v>
      </c>
    </row>
    <row r="394" customFormat="false" ht="17.15" hidden="false" customHeight="false" outlineLevel="0" collapsed="false">
      <c r="A394" s="3" t="s">
        <v>637</v>
      </c>
      <c r="B394" s="0" t="s">
        <v>44</v>
      </c>
      <c r="D394" s="20" t="n">
        <f aca="false">D393/D391</f>
        <v>1</v>
      </c>
      <c r="E394" s="20" t="n">
        <f aca="false">E393/E391</f>
        <v>0.938140546083565</v>
      </c>
      <c r="F394" s="20" t="n">
        <f aca="false">F393/F391</f>
        <v>0.945225016733883</v>
      </c>
      <c r="G394" s="20" t="n">
        <f aca="false">G393/G391</f>
        <v>1</v>
      </c>
    </row>
    <row r="395" customFormat="false" ht="17.15" hidden="false" customHeight="false" outlineLevel="0" collapsed="false">
      <c r="A395" s="0" t="s">
        <v>638</v>
      </c>
      <c r="B395" s="0" t="s">
        <v>333</v>
      </c>
      <c r="D395" s="21" t="n">
        <f aca="false">(D386+D389)*D394</f>
        <v>22.2987583</v>
      </c>
      <c r="E395" s="21" t="n">
        <f aca="false">(E386+E389)*E394</f>
        <v>35.081104101721</v>
      </c>
      <c r="F395" s="21" t="n">
        <f aca="false">(F386+F389)*F394</f>
        <v>40.3469109259585</v>
      </c>
      <c r="G395" s="21" t="n">
        <f aca="false">(G386+G389)*G394</f>
        <v>46.6013533030379</v>
      </c>
    </row>
    <row r="396" customFormat="false" ht="17.15" hidden="false" customHeight="false" outlineLevel="0" collapsed="false">
      <c r="A396" s="3" t="s">
        <v>639</v>
      </c>
      <c r="B396" s="0" t="s">
        <v>44</v>
      </c>
      <c r="D396" s="20" t="n">
        <f aca="false">D386/(D386+D389)</f>
        <v>0.140894976776891</v>
      </c>
      <c r="E396" s="20" t="n">
        <f aca="false">E386/(E386+E389)</f>
        <v>0.226119517586731</v>
      </c>
      <c r="F396" s="20" t="n">
        <f aca="false">F386/(F386+F389)</f>
        <v>0.307150951728908</v>
      </c>
      <c r="G396" s="20" t="n">
        <f aca="false">G386/(G386+G389)</f>
        <v>0.358612723219583</v>
      </c>
    </row>
    <row r="397" customFormat="false" ht="17.15" hidden="false" customHeight="false" outlineLevel="0" collapsed="false">
      <c r="A397" s="5" t="s">
        <v>640</v>
      </c>
    </row>
    <row r="398" customFormat="false" ht="17.15" hidden="false" customHeight="false" outlineLevel="0" collapsed="false">
      <c r="A398" s="0" t="s">
        <v>641</v>
      </c>
      <c r="B398" s="0" t="s">
        <v>333</v>
      </c>
      <c r="D398" s="21" t="n">
        <f aca="false">a26_bt</f>
        <v>18.927328</v>
      </c>
      <c r="E398" s="21" t="n">
        <f aca="false">D398*(1+g_bt27_A)</f>
        <v>24.6055264</v>
      </c>
      <c r="F398" s="21" t="n">
        <f aca="false">E398*(1+g_bt28_A)</f>
        <v>27.06607904</v>
      </c>
      <c r="G398" s="21" t="n">
        <f aca="false">F398*(1+g_bt29_A)</f>
        <v>28.419382992</v>
      </c>
      <c r="K398" s="7" t="s">
        <v>642</v>
      </c>
    </row>
    <row r="399" customFormat="false" ht="17.15" hidden="false" customHeight="false" outlineLevel="0" collapsed="false">
      <c r="A399" s="0" t="s">
        <v>540</v>
      </c>
      <c r="B399" s="0" t="s">
        <v>333</v>
      </c>
      <c r="D399" s="21" t="n">
        <f aca="false">a26_pcb</f>
        <v>5.91479</v>
      </c>
      <c r="E399" s="21" t="n">
        <f aca="false">D399*(1+g_pcb)</f>
        <v>5.91479</v>
      </c>
      <c r="F399" s="21" t="n">
        <f aca="false">E399*(1+g_pcb)</f>
        <v>5.91479</v>
      </c>
      <c r="G399" s="21" t="n">
        <f aca="false">F399*(1+g_pcb)</f>
        <v>5.91479</v>
      </c>
    </row>
    <row r="400" customFormat="false" ht="17.15" hidden="false" customHeight="false" outlineLevel="0" collapsed="false">
      <c r="A400" s="3" t="s">
        <v>505</v>
      </c>
      <c r="B400" s="0" t="s">
        <v>333</v>
      </c>
      <c r="C400" s="23" t="n">
        <f aca="false">a25_rev</f>
        <v>40.173</v>
      </c>
      <c r="D400" s="23" t="n">
        <f aca="false">D393+D398+D399</f>
        <v>59.1479</v>
      </c>
      <c r="E400" s="23" t="n">
        <f aca="false">E393+E398+E399</f>
        <v>77.2036245456</v>
      </c>
      <c r="F400" s="23" t="n">
        <f aca="false">F393+F398+F399</f>
        <v>85.3682938996405</v>
      </c>
      <c r="G400" s="23" t="n">
        <f aca="false">G393+G398+G399</f>
        <v>94.0559252816678</v>
      </c>
      <c r="H400" s="25" t="n">
        <f aca="false">G400*(1+H402)</f>
        <v>102.318204526777</v>
      </c>
      <c r="I400" s="25" t="n">
        <f aca="false">H400*(1+I402)</f>
        <v>109.881787455726</v>
      </c>
      <c r="J400" s="25" t="n">
        <f aca="false">I400*(1+J402)</f>
        <v>116.47469470307</v>
      </c>
      <c r="K400" s="7" t="s">
        <v>643</v>
      </c>
    </row>
    <row r="401" customFormat="false" ht="17.15" hidden="false" customHeight="false" outlineLevel="0" collapsed="false">
      <c r="A401" s="3" t="s">
        <v>644</v>
      </c>
      <c r="B401" s="0" t="s">
        <v>333</v>
      </c>
      <c r="D401" s="19" t="n">
        <f aca="false">D393+D398+D399-a26_rev</f>
        <v>0</v>
      </c>
      <c r="E401" s="19" t="n">
        <f aca="false">E393+E398+E399-E400</f>
        <v>0</v>
      </c>
      <c r="F401" s="19" t="n">
        <f aca="false">F393+F398+F399-F400</f>
        <v>0</v>
      </c>
      <c r="G401" s="19" t="n">
        <f aca="false">G393+G398+G399-G400</f>
        <v>0</v>
      </c>
    </row>
    <row r="402" customFormat="false" ht="15" hidden="false" customHeight="false" outlineLevel="0" collapsed="false">
      <c r="A402" s="3" t="s">
        <v>645</v>
      </c>
      <c r="B402" s="0" t="s">
        <v>44</v>
      </c>
      <c r="D402" s="20" t="n">
        <f aca="false">D400/C400-1</f>
        <v>0.472329674159261</v>
      </c>
      <c r="E402" s="20" t="n">
        <f aca="false">E400/D400-1</f>
        <v>0.305264</v>
      </c>
      <c r="F402" s="20" t="n">
        <f aca="false">F400/E400-1</f>
        <v>0.105755000520968</v>
      </c>
      <c r="G402" s="20" t="n">
        <f aca="false">G400/F400-1</f>
        <v>0.101766487125073</v>
      </c>
      <c r="H402" s="26" t="n">
        <f aca="false">$G402+(fade_gA-$G402)*1/3</f>
        <v>0.0878443247500489</v>
      </c>
      <c r="I402" s="26" t="n">
        <f aca="false">$G402+(fade_gA-$G402)*2/3</f>
        <v>0.0739221623750245</v>
      </c>
      <c r="J402" s="26" t="n">
        <f aca="false">$G402+(fade_gA-$G402)*3/3</f>
        <v>0.06</v>
      </c>
    </row>
    <row r="403" customFormat="false" ht="17.15" hidden="false" customHeight="false" outlineLevel="0" collapsed="false">
      <c r="A403" s="0" t="s">
        <v>646</v>
      </c>
      <c r="B403" s="0" t="s">
        <v>44</v>
      </c>
      <c r="D403" s="20" t="n">
        <f aca="false">D393/D400</f>
        <v>0.58</v>
      </c>
      <c r="E403" s="20" t="n">
        <f aca="false">E393/E400</f>
        <v>0.6046776744015</v>
      </c>
      <c r="F403" s="20" t="n">
        <f aca="false">F393/F400</f>
        <v>0.613663720645835</v>
      </c>
      <c r="G403" s="20" t="n">
        <f aca="false">G393/G400</f>
        <v>0.634960020974968</v>
      </c>
    </row>
    <row r="404" customFormat="false" ht="17.15" hidden="false" customHeight="false" outlineLevel="0" collapsed="false">
      <c r="A404" s="0" t="s">
        <v>647</v>
      </c>
      <c r="B404" s="0" t="s">
        <v>44</v>
      </c>
      <c r="D404" s="20" t="n">
        <f aca="false">D395/D400</f>
        <v>0.377</v>
      </c>
      <c r="E404" s="20" t="n">
        <f aca="false">E395/E400</f>
        <v>0.454397112936071</v>
      </c>
      <c r="F404" s="20" t="n">
        <f aca="false">F395/F400</f>
        <v>0.47262173206121</v>
      </c>
      <c r="G404" s="20" t="n">
        <f aca="false">G395/G400</f>
        <v>0.495464301302459</v>
      </c>
      <c r="K404" s="3" t="s">
        <v>648</v>
      </c>
    </row>
    <row r="405" customFormat="false" ht="17.15" hidden="false" customHeight="false" outlineLevel="0" collapsed="false">
      <c r="A405" s="5" t="s">
        <v>649</v>
      </c>
    </row>
    <row r="406" customFormat="false" ht="15" hidden="false" customHeight="false" outlineLevel="0" collapsed="false">
      <c r="A406" s="3" t="s">
        <v>650</v>
      </c>
      <c r="B406" s="0" t="s">
        <v>333</v>
      </c>
      <c r="C406" s="23" t="n">
        <f aca="false">a25_cx</f>
        <v>2.422</v>
      </c>
      <c r="D406" s="23" t="n">
        <f aca="false">capex26</f>
        <v>4</v>
      </c>
      <c r="E406" s="23" t="n">
        <f aca="false">cx27</f>
        <v>14</v>
      </c>
      <c r="F406" s="23" t="n">
        <f aca="false">cx28</f>
        <v>18</v>
      </c>
      <c r="G406" s="23" t="n">
        <f aca="false">cx29</f>
        <v>12</v>
      </c>
      <c r="H406" s="25" t="n">
        <f aca="false">H400*H423</f>
        <v>12.4869053620199</v>
      </c>
      <c r="I406" s="25" t="n">
        <f aca="false">I400*I423</f>
        <v>12.8008072607497</v>
      </c>
      <c r="J406" s="25" t="n">
        <f aca="false">J400*J423</f>
        <v>12.9231491205715</v>
      </c>
    </row>
    <row r="407" customFormat="false" ht="17.15" hidden="false" customHeight="false" outlineLevel="0" collapsed="false">
      <c r="A407" s="3" t="s">
        <v>651</v>
      </c>
      <c r="B407" s="0" t="s">
        <v>333</v>
      </c>
      <c r="C407" s="23" t="n">
        <f aca="false">a25_da</f>
        <v>6.894</v>
      </c>
      <c r="D407" s="23" t="n">
        <f aca="false">da26</f>
        <v>7.1</v>
      </c>
      <c r="E407" s="23" t="n">
        <f aca="false">D407*(1-1/life)+D406/life</f>
        <v>6.7125</v>
      </c>
      <c r="F407" s="23" t="n">
        <f aca="false">E407*(1-1/life)+E406/life</f>
        <v>7.6234375</v>
      </c>
      <c r="G407" s="23" t="n">
        <f aca="false">F407*(1-1/life)+F406/life</f>
        <v>8.9205078125</v>
      </c>
      <c r="H407" s="25" t="n">
        <f aca="false">H400*H408</f>
        <v>9.7041237977166</v>
      </c>
      <c r="I407" s="25" t="n">
        <f aca="false">I400*I408</f>
        <v>10.4214736127987</v>
      </c>
      <c r="J407" s="25" t="n">
        <f aca="false">J400*J408</f>
        <v>11.0467620295667</v>
      </c>
      <c r="K407" s="3" t="s">
        <v>652</v>
      </c>
    </row>
    <row r="408" customFormat="false" ht="17.15" hidden="false" customHeight="false" outlineLevel="0" collapsed="false">
      <c r="A408" s="3" t="s">
        <v>653</v>
      </c>
      <c r="B408" s="0" t="s">
        <v>44</v>
      </c>
      <c r="C408" s="20" t="n">
        <f aca="false">C407/C400</f>
        <v>0.171607796281084</v>
      </c>
      <c r="D408" s="20" t="n">
        <f aca="false">D407/D400</f>
        <v>0.120038074048276</v>
      </c>
      <c r="E408" s="20" t="n">
        <f aca="false">E407/E400</f>
        <v>0.0869453997724587</v>
      </c>
      <c r="F408" s="20" t="n">
        <f aca="false">F407/F400</f>
        <v>0.0893005722822827</v>
      </c>
      <c r="G408" s="20" t="n">
        <f aca="false">G407/G400</f>
        <v>0.0948425926998846</v>
      </c>
      <c r="H408" s="26" t="n">
        <f aca="false">$G408</f>
        <v>0.0948425926998846</v>
      </c>
      <c r="I408" s="26" t="n">
        <f aca="false">$G408</f>
        <v>0.0948425926998846</v>
      </c>
      <c r="J408" s="26" t="n">
        <f aca="false">$G408</f>
        <v>0.0948425926998846</v>
      </c>
    </row>
    <row r="409" customFormat="false" ht="17.15" hidden="false" customHeight="false" outlineLevel="0" collapsed="false">
      <c r="A409" s="3" t="s">
        <v>654</v>
      </c>
      <c r="B409" s="0" t="s">
        <v>333</v>
      </c>
      <c r="E409" s="21" t="n">
        <f aca="false">E395*(1-1/(E380*E381))</f>
        <v>2.59860030383119</v>
      </c>
      <c r="F409" s="21" t="n">
        <f aca="false">F395*(1-1/(F380*F381))</f>
        <v>1.02243633925431</v>
      </c>
      <c r="G409" s="21" t="n">
        <f aca="false">G395*(1-1/(G380*G381))</f>
        <v>-1.34242581531385</v>
      </c>
      <c r="K409" s="7" t="s">
        <v>655</v>
      </c>
    </row>
    <row r="410" customFormat="false" ht="17.15" hidden="false" customHeight="false" outlineLevel="0" collapsed="false">
      <c r="A410" s="3" t="s">
        <v>656</v>
      </c>
      <c r="B410" s="0" t="s">
        <v>333</v>
      </c>
      <c r="C410" s="21" t="n">
        <f aca="false">a25_gp</f>
        <v>3.647</v>
      </c>
      <c r="D410" s="21" t="n">
        <f aca="false">a26_gp</f>
        <v>15.9001925</v>
      </c>
      <c r="E410" s="21" t="n">
        <f aca="false">$D410+ft_abf*(E393-E409-$D393)+ft_oth*((E400-E393)-($D400-$D393))+E409-(E407-$D407)</f>
        <v>26.0470350847156</v>
      </c>
      <c r="F410" s="21" t="n">
        <f aca="false">$D410+ft_abf*(F393-F409-$D393)+ft_oth*((F400-F393)-($D400-$D393))+F409-(F407-$D407)</f>
        <v>28.1842950154474</v>
      </c>
      <c r="G410" s="21" t="n">
        <f aca="false">$D410+ft_abf*(G393-G409-$D393)+ft_oth*((G400-G393)-($D400-$D393))+G409-(G407-$D407)</f>
        <v>29.913278921477</v>
      </c>
      <c r="K410" s="3" t="s">
        <v>657</v>
      </c>
    </row>
    <row r="411" customFormat="false" ht="15" hidden="false" customHeight="false" outlineLevel="0" collapsed="false">
      <c r="A411" s="3" t="s">
        <v>512</v>
      </c>
      <c r="B411" s="0" t="s">
        <v>44</v>
      </c>
      <c r="C411" s="16" t="n">
        <f aca="false">C410/C400</f>
        <v>0.0907823662659</v>
      </c>
      <c r="D411" s="16" t="n">
        <f aca="false">D410/D400</f>
        <v>0.268820913337583</v>
      </c>
      <c r="E411" s="16" t="n">
        <f aca="false">E410/E400</f>
        <v>0.337380987460388</v>
      </c>
      <c r="F411" s="16" t="n">
        <f aca="false">F410/F400</f>
        <v>0.330149446919732</v>
      </c>
      <c r="G411" s="16" t="n">
        <f aca="false">G410/G400</f>
        <v>0.318037155361517</v>
      </c>
    </row>
    <row r="412" customFormat="false" ht="15" hidden="false" customHeight="false" outlineLevel="0" collapsed="false">
      <c r="A412" s="3" t="s">
        <v>514</v>
      </c>
      <c r="B412" s="0" t="s">
        <v>333</v>
      </c>
      <c r="C412" s="21" t="n">
        <f aca="false">a25_opx</f>
        <v>1.665</v>
      </c>
      <c r="D412" s="21" t="n">
        <f aca="false">a26_opx</f>
        <v>1.9</v>
      </c>
      <c r="E412" s="21" t="n">
        <f aca="false">D412*(1+phi*E402)</f>
        <v>2.24800096</v>
      </c>
      <c r="F412" s="21" t="n">
        <f aca="false">E412*(1+phi*F402)</f>
        <v>2.39064336561756</v>
      </c>
      <c r="G412" s="21" t="n">
        <f aca="false">F412*(1+phi*G402)</f>
        <v>2.53661579199022</v>
      </c>
    </row>
    <row r="413" customFormat="false" ht="15" hidden="false" customHeight="false" outlineLevel="0" collapsed="false">
      <c r="A413" s="3" t="s">
        <v>517</v>
      </c>
      <c r="B413" s="0" t="s">
        <v>333</v>
      </c>
      <c r="C413" s="21" t="n">
        <f aca="false">C410-C412</f>
        <v>1.982</v>
      </c>
      <c r="D413" s="21" t="n">
        <f aca="false">D410-D412</f>
        <v>14.0001925</v>
      </c>
      <c r="E413" s="21" t="n">
        <f aca="false">E410-E412</f>
        <v>23.7990341247156</v>
      </c>
      <c r="F413" s="21" t="n">
        <f aca="false">F410-F412</f>
        <v>25.7936516498299</v>
      </c>
      <c r="G413" s="21" t="n">
        <f aca="false">G410-G412</f>
        <v>27.3766631294867</v>
      </c>
    </row>
    <row r="414" customFormat="false" ht="15" hidden="false" customHeight="false" outlineLevel="0" collapsed="false">
      <c r="A414" s="3" t="s">
        <v>598</v>
      </c>
      <c r="B414" s="0" t="s">
        <v>44</v>
      </c>
      <c r="C414" s="16" t="n">
        <f aca="false">C413/C400</f>
        <v>0.0493366191222961</v>
      </c>
      <c r="D414" s="16" t="n">
        <f aca="false">D413/D400</f>
        <v>0.236698048451424</v>
      </c>
      <c r="E414" s="16" t="n">
        <f aca="false">E413/E400</f>
        <v>0.308263171124288</v>
      </c>
      <c r="F414" s="16" t="n">
        <f aca="false">F413/F400</f>
        <v>0.302145568003889</v>
      </c>
      <c r="G414" s="16" t="n">
        <f aca="false">G413/G400</f>
        <v>0.291067926316203</v>
      </c>
    </row>
    <row r="415" customFormat="false" ht="15" hidden="false" customHeight="false" outlineLevel="0" collapsed="false">
      <c r="A415" s="3" t="s">
        <v>520</v>
      </c>
      <c r="B415" s="0" t="s">
        <v>333</v>
      </c>
      <c r="C415" s="21" t="n">
        <f aca="false">a25_nonop</f>
        <v>0.364</v>
      </c>
      <c r="D415" s="21" t="n">
        <f aca="false">a26_nonop</f>
        <v>0.623</v>
      </c>
      <c r="E415" s="21" t="n">
        <f aca="false">nonop27</f>
        <v>0.6</v>
      </c>
      <c r="F415" s="21" t="n">
        <f aca="false">nonop28</f>
        <v>0.6</v>
      </c>
      <c r="G415" s="21" t="n">
        <f aca="false">nonop29</f>
        <v>0.6</v>
      </c>
    </row>
    <row r="416" customFormat="false" ht="15" hidden="false" customHeight="false" outlineLevel="0" collapsed="false">
      <c r="A416" s="3" t="s">
        <v>522</v>
      </c>
      <c r="B416" s="0" t="s">
        <v>333</v>
      </c>
      <c r="C416" s="21" t="n">
        <f aca="false">C413+C415</f>
        <v>2.346</v>
      </c>
      <c r="D416" s="21" t="n">
        <f aca="false">D413+D415</f>
        <v>14.6231925</v>
      </c>
      <c r="E416" s="21" t="n">
        <f aca="false">E413+E415</f>
        <v>24.3990341247156</v>
      </c>
      <c r="F416" s="21" t="n">
        <f aca="false">F413+F415</f>
        <v>26.3936516498299</v>
      </c>
      <c r="G416" s="21" t="n">
        <f aca="false">G413+G415</f>
        <v>27.9766631294868</v>
      </c>
    </row>
    <row r="417" customFormat="false" ht="15" hidden="false" customHeight="false" outlineLevel="0" collapsed="false">
      <c r="A417" s="3" t="s">
        <v>525</v>
      </c>
      <c r="B417" s="0" t="s">
        <v>333</v>
      </c>
      <c r="E417" s="21" t="n">
        <f aca="false">E416*tax</f>
        <v>5.12379716619028</v>
      </c>
      <c r="F417" s="21" t="n">
        <f aca="false">F416*tax</f>
        <v>5.54266684646427</v>
      </c>
      <c r="G417" s="21" t="n">
        <f aca="false">G416*tax</f>
        <v>5.87509925719222</v>
      </c>
    </row>
    <row r="418" customFormat="false" ht="15" hidden="false" customHeight="false" outlineLevel="0" collapsed="false">
      <c r="A418" s="3" t="s">
        <v>523</v>
      </c>
      <c r="B418" s="0" t="s">
        <v>333</v>
      </c>
      <c r="C418" s="21" t="n">
        <f aca="false">a25_ni</f>
        <v>1.947</v>
      </c>
      <c r="D418" s="21" t="n">
        <f aca="false">a26_ni</f>
        <v>11.509862075</v>
      </c>
      <c r="E418" s="21" t="n">
        <f aca="false">E416-E417</f>
        <v>19.2752369585253</v>
      </c>
      <c r="F418" s="21" t="n">
        <f aca="false">F416-F417</f>
        <v>20.8509848033656</v>
      </c>
      <c r="G418" s="21" t="n">
        <f aca="false">G416-G417</f>
        <v>22.1015638722945</v>
      </c>
      <c r="H418" s="30" t="n">
        <f aca="false">H400*H422</f>
        <v>24.6168359297488</v>
      </c>
      <c r="I418" s="30" t="n">
        <f aca="false">I400*I422</f>
        <v>27.0527554720229</v>
      </c>
      <c r="J418" s="30" t="n">
        <f aca="false">J400*J422</f>
        <v>29.3290819878311</v>
      </c>
    </row>
    <row r="419" customFormat="false" ht="15" hidden="false" customHeight="false" outlineLevel="0" collapsed="false">
      <c r="A419" s="3" t="s">
        <v>658</v>
      </c>
      <c r="B419" s="3" t="s">
        <v>400</v>
      </c>
      <c r="C419" s="29" t="n">
        <f aca="false">a25_sh</f>
        <v>0.646843853820598</v>
      </c>
      <c r="D419" s="29" t="n">
        <f aca="false">a26_sh</f>
        <v>0.645863325123153</v>
      </c>
      <c r="E419" s="29" t="n">
        <f aca="false">a26_shend*(1+sh_g)</f>
        <v>0.64617</v>
      </c>
      <c r="F419" s="29" t="n">
        <f aca="false">E419*(1+sh_g)</f>
        <v>0.64617</v>
      </c>
      <c r="G419" s="29" t="n">
        <f aca="false">F419*(1+sh_g)</f>
        <v>0.64617</v>
      </c>
      <c r="H419" s="31" t="n">
        <f aca="false">G419*(1+sh_g)</f>
        <v>0.64617</v>
      </c>
      <c r="I419" s="31" t="n">
        <f aca="false">H419*(1+sh_g)</f>
        <v>0.64617</v>
      </c>
      <c r="J419" s="31" t="n">
        <f aca="false">I419*(1+sh_g)</f>
        <v>0.64617</v>
      </c>
    </row>
    <row r="420" customFormat="false" ht="17.15" hidden="false" customHeight="false" outlineLevel="0" collapsed="false">
      <c r="A420" s="0" t="s">
        <v>528</v>
      </c>
      <c r="B420" s="0" t="s">
        <v>406</v>
      </c>
      <c r="C420" s="18" t="n">
        <f aca="false">C418/C419</f>
        <v>3.01</v>
      </c>
      <c r="D420" s="18" t="n">
        <f aca="false">D418/D419</f>
        <v>17.820894339844</v>
      </c>
      <c r="E420" s="18" t="n">
        <f aca="false">E418/E419</f>
        <v>29.8299781149316</v>
      </c>
      <c r="F420" s="18" t="n">
        <f aca="false">F418/F419</f>
        <v>32.2685745289407</v>
      </c>
      <c r="G420" s="18" t="n">
        <f aca="false">G418/G419</f>
        <v>34.2039461322787</v>
      </c>
      <c r="H420" s="28" t="n">
        <f aca="false">H418/H419</f>
        <v>38.096531763698</v>
      </c>
      <c r="I420" s="28" t="n">
        <f aca="false">I418/I419</f>
        <v>41.866313001258</v>
      </c>
      <c r="J420" s="28" t="n">
        <f aca="false">J418/J419</f>
        <v>45.389111205768</v>
      </c>
    </row>
    <row r="421" customFormat="false" ht="17.15" hidden="false" customHeight="false" outlineLevel="0" collapsed="false">
      <c r="A421" s="0" t="s">
        <v>659</v>
      </c>
      <c r="B421" s="0" t="s">
        <v>44</v>
      </c>
      <c r="D421" s="20" t="n">
        <f aca="false">D420/C420-1</f>
        <v>4.92056290360265</v>
      </c>
      <c r="E421" s="20" t="n">
        <f aca="false">E420/D420-1</f>
        <v>0.673876604960149</v>
      </c>
      <c r="F421" s="20" t="n">
        <f aca="false">F420/E420-1</f>
        <v>0.0817498559540828</v>
      </c>
      <c r="G421" s="20" t="n">
        <f aca="false">G420/F420-1</f>
        <v>0.0599769785802677</v>
      </c>
      <c r="H421" s="26" t="n">
        <f aca="false">H420/G420-1</f>
        <v>0.113805162023274</v>
      </c>
      <c r="I421" s="26" t="n">
        <f aca="false">I420/H420-1</f>
        <v>0.0989533971476153</v>
      </c>
      <c r="J421" s="26" t="n">
        <f aca="false">J420/I420-1</f>
        <v>0.084143980015726</v>
      </c>
    </row>
    <row r="422" customFormat="false" ht="17.15" hidden="false" customHeight="false" outlineLevel="0" collapsed="false">
      <c r="A422" s="3" t="s">
        <v>660</v>
      </c>
      <c r="B422" s="0" t="s">
        <v>44</v>
      </c>
      <c r="C422" s="16" t="n">
        <f aca="false">C418/C400</f>
        <v>0.0484653872003585</v>
      </c>
      <c r="D422" s="16" t="n">
        <f aca="false">D418/D400</f>
        <v>0.194594602259759</v>
      </c>
      <c r="E422" s="16" t="n">
        <f aca="false">E418/E400</f>
        <v>0.249667513306198</v>
      </c>
      <c r="F422" s="16" t="n">
        <f aca="false">F418/F400</f>
        <v>0.244247411432143</v>
      </c>
      <c r="G422" s="16" t="n">
        <f aca="false">G418/G400</f>
        <v>0.234983216699079</v>
      </c>
      <c r="H422" s="27" t="n">
        <f aca="false">$G422+(fade_mA-$G422)*1/3</f>
        <v>0.240590968573012</v>
      </c>
      <c r="I422" s="27" t="n">
        <f aca="false">$G422+(fade_mA-$G422)*2/3</f>
        <v>0.246198720446944</v>
      </c>
      <c r="J422" s="27" t="n">
        <f aca="false">$G422+(fade_mA-$G422)*3/3</f>
        <v>0.251806472320876</v>
      </c>
    </row>
    <row r="423" customFormat="false" ht="17.15" hidden="false" customHeight="false" outlineLevel="0" collapsed="false">
      <c r="A423" s="3" t="s">
        <v>661</v>
      </c>
      <c r="B423" s="0" t="s">
        <v>44</v>
      </c>
      <c r="C423" s="20" t="n">
        <f aca="false">C406/C400</f>
        <v>0.0602892489980833</v>
      </c>
      <c r="D423" s="20" t="n">
        <f aca="false">D406/D400</f>
        <v>0.0676270839708595</v>
      </c>
      <c r="E423" s="20" t="n">
        <f aca="false">E406/E400</f>
        <v>0.181338636396934</v>
      </c>
      <c r="F423" s="20" t="n">
        <f aca="false">F406/F400</f>
        <v>0.21085111553431</v>
      </c>
      <c r="G423" s="20" t="n">
        <f aca="false">G406/G400</f>
        <v>0.12758366858934</v>
      </c>
      <c r="H423" s="26" t="n">
        <f aca="false">$G423+($G408*(1+tp_g)^(life/2)-$G423)*1/3</f>
        <v>0.122039918700411</v>
      </c>
      <c r="I423" s="26" t="n">
        <f aca="false">$G423+($G408*(1+tp_g)^(life/2)-$G423)*2/3</f>
        <v>0.116496168811482</v>
      </c>
      <c r="J423" s="26" t="n">
        <f aca="false">$G423+($G408*(1+tp_g)^(life/2)-$G423)*3/3</f>
        <v>0.110952418922554</v>
      </c>
      <c r="K423" s="7" t="s">
        <v>662</v>
      </c>
    </row>
    <row r="424" customFormat="false" ht="15" hidden="false" customHeight="false" outlineLevel="0" collapsed="false">
      <c r="A424" s="3" t="s">
        <v>663</v>
      </c>
      <c r="B424" s="0" t="s">
        <v>333</v>
      </c>
      <c r="E424" s="21" t="n">
        <f aca="false">E418+E407-E406</f>
        <v>11.9877369585253</v>
      </c>
      <c r="F424" s="21" t="n">
        <f aca="false">F418+F407-F406</f>
        <v>10.4744223033656</v>
      </c>
      <c r="G424" s="21" t="n">
        <f aca="false">G418+G407-G406</f>
        <v>19.0220716847945</v>
      </c>
      <c r="H424" s="30" t="n">
        <f aca="false">H418+H407-H406</f>
        <v>21.8340543654455</v>
      </c>
      <c r="I424" s="30" t="n">
        <f aca="false">I418+I407-I406</f>
        <v>24.6734218240719</v>
      </c>
      <c r="J424" s="30" t="n">
        <f aca="false">J418+J407-J406</f>
        <v>27.4526948968262</v>
      </c>
      <c r="K424" s="3" t="s">
        <v>664</v>
      </c>
    </row>
    <row r="425" customFormat="false" ht="15" hidden="false" customHeight="false" outlineLevel="0" collapsed="false">
      <c r="A425" s="3" t="s">
        <v>665</v>
      </c>
      <c r="B425" s="0" t="s">
        <v>406</v>
      </c>
      <c r="E425" s="18" t="n">
        <f aca="false">E424/E419</f>
        <v>18.5519862552042</v>
      </c>
      <c r="F425" s="18" t="n">
        <f aca="false">F424/F419</f>
        <v>16.2100102192389</v>
      </c>
      <c r="G425" s="18" t="n">
        <f aca="false">G424/G419</f>
        <v>29.4381845099502</v>
      </c>
      <c r="H425" s="28" t="n">
        <f aca="false">H424/H419</f>
        <v>33.7899536738714</v>
      </c>
      <c r="I425" s="28" t="n">
        <f aca="false">I424/I419</f>
        <v>38.1841029822986</v>
      </c>
      <c r="J425" s="28" t="n">
        <f aca="false">J424/J419</f>
        <v>42.4852513995175</v>
      </c>
    </row>
    <row r="428" customFormat="false" ht="17.15" hidden="false" customHeight="false" outlineLevel="0" collapsed="false">
      <c r="A428" s="1" t="s">
        <v>1014</v>
      </c>
    </row>
    <row r="429" customFormat="false" ht="17.15" hidden="false" customHeight="false" outlineLevel="0" collapsed="false">
      <c r="A429" s="4" t="s">
        <v>21</v>
      </c>
      <c r="B429" s="4" t="s">
        <v>22</v>
      </c>
      <c r="C429" s="13" t="s">
        <v>498</v>
      </c>
      <c r="D429" s="13" t="s">
        <v>585</v>
      </c>
      <c r="E429" s="13" t="s">
        <v>586</v>
      </c>
      <c r="F429" s="13" t="s">
        <v>587</v>
      </c>
      <c r="G429" s="13" t="s">
        <v>588</v>
      </c>
      <c r="H429" s="13" t="s">
        <v>589</v>
      </c>
      <c r="I429" s="13" t="s">
        <v>590</v>
      </c>
      <c r="J429" s="13" t="s">
        <v>591</v>
      </c>
      <c r="K429" s="4" t="s">
        <v>553</v>
      </c>
    </row>
    <row r="430" customFormat="false" ht="17.15" hidden="false" customHeight="false" outlineLevel="0" collapsed="false">
      <c r="A430" s="5" t="s">
        <v>609</v>
      </c>
    </row>
    <row r="431" customFormat="false" ht="17.15" hidden="false" customHeight="false" outlineLevel="0" collapsed="false">
      <c r="A431" s="0" t="s">
        <v>610</v>
      </c>
      <c r="B431" s="3" t="s">
        <v>32</v>
      </c>
      <c r="D431" s="21" t="n">
        <f aca="false">(u_bw_26+u_rb_26+u_ru_26+u_hp_26)*1</f>
        <v>7.6</v>
      </c>
      <c r="E431" s="21" t="n">
        <f aca="false">(u_bw_27+u_rb_27+u_ru_27+u_hp_27)*1*1</f>
        <v>9.7</v>
      </c>
      <c r="F431" s="21" t="n">
        <f aca="false">(u_bw_28+u_rb_28+u_ru_28+u_hp_28)*um28_A*1</f>
        <v>9.5</v>
      </c>
      <c r="G431" s="21" t="n">
        <f aca="false">(u_bw_28*(1+g29_bw)+u_rb_28*(1+g29_rb)+u_ru_28*(1+g29_ru)+u_hp_28*(1+g29_hp))*um29_A*1</f>
        <v>10.6</v>
      </c>
      <c r="K431" s="7" t="s">
        <v>611</v>
      </c>
    </row>
    <row r="432" customFormat="false" ht="17.15" hidden="false" customHeight="false" outlineLevel="0" collapsed="false">
      <c r="A432" s="3" t="s">
        <v>612</v>
      </c>
      <c r="B432" s="3" t="s">
        <v>32</v>
      </c>
      <c r="D432" s="21" t="n">
        <f aca="false">(u_amd_26+u_tpu_26+u_trn_26+u_oth_26)*1</f>
        <v>7.6</v>
      </c>
      <c r="E432" s="21" t="n">
        <f aca="false">(u_amd_27+u_tpu_27+u_trn_27+u_oth_27)*1*1</f>
        <v>14</v>
      </c>
      <c r="F432" s="21" t="n">
        <f aca="false">(u_amd_28+u_tpu_28+u_trn_28+u_oth_28)*um28_A*1</f>
        <v>17</v>
      </c>
      <c r="G432" s="21" t="n">
        <f aca="false">(u_amd_28*(1+g29_amd)+u_tpu_28*(1+g29_tpu)+u_trn_28*(1+g29_trn)+u_oth_28*(1+g29_oth))*um29_A*1</f>
        <v>19.55</v>
      </c>
      <c r="K432" s="7" t="s">
        <v>613</v>
      </c>
    </row>
    <row r="433" customFormat="false" ht="17.15" hidden="false" customHeight="false" outlineLevel="0" collapsed="false">
      <c r="A433" s="3" t="s">
        <v>614</v>
      </c>
      <c r="B433" s="0" t="s">
        <v>154</v>
      </c>
      <c r="D433" s="19" t="n">
        <f aca="false">1</f>
        <v>1</v>
      </c>
      <c r="E433" s="19" t="n">
        <f aca="false">D433*(1+g_asp)</f>
        <v>1.18</v>
      </c>
      <c r="F433" s="19" t="n">
        <f aca="false">E433*(1+g_asp)</f>
        <v>1.3924</v>
      </c>
      <c r="G433" s="19" t="n">
        <f aca="false">F433*(1+g_asp)</f>
        <v>1.643032</v>
      </c>
      <c r="K433" s="7" t="s">
        <v>615</v>
      </c>
    </row>
    <row r="434" customFormat="false" ht="17.15" hidden="false" customHeight="false" outlineLevel="0" collapsed="false">
      <c r="A434" s="0" t="s">
        <v>616</v>
      </c>
      <c r="B434" s="0" t="s">
        <v>154</v>
      </c>
      <c r="D434" s="18" t="n">
        <f aca="false">1</f>
        <v>1</v>
      </c>
      <c r="E434" s="18" t="n">
        <f aca="false">ibpp_27</f>
        <v>1</v>
      </c>
      <c r="F434" s="18" t="n">
        <f aca="false">ibpp_28</f>
        <v>0.95</v>
      </c>
      <c r="G434" s="18" t="n">
        <f aca="false">ibpp_29</f>
        <v>0.9</v>
      </c>
      <c r="K434" s="7" t="s">
        <v>617</v>
      </c>
    </row>
    <row r="435" customFormat="false" ht="17.15" hidden="false" customHeight="false" outlineLevel="0" collapsed="false">
      <c r="A435" s="3" t="s">
        <v>618</v>
      </c>
      <c r="B435" s="0" t="s">
        <v>154</v>
      </c>
      <c r="D435" s="18" t="n">
        <f aca="false">1</f>
        <v>1</v>
      </c>
      <c r="E435" s="18" t="n">
        <f aca="false">1+carry_hi</f>
        <v>1.22</v>
      </c>
      <c r="F435" s="18" t="n">
        <f aca="false">1+carry_hi</f>
        <v>1.22</v>
      </c>
      <c r="G435" s="18" t="n">
        <f aca="false">1+carry_hi</f>
        <v>1.22</v>
      </c>
      <c r="K435" s="7" t="s">
        <v>619</v>
      </c>
    </row>
    <row r="436" customFormat="false" ht="17.15" hidden="false" customHeight="false" outlineLevel="0" collapsed="false">
      <c r="A436" s="3" t="s">
        <v>620</v>
      </c>
      <c r="B436" s="0" t="s">
        <v>621</v>
      </c>
      <c r="D436" s="23" t="n">
        <f aca="false">v26*D433*D434</f>
        <v>215.308596</v>
      </c>
      <c r="E436" s="23" t="n">
        <f aca="false">v26*E433*E434</f>
        <v>254.06414328</v>
      </c>
      <c r="F436" s="23" t="n">
        <f aca="false">v26*F433*F434</f>
        <v>284.80590461688</v>
      </c>
      <c r="G436" s="23" t="n">
        <f aca="false">v26*G433*G434</f>
        <v>318.383021792765</v>
      </c>
      <c r="K436" s="7" t="s">
        <v>622</v>
      </c>
    </row>
    <row r="437" customFormat="false" ht="17.15" hidden="false" customHeight="false" outlineLevel="0" collapsed="false">
      <c r="A437" s="3" t="s">
        <v>623</v>
      </c>
      <c r="B437" s="0" t="s">
        <v>44</v>
      </c>
      <c r="D437" s="20" t="n">
        <f aca="false">sh_nv_26</f>
        <v>0.02</v>
      </c>
      <c r="E437" s="20" t="n">
        <f aca="false">sh_nv_27</f>
        <v>0.03</v>
      </c>
      <c r="F437" s="20" t="n">
        <f aca="false">sh_nv_28</f>
        <v>0.04</v>
      </c>
      <c r="G437" s="20" t="n">
        <f aca="false">sh_nv_29</f>
        <v>0.04</v>
      </c>
    </row>
    <row r="438" customFormat="false" ht="17.15" hidden="false" customHeight="false" outlineLevel="0" collapsed="false">
      <c r="A438" s="3" t="s">
        <v>624</v>
      </c>
      <c r="B438" s="0" t="s">
        <v>44</v>
      </c>
      <c r="D438" s="20" t="n">
        <f aca="false">sh_ot_26</f>
        <v>0.05</v>
      </c>
      <c r="E438" s="20" t="n">
        <f aca="false">sh_ot_27</f>
        <v>0.06</v>
      </c>
      <c r="F438" s="20" t="n">
        <f aca="false">sh_ot_28</f>
        <v>0.07</v>
      </c>
      <c r="G438" s="20" t="n">
        <f aca="false">sh_ot_29</f>
        <v>0.07</v>
      </c>
    </row>
    <row r="439" customFormat="false" ht="17.15" hidden="false" customHeight="false" outlineLevel="0" collapsed="false">
      <c r="A439" s="3" t="s">
        <v>625</v>
      </c>
      <c r="B439" s="0" t="s">
        <v>575</v>
      </c>
      <c r="D439" s="22" t="n">
        <f aca="false">(D431*D436*D437+D432*D436*v_ot*D438)*D435</f>
        <v>98.180719776</v>
      </c>
      <c r="E439" s="22" t="n">
        <f aca="false">(E431*E436*E437+E432*E436*v_ot*E438)*E435</f>
        <v>298.489799373941</v>
      </c>
      <c r="F439" s="22" t="n">
        <f aca="false">(F431*F436*F437+F432*F436*v_ot*F438)*F435</f>
        <v>462.820987238615</v>
      </c>
      <c r="G439" s="22" t="n">
        <f aca="false">(G431*G436*G437+G432*G436*v_ot*G438)*G435</f>
        <v>589.943362868599</v>
      </c>
    </row>
    <row r="440" customFormat="false" ht="15" hidden="false" customHeight="false" outlineLevel="0" collapsed="false">
      <c r="A440" s="3" t="s">
        <v>626</v>
      </c>
      <c r="B440" s="0" t="s">
        <v>333</v>
      </c>
      <c r="D440" s="21" t="n">
        <f aca="false">D439*fx/1000</f>
        <v>3.141783032832</v>
      </c>
      <c r="E440" s="21" t="n">
        <f aca="false">E439*fx/1000</f>
        <v>9.55167357996611</v>
      </c>
      <c r="F440" s="21" t="n">
        <f aca="false">F439*fx/1000</f>
        <v>14.8102715916357</v>
      </c>
      <c r="G440" s="21" t="n">
        <f aca="false">G439*fx/1000</f>
        <v>18.8781876117952</v>
      </c>
    </row>
    <row r="441" customFormat="false" ht="17.15" hidden="false" customHeight="false" outlineLevel="0" collapsed="false">
      <c r="A441" s="5" t="s">
        <v>627</v>
      </c>
    </row>
    <row r="442" customFormat="false" ht="17.15" hidden="false" customHeight="false" outlineLevel="0" collapsed="false">
      <c r="A442" s="0" t="s">
        <v>628</v>
      </c>
      <c r="B442" s="0" t="s">
        <v>333</v>
      </c>
      <c r="D442" s="21" t="n">
        <f aca="false">a26_abf*ai_abf</f>
        <v>22.2987583</v>
      </c>
      <c r="K442" s="3" t="s">
        <v>629</v>
      </c>
    </row>
    <row r="443" customFormat="false" ht="17.15" hidden="false" customHeight="false" outlineLevel="0" collapsed="false">
      <c r="A443" s="3" t="s">
        <v>630</v>
      </c>
      <c r="B443" s="0" t="s">
        <v>333</v>
      </c>
      <c r="D443" s="21" t="n">
        <f aca="false">D442-D440</f>
        <v>19.156975267168</v>
      </c>
      <c r="E443" s="21" t="n">
        <f aca="false">$D443*(swm_27/swm_26)^el_o*1*1*E434*E435</f>
        <v>32.6900297542118</v>
      </c>
      <c r="F443" s="21" t="n">
        <f aca="false">$D443*(swm_28/swm_26)^el_o*um28_A*1*F434*F435</f>
        <v>33.4079465459635</v>
      </c>
      <c r="G443" s="21" t="n">
        <f aca="false">$D443*(swm_29/swm_26)^el_o*um29_A*1*G434*G435</f>
        <v>33.764081860155</v>
      </c>
      <c r="K443" s="7" t="s">
        <v>631</v>
      </c>
    </row>
    <row r="444" customFormat="false" ht="17.15" hidden="false" customHeight="false" outlineLevel="0" collapsed="false">
      <c r="A444" s="3" t="s">
        <v>632</v>
      </c>
      <c r="B444" s="0" t="s">
        <v>333</v>
      </c>
      <c r="D444" s="21" t="n">
        <f aca="false">a26_abf-D442</f>
        <v>12.0070237</v>
      </c>
      <c r="E444" s="21" t="n">
        <f aca="false">D444*(1+g_nai)</f>
        <v>12.367234411</v>
      </c>
      <c r="F444" s="21" t="n">
        <f aca="false">E444*(1+g_nai)</f>
        <v>12.73825144333</v>
      </c>
      <c r="G444" s="21" t="n">
        <f aca="false">F444*(1+g_nai)</f>
        <v>13.1203989866299</v>
      </c>
    </row>
    <row r="445" customFormat="false" ht="17.15" hidden="false" customHeight="false" outlineLevel="0" collapsed="false">
      <c r="A445" s="0" t="s">
        <v>633</v>
      </c>
      <c r="B445" s="0" t="s">
        <v>333</v>
      </c>
      <c r="D445" s="21" t="n">
        <f aca="false">D440+D443+D444</f>
        <v>34.305782</v>
      </c>
      <c r="E445" s="21" t="n">
        <f aca="false">E440+E443+E444</f>
        <v>54.6089377451779</v>
      </c>
      <c r="F445" s="21" t="n">
        <f aca="false">F440+F443+F444</f>
        <v>60.9564695809291</v>
      </c>
      <c r="G445" s="21" t="n">
        <f aca="false">G440+G443+G444</f>
        <v>65.7626684585801</v>
      </c>
    </row>
    <row r="446" customFormat="false" ht="17.15" hidden="false" customHeight="false" outlineLevel="0" collapsed="false">
      <c r="A446" s="0" t="s">
        <v>634</v>
      </c>
      <c r="B446" s="0" t="s">
        <v>333</v>
      </c>
      <c r="D446" s="21" t="n">
        <f aca="false">a26_abf</f>
        <v>34.305782</v>
      </c>
      <c r="E446" s="21" t="n">
        <f aca="false">$D445*cap_27*(1+g_mix)^1*E434*E435</f>
        <v>52.7348480904</v>
      </c>
      <c r="F446" s="21" t="n">
        <f aca="false">$D445*cap_28*(1+g_mix)^2*F434*F435</f>
        <v>59.1783873414458</v>
      </c>
      <c r="G446" s="21" t="n">
        <f aca="false">$D445*cap_29*(1+g_mix)^3*G434*G435</f>
        <v>69.7682040235992</v>
      </c>
      <c r="K446" s="7" t="s">
        <v>635</v>
      </c>
    </row>
    <row r="447" customFormat="false" ht="17.15" hidden="false" customHeight="false" outlineLevel="0" collapsed="false">
      <c r="A447" s="0" t="s">
        <v>636</v>
      </c>
      <c r="B447" s="0" t="s">
        <v>333</v>
      </c>
      <c r="D447" s="21" t="n">
        <f aca="false">a26_abf</f>
        <v>34.305782</v>
      </c>
      <c r="E447" s="21" t="n">
        <f aca="false">MIN(E445,E446)</f>
        <v>52.7348480904</v>
      </c>
      <c r="F447" s="21" t="n">
        <f aca="false">MIN(F445,F446)</f>
        <v>59.1783873414458</v>
      </c>
      <c r="G447" s="21" t="n">
        <f aca="false">MIN(G445,G446)</f>
        <v>65.7626684585801</v>
      </c>
    </row>
    <row r="448" customFormat="false" ht="17.15" hidden="false" customHeight="false" outlineLevel="0" collapsed="false">
      <c r="A448" s="3" t="s">
        <v>637</v>
      </c>
      <c r="B448" s="0" t="s">
        <v>44</v>
      </c>
      <c r="D448" s="20" t="n">
        <f aca="false">D447/D445</f>
        <v>1</v>
      </c>
      <c r="E448" s="20" t="n">
        <f aca="false">E447/E445</f>
        <v>0.96568163139296</v>
      </c>
      <c r="F448" s="20" t="n">
        <f aca="false">F447/F445</f>
        <v>0.970830294934934</v>
      </c>
      <c r="G448" s="20" t="n">
        <f aca="false">G447/G445</f>
        <v>1</v>
      </c>
    </row>
    <row r="449" customFormat="false" ht="17.15" hidden="false" customHeight="false" outlineLevel="0" collapsed="false">
      <c r="A449" s="0" t="s">
        <v>638</v>
      </c>
      <c r="B449" s="0" t="s">
        <v>333</v>
      </c>
      <c r="D449" s="21" t="n">
        <f aca="false">(D440+D443)*D448</f>
        <v>22.2987583</v>
      </c>
      <c r="E449" s="21" t="n">
        <f aca="false">(E440+E443)*E448</f>
        <v>40.7920369885664</v>
      </c>
      <c r="F449" s="21" t="n">
        <f aca="false">(F440+F443)*F448</f>
        <v>46.8117069357623</v>
      </c>
      <c r="G449" s="21" t="n">
        <f aca="false">(G440+G443)*G448</f>
        <v>52.6422694719502</v>
      </c>
    </row>
    <row r="450" customFormat="false" ht="17.15" hidden="false" customHeight="false" outlineLevel="0" collapsed="false">
      <c r="A450" s="3" t="s">
        <v>639</v>
      </c>
      <c r="B450" s="0" t="s">
        <v>44</v>
      </c>
      <c r="D450" s="20" t="n">
        <f aca="false">D440/(D440+D443)</f>
        <v>0.140894976776891</v>
      </c>
      <c r="E450" s="20" t="n">
        <f aca="false">E440/(E440+E443)</f>
        <v>0.226119517586731</v>
      </c>
      <c r="F450" s="20" t="n">
        <f aca="false">F440/(F440+F443)</f>
        <v>0.307150951728908</v>
      </c>
      <c r="G450" s="20" t="n">
        <f aca="false">G440/(G440+G443)</f>
        <v>0.358612723219583</v>
      </c>
    </row>
    <row r="451" customFormat="false" ht="17.15" hidden="false" customHeight="false" outlineLevel="0" collapsed="false">
      <c r="A451" s="5" t="s">
        <v>640</v>
      </c>
    </row>
    <row r="452" customFormat="false" ht="17.15" hidden="false" customHeight="false" outlineLevel="0" collapsed="false">
      <c r="A452" s="0" t="s">
        <v>641</v>
      </c>
      <c r="B452" s="0" t="s">
        <v>333</v>
      </c>
      <c r="D452" s="21" t="n">
        <f aca="false">a26_bt</f>
        <v>18.927328</v>
      </c>
      <c r="E452" s="21" t="n">
        <f aca="false">D452*(1+g_bt27_A)</f>
        <v>24.6055264</v>
      </c>
      <c r="F452" s="21" t="n">
        <f aca="false">E452*(1+g_bt28_A)</f>
        <v>27.06607904</v>
      </c>
      <c r="G452" s="21" t="n">
        <f aca="false">F452*(1+g_bt29_A)</f>
        <v>28.419382992</v>
      </c>
      <c r="K452" s="7" t="s">
        <v>642</v>
      </c>
    </row>
    <row r="453" customFormat="false" ht="17.15" hidden="false" customHeight="false" outlineLevel="0" collapsed="false">
      <c r="A453" s="0" t="s">
        <v>540</v>
      </c>
      <c r="B453" s="0" t="s">
        <v>333</v>
      </c>
      <c r="D453" s="21" t="n">
        <f aca="false">a26_pcb</f>
        <v>5.91479</v>
      </c>
      <c r="E453" s="21" t="n">
        <f aca="false">D453*(1+g_pcb)</f>
        <v>5.91479</v>
      </c>
      <c r="F453" s="21" t="n">
        <f aca="false">E453*(1+g_pcb)</f>
        <v>5.91479</v>
      </c>
      <c r="G453" s="21" t="n">
        <f aca="false">F453*(1+g_pcb)</f>
        <v>5.91479</v>
      </c>
    </row>
    <row r="454" customFormat="false" ht="17.15" hidden="false" customHeight="false" outlineLevel="0" collapsed="false">
      <c r="A454" s="3" t="s">
        <v>505</v>
      </c>
      <c r="B454" s="0" t="s">
        <v>333</v>
      </c>
      <c r="C454" s="23" t="n">
        <f aca="false">a25_rev</f>
        <v>40.173</v>
      </c>
      <c r="D454" s="23" t="n">
        <f aca="false">D447+D452+D453</f>
        <v>59.1479</v>
      </c>
      <c r="E454" s="23" t="n">
        <f aca="false">E447+E452+E453</f>
        <v>83.2551644904</v>
      </c>
      <c r="F454" s="23" t="n">
        <f aca="false">F447+F452+F453</f>
        <v>92.1592563814458</v>
      </c>
      <c r="G454" s="23" t="n">
        <f aca="false">G447+G452+G453</f>
        <v>100.09684145058</v>
      </c>
      <c r="H454" s="25" t="n">
        <f aca="false">G454*(1+H456)</f>
        <v>107.846272529307</v>
      </c>
      <c r="I454" s="25" t="n">
        <f aca="false">H454*(1+I456)</f>
        <v>115.256354151813</v>
      </c>
      <c r="J454" s="25" t="n">
        <f aca="false">I454*(1+J456)</f>
        <v>122.171735400922</v>
      </c>
      <c r="K454" s="7" t="s">
        <v>643</v>
      </c>
    </row>
    <row r="455" customFormat="false" ht="17.15" hidden="false" customHeight="false" outlineLevel="0" collapsed="false">
      <c r="A455" s="3" t="s">
        <v>644</v>
      </c>
      <c r="B455" s="0" t="s">
        <v>333</v>
      </c>
      <c r="D455" s="19" t="n">
        <f aca="false">D447+D452+D453-a26_rev</f>
        <v>0</v>
      </c>
      <c r="E455" s="19" t="n">
        <f aca="false">E447+E452+E453-E454</f>
        <v>0</v>
      </c>
      <c r="F455" s="19" t="n">
        <f aca="false">F447+F452+F453-F454</f>
        <v>0</v>
      </c>
      <c r="G455" s="19" t="n">
        <f aca="false">G447+G452+G453-G454</f>
        <v>0</v>
      </c>
    </row>
    <row r="456" customFormat="false" ht="15" hidden="false" customHeight="false" outlineLevel="0" collapsed="false">
      <c r="A456" s="3" t="s">
        <v>645</v>
      </c>
      <c r="B456" s="0" t="s">
        <v>44</v>
      </c>
      <c r="D456" s="20" t="n">
        <f aca="false">D454/C454-1</f>
        <v>0.472329674159261</v>
      </c>
      <c r="E456" s="20" t="n">
        <f aca="false">E454/D454-1</f>
        <v>0.407576</v>
      </c>
      <c r="F456" s="20" t="n">
        <f aca="false">F454/E454-1</f>
        <v>0.106949424045309</v>
      </c>
      <c r="G456" s="20" t="n">
        <f aca="false">G454/F454-1</f>
        <v>0.0861290051677583</v>
      </c>
      <c r="H456" s="26" t="n">
        <f aca="false">$G456+(fade_gA-$G456)*1/3</f>
        <v>0.0774193367785056</v>
      </c>
      <c r="I456" s="26" t="n">
        <f aca="false">$G456+(fade_gA-$G456)*2/3</f>
        <v>0.0687096683892528</v>
      </c>
      <c r="J456" s="26" t="n">
        <f aca="false">$G456+(fade_gA-$G456)*3/3</f>
        <v>0.06</v>
      </c>
    </row>
    <row r="457" customFormat="false" ht="17.15" hidden="false" customHeight="false" outlineLevel="0" collapsed="false">
      <c r="A457" s="0" t="s">
        <v>646</v>
      </c>
      <c r="B457" s="0" t="s">
        <v>44</v>
      </c>
      <c r="D457" s="20" t="n">
        <f aca="false">D447/D454</f>
        <v>0.58</v>
      </c>
      <c r="E457" s="20" t="n">
        <f aca="false">E447/E454</f>
        <v>0.633412334396153</v>
      </c>
      <c r="F457" s="20" t="n">
        <f aca="false">F447/F454</f>
        <v>0.642131779975603</v>
      </c>
      <c r="G457" s="20" t="n">
        <f aca="false">G447/G454</f>
        <v>0.656990445508198</v>
      </c>
    </row>
    <row r="458" customFormat="false" ht="17.15" hidden="false" customHeight="false" outlineLevel="0" collapsed="false">
      <c r="A458" s="0" t="s">
        <v>647</v>
      </c>
      <c r="B458" s="0" t="s">
        <v>44</v>
      </c>
      <c r="D458" s="20" t="n">
        <f aca="false">D449/D454</f>
        <v>0.377</v>
      </c>
      <c r="E458" s="20" t="n">
        <f aca="false">E449/E454</f>
        <v>0.489964042930574</v>
      </c>
      <c r="F458" s="20" t="n">
        <f aca="false">F449/F454</f>
        <v>0.507943626867055</v>
      </c>
      <c r="G458" s="20" t="n">
        <f aca="false">G449/G454</f>
        <v>0.52591339256135</v>
      </c>
      <c r="K458" s="3" t="s">
        <v>648</v>
      </c>
    </row>
    <row r="459" customFormat="false" ht="17.15" hidden="false" customHeight="false" outlineLevel="0" collapsed="false">
      <c r="A459" s="5" t="s">
        <v>649</v>
      </c>
    </row>
    <row r="460" customFormat="false" ht="15" hidden="false" customHeight="false" outlineLevel="0" collapsed="false">
      <c r="A460" s="3" t="s">
        <v>650</v>
      </c>
      <c r="B460" s="0" t="s">
        <v>333</v>
      </c>
      <c r="C460" s="23" t="n">
        <f aca="false">a25_cx</f>
        <v>2.422</v>
      </c>
      <c r="D460" s="23" t="n">
        <f aca="false">capex26</f>
        <v>4</v>
      </c>
      <c r="E460" s="23" t="n">
        <f aca="false">cx27</f>
        <v>14</v>
      </c>
      <c r="F460" s="23" t="n">
        <f aca="false">cx28</f>
        <v>18</v>
      </c>
      <c r="G460" s="23" t="n">
        <f aca="false">cx29</f>
        <v>12</v>
      </c>
      <c r="H460" s="25" t="n">
        <f aca="false">H454*H477</f>
        <v>12.3672413299161</v>
      </c>
      <c r="I460" s="25" t="n">
        <f aca="false">I454*I477</f>
        <v>12.6165992156722</v>
      </c>
      <c r="J460" s="25" t="n">
        <f aca="false">J454*J477</f>
        <v>12.7371805338055</v>
      </c>
    </row>
    <row r="461" customFormat="false" ht="17.15" hidden="false" customHeight="false" outlineLevel="0" collapsed="false">
      <c r="A461" s="3" t="s">
        <v>651</v>
      </c>
      <c r="B461" s="0" t="s">
        <v>333</v>
      </c>
      <c r="C461" s="23" t="n">
        <f aca="false">a25_da</f>
        <v>6.894</v>
      </c>
      <c r="D461" s="23" t="n">
        <f aca="false">da26</f>
        <v>7.1</v>
      </c>
      <c r="E461" s="23" t="n">
        <f aca="false">D461*(1-1/life)+D460/life</f>
        <v>6.7125</v>
      </c>
      <c r="F461" s="23" t="n">
        <f aca="false">E461*(1-1/life)+E460/life</f>
        <v>7.6234375</v>
      </c>
      <c r="G461" s="23" t="n">
        <f aca="false">F461*(1-1/life)+F460/life</f>
        <v>8.9205078125</v>
      </c>
      <c r="H461" s="25" t="n">
        <f aca="false">H454*H462</f>
        <v>9.61112761107123</v>
      </c>
      <c r="I461" s="25" t="n">
        <f aca="false">I454*I462</f>
        <v>10.2715050020747</v>
      </c>
      <c r="J461" s="25" t="n">
        <f aca="false">J454*J462</f>
        <v>10.8877953021992</v>
      </c>
      <c r="K461" s="3" t="s">
        <v>652</v>
      </c>
    </row>
    <row r="462" customFormat="false" ht="17.15" hidden="false" customHeight="false" outlineLevel="0" collapsed="false">
      <c r="A462" s="3" t="s">
        <v>653</v>
      </c>
      <c r="B462" s="0" t="s">
        <v>44</v>
      </c>
      <c r="C462" s="20" t="n">
        <f aca="false">C461/C454</f>
        <v>0.171607796281084</v>
      </c>
      <c r="D462" s="20" t="n">
        <f aca="false">D461/D454</f>
        <v>0.120038074048276</v>
      </c>
      <c r="E462" s="20" t="n">
        <f aca="false">E461/E454</f>
        <v>0.0806256289455053</v>
      </c>
      <c r="F462" s="20" t="n">
        <f aca="false">F461/F454</f>
        <v>0.0827202583801969</v>
      </c>
      <c r="G462" s="20" t="n">
        <f aca="false">G461/G454</f>
        <v>0.0891187742113146</v>
      </c>
      <c r="H462" s="26" t="n">
        <f aca="false">$G462</f>
        <v>0.0891187742113146</v>
      </c>
      <c r="I462" s="26" t="n">
        <f aca="false">$G462</f>
        <v>0.0891187742113146</v>
      </c>
      <c r="J462" s="26" t="n">
        <f aca="false">$G462</f>
        <v>0.0891187742113146</v>
      </c>
    </row>
    <row r="463" customFormat="false" ht="17.15" hidden="false" customHeight="false" outlineLevel="0" collapsed="false">
      <c r="A463" s="3" t="s">
        <v>654</v>
      </c>
      <c r="B463" s="0" t="s">
        <v>333</v>
      </c>
      <c r="E463" s="21" t="n">
        <f aca="false">E449*(1-1/(E434*E435))</f>
        <v>7.35594109629885</v>
      </c>
      <c r="F463" s="21" t="n">
        <f aca="false">F449*(1-1/(F434*F435))</f>
        <v>6.42196842345661</v>
      </c>
      <c r="G463" s="21" t="n">
        <f aca="false">G449*(1-1/(G434*G435))</f>
        <v>4.69849035359847</v>
      </c>
      <c r="K463" s="7" t="s">
        <v>655</v>
      </c>
    </row>
    <row r="464" customFormat="false" ht="17.15" hidden="false" customHeight="false" outlineLevel="0" collapsed="false">
      <c r="A464" s="3" t="s">
        <v>656</v>
      </c>
      <c r="B464" s="0" t="s">
        <v>333</v>
      </c>
      <c r="C464" s="21" t="n">
        <f aca="false">a25_gp</f>
        <v>3.647</v>
      </c>
      <c r="D464" s="21" t="n">
        <f aca="false">a26_gp</f>
        <v>15.9001925</v>
      </c>
      <c r="E464" s="21" t="n">
        <f aca="false">$D464+ft_abf*(E447-E463-$D447)+ft_oth*((E454-E447)-($D454-$D447))+E463-(E461-$D461)</f>
        <v>31.4514754533494</v>
      </c>
      <c r="F464" s="21" t="n">
        <f aca="false">$D464+ft_abf*(F447-F463-$D447)+ft_oth*((F454-F447)-($D454-$D447))+F463-(F461-$D461)</f>
        <v>34.2795422984512</v>
      </c>
      <c r="G464" s="21" t="n">
        <f aca="false">$D464+ft_abf*(G447-G463-$D447)+ft_oth*((G454-G447)-($D454-$D447))+G463-(G461-$D461)</f>
        <v>35.9541950903893</v>
      </c>
      <c r="K464" s="3" t="s">
        <v>657</v>
      </c>
    </row>
    <row r="465" customFormat="false" ht="15" hidden="false" customHeight="false" outlineLevel="0" collapsed="false">
      <c r="A465" s="3" t="s">
        <v>512</v>
      </c>
      <c r="B465" s="0" t="s">
        <v>44</v>
      </c>
      <c r="C465" s="16" t="n">
        <f aca="false">C464/C454</f>
        <v>0.0907823662659</v>
      </c>
      <c r="D465" s="16" t="n">
        <f aca="false">D464/D454</f>
        <v>0.268820913337583</v>
      </c>
      <c r="E465" s="16" t="n">
        <f aca="false">E464/E454</f>
        <v>0.377772065503228</v>
      </c>
      <c r="F465" s="16" t="n">
        <f aca="false">F464/F454</f>
        <v>0.371959840437174</v>
      </c>
      <c r="G465" s="16" t="n">
        <f aca="false">G464/G454</f>
        <v>0.359194102124997</v>
      </c>
    </row>
    <row r="466" customFormat="false" ht="15" hidden="false" customHeight="false" outlineLevel="0" collapsed="false">
      <c r="A466" s="3" t="s">
        <v>514</v>
      </c>
      <c r="B466" s="0" t="s">
        <v>333</v>
      </c>
      <c r="C466" s="21" t="n">
        <f aca="false">a25_opx</f>
        <v>1.665</v>
      </c>
      <c r="D466" s="21" t="n">
        <f aca="false">a26_opx</f>
        <v>1.9</v>
      </c>
      <c r="E466" s="21" t="n">
        <f aca="false">D466*(1+phi*E456)</f>
        <v>2.36463664</v>
      </c>
      <c r="F466" s="21" t="n">
        <f aca="false">E466*(1+phi*F456)</f>
        <v>2.51637455603466</v>
      </c>
      <c r="G466" s="21" t="n">
        <f aca="false">F466*(1+phi*G456)</f>
        <v>2.6464142583191</v>
      </c>
    </row>
    <row r="467" customFormat="false" ht="15" hidden="false" customHeight="false" outlineLevel="0" collapsed="false">
      <c r="A467" s="3" t="s">
        <v>517</v>
      </c>
      <c r="B467" s="0" t="s">
        <v>333</v>
      </c>
      <c r="C467" s="21" t="n">
        <f aca="false">C464-C466</f>
        <v>1.982</v>
      </c>
      <c r="D467" s="21" t="n">
        <f aca="false">D464-D466</f>
        <v>14.0001925</v>
      </c>
      <c r="E467" s="21" t="n">
        <f aca="false">E464-E466</f>
        <v>29.0868388133494</v>
      </c>
      <c r="F467" s="21" t="n">
        <f aca="false">F464-F466</f>
        <v>31.7631677424165</v>
      </c>
      <c r="G467" s="21" t="n">
        <f aca="false">G464-G466</f>
        <v>33.3077808320702</v>
      </c>
    </row>
    <row r="468" customFormat="false" ht="15" hidden="false" customHeight="false" outlineLevel="0" collapsed="false">
      <c r="A468" s="3" t="s">
        <v>598</v>
      </c>
      <c r="B468" s="0" t="s">
        <v>44</v>
      </c>
      <c r="C468" s="16" t="n">
        <f aca="false">C467/C454</f>
        <v>0.0493366191222961</v>
      </c>
      <c r="D468" s="16" t="n">
        <f aca="false">D467/D454</f>
        <v>0.236698048451424</v>
      </c>
      <c r="E468" s="16" t="n">
        <f aca="false">E467/E454</f>
        <v>0.349369783741204</v>
      </c>
      <c r="F468" s="16" t="n">
        <f aca="false">F467/F454</f>
        <v>0.344655208706863</v>
      </c>
      <c r="G468" s="16" t="n">
        <f aca="false">G467/G454</f>
        <v>0.3327555630066</v>
      </c>
    </row>
    <row r="469" customFormat="false" ht="15" hidden="false" customHeight="false" outlineLevel="0" collapsed="false">
      <c r="A469" s="3" t="s">
        <v>520</v>
      </c>
      <c r="B469" s="0" t="s">
        <v>333</v>
      </c>
      <c r="C469" s="21" t="n">
        <f aca="false">a25_nonop</f>
        <v>0.364</v>
      </c>
      <c r="D469" s="21" t="n">
        <f aca="false">a26_nonop</f>
        <v>0.623</v>
      </c>
      <c r="E469" s="21" t="n">
        <f aca="false">nonop27</f>
        <v>0.6</v>
      </c>
      <c r="F469" s="21" t="n">
        <f aca="false">nonop28</f>
        <v>0.6</v>
      </c>
      <c r="G469" s="21" t="n">
        <f aca="false">nonop29</f>
        <v>0.6</v>
      </c>
    </row>
    <row r="470" customFormat="false" ht="15" hidden="false" customHeight="false" outlineLevel="0" collapsed="false">
      <c r="A470" s="3" t="s">
        <v>522</v>
      </c>
      <c r="B470" s="0" t="s">
        <v>333</v>
      </c>
      <c r="C470" s="21" t="n">
        <f aca="false">C467+C469</f>
        <v>2.346</v>
      </c>
      <c r="D470" s="21" t="n">
        <f aca="false">D467+D469</f>
        <v>14.6231925</v>
      </c>
      <c r="E470" s="21" t="n">
        <f aca="false">E467+E469</f>
        <v>29.6868388133494</v>
      </c>
      <c r="F470" s="21" t="n">
        <f aca="false">F467+F469</f>
        <v>32.3631677424165</v>
      </c>
      <c r="G470" s="21" t="n">
        <f aca="false">G467+G469</f>
        <v>33.9077808320702</v>
      </c>
    </row>
    <row r="471" customFormat="false" ht="15" hidden="false" customHeight="false" outlineLevel="0" collapsed="false">
      <c r="A471" s="3" t="s">
        <v>525</v>
      </c>
      <c r="B471" s="0" t="s">
        <v>333</v>
      </c>
      <c r="E471" s="21" t="n">
        <f aca="false">E470*tax</f>
        <v>6.23423615080338</v>
      </c>
      <c r="F471" s="21" t="n">
        <f aca="false">F470*tax</f>
        <v>6.79626522590747</v>
      </c>
      <c r="G471" s="21" t="n">
        <f aca="false">G470*tax</f>
        <v>7.12063397473473</v>
      </c>
    </row>
    <row r="472" customFormat="false" ht="15" hidden="false" customHeight="false" outlineLevel="0" collapsed="false">
      <c r="A472" s="3" t="s">
        <v>523</v>
      </c>
      <c r="B472" s="0" t="s">
        <v>333</v>
      </c>
      <c r="C472" s="21" t="n">
        <f aca="false">a25_ni</f>
        <v>1.947</v>
      </c>
      <c r="D472" s="21" t="n">
        <f aca="false">a26_ni</f>
        <v>11.509862075</v>
      </c>
      <c r="E472" s="21" t="n">
        <f aca="false">E470-E471</f>
        <v>23.4526026625461</v>
      </c>
      <c r="F472" s="21" t="n">
        <f aca="false">F470-F471</f>
        <v>25.5669025165091</v>
      </c>
      <c r="G472" s="21" t="n">
        <f aca="false">G470-G471</f>
        <v>26.7871468573354</v>
      </c>
      <c r="H472" s="30" t="n">
        <f aca="false">H454*H476</f>
        <v>28.2927898136661</v>
      </c>
      <c r="I472" s="30" t="n">
        <f aca="false">I454*I476</f>
        <v>29.6295369855517</v>
      </c>
      <c r="J472" s="30" t="n">
        <f aca="false">J454*J476</f>
        <v>30.7636337086256</v>
      </c>
    </row>
    <row r="473" customFormat="false" ht="15" hidden="false" customHeight="false" outlineLevel="0" collapsed="false">
      <c r="A473" s="3" t="s">
        <v>658</v>
      </c>
      <c r="B473" s="3" t="s">
        <v>400</v>
      </c>
      <c r="C473" s="29" t="n">
        <f aca="false">a25_sh</f>
        <v>0.646843853820598</v>
      </c>
      <c r="D473" s="29" t="n">
        <f aca="false">a26_sh</f>
        <v>0.645863325123153</v>
      </c>
      <c r="E473" s="29" t="n">
        <f aca="false">a26_shend*(1+sh_g)</f>
        <v>0.64617</v>
      </c>
      <c r="F473" s="29" t="n">
        <f aca="false">E473*(1+sh_g)</f>
        <v>0.64617</v>
      </c>
      <c r="G473" s="29" t="n">
        <f aca="false">F473*(1+sh_g)</f>
        <v>0.64617</v>
      </c>
      <c r="H473" s="31" t="n">
        <f aca="false">G473*(1+sh_g)</f>
        <v>0.64617</v>
      </c>
      <c r="I473" s="31" t="n">
        <f aca="false">H473*(1+sh_g)</f>
        <v>0.64617</v>
      </c>
      <c r="J473" s="31" t="n">
        <f aca="false">I473*(1+sh_g)</f>
        <v>0.64617</v>
      </c>
    </row>
    <row r="474" customFormat="false" ht="17.15" hidden="false" customHeight="false" outlineLevel="0" collapsed="false">
      <c r="A474" s="0" t="s">
        <v>528</v>
      </c>
      <c r="B474" s="0" t="s">
        <v>406</v>
      </c>
      <c r="C474" s="18" t="n">
        <f aca="false">C472/C473</f>
        <v>3.01</v>
      </c>
      <c r="D474" s="18" t="n">
        <f aca="false">D472/D473</f>
        <v>17.820894339844</v>
      </c>
      <c r="E474" s="18" t="n">
        <f aca="false">E472/E473</f>
        <v>36.2947872271168</v>
      </c>
      <c r="F474" s="18" t="n">
        <f aca="false">F472/F473</f>
        <v>39.566836152265</v>
      </c>
      <c r="G474" s="18" t="n">
        <f aca="false">G472/G473</f>
        <v>41.4552623262229</v>
      </c>
      <c r="H474" s="28" t="n">
        <f aca="false">H472/H473</f>
        <v>43.785365791767</v>
      </c>
      <c r="I474" s="28" t="n">
        <f aca="false">I472/I473</f>
        <v>45.8540894587365</v>
      </c>
      <c r="J474" s="28" t="n">
        <f aca="false">J472/J473</f>
        <v>47.6091952715626</v>
      </c>
    </row>
    <row r="475" customFormat="false" ht="17.15" hidden="false" customHeight="false" outlineLevel="0" collapsed="false">
      <c r="A475" s="0" t="s">
        <v>659</v>
      </c>
      <c r="B475" s="0" t="s">
        <v>44</v>
      </c>
      <c r="D475" s="20" t="n">
        <f aca="false">D474/C474-1</f>
        <v>4.92056290360265</v>
      </c>
      <c r="E475" s="20" t="n">
        <f aca="false">E474/D474-1</f>
        <v>1.03664229948151</v>
      </c>
      <c r="F475" s="20" t="n">
        <f aca="false">F474/E474-1</f>
        <v>0.0901520349099483</v>
      </c>
      <c r="G475" s="20" t="n">
        <f aca="false">G474/F474-1</f>
        <v>0.0477275000379278</v>
      </c>
      <c r="H475" s="26" t="n">
        <f aca="false">H474/G474-1</f>
        <v>0.0562076642335028</v>
      </c>
      <c r="I475" s="26" t="n">
        <f aca="false">I474/H474-1</f>
        <v>0.0472469198226604</v>
      </c>
      <c r="J475" s="26" t="n">
        <f aca="false">J474/I474-1</f>
        <v>0.0382758840823896</v>
      </c>
    </row>
    <row r="476" customFormat="false" ht="17.15" hidden="false" customHeight="false" outlineLevel="0" collapsed="false">
      <c r="A476" s="3" t="s">
        <v>660</v>
      </c>
      <c r="B476" s="0" t="s">
        <v>44</v>
      </c>
      <c r="C476" s="16" t="n">
        <f aca="false">C472/C454</f>
        <v>0.0484653872003585</v>
      </c>
      <c r="D476" s="16" t="n">
        <f aca="false">D472/D454</f>
        <v>0.194594602259759</v>
      </c>
      <c r="E476" s="16" t="n">
        <f aca="false">E472/E454</f>
        <v>0.281695469657625</v>
      </c>
      <c r="F476" s="16" t="n">
        <f aca="false">F472/F454</f>
        <v>0.277420885544997</v>
      </c>
      <c r="G476" s="16" t="n">
        <f aca="false">G472/G454</f>
        <v>0.267612308931454</v>
      </c>
      <c r="H476" s="27" t="n">
        <f aca="false">$G476+(fade_mA-$G476)*1/3</f>
        <v>0.262343696727928</v>
      </c>
      <c r="I476" s="27" t="n">
        <f aca="false">$G476+(fade_mA-$G476)*2/3</f>
        <v>0.257075084524402</v>
      </c>
      <c r="J476" s="27" t="n">
        <f aca="false">$G476+(fade_mA-$G476)*3/3</f>
        <v>0.251806472320876</v>
      </c>
    </row>
    <row r="477" customFormat="false" ht="17.15" hidden="false" customHeight="false" outlineLevel="0" collapsed="false">
      <c r="A477" s="3" t="s">
        <v>661</v>
      </c>
      <c r="B477" s="0" t="s">
        <v>44</v>
      </c>
      <c r="C477" s="20" t="n">
        <f aca="false">C460/C454</f>
        <v>0.0602892489980833</v>
      </c>
      <c r="D477" s="20" t="n">
        <f aca="false">D460/D454</f>
        <v>0.0676270839708595</v>
      </c>
      <c r="E477" s="20" t="n">
        <f aca="false">E460/E454</f>
        <v>0.168157736348168</v>
      </c>
      <c r="F477" s="20" t="n">
        <f aca="false">F460/F454</f>
        <v>0.195314075945863</v>
      </c>
      <c r="G477" s="20" t="n">
        <f aca="false">G460/G454</f>
        <v>0.119883902689623</v>
      </c>
      <c r="H477" s="26" t="n">
        <f aca="false">$G477+($G462*(1+tp_g)^(life/2)-$G477)*1/3</f>
        <v>0.114674722082353</v>
      </c>
      <c r="I477" s="26" t="n">
        <f aca="false">$G477+($G462*(1+tp_g)^(life/2)-$G477)*2/3</f>
        <v>0.109465541475084</v>
      </c>
      <c r="J477" s="26" t="n">
        <f aca="false">$G477+($G462*(1+tp_g)^(life/2)-$G477)*3/3</f>
        <v>0.104256360867814</v>
      </c>
      <c r="K477" s="7" t="s">
        <v>662</v>
      </c>
    </row>
    <row r="478" customFormat="false" ht="15" hidden="false" customHeight="false" outlineLevel="0" collapsed="false">
      <c r="A478" s="3" t="s">
        <v>663</v>
      </c>
      <c r="B478" s="0" t="s">
        <v>333</v>
      </c>
      <c r="E478" s="21" t="n">
        <f aca="false">E472+E461-E460</f>
        <v>16.1651026625461</v>
      </c>
      <c r="F478" s="21" t="n">
        <f aca="false">F472+F461-F460</f>
        <v>15.1903400165091</v>
      </c>
      <c r="G478" s="21" t="n">
        <f aca="false">G472+G461-G460</f>
        <v>23.7076546698354</v>
      </c>
      <c r="H478" s="30" t="n">
        <f aca="false">H472+H461-H460</f>
        <v>25.5366760948212</v>
      </c>
      <c r="I478" s="30" t="n">
        <f aca="false">I472+I461-I460</f>
        <v>27.2844427719543</v>
      </c>
      <c r="J478" s="30" t="n">
        <f aca="false">J472+J461-J460</f>
        <v>28.9142484770193</v>
      </c>
      <c r="K478" s="3" t="s">
        <v>664</v>
      </c>
    </row>
    <row r="479" customFormat="false" ht="15" hidden="false" customHeight="false" outlineLevel="0" collapsed="false">
      <c r="A479" s="3" t="s">
        <v>665</v>
      </c>
      <c r="B479" s="0" t="s">
        <v>406</v>
      </c>
      <c r="E479" s="18" t="n">
        <f aca="false">E478/E473</f>
        <v>25.0167953673895</v>
      </c>
      <c r="F479" s="18" t="n">
        <f aca="false">F478/F473</f>
        <v>23.5082718425632</v>
      </c>
      <c r="G479" s="18" t="n">
        <f aca="false">G478/G473</f>
        <v>36.6895007038944</v>
      </c>
      <c r="H479" s="28" t="n">
        <f aca="false">H478/H473</f>
        <v>39.520058335765</v>
      </c>
      <c r="I479" s="28" t="n">
        <f aca="false">I478/I473</f>
        <v>42.2248677158554</v>
      </c>
      <c r="J479" s="28" t="n">
        <f aca="false">J478/J473</f>
        <v>44.7471230125498</v>
      </c>
    </row>
    <row r="482" customFormat="false" ht="17.15" hidden="false" customHeight="false" outlineLevel="0" collapsed="false">
      <c r="A482" s="1" t="s">
        <v>1015</v>
      </c>
    </row>
    <row r="483" customFormat="false" ht="17.15" hidden="false" customHeight="false" outlineLevel="0" collapsed="false">
      <c r="A483" s="4" t="s">
        <v>21</v>
      </c>
      <c r="B483" s="4" t="s">
        <v>22</v>
      </c>
      <c r="C483" s="13" t="s">
        <v>498</v>
      </c>
      <c r="D483" s="13" t="s">
        <v>585</v>
      </c>
      <c r="E483" s="13" t="s">
        <v>586</v>
      </c>
      <c r="F483" s="13" t="s">
        <v>587</v>
      </c>
      <c r="G483" s="13" t="s">
        <v>588</v>
      </c>
      <c r="H483" s="13" t="s">
        <v>589</v>
      </c>
      <c r="I483" s="13" t="s">
        <v>590</v>
      </c>
      <c r="J483" s="13" t="s">
        <v>591</v>
      </c>
      <c r="K483" s="4" t="s">
        <v>553</v>
      </c>
    </row>
    <row r="484" customFormat="false" ht="17.15" hidden="false" customHeight="false" outlineLevel="0" collapsed="false">
      <c r="A484" s="5" t="s">
        <v>609</v>
      </c>
    </row>
    <row r="485" customFormat="false" ht="17.15" hidden="false" customHeight="false" outlineLevel="0" collapsed="false">
      <c r="A485" s="0" t="s">
        <v>610</v>
      </c>
      <c r="B485" s="3" t="s">
        <v>32</v>
      </c>
      <c r="D485" s="21" t="n">
        <f aca="false">(u_bw_26+u_rb_26+u_ru_26+u_hp_26)*1</f>
        <v>7.6</v>
      </c>
      <c r="E485" s="21" t="n">
        <f aca="false">(u_bw_27+u_rb_27+u_ru_27+u_hp_27)*1*1</f>
        <v>9.7</v>
      </c>
      <c r="F485" s="21" t="n">
        <f aca="false">(u_bw_28+u_rb_28+u_ru_28+u_hp_28)*um28_A*1</f>
        <v>9.5</v>
      </c>
      <c r="G485" s="21" t="n">
        <f aca="false">(u_bw_28*(1+g29_bw)+u_rb_28*(1+g29_rb)+u_ru_28*(1+g29_ru)+u_hp_28*(1+g29_hp))*um29_A*1</f>
        <v>10.6</v>
      </c>
      <c r="K485" s="7" t="s">
        <v>611</v>
      </c>
    </row>
    <row r="486" customFormat="false" ht="17.15" hidden="false" customHeight="false" outlineLevel="0" collapsed="false">
      <c r="A486" s="3" t="s">
        <v>612</v>
      </c>
      <c r="B486" s="3" t="s">
        <v>32</v>
      </c>
      <c r="D486" s="21" t="n">
        <f aca="false">(u_amd_26+u_tpu_26+u_trn_26+u_oth_26)*1</f>
        <v>7.6</v>
      </c>
      <c r="E486" s="21" t="n">
        <f aca="false">(u_amd_27+u_tpu_27+u_trn_27+u_oth_27)*1*1</f>
        <v>14</v>
      </c>
      <c r="F486" s="21" t="n">
        <f aca="false">(u_amd_28+u_tpu_28+u_trn_28+u_oth_28)*um28_A*1</f>
        <v>17</v>
      </c>
      <c r="G486" s="21" t="n">
        <f aca="false">(u_amd_28*(1+g29_amd)+u_tpu_28*(1+g29_tpu)+u_trn_28*(1+g29_trn)+u_oth_28*(1+g29_oth))*um29_A*1</f>
        <v>19.55</v>
      </c>
      <c r="K486" s="7" t="s">
        <v>613</v>
      </c>
    </row>
    <row r="487" customFormat="false" ht="17.15" hidden="false" customHeight="false" outlineLevel="0" collapsed="false">
      <c r="A487" s="3" t="s">
        <v>614</v>
      </c>
      <c r="B487" s="0" t="s">
        <v>154</v>
      </c>
      <c r="D487" s="19" t="n">
        <f aca="false">1</f>
        <v>1</v>
      </c>
      <c r="E487" s="19" t="n">
        <f aca="false">D487*(1+g_asp)</f>
        <v>1.18</v>
      </c>
      <c r="F487" s="19" t="n">
        <f aca="false">E487*(1+g_asp)</f>
        <v>1.3924</v>
      </c>
      <c r="G487" s="19" t="n">
        <f aca="false">F487*(1+g_asp)</f>
        <v>1.643032</v>
      </c>
      <c r="K487" s="7" t="s">
        <v>615</v>
      </c>
    </row>
    <row r="488" customFormat="false" ht="17.15" hidden="false" customHeight="false" outlineLevel="0" collapsed="false">
      <c r="A488" s="0" t="s">
        <v>616</v>
      </c>
      <c r="B488" s="0" t="s">
        <v>154</v>
      </c>
      <c r="D488" s="18" t="n">
        <f aca="false">1</f>
        <v>1</v>
      </c>
      <c r="E488" s="18" t="n">
        <f aca="false">ibpp_27</f>
        <v>1</v>
      </c>
      <c r="F488" s="18" t="n">
        <f aca="false">ibpp_28</f>
        <v>0.95</v>
      </c>
      <c r="G488" s="18" t="n">
        <f aca="false">ibpp_29</f>
        <v>0.9</v>
      </c>
      <c r="K488" s="7" t="s">
        <v>617</v>
      </c>
    </row>
    <row r="489" customFormat="false" ht="17.15" hidden="false" customHeight="false" outlineLevel="0" collapsed="false">
      <c r="A489" s="3" t="s">
        <v>618</v>
      </c>
      <c r="B489" s="0" t="s">
        <v>154</v>
      </c>
      <c r="D489" s="18" t="n">
        <f aca="false">1</f>
        <v>1</v>
      </c>
      <c r="E489" s="18" t="n">
        <f aca="false">1+carry</f>
        <v>1.15</v>
      </c>
      <c r="F489" s="18" t="n">
        <f aca="false">1+carry</f>
        <v>1.15</v>
      </c>
      <c r="G489" s="18" t="n">
        <f aca="false">1+carry</f>
        <v>1.15</v>
      </c>
      <c r="K489" s="7" t="s">
        <v>619</v>
      </c>
    </row>
    <row r="490" customFormat="false" ht="17.15" hidden="false" customHeight="false" outlineLevel="0" collapsed="false">
      <c r="A490" s="3" t="s">
        <v>620</v>
      </c>
      <c r="B490" s="0" t="s">
        <v>621</v>
      </c>
      <c r="D490" s="23" t="n">
        <f aca="false">v26*D487*D488</f>
        <v>215.308596</v>
      </c>
      <c r="E490" s="23" t="n">
        <f aca="false">v26*E487*E488</f>
        <v>254.06414328</v>
      </c>
      <c r="F490" s="23" t="n">
        <f aca="false">v26*F487*F488</f>
        <v>284.80590461688</v>
      </c>
      <c r="G490" s="23" t="n">
        <f aca="false">v26*G487*G488</f>
        <v>318.383021792765</v>
      </c>
      <c r="K490" s="7" t="s">
        <v>622</v>
      </c>
    </row>
    <row r="491" customFormat="false" ht="17.15" hidden="false" customHeight="false" outlineLevel="0" collapsed="false">
      <c r="A491" s="3" t="s">
        <v>623</v>
      </c>
      <c r="B491" s="0" t="s">
        <v>44</v>
      </c>
      <c r="D491" s="20" t="n">
        <f aca="false">sh_nv_26</f>
        <v>0.02</v>
      </c>
      <c r="E491" s="20" t="n">
        <f aca="false">sh_nv_27</f>
        <v>0.03</v>
      </c>
      <c r="F491" s="20" t="n">
        <f aca="false">sh_nv_28</f>
        <v>0.04</v>
      </c>
      <c r="G491" s="20" t="n">
        <f aca="false">sh_nv_29</f>
        <v>0.04</v>
      </c>
    </row>
    <row r="492" customFormat="false" ht="17.15" hidden="false" customHeight="false" outlineLevel="0" collapsed="false">
      <c r="A492" s="3" t="s">
        <v>624</v>
      </c>
      <c r="B492" s="0" t="s">
        <v>44</v>
      </c>
      <c r="D492" s="20" t="n">
        <f aca="false">sh_ot_26</f>
        <v>0.05</v>
      </c>
      <c r="E492" s="20" t="n">
        <f aca="false">sh_ot_27</f>
        <v>0.06</v>
      </c>
      <c r="F492" s="20" t="n">
        <f aca="false">sh_ot_28</f>
        <v>0.07</v>
      </c>
      <c r="G492" s="20" t="n">
        <f aca="false">sh_ot_29</f>
        <v>0.07</v>
      </c>
    </row>
    <row r="493" customFormat="false" ht="17.15" hidden="false" customHeight="false" outlineLevel="0" collapsed="false">
      <c r="A493" s="3" t="s">
        <v>625</v>
      </c>
      <c r="B493" s="0" t="s">
        <v>575</v>
      </c>
      <c r="D493" s="22" t="n">
        <f aca="false">(D485*D490*D491+D486*D490*v_ot*D492)*D489</f>
        <v>98.180719776</v>
      </c>
      <c r="E493" s="22" t="n">
        <f aca="false">(E485*E490*E491+E486*E490*v_ot*E492)*E489</f>
        <v>281.363335475436</v>
      </c>
      <c r="F493" s="22" t="n">
        <f aca="false">(F485*F490*F491+F486*F490*v_ot*F492)*F489</f>
        <v>436.265684692137</v>
      </c>
      <c r="G493" s="22" t="n">
        <f aca="false">(G485*G490*G491+G486*G490*v_ot*G492)*G489</f>
        <v>556.094153523679</v>
      </c>
    </row>
    <row r="494" customFormat="false" ht="15" hidden="false" customHeight="false" outlineLevel="0" collapsed="false">
      <c r="A494" s="3" t="s">
        <v>626</v>
      </c>
      <c r="B494" s="0" t="s">
        <v>333</v>
      </c>
      <c r="D494" s="21" t="n">
        <f aca="false">D493*fx/1000</f>
        <v>3.141783032832</v>
      </c>
      <c r="E494" s="21" t="n">
        <f aca="false">E493*fx/1000</f>
        <v>9.00362673521395</v>
      </c>
      <c r="F494" s="21" t="n">
        <f aca="false">F493*fx/1000</f>
        <v>13.9605019101484</v>
      </c>
      <c r="G494" s="21" t="n">
        <f aca="false">G493*fx/1000</f>
        <v>17.7950129127577</v>
      </c>
    </row>
    <row r="495" customFormat="false" ht="17.15" hidden="false" customHeight="false" outlineLevel="0" collapsed="false">
      <c r="A495" s="5" t="s">
        <v>627</v>
      </c>
    </row>
    <row r="496" customFormat="false" ht="17.15" hidden="false" customHeight="false" outlineLevel="0" collapsed="false">
      <c r="A496" s="0" t="s">
        <v>628</v>
      </c>
      <c r="B496" s="0" t="s">
        <v>333</v>
      </c>
      <c r="D496" s="21" t="n">
        <f aca="false">a26_abf*ai_abf</f>
        <v>22.2987583</v>
      </c>
      <c r="K496" s="3" t="s">
        <v>629</v>
      </c>
    </row>
    <row r="497" customFormat="false" ht="17.15" hidden="false" customHeight="false" outlineLevel="0" collapsed="false">
      <c r="A497" s="3" t="s">
        <v>630</v>
      </c>
      <c r="B497" s="0" t="s">
        <v>333</v>
      </c>
      <c r="D497" s="21" t="n">
        <f aca="false">D496-D494</f>
        <v>19.156975267168</v>
      </c>
      <c r="E497" s="21" t="n">
        <f aca="false">$D497*(swm_27/swm_26)^el_o*1*1*E488*E489</f>
        <v>30.814372309298</v>
      </c>
      <c r="F497" s="21" t="n">
        <f aca="false">$D497*(swm_28/swm_26)^el_o*um28_A*1*F488*F489</f>
        <v>31.4910971539819</v>
      </c>
      <c r="G497" s="21" t="n">
        <f aca="false">$D497*(swm_29/swm_26)^el_o*um29_A*1*G488*G489</f>
        <v>31.8267984747363</v>
      </c>
      <c r="K497" s="7" t="s">
        <v>631</v>
      </c>
    </row>
    <row r="498" customFormat="false" ht="17.15" hidden="false" customHeight="false" outlineLevel="0" collapsed="false">
      <c r="A498" s="3" t="s">
        <v>632</v>
      </c>
      <c r="B498" s="0" t="s">
        <v>333</v>
      </c>
      <c r="D498" s="21" t="n">
        <f aca="false">a26_abf-D496</f>
        <v>12.0070237</v>
      </c>
      <c r="E498" s="21" t="n">
        <f aca="false">D498*(1+g_nai)</f>
        <v>12.367234411</v>
      </c>
      <c r="F498" s="21" t="n">
        <f aca="false">E498*(1+g_nai)</f>
        <v>12.73825144333</v>
      </c>
      <c r="G498" s="21" t="n">
        <f aca="false">F498*(1+g_nai)</f>
        <v>13.1203989866299</v>
      </c>
    </row>
    <row r="499" customFormat="false" ht="17.15" hidden="false" customHeight="false" outlineLevel="0" collapsed="false">
      <c r="A499" s="0" t="s">
        <v>633</v>
      </c>
      <c r="B499" s="0" t="s">
        <v>333</v>
      </c>
      <c r="D499" s="21" t="n">
        <f aca="false">D494+D497+D498</f>
        <v>34.305782</v>
      </c>
      <c r="E499" s="21" t="n">
        <f aca="false">E494+E497+E498</f>
        <v>52.185233455512</v>
      </c>
      <c r="F499" s="21" t="n">
        <f aca="false">F494+F497+F498</f>
        <v>58.1898505074603</v>
      </c>
      <c r="G499" s="21" t="n">
        <f aca="false">G494+G497+G498</f>
        <v>62.7422103741239</v>
      </c>
    </row>
    <row r="500" customFormat="false" ht="17.15" hidden="false" customHeight="false" outlineLevel="0" collapsed="false">
      <c r="A500" s="0" t="s">
        <v>634</v>
      </c>
      <c r="B500" s="0" t="s">
        <v>333</v>
      </c>
      <c r="D500" s="21" t="n">
        <f aca="false">a26_abf</f>
        <v>34.305782</v>
      </c>
      <c r="E500" s="21" t="n">
        <f aca="false">$D499*cap_27*(1+g_mix)^1*E488*E489</f>
        <v>49.709078118</v>
      </c>
      <c r="F500" s="21" t="n">
        <f aca="false">$D499*cap_28*(1+g_mix)^2*F488*F489</f>
        <v>55.7829061005431</v>
      </c>
      <c r="G500" s="21" t="n">
        <f aca="false">$D499*cap_29*(1+g_mix)^3*G488*G489</f>
        <v>65.765110350114</v>
      </c>
      <c r="K500" s="7" t="s">
        <v>635</v>
      </c>
    </row>
    <row r="501" customFormat="false" ht="17.15" hidden="false" customHeight="false" outlineLevel="0" collapsed="false">
      <c r="A501" s="0" t="s">
        <v>636</v>
      </c>
      <c r="B501" s="0" t="s">
        <v>333</v>
      </c>
      <c r="D501" s="21" t="n">
        <f aca="false">a26_abf</f>
        <v>34.305782</v>
      </c>
      <c r="E501" s="21" t="n">
        <f aca="false">MIN(E499,E500)</f>
        <v>49.709078118</v>
      </c>
      <c r="F501" s="21" t="n">
        <f aca="false">MIN(F499,F500)</f>
        <v>55.7829061005431</v>
      </c>
      <c r="G501" s="21" t="n">
        <f aca="false">MIN(G499,G500)</f>
        <v>62.7422103741239</v>
      </c>
    </row>
    <row r="502" customFormat="false" ht="17.15" hidden="false" customHeight="false" outlineLevel="0" collapsed="false">
      <c r="A502" s="3" t="s">
        <v>637</v>
      </c>
      <c r="B502" s="0" t="s">
        <v>44</v>
      </c>
      <c r="D502" s="20" t="n">
        <f aca="false">D501/D499</f>
        <v>1</v>
      </c>
      <c r="E502" s="20" t="n">
        <f aca="false">E501/E499</f>
        <v>0.952550651332759</v>
      </c>
      <c r="F502" s="20" t="n">
        <f aca="false">F501/F499</f>
        <v>0.958636353489023</v>
      </c>
      <c r="G502" s="20" t="n">
        <f aca="false">G501/G499</f>
        <v>1</v>
      </c>
    </row>
    <row r="503" customFormat="false" ht="17.15" hidden="false" customHeight="false" outlineLevel="0" collapsed="false">
      <c r="A503" s="0" t="s">
        <v>638</v>
      </c>
      <c r="B503" s="0" t="s">
        <v>333</v>
      </c>
      <c r="D503" s="21" t="n">
        <f aca="false">(D494+D497)*D502</f>
        <v>22.2987583</v>
      </c>
      <c r="E503" s="21" t="n">
        <f aca="false">(E494+E497)*E502</f>
        <v>37.928660924617</v>
      </c>
      <c r="F503" s="21" t="n">
        <f aca="false">(F494+F497)*F502</f>
        <v>43.571555187083</v>
      </c>
      <c r="G503" s="21" t="n">
        <f aca="false">(G494+G497)*G502</f>
        <v>49.621811387494</v>
      </c>
    </row>
    <row r="504" customFormat="false" ht="17.15" hidden="false" customHeight="false" outlineLevel="0" collapsed="false">
      <c r="A504" s="3" t="s">
        <v>639</v>
      </c>
      <c r="B504" s="0" t="s">
        <v>44</v>
      </c>
      <c r="D504" s="20" t="n">
        <f aca="false">D494/(D494+D497)</f>
        <v>0.140894976776891</v>
      </c>
      <c r="E504" s="20" t="n">
        <f aca="false">E494/(E494+E497)</f>
        <v>0.226119517586731</v>
      </c>
      <c r="F504" s="20" t="n">
        <f aca="false">F494/(F494+F497)</f>
        <v>0.307150951728908</v>
      </c>
      <c r="G504" s="20" t="n">
        <f aca="false">G494/(G494+G497)</f>
        <v>0.358612723219583</v>
      </c>
    </row>
    <row r="505" customFormat="false" ht="17.15" hidden="false" customHeight="false" outlineLevel="0" collapsed="false">
      <c r="A505" s="5" t="s">
        <v>640</v>
      </c>
    </row>
    <row r="506" customFormat="false" ht="17.15" hidden="false" customHeight="false" outlineLevel="0" collapsed="false">
      <c r="A506" s="0" t="s">
        <v>641</v>
      </c>
      <c r="B506" s="0" t="s">
        <v>333</v>
      </c>
      <c r="D506" s="21" t="n">
        <f aca="false">a26_bt</f>
        <v>18.927328</v>
      </c>
      <c r="E506" s="21" t="n">
        <f aca="false">D506*(1+g_bt27_A)</f>
        <v>24.6055264</v>
      </c>
      <c r="F506" s="21" t="n">
        <f aca="false">E506*(1+g_bt28_A)</f>
        <v>27.06607904</v>
      </c>
      <c r="G506" s="21" t="n">
        <f aca="false">F506*(1+g_bt29_A)</f>
        <v>28.419382992</v>
      </c>
      <c r="K506" s="7" t="s">
        <v>642</v>
      </c>
    </row>
    <row r="507" customFormat="false" ht="17.15" hidden="false" customHeight="false" outlineLevel="0" collapsed="false">
      <c r="A507" s="0" t="s">
        <v>540</v>
      </c>
      <c r="B507" s="0" t="s">
        <v>333</v>
      </c>
      <c r="D507" s="21" t="n">
        <f aca="false">a26_pcb</f>
        <v>5.91479</v>
      </c>
      <c r="E507" s="21" t="n">
        <f aca="false">D507*(1+g_pcb)</f>
        <v>5.91479</v>
      </c>
      <c r="F507" s="21" t="n">
        <f aca="false">E507*(1+g_pcb)</f>
        <v>5.91479</v>
      </c>
      <c r="G507" s="21" t="n">
        <f aca="false">F507*(1+g_pcb)</f>
        <v>5.91479</v>
      </c>
    </row>
    <row r="508" customFormat="false" ht="17.15" hidden="false" customHeight="false" outlineLevel="0" collapsed="false">
      <c r="A508" s="3" t="s">
        <v>505</v>
      </c>
      <c r="B508" s="0" t="s">
        <v>333</v>
      </c>
      <c r="C508" s="23" t="n">
        <f aca="false">a25_rev</f>
        <v>40.173</v>
      </c>
      <c r="D508" s="23" t="n">
        <f aca="false">D501+D506+D507</f>
        <v>59.1479</v>
      </c>
      <c r="E508" s="23" t="n">
        <f aca="false">E501+E506+E507</f>
        <v>80.229394518</v>
      </c>
      <c r="F508" s="23" t="n">
        <f aca="false">F501+F506+F507</f>
        <v>88.7637751405431</v>
      </c>
      <c r="G508" s="23" t="n">
        <f aca="false">G501+G506+G507</f>
        <v>97.0763833661239</v>
      </c>
      <c r="H508" s="25" t="n">
        <f aca="false">G508*(1+H510)</f>
        <v>105.078626241508</v>
      </c>
      <c r="I508" s="25" t="n">
        <f aca="false">H508*(1+I510)</f>
        <v>112.561928658085</v>
      </c>
      <c r="J508" s="25" t="n">
        <f aca="false">I508*(1+J510)</f>
        <v>119.315644377571</v>
      </c>
      <c r="K508" s="7" t="s">
        <v>643</v>
      </c>
    </row>
    <row r="509" customFormat="false" ht="17.15" hidden="false" customHeight="false" outlineLevel="0" collapsed="false">
      <c r="A509" s="3" t="s">
        <v>644</v>
      </c>
      <c r="B509" s="0" t="s">
        <v>333</v>
      </c>
      <c r="D509" s="19" t="n">
        <f aca="false">D501+D506+D507-a26_rev</f>
        <v>0</v>
      </c>
      <c r="E509" s="19" t="n">
        <f aca="false">E501+E506+E507-E508</f>
        <v>0</v>
      </c>
      <c r="F509" s="19" t="n">
        <f aca="false">F501+F506+F507-F508</f>
        <v>0</v>
      </c>
      <c r="G509" s="19" t="n">
        <f aca="false">G501+G506+G507-G508</f>
        <v>0</v>
      </c>
    </row>
    <row r="510" customFormat="false" ht="15" hidden="false" customHeight="false" outlineLevel="0" collapsed="false">
      <c r="A510" s="3" t="s">
        <v>645</v>
      </c>
      <c r="B510" s="0" t="s">
        <v>44</v>
      </c>
      <c r="D510" s="20" t="n">
        <f aca="false">D508/C508-1</f>
        <v>0.472329674159261</v>
      </c>
      <c r="E510" s="20" t="n">
        <f aca="false">E508/D508-1</f>
        <v>0.35642</v>
      </c>
      <c r="F510" s="20" t="n">
        <f aca="false">F508/E508-1</f>
        <v>0.106374735517023</v>
      </c>
      <c r="G510" s="20" t="n">
        <f aca="false">G508/F508-1</f>
        <v>0.0936486557992731</v>
      </c>
      <c r="H510" s="26" t="n">
        <f aca="false">$G510+(fade_gA-$G510)*1/3</f>
        <v>0.0824324371995154</v>
      </c>
      <c r="I510" s="26" t="n">
        <f aca="false">$G510+(fade_gA-$G510)*2/3</f>
        <v>0.0712162185997577</v>
      </c>
      <c r="J510" s="26" t="n">
        <f aca="false">$G510+(fade_gA-$G510)*3/3</f>
        <v>0.06</v>
      </c>
    </row>
    <row r="511" customFormat="false" ht="17.15" hidden="false" customHeight="false" outlineLevel="0" collapsed="false">
      <c r="A511" s="0" t="s">
        <v>646</v>
      </c>
      <c r="B511" s="0" t="s">
        <v>44</v>
      </c>
      <c r="D511" s="20" t="n">
        <f aca="false">D501/D508</f>
        <v>0.58</v>
      </c>
      <c r="E511" s="20" t="n">
        <f aca="false">E501/E508</f>
        <v>0.619586853629407</v>
      </c>
      <c r="F511" s="20" t="n">
        <f aca="false">F501/F508</f>
        <v>0.62844224473576</v>
      </c>
      <c r="G511" s="20" t="n">
        <f aca="false">G501/G508</f>
        <v>0.646317963221718</v>
      </c>
    </row>
    <row r="512" customFormat="false" ht="17.15" hidden="false" customHeight="false" outlineLevel="0" collapsed="false">
      <c r="A512" s="0" t="s">
        <v>647</v>
      </c>
      <c r="B512" s="0" t="s">
        <v>44</v>
      </c>
      <c r="D512" s="20" t="n">
        <f aca="false">D503/D508</f>
        <v>0.377</v>
      </c>
      <c r="E512" s="20" t="n">
        <f aca="false">E503/E508</f>
        <v>0.472752675655648</v>
      </c>
      <c r="F512" s="20" t="n">
        <f aca="false">F503/F508</f>
        <v>0.490870911225829</v>
      </c>
      <c r="G512" s="20" t="n">
        <f aca="false">G503/G508</f>
        <v>0.511162547128947</v>
      </c>
      <c r="K512" s="3" t="s">
        <v>648</v>
      </c>
    </row>
    <row r="513" customFormat="false" ht="17.15" hidden="false" customHeight="false" outlineLevel="0" collapsed="false">
      <c r="A513" s="5" t="s">
        <v>649</v>
      </c>
    </row>
    <row r="514" customFormat="false" ht="15" hidden="false" customHeight="false" outlineLevel="0" collapsed="false">
      <c r="A514" s="3" t="s">
        <v>650</v>
      </c>
      <c r="B514" s="0" t="s">
        <v>333</v>
      </c>
      <c r="C514" s="23" t="n">
        <f aca="false">a25_cx</f>
        <v>2.422</v>
      </c>
      <c r="D514" s="23" t="n">
        <f aca="false">capex26</f>
        <v>4</v>
      </c>
      <c r="E514" s="23" t="n">
        <f aca="false">cx27</f>
        <v>14</v>
      </c>
      <c r="F514" s="23" t="n">
        <f aca="false">cx28</f>
        <v>18</v>
      </c>
      <c r="G514" s="23" t="n">
        <f aca="false">cx29</f>
        <v>12</v>
      </c>
      <c r="H514" s="25" t="n">
        <f aca="false">H508*H531</f>
        <v>12.4247845914869</v>
      </c>
      <c r="I514" s="25" t="n">
        <f aca="false">I508*I531</f>
        <v>12.7050313468192</v>
      </c>
      <c r="J514" s="25" t="n">
        <f aca="false">J508*J531</f>
        <v>12.8264578422271</v>
      </c>
    </row>
    <row r="515" customFormat="false" ht="17.15" hidden="false" customHeight="false" outlineLevel="0" collapsed="false">
      <c r="A515" s="3" t="s">
        <v>651</v>
      </c>
      <c r="B515" s="0" t="s">
        <v>333</v>
      </c>
      <c r="C515" s="23" t="n">
        <f aca="false">a25_da</f>
        <v>6.894</v>
      </c>
      <c r="D515" s="23" t="n">
        <f aca="false">da26</f>
        <v>7.1</v>
      </c>
      <c r="E515" s="23" t="n">
        <f aca="false">D515*(1-1/life)+D514/life</f>
        <v>6.7125</v>
      </c>
      <c r="F515" s="23" t="n">
        <f aca="false">E515*(1-1/life)+E514/life</f>
        <v>7.6234375</v>
      </c>
      <c r="G515" s="23" t="n">
        <f aca="false">F515*(1-1/life)+F514/life</f>
        <v>8.9205078125</v>
      </c>
      <c r="H515" s="25" t="n">
        <f aca="false">H508*H516</f>
        <v>9.65584701254169</v>
      </c>
      <c r="I515" s="25" t="n">
        <f aca="false">I508*I516</f>
        <v>10.3434999241527</v>
      </c>
      <c r="J515" s="25" t="n">
        <f aca="false">J508*J516</f>
        <v>10.9641099196018</v>
      </c>
      <c r="K515" s="3" t="s">
        <v>652</v>
      </c>
    </row>
    <row r="516" customFormat="false" ht="17.15" hidden="false" customHeight="false" outlineLevel="0" collapsed="false">
      <c r="A516" s="3" t="s">
        <v>653</v>
      </c>
      <c r="B516" s="0" t="s">
        <v>44</v>
      </c>
      <c r="C516" s="20" t="n">
        <f aca="false">C515/C508</f>
        <v>0.171607796281084</v>
      </c>
      <c r="D516" s="20" t="n">
        <f aca="false">D515/D508</f>
        <v>0.120038074048276</v>
      </c>
      <c r="E516" s="20" t="n">
        <f aca="false">E515/E508</f>
        <v>0.0836663424961285</v>
      </c>
      <c r="F516" s="20" t="n">
        <f aca="false">F515/F508</f>
        <v>0.0858845569369883</v>
      </c>
      <c r="G516" s="20" t="n">
        <f aca="false">G515/G508</f>
        <v>0.0918916373187933</v>
      </c>
      <c r="H516" s="26" t="n">
        <f aca="false">$G516</f>
        <v>0.0918916373187933</v>
      </c>
      <c r="I516" s="26" t="n">
        <f aca="false">$G516</f>
        <v>0.0918916373187933</v>
      </c>
      <c r="J516" s="26" t="n">
        <f aca="false">$G516</f>
        <v>0.0918916373187933</v>
      </c>
    </row>
    <row r="517" customFormat="false" ht="17.15" hidden="false" customHeight="false" outlineLevel="0" collapsed="false">
      <c r="A517" s="3" t="s">
        <v>654</v>
      </c>
      <c r="B517" s="0" t="s">
        <v>333</v>
      </c>
      <c r="E517" s="21" t="n">
        <f aca="false">E503*(1-1/(E488*E489))</f>
        <v>4.94721664234135</v>
      </c>
      <c r="F517" s="21" t="n">
        <f aca="false">F503*(1-1/(F488*F489))</f>
        <v>3.68912480989031</v>
      </c>
      <c r="G517" s="21" t="n">
        <f aca="false">G503*(1-1/(G488*G489))</f>
        <v>1.67803226914231</v>
      </c>
      <c r="K517" s="7" t="s">
        <v>655</v>
      </c>
    </row>
    <row r="518" customFormat="false" ht="17.15" hidden="false" customHeight="false" outlineLevel="0" collapsed="false">
      <c r="A518" s="3" t="s">
        <v>656</v>
      </c>
      <c r="B518" s="0" t="s">
        <v>333</v>
      </c>
      <c r="C518" s="21" t="n">
        <f aca="false">a25_gp</f>
        <v>3.647</v>
      </c>
      <c r="D518" s="21" t="n">
        <f aca="false">a26_gp</f>
        <v>15.9001925</v>
      </c>
      <c r="E518" s="21" t="n">
        <f aca="false">$D518+ft_abf_lo*(E501-E517-$D501)+ft_oth*((E508-E501)-($D508-$D501))+E517-(E515-$D515)</f>
        <v>27.6886202926048</v>
      </c>
      <c r="F518" s="21" t="n">
        <f aca="false">$D518+ft_abf_lo*(F501-F517-$D501)+ft_oth*((F508-F501)-($D508-$D501))+F517-(F515-$D515)</f>
        <v>29.4365799421514</v>
      </c>
      <c r="G518" s="21" t="n">
        <f aca="false">$D518+ft_abf_lo*(G501-G517-$D501)+ft_oth*((G508-G501)-($D508-$D501))+G517-(G515-$D515)</f>
        <v>30.257897395435</v>
      </c>
      <c r="K518" s="3" t="s">
        <v>657</v>
      </c>
    </row>
    <row r="519" customFormat="false" ht="15" hidden="false" customHeight="false" outlineLevel="0" collapsed="false">
      <c r="A519" s="3" t="s">
        <v>512</v>
      </c>
      <c r="B519" s="0" t="s">
        <v>44</v>
      </c>
      <c r="C519" s="16" t="n">
        <f aca="false">C518/C508</f>
        <v>0.0907823662659</v>
      </c>
      <c r="D519" s="16" t="n">
        <f aca="false">D518/D508</f>
        <v>0.268820913337583</v>
      </c>
      <c r="E519" s="16" t="n">
        <f aca="false">E518/E508</f>
        <v>0.345118151008764</v>
      </c>
      <c r="F519" s="16" t="n">
        <f aca="false">F518/F508</f>
        <v>0.331628301021936</v>
      </c>
      <c r="G519" s="16" t="n">
        <f aca="false">G518/G508</f>
        <v>0.311691642665726</v>
      </c>
    </row>
    <row r="520" customFormat="false" ht="15" hidden="false" customHeight="false" outlineLevel="0" collapsed="false">
      <c r="A520" s="3" t="s">
        <v>514</v>
      </c>
      <c r="B520" s="0" t="s">
        <v>333</v>
      </c>
      <c r="C520" s="21" t="n">
        <f aca="false">a25_opx</f>
        <v>1.665</v>
      </c>
      <c r="D520" s="21" t="n">
        <f aca="false">a26_opx</f>
        <v>1.9</v>
      </c>
      <c r="E520" s="21" t="n">
        <f aca="false">D520*(1+phi*E510)</f>
        <v>2.3063188</v>
      </c>
      <c r="F520" s="21" t="n">
        <f aca="false">E520*(1+phi*F510)</f>
        <v>2.45351923142076</v>
      </c>
      <c r="G520" s="21" t="n">
        <f aca="false">F520*(1+phi*G510)</f>
        <v>2.59138049822089</v>
      </c>
    </row>
    <row r="521" customFormat="false" ht="15" hidden="false" customHeight="false" outlineLevel="0" collapsed="false">
      <c r="A521" s="3" t="s">
        <v>517</v>
      </c>
      <c r="B521" s="0" t="s">
        <v>333</v>
      </c>
      <c r="C521" s="21" t="n">
        <f aca="false">C518-C520</f>
        <v>1.982</v>
      </c>
      <c r="D521" s="21" t="n">
        <f aca="false">D518-D520</f>
        <v>14.0001925</v>
      </c>
      <c r="E521" s="21" t="n">
        <f aca="false">E518-E520</f>
        <v>25.3823014926048</v>
      </c>
      <c r="F521" s="21" t="n">
        <f aca="false">F518-F520</f>
        <v>26.9830607107307</v>
      </c>
      <c r="G521" s="21" t="n">
        <f aca="false">G518-G520</f>
        <v>27.6665168972141</v>
      </c>
    </row>
    <row r="522" customFormat="false" ht="15" hidden="false" customHeight="false" outlineLevel="0" collapsed="false">
      <c r="A522" s="3" t="s">
        <v>598</v>
      </c>
      <c r="B522" s="0" t="s">
        <v>44</v>
      </c>
      <c r="C522" s="16" t="n">
        <f aca="false">C521/C508</f>
        <v>0.0493366191222961</v>
      </c>
      <c r="D522" s="16" t="n">
        <f aca="false">D521/D508</f>
        <v>0.236698048451424</v>
      </c>
      <c r="E522" s="16" t="n">
        <f aca="false">E521/E508</f>
        <v>0.316371594788867</v>
      </c>
      <c r="F522" s="16" t="n">
        <f aca="false">F521/F508</f>
        <v>0.30398730414527</v>
      </c>
      <c r="G522" s="16" t="n">
        <f aca="false">G521/G508</f>
        <v>0.284997400375637</v>
      </c>
    </row>
    <row r="523" customFormat="false" ht="15" hidden="false" customHeight="false" outlineLevel="0" collapsed="false">
      <c r="A523" s="3" t="s">
        <v>520</v>
      </c>
      <c r="B523" s="0" t="s">
        <v>333</v>
      </c>
      <c r="C523" s="21" t="n">
        <f aca="false">a25_nonop</f>
        <v>0.364</v>
      </c>
      <c r="D523" s="21" t="n">
        <f aca="false">a26_nonop</f>
        <v>0.623</v>
      </c>
      <c r="E523" s="21" t="n">
        <f aca="false">nonop27</f>
        <v>0.6</v>
      </c>
      <c r="F523" s="21" t="n">
        <f aca="false">nonop28</f>
        <v>0.6</v>
      </c>
      <c r="G523" s="21" t="n">
        <f aca="false">nonop29</f>
        <v>0.6</v>
      </c>
    </row>
    <row r="524" customFormat="false" ht="15" hidden="false" customHeight="false" outlineLevel="0" collapsed="false">
      <c r="A524" s="3" t="s">
        <v>522</v>
      </c>
      <c r="B524" s="0" t="s">
        <v>333</v>
      </c>
      <c r="C524" s="21" t="n">
        <f aca="false">C521+C523</f>
        <v>2.346</v>
      </c>
      <c r="D524" s="21" t="n">
        <f aca="false">D521+D523</f>
        <v>14.6231925</v>
      </c>
      <c r="E524" s="21" t="n">
        <f aca="false">E521+E523</f>
        <v>25.9823014926048</v>
      </c>
      <c r="F524" s="21" t="n">
        <f aca="false">F521+F523</f>
        <v>27.5830607107307</v>
      </c>
      <c r="G524" s="21" t="n">
        <f aca="false">G521+G523</f>
        <v>28.2665168972141</v>
      </c>
    </row>
    <row r="525" customFormat="false" ht="15" hidden="false" customHeight="false" outlineLevel="0" collapsed="false">
      <c r="A525" s="3" t="s">
        <v>525</v>
      </c>
      <c r="B525" s="0" t="s">
        <v>333</v>
      </c>
      <c r="E525" s="21" t="n">
        <f aca="false">E524*tax</f>
        <v>5.45628331344701</v>
      </c>
      <c r="F525" s="21" t="n">
        <f aca="false">F524*tax</f>
        <v>5.79244274925344</v>
      </c>
      <c r="G525" s="21" t="n">
        <f aca="false">G524*tax</f>
        <v>5.93596854841495</v>
      </c>
    </row>
    <row r="526" customFormat="false" ht="15" hidden="false" customHeight="false" outlineLevel="0" collapsed="false">
      <c r="A526" s="3" t="s">
        <v>523</v>
      </c>
      <c r="B526" s="0" t="s">
        <v>333</v>
      </c>
      <c r="C526" s="21" t="n">
        <f aca="false">a25_ni</f>
        <v>1.947</v>
      </c>
      <c r="D526" s="21" t="n">
        <f aca="false">a26_ni</f>
        <v>11.509862075</v>
      </c>
      <c r="E526" s="21" t="n">
        <f aca="false">E524-E525</f>
        <v>20.5260181791578</v>
      </c>
      <c r="F526" s="21" t="n">
        <f aca="false">F524-F525</f>
        <v>21.7906179614772</v>
      </c>
      <c r="G526" s="21" t="n">
        <f aca="false">G524-G525</f>
        <v>22.3305483487991</v>
      </c>
      <c r="H526" s="30" t="n">
        <f aca="false">H508*H530</f>
        <v>24.9340326455275</v>
      </c>
      <c r="I526" s="30" t="n">
        <f aca="false">I508*I530</f>
        <v>27.5267811690058</v>
      </c>
      <c r="J526" s="30" t="n">
        <f aca="false">J508*J530</f>
        <v>30.0444515034082</v>
      </c>
    </row>
    <row r="527" customFormat="false" ht="15" hidden="false" customHeight="false" outlineLevel="0" collapsed="false">
      <c r="A527" s="3" t="s">
        <v>658</v>
      </c>
      <c r="B527" s="3" t="s">
        <v>400</v>
      </c>
      <c r="C527" s="29" t="n">
        <f aca="false">a25_sh</f>
        <v>0.646843853820598</v>
      </c>
      <c r="D527" s="29" t="n">
        <f aca="false">a26_sh</f>
        <v>0.645863325123153</v>
      </c>
      <c r="E527" s="29" t="n">
        <f aca="false">a26_shend*(1+sh_g)</f>
        <v>0.64617</v>
      </c>
      <c r="F527" s="29" t="n">
        <f aca="false">E527*(1+sh_g)</f>
        <v>0.64617</v>
      </c>
      <c r="G527" s="29" t="n">
        <f aca="false">F527*(1+sh_g)</f>
        <v>0.64617</v>
      </c>
      <c r="H527" s="31" t="n">
        <f aca="false">G527*(1+sh_g)</f>
        <v>0.64617</v>
      </c>
      <c r="I527" s="31" t="n">
        <f aca="false">H527*(1+sh_g)</f>
        <v>0.64617</v>
      </c>
      <c r="J527" s="31" t="n">
        <f aca="false">I527*(1+sh_g)</f>
        <v>0.64617</v>
      </c>
    </row>
    <row r="528" customFormat="false" ht="17.15" hidden="false" customHeight="false" outlineLevel="0" collapsed="false">
      <c r="A528" s="0" t="s">
        <v>528</v>
      </c>
      <c r="B528" s="0" t="s">
        <v>406</v>
      </c>
      <c r="C528" s="18" t="n">
        <f aca="false">C526/C527</f>
        <v>3.01</v>
      </c>
      <c r="D528" s="18" t="n">
        <f aca="false">D526/D527</f>
        <v>17.820894339844</v>
      </c>
      <c r="E528" s="18" t="n">
        <f aca="false">E526/E527</f>
        <v>31.7656625642754</v>
      </c>
      <c r="F528" s="18" t="n">
        <f aca="false">F526/F527</f>
        <v>33.7227323482632</v>
      </c>
      <c r="G528" s="18" t="n">
        <f aca="false">G526/G527</f>
        <v>34.5583180104293</v>
      </c>
      <c r="H528" s="28" t="n">
        <f aca="false">H526/H527</f>
        <v>38.5874191706942</v>
      </c>
      <c r="I528" s="28" t="n">
        <f aca="false">I526/I527</f>
        <v>42.5999058591481</v>
      </c>
      <c r="J528" s="28" t="n">
        <f aca="false">J526/J527</f>
        <v>46.4962030168659</v>
      </c>
    </row>
    <row r="529" customFormat="false" ht="17.15" hidden="false" customHeight="false" outlineLevel="0" collapsed="false">
      <c r="A529" s="0" t="s">
        <v>659</v>
      </c>
      <c r="B529" s="0" t="s">
        <v>44</v>
      </c>
      <c r="D529" s="20" t="n">
        <f aca="false">D528/C528-1</f>
        <v>4.92056290360265</v>
      </c>
      <c r="E529" s="20" t="n">
        <f aca="false">E528/D528-1</f>
        <v>0.782495421301817</v>
      </c>
      <c r="F529" s="20" t="n">
        <f aca="false">F528/E528-1</f>
        <v>0.0616096006191551</v>
      </c>
      <c r="G529" s="20" t="n">
        <f aca="false">G528/F528-1</f>
        <v>0.0247781126848443</v>
      </c>
      <c r="H529" s="26" t="n">
        <f aca="false">H528/G528-1</f>
        <v>0.116588462408644</v>
      </c>
      <c r="I529" s="26" t="n">
        <f aca="false">I528/H528-1</f>
        <v>0.103984323768957</v>
      </c>
      <c r="J529" s="26" t="n">
        <f aca="false">J528/I528-1</f>
        <v>0.0914625767155555</v>
      </c>
    </row>
    <row r="530" customFormat="false" ht="17.15" hidden="false" customHeight="false" outlineLevel="0" collapsed="false">
      <c r="A530" s="3" t="s">
        <v>660</v>
      </c>
      <c r="B530" s="0" t="s">
        <v>44</v>
      </c>
      <c r="C530" s="16" t="n">
        <f aca="false">C526/C508</f>
        <v>0.0484653872003585</v>
      </c>
      <c r="D530" s="16" t="n">
        <f aca="false">D526/D508</f>
        <v>0.194594602259759</v>
      </c>
      <c r="E530" s="16" t="n">
        <f aca="false">E526/E508</f>
        <v>0.255841618928741</v>
      </c>
      <c r="F530" s="16" t="n">
        <f aca="false">F526/F508</f>
        <v>0.245489986506041</v>
      </c>
      <c r="G530" s="16" t="n">
        <f aca="false">G526/G508</f>
        <v>0.230030699275017</v>
      </c>
      <c r="H530" s="27" t="n">
        <f aca="false">$G530+(fade_mA-$G530)*1/3</f>
        <v>0.237289290290303</v>
      </c>
      <c r="I530" s="27" t="n">
        <f aca="false">$G530+(fade_mA-$G530)*2/3</f>
        <v>0.24454788130559</v>
      </c>
      <c r="J530" s="27" t="n">
        <f aca="false">$G530+(fade_mA-$G530)*3/3</f>
        <v>0.251806472320876</v>
      </c>
    </row>
    <row r="531" customFormat="false" ht="17.15" hidden="false" customHeight="false" outlineLevel="0" collapsed="false">
      <c r="A531" s="3" t="s">
        <v>661</v>
      </c>
      <c r="B531" s="0" t="s">
        <v>44</v>
      </c>
      <c r="C531" s="20" t="n">
        <f aca="false">C514/C508</f>
        <v>0.0602892489980833</v>
      </c>
      <c r="D531" s="20" t="n">
        <f aca="false">D514/D508</f>
        <v>0.0676270839708595</v>
      </c>
      <c r="E531" s="20" t="n">
        <f aca="false">E514/E508</f>
        <v>0.174499634256357</v>
      </c>
      <c r="F531" s="20" t="n">
        <f aca="false">F514/F508</f>
        <v>0.202785426504223</v>
      </c>
      <c r="G531" s="20" t="n">
        <f aca="false">G514/G508</f>
        <v>0.123613999449711</v>
      </c>
      <c r="H531" s="26" t="n">
        <f aca="false">$G531+($G516*(1+tp_g)^(life/2)-$G531)*1/3</f>
        <v>0.118242739136409</v>
      </c>
      <c r="I531" s="26" t="n">
        <f aca="false">$G531+($G516*(1+tp_g)^(life/2)-$G531)*2/3</f>
        <v>0.112871478823108</v>
      </c>
      <c r="J531" s="26" t="n">
        <f aca="false">$G531+($G516*(1+tp_g)^(life/2)-$G531)*3/3</f>
        <v>0.107500218509806</v>
      </c>
      <c r="K531" s="7" t="s">
        <v>662</v>
      </c>
    </row>
    <row r="532" customFormat="false" ht="15" hidden="false" customHeight="false" outlineLevel="0" collapsed="false">
      <c r="A532" s="3" t="s">
        <v>663</v>
      </c>
      <c r="B532" s="0" t="s">
        <v>333</v>
      </c>
      <c r="E532" s="21" t="n">
        <f aca="false">E526+E515-E514</f>
        <v>13.2385181791578</v>
      </c>
      <c r="F532" s="21" t="n">
        <f aca="false">F526+F515-F514</f>
        <v>11.4140554614772</v>
      </c>
      <c r="G532" s="21" t="n">
        <f aca="false">G526+G515-G514</f>
        <v>19.2510561612991</v>
      </c>
      <c r="H532" s="30" t="n">
        <f aca="false">H526+H515-H514</f>
        <v>22.1650950665823</v>
      </c>
      <c r="I532" s="30" t="n">
        <f aca="false">I526+I515-I514</f>
        <v>25.1652497463392</v>
      </c>
      <c r="J532" s="30" t="n">
        <f aca="false">J526+J515-J514</f>
        <v>28.182103580783</v>
      </c>
      <c r="K532" s="3" t="s">
        <v>664</v>
      </c>
    </row>
    <row r="533" customFormat="false" ht="15" hidden="false" customHeight="false" outlineLevel="0" collapsed="false">
      <c r="A533" s="3" t="s">
        <v>665</v>
      </c>
      <c r="B533" s="0" t="s">
        <v>406</v>
      </c>
      <c r="E533" s="18" t="n">
        <f aca="false">E532/E527</f>
        <v>20.487670704548</v>
      </c>
      <c r="F533" s="18" t="n">
        <f aca="false">F532/F527</f>
        <v>17.6641680385614</v>
      </c>
      <c r="G533" s="18" t="n">
        <f aca="false">G532/G527</f>
        <v>29.7925563881008</v>
      </c>
      <c r="H533" s="28" t="n">
        <f aca="false">H532/H527</f>
        <v>34.3022657606857</v>
      </c>
      <c r="I533" s="28" t="n">
        <f aca="false">I532/I527</f>
        <v>38.9452462143696</v>
      </c>
      <c r="J533" s="28" t="n">
        <f aca="false">J532/J527</f>
        <v>43.6140699518439</v>
      </c>
    </row>
    <row r="536" customFormat="false" ht="17.15" hidden="false" customHeight="false" outlineLevel="0" collapsed="false">
      <c r="A536" s="1" t="s">
        <v>1016</v>
      </c>
    </row>
    <row r="537" customFormat="false" ht="17.15" hidden="false" customHeight="false" outlineLevel="0" collapsed="false">
      <c r="A537" s="4" t="s">
        <v>21</v>
      </c>
      <c r="B537" s="4" t="s">
        <v>22</v>
      </c>
      <c r="C537" s="13" t="s">
        <v>498</v>
      </c>
      <c r="D537" s="13" t="s">
        <v>585</v>
      </c>
      <c r="E537" s="13" t="s">
        <v>586</v>
      </c>
      <c r="F537" s="13" t="s">
        <v>587</v>
      </c>
      <c r="G537" s="13" t="s">
        <v>588</v>
      </c>
      <c r="H537" s="13" t="s">
        <v>589</v>
      </c>
      <c r="I537" s="13" t="s">
        <v>590</v>
      </c>
      <c r="J537" s="13" t="s">
        <v>591</v>
      </c>
      <c r="K537" s="4" t="s">
        <v>553</v>
      </c>
    </row>
    <row r="538" customFormat="false" ht="17.15" hidden="false" customHeight="false" outlineLevel="0" collapsed="false">
      <c r="A538" s="5" t="s">
        <v>609</v>
      </c>
    </row>
    <row r="539" customFormat="false" ht="17.15" hidden="false" customHeight="false" outlineLevel="0" collapsed="false">
      <c r="A539" s="0" t="s">
        <v>610</v>
      </c>
      <c r="B539" s="3" t="s">
        <v>32</v>
      </c>
      <c r="D539" s="21" t="n">
        <f aca="false">(u_bw_26+u_rb_26+u_ru_26+u_hp_26)*1</f>
        <v>7.6</v>
      </c>
      <c r="E539" s="21" t="n">
        <f aca="false">(u_bw_27+u_rb_27+u_ru_27+u_hp_27)*1*1</f>
        <v>9.7</v>
      </c>
      <c r="F539" s="21" t="n">
        <f aca="false">(u_bw_28+u_rb_28+u_ru_28+u_hp_28)*um28_A*1</f>
        <v>9.5</v>
      </c>
      <c r="G539" s="21" t="n">
        <f aca="false">(u_bw_28*(1+g29_bw)+u_rb_28*(1+g29_rb)+u_ru_28*(1+g29_ru)+u_hp_28*(1+g29_hp))*um29_A*1</f>
        <v>10.6</v>
      </c>
      <c r="K539" s="7" t="s">
        <v>611</v>
      </c>
    </row>
    <row r="540" customFormat="false" ht="17.15" hidden="false" customHeight="false" outlineLevel="0" collapsed="false">
      <c r="A540" s="3" t="s">
        <v>612</v>
      </c>
      <c r="B540" s="3" t="s">
        <v>32</v>
      </c>
      <c r="D540" s="21" t="n">
        <f aca="false">(u_amd_26+u_tpu_26+u_trn_26+u_oth_26)*1</f>
        <v>7.6</v>
      </c>
      <c r="E540" s="21" t="n">
        <f aca="false">(u_amd_27+u_tpu_27+u_trn_27+u_oth_27)*1*1</f>
        <v>14</v>
      </c>
      <c r="F540" s="21" t="n">
        <f aca="false">(u_amd_28+u_tpu_28+u_trn_28+u_oth_28)*um28_A*1</f>
        <v>17</v>
      </c>
      <c r="G540" s="21" t="n">
        <f aca="false">(u_amd_28*(1+g29_amd)+u_tpu_28*(1+g29_tpu)+u_trn_28*(1+g29_trn)+u_oth_28*(1+g29_oth))*um29_A*1</f>
        <v>19.55</v>
      </c>
      <c r="K540" s="7" t="s">
        <v>613</v>
      </c>
    </row>
    <row r="541" customFormat="false" ht="17.15" hidden="false" customHeight="false" outlineLevel="0" collapsed="false">
      <c r="A541" s="3" t="s">
        <v>614</v>
      </c>
      <c r="B541" s="0" t="s">
        <v>154</v>
      </c>
      <c r="D541" s="19" t="n">
        <f aca="false">1</f>
        <v>1</v>
      </c>
      <c r="E541" s="19" t="n">
        <f aca="false">D541*(1+g_asp)</f>
        <v>1.18</v>
      </c>
      <c r="F541" s="19" t="n">
        <f aca="false">E541*(1+g_asp)</f>
        <v>1.3924</v>
      </c>
      <c r="G541" s="19" t="n">
        <f aca="false">F541*(1+g_asp)</f>
        <v>1.643032</v>
      </c>
      <c r="K541" s="7" t="s">
        <v>615</v>
      </c>
    </row>
    <row r="542" customFormat="false" ht="17.15" hidden="false" customHeight="false" outlineLevel="0" collapsed="false">
      <c r="A542" s="0" t="s">
        <v>616</v>
      </c>
      <c r="B542" s="0" t="s">
        <v>154</v>
      </c>
      <c r="D542" s="18" t="n">
        <f aca="false">1</f>
        <v>1</v>
      </c>
      <c r="E542" s="18" t="n">
        <f aca="false">ibpp_27</f>
        <v>1</v>
      </c>
      <c r="F542" s="18" t="n">
        <f aca="false">ibpp_28</f>
        <v>0.95</v>
      </c>
      <c r="G542" s="18" t="n">
        <f aca="false">ibpp_29</f>
        <v>0.9</v>
      </c>
      <c r="K542" s="7" t="s">
        <v>617</v>
      </c>
    </row>
    <row r="543" customFormat="false" ht="17.15" hidden="false" customHeight="false" outlineLevel="0" collapsed="false">
      <c r="A543" s="3" t="s">
        <v>618</v>
      </c>
      <c r="B543" s="0" t="s">
        <v>154</v>
      </c>
      <c r="D543" s="18" t="n">
        <f aca="false">1</f>
        <v>1</v>
      </c>
      <c r="E543" s="18" t="n">
        <f aca="false">1+carry</f>
        <v>1.15</v>
      </c>
      <c r="F543" s="18" t="n">
        <f aca="false">1+carry</f>
        <v>1.15</v>
      </c>
      <c r="G543" s="18" t="n">
        <f aca="false">1+carry</f>
        <v>1.15</v>
      </c>
      <c r="K543" s="7" t="s">
        <v>619</v>
      </c>
    </row>
    <row r="544" customFormat="false" ht="17.15" hidden="false" customHeight="false" outlineLevel="0" collapsed="false">
      <c r="A544" s="3" t="s">
        <v>620</v>
      </c>
      <c r="B544" s="0" t="s">
        <v>621</v>
      </c>
      <c r="D544" s="23" t="n">
        <f aca="false">v26*D541*D542</f>
        <v>215.308596</v>
      </c>
      <c r="E544" s="23" t="n">
        <f aca="false">v26*E541*E542</f>
        <v>254.06414328</v>
      </c>
      <c r="F544" s="23" t="n">
        <f aca="false">v26*F541*F542</f>
        <v>284.80590461688</v>
      </c>
      <c r="G544" s="23" t="n">
        <f aca="false">v26*G541*G542</f>
        <v>318.383021792765</v>
      </c>
      <c r="K544" s="7" t="s">
        <v>622</v>
      </c>
    </row>
    <row r="545" customFormat="false" ht="17.15" hidden="false" customHeight="false" outlineLevel="0" collapsed="false">
      <c r="A545" s="3" t="s">
        <v>623</v>
      </c>
      <c r="B545" s="0" t="s">
        <v>44</v>
      </c>
      <c r="D545" s="20" t="n">
        <f aca="false">sh_nv_26</f>
        <v>0.02</v>
      </c>
      <c r="E545" s="20" t="n">
        <f aca="false">sh_nv_27</f>
        <v>0.03</v>
      </c>
      <c r="F545" s="20" t="n">
        <f aca="false">sh_nv_28</f>
        <v>0.04</v>
      </c>
      <c r="G545" s="20" t="n">
        <f aca="false">sh_nv_29</f>
        <v>0.04</v>
      </c>
    </row>
    <row r="546" customFormat="false" ht="17.15" hidden="false" customHeight="false" outlineLevel="0" collapsed="false">
      <c r="A546" s="3" t="s">
        <v>624</v>
      </c>
      <c r="B546" s="0" t="s">
        <v>44</v>
      </c>
      <c r="D546" s="20" t="n">
        <f aca="false">sh_ot_26</f>
        <v>0.05</v>
      </c>
      <c r="E546" s="20" t="n">
        <f aca="false">sh_ot_27</f>
        <v>0.06</v>
      </c>
      <c r="F546" s="20" t="n">
        <f aca="false">sh_ot_28</f>
        <v>0.07</v>
      </c>
      <c r="G546" s="20" t="n">
        <f aca="false">sh_ot_29</f>
        <v>0.07</v>
      </c>
    </row>
    <row r="547" customFormat="false" ht="17.15" hidden="false" customHeight="false" outlineLevel="0" collapsed="false">
      <c r="A547" s="3" t="s">
        <v>625</v>
      </c>
      <c r="B547" s="0" t="s">
        <v>575</v>
      </c>
      <c r="D547" s="22" t="n">
        <f aca="false">(D539*D544*D545+D540*D544*v_ot*D546)*D543</f>
        <v>98.180719776</v>
      </c>
      <c r="E547" s="22" t="n">
        <f aca="false">(E539*E544*E545+E540*E544*v_ot*E546)*E543</f>
        <v>281.363335475436</v>
      </c>
      <c r="F547" s="22" t="n">
        <f aca="false">(F539*F544*F545+F540*F544*v_ot*F546)*F543</f>
        <v>436.265684692137</v>
      </c>
      <c r="G547" s="22" t="n">
        <f aca="false">(G539*G544*G545+G540*G544*v_ot*G546)*G543</f>
        <v>556.094153523679</v>
      </c>
    </row>
    <row r="548" customFormat="false" ht="15" hidden="false" customHeight="false" outlineLevel="0" collapsed="false">
      <c r="A548" s="3" t="s">
        <v>626</v>
      </c>
      <c r="B548" s="0" t="s">
        <v>333</v>
      </c>
      <c r="D548" s="21" t="n">
        <f aca="false">D547*fx/1000</f>
        <v>3.141783032832</v>
      </c>
      <c r="E548" s="21" t="n">
        <f aca="false">E547*fx/1000</f>
        <v>9.00362673521395</v>
      </c>
      <c r="F548" s="21" t="n">
        <f aca="false">F547*fx/1000</f>
        <v>13.9605019101484</v>
      </c>
      <c r="G548" s="21" t="n">
        <f aca="false">G547*fx/1000</f>
        <v>17.7950129127577</v>
      </c>
    </row>
    <row r="549" customFormat="false" ht="17.15" hidden="false" customHeight="false" outlineLevel="0" collapsed="false">
      <c r="A549" s="5" t="s">
        <v>627</v>
      </c>
    </row>
    <row r="550" customFormat="false" ht="17.15" hidden="false" customHeight="false" outlineLevel="0" collapsed="false">
      <c r="A550" s="0" t="s">
        <v>628</v>
      </c>
      <c r="B550" s="0" t="s">
        <v>333</v>
      </c>
      <c r="D550" s="21" t="n">
        <f aca="false">a26_abf*ai_abf</f>
        <v>22.2987583</v>
      </c>
      <c r="K550" s="3" t="s">
        <v>629</v>
      </c>
    </row>
    <row r="551" customFormat="false" ht="17.15" hidden="false" customHeight="false" outlineLevel="0" collapsed="false">
      <c r="A551" s="3" t="s">
        <v>630</v>
      </c>
      <c r="B551" s="0" t="s">
        <v>333</v>
      </c>
      <c r="D551" s="21" t="n">
        <f aca="false">D550-D548</f>
        <v>19.156975267168</v>
      </c>
      <c r="E551" s="21" t="n">
        <f aca="false">$D551*(swm_27/swm_26)^el_o*1*1*E542*E543</f>
        <v>30.814372309298</v>
      </c>
      <c r="F551" s="21" t="n">
        <f aca="false">$D551*(swm_28/swm_26)^el_o*um28_A*1*F542*F543</f>
        <v>31.4910971539819</v>
      </c>
      <c r="G551" s="21" t="n">
        <f aca="false">$D551*(swm_29/swm_26)^el_o*um29_A*1*G542*G543</f>
        <v>31.8267984747363</v>
      </c>
      <c r="K551" s="7" t="s">
        <v>631</v>
      </c>
    </row>
    <row r="552" customFormat="false" ht="17.15" hidden="false" customHeight="false" outlineLevel="0" collapsed="false">
      <c r="A552" s="3" t="s">
        <v>632</v>
      </c>
      <c r="B552" s="0" t="s">
        <v>333</v>
      </c>
      <c r="D552" s="21" t="n">
        <f aca="false">a26_abf-D550</f>
        <v>12.0070237</v>
      </c>
      <c r="E552" s="21" t="n">
        <f aca="false">D552*(1+g_nai)</f>
        <v>12.367234411</v>
      </c>
      <c r="F552" s="21" t="n">
        <f aca="false">E552*(1+g_nai)</f>
        <v>12.73825144333</v>
      </c>
      <c r="G552" s="21" t="n">
        <f aca="false">F552*(1+g_nai)</f>
        <v>13.1203989866299</v>
      </c>
    </row>
    <row r="553" customFormat="false" ht="17.15" hidden="false" customHeight="false" outlineLevel="0" collapsed="false">
      <c r="A553" s="0" t="s">
        <v>633</v>
      </c>
      <c r="B553" s="0" t="s">
        <v>333</v>
      </c>
      <c r="D553" s="21" t="n">
        <f aca="false">D548+D551+D552</f>
        <v>34.305782</v>
      </c>
      <c r="E553" s="21" t="n">
        <f aca="false">E548+E551+E552</f>
        <v>52.185233455512</v>
      </c>
      <c r="F553" s="21" t="n">
        <f aca="false">F548+F551+F552</f>
        <v>58.1898505074603</v>
      </c>
      <c r="G553" s="21" t="n">
        <f aca="false">G548+G551+G552</f>
        <v>62.7422103741239</v>
      </c>
    </row>
    <row r="554" customFormat="false" ht="17.15" hidden="false" customHeight="false" outlineLevel="0" collapsed="false">
      <c r="A554" s="0" t="s">
        <v>634</v>
      </c>
      <c r="B554" s="0" t="s">
        <v>333</v>
      </c>
      <c r="D554" s="21" t="n">
        <f aca="false">a26_abf</f>
        <v>34.305782</v>
      </c>
      <c r="E554" s="21" t="n">
        <f aca="false">$D553*cap_27*(1+g_mix)^1*E542*E543</f>
        <v>49.709078118</v>
      </c>
      <c r="F554" s="21" t="n">
        <f aca="false">$D553*cap_28*(1+g_mix)^2*F542*F543</f>
        <v>55.7829061005431</v>
      </c>
      <c r="G554" s="21" t="n">
        <f aca="false">$D553*cap_29*(1+g_mix)^3*G542*G543</f>
        <v>65.765110350114</v>
      </c>
      <c r="K554" s="7" t="s">
        <v>635</v>
      </c>
    </row>
    <row r="555" customFormat="false" ht="17.15" hidden="false" customHeight="false" outlineLevel="0" collapsed="false">
      <c r="A555" s="0" t="s">
        <v>636</v>
      </c>
      <c r="B555" s="0" t="s">
        <v>333</v>
      </c>
      <c r="D555" s="21" t="n">
        <f aca="false">a26_abf</f>
        <v>34.305782</v>
      </c>
      <c r="E555" s="21" t="n">
        <f aca="false">MIN(E553,E554)</f>
        <v>49.709078118</v>
      </c>
      <c r="F555" s="21" t="n">
        <f aca="false">MIN(F553,F554)</f>
        <v>55.7829061005431</v>
      </c>
      <c r="G555" s="21" t="n">
        <f aca="false">MIN(G553,G554)</f>
        <v>62.7422103741239</v>
      </c>
    </row>
    <row r="556" customFormat="false" ht="17.15" hidden="false" customHeight="false" outlineLevel="0" collapsed="false">
      <c r="A556" s="3" t="s">
        <v>637</v>
      </c>
      <c r="B556" s="0" t="s">
        <v>44</v>
      </c>
      <c r="D556" s="20" t="n">
        <f aca="false">D555/D553</f>
        <v>1</v>
      </c>
      <c r="E556" s="20" t="n">
        <f aca="false">E555/E553</f>
        <v>0.952550651332759</v>
      </c>
      <c r="F556" s="20" t="n">
        <f aca="false">F555/F553</f>
        <v>0.958636353489023</v>
      </c>
      <c r="G556" s="20" t="n">
        <f aca="false">G555/G553</f>
        <v>1</v>
      </c>
    </row>
    <row r="557" customFormat="false" ht="17.15" hidden="false" customHeight="false" outlineLevel="0" collapsed="false">
      <c r="A557" s="0" t="s">
        <v>638</v>
      </c>
      <c r="B557" s="0" t="s">
        <v>333</v>
      </c>
      <c r="D557" s="21" t="n">
        <f aca="false">(D548+D551)*D556</f>
        <v>22.2987583</v>
      </c>
      <c r="E557" s="21" t="n">
        <f aca="false">(E548+E551)*E556</f>
        <v>37.928660924617</v>
      </c>
      <c r="F557" s="21" t="n">
        <f aca="false">(F548+F551)*F556</f>
        <v>43.571555187083</v>
      </c>
      <c r="G557" s="21" t="n">
        <f aca="false">(G548+G551)*G556</f>
        <v>49.621811387494</v>
      </c>
    </row>
    <row r="558" customFormat="false" ht="17.15" hidden="false" customHeight="false" outlineLevel="0" collapsed="false">
      <c r="A558" s="3" t="s">
        <v>639</v>
      </c>
      <c r="B558" s="0" t="s">
        <v>44</v>
      </c>
      <c r="D558" s="20" t="n">
        <f aca="false">D548/(D548+D551)</f>
        <v>0.140894976776891</v>
      </c>
      <c r="E558" s="20" t="n">
        <f aca="false">E548/(E548+E551)</f>
        <v>0.226119517586731</v>
      </c>
      <c r="F558" s="20" t="n">
        <f aca="false">F548/(F548+F551)</f>
        <v>0.307150951728908</v>
      </c>
      <c r="G558" s="20" t="n">
        <f aca="false">G548/(G548+G551)</f>
        <v>0.358612723219583</v>
      </c>
    </row>
    <row r="559" customFormat="false" ht="17.15" hidden="false" customHeight="false" outlineLevel="0" collapsed="false">
      <c r="A559" s="5" t="s">
        <v>640</v>
      </c>
    </row>
    <row r="560" customFormat="false" ht="17.15" hidden="false" customHeight="false" outlineLevel="0" collapsed="false">
      <c r="A560" s="0" t="s">
        <v>641</v>
      </c>
      <c r="B560" s="0" t="s">
        <v>333</v>
      </c>
      <c r="D560" s="21" t="n">
        <f aca="false">a26_bt</f>
        <v>18.927328</v>
      </c>
      <c r="E560" s="21" t="n">
        <f aca="false">D560*(1+g_bt27_A)</f>
        <v>24.6055264</v>
      </c>
      <c r="F560" s="21" t="n">
        <f aca="false">E560*(1+g_bt28_A)</f>
        <v>27.06607904</v>
      </c>
      <c r="G560" s="21" t="n">
        <f aca="false">F560*(1+g_bt29_A)</f>
        <v>28.419382992</v>
      </c>
      <c r="K560" s="7" t="s">
        <v>642</v>
      </c>
    </row>
    <row r="561" customFormat="false" ht="17.15" hidden="false" customHeight="false" outlineLevel="0" collapsed="false">
      <c r="A561" s="0" t="s">
        <v>540</v>
      </c>
      <c r="B561" s="0" t="s">
        <v>333</v>
      </c>
      <c r="D561" s="21" t="n">
        <f aca="false">a26_pcb</f>
        <v>5.91479</v>
      </c>
      <c r="E561" s="21" t="n">
        <f aca="false">D561*(1+g_pcb)</f>
        <v>5.91479</v>
      </c>
      <c r="F561" s="21" t="n">
        <f aca="false">E561*(1+g_pcb)</f>
        <v>5.91479</v>
      </c>
      <c r="G561" s="21" t="n">
        <f aca="false">F561*(1+g_pcb)</f>
        <v>5.91479</v>
      </c>
    </row>
    <row r="562" customFormat="false" ht="17.15" hidden="false" customHeight="false" outlineLevel="0" collapsed="false">
      <c r="A562" s="3" t="s">
        <v>505</v>
      </c>
      <c r="B562" s="0" t="s">
        <v>333</v>
      </c>
      <c r="C562" s="23" t="n">
        <f aca="false">a25_rev</f>
        <v>40.173</v>
      </c>
      <c r="D562" s="23" t="n">
        <f aca="false">D555+D560+D561</f>
        <v>59.1479</v>
      </c>
      <c r="E562" s="23" t="n">
        <f aca="false">E555+E560+E561</f>
        <v>80.229394518</v>
      </c>
      <c r="F562" s="23" t="n">
        <f aca="false">F555+F560+F561</f>
        <v>88.7637751405431</v>
      </c>
      <c r="G562" s="23" t="n">
        <f aca="false">G555+G560+G561</f>
        <v>97.0763833661239</v>
      </c>
      <c r="H562" s="25" t="n">
        <f aca="false">G562*(1+H564)</f>
        <v>105.078626241508</v>
      </c>
      <c r="I562" s="25" t="n">
        <f aca="false">H562*(1+I564)</f>
        <v>112.561928658085</v>
      </c>
      <c r="J562" s="25" t="n">
        <f aca="false">I562*(1+J564)</f>
        <v>119.315644377571</v>
      </c>
      <c r="K562" s="7" t="s">
        <v>643</v>
      </c>
    </row>
    <row r="563" customFormat="false" ht="17.15" hidden="false" customHeight="false" outlineLevel="0" collapsed="false">
      <c r="A563" s="3" t="s">
        <v>644</v>
      </c>
      <c r="B563" s="0" t="s">
        <v>333</v>
      </c>
      <c r="D563" s="19" t="n">
        <f aca="false">D555+D560+D561-a26_rev</f>
        <v>0</v>
      </c>
      <c r="E563" s="19" t="n">
        <f aca="false">E555+E560+E561-E562</f>
        <v>0</v>
      </c>
      <c r="F563" s="19" t="n">
        <f aca="false">F555+F560+F561-F562</f>
        <v>0</v>
      </c>
      <c r="G563" s="19" t="n">
        <f aca="false">G555+G560+G561-G562</f>
        <v>0</v>
      </c>
    </row>
    <row r="564" customFormat="false" ht="15" hidden="false" customHeight="false" outlineLevel="0" collapsed="false">
      <c r="A564" s="3" t="s">
        <v>645</v>
      </c>
      <c r="B564" s="0" t="s">
        <v>44</v>
      </c>
      <c r="D564" s="20" t="n">
        <f aca="false">D562/C562-1</f>
        <v>0.472329674159261</v>
      </c>
      <c r="E564" s="20" t="n">
        <f aca="false">E562/D562-1</f>
        <v>0.35642</v>
      </c>
      <c r="F564" s="20" t="n">
        <f aca="false">F562/E562-1</f>
        <v>0.106374735517023</v>
      </c>
      <c r="G564" s="20" t="n">
        <f aca="false">G562/F562-1</f>
        <v>0.0936486557992731</v>
      </c>
      <c r="H564" s="26" t="n">
        <f aca="false">$G564+(fade_gA-$G564)*1/3</f>
        <v>0.0824324371995154</v>
      </c>
      <c r="I564" s="26" t="n">
        <f aca="false">$G564+(fade_gA-$G564)*2/3</f>
        <v>0.0712162185997577</v>
      </c>
      <c r="J564" s="26" t="n">
        <f aca="false">$G564+(fade_gA-$G564)*3/3</f>
        <v>0.06</v>
      </c>
    </row>
    <row r="565" customFormat="false" ht="17.15" hidden="false" customHeight="false" outlineLevel="0" collapsed="false">
      <c r="A565" s="0" t="s">
        <v>646</v>
      </c>
      <c r="B565" s="0" t="s">
        <v>44</v>
      </c>
      <c r="D565" s="20" t="n">
        <f aca="false">D555/D562</f>
        <v>0.58</v>
      </c>
      <c r="E565" s="20" t="n">
        <f aca="false">E555/E562</f>
        <v>0.619586853629407</v>
      </c>
      <c r="F565" s="20" t="n">
        <f aca="false">F555/F562</f>
        <v>0.62844224473576</v>
      </c>
      <c r="G565" s="20" t="n">
        <f aca="false">G555/G562</f>
        <v>0.646317963221718</v>
      </c>
    </row>
    <row r="566" customFormat="false" ht="17.15" hidden="false" customHeight="false" outlineLevel="0" collapsed="false">
      <c r="A566" s="0" t="s">
        <v>647</v>
      </c>
      <c r="B566" s="0" t="s">
        <v>44</v>
      </c>
      <c r="D566" s="20" t="n">
        <f aca="false">D557/D562</f>
        <v>0.377</v>
      </c>
      <c r="E566" s="20" t="n">
        <f aca="false">E557/E562</f>
        <v>0.472752675655648</v>
      </c>
      <c r="F566" s="20" t="n">
        <f aca="false">F557/F562</f>
        <v>0.490870911225829</v>
      </c>
      <c r="G566" s="20" t="n">
        <f aca="false">G557/G562</f>
        <v>0.511162547128947</v>
      </c>
      <c r="K566" s="3" t="s">
        <v>648</v>
      </c>
    </row>
    <row r="567" customFormat="false" ht="17.15" hidden="false" customHeight="false" outlineLevel="0" collapsed="false">
      <c r="A567" s="5" t="s">
        <v>649</v>
      </c>
    </row>
    <row r="568" customFormat="false" ht="15" hidden="false" customHeight="false" outlineLevel="0" collapsed="false">
      <c r="A568" s="3" t="s">
        <v>650</v>
      </c>
      <c r="B568" s="0" t="s">
        <v>333</v>
      </c>
      <c r="C568" s="23" t="n">
        <f aca="false">a25_cx</f>
        <v>2.422</v>
      </c>
      <c r="D568" s="23" t="n">
        <f aca="false">capex26</f>
        <v>4</v>
      </c>
      <c r="E568" s="23" t="n">
        <f aca="false">cx27</f>
        <v>14</v>
      </c>
      <c r="F568" s="23" t="n">
        <f aca="false">cx28</f>
        <v>18</v>
      </c>
      <c r="G568" s="23" t="n">
        <f aca="false">cx29</f>
        <v>12</v>
      </c>
      <c r="H568" s="25" t="n">
        <f aca="false">H562*H585</f>
        <v>12.4247845914869</v>
      </c>
      <c r="I568" s="25" t="n">
        <f aca="false">I562*I585</f>
        <v>12.7050313468192</v>
      </c>
      <c r="J568" s="25" t="n">
        <f aca="false">J562*J585</f>
        <v>12.8264578422271</v>
      </c>
    </row>
    <row r="569" customFormat="false" ht="17.15" hidden="false" customHeight="false" outlineLevel="0" collapsed="false">
      <c r="A569" s="3" t="s">
        <v>651</v>
      </c>
      <c r="B569" s="0" t="s">
        <v>333</v>
      </c>
      <c r="C569" s="23" t="n">
        <f aca="false">a25_da</f>
        <v>6.894</v>
      </c>
      <c r="D569" s="23" t="n">
        <f aca="false">da26</f>
        <v>7.1</v>
      </c>
      <c r="E569" s="23" t="n">
        <f aca="false">D569*(1-1/life)+D568/life</f>
        <v>6.7125</v>
      </c>
      <c r="F569" s="23" t="n">
        <f aca="false">E569*(1-1/life)+E568/life</f>
        <v>7.6234375</v>
      </c>
      <c r="G569" s="23" t="n">
        <f aca="false">F569*(1-1/life)+F568/life</f>
        <v>8.9205078125</v>
      </c>
      <c r="H569" s="25" t="n">
        <f aca="false">H562*H570</f>
        <v>9.65584701254169</v>
      </c>
      <c r="I569" s="25" t="n">
        <f aca="false">I562*I570</f>
        <v>10.3434999241527</v>
      </c>
      <c r="J569" s="25" t="n">
        <f aca="false">J562*J570</f>
        <v>10.9641099196018</v>
      </c>
      <c r="K569" s="3" t="s">
        <v>652</v>
      </c>
    </row>
    <row r="570" customFormat="false" ht="17.15" hidden="false" customHeight="false" outlineLevel="0" collapsed="false">
      <c r="A570" s="3" t="s">
        <v>653</v>
      </c>
      <c r="B570" s="0" t="s">
        <v>44</v>
      </c>
      <c r="C570" s="20" t="n">
        <f aca="false">C569/C562</f>
        <v>0.171607796281084</v>
      </c>
      <c r="D570" s="20" t="n">
        <f aca="false">D569/D562</f>
        <v>0.120038074048276</v>
      </c>
      <c r="E570" s="20" t="n">
        <f aca="false">E569/E562</f>
        <v>0.0836663424961285</v>
      </c>
      <c r="F570" s="20" t="n">
        <f aca="false">F569/F562</f>
        <v>0.0858845569369883</v>
      </c>
      <c r="G570" s="20" t="n">
        <f aca="false">G569/G562</f>
        <v>0.0918916373187933</v>
      </c>
      <c r="H570" s="26" t="n">
        <f aca="false">$G570</f>
        <v>0.0918916373187933</v>
      </c>
      <c r="I570" s="26" t="n">
        <f aca="false">$G570</f>
        <v>0.0918916373187933</v>
      </c>
      <c r="J570" s="26" t="n">
        <f aca="false">$G570</f>
        <v>0.0918916373187933</v>
      </c>
    </row>
    <row r="571" customFormat="false" ht="17.15" hidden="false" customHeight="false" outlineLevel="0" collapsed="false">
      <c r="A571" s="3" t="s">
        <v>654</v>
      </c>
      <c r="B571" s="0" t="s">
        <v>333</v>
      </c>
      <c r="E571" s="21" t="n">
        <f aca="false">E557*(1-1/(E542*E543))</f>
        <v>4.94721664234135</v>
      </c>
      <c r="F571" s="21" t="n">
        <f aca="false">F557*(1-1/(F542*F543))</f>
        <v>3.68912480989031</v>
      </c>
      <c r="G571" s="21" t="n">
        <f aca="false">G557*(1-1/(G542*G543))</f>
        <v>1.67803226914231</v>
      </c>
      <c r="K571" s="7" t="s">
        <v>655</v>
      </c>
    </row>
    <row r="572" customFormat="false" ht="17.15" hidden="false" customHeight="false" outlineLevel="0" collapsed="false">
      <c r="A572" s="3" t="s">
        <v>656</v>
      </c>
      <c r="B572" s="0" t="s">
        <v>333</v>
      </c>
      <c r="C572" s="21" t="n">
        <f aca="false">a25_gp</f>
        <v>3.647</v>
      </c>
      <c r="D572" s="21" t="n">
        <f aca="false">a26_gp</f>
        <v>15.9001925</v>
      </c>
      <c r="E572" s="21" t="n">
        <f aca="false">$D572+ft_abf_hi*(E555-E571-$D555)+ft_oth*((E562-E555)-($D562-$D555))+E571-(E569-$D569)</f>
        <v>29.7798361877365</v>
      </c>
      <c r="F572" s="21" t="n">
        <f aca="false">$D572+ft_abf_hi*(F555-F571-$D555)+ft_oth*((F562-F555)-($D562-$D555))+F571-(F569-$D569)</f>
        <v>32.994179800282</v>
      </c>
      <c r="G572" s="21" t="n">
        <f aca="false">$D572+ft_abf_hi*(G555-G571-$D555)+ft_oth*((G562-G555)-($D562-$D555))+G571-(G569-$D569)</f>
        <v>35.6095766164313</v>
      </c>
      <c r="K572" s="3" t="s">
        <v>657</v>
      </c>
    </row>
    <row r="573" customFormat="false" ht="15" hidden="false" customHeight="false" outlineLevel="0" collapsed="false">
      <c r="A573" s="3" t="s">
        <v>512</v>
      </c>
      <c r="B573" s="0" t="s">
        <v>44</v>
      </c>
      <c r="C573" s="16" t="n">
        <f aca="false">C572/C562</f>
        <v>0.0907823662659</v>
      </c>
      <c r="D573" s="16" t="n">
        <f aca="false">D572/D562</f>
        <v>0.268820913337583</v>
      </c>
      <c r="E573" s="16" t="n">
        <f aca="false">E572/E562</f>
        <v>0.371183608783876</v>
      </c>
      <c r="F573" s="16" t="n">
        <f aca="false">F572/F562</f>
        <v>0.371707712386512</v>
      </c>
      <c r="G573" s="16" t="n">
        <f aca="false">G572/G562</f>
        <v>0.366820182022332</v>
      </c>
    </row>
    <row r="574" customFormat="false" ht="15" hidden="false" customHeight="false" outlineLevel="0" collapsed="false">
      <c r="A574" s="3" t="s">
        <v>514</v>
      </c>
      <c r="B574" s="0" t="s">
        <v>333</v>
      </c>
      <c r="C574" s="21" t="n">
        <f aca="false">a25_opx</f>
        <v>1.665</v>
      </c>
      <c r="D574" s="21" t="n">
        <f aca="false">a26_opx</f>
        <v>1.9</v>
      </c>
      <c r="E574" s="21" t="n">
        <f aca="false">D574*(1+phi*E564)</f>
        <v>2.3063188</v>
      </c>
      <c r="F574" s="21" t="n">
        <f aca="false">E574*(1+phi*F564)</f>
        <v>2.45351923142076</v>
      </c>
      <c r="G574" s="21" t="n">
        <f aca="false">F574*(1+phi*G564)</f>
        <v>2.59138049822089</v>
      </c>
    </row>
    <row r="575" customFormat="false" ht="15" hidden="false" customHeight="false" outlineLevel="0" collapsed="false">
      <c r="A575" s="3" t="s">
        <v>517</v>
      </c>
      <c r="B575" s="0" t="s">
        <v>333</v>
      </c>
      <c r="C575" s="21" t="n">
        <f aca="false">C572-C574</f>
        <v>1.982</v>
      </c>
      <c r="D575" s="21" t="n">
        <f aca="false">D572-D574</f>
        <v>14.0001925</v>
      </c>
      <c r="E575" s="21" t="n">
        <f aca="false">E572-E574</f>
        <v>27.4735173877365</v>
      </c>
      <c r="F575" s="21" t="n">
        <f aca="false">F572-F574</f>
        <v>30.5406605688612</v>
      </c>
      <c r="G575" s="21" t="n">
        <f aca="false">G572-G574</f>
        <v>33.0181961182104</v>
      </c>
    </row>
    <row r="576" customFormat="false" ht="15" hidden="false" customHeight="false" outlineLevel="0" collapsed="false">
      <c r="A576" s="3" t="s">
        <v>598</v>
      </c>
      <c r="B576" s="0" t="s">
        <v>44</v>
      </c>
      <c r="C576" s="16" t="n">
        <f aca="false">C575/C562</f>
        <v>0.0493366191222961</v>
      </c>
      <c r="D576" s="16" t="n">
        <f aca="false">D575/D562</f>
        <v>0.236698048451424</v>
      </c>
      <c r="E576" s="16" t="n">
        <f aca="false">E575/E562</f>
        <v>0.342437052563979</v>
      </c>
      <c r="F576" s="16" t="n">
        <f aca="false">F575/F562</f>
        <v>0.344066715509847</v>
      </c>
      <c r="G576" s="16" t="n">
        <f aca="false">G575/G562</f>
        <v>0.340125939732243</v>
      </c>
    </row>
    <row r="577" customFormat="false" ht="15" hidden="false" customHeight="false" outlineLevel="0" collapsed="false">
      <c r="A577" s="3" t="s">
        <v>520</v>
      </c>
      <c r="B577" s="0" t="s">
        <v>333</v>
      </c>
      <c r="C577" s="21" t="n">
        <f aca="false">a25_nonop</f>
        <v>0.364</v>
      </c>
      <c r="D577" s="21" t="n">
        <f aca="false">a26_nonop</f>
        <v>0.623</v>
      </c>
      <c r="E577" s="21" t="n">
        <f aca="false">nonop27</f>
        <v>0.6</v>
      </c>
      <c r="F577" s="21" t="n">
        <f aca="false">nonop28</f>
        <v>0.6</v>
      </c>
      <c r="G577" s="21" t="n">
        <f aca="false">nonop29</f>
        <v>0.6</v>
      </c>
    </row>
    <row r="578" customFormat="false" ht="15" hidden="false" customHeight="false" outlineLevel="0" collapsed="false">
      <c r="A578" s="3" t="s">
        <v>522</v>
      </c>
      <c r="B578" s="0" t="s">
        <v>333</v>
      </c>
      <c r="C578" s="21" t="n">
        <f aca="false">C575+C577</f>
        <v>2.346</v>
      </c>
      <c r="D578" s="21" t="n">
        <f aca="false">D575+D577</f>
        <v>14.6231925</v>
      </c>
      <c r="E578" s="21" t="n">
        <f aca="false">E575+E577</f>
        <v>28.0735173877365</v>
      </c>
      <c r="F578" s="21" t="n">
        <f aca="false">F575+F577</f>
        <v>31.1406605688612</v>
      </c>
      <c r="G578" s="21" t="n">
        <f aca="false">G575+G577</f>
        <v>33.6181961182104</v>
      </c>
    </row>
    <row r="579" customFormat="false" ht="15" hidden="false" customHeight="false" outlineLevel="0" collapsed="false">
      <c r="A579" s="3" t="s">
        <v>525</v>
      </c>
      <c r="B579" s="0" t="s">
        <v>333</v>
      </c>
      <c r="E579" s="21" t="n">
        <f aca="false">E578*tax</f>
        <v>5.89543865142467</v>
      </c>
      <c r="F579" s="21" t="n">
        <f aca="false">F578*tax</f>
        <v>6.53953871946086</v>
      </c>
      <c r="G579" s="21" t="n">
        <f aca="false">G578*tax</f>
        <v>7.05982118482418</v>
      </c>
    </row>
    <row r="580" customFormat="false" ht="15" hidden="false" customHeight="false" outlineLevel="0" collapsed="false">
      <c r="A580" s="3" t="s">
        <v>523</v>
      </c>
      <c r="B580" s="0" t="s">
        <v>333</v>
      </c>
      <c r="C580" s="21" t="n">
        <f aca="false">a25_ni</f>
        <v>1.947</v>
      </c>
      <c r="D580" s="21" t="n">
        <f aca="false">a26_ni</f>
        <v>11.509862075</v>
      </c>
      <c r="E580" s="21" t="n">
        <f aca="false">E578-E579</f>
        <v>22.1780787363119</v>
      </c>
      <c r="F580" s="21" t="n">
        <f aca="false">F578-F579</f>
        <v>24.6011218494004</v>
      </c>
      <c r="G580" s="21" t="n">
        <f aca="false">G578-G579</f>
        <v>26.5583749333862</v>
      </c>
      <c r="H580" s="30" t="n">
        <f aca="false">H562*H584</f>
        <v>27.9849237348685</v>
      </c>
      <c r="I580" s="30" t="n">
        <f aca="false">I562*I584</f>
        <v>29.1608631770475</v>
      </c>
      <c r="J580" s="30" t="n">
        <f aca="false">J562*J584</f>
        <v>30.0444515034082</v>
      </c>
    </row>
    <row r="581" customFormat="false" ht="15" hidden="false" customHeight="false" outlineLevel="0" collapsed="false">
      <c r="A581" s="3" t="s">
        <v>658</v>
      </c>
      <c r="B581" s="3" t="s">
        <v>400</v>
      </c>
      <c r="C581" s="29" t="n">
        <f aca="false">a25_sh</f>
        <v>0.646843853820598</v>
      </c>
      <c r="D581" s="29" t="n">
        <f aca="false">a26_sh</f>
        <v>0.645863325123153</v>
      </c>
      <c r="E581" s="29" t="n">
        <f aca="false">a26_shend*(1+sh_g)</f>
        <v>0.64617</v>
      </c>
      <c r="F581" s="29" t="n">
        <f aca="false">E581*(1+sh_g)</f>
        <v>0.64617</v>
      </c>
      <c r="G581" s="29" t="n">
        <f aca="false">F581*(1+sh_g)</f>
        <v>0.64617</v>
      </c>
      <c r="H581" s="31" t="n">
        <f aca="false">G581*(1+sh_g)</f>
        <v>0.64617</v>
      </c>
      <c r="I581" s="31" t="n">
        <f aca="false">H581*(1+sh_g)</f>
        <v>0.64617</v>
      </c>
      <c r="J581" s="31" t="n">
        <f aca="false">I581*(1+sh_g)</f>
        <v>0.64617</v>
      </c>
    </row>
    <row r="582" customFormat="false" ht="17.15" hidden="false" customHeight="false" outlineLevel="0" collapsed="false">
      <c r="A582" s="0" t="s">
        <v>528</v>
      </c>
      <c r="B582" s="0" t="s">
        <v>406</v>
      </c>
      <c r="C582" s="18" t="n">
        <f aca="false">C580/C581</f>
        <v>3.01</v>
      </c>
      <c r="D582" s="18" t="n">
        <f aca="false">D580/D581</f>
        <v>17.820894339844</v>
      </c>
      <c r="E582" s="18" t="n">
        <f aca="false">E580/E581</f>
        <v>34.3223590329354</v>
      </c>
      <c r="F582" s="18" t="n">
        <f aca="false">F580/F581</f>
        <v>38.0722129616051</v>
      </c>
      <c r="G582" s="18" t="n">
        <f aca="false">G580/G581</f>
        <v>41.101219390232</v>
      </c>
      <c r="H582" s="28" t="n">
        <f aca="false">H580/H581</f>
        <v>43.3089182952915</v>
      </c>
      <c r="I582" s="28" t="n">
        <f aca="false">I580/I581</f>
        <v>45.1287790783347</v>
      </c>
      <c r="J582" s="28" t="n">
        <f aca="false">J580/J581</f>
        <v>46.4962030168659</v>
      </c>
    </row>
    <row r="583" customFormat="false" ht="17.15" hidden="false" customHeight="false" outlineLevel="0" collapsed="false">
      <c r="A583" s="0" t="s">
        <v>659</v>
      </c>
      <c r="B583" s="0" t="s">
        <v>44</v>
      </c>
      <c r="D583" s="20" t="n">
        <f aca="false">D582/C582-1</f>
        <v>4.92056290360265</v>
      </c>
      <c r="E583" s="20" t="n">
        <f aca="false">E582/D582-1</f>
        <v>0.925961648074947</v>
      </c>
      <c r="F583" s="20" t="n">
        <f aca="false">F582/E582-1</f>
        <v>0.109253968384615</v>
      </c>
      <c r="G583" s="20" t="n">
        <f aca="false">G582/F582-1</f>
        <v>0.0795595052927851</v>
      </c>
      <c r="H583" s="26" t="n">
        <f aca="false">H582/G582-1</f>
        <v>0.0537137082016639</v>
      </c>
      <c r="I583" s="26" t="n">
        <f aca="false">I582/H582-1</f>
        <v>0.0420204626362393</v>
      </c>
      <c r="J583" s="26" t="n">
        <f aca="false">J582/I582-1</f>
        <v>0.0303004859971421</v>
      </c>
    </row>
    <row r="584" customFormat="false" ht="17.15" hidden="false" customHeight="false" outlineLevel="0" collapsed="false">
      <c r="A584" s="3" t="s">
        <v>660</v>
      </c>
      <c r="B584" s="0" t="s">
        <v>44</v>
      </c>
      <c r="C584" s="16" t="n">
        <f aca="false">C580/C562</f>
        <v>0.0484653872003585</v>
      </c>
      <c r="D584" s="16" t="n">
        <f aca="false">D580/D562</f>
        <v>0.194594602259759</v>
      </c>
      <c r="E584" s="16" t="n">
        <f aca="false">E580/E562</f>
        <v>0.27643333057108</v>
      </c>
      <c r="F584" s="16" t="n">
        <f aca="false">F580/F562</f>
        <v>0.277152721484057</v>
      </c>
      <c r="G584" s="16" t="n">
        <f aca="false">G580/G562</f>
        <v>0.273582245366736</v>
      </c>
      <c r="H584" s="27" t="n">
        <f aca="false">$G584+(fade_mA-$G584)*1/3</f>
        <v>0.266323654351449</v>
      </c>
      <c r="I584" s="27" t="n">
        <f aca="false">$G584+(fade_mA-$G584)*2/3</f>
        <v>0.259065063336163</v>
      </c>
      <c r="J584" s="27" t="n">
        <f aca="false">$G584+(fade_mA-$G584)*3/3</f>
        <v>0.251806472320876</v>
      </c>
    </row>
    <row r="585" customFormat="false" ht="17.15" hidden="false" customHeight="false" outlineLevel="0" collapsed="false">
      <c r="A585" s="3" t="s">
        <v>661</v>
      </c>
      <c r="B585" s="0" t="s">
        <v>44</v>
      </c>
      <c r="C585" s="20" t="n">
        <f aca="false">C568/C562</f>
        <v>0.0602892489980833</v>
      </c>
      <c r="D585" s="20" t="n">
        <f aca="false">D568/D562</f>
        <v>0.0676270839708595</v>
      </c>
      <c r="E585" s="20" t="n">
        <f aca="false">E568/E562</f>
        <v>0.174499634256357</v>
      </c>
      <c r="F585" s="20" t="n">
        <f aca="false">F568/F562</f>
        <v>0.202785426504223</v>
      </c>
      <c r="G585" s="20" t="n">
        <f aca="false">G568/G562</f>
        <v>0.123613999449711</v>
      </c>
      <c r="H585" s="26" t="n">
        <f aca="false">$G585+($G570*(1+tp_g)^(life/2)-$G585)*1/3</f>
        <v>0.118242739136409</v>
      </c>
      <c r="I585" s="26" t="n">
        <f aca="false">$G585+($G570*(1+tp_g)^(life/2)-$G585)*2/3</f>
        <v>0.112871478823108</v>
      </c>
      <c r="J585" s="26" t="n">
        <f aca="false">$G585+($G570*(1+tp_g)^(life/2)-$G585)*3/3</f>
        <v>0.107500218509806</v>
      </c>
      <c r="K585" s="7" t="s">
        <v>662</v>
      </c>
    </row>
    <row r="586" customFormat="false" ht="15" hidden="false" customHeight="false" outlineLevel="0" collapsed="false">
      <c r="A586" s="3" t="s">
        <v>663</v>
      </c>
      <c r="B586" s="0" t="s">
        <v>333</v>
      </c>
      <c r="E586" s="21" t="n">
        <f aca="false">E580+E569-E568</f>
        <v>14.8905787363119</v>
      </c>
      <c r="F586" s="21" t="n">
        <f aca="false">F580+F569-F568</f>
        <v>14.2245593494004</v>
      </c>
      <c r="G586" s="21" t="n">
        <f aca="false">G580+G569-G568</f>
        <v>23.4788827458862</v>
      </c>
      <c r="H586" s="30" t="n">
        <f aca="false">H580+H569-H568</f>
        <v>25.2159861559233</v>
      </c>
      <c r="I586" s="30" t="n">
        <f aca="false">I580+I569-I568</f>
        <v>26.799331754381</v>
      </c>
      <c r="J586" s="30" t="n">
        <f aca="false">J580+J569-J568</f>
        <v>28.182103580783</v>
      </c>
      <c r="K586" s="3" t="s">
        <v>664</v>
      </c>
    </row>
    <row r="587" customFormat="false" ht="15" hidden="false" customHeight="false" outlineLevel="0" collapsed="false">
      <c r="A587" s="3" t="s">
        <v>665</v>
      </c>
      <c r="B587" s="0" t="s">
        <v>406</v>
      </c>
      <c r="E587" s="18" t="n">
        <f aca="false">E586/E581</f>
        <v>23.0443671732081</v>
      </c>
      <c r="F587" s="18" t="n">
        <f aca="false">F586/F581</f>
        <v>22.0136486519033</v>
      </c>
      <c r="G587" s="18" t="n">
        <f aca="false">G586/G581</f>
        <v>36.3354577679035</v>
      </c>
      <c r="H587" s="28" t="n">
        <f aca="false">H586/H581</f>
        <v>39.023764885283</v>
      </c>
      <c r="I587" s="28" t="n">
        <f aca="false">I586/I581</f>
        <v>41.4741194335561</v>
      </c>
      <c r="J587" s="28" t="n">
        <f aca="false">J586/J581</f>
        <v>43.6140699518439</v>
      </c>
    </row>
    <row r="590" customFormat="false" ht="17.15" hidden="false" customHeight="false" outlineLevel="0" collapsed="false">
      <c r="A590" s="1" t="s">
        <v>1017</v>
      </c>
    </row>
    <row r="591" customFormat="false" ht="17.15" hidden="false" customHeight="false" outlineLevel="0" collapsed="false">
      <c r="A591" s="4" t="s">
        <v>21</v>
      </c>
      <c r="B591" s="4" t="s">
        <v>22</v>
      </c>
      <c r="C591" s="13" t="s">
        <v>498</v>
      </c>
      <c r="D591" s="13" t="s">
        <v>585</v>
      </c>
      <c r="E591" s="13" t="s">
        <v>586</v>
      </c>
      <c r="F591" s="13" t="s">
        <v>587</v>
      </c>
      <c r="G591" s="13" t="s">
        <v>588</v>
      </c>
      <c r="H591" s="13" t="s">
        <v>589</v>
      </c>
      <c r="I591" s="13" t="s">
        <v>590</v>
      </c>
      <c r="J591" s="13" t="s">
        <v>591</v>
      </c>
      <c r="K591" s="4" t="s">
        <v>553</v>
      </c>
    </row>
    <row r="592" customFormat="false" ht="17.15" hidden="false" customHeight="false" outlineLevel="0" collapsed="false">
      <c r="A592" s="5" t="s">
        <v>609</v>
      </c>
    </row>
    <row r="593" customFormat="false" ht="17.15" hidden="false" customHeight="false" outlineLevel="0" collapsed="false">
      <c r="A593" s="0" t="s">
        <v>610</v>
      </c>
      <c r="B593" s="3" t="s">
        <v>32</v>
      </c>
      <c r="D593" s="21" t="n">
        <f aca="false">(u_bw_26+u_rb_26+u_ru_26+u_hp_26)*1</f>
        <v>7.6</v>
      </c>
      <c r="E593" s="21" t="n">
        <f aca="false">(u_bw_27+u_rb_27+u_ru_27+u_hp_27)*1*1</f>
        <v>9.7</v>
      </c>
      <c r="F593" s="21" t="n">
        <f aca="false">(u_bw_28+u_rb_28+u_ru_28+u_hp_28)*um28_A*1</f>
        <v>9.5</v>
      </c>
      <c r="G593" s="21" t="n">
        <f aca="false">(u_bw_28*(1+g29_bw)+u_rb_28*(1+g29_rb)+u_ru_28*(1+g29_ru)+u_hp_28*(1+g29_hp))*um29_A*1</f>
        <v>10.6</v>
      </c>
      <c r="K593" s="7" t="s">
        <v>611</v>
      </c>
    </row>
    <row r="594" customFormat="false" ht="17.15" hidden="false" customHeight="false" outlineLevel="0" collapsed="false">
      <c r="A594" s="3" t="s">
        <v>612</v>
      </c>
      <c r="B594" s="3" t="s">
        <v>32</v>
      </c>
      <c r="D594" s="21" t="n">
        <f aca="false">(u_amd_26+u_tpu_26+u_trn_26+u_oth_26)*1</f>
        <v>7.6</v>
      </c>
      <c r="E594" s="21" t="n">
        <f aca="false">(u_amd_27+u_tpu_27+u_trn_27+u_oth_27)*1*1</f>
        <v>14</v>
      </c>
      <c r="F594" s="21" t="n">
        <f aca="false">(u_amd_28+u_tpu_28+u_trn_28+u_oth_28)*um28_A*1</f>
        <v>17</v>
      </c>
      <c r="G594" s="21" t="n">
        <f aca="false">(u_amd_28*(1+g29_amd)+u_tpu_28*(1+g29_tpu)+u_trn_28*(1+g29_trn)+u_oth_28*(1+g29_oth))*um29_A*1</f>
        <v>19.55</v>
      </c>
      <c r="K594" s="7" t="s">
        <v>613</v>
      </c>
    </row>
    <row r="595" customFormat="false" ht="17.15" hidden="false" customHeight="false" outlineLevel="0" collapsed="false">
      <c r="A595" s="3" t="s">
        <v>614</v>
      </c>
      <c r="B595" s="0" t="s">
        <v>154</v>
      </c>
      <c r="D595" s="19" t="n">
        <f aca="false">1</f>
        <v>1</v>
      </c>
      <c r="E595" s="19" t="n">
        <f aca="false">D595*(1+g_asp)</f>
        <v>1.18</v>
      </c>
      <c r="F595" s="19" t="n">
        <f aca="false">E595*(1+g_asp)</f>
        <v>1.3924</v>
      </c>
      <c r="G595" s="19" t="n">
        <f aca="false">F595*(1+g_asp)</f>
        <v>1.643032</v>
      </c>
      <c r="K595" s="7" t="s">
        <v>615</v>
      </c>
    </row>
    <row r="596" customFormat="false" ht="17.15" hidden="false" customHeight="false" outlineLevel="0" collapsed="false">
      <c r="A596" s="0" t="s">
        <v>616</v>
      </c>
      <c r="B596" s="0" t="s">
        <v>154</v>
      </c>
      <c r="D596" s="18" t="n">
        <f aca="false">1</f>
        <v>1</v>
      </c>
      <c r="E596" s="18" t="n">
        <f aca="false">ibpp_27</f>
        <v>1</v>
      </c>
      <c r="F596" s="18" t="n">
        <f aca="false">ibpp_28</f>
        <v>0.95</v>
      </c>
      <c r="G596" s="18" t="n">
        <f aca="false">ibpp_29</f>
        <v>0.9</v>
      </c>
      <c r="K596" s="7" t="s">
        <v>617</v>
      </c>
    </row>
    <row r="597" customFormat="false" ht="17.15" hidden="false" customHeight="false" outlineLevel="0" collapsed="false">
      <c r="A597" s="3" t="s">
        <v>618</v>
      </c>
      <c r="B597" s="0" t="s">
        <v>154</v>
      </c>
      <c r="D597" s="18" t="n">
        <f aca="false">1</f>
        <v>1</v>
      </c>
      <c r="E597" s="18" t="n">
        <f aca="false">1+carry</f>
        <v>1.15</v>
      </c>
      <c r="F597" s="18" t="n">
        <f aca="false">1+carry</f>
        <v>1.15</v>
      </c>
      <c r="G597" s="18" t="n">
        <f aca="false">1+carry</f>
        <v>1.15</v>
      </c>
      <c r="K597" s="7" t="s">
        <v>619</v>
      </c>
    </row>
    <row r="598" customFormat="false" ht="17.15" hidden="false" customHeight="false" outlineLevel="0" collapsed="false">
      <c r="A598" s="3" t="s">
        <v>620</v>
      </c>
      <c r="B598" s="0" t="s">
        <v>621</v>
      </c>
      <c r="D598" s="23" t="n">
        <f aca="false">v26*D595*D596</f>
        <v>215.308596</v>
      </c>
      <c r="E598" s="23" t="n">
        <f aca="false">v26*E595*E596</f>
        <v>254.06414328</v>
      </c>
      <c r="F598" s="23" t="n">
        <f aca="false">v26*F595*F596</f>
        <v>284.80590461688</v>
      </c>
      <c r="G598" s="23" t="n">
        <f aca="false">v26*G595*G596</f>
        <v>318.383021792765</v>
      </c>
      <c r="K598" s="7" t="s">
        <v>622</v>
      </c>
    </row>
    <row r="599" customFormat="false" ht="17.15" hidden="false" customHeight="false" outlineLevel="0" collapsed="false">
      <c r="A599" s="3" t="s">
        <v>623</v>
      </c>
      <c r="B599" s="0" t="s">
        <v>44</v>
      </c>
      <c r="D599" s="20" t="n">
        <f aca="false">sh_nv_26</f>
        <v>0.02</v>
      </c>
      <c r="E599" s="20" t="n">
        <f aca="false">sh_nv_27</f>
        <v>0.03</v>
      </c>
      <c r="F599" s="20" t="n">
        <f aca="false">sh_nv_28</f>
        <v>0.04</v>
      </c>
      <c r="G599" s="20" t="n">
        <f aca="false">sh_nv_29</f>
        <v>0.04</v>
      </c>
    </row>
    <row r="600" customFormat="false" ht="17.15" hidden="false" customHeight="false" outlineLevel="0" collapsed="false">
      <c r="A600" s="3" t="s">
        <v>624</v>
      </c>
      <c r="B600" s="0" t="s">
        <v>44</v>
      </c>
      <c r="D600" s="20" t="n">
        <f aca="false">sh_ot_26</f>
        <v>0.05</v>
      </c>
      <c r="E600" s="20" t="n">
        <f aca="false">sh_ot_27</f>
        <v>0.06</v>
      </c>
      <c r="F600" s="20" t="n">
        <f aca="false">sh_ot_28</f>
        <v>0.07</v>
      </c>
      <c r="G600" s="20" t="n">
        <f aca="false">sh_ot_29</f>
        <v>0.07</v>
      </c>
    </row>
    <row r="601" customFormat="false" ht="17.15" hidden="false" customHeight="false" outlineLevel="0" collapsed="false">
      <c r="A601" s="3" t="s">
        <v>625</v>
      </c>
      <c r="B601" s="0" t="s">
        <v>575</v>
      </c>
      <c r="D601" s="22" t="n">
        <f aca="false">(D593*D598*D599+D594*D598*v_ot*D600)*D597</f>
        <v>98.180719776</v>
      </c>
      <c r="E601" s="22" t="n">
        <f aca="false">(E593*E598*E599+E594*E598*v_ot*E600)*E597</f>
        <v>281.363335475436</v>
      </c>
      <c r="F601" s="22" t="n">
        <f aca="false">(F593*F598*F599+F594*F598*v_ot*F600)*F597</f>
        <v>436.265684692137</v>
      </c>
      <c r="G601" s="22" t="n">
        <f aca="false">(G593*G598*G599+G594*G598*v_ot*G600)*G597</f>
        <v>556.094153523679</v>
      </c>
    </row>
    <row r="602" customFormat="false" ht="15" hidden="false" customHeight="false" outlineLevel="0" collapsed="false">
      <c r="A602" s="3" t="s">
        <v>626</v>
      </c>
      <c r="B602" s="0" t="s">
        <v>333</v>
      </c>
      <c r="D602" s="21" t="n">
        <f aca="false">D601*fx/1000</f>
        <v>3.141783032832</v>
      </c>
      <c r="E602" s="21" t="n">
        <f aca="false">E601*fx/1000</f>
        <v>9.00362673521395</v>
      </c>
      <c r="F602" s="21" t="n">
        <f aca="false">F601*fx/1000</f>
        <v>13.9605019101484</v>
      </c>
      <c r="G602" s="21" t="n">
        <f aca="false">G601*fx/1000</f>
        <v>17.7950129127577</v>
      </c>
    </row>
    <row r="603" customFormat="false" ht="17.15" hidden="false" customHeight="false" outlineLevel="0" collapsed="false">
      <c r="A603" s="5" t="s">
        <v>627</v>
      </c>
    </row>
    <row r="604" customFormat="false" ht="17.15" hidden="false" customHeight="false" outlineLevel="0" collapsed="false">
      <c r="A604" s="0" t="s">
        <v>628</v>
      </c>
      <c r="B604" s="0" t="s">
        <v>333</v>
      </c>
      <c r="D604" s="21" t="n">
        <f aca="false">a26_abf*ai_abf</f>
        <v>22.2987583</v>
      </c>
      <c r="K604" s="3" t="s">
        <v>629</v>
      </c>
    </row>
    <row r="605" customFormat="false" ht="17.15" hidden="false" customHeight="false" outlineLevel="0" collapsed="false">
      <c r="A605" s="3" t="s">
        <v>630</v>
      </c>
      <c r="B605" s="0" t="s">
        <v>333</v>
      </c>
      <c r="D605" s="21" t="n">
        <f aca="false">D604-D602</f>
        <v>19.156975267168</v>
      </c>
      <c r="E605" s="21" t="n">
        <f aca="false">$D605*(swm_27/swm_26)^el_o*1*1*E596*E597</f>
        <v>30.814372309298</v>
      </c>
      <c r="F605" s="21" t="n">
        <f aca="false">$D605*(swm_28/swm_26)^el_o*um28_A*1*F596*F597</f>
        <v>31.4910971539819</v>
      </c>
      <c r="G605" s="21" t="n">
        <f aca="false">$D605*(swm_29/swm_26)^el_o*um29_A*1*G596*G597</f>
        <v>31.8267984747363</v>
      </c>
      <c r="K605" s="7" t="s">
        <v>631</v>
      </c>
    </row>
    <row r="606" customFormat="false" ht="17.15" hidden="false" customHeight="false" outlineLevel="0" collapsed="false">
      <c r="A606" s="3" t="s">
        <v>632</v>
      </c>
      <c r="B606" s="0" t="s">
        <v>333</v>
      </c>
      <c r="D606" s="21" t="n">
        <f aca="false">a26_abf-D604</f>
        <v>12.0070237</v>
      </c>
      <c r="E606" s="21" t="n">
        <f aca="false">D606*(1+g_nai)</f>
        <v>12.367234411</v>
      </c>
      <c r="F606" s="21" t="n">
        <f aca="false">E606*(1+g_nai)</f>
        <v>12.73825144333</v>
      </c>
      <c r="G606" s="21" t="n">
        <f aca="false">F606*(1+g_nai)</f>
        <v>13.1203989866299</v>
      </c>
    </row>
    <row r="607" customFormat="false" ht="17.15" hidden="false" customHeight="false" outlineLevel="0" collapsed="false">
      <c r="A607" s="0" t="s">
        <v>633</v>
      </c>
      <c r="B607" s="0" t="s">
        <v>333</v>
      </c>
      <c r="D607" s="21" t="n">
        <f aca="false">D602+D605+D606</f>
        <v>34.305782</v>
      </c>
      <c r="E607" s="21" t="n">
        <f aca="false">E602+E605+E606</f>
        <v>52.185233455512</v>
      </c>
      <c r="F607" s="21" t="n">
        <f aca="false">F602+F605+F606</f>
        <v>58.1898505074603</v>
      </c>
      <c r="G607" s="21" t="n">
        <f aca="false">G602+G605+G606</f>
        <v>62.7422103741239</v>
      </c>
    </row>
    <row r="608" customFormat="false" ht="17.15" hidden="false" customHeight="false" outlineLevel="0" collapsed="false">
      <c r="A608" s="0" t="s">
        <v>634</v>
      </c>
      <c r="B608" s="0" t="s">
        <v>333</v>
      </c>
      <c r="D608" s="21" t="n">
        <f aca="false">a26_abf</f>
        <v>34.305782</v>
      </c>
      <c r="E608" s="21" t="n">
        <f aca="false">$D607*cap_27*(1+g_mix)^1*E596*E597</f>
        <v>49.709078118</v>
      </c>
      <c r="F608" s="21" t="n">
        <f aca="false">$D607*cap_28*(1+g_mix)^2*F596*F597</f>
        <v>55.7829061005431</v>
      </c>
      <c r="G608" s="21" t="n">
        <f aca="false">$D607*cap_29*(1+g_mix)^3*G596*G597</f>
        <v>65.765110350114</v>
      </c>
      <c r="K608" s="7" t="s">
        <v>635</v>
      </c>
    </row>
    <row r="609" customFormat="false" ht="17.15" hidden="false" customHeight="false" outlineLevel="0" collapsed="false">
      <c r="A609" s="0" t="s">
        <v>636</v>
      </c>
      <c r="B609" s="0" t="s">
        <v>333</v>
      </c>
      <c r="D609" s="21" t="n">
        <f aca="false">a26_abf</f>
        <v>34.305782</v>
      </c>
      <c r="E609" s="21" t="n">
        <f aca="false">MIN(E607,E608)</f>
        <v>49.709078118</v>
      </c>
      <c r="F609" s="21" t="n">
        <f aca="false">MIN(F607,F608)</f>
        <v>55.7829061005431</v>
      </c>
      <c r="G609" s="21" t="n">
        <f aca="false">MIN(G607,G608)</f>
        <v>62.7422103741239</v>
      </c>
    </row>
    <row r="610" customFormat="false" ht="17.15" hidden="false" customHeight="false" outlineLevel="0" collapsed="false">
      <c r="A610" s="3" t="s">
        <v>637</v>
      </c>
      <c r="B610" s="0" t="s">
        <v>44</v>
      </c>
      <c r="D610" s="20" t="n">
        <f aca="false">D609/D607</f>
        <v>1</v>
      </c>
      <c r="E610" s="20" t="n">
        <f aca="false">E609/E607</f>
        <v>0.952550651332759</v>
      </c>
      <c r="F610" s="20" t="n">
        <f aca="false">F609/F607</f>
        <v>0.958636353489023</v>
      </c>
      <c r="G610" s="20" t="n">
        <f aca="false">G609/G607</f>
        <v>1</v>
      </c>
    </row>
    <row r="611" customFormat="false" ht="17.15" hidden="false" customHeight="false" outlineLevel="0" collapsed="false">
      <c r="A611" s="0" t="s">
        <v>638</v>
      </c>
      <c r="B611" s="0" t="s">
        <v>333</v>
      </c>
      <c r="D611" s="21" t="n">
        <f aca="false">(D602+D605)*D610</f>
        <v>22.2987583</v>
      </c>
      <c r="E611" s="21" t="n">
        <f aca="false">(E602+E605)*E610</f>
        <v>37.928660924617</v>
      </c>
      <c r="F611" s="21" t="n">
        <f aca="false">(F602+F605)*F610</f>
        <v>43.571555187083</v>
      </c>
      <c r="G611" s="21" t="n">
        <f aca="false">(G602+G605)*G610</f>
        <v>49.621811387494</v>
      </c>
    </row>
    <row r="612" customFormat="false" ht="17.15" hidden="false" customHeight="false" outlineLevel="0" collapsed="false">
      <c r="A612" s="3" t="s">
        <v>639</v>
      </c>
      <c r="B612" s="0" t="s">
        <v>44</v>
      </c>
      <c r="D612" s="20" t="n">
        <f aca="false">D602/(D602+D605)</f>
        <v>0.140894976776891</v>
      </c>
      <c r="E612" s="20" t="n">
        <f aca="false">E602/(E602+E605)</f>
        <v>0.226119517586731</v>
      </c>
      <c r="F612" s="20" t="n">
        <f aca="false">F602/(F602+F605)</f>
        <v>0.307150951728908</v>
      </c>
      <c r="G612" s="20" t="n">
        <f aca="false">G602/(G602+G605)</f>
        <v>0.358612723219583</v>
      </c>
    </row>
    <row r="613" customFormat="false" ht="17.15" hidden="false" customHeight="false" outlineLevel="0" collapsed="false">
      <c r="A613" s="5" t="s">
        <v>640</v>
      </c>
    </row>
    <row r="614" customFormat="false" ht="17.15" hidden="false" customHeight="false" outlineLevel="0" collapsed="false">
      <c r="A614" s="0" t="s">
        <v>641</v>
      </c>
      <c r="B614" s="0" t="s">
        <v>333</v>
      </c>
      <c r="D614" s="21" t="n">
        <f aca="false">a26_bt</f>
        <v>18.927328</v>
      </c>
      <c r="E614" s="21" t="n">
        <f aca="false">D614*(1+g_bt27_A)</f>
        <v>24.6055264</v>
      </c>
      <c r="F614" s="21" t="n">
        <f aca="false">E614*(1+g_bt28_A)</f>
        <v>27.06607904</v>
      </c>
      <c r="G614" s="21" t="n">
        <f aca="false">F614*(1+g_bt29_A)</f>
        <v>28.419382992</v>
      </c>
      <c r="K614" s="7" t="s">
        <v>642</v>
      </c>
    </row>
    <row r="615" customFormat="false" ht="17.15" hidden="false" customHeight="false" outlineLevel="0" collapsed="false">
      <c r="A615" s="0" t="s">
        <v>540</v>
      </c>
      <c r="B615" s="0" t="s">
        <v>333</v>
      </c>
      <c r="D615" s="21" t="n">
        <f aca="false">a26_pcb</f>
        <v>5.91479</v>
      </c>
      <c r="E615" s="21" t="n">
        <f aca="false">D615*(1+g_pcb)</f>
        <v>5.91479</v>
      </c>
      <c r="F615" s="21" t="n">
        <f aca="false">E615*(1+g_pcb)</f>
        <v>5.91479</v>
      </c>
      <c r="G615" s="21" t="n">
        <f aca="false">F615*(1+g_pcb)</f>
        <v>5.91479</v>
      </c>
    </row>
    <row r="616" customFormat="false" ht="17.15" hidden="false" customHeight="false" outlineLevel="0" collapsed="false">
      <c r="A616" s="3" t="s">
        <v>505</v>
      </c>
      <c r="B616" s="0" t="s">
        <v>333</v>
      </c>
      <c r="C616" s="23" t="n">
        <f aca="false">a25_rev</f>
        <v>40.173</v>
      </c>
      <c r="D616" s="23" t="n">
        <f aca="false">D609+D614+D615</f>
        <v>59.1479</v>
      </c>
      <c r="E616" s="23" t="n">
        <f aca="false">E609+E614+E615</f>
        <v>80.229394518</v>
      </c>
      <c r="F616" s="23" t="n">
        <f aca="false">F609+F614+F615</f>
        <v>88.7637751405431</v>
      </c>
      <c r="G616" s="23" t="n">
        <f aca="false">G609+G614+G615</f>
        <v>97.0763833661239</v>
      </c>
      <c r="H616" s="25" t="n">
        <f aca="false">G616*(1+H618)</f>
        <v>105.078626241508</v>
      </c>
      <c r="I616" s="25" t="n">
        <f aca="false">H616*(1+I618)</f>
        <v>112.561928658085</v>
      </c>
      <c r="J616" s="25" t="n">
        <f aca="false">I616*(1+J618)</f>
        <v>119.315644377571</v>
      </c>
      <c r="K616" s="7" t="s">
        <v>643</v>
      </c>
    </row>
    <row r="617" customFormat="false" ht="17.15" hidden="false" customHeight="false" outlineLevel="0" collapsed="false">
      <c r="A617" s="3" t="s">
        <v>644</v>
      </c>
      <c r="B617" s="0" t="s">
        <v>333</v>
      </c>
      <c r="D617" s="19" t="n">
        <f aca="false">D609+D614+D615-a26_rev</f>
        <v>0</v>
      </c>
      <c r="E617" s="19" t="n">
        <f aca="false">E609+E614+E615-E616</f>
        <v>0</v>
      </c>
      <c r="F617" s="19" t="n">
        <f aca="false">F609+F614+F615-F616</f>
        <v>0</v>
      </c>
      <c r="G617" s="19" t="n">
        <f aca="false">G609+G614+G615-G616</f>
        <v>0</v>
      </c>
    </row>
    <row r="618" customFormat="false" ht="15" hidden="false" customHeight="false" outlineLevel="0" collapsed="false">
      <c r="A618" s="3" t="s">
        <v>645</v>
      </c>
      <c r="B618" s="0" t="s">
        <v>44</v>
      </c>
      <c r="D618" s="20" t="n">
        <f aca="false">D616/C616-1</f>
        <v>0.472329674159261</v>
      </c>
      <c r="E618" s="20" t="n">
        <f aca="false">E616/D616-1</f>
        <v>0.35642</v>
      </c>
      <c r="F618" s="20" t="n">
        <f aca="false">F616/E616-1</f>
        <v>0.106374735517023</v>
      </c>
      <c r="G618" s="20" t="n">
        <f aca="false">G616/F616-1</f>
        <v>0.0936486557992731</v>
      </c>
      <c r="H618" s="26" t="n">
        <f aca="false">$G618+(fade_gA-$G618)*1/3</f>
        <v>0.0824324371995154</v>
      </c>
      <c r="I618" s="26" t="n">
        <f aca="false">$G618+(fade_gA-$G618)*2/3</f>
        <v>0.0712162185997577</v>
      </c>
      <c r="J618" s="26" t="n">
        <f aca="false">$G618+(fade_gA-$G618)*3/3</f>
        <v>0.06</v>
      </c>
    </row>
    <row r="619" customFormat="false" ht="17.15" hidden="false" customHeight="false" outlineLevel="0" collapsed="false">
      <c r="A619" s="0" t="s">
        <v>646</v>
      </c>
      <c r="B619" s="0" t="s">
        <v>44</v>
      </c>
      <c r="D619" s="20" t="n">
        <f aca="false">D609/D616</f>
        <v>0.58</v>
      </c>
      <c r="E619" s="20" t="n">
        <f aca="false">E609/E616</f>
        <v>0.619586853629407</v>
      </c>
      <c r="F619" s="20" t="n">
        <f aca="false">F609/F616</f>
        <v>0.62844224473576</v>
      </c>
      <c r="G619" s="20" t="n">
        <f aca="false">G609/G616</f>
        <v>0.646317963221718</v>
      </c>
    </row>
    <row r="620" customFormat="false" ht="17.15" hidden="false" customHeight="false" outlineLevel="0" collapsed="false">
      <c r="A620" s="0" t="s">
        <v>647</v>
      </c>
      <c r="B620" s="0" t="s">
        <v>44</v>
      </c>
      <c r="D620" s="20" t="n">
        <f aca="false">D611/D616</f>
        <v>0.377</v>
      </c>
      <c r="E620" s="20" t="n">
        <f aca="false">E611/E616</f>
        <v>0.472752675655648</v>
      </c>
      <c r="F620" s="20" t="n">
        <f aca="false">F611/F616</f>
        <v>0.490870911225829</v>
      </c>
      <c r="G620" s="20" t="n">
        <f aca="false">G611/G616</f>
        <v>0.511162547128947</v>
      </c>
      <c r="K620" s="3" t="s">
        <v>648</v>
      </c>
    </row>
    <row r="621" customFormat="false" ht="17.15" hidden="false" customHeight="false" outlineLevel="0" collapsed="false">
      <c r="A621" s="5" t="s">
        <v>649</v>
      </c>
    </row>
    <row r="622" customFormat="false" ht="15" hidden="false" customHeight="false" outlineLevel="0" collapsed="false">
      <c r="A622" s="3" t="s">
        <v>650</v>
      </c>
      <c r="B622" s="0" t="s">
        <v>333</v>
      </c>
      <c r="C622" s="23" t="n">
        <f aca="false">a25_cx</f>
        <v>2.422</v>
      </c>
      <c r="D622" s="23" t="n">
        <f aca="false">capex26</f>
        <v>4</v>
      </c>
      <c r="E622" s="23" t="n">
        <f aca="false">cx27</f>
        <v>14</v>
      </c>
      <c r="F622" s="23" t="n">
        <f aca="false">cx28</f>
        <v>18</v>
      </c>
      <c r="G622" s="23" t="n">
        <f aca="false">cx29</f>
        <v>12</v>
      </c>
      <c r="H622" s="25" t="n">
        <f aca="false">H616*H639</f>
        <v>12.4247845914869</v>
      </c>
      <c r="I622" s="25" t="n">
        <f aca="false">I616*I639</f>
        <v>12.7050313468192</v>
      </c>
      <c r="J622" s="25" t="n">
        <f aca="false">J616*J639</f>
        <v>12.8264578422271</v>
      </c>
    </row>
    <row r="623" customFormat="false" ht="17.15" hidden="false" customHeight="false" outlineLevel="0" collapsed="false">
      <c r="A623" s="3" t="s">
        <v>651</v>
      </c>
      <c r="B623" s="0" t="s">
        <v>333</v>
      </c>
      <c r="C623" s="23" t="n">
        <f aca="false">a25_da</f>
        <v>6.894</v>
      </c>
      <c r="D623" s="23" t="n">
        <f aca="false">da26</f>
        <v>7.1</v>
      </c>
      <c r="E623" s="23" t="n">
        <f aca="false">D623*(1-1/life)+D622/life</f>
        <v>6.7125</v>
      </c>
      <c r="F623" s="23" t="n">
        <f aca="false">E623*(1-1/life)+E622/life</f>
        <v>7.6234375</v>
      </c>
      <c r="G623" s="23" t="n">
        <f aca="false">F623*(1-1/life)+F622/life</f>
        <v>8.9205078125</v>
      </c>
      <c r="H623" s="25" t="n">
        <f aca="false">H616*H624</f>
        <v>9.65584701254169</v>
      </c>
      <c r="I623" s="25" t="n">
        <f aca="false">I616*I624</f>
        <v>10.3434999241527</v>
      </c>
      <c r="J623" s="25" t="n">
        <f aca="false">J616*J624</f>
        <v>10.9641099196018</v>
      </c>
      <c r="K623" s="3" t="s">
        <v>652</v>
      </c>
    </row>
    <row r="624" customFormat="false" ht="17.15" hidden="false" customHeight="false" outlineLevel="0" collapsed="false">
      <c r="A624" s="3" t="s">
        <v>653</v>
      </c>
      <c r="B624" s="0" t="s">
        <v>44</v>
      </c>
      <c r="C624" s="20" t="n">
        <f aca="false">C623/C616</f>
        <v>0.171607796281084</v>
      </c>
      <c r="D624" s="20" t="n">
        <f aca="false">D623/D616</f>
        <v>0.120038074048276</v>
      </c>
      <c r="E624" s="20" t="n">
        <f aca="false">E623/E616</f>
        <v>0.0836663424961285</v>
      </c>
      <c r="F624" s="20" t="n">
        <f aca="false">F623/F616</f>
        <v>0.0858845569369883</v>
      </c>
      <c r="G624" s="20" t="n">
        <f aca="false">G623/G616</f>
        <v>0.0918916373187933</v>
      </c>
      <c r="H624" s="26" t="n">
        <f aca="false">$G624</f>
        <v>0.0918916373187933</v>
      </c>
      <c r="I624" s="26" t="n">
        <f aca="false">$G624</f>
        <v>0.0918916373187933</v>
      </c>
      <c r="J624" s="26" t="n">
        <f aca="false">$G624</f>
        <v>0.0918916373187933</v>
      </c>
    </row>
    <row r="625" customFormat="false" ht="17.15" hidden="false" customHeight="false" outlineLevel="0" collapsed="false">
      <c r="A625" s="3" t="s">
        <v>654</v>
      </c>
      <c r="B625" s="0" t="s">
        <v>333</v>
      </c>
      <c r="E625" s="21" t="n">
        <f aca="false">E611*(1-1/(E596*E597))</f>
        <v>4.94721664234135</v>
      </c>
      <c r="F625" s="21" t="n">
        <f aca="false">F611*(1-1/(F596*F597))</f>
        <v>3.68912480989031</v>
      </c>
      <c r="G625" s="21" t="n">
        <f aca="false">G611*(1-1/(G596*G597))</f>
        <v>1.67803226914231</v>
      </c>
      <c r="K625" s="7" t="s">
        <v>655</v>
      </c>
    </row>
    <row r="626" customFormat="false" ht="17.15" hidden="false" customHeight="false" outlineLevel="0" collapsed="false">
      <c r="A626" s="3" t="s">
        <v>656</v>
      </c>
      <c r="B626" s="0" t="s">
        <v>333</v>
      </c>
      <c r="C626" s="21" t="n">
        <f aca="false">a25_gp</f>
        <v>3.647</v>
      </c>
      <c r="D626" s="21" t="n">
        <f aca="false">a26_gp</f>
        <v>15.9001925</v>
      </c>
      <c r="E626" s="21" t="n">
        <f aca="false">$D626+ft_abf*(E609-E625-$D609)+ft_oth_lo*((E616-E609)-($D616-$D609))+E625-(E623-$D623)</f>
        <v>27.8824984801707</v>
      </c>
      <c r="F626" s="21" t="n">
        <f aca="false">$D626+ft_abf*(F609-F625-$D609)+ft_oth_lo*((F616-F609)-($D616-$D609))+F625-(F623-$D623)</f>
        <v>29.9945672152167</v>
      </c>
      <c r="G626" s="21" t="n">
        <f aca="false">$D626+ft_abf*(G609-G625-$D609)+ft_oth_lo*((G616-G609)-($D616-$D609))+G625-(G623-$D623)</f>
        <v>31.5099287571331</v>
      </c>
      <c r="K626" s="3" t="s">
        <v>657</v>
      </c>
    </row>
    <row r="627" customFormat="false" ht="15" hidden="false" customHeight="false" outlineLevel="0" collapsed="false">
      <c r="A627" s="3" t="s">
        <v>512</v>
      </c>
      <c r="B627" s="0" t="s">
        <v>44</v>
      </c>
      <c r="C627" s="16" t="n">
        <f aca="false">C626/C616</f>
        <v>0.0907823662659</v>
      </c>
      <c r="D627" s="16" t="n">
        <f aca="false">D626/D616</f>
        <v>0.268820913337583</v>
      </c>
      <c r="E627" s="16" t="n">
        <f aca="false">E626/E616</f>
        <v>0.347534699067373</v>
      </c>
      <c r="F627" s="16" t="n">
        <f aca="false">F626/F616</f>
        <v>0.33791450586374</v>
      </c>
      <c r="G627" s="16" t="n">
        <f aca="false">G626/G616</f>
        <v>0.324589026337058</v>
      </c>
    </row>
    <row r="628" customFormat="false" ht="15" hidden="false" customHeight="false" outlineLevel="0" collapsed="false">
      <c r="A628" s="3" t="s">
        <v>514</v>
      </c>
      <c r="B628" s="0" t="s">
        <v>333</v>
      </c>
      <c r="C628" s="21" t="n">
        <f aca="false">a25_opx</f>
        <v>1.665</v>
      </c>
      <c r="D628" s="21" t="n">
        <f aca="false">a26_opx</f>
        <v>1.9</v>
      </c>
      <c r="E628" s="21" t="n">
        <f aca="false">D628*(1+phi*E618)</f>
        <v>2.3063188</v>
      </c>
      <c r="F628" s="21" t="n">
        <f aca="false">E628*(1+phi*F618)</f>
        <v>2.45351923142076</v>
      </c>
      <c r="G628" s="21" t="n">
        <f aca="false">F628*(1+phi*G618)</f>
        <v>2.59138049822089</v>
      </c>
    </row>
    <row r="629" customFormat="false" ht="15" hidden="false" customHeight="false" outlineLevel="0" collapsed="false">
      <c r="A629" s="3" t="s">
        <v>517</v>
      </c>
      <c r="B629" s="0" t="s">
        <v>333</v>
      </c>
      <c r="C629" s="21" t="n">
        <f aca="false">C626-C628</f>
        <v>1.982</v>
      </c>
      <c r="D629" s="21" t="n">
        <f aca="false">D626-D628</f>
        <v>14.0001925</v>
      </c>
      <c r="E629" s="21" t="n">
        <f aca="false">E626-E628</f>
        <v>25.5761796801707</v>
      </c>
      <c r="F629" s="21" t="n">
        <f aca="false">F626-F628</f>
        <v>27.541047983796</v>
      </c>
      <c r="G629" s="21" t="n">
        <f aca="false">G626-G628</f>
        <v>28.9185482589122</v>
      </c>
    </row>
    <row r="630" customFormat="false" ht="15" hidden="false" customHeight="false" outlineLevel="0" collapsed="false">
      <c r="A630" s="3" t="s">
        <v>598</v>
      </c>
      <c r="B630" s="0" t="s">
        <v>44</v>
      </c>
      <c r="C630" s="16" t="n">
        <f aca="false">C629/C616</f>
        <v>0.0493366191222961</v>
      </c>
      <c r="D630" s="16" t="n">
        <f aca="false">D629/D616</f>
        <v>0.236698048451424</v>
      </c>
      <c r="E630" s="16" t="n">
        <f aca="false">E629/E616</f>
        <v>0.318788142847476</v>
      </c>
      <c r="F630" s="16" t="n">
        <f aca="false">F629/F616</f>
        <v>0.310273508987074</v>
      </c>
      <c r="G630" s="16" t="n">
        <f aca="false">G629/G616</f>
        <v>0.297894784046969</v>
      </c>
    </row>
    <row r="631" customFormat="false" ht="15" hidden="false" customHeight="false" outlineLevel="0" collapsed="false">
      <c r="A631" s="3" t="s">
        <v>520</v>
      </c>
      <c r="B631" s="0" t="s">
        <v>333</v>
      </c>
      <c r="C631" s="21" t="n">
        <f aca="false">a25_nonop</f>
        <v>0.364</v>
      </c>
      <c r="D631" s="21" t="n">
        <f aca="false">a26_nonop</f>
        <v>0.623</v>
      </c>
      <c r="E631" s="21" t="n">
        <f aca="false">nonop27</f>
        <v>0.6</v>
      </c>
      <c r="F631" s="21" t="n">
        <f aca="false">nonop28</f>
        <v>0.6</v>
      </c>
      <c r="G631" s="21" t="n">
        <f aca="false">nonop29</f>
        <v>0.6</v>
      </c>
    </row>
    <row r="632" customFormat="false" ht="15" hidden="false" customHeight="false" outlineLevel="0" collapsed="false">
      <c r="A632" s="3" t="s">
        <v>522</v>
      </c>
      <c r="B632" s="0" t="s">
        <v>333</v>
      </c>
      <c r="C632" s="21" t="n">
        <f aca="false">C629+C631</f>
        <v>2.346</v>
      </c>
      <c r="D632" s="21" t="n">
        <f aca="false">D629+D631</f>
        <v>14.6231925</v>
      </c>
      <c r="E632" s="21" t="n">
        <f aca="false">E629+E631</f>
        <v>26.1761796801707</v>
      </c>
      <c r="F632" s="21" t="n">
        <f aca="false">F629+F631</f>
        <v>28.141047983796</v>
      </c>
      <c r="G632" s="21" t="n">
        <f aca="false">G629+G631</f>
        <v>29.5185482589122</v>
      </c>
    </row>
    <row r="633" customFormat="false" ht="15" hidden="false" customHeight="false" outlineLevel="0" collapsed="false">
      <c r="A633" s="3" t="s">
        <v>525</v>
      </c>
      <c r="B633" s="0" t="s">
        <v>333</v>
      </c>
      <c r="E633" s="21" t="n">
        <f aca="false">E632*tax</f>
        <v>5.49699773283584</v>
      </c>
      <c r="F633" s="21" t="n">
        <f aca="false">F632*tax</f>
        <v>5.90962007659715</v>
      </c>
      <c r="G633" s="21" t="n">
        <f aca="false">G632*tax</f>
        <v>6.19889513437157</v>
      </c>
    </row>
    <row r="634" customFormat="false" ht="15" hidden="false" customHeight="false" outlineLevel="0" collapsed="false">
      <c r="A634" s="3" t="s">
        <v>523</v>
      </c>
      <c r="B634" s="0" t="s">
        <v>333</v>
      </c>
      <c r="C634" s="21" t="n">
        <f aca="false">a25_ni</f>
        <v>1.947</v>
      </c>
      <c r="D634" s="21" t="n">
        <f aca="false">a26_ni</f>
        <v>11.509862075</v>
      </c>
      <c r="E634" s="21" t="n">
        <f aca="false">E632-E633</f>
        <v>20.6791819473348</v>
      </c>
      <c r="F634" s="21" t="n">
        <f aca="false">F632-F633</f>
        <v>22.2314279071988</v>
      </c>
      <c r="G634" s="21" t="n">
        <f aca="false">G632-G633</f>
        <v>23.3196531245407</v>
      </c>
      <c r="H634" s="30" t="n">
        <f aca="false">H616*H638</f>
        <v>25.6477920408952</v>
      </c>
      <c r="I634" s="30" t="n">
        <f aca="false">I616*I638</f>
        <v>27.9090764892537</v>
      </c>
      <c r="J634" s="30" t="n">
        <f aca="false">J616*J638</f>
        <v>30.0444515034082</v>
      </c>
    </row>
    <row r="635" customFormat="false" ht="15" hidden="false" customHeight="false" outlineLevel="0" collapsed="false">
      <c r="A635" s="3" t="s">
        <v>658</v>
      </c>
      <c r="B635" s="3" t="s">
        <v>400</v>
      </c>
      <c r="C635" s="29" t="n">
        <f aca="false">a25_sh</f>
        <v>0.646843853820598</v>
      </c>
      <c r="D635" s="29" t="n">
        <f aca="false">a26_sh</f>
        <v>0.645863325123153</v>
      </c>
      <c r="E635" s="29" t="n">
        <f aca="false">a26_shend*(1+sh_g)</f>
        <v>0.64617</v>
      </c>
      <c r="F635" s="29" t="n">
        <f aca="false">E635*(1+sh_g)</f>
        <v>0.64617</v>
      </c>
      <c r="G635" s="29" t="n">
        <f aca="false">F635*(1+sh_g)</f>
        <v>0.64617</v>
      </c>
      <c r="H635" s="31" t="n">
        <f aca="false">G635*(1+sh_g)</f>
        <v>0.64617</v>
      </c>
      <c r="I635" s="31" t="n">
        <f aca="false">H635*(1+sh_g)</f>
        <v>0.64617</v>
      </c>
      <c r="J635" s="31" t="n">
        <f aca="false">I635*(1+sh_g)</f>
        <v>0.64617</v>
      </c>
    </row>
    <row r="636" customFormat="false" ht="17.15" hidden="false" customHeight="false" outlineLevel="0" collapsed="false">
      <c r="A636" s="0" t="s">
        <v>528</v>
      </c>
      <c r="B636" s="0" t="s">
        <v>406</v>
      </c>
      <c r="C636" s="18" t="n">
        <f aca="false">C634/C635</f>
        <v>3.01</v>
      </c>
      <c r="D636" s="18" t="n">
        <f aca="false">D634/D635</f>
        <v>17.820894339844</v>
      </c>
      <c r="E636" s="18" t="n">
        <f aca="false">E634/E635</f>
        <v>32.0026958034803</v>
      </c>
      <c r="F636" s="18" t="n">
        <f aca="false">F634/F635</f>
        <v>34.4049211619215</v>
      </c>
      <c r="G636" s="18" t="n">
        <f aca="false">G634/G635</f>
        <v>36.0890371334798</v>
      </c>
      <c r="H636" s="28" t="n">
        <f aca="false">H634/H635</f>
        <v>39.6920191913819</v>
      </c>
      <c r="I636" s="28" t="n">
        <f aca="false">I634/I635</f>
        <v>43.1915385877613</v>
      </c>
      <c r="J636" s="28" t="n">
        <f aca="false">J634/J635</f>
        <v>46.4962030168659</v>
      </c>
    </row>
    <row r="637" customFormat="false" ht="17.15" hidden="false" customHeight="false" outlineLevel="0" collapsed="false">
      <c r="A637" s="0" t="s">
        <v>659</v>
      </c>
      <c r="B637" s="0" t="s">
        <v>44</v>
      </c>
      <c r="D637" s="20" t="n">
        <f aca="false">D636/C636-1</f>
        <v>4.92056290360265</v>
      </c>
      <c r="E637" s="20" t="n">
        <f aca="false">E636/D636-1</f>
        <v>0.795796282340813</v>
      </c>
      <c r="F637" s="20" t="n">
        <f aca="false">F636/E636-1</f>
        <v>0.0750632188360834</v>
      </c>
      <c r="G637" s="20" t="n">
        <f aca="false">G636/F636-1</f>
        <v>0.0489498570170321</v>
      </c>
      <c r="H637" s="26" t="n">
        <f aca="false">H636/G636-1</f>
        <v>0.0998359153938069</v>
      </c>
      <c r="I637" s="26" t="n">
        <f aca="false">I636/H636-1</f>
        <v>0.0881668271776717</v>
      </c>
      <c r="J637" s="26" t="n">
        <f aca="false">J636/I636-1</f>
        <v>0.0765118478562621</v>
      </c>
    </row>
    <row r="638" customFormat="false" ht="17.15" hidden="false" customHeight="false" outlineLevel="0" collapsed="false">
      <c r="A638" s="3" t="s">
        <v>660</v>
      </c>
      <c r="B638" s="0" t="s">
        <v>44</v>
      </c>
      <c r="C638" s="16" t="n">
        <f aca="false">C634/C616</f>
        <v>0.0484653872003585</v>
      </c>
      <c r="D638" s="16" t="n">
        <f aca="false">D634/D616</f>
        <v>0.194594602259759</v>
      </c>
      <c r="E638" s="16" t="n">
        <f aca="false">E634/E616</f>
        <v>0.257750691895043</v>
      </c>
      <c r="F638" s="16" t="n">
        <f aca="false">F634/F616</f>
        <v>0.250456088331067</v>
      </c>
      <c r="G638" s="16" t="n">
        <f aca="false">G634/G616</f>
        <v>0.240219632375369</v>
      </c>
      <c r="H638" s="27" t="n">
        <f aca="false">$G638+(fade_mA-$G638)*1/3</f>
        <v>0.244081912357205</v>
      </c>
      <c r="I638" s="27" t="n">
        <f aca="false">$G638+(fade_mA-$G638)*2/3</f>
        <v>0.24794419233904</v>
      </c>
      <c r="J638" s="27" t="n">
        <f aca="false">$G638+(fade_mA-$G638)*3/3</f>
        <v>0.251806472320876</v>
      </c>
    </row>
    <row r="639" customFormat="false" ht="17.15" hidden="false" customHeight="false" outlineLevel="0" collapsed="false">
      <c r="A639" s="3" t="s">
        <v>661</v>
      </c>
      <c r="B639" s="0" t="s">
        <v>44</v>
      </c>
      <c r="C639" s="20" t="n">
        <f aca="false">C622/C616</f>
        <v>0.0602892489980833</v>
      </c>
      <c r="D639" s="20" t="n">
        <f aca="false">D622/D616</f>
        <v>0.0676270839708595</v>
      </c>
      <c r="E639" s="20" t="n">
        <f aca="false">E622/E616</f>
        <v>0.174499634256357</v>
      </c>
      <c r="F639" s="20" t="n">
        <f aca="false">F622/F616</f>
        <v>0.202785426504223</v>
      </c>
      <c r="G639" s="20" t="n">
        <f aca="false">G622/G616</f>
        <v>0.123613999449711</v>
      </c>
      <c r="H639" s="26" t="n">
        <f aca="false">$G639+($G624*(1+tp_g)^(life/2)-$G639)*1/3</f>
        <v>0.118242739136409</v>
      </c>
      <c r="I639" s="26" t="n">
        <f aca="false">$G639+($G624*(1+tp_g)^(life/2)-$G639)*2/3</f>
        <v>0.112871478823108</v>
      </c>
      <c r="J639" s="26" t="n">
        <f aca="false">$G639+($G624*(1+tp_g)^(life/2)-$G639)*3/3</f>
        <v>0.107500218509806</v>
      </c>
      <c r="K639" s="7" t="s">
        <v>662</v>
      </c>
    </row>
    <row r="640" customFormat="false" ht="15" hidden="false" customHeight="false" outlineLevel="0" collapsed="false">
      <c r="A640" s="3" t="s">
        <v>663</v>
      </c>
      <c r="B640" s="0" t="s">
        <v>333</v>
      </c>
      <c r="E640" s="21" t="n">
        <f aca="false">E634+E623-E622</f>
        <v>13.3916819473348</v>
      </c>
      <c r="F640" s="21" t="n">
        <f aca="false">F634+F623-F622</f>
        <v>11.8548654071988</v>
      </c>
      <c r="G640" s="21" t="n">
        <f aca="false">G634+G623-G622</f>
        <v>20.2401609370407</v>
      </c>
      <c r="H640" s="30" t="n">
        <f aca="false">H634+H623-H622</f>
        <v>22.87885446195</v>
      </c>
      <c r="I640" s="30" t="n">
        <f aca="false">I634+I623-I622</f>
        <v>25.5475450665871</v>
      </c>
      <c r="J640" s="30" t="n">
        <f aca="false">J634+J623-J622</f>
        <v>28.182103580783</v>
      </c>
      <c r="K640" s="3" t="s">
        <v>664</v>
      </c>
    </row>
    <row r="641" customFormat="false" ht="15" hidden="false" customHeight="false" outlineLevel="0" collapsed="false">
      <c r="A641" s="3" t="s">
        <v>665</v>
      </c>
      <c r="B641" s="0" t="s">
        <v>406</v>
      </c>
      <c r="E641" s="18" t="n">
        <f aca="false">E640/E635</f>
        <v>20.7247039437529</v>
      </c>
      <c r="F641" s="18" t="n">
        <f aca="false">F640/F635</f>
        <v>18.3463568522197</v>
      </c>
      <c r="G641" s="18" t="n">
        <f aca="false">G640/G635</f>
        <v>31.3232755111513</v>
      </c>
      <c r="H641" s="28" t="n">
        <f aca="false">H640/H635</f>
        <v>35.4068657813733</v>
      </c>
      <c r="I641" s="28" t="n">
        <f aca="false">I640/I635</f>
        <v>39.5368789429827</v>
      </c>
      <c r="J641" s="28" t="n">
        <f aca="false">J640/J635</f>
        <v>43.6140699518439</v>
      </c>
    </row>
    <row r="644" customFormat="false" ht="17.15" hidden="false" customHeight="false" outlineLevel="0" collapsed="false">
      <c r="A644" s="1" t="s">
        <v>1018</v>
      </c>
    </row>
    <row r="645" customFormat="false" ht="17.15" hidden="false" customHeight="false" outlineLevel="0" collapsed="false">
      <c r="A645" s="4" t="s">
        <v>21</v>
      </c>
      <c r="B645" s="4" t="s">
        <v>22</v>
      </c>
      <c r="C645" s="13" t="s">
        <v>498</v>
      </c>
      <c r="D645" s="13" t="s">
        <v>585</v>
      </c>
      <c r="E645" s="13" t="s">
        <v>586</v>
      </c>
      <c r="F645" s="13" t="s">
        <v>587</v>
      </c>
      <c r="G645" s="13" t="s">
        <v>588</v>
      </c>
      <c r="H645" s="13" t="s">
        <v>589</v>
      </c>
      <c r="I645" s="13" t="s">
        <v>590</v>
      </c>
      <c r="J645" s="13" t="s">
        <v>591</v>
      </c>
      <c r="K645" s="4" t="s">
        <v>553</v>
      </c>
    </row>
    <row r="646" customFormat="false" ht="17.15" hidden="false" customHeight="false" outlineLevel="0" collapsed="false">
      <c r="A646" s="5" t="s">
        <v>609</v>
      </c>
    </row>
    <row r="647" customFormat="false" ht="17.15" hidden="false" customHeight="false" outlineLevel="0" collapsed="false">
      <c r="A647" s="0" t="s">
        <v>610</v>
      </c>
      <c r="B647" s="3" t="s">
        <v>32</v>
      </c>
      <c r="D647" s="21" t="n">
        <f aca="false">(u_bw_26+u_rb_26+u_ru_26+u_hp_26)*1</f>
        <v>7.6</v>
      </c>
      <c r="E647" s="21" t="n">
        <f aca="false">(u_bw_27+u_rb_27+u_ru_27+u_hp_27)*1*1</f>
        <v>9.7</v>
      </c>
      <c r="F647" s="21" t="n">
        <f aca="false">(u_bw_28+u_rb_28+u_ru_28+u_hp_28)*um28_A*1</f>
        <v>9.5</v>
      </c>
      <c r="G647" s="21" t="n">
        <f aca="false">(u_bw_28*(1+g29_bw)+u_rb_28*(1+g29_rb)+u_ru_28*(1+g29_ru)+u_hp_28*(1+g29_hp))*um29_A*1</f>
        <v>10.6</v>
      </c>
      <c r="K647" s="7" t="s">
        <v>611</v>
      </c>
    </row>
    <row r="648" customFormat="false" ht="17.15" hidden="false" customHeight="false" outlineLevel="0" collapsed="false">
      <c r="A648" s="3" t="s">
        <v>612</v>
      </c>
      <c r="B648" s="3" t="s">
        <v>32</v>
      </c>
      <c r="D648" s="21" t="n">
        <f aca="false">(u_amd_26+u_tpu_26+u_trn_26+u_oth_26)*1</f>
        <v>7.6</v>
      </c>
      <c r="E648" s="21" t="n">
        <f aca="false">(u_amd_27+u_tpu_27+u_trn_27+u_oth_27)*1*1</f>
        <v>14</v>
      </c>
      <c r="F648" s="21" t="n">
        <f aca="false">(u_amd_28+u_tpu_28+u_trn_28+u_oth_28)*um28_A*1</f>
        <v>17</v>
      </c>
      <c r="G648" s="21" t="n">
        <f aca="false">(u_amd_28*(1+g29_amd)+u_tpu_28*(1+g29_tpu)+u_trn_28*(1+g29_trn)+u_oth_28*(1+g29_oth))*um29_A*1</f>
        <v>19.55</v>
      </c>
      <c r="K648" s="7" t="s">
        <v>613</v>
      </c>
    </row>
    <row r="649" customFormat="false" ht="17.15" hidden="false" customHeight="false" outlineLevel="0" collapsed="false">
      <c r="A649" s="3" t="s">
        <v>614</v>
      </c>
      <c r="B649" s="0" t="s">
        <v>154</v>
      </c>
      <c r="D649" s="19" t="n">
        <f aca="false">1</f>
        <v>1</v>
      </c>
      <c r="E649" s="19" t="n">
        <f aca="false">D649*(1+g_asp)</f>
        <v>1.18</v>
      </c>
      <c r="F649" s="19" t="n">
        <f aca="false">E649*(1+g_asp)</f>
        <v>1.3924</v>
      </c>
      <c r="G649" s="19" t="n">
        <f aca="false">F649*(1+g_asp)</f>
        <v>1.643032</v>
      </c>
      <c r="K649" s="7" t="s">
        <v>615</v>
      </c>
    </row>
    <row r="650" customFormat="false" ht="17.15" hidden="false" customHeight="false" outlineLevel="0" collapsed="false">
      <c r="A650" s="0" t="s">
        <v>616</v>
      </c>
      <c r="B650" s="0" t="s">
        <v>154</v>
      </c>
      <c r="D650" s="18" t="n">
        <f aca="false">1</f>
        <v>1</v>
      </c>
      <c r="E650" s="18" t="n">
        <f aca="false">ibpp_27</f>
        <v>1</v>
      </c>
      <c r="F650" s="18" t="n">
        <f aca="false">ibpp_28</f>
        <v>0.95</v>
      </c>
      <c r="G650" s="18" t="n">
        <f aca="false">ibpp_29</f>
        <v>0.9</v>
      </c>
      <c r="K650" s="7" t="s">
        <v>617</v>
      </c>
    </row>
    <row r="651" customFormat="false" ht="17.15" hidden="false" customHeight="false" outlineLevel="0" collapsed="false">
      <c r="A651" s="3" t="s">
        <v>618</v>
      </c>
      <c r="B651" s="0" t="s">
        <v>154</v>
      </c>
      <c r="D651" s="18" t="n">
        <f aca="false">1</f>
        <v>1</v>
      </c>
      <c r="E651" s="18" t="n">
        <f aca="false">1+carry</f>
        <v>1.15</v>
      </c>
      <c r="F651" s="18" t="n">
        <f aca="false">1+carry</f>
        <v>1.15</v>
      </c>
      <c r="G651" s="18" t="n">
        <f aca="false">1+carry</f>
        <v>1.15</v>
      </c>
      <c r="K651" s="7" t="s">
        <v>619</v>
      </c>
    </row>
    <row r="652" customFormat="false" ht="17.15" hidden="false" customHeight="false" outlineLevel="0" collapsed="false">
      <c r="A652" s="3" t="s">
        <v>620</v>
      </c>
      <c r="B652" s="0" t="s">
        <v>621</v>
      </c>
      <c r="D652" s="23" t="n">
        <f aca="false">v26*D649*D650</f>
        <v>215.308596</v>
      </c>
      <c r="E652" s="23" t="n">
        <f aca="false">v26*E649*E650</f>
        <v>254.06414328</v>
      </c>
      <c r="F652" s="23" t="n">
        <f aca="false">v26*F649*F650</f>
        <v>284.80590461688</v>
      </c>
      <c r="G652" s="23" t="n">
        <f aca="false">v26*G649*G650</f>
        <v>318.383021792765</v>
      </c>
      <c r="K652" s="7" t="s">
        <v>622</v>
      </c>
    </row>
    <row r="653" customFormat="false" ht="17.15" hidden="false" customHeight="false" outlineLevel="0" collapsed="false">
      <c r="A653" s="3" t="s">
        <v>623</v>
      </c>
      <c r="B653" s="0" t="s">
        <v>44</v>
      </c>
      <c r="D653" s="20" t="n">
        <f aca="false">sh_nv_26</f>
        <v>0.02</v>
      </c>
      <c r="E653" s="20" t="n">
        <f aca="false">sh_nv_27</f>
        <v>0.03</v>
      </c>
      <c r="F653" s="20" t="n">
        <f aca="false">sh_nv_28</f>
        <v>0.04</v>
      </c>
      <c r="G653" s="20" t="n">
        <f aca="false">sh_nv_29</f>
        <v>0.04</v>
      </c>
    </row>
    <row r="654" customFormat="false" ht="17.15" hidden="false" customHeight="false" outlineLevel="0" collapsed="false">
      <c r="A654" s="3" t="s">
        <v>624</v>
      </c>
      <c r="B654" s="0" t="s">
        <v>44</v>
      </c>
      <c r="D654" s="20" t="n">
        <f aca="false">sh_ot_26</f>
        <v>0.05</v>
      </c>
      <c r="E654" s="20" t="n">
        <f aca="false">sh_ot_27</f>
        <v>0.06</v>
      </c>
      <c r="F654" s="20" t="n">
        <f aca="false">sh_ot_28</f>
        <v>0.07</v>
      </c>
      <c r="G654" s="20" t="n">
        <f aca="false">sh_ot_29</f>
        <v>0.07</v>
      </c>
    </row>
    <row r="655" customFormat="false" ht="17.15" hidden="false" customHeight="false" outlineLevel="0" collapsed="false">
      <c r="A655" s="3" t="s">
        <v>625</v>
      </c>
      <c r="B655" s="0" t="s">
        <v>575</v>
      </c>
      <c r="D655" s="22" t="n">
        <f aca="false">(D647*D652*D653+D648*D652*v_ot*D654)*D651</f>
        <v>98.180719776</v>
      </c>
      <c r="E655" s="22" t="n">
        <f aca="false">(E647*E652*E653+E648*E652*v_ot*E654)*E651</f>
        <v>281.363335475436</v>
      </c>
      <c r="F655" s="22" t="n">
        <f aca="false">(F647*F652*F653+F648*F652*v_ot*F654)*F651</f>
        <v>436.265684692137</v>
      </c>
      <c r="G655" s="22" t="n">
        <f aca="false">(G647*G652*G653+G648*G652*v_ot*G654)*G651</f>
        <v>556.094153523679</v>
      </c>
    </row>
    <row r="656" customFormat="false" ht="15" hidden="false" customHeight="false" outlineLevel="0" collapsed="false">
      <c r="A656" s="3" t="s">
        <v>626</v>
      </c>
      <c r="B656" s="0" t="s">
        <v>333</v>
      </c>
      <c r="D656" s="21" t="n">
        <f aca="false">D655*fx/1000</f>
        <v>3.141783032832</v>
      </c>
      <c r="E656" s="21" t="n">
        <f aca="false">E655*fx/1000</f>
        <v>9.00362673521395</v>
      </c>
      <c r="F656" s="21" t="n">
        <f aca="false">F655*fx/1000</f>
        <v>13.9605019101484</v>
      </c>
      <c r="G656" s="21" t="n">
        <f aca="false">G655*fx/1000</f>
        <v>17.7950129127577</v>
      </c>
    </row>
    <row r="657" customFormat="false" ht="17.15" hidden="false" customHeight="false" outlineLevel="0" collapsed="false">
      <c r="A657" s="5" t="s">
        <v>627</v>
      </c>
    </row>
    <row r="658" customFormat="false" ht="17.15" hidden="false" customHeight="false" outlineLevel="0" collapsed="false">
      <c r="A658" s="0" t="s">
        <v>628</v>
      </c>
      <c r="B658" s="0" t="s">
        <v>333</v>
      </c>
      <c r="D658" s="21" t="n">
        <f aca="false">a26_abf*ai_abf</f>
        <v>22.2987583</v>
      </c>
      <c r="K658" s="3" t="s">
        <v>629</v>
      </c>
    </row>
    <row r="659" customFormat="false" ht="17.15" hidden="false" customHeight="false" outlineLevel="0" collapsed="false">
      <c r="A659" s="3" t="s">
        <v>630</v>
      </c>
      <c r="B659" s="0" t="s">
        <v>333</v>
      </c>
      <c r="D659" s="21" t="n">
        <f aca="false">D658-D656</f>
        <v>19.156975267168</v>
      </c>
      <c r="E659" s="21" t="n">
        <f aca="false">$D659*(swm_27/swm_26)^el_o*1*1*E650*E651</f>
        <v>30.814372309298</v>
      </c>
      <c r="F659" s="21" t="n">
        <f aca="false">$D659*(swm_28/swm_26)^el_o*um28_A*1*F650*F651</f>
        <v>31.4910971539819</v>
      </c>
      <c r="G659" s="21" t="n">
        <f aca="false">$D659*(swm_29/swm_26)^el_o*um29_A*1*G650*G651</f>
        <v>31.8267984747363</v>
      </c>
      <c r="K659" s="7" t="s">
        <v>631</v>
      </c>
    </row>
    <row r="660" customFormat="false" ht="17.15" hidden="false" customHeight="false" outlineLevel="0" collapsed="false">
      <c r="A660" s="3" t="s">
        <v>632</v>
      </c>
      <c r="B660" s="0" t="s">
        <v>333</v>
      </c>
      <c r="D660" s="21" t="n">
        <f aca="false">a26_abf-D658</f>
        <v>12.0070237</v>
      </c>
      <c r="E660" s="21" t="n">
        <f aca="false">D660*(1+g_nai)</f>
        <v>12.367234411</v>
      </c>
      <c r="F660" s="21" t="n">
        <f aca="false">E660*(1+g_nai)</f>
        <v>12.73825144333</v>
      </c>
      <c r="G660" s="21" t="n">
        <f aca="false">F660*(1+g_nai)</f>
        <v>13.1203989866299</v>
      </c>
    </row>
    <row r="661" customFormat="false" ht="17.15" hidden="false" customHeight="false" outlineLevel="0" collapsed="false">
      <c r="A661" s="0" t="s">
        <v>633</v>
      </c>
      <c r="B661" s="0" t="s">
        <v>333</v>
      </c>
      <c r="D661" s="21" t="n">
        <f aca="false">D656+D659+D660</f>
        <v>34.305782</v>
      </c>
      <c r="E661" s="21" t="n">
        <f aca="false">E656+E659+E660</f>
        <v>52.185233455512</v>
      </c>
      <c r="F661" s="21" t="n">
        <f aca="false">F656+F659+F660</f>
        <v>58.1898505074603</v>
      </c>
      <c r="G661" s="21" t="n">
        <f aca="false">G656+G659+G660</f>
        <v>62.7422103741239</v>
      </c>
    </row>
    <row r="662" customFormat="false" ht="17.15" hidden="false" customHeight="false" outlineLevel="0" collapsed="false">
      <c r="A662" s="0" t="s">
        <v>634</v>
      </c>
      <c r="B662" s="0" t="s">
        <v>333</v>
      </c>
      <c r="D662" s="21" t="n">
        <f aca="false">a26_abf</f>
        <v>34.305782</v>
      </c>
      <c r="E662" s="21" t="n">
        <f aca="false">$D661*cap_27*(1+g_mix)^1*E650*E651</f>
        <v>49.709078118</v>
      </c>
      <c r="F662" s="21" t="n">
        <f aca="false">$D661*cap_28*(1+g_mix)^2*F650*F651</f>
        <v>55.7829061005431</v>
      </c>
      <c r="G662" s="21" t="n">
        <f aca="false">$D661*cap_29*(1+g_mix)^3*G650*G651</f>
        <v>65.765110350114</v>
      </c>
      <c r="K662" s="7" t="s">
        <v>635</v>
      </c>
    </row>
    <row r="663" customFormat="false" ht="17.15" hidden="false" customHeight="false" outlineLevel="0" collapsed="false">
      <c r="A663" s="0" t="s">
        <v>636</v>
      </c>
      <c r="B663" s="0" t="s">
        <v>333</v>
      </c>
      <c r="D663" s="21" t="n">
        <f aca="false">a26_abf</f>
        <v>34.305782</v>
      </c>
      <c r="E663" s="21" t="n">
        <f aca="false">MIN(E661,E662)</f>
        <v>49.709078118</v>
      </c>
      <c r="F663" s="21" t="n">
        <f aca="false">MIN(F661,F662)</f>
        <v>55.7829061005431</v>
      </c>
      <c r="G663" s="21" t="n">
        <f aca="false">MIN(G661,G662)</f>
        <v>62.7422103741239</v>
      </c>
    </row>
    <row r="664" customFormat="false" ht="17.15" hidden="false" customHeight="false" outlineLevel="0" collapsed="false">
      <c r="A664" s="3" t="s">
        <v>637</v>
      </c>
      <c r="B664" s="0" t="s">
        <v>44</v>
      </c>
      <c r="D664" s="20" t="n">
        <f aca="false">D663/D661</f>
        <v>1</v>
      </c>
      <c r="E664" s="20" t="n">
        <f aca="false">E663/E661</f>
        <v>0.952550651332759</v>
      </c>
      <c r="F664" s="20" t="n">
        <f aca="false">F663/F661</f>
        <v>0.958636353489023</v>
      </c>
      <c r="G664" s="20" t="n">
        <f aca="false">G663/G661</f>
        <v>1</v>
      </c>
    </row>
    <row r="665" customFormat="false" ht="17.15" hidden="false" customHeight="false" outlineLevel="0" collapsed="false">
      <c r="A665" s="0" t="s">
        <v>638</v>
      </c>
      <c r="B665" s="0" t="s">
        <v>333</v>
      </c>
      <c r="D665" s="21" t="n">
        <f aca="false">(D656+D659)*D664</f>
        <v>22.2987583</v>
      </c>
      <c r="E665" s="21" t="n">
        <f aca="false">(E656+E659)*E664</f>
        <v>37.928660924617</v>
      </c>
      <c r="F665" s="21" t="n">
        <f aca="false">(F656+F659)*F664</f>
        <v>43.571555187083</v>
      </c>
      <c r="G665" s="21" t="n">
        <f aca="false">(G656+G659)*G664</f>
        <v>49.621811387494</v>
      </c>
    </row>
    <row r="666" customFormat="false" ht="17.15" hidden="false" customHeight="false" outlineLevel="0" collapsed="false">
      <c r="A666" s="3" t="s">
        <v>639</v>
      </c>
      <c r="B666" s="0" t="s">
        <v>44</v>
      </c>
      <c r="D666" s="20" t="n">
        <f aca="false">D656/(D656+D659)</f>
        <v>0.140894976776891</v>
      </c>
      <c r="E666" s="20" t="n">
        <f aca="false">E656/(E656+E659)</f>
        <v>0.226119517586731</v>
      </c>
      <c r="F666" s="20" t="n">
        <f aca="false">F656/(F656+F659)</f>
        <v>0.307150951728908</v>
      </c>
      <c r="G666" s="20" t="n">
        <f aca="false">G656/(G656+G659)</f>
        <v>0.358612723219583</v>
      </c>
    </row>
    <row r="667" customFormat="false" ht="17.15" hidden="false" customHeight="false" outlineLevel="0" collapsed="false">
      <c r="A667" s="5" t="s">
        <v>640</v>
      </c>
    </row>
    <row r="668" customFormat="false" ht="17.15" hidden="false" customHeight="false" outlineLevel="0" collapsed="false">
      <c r="A668" s="0" t="s">
        <v>641</v>
      </c>
      <c r="B668" s="0" t="s">
        <v>333</v>
      </c>
      <c r="D668" s="21" t="n">
        <f aca="false">a26_bt</f>
        <v>18.927328</v>
      </c>
      <c r="E668" s="21" t="n">
        <f aca="false">D668*(1+g_bt27_A)</f>
        <v>24.6055264</v>
      </c>
      <c r="F668" s="21" t="n">
        <f aca="false">E668*(1+g_bt28_A)</f>
        <v>27.06607904</v>
      </c>
      <c r="G668" s="21" t="n">
        <f aca="false">F668*(1+g_bt29_A)</f>
        <v>28.419382992</v>
      </c>
      <c r="K668" s="7" t="s">
        <v>642</v>
      </c>
    </row>
    <row r="669" customFormat="false" ht="17.15" hidden="false" customHeight="false" outlineLevel="0" collapsed="false">
      <c r="A669" s="0" t="s">
        <v>540</v>
      </c>
      <c r="B669" s="0" t="s">
        <v>333</v>
      </c>
      <c r="D669" s="21" t="n">
        <f aca="false">a26_pcb</f>
        <v>5.91479</v>
      </c>
      <c r="E669" s="21" t="n">
        <f aca="false">D669*(1+g_pcb)</f>
        <v>5.91479</v>
      </c>
      <c r="F669" s="21" t="n">
        <f aca="false">E669*(1+g_pcb)</f>
        <v>5.91479</v>
      </c>
      <c r="G669" s="21" t="n">
        <f aca="false">F669*(1+g_pcb)</f>
        <v>5.91479</v>
      </c>
    </row>
    <row r="670" customFormat="false" ht="17.15" hidden="false" customHeight="false" outlineLevel="0" collapsed="false">
      <c r="A670" s="3" t="s">
        <v>505</v>
      </c>
      <c r="B670" s="0" t="s">
        <v>333</v>
      </c>
      <c r="C670" s="23" t="n">
        <f aca="false">a25_rev</f>
        <v>40.173</v>
      </c>
      <c r="D670" s="23" t="n">
        <f aca="false">D663+D668+D669</f>
        <v>59.1479</v>
      </c>
      <c r="E670" s="23" t="n">
        <f aca="false">E663+E668+E669</f>
        <v>80.229394518</v>
      </c>
      <c r="F670" s="23" t="n">
        <f aca="false">F663+F668+F669</f>
        <v>88.7637751405431</v>
      </c>
      <c r="G670" s="23" t="n">
        <f aca="false">G663+G668+G669</f>
        <v>97.0763833661239</v>
      </c>
      <c r="H670" s="25" t="n">
        <f aca="false">G670*(1+H672)</f>
        <v>105.078626241508</v>
      </c>
      <c r="I670" s="25" t="n">
        <f aca="false">H670*(1+I672)</f>
        <v>112.561928658085</v>
      </c>
      <c r="J670" s="25" t="n">
        <f aca="false">I670*(1+J672)</f>
        <v>119.315644377571</v>
      </c>
      <c r="K670" s="7" t="s">
        <v>643</v>
      </c>
    </row>
    <row r="671" customFormat="false" ht="17.15" hidden="false" customHeight="false" outlineLevel="0" collapsed="false">
      <c r="A671" s="3" t="s">
        <v>644</v>
      </c>
      <c r="B671" s="0" t="s">
        <v>333</v>
      </c>
      <c r="D671" s="19" t="n">
        <f aca="false">D663+D668+D669-a26_rev</f>
        <v>0</v>
      </c>
      <c r="E671" s="19" t="n">
        <f aca="false">E663+E668+E669-E670</f>
        <v>0</v>
      </c>
      <c r="F671" s="19" t="n">
        <f aca="false">F663+F668+F669-F670</f>
        <v>0</v>
      </c>
      <c r="G671" s="19" t="n">
        <f aca="false">G663+G668+G669-G670</f>
        <v>0</v>
      </c>
    </row>
    <row r="672" customFormat="false" ht="15" hidden="false" customHeight="false" outlineLevel="0" collapsed="false">
      <c r="A672" s="3" t="s">
        <v>645</v>
      </c>
      <c r="B672" s="0" t="s">
        <v>44</v>
      </c>
      <c r="D672" s="20" t="n">
        <f aca="false">D670/C670-1</f>
        <v>0.472329674159261</v>
      </c>
      <c r="E672" s="20" t="n">
        <f aca="false">E670/D670-1</f>
        <v>0.35642</v>
      </c>
      <c r="F672" s="20" t="n">
        <f aca="false">F670/E670-1</f>
        <v>0.106374735517023</v>
      </c>
      <c r="G672" s="20" t="n">
        <f aca="false">G670/F670-1</f>
        <v>0.0936486557992731</v>
      </c>
      <c r="H672" s="26" t="n">
        <f aca="false">$G672+(fade_gA-$G672)*1/3</f>
        <v>0.0824324371995154</v>
      </c>
      <c r="I672" s="26" t="n">
        <f aca="false">$G672+(fade_gA-$G672)*2/3</f>
        <v>0.0712162185997577</v>
      </c>
      <c r="J672" s="26" t="n">
        <f aca="false">$G672+(fade_gA-$G672)*3/3</f>
        <v>0.06</v>
      </c>
    </row>
    <row r="673" customFormat="false" ht="17.15" hidden="false" customHeight="false" outlineLevel="0" collapsed="false">
      <c r="A673" s="0" t="s">
        <v>646</v>
      </c>
      <c r="B673" s="0" t="s">
        <v>44</v>
      </c>
      <c r="D673" s="20" t="n">
        <f aca="false">D663/D670</f>
        <v>0.58</v>
      </c>
      <c r="E673" s="20" t="n">
        <f aca="false">E663/E670</f>
        <v>0.619586853629407</v>
      </c>
      <c r="F673" s="20" t="n">
        <f aca="false">F663/F670</f>
        <v>0.62844224473576</v>
      </c>
      <c r="G673" s="20" t="n">
        <f aca="false">G663/G670</f>
        <v>0.646317963221718</v>
      </c>
    </row>
    <row r="674" customFormat="false" ht="17.15" hidden="false" customHeight="false" outlineLevel="0" collapsed="false">
      <c r="A674" s="0" t="s">
        <v>647</v>
      </c>
      <c r="B674" s="0" t="s">
        <v>44</v>
      </c>
      <c r="D674" s="20" t="n">
        <f aca="false">D665/D670</f>
        <v>0.377</v>
      </c>
      <c r="E674" s="20" t="n">
        <f aca="false">E665/E670</f>
        <v>0.472752675655648</v>
      </c>
      <c r="F674" s="20" t="n">
        <f aca="false">F665/F670</f>
        <v>0.490870911225829</v>
      </c>
      <c r="G674" s="20" t="n">
        <f aca="false">G665/G670</f>
        <v>0.511162547128947</v>
      </c>
      <c r="K674" s="3" t="s">
        <v>648</v>
      </c>
    </row>
    <row r="675" customFormat="false" ht="17.15" hidden="false" customHeight="false" outlineLevel="0" collapsed="false">
      <c r="A675" s="5" t="s">
        <v>649</v>
      </c>
    </row>
    <row r="676" customFormat="false" ht="15" hidden="false" customHeight="false" outlineLevel="0" collapsed="false">
      <c r="A676" s="3" t="s">
        <v>650</v>
      </c>
      <c r="B676" s="0" t="s">
        <v>333</v>
      </c>
      <c r="C676" s="23" t="n">
        <f aca="false">a25_cx</f>
        <v>2.422</v>
      </c>
      <c r="D676" s="23" t="n">
        <f aca="false">capex26</f>
        <v>4</v>
      </c>
      <c r="E676" s="23" t="n">
        <f aca="false">cx27</f>
        <v>14</v>
      </c>
      <c r="F676" s="23" t="n">
        <f aca="false">cx28</f>
        <v>18</v>
      </c>
      <c r="G676" s="23" t="n">
        <f aca="false">cx29</f>
        <v>12</v>
      </c>
      <c r="H676" s="25" t="n">
        <f aca="false">H670*H693</f>
        <v>12.4247845914869</v>
      </c>
      <c r="I676" s="25" t="n">
        <f aca="false">I670*I693</f>
        <v>12.7050313468192</v>
      </c>
      <c r="J676" s="25" t="n">
        <f aca="false">J670*J693</f>
        <v>12.8264578422271</v>
      </c>
    </row>
    <row r="677" customFormat="false" ht="17.15" hidden="false" customHeight="false" outlineLevel="0" collapsed="false">
      <c r="A677" s="3" t="s">
        <v>651</v>
      </c>
      <c r="B677" s="0" t="s">
        <v>333</v>
      </c>
      <c r="C677" s="23" t="n">
        <f aca="false">a25_da</f>
        <v>6.894</v>
      </c>
      <c r="D677" s="23" t="n">
        <f aca="false">da26</f>
        <v>7.1</v>
      </c>
      <c r="E677" s="23" t="n">
        <f aca="false">D677*(1-1/life)+D676/life</f>
        <v>6.7125</v>
      </c>
      <c r="F677" s="23" t="n">
        <f aca="false">E677*(1-1/life)+E676/life</f>
        <v>7.6234375</v>
      </c>
      <c r="G677" s="23" t="n">
        <f aca="false">F677*(1-1/life)+F676/life</f>
        <v>8.9205078125</v>
      </c>
      <c r="H677" s="25" t="n">
        <f aca="false">H670*H678</f>
        <v>9.65584701254169</v>
      </c>
      <c r="I677" s="25" t="n">
        <f aca="false">I670*I678</f>
        <v>10.3434999241527</v>
      </c>
      <c r="J677" s="25" t="n">
        <f aca="false">J670*J678</f>
        <v>10.9641099196018</v>
      </c>
      <c r="K677" s="3" t="s">
        <v>652</v>
      </c>
    </row>
    <row r="678" customFormat="false" ht="17.15" hidden="false" customHeight="false" outlineLevel="0" collapsed="false">
      <c r="A678" s="3" t="s">
        <v>653</v>
      </c>
      <c r="B678" s="0" t="s">
        <v>44</v>
      </c>
      <c r="C678" s="20" t="n">
        <f aca="false">C677/C670</f>
        <v>0.171607796281084</v>
      </c>
      <c r="D678" s="20" t="n">
        <f aca="false">D677/D670</f>
        <v>0.120038074048276</v>
      </c>
      <c r="E678" s="20" t="n">
        <f aca="false">E677/E670</f>
        <v>0.0836663424961285</v>
      </c>
      <c r="F678" s="20" t="n">
        <f aca="false">F677/F670</f>
        <v>0.0858845569369883</v>
      </c>
      <c r="G678" s="20" t="n">
        <f aca="false">G677/G670</f>
        <v>0.0918916373187933</v>
      </c>
      <c r="H678" s="26" t="n">
        <f aca="false">$G678</f>
        <v>0.0918916373187933</v>
      </c>
      <c r="I678" s="26" t="n">
        <f aca="false">$G678</f>
        <v>0.0918916373187933</v>
      </c>
      <c r="J678" s="26" t="n">
        <f aca="false">$G678</f>
        <v>0.0918916373187933</v>
      </c>
    </row>
    <row r="679" customFormat="false" ht="17.15" hidden="false" customHeight="false" outlineLevel="0" collapsed="false">
      <c r="A679" s="3" t="s">
        <v>654</v>
      </c>
      <c r="B679" s="0" t="s">
        <v>333</v>
      </c>
      <c r="E679" s="21" t="n">
        <f aca="false">E665*(1-1/(E650*E651))</f>
        <v>4.94721664234135</v>
      </c>
      <c r="F679" s="21" t="n">
        <f aca="false">F665*(1-1/(F650*F651))</f>
        <v>3.68912480989031</v>
      </c>
      <c r="G679" s="21" t="n">
        <f aca="false">G665*(1-1/(G650*G651))</f>
        <v>1.67803226914231</v>
      </c>
      <c r="K679" s="7" t="s">
        <v>655</v>
      </c>
    </row>
    <row r="680" customFormat="false" ht="17.15" hidden="false" customHeight="false" outlineLevel="0" collapsed="false">
      <c r="A680" s="3" t="s">
        <v>656</v>
      </c>
      <c r="B680" s="0" t="s">
        <v>333</v>
      </c>
      <c r="C680" s="21" t="n">
        <f aca="false">a25_gp</f>
        <v>3.647</v>
      </c>
      <c r="D680" s="21" t="n">
        <f aca="false">a26_gp</f>
        <v>15.9001925</v>
      </c>
      <c r="E680" s="21" t="n">
        <f aca="false">$D680+ft_abf*(E663-E679-$D663)+ft_oth_hi*((E670-E663)-($D670-$D663))+E679-(E677-$D677)</f>
        <v>29.5859580001707</v>
      </c>
      <c r="F680" s="21" t="n">
        <f aca="false">$D680+ft_abf*(F663-F679-$D663)+ft_oth_hi*((F670-F663)-($D670-$D663))+F679-(F677-$D677)</f>
        <v>32.4361925272167</v>
      </c>
      <c r="G680" s="21" t="n">
        <f aca="false">$D680+ft_abf*(G663-G679-$D663)+ft_oth_hi*((G670-G663)-($D670-$D663))+G679-(G677-$D677)</f>
        <v>34.3575452547331</v>
      </c>
      <c r="K680" s="3" t="s">
        <v>657</v>
      </c>
    </row>
    <row r="681" customFormat="false" ht="15" hidden="false" customHeight="false" outlineLevel="0" collapsed="false">
      <c r="A681" s="3" t="s">
        <v>512</v>
      </c>
      <c r="B681" s="0" t="s">
        <v>44</v>
      </c>
      <c r="C681" s="16" t="n">
        <f aca="false">C680/C670</f>
        <v>0.0907823662659</v>
      </c>
      <c r="D681" s="16" t="n">
        <f aca="false">D680/D670</f>
        <v>0.268820913337583</v>
      </c>
      <c r="E681" s="16" t="n">
        <f aca="false">E680/E670</f>
        <v>0.368767060725267</v>
      </c>
      <c r="F681" s="16" t="n">
        <f aca="false">F680/F670</f>
        <v>0.365421507544708</v>
      </c>
      <c r="G681" s="16" t="n">
        <f aca="false">G680/G670</f>
        <v>0.353922798351001</v>
      </c>
    </row>
    <row r="682" customFormat="false" ht="15" hidden="false" customHeight="false" outlineLevel="0" collapsed="false">
      <c r="A682" s="3" t="s">
        <v>514</v>
      </c>
      <c r="B682" s="0" t="s">
        <v>333</v>
      </c>
      <c r="C682" s="21" t="n">
        <f aca="false">a25_opx</f>
        <v>1.665</v>
      </c>
      <c r="D682" s="21" t="n">
        <f aca="false">a26_opx</f>
        <v>1.9</v>
      </c>
      <c r="E682" s="21" t="n">
        <f aca="false">D682*(1+phi*E672)</f>
        <v>2.3063188</v>
      </c>
      <c r="F682" s="21" t="n">
        <f aca="false">E682*(1+phi*F672)</f>
        <v>2.45351923142076</v>
      </c>
      <c r="G682" s="21" t="n">
        <f aca="false">F682*(1+phi*G672)</f>
        <v>2.59138049822089</v>
      </c>
    </row>
    <row r="683" customFormat="false" ht="15" hidden="false" customHeight="false" outlineLevel="0" collapsed="false">
      <c r="A683" s="3" t="s">
        <v>517</v>
      </c>
      <c r="B683" s="0" t="s">
        <v>333</v>
      </c>
      <c r="C683" s="21" t="n">
        <f aca="false">C680-C682</f>
        <v>1.982</v>
      </c>
      <c r="D683" s="21" t="n">
        <f aca="false">D680-D682</f>
        <v>14.0001925</v>
      </c>
      <c r="E683" s="21" t="n">
        <f aca="false">E680-E682</f>
        <v>27.2796392001707</v>
      </c>
      <c r="F683" s="21" t="n">
        <f aca="false">F680-F682</f>
        <v>29.982673295796</v>
      </c>
      <c r="G683" s="21" t="n">
        <f aca="false">G680-G682</f>
        <v>31.7661647565122</v>
      </c>
    </row>
    <row r="684" customFormat="false" ht="15" hidden="false" customHeight="false" outlineLevel="0" collapsed="false">
      <c r="A684" s="3" t="s">
        <v>598</v>
      </c>
      <c r="B684" s="0" t="s">
        <v>44</v>
      </c>
      <c r="C684" s="16" t="n">
        <f aca="false">C683/C670</f>
        <v>0.0493366191222961</v>
      </c>
      <c r="D684" s="16" t="n">
        <f aca="false">D683/D670</f>
        <v>0.236698048451424</v>
      </c>
      <c r="E684" s="16" t="n">
        <f aca="false">E683/E670</f>
        <v>0.340020504505369</v>
      </c>
      <c r="F684" s="16" t="n">
        <f aca="false">F683/F670</f>
        <v>0.337780510668043</v>
      </c>
      <c r="G684" s="16" t="n">
        <f aca="false">G683/G670</f>
        <v>0.327228556060912</v>
      </c>
    </row>
    <row r="685" customFormat="false" ht="15" hidden="false" customHeight="false" outlineLevel="0" collapsed="false">
      <c r="A685" s="3" t="s">
        <v>520</v>
      </c>
      <c r="B685" s="0" t="s">
        <v>333</v>
      </c>
      <c r="C685" s="21" t="n">
        <f aca="false">a25_nonop</f>
        <v>0.364</v>
      </c>
      <c r="D685" s="21" t="n">
        <f aca="false">a26_nonop</f>
        <v>0.623</v>
      </c>
      <c r="E685" s="21" t="n">
        <f aca="false">nonop27</f>
        <v>0.6</v>
      </c>
      <c r="F685" s="21" t="n">
        <f aca="false">nonop28</f>
        <v>0.6</v>
      </c>
      <c r="G685" s="21" t="n">
        <f aca="false">nonop29</f>
        <v>0.6</v>
      </c>
    </row>
    <row r="686" customFormat="false" ht="15" hidden="false" customHeight="false" outlineLevel="0" collapsed="false">
      <c r="A686" s="3" t="s">
        <v>522</v>
      </c>
      <c r="B686" s="0" t="s">
        <v>333</v>
      </c>
      <c r="C686" s="21" t="n">
        <f aca="false">C683+C685</f>
        <v>2.346</v>
      </c>
      <c r="D686" s="21" t="n">
        <f aca="false">D683+D685</f>
        <v>14.6231925</v>
      </c>
      <c r="E686" s="21" t="n">
        <f aca="false">E683+E685</f>
        <v>27.8796392001707</v>
      </c>
      <c r="F686" s="21" t="n">
        <f aca="false">F683+F685</f>
        <v>30.582673295796</v>
      </c>
      <c r="G686" s="21" t="n">
        <f aca="false">G683+G685</f>
        <v>32.3661647565122</v>
      </c>
    </row>
    <row r="687" customFormat="false" ht="15" hidden="false" customHeight="false" outlineLevel="0" collapsed="false">
      <c r="A687" s="3" t="s">
        <v>525</v>
      </c>
      <c r="B687" s="0" t="s">
        <v>333</v>
      </c>
      <c r="E687" s="21" t="n">
        <f aca="false">E686*tax</f>
        <v>5.85472423203584</v>
      </c>
      <c r="F687" s="21" t="n">
        <f aca="false">F686*tax</f>
        <v>6.42236139211715</v>
      </c>
      <c r="G687" s="21" t="n">
        <f aca="false">G686*tax</f>
        <v>6.79689459886757</v>
      </c>
    </row>
    <row r="688" customFormat="false" ht="15" hidden="false" customHeight="false" outlineLevel="0" collapsed="false">
      <c r="A688" s="3" t="s">
        <v>523</v>
      </c>
      <c r="B688" s="0" t="s">
        <v>333</v>
      </c>
      <c r="C688" s="21" t="n">
        <f aca="false">a25_ni</f>
        <v>1.947</v>
      </c>
      <c r="D688" s="21" t="n">
        <f aca="false">a26_ni</f>
        <v>11.509862075</v>
      </c>
      <c r="E688" s="21" t="n">
        <f aca="false">E686-E687</f>
        <v>22.0249149681348</v>
      </c>
      <c r="F688" s="21" t="n">
        <f aca="false">F686-F687</f>
        <v>24.1603119036788</v>
      </c>
      <c r="G688" s="21" t="n">
        <f aca="false">G686-G687</f>
        <v>25.5692701576447</v>
      </c>
      <c r="H688" s="30" t="n">
        <f aca="false">H670*H692</f>
        <v>27.2711643395008</v>
      </c>
      <c r="I688" s="30" t="n">
        <f aca="false">I670*I692</f>
        <v>28.7785678567996</v>
      </c>
      <c r="J688" s="30" t="n">
        <f aca="false">J670*J692</f>
        <v>30.0444515034082</v>
      </c>
    </row>
    <row r="689" customFormat="false" ht="15" hidden="false" customHeight="false" outlineLevel="0" collapsed="false">
      <c r="A689" s="3" t="s">
        <v>658</v>
      </c>
      <c r="B689" s="3" t="s">
        <v>400</v>
      </c>
      <c r="C689" s="29" t="n">
        <f aca="false">a25_sh</f>
        <v>0.646843853820598</v>
      </c>
      <c r="D689" s="29" t="n">
        <f aca="false">a26_sh</f>
        <v>0.645863325123153</v>
      </c>
      <c r="E689" s="29" t="n">
        <f aca="false">a26_shend*(1+sh_g)</f>
        <v>0.64617</v>
      </c>
      <c r="F689" s="29" t="n">
        <f aca="false">E689*(1+sh_g)</f>
        <v>0.64617</v>
      </c>
      <c r="G689" s="29" t="n">
        <f aca="false">F689*(1+sh_g)</f>
        <v>0.64617</v>
      </c>
      <c r="H689" s="31" t="n">
        <f aca="false">G689*(1+sh_g)</f>
        <v>0.64617</v>
      </c>
      <c r="I689" s="31" t="n">
        <f aca="false">H689*(1+sh_g)</f>
        <v>0.64617</v>
      </c>
      <c r="J689" s="31" t="n">
        <f aca="false">I689*(1+sh_g)</f>
        <v>0.64617</v>
      </c>
    </row>
    <row r="690" customFormat="false" ht="17.15" hidden="false" customHeight="false" outlineLevel="0" collapsed="false">
      <c r="A690" s="0" t="s">
        <v>528</v>
      </c>
      <c r="B690" s="0" t="s">
        <v>406</v>
      </c>
      <c r="C690" s="18" t="n">
        <f aca="false">C688/C689</f>
        <v>3.01</v>
      </c>
      <c r="D690" s="18" t="n">
        <f aca="false">D688/D689</f>
        <v>17.820894339844</v>
      </c>
      <c r="E690" s="18" t="n">
        <f aca="false">E688/E689</f>
        <v>34.0853257937305</v>
      </c>
      <c r="F690" s="18" t="n">
        <f aca="false">F688/F689</f>
        <v>37.3900241479468</v>
      </c>
      <c r="G690" s="18" t="n">
        <f aca="false">G688/G689</f>
        <v>39.5705002671815</v>
      </c>
      <c r="H690" s="28" t="n">
        <f aca="false">H688/H689</f>
        <v>42.2043182746038</v>
      </c>
      <c r="I690" s="28" t="n">
        <f aca="false">I688/I689</f>
        <v>44.5371463497216</v>
      </c>
      <c r="J690" s="28" t="n">
        <f aca="false">J688/J689</f>
        <v>46.4962030168659</v>
      </c>
    </row>
    <row r="691" customFormat="false" ht="17.15" hidden="false" customHeight="false" outlineLevel="0" collapsed="false">
      <c r="A691" s="0" t="s">
        <v>659</v>
      </c>
      <c r="B691" s="0" t="s">
        <v>44</v>
      </c>
      <c r="D691" s="20" t="n">
        <f aca="false">D690/C690-1</f>
        <v>4.92056290360265</v>
      </c>
      <c r="E691" s="20" t="n">
        <f aca="false">E690/D690-1</f>
        <v>0.91266078703595</v>
      </c>
      <c r="F691" s="20" t="n">
        <f aca="false">F690/E690-1</f>
        <v>0.0969536971485894</v>
      </c>
      <c r="G691" s="20" t="n">
        <f aca="false">G690/F690-1</f>
        <v>0.0583170556565253</v>
      </c>
      <c r="H691" s="26" t="n">
        <f aca="false">H690/G690-1</f>
        <v>0.0665601392360147</v>
      </c>
      <c r="I691" s="26" t="n">
        <f aca="false">I690/H690-1</f>
        <v>0.0552746299546678</v>
      </c>
      <c r="J691" s="26" t="n">
        <f aca="false">J690/I690-1</f>
        <v>0.0439870271831317</v>
      </c>
    </row>
    <row r="692" customFormat="false" ht="17.15" hidden="false" customHeight="false" outlineLevel="0" collapsed="false">
      <c r="A692" s="3" t="s">
        <v>660</v>
      </c>
      <c r="B692" s="0" t="s">
        <v>44</v>
      </c>
      <c r="C692" s="16" t="n">
        <f aca="false">C688/C670</f>
        <v>0.0484653872003585</v>
      </c>
      <c r="D692" s="16" t="n">
        <f aca="false">D688/D670</f>
        <v>0.194594602259759</v>
      </c>
      <c r="E692" s="16" t="n">
        <f aca="false">E688/E670</f>
        <v>0.274524257604778</v>
      </c>
      <c r="F692" s="16" t="n">
        <f aca="false">F688/F670</f>
        <v>0.272186619659032</v>
      </c>
      <c r="G692" s="16" t="n">
        <f aca="false">G688/G670</f>
        <v>0.263393312266384</v>
      </c>
      <c r="H692" s="27" t="n">
        <f aca="false">$G692+(fade_mA-$G692)*1/3</f>
        <v>0.259531032284548</v>
      </c>
      <c r="I692" s="27" t="n">
        <f aca="false">$G692+(fade_mA-$G692)*2/3</f>
        <v>0.255668752302712</v>
      </c>
      <c r="J692" s="27" t="n">
        <f aca="false">$G692+(fade_mA-$G692)*3/3</f>
        <v>0.251806472320876</v>
      </c>
    </row>
    <row r="693" customFormat="false" ht="17.15" hidden="false" customHeight="false" outlineLevel="0" collapsed="false">
      <c r="A693" s="3" t="s">
        <v>661</v>
      </c>
      <c r="B693" s="0" t="s">
        <v>44</v>
      </c>
      <c r="C693" s="20" t="n">
        <f aca="false">C676/C670</f>
        <v>0.0602892489980833</v>
      </c>
      <c r="D693" s="20" t="n">
        <f aca="false">D676/D670</f>
        <v>0.0676270839708595</v>
      </c>
      <c r="E693" s="20" t="n">
        <f aca="false">E676/E670</f>
        <v>0.174499634256357</v>
      </c>
      <c r="F693" s="20" t="n">
        <f aca="false">F676/F670</f>
        <v>0.202785426504223</v>
      </c>
      <c r="G693" s="20" t="n">
        <f aca="false">G676/G670</f>
        <v>0.123613999449711</v>
      </c>
      <c r="H693" s="26" t="n">
        <f aca="false">$G693+($G678*(1+tp_g)^(life/2)-$G693)*1/3</f>
        <v>0.118242739136409</v>
      </c>
      <c r="I693" s="26" t="n">
        <f aca="false">$G693+($G678*(1+tp_g)^(life/2)-$G693)*2/3</f>
        <v>0.112871478823108</v>
      </c>
      <c r="J693" s="26" t="n">
        <f aca="false">$G693+($G678*(1+tp_g)^(life/2)-$G693)*3/3</f>
        <v>0.107500218509806</v>
      </c>
      <c r="K693" s="7" t="s">
        <v>662</v>
      </c>
    </row>
    <row r="694" customFormat="false" ht="15" hidden="false" customHeight="false" outlineLevel="0" collapsed="false">
      <c r="A694" s="3" t="s">
        <v>663</v>
      </c>
      <c r="B694" s="0" t="s">
        <v>333</v>
      </c>
      <c r="E694" s="21" t="n">
        <f aca="false">E688+E677-E676</f>
        <v>14.7374149681348</v>
      </c>
      <c r="F694" s="21" t="n">
        <f aca="false">F688+F677-F676</f>
        <v>13.7837494036788</v>
      </c>
      <c r="G694" s="21" t="n">
        <f aca="false">G688+G677-G676</f>
        <v>22.4897779701447</v>
      </c>
      <c r="H694" s="30" t="n">
        <f aca="false">H688+H677-H676</f>
        <v>24.5022267605556</v>
      </c>
      <c r="I694" s="30" t="n">
        <f aca="false">I688+I677-I676</f>
        <v>26.417036434133</v>
      </c>
      <c r="J694" s="30" t="n">
        <f aca="false">J688+J677-J676</f>
        <v>28.182103580783</v>
      </c>
      <c r="K694" s="3" t="s">
        <v>664</v>
      </c>
    </row>
    <row r="695" customFormat="false" ht="15" hidden="false" customHeight="false" outlineLevel="0" collapsed="false">
      <c r="A695" s="3" t="s">
        <v>665</v>
      </c>
      <c r="B695" s="0" t="s">
        <v>406</v>
      </c>
      <c r="E695" s="18" t="n">
        <f aca="false">E694/E689</f>
        <v>22.8073339340032</v>
      </c>
      <c r="F695" s="18" t="n">
        <f aca="false">F694/F689</f>
        <v>21.3314598382451</v>
      </c>
      <c r="G695" s="18" t="n">
        <f aca="false">G694/G689</f>
        <v>34.804738644853</v>
      </c>
      <c r="H695" s="28" t="n">
        <f aca="false">H694/H689</f>
        <v>37.9191648645953</v>
      </c>
      <c r="I695" s="28" t="n">
        <f aca="false">I694/I689</f>
        <v>40.882486704943</v>
      </c>
      <c r="J695" s="28" t="n">
        <f aca="false">J694/J689</f>
        <v>43.6140699518439</v>
      </c>
    </row>
    <row r="698" customFormat="false" ht="17.15" hidden="false" customHeight="false" outlineLevel="0" collapsed="false">
      <c r="A698" s="1" t="s">
        <v>1019</v>
      </c>
    </row>
    <row r="699" customFormat="false" ht="17.15" hidden="false" customHeight="false" outlineLevel="0" collapsed="false">
      <c r="A699" s="4" t="s">
        <v>21</v>
      </c>
      <c r="B699" s="4" t="s">
        <v>22</v>
      </c>
      <c r="C699" s="13" t="s">
        <v>498</v>
      </c>
      <c r="D699" s="13" t="s">
        <v>585</v>
      </c>
      <c r="E699" s="13" t="s">
        <v>586</v>
      </c>
      <c r="F699" s="13" t="s">
        <v>587</v>
      </c>
      <c r="G699" s="13" t="s">
        <v>588</v>
      </c>
      <c r="H699" s="13" t="s">
        <v>589</v>
      </c>
      <c r="I699" s="13" t="s">
        <v>590</v>
      </c>
      <c r="J699" s="13" t="s">
        <v>591</v>
      </c>
      <c r="K699" s="4" t="s">
        <v>553</v>
      </c>
    </row>
    <row r="700" customFormat="false" ht="17.15" hidden="false" customHeight="false" outlineLevel="0" collapsed="false">
      <c r="A700" s="5" t="s">
        <v>609</v>
      </c>
    </row>
    <row r="701" customFormat="false" ht="17.15" hidden="false" customHeight="false" outlineLevel="0" collapsed="false">
      <c r="A701" s="0" t="s">
        <v>610</v>
      </c>
      <c r="B701" s="3" t="s">
        <v>32</v>
      </c>
      <c r="D701" s="21" t="n">
        <f aca="false">(u_bw_26+u_rb_26+u_ru_26+u_hp_26)*1</f>
        <v>7.6</v>
      </c>
      <c r="E701" s="21" t="n">
        <f aca="false">(u_bw_27+u_rb_27+u_ru_27+u_hp_27)*1*1</f>
        <v>9.7</v>
      </c>
      <c r="F701" s="21" t="n">
        <f aca="false">(u_bw_28+u_rb_28+u_ru_28+u_hp_28)*um28_A*1</f>
        <v>9.5</v>
      </c>
      <c r="G701" s="21" t="n">
        <f aca="false">(u_bw_28*(1+g29_bw)+u_rb_28*(1+g29_rb)+u_ru_28*(1+g29_ru)+u_hp_28*(1+g29_hp))*um29_A*1</f>
        <v>10.6</v>
      </c>
      <c r="K701" s="7" t="s">
        <v>611</v>
      </c>
    </row>
    <row r="702" customFormat="false" ht="17.15" hidden="false" customHeight="false" outlineLevel="0" collapsed="false">
      <c r="A702" s="3" t="s">
        <v>612</v>
      </c>
      <c r="B702" s="3" t="s">
        <v>32</v>
      </c>
      <c r="D702" s="21" t="n">
        <f aca="false">(u_amd_26+u_tpu_26+u_trn_26+u_oth_26)*1</f>
        <v>7.6</v>
      </c>
      <c r="E702" s="21" t="n">
        <f aca="false">(u_amd_27+u_tpu_27+u_trn_27+u_oth_27)*1*1</f>
        <v>14</v>
      </c>
      <c r="F702" s="21" t="n">
        <f aca="false">(u_amd_28+u_tpu_28+u_trn_28+u_oth_28)*um28_A*1</f>
        <v>17</v>
      </c>
      <c r="G702" s="21" t="n">
        <f aca="false">(u_amd_28*(1+g29_amd)+u_tpu_28*(1+g29_tpu)+u_trn_28*(1+g29_trn)+u_oth_28*(1+g29_oth))*um29_A*1</f>
        <v>19.55</v>
      </c>
      <c r="K702" s="7" t="s">
        <v>613</v>
      </c>
    </row>
    <row r="703" customFormat="false" ht="17.15" hidden="false" customHeight="false" outlineLevel="0" collapsed="false">
      <c r="A703" s="3" t="s">
        <v>614</v>
      </c>
      <c r="B703" s="0" t="s">
        <v>154</v>
      </c>
      <c r="D703" s="19" t="n">
        <f aca="false">1</f>
        <v>1</v>
      </c>
      <c r="E703" s="19" t="n">
        <f aca="false">D703*(1+g_asp)</f>
        <v>1.18</v>
      </c>
      <c r="F703" s="19" t="n">
        <f aca="false">E703*(1+g_asp)</f>
        <v>1.3924</v>
      </c>
      <c r="G703" s="19" t="n">
        <f aca="false">F703*(1+g_asp)</f>
        <v>1.643032</v>
      </c>
      <c r="K703" s="7" t="s">
        <v>615</v>
      </c>
    </row>
    <row r="704" customFormat="false" ht="17.15" hidden="false" customHeight="false" outlineLevel="0" collapsed="false">
      <c r="A704" s="0" t="s">
        <v>616</v>
      </c>
      <c r="B704" s="0" t="s">
        <v>154</v>
      </c>
      <c r="D704" s="18" t="n">
        <f aca="false">1</f>
        <v>1</v>
      </c>
      <c r="E704" s="18" t="n">
        <f aca="false">ibpp_27</f>
        <v>1</v>
      </c>
      <c r="F704" s="18" t="n">
        <f aca="false">ibpp_28</f>
        <v>0.95</v>
      </c>
      <c r="G704" s="18" t="n">
        <f aca="false">ibpp_29</f>
        <v>0.9</v>
      </c>
      <c r="K704" s="7" t="s">
        <v>617</v>
      </c>
    </row>
    <row r="705" customFormat="false" ht="17.15" hidden="false" customHeight="false" outlineLevel="0" collapsed="false">
      <c r="A705" s="3" t="s">
        <v>618</v>
      </c>
      <c r="B705" s="0" t="s">
        <v>154</v>
      </c>
      <c r="D705" s="18" t="n">
        <f aca="false">1</f>
        <v>1</v>
      </c>
      <c r="E705" s="18" t="n">
        <f aca="false">1+carry</f>
        <v>1.15</v>
      </c>
      <c r="F705" s="18" t="n">
        <f aca="false">1+carry</f>
        <v>1.15</v>
      </c>
      <c r="G705" s="18" t="n">
        <f aca="false">1+carry</f>
        <v>1.15</v>
      </c>
      <c r="K705" s="7" t="s">
        <v>619</v>
      </c>
    </row>
    <row r="706" customFormat="false" ht="17.15" hidden="false" customHeight="false" outlineLevel="0" collapsed="false">
      <c r="A706" s="3" t="s">
        <v>620</v>
      </c>
      <c r="B706" s="0" t="s">
        <v>621</v>
      </c>
      <c r="D706" s="23" t="n">
        <f aca="false">v26*D703*D704</f>
        <v>215.308596</v>
      </c>
      <c r="E706" s="23" t="n">
        <f aca="false">v26*E703*E704</f>
        <v>254.06414328</v>
      </c>
      <c r="F706" s="23" t="n">
        <f aca="false">v26*F703*F704</f>
        <v>284.80590461688</v>
      </c>
      <c r="G706" s="23" t="n">
        <f aca="false">v26*G703*G704</f>
        <v>318.383021792765</v>
      </c>
      <c r="K706" s="7" t="s">
        <v>622</v>
      </c>
    </row>
    <row r="707" customFormat="false" ht="17.15" hidden="false" customHeight="false" outlineLevel="0" collapsed="false">
      <c r="A707" s="3" t="s">
        <v>623</v>
      </c>
      <c r="B707" s="0" t="s">
        <v>44</v>
      </c>
      <c r="D707" s="20" t="n">
        <f aca="false">sh_nv_26</f>
        <v>0.02</v>
      </c>
      <c r="E707" s="20" t="n">
        <f aca="false">sh_nv_27</f>
        <v>0.03</v>
      </c>
      <c r="F707" s="20" t="n">
        <f aca="false">sh_nv_28</f>
        <v>0.04</v>
      </c>
      <c r="G707" s="20" t="n">
        <f aca="false">sh_nv_29</f>
        <v>0.04</v>
      </c>
    </row>
    <row r="708" customFormat="false" ht="17.15" hidden="false" customHeight="false" outlineLevel="0" collapsed="false">
      <c r="A708" s="3" t="s">
        <v>624</v>
      </c>
      <c r="B708" s="0" t="s">
        <v>44</v>
      </c>
      <c r="D708" s="20" t="n">
        <f aca="false">sh_ot_26</f>
        <v>0.05</v>
      </c>
      <c r="E708" s="20" t="n">
        <f aca="false">sh_ot_27</f>
        <v>0.06</v>
      </c>
      <c r="F708" s="20" t="n">
        <f aca="false">sh_ot_28</f>
        <v>0.07</v>
      </c>
      <c r="G708" s="20" t="n">
        <f aca="false">sh_ot_29</f>
        <v>0.07</v>
      </c>
    </row>
    <row r="709" customFormat="false" ht="17.15" hidden="false" customHeight="false" outlineLevel="0" collapsed="false">
      <c r="A709" s="3" t="s">
        <v>625</v>
      </c>
      <c r="B709" s="0" t="s">
        <v>575</v>
      </c>
      <c r="D709" s="22" t="n">
        <f aca="false">(D701*D706*D707+D702*D706*v_ot*D708)*D705</f>
        <v>98.180719776</v>
      </c>
      <c r="E709" s="22" t="n">
        <f aca="false">(E701*E706*E707+E702*E706*v_ot*E708)*E705</f>
        <v>281.363335475436</v>
      </c>
      <c r="F709" s="22" t="n">
        <f aca="false">(F701*F706*F707+F702*F706*v_ot*F708)*F705</f>
        <v>436.265684692137</v>
      </c>
      <c r="G709" s="22" t="n">
        <f aca="false">(G701*G706*G707+G702*G706*v_ot*G708)*G705</f>
        <v>556.094153523679</v>
      </c>
    </row>
    <row r="710" customFormat="false" ht="15" hidden="false" customHeight="false" outlineLevel="0" collapsed="false">
      <c r="A710" s="3" t="s">
        <v>626</v>
      </c>
      <c r="B710" s="0" t="s">
        <v>333</v>
      </c>
      <c r="D710" s="21" t="n">
        <f aca="false">D709*fx/1000</f>
        <v>3.141783032832</v>
      </c>
      <c r="E710" s="21" t="n">
        <f aca="false">E709*fx/1000</f>
        <v>9.00362673521395</v>
      </c>
      <c r="F710" s="21" t="n">
        <f aca="false">F709*fx/1000</f>
        <v>13.9605019101484</v>
      </c>
      <c r="G710" s="21" t="n">
        <f aca="false">G709*fx/1000</f>
        <v>17.7950129127577</v>
      </c>
    </row>
    <row r="711" customFormat="false" ht="17.15" hidden="false" customHeight="false" outlineLevel="0" collapsed="false">
      <c r="A711" s="5" t="s">
        <v>627</v>
      </c>
    </row>
    <row r="712" customFormat="false" ht="17.15" hidden="false" customHeight="false" outlineLevel="0" collapsed="false">
      <c r="A712" s="0" t="s">
        <v>628</v>
      </c>
      <c r="B712" s="0" t="s">
        <v>333</v>
      </c>
      <c r="D712" s="21" t="n">
        <f aca="false">a26_abf*ai_abf</f>
        <v>22.2987583</v>
      </c>
      <c r="K712" s="3" t="s">
        <v>629</v>
      </c>
    </row>
    <row r="713" customFormat="false" ht="17.15" hidden="false" customHeight="false" outlineLevel="0" collapsed="false">
      <c r="A713" s="3" t="s">
        <v>630</v>
      </c>
      <c r="B713" s="0" t="s">
        <v>333</v>
      </c>
      <c r="D713" s="21" t="n">
        <f aca="false">D712-D710</f>
        <v>19.156975267168</v>
      </c>
      <c r="E713" s="21" t="n">
        <f aca="false">$D713*(swm_27/swm_26)^el_o*1*1*E704*E705</f>
        <v>30.814372309298</v>
      </c>
      <c r="F713" s="21" t="n">
        <f aca="false">$D713*(swm_28/swm_26)^el_o*um28_A*1*F704*F705</f>
        <v>31.4910971539819</v>
      </c>
      <c r="G713" s="21" t="n">
        <f aca="false">$D713*(swm_29/swm_26)^el_o*um29_A*1*G704*G705</f>
        <v>31.8267984747363</v>
      </c>
      <c r="K713" s="7" t="s">
        <v>631</v>
      </c>
    </row>
    <row r="714" customFormat="false" ht="17.15" hidden="false" customHeight="false" outlineLevel="0" collapsed="false">
      <c r="A714" s="3" t="s">
        <v>632</v>
      </c>
      <c r="B714" s="0" t="s">
        <v>333</v>
      </c>
      <c r="D714" s="21" t="n">
        <f aca="false">a26_abf-D712</f>
        <v>12.0070237</v>
      </c>
      <c r="E714" s="21" t="n">
        <f aca="false">D714*(1+g_nai)</f>
        <v>12.367234411</v>
      </c>
      <c r="F714" s="21" t="n">
        <f aca="false">E714*(1+g_nai)</f>
        <v>12.73825144333</v>
      </c>
      <c r="G714" s="21" t="n">
        <f aca="false">F714*(1+g_nai)</f>
        <v>13.1203989866299</v>
      </c>
    </row>
    <row r="715" customFormat="false" ht="17.15" hidden="false" customHeight="false" outlineLevel="0" collapsed="false">
      <c r="A715" s="0" t="s">
        <v>633</v>
      </c>
      <c r="B715" s="0" t="s">
        <v>333</v>
      </c>
      <c r="D715" s="21" t="n">
        <f aca="false">D710+D713+D714</f>
        <v>34.305782</v>
      </c>
      <c r="E715" s="21" t="n">
        <f aca="false">E710+E713+E714</f>
        <v>52.185233455512</v>
      </c>
      <c r="F715" s="21" t="n">
        <f aca="false">F710+F713+F714</f>
        <v>58.1898505074603</v>
      </c>
      <c r="G715" s="21" t="n">
        <f aca="false">G710+G713+G714</f>
        <v>62.7422103741239</v>
      </c>
    </row>
    <row r="716" customFormat="false" ht="17.15" hidden="false" customHeight="false" outlineLevel="0" collapsed="false">
      <c r="A716" s="0" t="s">
        <v>634</v>
      </c>
      <c r="B716" s="0" t="s">
        <v>333</v>
      </c>
      <c r="D716" s="21" t="n">
        <f aca="false">a26_abf</f>
        <v>34.305782</v>
      </c>
      <c r="E716" s="21" t="n">
        <f aca="false">$D715*cap_27*(1+g_mix)^1*E704*E705</f>
        <v>49.709078118</v>
      </c>
      <c r="F716" s="21" t="n">
        <f aca="false">$D715*cap_28*(1+g_mix)^2*F704*F705</f>
        <v>55.7829061005431</v>
      </c>
      <c r="G716" s="21" t="n">
        <f aca="false">$D715*cap_29*(1+g_mix)^3*G704*G705</f>
        <v>65.765110350114</v>
      </c>
      <c r="K716" s="7" t="s">
        <v>635</v>
      </c>
    </row>
    <row r="717" customFormat="false" ht="17.15" hidden="false" customHeight="false" outlineLevel="0" collapsed="false">
      <c r="A717" s="0" t="s">
        <v>636</v>
      </c>
      <c r="B717" s="0" t="s">
        <v>333</v>
      </c>
      <c r="D717" s="21" t="n">
        <f aca="false">a26_abf</f>
        <v>34.305782</v>
      </c>
      <c r="E717" s="21" t="n">
        <f aca="false">MIN(E715,E716)</f>
        <v>49.709078118</v>
      </c>
      <c r="F717" s="21" t="n">
        <f aca="false">MIN(F715,F716)</f>
        <v>55.7829061005431</v>
      </c>
      <c r="G717" s="21" t="n">
        <f aca="false">MIN(G715,G716)</f>
        <v>62.7422103741239</v>
      </c>
    </row>
    <row r="718" customFormat="false" ht="17.15" hidden="false" customHeight="false" outlineLevel="0" collapsed="false">
      <c r="A718" s="3" t="s">
        <v>637</v>
      </c>
      <c r="B718" s="0" t="s">
        <v>44</v>
      </c>
      <c r="D718" s="20" t="n">
        <f aca="false">D717/D715</f>
        <v>1</v>
      </c>
      <c r="E718" s="20" t="n">
        <f aca="false">E717/E715</f>
        <v>0.952550651332759</v>
      </c>
      <c r="F718" s="20" t="n">
        <f aca="false">F717/F715</f>
        <v>0.958636353489023</v>
      </c>
      <c r="G718" s="20" t="n">
        <f aca="false">G717/G715</f>
        <v>1</v>
      </c>
    </row>
    <row r="719" customFormat="false" ht="17.15" hidden="false" customHeight="false" outlineLevel="0" collapsed="false">
      <c r="A719" s="0" t="s">
        <v>638</v>
      </c>
      <c r="B719" s="0" t="s">
        <v>333</v>
      </c>
      <c r="D719" s="21" t="n">
        <f aca="false">(D710+D713)*D718</f>
        <v>22.2987583</v>
      </c>
      <c r="E719" s="21" t="n">
        <f aca="false">(E710+E713)*E718</f>
        <v>37.928660924617</v>
      </c>
      <c r="F719" s="21" t="n">
        <f aca="false">(F710+F713)*F718</f>
        <v>43.571555187083</v>
      </c>
      <c r="G719" s="21" t="n">
        <f aca="false">(G710+G713)*G718</f>
        <v>49.621811387494</v>
      </c>
    </row>
    <row r="720" customFormat="false" ht="17.15" hidden="false" customHeight="false" outlineLevel="0" collapsed="false">
      <c r="A720" s="3" t="s">
        <v>639</v>
      </c>
      <c r="B720" s="0" t="s">
        <v>44</v>
      </c>
      <c r="D720" s="20" t="n">
        <f aca="false">D710/(D710+D713)</f>
        <v>0.140894976776891</v>
      </c>
      <c r="E720" s="20" t="n">
        <f aca="false">E710/(E710+E713)</f>
        <v>0.226119517586731</v>
      </c>
      <c r="F720" s="20" t="n">
        <f aca="false">F710/(F710+F713)</f>
        <v>0.307150951728908</v>
      </c>
      <c r="G720" s="20" t="n">
        <f aca="false">G710/(G710+G713)</f>
        <v>0.358612723219583</v>
      </c>
    </row>
    <row r="721" customFormat="false" ht="17.15" hidden="false" customHeight="false" outlineLevel="0" collapsed="false">
      <c r="A721" s="5" t="s">
        <v>640</v>
      </c>
    </row>
    <row r="722" customFormat="false" ht="17.15" hidden="false" customHeight="false" outlineLevel="0" collapsed="false">
      <c r="A722" s="0" t="s">
        <v>641</v>
      </c>
      <c r="B722" s="0" t="s">
        <v>333</v>
      </c>
      <c r="D722" s="21" t="n">
        <f aca="false">a26_bt</f>
        <v>18.927328</v>
      </c>
      <c r="E722" s="21" t="n">
        <f aca="false">D722*(1+g_bt27_C)</f>
        <v>21.7664272</v>
      </c>
      <c r="F722" s="21" t="n">
        <f aca="false">E722*(1+g_bt28_C)</f>
        <v>21.7664272</v>
      </c>
      <c r="G722" s="21" t="n">
        <f aca="false">F722*(1+g_bt29_C)</f>
        <v>21.7664272</v>
      </c>
      <c r="K722" s="7" t="s">
        <v>642</v>
      </c>
    </row>
    <row r="723" customFormat="false" ht="17.15" hidden="false" customHeight="false" outlineLevel="0" collapsed="false">
      <c r="A723" s="0" t="s">
        <v>540</v>
      </c>
      <c r="B723" s="0" t="s">
        <v>333</v>
      </c>
      <c r="D723" s="21" t="n">
        <f aca="false">a26_pcb</f>
        <v>5.91479</v>
      </c>
      <c r="E723" s="21" t="n">
        <f aca="false">D723*(1+g_pcb)</f>
        <v>5.91479</v>
      </c>
      <c r="F723" s="21" t="n">
        <f aca="false">E723*(1+g_pcb)</f>
        <v>5.91479</v>
      </c>
      <c r="G723" s="21" t="n">
        <f aca="false">F723*(1+g_pcb)</f>
        <v>5.91479</v>
      </c>
    </row>
    <row r="724" customFormat="false" ht="17.15" hidden="false" customHeight="false" outlineLevel="0" collapsed="false">
      <c r="A724" s="3" t="s">
        <v>505</v>
      </c>
      <c r="B724" s="0" t="s">
        <v>333</v>
      </c>
      <c r="C724" s="23" t="n">
        <f aca="false">a25_rev</f>
        <v>40.173</v>
      </c>
      <c r="D724" s="23" t="n">
        <f aca="false">D717+D722+D723</f>
        <v>59.1479</v>
      </c>
      <c r="E724" s="23" t="n">
        <f aca="false">E717+E722+E723</f>
        <v>77.390295318</v>
      </c>
      <c r="F724" s="23" t="n">
        <f aca="false">F717+F722+F723</f>
        <v>83.4641233005431</v>
      </c>
      <c r="G724" s="23" t="n">
        <f aca="false">G717+G722+G723</f>
        <v>90.4234275741239</v>
      </c>
      <c r="H724" s="25" t="n">
        <f aca="false">G724*(1+H726)</f>
        <v>97.2582804854465</v>
      </c>
      <c r="I724" s="25" t="n">
        <f aca="false">H724*(1+I726)</f>
        <v>103.851769022675</v>
      </c>
      <c r="J724" s="25" t="n">
        <f aca="false">I724*(1+J726)</f>
        <v>110.082875164035</v>
      </c>
      <c r="K724" s="7" t="s">
        <v>643</v>
      </c>
    </row>
    <row r="725" customFormat="false" ht="17.15" hidden="false" customHeight="false" outlineLevel="0" collapsed="false">
      <c r="A725" s="3" t="s">
        <v>644</v>
      </c>
      <c r="B725" s="0" t="s">
        <v>333</v>
      </c>
      <c r="D725" s="19" t="n">
        <f aca="false">D717+D722+D723-a26_rev</f>
        <v>0</v>
      </c>
      <c r="E725" s="19" t="n">
        <f aca="false">E717+E722+E723-E724</f>
        <v>0</v>
      </c>
      <c r="F725" s="19" t="n">
        <f aca="false">F717+F722+F723-F724</f>
        <v>0</v>
      </c>
      <c r="G725" s="19" t="n">
        <f aca="false">G717+G722+G723-G724</f>
        <v>0</v>
      </c>
    </row>
    <row r="726" customFormat="false" ht="15" hidden="false" customHeight="false" outlineLevel="0" collapsed="false">
      <c r="A726" s="3" t="s">
        <v>645</v>
      </c>
      <c r="B726" s="0" t="s">
        <v>44</v>
      </c>
      <c r="D726" s="20" t="n">
        <f aca="false">D724/C724-1</f>
        <v>0.472329674159261</v>
      </c>
      <c r="E726" s="20" t="n">
        <f aca="false">E724/D724-1</f>
        <v>0.30842</v>
      </c>
      <c r="F726" s="20" t="n">
        <f aca="false">F724/E724-1</f>
        <v>0.078483070229743</v>
      </c>
      <c r="G726" s="20" t="n">
        <f aca="false">G724/F724-1</f>
        <v>0.0833807868384509</v>
      </c>
      <c r="H726" s="26" t="n">
        <f aca="false">$G726+(fade_gA-$G726)*1/3</f>
        <v>0.0755871912256339</v>
      </c>
      <c r="I726" s="26" t="n">
        <f aca="false">$G726+(fade_gA-$G726)*2/3</f>
        <v>0.067793595612817</v>
      </c>
      <c r="J726" s="26" t="n">
        <f aca="false">$G726+(fade_gA-$G726)*3/3</f>
        <v>0.06</v>
      </c>
    </row>
    <row r="727" customFormat="false" ht="17.15" hidden="false" customHeight="false" outlineLevel="0" collapsed="false">
      <c r="A727" s="0" t="s">
        <v>646</v>
      </c>
      <c r="B727" s="0" t="s">
        <v>44</v>
      </c>
      <c r="D727" s="20" t="n">
        <f aca="false">D717/D724</f>
        <v>0.58</v>
      </c>
      <c r="E727" s="20" t="n">
        <f aca="false">E717/E724</f>
        <v>0.642316687302243</v>
      </c>
      <c r="F727" s="20" t="n">
        <f aca="false">F717/F724</f>
        <v>0.668345917918246</v>
      </c>
      <c r="G727" s="20" t="n">
        <f aca="false">G717/G724</f>
        <v>0.693871179818875</v>
      </c>
    </row>
    <row r="728" customFormat="false" ht="17.15" hidden="false" customHeight="false" outlineLevel="0" collapsed="false">
      <c r="A728" s="0" t="s">
        <v>647</v>
      </c>
      <c r="B728" s="0" t="s">
        <v>44</v>
      </c>
      <c r="D728" s="20" t="n">
        <f aca="false">D719/D724</f>
        <v>0.377</v>
      </c>
      <c r="E728" s="20" t="n">
        <f aca="false">E719/E724</f>
        <v>0.490095828795672</v>
      </c>
      <c r="F728" s="20" t="n">
        <f aca="false">F719/F724</f>
        <v>0.522039332159372</v>
      </c>
      <c r="G728" s="20" t="n">
        <f aca="false">G719/G724</f>
        <v>0.548771626101177</v>
      </c>
      <c r="K728" s="3" t="s">
        <v>648</v>
      </c>
    </row>
    <row r="729" customFormat="false" ht="17.15" hidden="false" customHeight="false" outlineLevel="0" collapsed="false">
      <c r="A729" s="5" t="s">
        <v>649</v>
      </c>
    </row>
    <row r="730" customFormat="false" ht="15" hidden="false" customHeight="false" outlineLevel="0" collapsed="false">
      <c r="A730" s="3" t="s">
        <v>650</v>
      </c>
      <c r="B730" s="0" t="s">
        <v>333</v>
      </c>
      <c r="C730" s="23" t="n">
        <f aca="false">a25_cx</f>
        <v>2.422</v>
      </c>
      <c r="D730" s="23" t="n">
        <f aca="false">capex26</f>
        <v>4</v>
      </c>
      <c r="E730" s="23" t="n">
        <f aca="false">cx27</f>
        <v>14</v>
      </c>
      <c r="F730" s="23" t="n">
        <f aca="false">cx28</f>
        <v>18</v>
      </c>
      <c r="G730" s="23" t="n">
        <f aca="false">cx29</f>
        <v>12</v>
      </c>
      <c r="H730" s="25" t="n">
        <f aca="false">H724*H747</f>
        <v>12.3462109052425</v>
      </c>
      <c r="I730" s="25" t="n">
        <f aca="false">I724*I747</f>
        <v>12.5843484976393</v>
      </c>
      <c r="J730" s="25" t="n">
        <f aca="false">J724*J747</f>
        <v>12.70462158421</v>
      </c>
    </row>
    <row r="731" customFormat="false" ht="17.15" hidden="false" customHeight="false" outlineLevel="0" collapsed="false">
      <c r="A731" s="3" t="s">
        <v>651</v>
      </c>
      <c r="B731" s="0" t="s">
        <v>333</v>
      </c>
      <c r="C731" s="23" t="n">
        <f aca="false">a25_da</f>
        <v>6.894</v>
      </c>
      <c r="D731" s="23" t="n">
        <f aca="false">da26</f>
        <v>7.1</v>
      </c>
      <c r="E731" s="23" t="n">
        <f aca="false">D731*(1-1/life)+D730/life</f>
        <v>6.7125</v>
      </c>
      <c r="F731" s="23" t="n">
        <f aca="false">E731*(1-1/life)+E730/life</f>
        <v>7.6234375</v>
      </c>
      <c r="G731" s="23" t="n">
        <f aca="false">F731*(1-1/life)+F730/life</f>
        <v>8.9205078125</v>
      </c>
      <c r="H731" s="25" t="n">
        <f aca="false">H724*H732</f>
        <v>9.5947839423532</v>
      </c>
      <c r="I731" s="25" t="n">
        <f aca="false">I724*I732</f>
        <v>10.2452488449334</v>
      </c>
      <c r="J731" s="25" t="n">
        <f aca="false">J724*J732</f>
        <v>10.8599637756294</v>
      </c>
      <c r="K731" s="3" t="s">
        <v>652</v>
      </c>
    </row>
    <row r="732" customFormat="false" ht="17.15" hidden="false" customHeight="false" outlineLevel="0" collapsed="false">
      <c r="A732" s="3" t="s">
        <v>653</v>
      </c>
      <c r="B732" s="0" t="s">
        <v>44</v>
      </c>
      <c r="C732" s="20" t="n">
        <f aca="false">C731/C724</f>
        <v>0.171607796281084</v>
      </c>
      <c r="D732" s="20" t="n">
        <f aca="false">D731/D724</f>
        <v>0.120038074048276</v>
      </c>
      <c r="E732" s="20" t="n">
        <f aca="false">E731/E724</f>
        <v>0.0867356814238536</v>
      </c>
      <c r="F732" s="20" t="n">
        <f aca="false">F731/F724</f>
        <v>0.091337897033304</v>
      </c>
      <c r="G732" s="20" t="n">
        <f aca="false">G731/G724</f>
        <v>0.0986526174888414</v>
      </c>
      <c r="H732" s="26" t="n">
        <f aca="false">$G732</f>
        <v>0.0986526174888414</v>
      </c>
      <c r="I732" s="26" t="n">
        <f aca="false">$G732</f>
        <v>0.0986526174888414</v>
      </c>
      <c r="J732" s="26" t="n">
        <f aca="false">$G732</f>
        <v>0.0986526174888414</v>
      </c>
    </row>
    <row r="733" customFormat="false" ht="17.15" hidden="false" customHeight="false" outlineLevel="0" collapsed="false">
      <c r="A733" s="3" t="s">
        <v>654</v>
      </c>
      <c r="B733" s="0" t="s">
        <v>333</v>
      </c>
      <c r="E733" s="21" t="n">
        <f aca="false">E719*(1-1/(E704*E705))</f>
        <v>4.94721664234135</v>
      </c>
      <c r="F733" s="21" t="n">
        <f aca="false">F719*(1-1/(F704*F705))</f>
        <v>3.68912480989031</v>
      </c>
      <c r="G733" s="21" t="n">
        <f aca="false">G719*(1-1/(G704*G705))</f>
        <v>1.67803226914231</v>
      </c>
      <c r="K733" s="7" t="s">
        <v>655</v>
      </c>
    </row>
    <row r="734" customFormat="false" ht="17.15" hidden="false" customHeight="false" outlineLevel="0" collapsed="false">
      <c r="A734" s="3" t="s">
        <v>656</v>
      </c>
      <c r="B734" s="0" t="s">
        <v>333</v>
      </c>
      <c r="C734" s="21" t="n">
        <f aca="false">a25_gp</f>
        <v>3.647</v>
      </c>
      <c r="D734" s="21" t="n">
        <f aca="false">a26_gp</f>
        <v>15.9001925</v>
      </c>
      <c r="E734" s="21" t="n">
        <f aca="false">$D734+ft_abf*(E717-E733-$D717)+ft_oth*((E724-E717)-($D724-$D717))+E733-(E731-$D731)</f>
        <v>27.5985885601707</v>
      </c>
      <c r="F734" s="21" t="n">
        <f aca="false">$D734+ft_abf*(F717-F733-$D717)+ft_oth*((F724-F717)-($D724-$D717))+F733-(F731-$D731)</f>
        <v>29.0955191352167</v>
      </c>
      <c r="G734" s="21" t="n">
        <f aca="false">$D734+ft_abf*(G717-G733-$D717)+ft_oth*((G724-G717)-($D724-$D717))+G733-(G731-$D731)</f>
        <v>30.2725546891331</v>
      </c>
      <c r="K734" s="3" t="s">
        <v>657</v>
      </c>
    </row>
    <row r="735" customFormat="false" ht="15" hidden="false" customHeight="false" outlineLevel="0" collapsed="false">
      <c r="A735" s="3" t="s">
        <v>512</v>
      </c>
      <c r="B735" s="0" t="s">
        <v>44</v>
      </c>
      <c r="C735" s="16" t="n">
        <f aca="false">C734/C724</f>
        <v>0.0907823662659</v>
      </c>
      <c r="D735" s="16" t="n">
        <f aca="false">D734/D724</f>
        <v>0.268820913337583</v>
      </c>
      <c r="E735" s="16" t="n">
        <f aca="false">E734/E724</f>
        <v>0.356615625341225</v>
      </c>
      <c r="F735" s="16" t="n">
        <f aca="false">F734/F724</f>
        <v>0.348599110427934</v>
      </c>
      <c r="G735" s="16" t="n">
        <f aca="false">G734/G724</f>
        <v>0.334786631089796</v>
      </c>
    </row>
    <row r="736" customFormat="false" ht="15" hidden="false" customHeight="false" outlineLevel="0" collapsed="false">
      <c r="A736" s="3" t="s">
        <v>514</v>
      </c>
      <c r="B736" s="0" t="s">
        <v>333</v>
      </c>
      <c r="C736" s="21" t="n">
        <f aca="false">a25_opx</f>
        <v>1.665</v>
      </c>
      <c r="D736" s="21" t="n">
        <f aca="false">a26_opx</f>
        <v>1.9</v>
      </c>
      <c r="E736" s="21" t="n">
        <f aca="false">D736*(1+phi*E726)</f>
        <v>2.2515988</v>
      </c>
      <c r="F736" s="21" t="n">
        <f aca="false">E736*(1+phi*F726)</f>
        <v>2.35762623204976</v>
      </c>
      <c r="G736" s="21" t="n">
        <f aca="false">F736*(1+phi*G726)</f>
        <v>2.47557467022933</v>
      </c>
    </row>
    <row r="737" customFormat="false" ht="15" hidden="false" customHeight="false" outlineLevel="0" collapsed="false">
      <c r="A737" s="3" t="s">
        <v>517</v>
      </c>
      <c r="B737" s="0" t="s">
        <v>333</v>
      </c>
      <c r="C737" s="21" t="n">
        <f aca="false">C734-C736</f>
        <v>1.982</v>
      </c>
      <c r="D737" s="21" t="n">
        <f aca="false">D734-D736</f>
        <v>14.0001925</v>
      </c>
      <c r="E737" s="21" t="n">
        <f aca="false">E734-E736</f>
        <v>25.3469897601707</v>
      </c>
      <c r="F737" s="21" t="n">
        <f aca="false">F734-F736</f>
        <v>26.737892903167</v>
      </c>
      <c r="G737" s="21" t="n">
        <f aca="false">G734-G736</f>
        <v>27.7969800189038</v>
      </c>
    </row>
    <row r="738" customFormat="false" ht="15" hidden="false" customHeight="false" outlineLevel="0" collapsed="false">
      <c r="A738" s="3" t="s">
        <v>598</v>
      </c>
      <c r="B738" s="0" t="s">
        <v>44</v>
      </c>
      <c r="C738" s="16" t="n">
        <f aca="false">C737/C724</f>
        <v>0.0493366191222961</v>
      </c>
      <c r="D738" s="16" t="n">
        <f aca="false">D737/D724</f>
        <v>0.236698048451424</v>
      </c>
      <c r="E738" s="16" t="n">
        <f aca="false">E737/E724</f>
        <v>0.327521553652416</v>
      </c>
      <c r="F738" s="16" t="n">
        <f aca="false">F737/F724</f>
        <v>0.3203519290185</v>
      </c>
      <c r="G738" s="16" t="n">
        <f aca="false">G737/G724</f>
        <v>0.307409050559573</v>
      </c>
    </row>
    <row r="739" customFormat="false" ht="15" hidden="false" customHeight="false" outlineLevel="0" collapsed="false">
      <c r="A739" s="3" t="s">
        <v>520</v>
      </c>
      <c r="B739" s="0" t="s">
        <v>333</v>
      </c>
      <c r="C739" s="21" t="n">
        <f aca="false">a25_nonop</f>
        <v>0.364</v>
      </c>
      <c r="D739" s="21" t="n">
        <f aca="false">a26_nonop</f>
        <v>0.623</v>
      </c>
      <c r="E739" s="21" t="n">
        <f aca="false">nonop27</f>
        <v>0.6</v>
      </c>
      <c r="F739" s="21" t="n">
        <f aca="false">nonop28</f>
        <v>0.6</v>
      </c>
      <c r="G739" s="21" t="n">
        <f aca="false">nonop29</f>
        <v>0.6</v>
      </c>
    </row>
    <row r="740" customFormat="false" ht="15" hidden="false" customHeight="false" outlineLevel="0" collapsed="false">
      <c r="A740" s="3" t="s">
        <v>522</v>
      </c>
      <c r="B740" s="0" t="s">
        <v>333</v>
      </c>
      <c r="C740" s="21" t="n">
        <f aca="false">C737+C739</f>
        <v>2.346</v>
      </c>
      <c r="D740" s="21" t="n">
        <f aca="false">D737+D739</f>
        <v>14.6231925</v>
      </c>
      <c r="E740" s="21" t="n">
        <f aca="false">E737+E739</f>
        <v>25.9469897601707</v>
      </c>
      <c r="F740" s="21" t="n">
        <f aca="false">F737+F739</f>
        <v>27.337892903167</v>
      </c>
      <c r="G740" s="21" t="n">
        <f aca="false">G737+G739</f>
        <v>28.3969800189038</v>
      </c>
    </row>
    <row r="741" customFormat="false" ht="15" hidden="false" customHeight="false" outlineLevel="0" collapsed="false">
      <c r="A741" s="3" t="s">
        <v>525</v>
      </c>
      <c r="B741" s="0" t="s">
        <v>333</v>
      </c>
      <c r="E741" s="21" t="n">
        <f aca="false">E740*tax</f>
        <v>5.44886784963584</v>
      </c>
      <c r="F741" s="21" t="n">
        <f aca="false">F740*tax</f>
        <v>5.74095750966506</v>
      </c>
      <c r="G741" s="21" t="n">
        <f aca="false">G740*tax</f>
        <v>5.96336580396979</v>
      </c>
    </row>
    <row r="742" customFormat="false" ht="15" hidden="false" customHeight="false" outlineLevel="0" collapsed="false">
      <c r="A742" s="3" t="s">
        <v>523</v>
      </c>
      <c r="B742" s="0" t="s">
        <v>333</v>
      </c>
      <c r="C742" s="21" t="n">
        <f aca="false">a25_ni</f>
        <v>1.947</v>
      </c>
      <c r="D742" s="21" t="n">
        <f aca="false">a26_ni</f>
        <v>11.509862075</v>
      </c>
      <c r="E742" s="21" t="n">
        <f aca="false">E740-E741</f>
        <v>20.4981219105348</v>
      </c>
      <c r="F742" s="21" t="n">
        <f aca="false">F740-F741</f>
        <v>21.5969353935019</v>
      </c>
      <c r="G742" s="21" t="n">
        <f aca="false">G740-G741</f>
        <v>22.433614214934</v>
      </c>
      <c r="H742" s="30" t="n">
        <f aca="false">H724*H746</f>
        <v>24.2496269059984</v>
      </c>
      <c r="I742" s="30" t="n">
        <f aca="false">I724*I746</f>
        <v>26.0220719540538</v>
      </c>
      <c r="J742" s="30" t="n">
        <f aca="false">J724*J746</f>
        <v>27.7195804579951</v>
      </c>
    </row>
    <row r="743" customFormat="false" ht="15" hidden="false" customHeight="false" outlineLevel="0" collapsed="false">
      <c r="A743" s="3" t="s">
        <v>658</v>
      </c>
      <c r="B743" s="3" t="s">
        <v>400</v>
      </c>
      <c r="C743" s="29" t="n">
        <f aca="false">a25_sh</f>
        <v>0.646843853820598</v>
      </c>
      <c r="D743" s="29" t="n">
        <f aca="false">a26_sh</f>
        <v>0.645863325123153</v>
      </c>
      <c r="E743" s="29" t="n">
        <f aca="false">a26_shend*(1+sh_g)</f>
        <v>0.64617</v>
      </c>
      <c r="F743" s="29" t="n">
        <f aca="false">E743*(1+sh_g)</f>
        <v>0.64617</v>
      </c>
      <c r="G743" s="29" t="n">
        <f aca="false">F743*(1+sh_g)</f>
        <v>0.64617</v>
      </c>
      <c r="H743" s="31" t="n">
        <f aca="false">G743*(1+sh_g)</f>
        <v>0.64617</v>
      </c>
      <c r="I743" s="31" t="n">
        <f aca="false">H743*(1+sh_g)</f>
        <v>0.64617</v>
      </c>
      <c r="J743" s="31" t="n">
        <f aca="false">I743*(1+sh_g)</f>
        <v>0.64617</v>
      </c>
    </row>
    <row r="744" customFormat="false" ht="17.15" hidden="false" customHeight="false" outlineLevel="0" collapsed="false">
      <c r="A744" s="0" t="s">
        <v>528</v>
      </c>
      <c r="B744" s="0" t="s">
        <v>406</v>
      </c>
      <c r="C744" s="18" t="n">
        <f aca="false">C742/C743</f>
        <v>3.01</v>
      </c>
      <c r="D744" s="18" t="n">
        <f aca="false">D742/D743</f>
        <v>17.820894339844</v>
      </c>
      <c r="E744" s="18" t="n">
        <f aca="false">E742/E743</f>
        <v>31.7224908468899</v>
      </c>
      <c r="F744" s="18" t="n">
        <f aca="false">F742/F743</f>
        <v>33.4229930103563</v>
      </c>
      <c r="G744" s="18" t="n">
        <f aca="false">G742/G743</f>
        <v>34.7178207204513</v>
      </c>
      <c r="H744" s="28" t="n">
        <f aca="false">H742/H743</f>
        <v>37.5282462912212</v>
      </c>
      <c r="I744" s="28" t="n">
        <f aca="false">I742/I743</f>
        <v>40.2712474334212</v>
      </c>
      <c r="J744" s="28" t="n">
        <f aca="false">J742/J743</f>
        <v>42.8982782518457</v>
      </c>
    </row>
    <row r="745" customFormat="false" ht="17.15" hidden="false" customHeight="false" outlineLevel="0" collapsed="false">
      <c r="A745" s="0" t="s">
        <v>659</v>
      </c>
      <c r="B745" s="0" t="s">
        <v>44</v>
      </c>
      <c r="D745" s="20" t="n">
        <f aca="false">D744/C744-1</f>
        <v>4.92056290360265</v>
      </c>
      <c r="E745" s="20" t="n">
        <f aca="false">E744/D744-1</f>
        <v>0.780072887585933</v>
      </c>
      <c r="F745" s="20" t="n">
        <f aca="false">F744/E744-1</f>
        <v>0.0536055687327306</v>
      </c>
      <c r="G745" s="20" t="n">
        <f aca="false">G744/F744-1</f>
        <v>0.0387406271393407</v>
      </c>
      <c r="H745" s="26" t="n">
        <f aca="false">H744/G744-1</f>
        <v>0.0809505179890049</v>
      </c>
      <c r="I745" s="26" t="n">
        <f aca="false">I744/H744-1</f>
        <v>0.0730916419838579</v>
      </c>
      <c r="J745" s="26" t="n">
        <f aca="false">J744/I744-1</f>
        <v>0.0652334105807788</v>
      </c>
    </row>
    <row r="746" customFormat="false" ht="17.15" hidden="false" customHeight="false" outlineLevel="0" collapsed="false">
      <c r="A746" s="3" t="s">
        <v>660</v>
      </c>
      <c r="B746" s="0" t="s">
        <v>44</v>
      </c>
      <c r="C746" s="16" t="n">
        <f aca="false">C742/C724</f>
        <v>0.0484653872003585</v>
      </c>
      <c r="D746" s="16" t="n">
        <f aca="false">D742/D724</f>
        <v>0.194594602259759</v>
      </c>
      <c r="E746" s="16" t="n">
        <f aca="false">E742/E724</f>
        <v>0.264866826341819</v>
      </c>
      <c r="F746" s="16" t="n">
        <f aca="false">F742/F724</f>
        <v>0.258757110713716</v>
      </c>
      <c r="G746" s="16" t="n">
        <f aca="false">G742/G724</f>
        <v>0.248095154284482</v>
      </c>
      <c r="H746" s="27" t="n">
        <f aca="false">$G746+(fade_mA-$G746)*1/3</f>
        <v>0.249332260296614</v>
      </c>
      <c r="I746" s="27" t="n">
        <f aca="false">$G746+(fade_mA-$G746)*2/3</f>
        <v>0.250569366308745</v>
      </c>
      <c r="J746" s="27" t="n">
        <f aca="false">$G746+(fade_mA-$G746)*3/3</f>
        <v>0.251806472320876</v>
      </c>
    </row>
    <row r="747" customFormat="false" ht="17.15" hidden="false" customHeight="false" outlineLevel="0" collapsed="false">
      <c r="A747" s="3" t="s">
        <v>661</v>
      </c>
      <c r="B747" s="0" t="s">
        <v>44</v>
      </c>
      <c r="C747" s="20" t="n">
        <f aca="false">C730/C724</f>
        <v>0.0602892489980833</v>
      </c>
      <c r="D747" s="20" t="n">
        <f aca="false">D730/D724</f>
        <v>0.0676270839708595</v>
      </c>
      <c r="E747" s="20" t="n">
        <f aca="false">E730/E724</f>
        <v>0.180901234999471</v>
      </c>
      <c r="F747" s="20" t="n">
        <f aca="false">F730/F724</f>
        <v>0.215661523636742</v>
      </c>
      <c r="G747" s="20" t="n">
        <f aca="false">G730/G724</f>
        <v>0.132708970694161</v>
      </c>
      <c r="H747" s="26" t="n">
        <f aca="false">$G747+($G732*(1+tp_g)^(life/2)-$G747)*1/3</f>
        <v>0.126942516808016</v>
      </c>
      <c r="I747" s="26" t="n">
        <f aca="false">$G747+($G732*(1+tp_g)^(life/2)-$G747)*2/3</f>
        <v>0.121176062921872</v>
      </c>
      <c r="J747" s="26" t="n">
        <f aca="false">$G747+($G732*(1+tp_g)^(life/2)-$G747)*3/3</f>
        <v>0.115409609035727</v>
      </c>
      <c r="K747" s="7" t="s">
        <v>662</v>
      </c>
    </row>
    <row r="748" customFormat="false" ht="15" hidden="false" customHeight="false" outlineLevel="0" collapsed="false">
      <c r="A748" s="3" t="s">
        <v>663</v>
      </c>
      <c r="B748" s="0" t="s">
        <v>333</v>
      </c>
      <c r="E748" s="21" t="n">
        <f aca="false">E742+E731-E730</f>
        <v>13.2106219105348</v>
      </c>
      <c r="F748" s="21" t="n">
        <f aca="false">F742+F731-F730</f>
        <v>11.2203728935019</v>
      </c>
      <c r="G748" s="21" t="n">
        <f aca="false">G742+G731-G730</f>
        <v>19.354122027434</v>
      </c>
      <c r="H748" s="30" t="n">
        <f aca="false">H742+H731-H730</f>
        <v>21.498199943109</v>
      </c>
      <c r="I748" s="30" t="n">
        <f aca="false">I742+I731-I730</f>
        <v>23.6829723013479</v>
      </c>
      <c r="J748" s="30" t="n">
        <f aca="false">J742+J731-J730</f>
        <v>25.8749226494145</v>
      </c>
      <c r="K748" s="3" t="s">
        <v>664</v>
      </c>
    </row>
    <row r="749" customFormat="false" ht="15" hidden="false" customHeight="false" outlineLevel="0" collapsed="false">
      <c r="A749" s="3" t="s">
        <v>665</v>
      </c>
      <c r="B749" s="0" t="s">
        <v>406</v>
      </c>
      <c r="E749" s="18" t="n">
        <f aca="false">E748/E743</f>
        <v>20.4444989871626</v>
      </c>
      <c r="F749" s="18" t="n">
        <f aca="false">F748/F743</f>
        <v>17.3644287006545</v>
      </c>
      <c r="G749" s="18" t="n">
        <f aca="false">G748/G743</f>
        <v>29.9520590981228</v>
      </c>
      <c r="H749" s="28" t="n">
        <f aca="false">H748/H743</f>
        <v>33.2701919666791</v>
      </c>
      <c r="I749" s="28" t="n">
        <f aca="false">I748/I743</f>
        <v>36.6513027552314</v>
      </c>
      <c r="J749" s="28" t="n">
        <f aca="false">J748/J743</f>
        <v>40.0435220598519</v>
      </c>
    </row>
    <row r="752" customFormat="false" ht="17.15" hidden="false" customHeight="false" outlineLevel="0" collapsed="false">
      <c r="A752" s="1" t="s">
        <v>1020</v>
      </c>
    </row>
    <row r="753" customFormat="false" ht="17.15" hidden="false" customHeight="false" outlineLevel="0" collapsed="false">
      <c r="A753" s="4" t="s">
        <v>21</v>
      </c>
      <c r="B753" s="4" t="s">
        <v>22</v>
      </c>
      <c r="C753" s="13" t="s">
        <v>498</v>
      </c>
      <c r="D753" s="13" t="s">
        <v>585</v>
      </c>
      <c r="E753" s="13" t="s">
        <v>586</v>
      </c>
      <c r="F753" s="13" t="s">
        <v>587</v>
      </c>
      <c r="G753" s="13" t="s">
        <v>588</v>
      </c>
      <c r="H753" s="13" t="s">
        <v>589</v>
      </c>
      <c r="I753" s="13" t="s">
        <v>590</v>
      </c>
      <c r="J753" s="13" t="s">
        <v>591</v>
      </c>
      <c r="K753" s="4" t="s">
        <v>553</v>
      </c>
    </row>
    <row r="754" customFormat="false" ht="17.15" hidden="false" customHeight="false" outlineLevel="0" collapsed="false">
      <c r="A754" s="5" t="s">
        <v>609</v>
      </c>
    </row>
    <row r="755" customFormat="false" ht="17.15" hidden="false" customHeight="false" outlineLevel="0" collapsed="false">
      <c r="A755" s="0" t="s">
        <v>610</v>
      </c>
      <c r="B755" s="3" t="s">
        <v>32</v>
      </c>
      <c r="D755" s="21" t="n">
        <f aca="false">(u_bw_26+u_rb_26+u_ru_26+u_hp_26)*1</f>
        <v>7.6</v>
      </c>
      <c r="E755" s="21" t="n">
        <f aca="false">(u_bw_27+u_rb_27+u_ru_27+u_hp_27)*1*1</f>
        <v>9.7</v>
      </c>
      <c r="F755" s="21" t="n">
        <f aca="false">(u_bw_28+u_rb_28+u_ru_28+u_hp_28)*um28_A*1</f>
        <v>9.5</v>
      </c>
      <c r="G755" s="21" t="n">
        <f aca="false">(u_bw_28*(1+g29_bw)+u_rb_28*(1+g29_rb)+u_ru_28*(1+g29_ru)+u_hp_28*(1+g29_hp))*um29_A*1</f>
        <v>10.6</v>
      </c>
      <c r="K755" s="7" t="s">
        <v>611</v>
      </c>
    </row>
    <row r="756" customFormat="false" ht="17.15" hidden="false" customHeight="false" outlineLevel="0" collapsed="false">
      <c r="A756" s="3" t="s">
        <v>612</v>
      </c>
      <c r="B756" s="3" t="s">
        <v>32</v>
      </c>
      <c r="D756" s="21" t="n">
        <f aca="false">(u_amd_26+u_tpu_26+u_trn_26+u_oth_26)*1</f>
        <v>7.6</v>
      </c>
      <c r="E756" s="21" t="n">
        <f aca="false">(u_amd_27+u_tpu_27+u_trn_27+u_oth_27)*1*1</f>
        <v>14</v>
      </c>
      <c r="F756" s="21" t="n">
        <f aca="false">(u_amd_28+u_tpu_28+u_trn_28+u_oth_28)*um28_A*1</f>
        <v>17</v>
      </c>
      <c r="G756" s="21" t="n">
        <f aca="false">(u_amd_28*(1+g29_amd)+u_tpu_28*(1+g29_tpu)+u_trn_28*(1+g29_trn)+u_oth_28*(1+g29_oth))*um29_A*1</f>
        <v>19.55</v>
      </c>
      <c r="K756" s="7" t="s">
        <v>613</v>
      </c>
    </row>
    <row r="757" customFormat="false" ht="17.15" hidden="false" customHeight="false" outlineLevel="0" collapsed="false">
      <c r="A757" s="3" t="s">
        <v>614</v>
      </c>
      <c r="B757" s="0" t="s">
        <v>154</v>
      </c>
      <c r="D757" s="19" t="n">
        <f aca="false">1</f>
        <v>1</v>
      </c>
      <c r="E757" s="19" t="n">
        <f aca="false">D757*(1+g_asp)</f>
        <v>1.18</v>
      </c>
      <c r="F757" s="19" t="n">
        <f aca="false">E757*(1+g_asp)</f>
        <v>1.3924</v>
      </c>
      <c r="G757" s="19" t="n">
        <f aca="false">F757*(1+g_asp)</f>
        <v>1.643032</v>
      </c>
      <c r="K757" s="7" t="s">
        <v>615</v>
      </c>
    </row>
    <row r="758" customFormat="false" ht="17.15" hidden="false" customHeight="false" outlineLevel="0" collapsed="false">
      <c r="A758" s="0" t="s">
        <v>616</v>
      </c>
      <c r="B758" s="0" t="s">
        <v>154</v>
      </c>
      <c r="D758" s="18" t="n">
        <f aca="false">1</f>
        <v>1</v>
      </c>
      <c r="E758" s="18" t="n">
        <f aca="false">ibpp_27</f>
        <v>1</v>
      </c>
      <c r="F758" s="18" t="n">
        <f aca="false">ibpp_28</f>
        <v>0.95</v>
      </c>
      <c r="G758" s="18" t="n">
        <f aca="false">ibpp_29</f>
        <v>0.9</v>
      </c>
      <c r="K758" s="7" t="s">
        <v>617</v>
      </c>
    </row>
    <row r="759" customFormat="false" ht="17.15" hidden="false" customHeight="false" outlineLevel="0" collapsed="false">
      <c r="A759" s="3" t="s">
        <v>618</v>
      </c>
      <c r="B759" s="0" t="s">
        <v>154</v>
      </c>
      <c r="D759" s="18" t="n">
        <f aca="false">1</f>
        <v>1</v>
      </c>
      <c r="E759" s="18" t="n">
        <f aca="false">1+carry</f>
        <v>1.15</v>
      </c>
      <c r="F759" s="18" t="n">
        <f aca="false">1+carry</f>
        <v>1.15</v>
      </c>
      <c r="G759" s="18" t="n">
        <f aca="false">1+carry</f>
        <v>1.15</v>
      </c>
      <c r="K759" s="7" t="s">
        <v>619</v>
      </c>
    </row>
    <row r="760" customFormat="false" ht="17.15" hidden="false" customHeight="false" outlineLevel="0" collapsed="false">
      <c r="A760" s="3" t="s">
        <v>620</v>
      </c>
      <c r="B760" s="0" t="s">
        <v>621</v>
      </c>
      <c r="D760" s="23" t="n">
        <f aca="false">v26*D757*D758</f>
        <v>215.308596</v>
      </c>
      <c r="E760" s="23" t="n">
        <f aca="false">v26*E757*E758</f>
        <v>254.06414328</v>
      </c>
      <c r="F760" s="23" t="n">
        <f aca="false">v26*F757*F758</f>
        <v>284.80590461688</v>
      </c>
      <c r="G760" s="23" t="n">
        <f aca="false">v26*G757*G758</f>
        <v>318.383021792765</v>
      </c>
      <c r="K760" s="7" t="s">
        <v>622</v>
      </c>
    </row>
    <row r="761" customFormat="false" ht="17.15" hidden="false" customHeight="false" outlineLevel="0" collapsed="false">
      <c r="A761" s="3" t="s">
        <v>623</v>
      </c>
      <c r="B761" s="0" t="s">
        <v>44</v>
      </c>
      <c r="D761" s="20" t="n">
        <f aca="false">sh_nv_26</f>
        <v>0.02</v>
      </c>
      <c r="E761" s="20" t="n">
        <f aca="false">sh_nv_27</f>
        <v>0.03</v>
      </c>
      <c r="F761" s="20" t="n">
        <f aca="false">sh_nv_28</f>
        <v>0.04</v>
      </c>
      <c r="G761" s="20" t="n">
        <f aca="false">sh_nv_29</f>
        <v>0.04</v>
      </c>
    </row>
    <row r="762" customFormat="false" ht="17.15" hidden="false" customHeight="false" outlineLevel="0" collapsed="false">
      <c r="A762" s="3" t="s">
        <v>624</v>
      </c>
      <c r="B762" s="0" t="s">
        <v>44</v>
      </c>
      <c r="D762" s="20" t="n">
        <f aca="false">sh_ot_26</f>
        <v>0.05</v>
      </c>
      <c r="E762" s="20" t="n">
        <f aca="false">sh_ot_27</f>
        <v>0.06</v>
      </c>
      <c r="F762" s="20" t="n">
        <f aca="false">sh_ot_28</f>
        <v>0.07</v>
      </c>
      <c r="G762" s="20" t="n">
        <f aca="false">sh_ot_29</f>
        <v>0.07</v>
      </c>
    </row>
    <row r="763" customFormat="false" ht="17.15" hidden="false" customHeight="false" outlineLevel="0" collapsed="false">
      <c r="A763" s="3" t="s">
        <v>625</v>
      </c>
      <c r="B763" s="0" t="s">
        <v>575</v>
      </c>
      <c r="D763" s="22" t="n">
        <f aca="false">(D755*D760*D761+D756*D760*v_ot*D762)*D759</f>
        <v>98.180719776</v>
      </c>
      <c r="E763" s="22" t="n">
        <f aca="false">(E755*E760*E761+E756*E760*v_ot*E762)*E759</f>
        <v>281.363335475436</v>
      </c>
      <c r="F763" s="22" t="n">
        <f aca="false">(F755*F760*F761+F756*F760*v_ot*F762)*F759</f>
        <v>436.265684692137</v>
      </c>
      <c r="G763" s="22" t="n">
        <f aca="false">(G755*G760*G761+G756*G760*v_ot*G762)*G759</f>
        <v>556.094153523679</v>
      </c>
    </row>
    <row r="764" customFormat="false" ht="15" hidden="false" customHeight="false" outlineLevel="0" collapsed="false">
      <c r="A764" s="3" t="s">
        <v>626</v>
      </c>
      <c r="B764" s="0" t="s">
        <v>333</v>
      </c>
      <c r="D764" s="21" t="n">
        <f aca="false">D763*fx/1000</f>
        <v>3.141783032832</v>
      </c>
      <c r="E764" s="21" t="n">
        <f aca="false">E763*fx/1000</f>
        <v>9.00362673521395</v>
      </c>
      <c r="F764" s="21" t="n">
        <f aca="false">F763*fx/1000</f>
        <v>13.9605019101484</v>
      </c>
      <c r="G764" s="21" t="n">
        <f aca="false">G763*fx/1000</f>
        <v>17.7950129127577</v>
      </c>
    </row>
    <row r="765" customFormat="false" ht="17.15" hidden="false" customHeight="false" outlineLevel="0" collapsed="false">
      <c r="A765" s="5" t="s">
        <v>627</v>
      </c>
    </row>
    <row r="766" customFormat="false" ht="17.15" hidden="false" customHeight="false" outlineLevel="0" collapsed="false">
      <c r="A766" s="0" t="s">
        <v>628</v>
      </c>
      <c r="B766" s="0" t="s">
        <v>333</v>
      </c>
      <c r="D766" s="21" t="n">
        <f aca="false">a26_abf*ai_abf</f>
        <v>22.2987583</v>
      </c>
      <c r="K766" s="3" t="s">
        <v>629</v>
      </c>
    </row>
    <row r="767" customFormat="false" ht="17.15" hidden="false" customHeight="false" outlineLevel="0" collapsed="false">
      <c r="A767" s="3" t="s">
        <v>630</v>
      </c>
      <c r="B767" s="0" t="s">
        <v>333</v>
      </c>
      <c r="D767" s="21" t="n">
        <f aca="false">D766-D764</f>
        <v>19.156975267168</v>
      </c>
      <c r="E767" s="21" t="n">
        <f aca="false">$D767*(swm_27/swm_26)^el_o*1*1*E758*E759</f>
        <v>30.814372309298</v>
      </c>
      <c r="F767" s="21" t="n">
        <f aca="false">$D767*(swm_28/swm_26)^el_o*um28_A*1*F758*F759</f>
        <v>31.4910971539819</v>
      </c>
      <c r="G767" s="21" t="n">
        <f aca="false">$D767*(swm_29/swm_26)^el_o*um29_A*1*G758*G759</f>
        <v>31.8267984747363</v>
      </c>
      <c r="K767" s="7" t="s">
        <v>631</v>
      </c>
    </row>
    <row r="768" customFormat="false" ht="17.15" hidden="false" customHeight="false" outlineLevel="0" collapsed="false">
      <c r="A768" s="3" t="s">
        <v>632</v>
      </c>
      <c r="B768" s="0" t="s">
        <v>333</v>
      </c>
      <c r="D768" s="21" t="n">
        <f aca="false">a26_abf-D766</f>
        <v>12.0070237</v>
      </c>
      <c r="E768" s="21" t="n">
        <f aca="false">D768*(1+g_nai)</f>
        <v>12.367234411</v>
      </c>
      <c r="F768" s="21" t="n">
        <f aca="false">E768*(1+g_nai)</f>
        <v>12.73825144333</v>
      </c>
      <c r="G768" s="21" t="n">
        <f aca="false">F768*(1+g_nai)</f>
        <v>13.1203989866299</v>
      </c>
    </row>
    <row r="769" customFormat="false" ht="17.15" hidden="false" customHeight="false" outlineLevel="0" collapsed="false">
      <c r="A769" s="0" t="s">
        <v>633</v>
      </c>
      <c r="B769" s="0" t="s">
        <v>333</v>
      </c>
      <c r="D769" s="21" t="n">
        <f aca="false">D764+D767+D768</f>
        <v>34.305782</v>
      </c>
      <c r="E769" s="21" t="n">
        <f aca="false">E764+E767+E768</f>
        <v>52.185233455512</v>
      </c>
      <c r="F769" s="21" t="n">
        <f aca="false">F764+F767+F768</f>
        <v>58.1898505074603</v>
      </c>
      <c r="G769" s="21" t="n">
        <f aca="false">G764+G767+G768</f>
        <v>62.7422103741239</v>
      </c>
    </row>
    <row r="770" customFormat="false" ht="17.15" hidden="false" customHeight="false" outlineLevel="0" collapsed="false">
      <c r="A770" s="0" t="s">
        <v>634</v>
      </c>
      <c r="B770" s="0" t="s">
        <v>333</v>
      </c>
      <c r="D770" s="21" t="n">
        <f aca="false">a26_abf</f>
        <v>34.305782</v>
      </c>
      <c r="E770" s="21" t="n">
        <f aca="false">$D769*cap_27*(1+g_mix)^1*E758*E759</f>
        <v>49.709078118</v>
      </c>
      <c r="F770" s="21" t="n">
        <f aca="false">$D769*cap_28*(1+g_mix)^2*F758*F759</f>
        <v>55.7829061005431</v>
      </c>
      <c r="G770" s="21" t="n">
        <f aca="false">$D769*cap_29*(1+g_mix)^3*G758*G759</f>
        <v>65.765110350114</v>
      </c>
      <c r="K770" s="7" t="s">
        <v>635</v>
      </c>
    </row>
    <row r="771" customFormat="false" ht="17.15" hidden="false" customHeight="false" outlineLevel="0" collapsed="false">
      <c r="A771" s="0" t="s">
        <v>636</v>
      </c>
      <c r="B771" s="0" t="s">
        <v>333</v>
      </c>
      <c r="D771" s="21" t="n">
        <f aca="false">a26_abf</f>
        <v>34.305782</v>
      </c>
      <c r="E771" s="21" t="n">
        <f aca="false">MIN(E769,E770)</f>
        <v>49.709078118</v>
      </c>
      <c r="F771" s="21" t="n">
        <f aca="false">MIN(F769,F770)</f>
        <v>55.7829061005431</v>
      </c>
      <c r="G771" s="21" t="n">
        <f aca="false">MIN(G769,G770)</f>
        <v>62.7422103741239</v>
      </c>
    </row>
    <row r="772" customFormat="false" ht="17.15" hidden="false" customHeight="false" outlineLevel="0" collapsed="false">
      <c r="A772" s="3" t="s">
        <v>637</v>
      </c>
      <c r="B772" s="0" t="s">
        <v>44</v>
      </c>
      <c r="D772" s="20" t="n">
        <f aca="false">D771/D769</f>
        <v>1</v>
      </c>
      <c r="E772" s="20" t="n">
        <f aca="false">E771/E769</f>
        <v>0.952550651332759</v>
      </c>
      <c r="F772" s="20" t="n">
        <f aca="false">F771/F769</f>
        <v>0.958636353489023</v>
      </c>
      <c r="G772" s="20" t="n">
        <f aca="false">G771/G769</f>
        <v>1</v>
      </c>
    </row>
    <row r="773" customFormat="false" ht="17.15" hidden="false" customHeight="false" outlineLevel="0" collapsed="false">
      <c r="A773" s="0" t="s">
        <v>638</v>
      </c>
      <c r="B773" s="0" t="s">
        <v>333</v>
      </c>
      <c r="D773" s="21" t="n">
        <f aca="false">(D764+D767)*D772</f>
        <v>22.2987583</v>
      </c>
      <c r="E773" s="21" t="n">
        <f aca="false">(E764+E767)*E772</f>
        <v>37.928660924617</v>
      </c>
      <c r="F773" s="21" t="n">
        <f aca="false">(F764+F767)*F772</f>
        <v>43.571555187083</v>
      </c>
      <c r="G773" s="21" t="n">
        <f aca="false">(G764+G767)*G772</f>
        <v>49.621811387494</v>
      </c>
    </row>
    <row r="774" customFormat="false" ht="17.15" hidden="false" customHeight="false" outlineLevel="0" collapsed="false">
      <c r="A774" s="3" t="s">
        <v>639</v>
      </c>
      <c r="B774" s="0" t="s">
        <v>44</v>
      </c>
      <c r="D774" s="20" t="n">
        <f aca="false">D764/(D764+D767)</f>
        <v>0.140894976776891</v>
      </c>
      <c r="E774" s="20" t="n">
        <f aca="false">E764/(E764+E767)</f>
        <v>0.226119517586731</v>
      </c>
      <c r="F774" s="20" t="n">
        <f aca="false">F764/(F764+F767)</f>
        <v>0.307150951728908</v>
      </c>
      <c r="G774" s="20" t="n">
        <f aca="false">G764/(G764+G767)</f>
        <v>0.358612723219583</v>
      </c>
    </row>
    <row r="775" customFormat="false" ht="17.15" hidden="false" customHeight="false" outlineLevel="0" collapsed="false">
      <c r="A775" s="5" t="s">
        <v>640</v>
      </c>
    </row>
    <row r="776" customFormat="false" ht="17.15" hidden="false" customHeight="false" outlineLevel="0" collapsed="false">
      <c r="A776" s="0" t="s">
        <v>641</v>
      </c>
      <c r="B776" s="0" t="s">
        <v>333</v>
      </c>
      <c r="D776" s="21" t="n">
        <f aca="false">a26_bt</f>
        <v>18.927328</v>
      </c>
      <c r="E776" s="21" t="n">
        <f aca="false">D776*(1+g_bt27_A)</f>
        <v>24.6055264</v>
      </c>
      <c r="F776" s="21" t="n">
        <f aca="false">E776*(1+g_bt28_A)</f>
        <v>27.06607904</v>
      </c>
      <c r="G776" s="21" t="n">
        <f aca="false">F776*(1+g_bt29_A)</f>
        <v>28.419382992</v>
      </c>
      <c r="K776" s="7" t="s">
        <v>642</v>
      </c>
    </row>
    <row r="777" customFormat="false" ht="17.15" hidden="false" customHeight="false" outlineLevel="0" collapsed="false">
      <c r="A777" s="0" t="s">
        <v>540</v>
      </c>
      <c r="B777" s="0" t="s">
        <v>333</v>
      </c>
      <c r="D777" s="21" t="n">
        <f aca="false">a26_pcb</f>
        <v>5.91479</v>
      </c>
      <c r="E777" s="21" t="n">
        <f aca="false">D777*(1+g_pcb)</f>
        <v>5.91479</v>
      </c>
      <c r="F777" s="21" t="n">
        <f aca="false">E777*(1+g_pcb)</f>
        <v>5.91479</v>
      </c>
      <c r="G777" s="21" t="n">
        <f aca="false">F777*(1+g_pcb)</f>
        <v>5.91479</v>
      </c>
    </row>
    <row r="778" customFormat="false" ht="17.15" hidden="false" customHeight="false" outlineLevel="0" collapsed="false">
      <c r="A778" s="3" t="s">
        <v>505</v>
      </c>
      <c r="B778" s="0" t="s">
        <v>333</v>
      </c>
      <c r="C778" s="23" t="n">
        <f aca="false">a25_rev</f>
        <v>40.173</v>
      </c>
      <c r="D778" s="23" t="n">
        <f aca="false">D771+D776+D777</f>
        <v>59.1479</v>
      </c>
      <c r="E778" s="23" t="n">
        <f aca="false">E771+E776+E777</f>
        <v>80.229394518</v>
      </c>
      <c r="F778" s="23" t="n">
        <f aca="false">F771+F776+F777</f>
        <v>88.7637751405431</v>
      </c>
      <c r="G778" s="23" t="n">
        <f aca="false">G771+G776+G777</f>
        <v>97.0763833661239</v>
      </c>
      <c r="H778" s="25" t="n">
        <f aca="false">G778*(1+H780)</f>
        <v>105.078626241508</v>
      </c>
      <c r="I778" s="25" t="n">
        <f aca="false">H778*(1+I780)</f>
        <v>112.561928658085</v>
      </c>
      <c r="J778" s="25" t="n">
        <f aca="false">I778*(1+J780)</f>
        <v>119.315644377571</v>
      </c>
      <c r="K778" s="7" t="s">
        <v>643</v>
      </c>
    </row>
    <row r="779" customFormat="false" ht="17.15" hidden="false" customHeight="false" outlineLevel="0" collapsed="false">
      <c r="A779" s="3" t="s">
        <v>644</v>
      </c>
      <c r="B779" s="0" t="s">
        <v>333</v>
      </c>
      <c r="D779" s="19" t="n">
        <f aca="false">D771+D776+D777-a26_rev</f>
        <v>0</v>
      </c>
      <c r="E779" s="19" t="n">
        <f aca="false">E771+E776+E777-E778</f>
        <v>0</v>
      </c>
      <c r="F779" s="19" t="n">
        <f aca="false">F771+F776+F777-F778</f>
        <v>0</v>
      </c>
      <c r="G779" s="19" t="n">
        <f aca="false">G771+G776+G777-G778</f>
        <v>0</v>
      </c>
    </row>
    <row r="780" customFormat="false" ht="15" hidden="false" customHeight="false" outlineLevel="0" collapsed="false">
      <c r="A780" s="3" t="s">
        <v>645</v>
      </c>
      <c r="B780" s="0" t="s">
        <v>44</v>
      </c>
      <c r="D780" s="20" t="n">
        <f aca="false">D778/C778-1</f>
        <v>0.472329674159261</v>
      </c>
      <c r="E780" s="20" t="n">
        <f aca="false">E778/D778-1</f>
        <v>0.35642</v>
      </c>
      <c r="F780" s="20" t="n">
        <f aca="false">F778/E778-1</f>
        <v>0.106374735517023</v>
      </c>
      <c r="G780" s="20" t="n">
        <f aca="false">G778/F778-1</f>
        <v>0.0936486557992731</v>
      </c>
      <c r="H780" s="26" t="n">
        <f aca="false">$G780+(fade_gA-$G780)*1/3</f>
        <v>0.0824324371995154</v>
      </c>
      <c r="I780" s="26" t="n">
        <f aca="false">$G780+(fade_gA-$G780)*2/3</f>
        <v>0.0712162185997577</v>
      </c>
      <c r="J780" s="26" t="n">
        <f aca="false">$G780+(fade_gA-$G780)*3/3</f>
        <v>0.06</v>
      </c>
    </row>
    <row r="781" customFormat="false" ht="17.15" hidden="false" customHeight="false" outlineLevel="0" collapsed="false">
      <c r="A781" s="0" t="s">
        <v>646</v>
      </c>
      <c r="B781" s="0" t="s">
        <v>44</v>
      </c>
      <c r="D781" s="20" t="n">
        <f aca="false">D771/D778</f>
        <v>0.58</v>
      </c>
      <c r="E781" s="20" t="n">
        <f aca="false">E771/E778</f>
        <v>0.619586853629407</v>
      </c>
      <c r="F781" s="20" t="n">
        <f aca="false">F771/F778</f>
        <v>0.62844224473576</v>
      </c>
      <c r="G781" s="20" t="n">
        <f aca="false">G771/G778</f>
        <v>0.646317963221718</v>
      </c>
    </row>
    <row r="782" customFormat="false" ht="17.15" hidden="false" customHeight="false" outlineLevel="0" collapsed="false">
      <c r="A782" s="0" t="s">
        <v>647</v>
      </c>
      <c r="B782" s="0" t="s">
        <v>44</v>
      </c>
      <c r="D782" s="20" t="n">
        <f aca="false">D773/D778</f>
        <v>0.377</v>
      </c>
      <c r="E782" s="20" t="n">
        <f aca="false">E773/E778</f>
        <v>0.472752675655648</v>
      </c>
      <c r="F782" s="20" t="n">
        <f aca="false">F773/F778</f>
        <v>0.490870911225829</v>
      </c>
      <c r="G782" s="20" t="n">
        <f aca="false">G773/G778</f>
        <v>0.511162547128947</v>
      </c>
      <c r="K782" s="3" t="s">
        <v>648</v>
      </c>
    </row>
    <row r="783" customFormat="false" ht="17.15" hidden="false" customHeight="false" outlineLevel="0" collapsed="false">
      <c r="A783" s="5" t="s">
        <v>649</v>
      </c>
    </row>
    <row r="784" customFormat="false" ht="15" hidden="false" customHeight="false" outlineLevel="0" collapsed="false">
      <c r="A784" s="3" t="s">
        <v>650</v>
      </c>
      <c r="B784" s="0" t="s">
        <v>333</v>
      </c>
      <c r="C784" s="23" t="n">
        <f aca="false">a25_cx</f>
        <v>2.422</v>
      </c>
      <c r="D784" s="23" t="n">
        <f aca="false">capex26</f>
        <v>4</v>
      </c>
      <c r="E784" s="23" t="n">
        <f aca="false">cx27</f>
        <v>14</v>
      </c>
      <c r="F784" s="23" t="n">
        <f aca="false">cx28</f>
        <v>18</v>
      </c>
      <c r="G784" s="23" t="n">
        <f aca="false">cx29</f>
        <v>12</v>
      </c>
      <c r="H784" s="25" t="n">
        <f aca="false">H778*H801</f>
        <v>12.521735372864</v>
      </c>
      <c r="I784" s="25" t="n">
        <f aca="false">I778*I801</f>
        <v>12.9127418456534</v>
      </c>
      <c r="J784" s="25" t="n">
        <f aca="false">J778*J801</f>
        <v>13.1567175353735</v>
      </c>
    </row>
    <row r="785" customFormat="false" ht="17.15" hidden="false" customHeight="false" outlineLevel="0" collapsed="false">
      <c r="A785" s="3" t="s">
        <v>651</v>
      </c>
      <c r="B785" s="0" t="s">
        <v>333</v>
      </c>
      <c r="C785" s="23" t="n">
        <f aca="false">a25_da</f>
        <v>6.894</v>
      </c>
      <c r="D785" s="23" t="n">
        <f aca="false">da26</f>
        <v>7.1</v>
      </c>
      <c r="E785" s="23" t="n">
        <f aca="false">D785*(1-1/life_lo)+D784/life_lo</f>
        <v>6.58333333333333</v>
      </c>
      <c r="F785" s="23" t="n">
        <f aca="false">E785*(1-1/life_lo)+E784/life_lo</f>
        <v>7.81944444444445</v>
      </c>
      <c r="G785" s="23" t="n">
        <f aca="false">F785*(1-1/life_lo)+F784/life_lo</f>
        <v>9.5162037037037</v>
      </c>
      <c r="H785" s="25" t="n">
        <f aca="false">H778*H786</f>
        <v>10.3006475678871</v>
      </c>
      <c r="I785" s="25" t="n">
        <f aca="false">I778*I786</f>
        <v>11.0342207368008</v>
      </c>
      <c r="J785" s="25" t="n">
        <f aca="false">J778*J786</f>
        <v>11.6962739810088</v>
      </c>
      <c r="K785" s="3" t="s">
        <v>652</v>
      </c>
    </row>
    <row r="786" customFormat="false" ht="17.15" hidden="false" customHeight="false" outlineLevel="0" collapsed="false">
      <c r="A786" s="3" t="s">
        <v>653</v>
      </c>
      <c r="B786" s="0" t="s">
        <v>44</v>
      </c>
      <c r="C786" s="20" t="n">
        <f aca="false">C785/C778</f>
        <v>0.171607796281084</v>
      </c>
      <c r="D786" s="20" t="n">
        <f aca="false">D785/D778</f>
        <v>0.120038074048276</v>
      </c>
      <c r="E786" s="20" t="n">
        <f aca="false">E785/E778</f>
        <v>0.0820563756324537</v>
      </c>
      <c r="F786" s="20" t="n">
        <f aca="false">F785/F778</f>
        <v>0.088092743149597</v>
      </c>
      <c r="G786" s="20" t="n">
        <f aca="false">G785/G778</f>
        <v>0.0980279999494142</v>
      </c>
      <c r="H786" s="26" t="n">
        <f aca="false">$G786</f>
        <v>0.0980279999494142</v>
      </c>
      <c r="I786" s="26" t="n">
        <f aca="false">$G786</f>
        <v>0.0980279999494142</v>
      </c>
      <c r="J786" s="26" t="n">
        <f aca="false">$G786</f>
        <v>0.0980279999494142</v>
      </c>
    </row>
    <row r="787" customFormat="false" ht="17.15" hidden="false" customHeight="false" outlineLevel="0" collapsed="false">
      <c r="A787" s="3" t="s">
        <v>654</v>
      </c>
      <c r="B787" s="0" t="s">
        <v>333</v>
      </c>
      <c r="E787" s="21" t="n">
        <f aca="false">E773*(1-1/(E758*E759))</f>
        <v>4.94721664234135</v>
      </c>
      <c r="F787" s="21" t="n">
        <f aca="false">F773*(1-1/(F758*F759))</f>
        <v>3.68912480989031</v>
      </c>
      <c r="G787" s="21" t="n">
        <f aca="false">G773*(1-1/(G758*G759))</f>
        <v>1.67803226914231</v>
      </c>
      <c r="K787" s="7" t="s">
        <v>655</v>
      </c>
    </row>
    <row r="788" customFormat="false" ht="17.15" hidden="false" customHeight="false" outlineLevel="0" collapsed="false">
      <c r="A788" s="3" t="s">
        <v>656</v>
      </c>
      <c r="B788" s="0" t="s">
        <v>333</v>
      </c>
      <c r="C788" s="21" t="n">
        <f aca="false">a25_gp</f>
        <v>3.647</v>
      </c>
      <c r="D788" s="21" t="n">
        <f aca="false">a26_gp</f>
        <v>15.9001925</v>
      </c>
      <c r="E788" s="21" t="n">
        <f aca="false">$D788+ft_abf*(E771-E787-$D771)+ft_oth*((E778-E771)-($D778-$D771))+E787-(E785-$D785)</f>
        <v>28.8633949068373</v>
      </c>
      <c r="F788" s="21" t="n">
        <f aca="false">$D788+ft_abf*(F771-F787-$D771)+ft_oth*((F778-F771)-($D778-$D771))+F787-(F785-$D785)</f>
        <v>31.0193729267723</v>
      </c>
      <c r="G788" s="21" t="n">
        <f aca="false">$D788+ft_abf*(G771-G787-$D771)+ft_oth*((G778-G771)-($D778-$D771))+G787-(G785-$D785)</f>
        <v>32.3380411147294</v>
      </c>
      <c r="K788" s="3" t="s">
        <v>657</v>
      </c>
    </row>
    <row r="789" customFormat="false" ht="15" hidden="false" customHeight="false" outlineLevel="0" collapsed="false">
      <c r="A789" s="3" t="s">
        <v>512</v>
      </c>
      <c r="B789" s="0" t="s">
        <v>44</v>
      </c>
      <c r="C789" s="16" t="n">
        <f aca="false">C788/C778</f>
        <v>0.0907823662659</v>
      </c>
      <c r="D789" s="16" t="n">
        <f aca="false">D788/D778</f>
        <v>0.268820913337583</v>
      </c>
      <c r="E789" s="16" t="n">
        <f aca="false">E788/E778</f>
        <v>0.359760846759995</v>
      </c>
      <c r="F789" s="16" t="n">
        <f aca="false">F788/F778</f>
        <v>0.349459820491615</v>
      </c>
      <c r="G789" s="16" t="n">
        <f aca="false">G788/G778</f>
        <v>0.333119549713408</v>
      </c>
    </row>
    <row r="790" customFormat="false" ht="15" hidden="false" customHeight="false" outlineLevel="0" collapsed="false">
      <c r="A790" s="3" t="s">
        <v>514</v>
      </c>
      <c r="B790" s="0" t="s">
        <v>333</v>
      </c>
      <c r="C790" s="21" t="n">
        <f aca="false">a25_opx</f>
        <v>1.665</v>
      </c>
      <c r="D790" s="21" t="n">
        <f aca="false">a26_opx</f>
        <v>1.9</v>
      </c>
      <c r="E790" s="21" t="n">
        <f aca="false">D790*(1+phi*E780)</f>
        <v>2.3063188</v>
      </c>
      <c r="F790" s="21" t="n">
        <f aca="false">E790*(1+phi*F780)</f>
        <v>2.45351923142076</v>
      </c>
      <c r="G790" s="21" t="n">
        <f aca="false">F790*(1+phi*G780)</f>
        <v>2.59138049822089</v>
      </c>
    </row>
    <row r="791" customFormat="false" ht="15" hidden="false" customHeight="false" outlineLevel="0" collapsed="false">
      <c r="A791" s="3" t="s">
        <v>517</v>
      </c>
      <c r="B791" s="0" t="s">
        <v>333</v>
      </c>
      <c r="C791" s="21" t="n">
        <f aca="false">C788-C790</f>
        <v>1.982</v>
      </c>
      <c r="D791" s="21" t="n">
        <f aca="false">D788-D790</f>
        <v>14.0001925</v>
      </c>
      <c r="E791" s="21" t="n">
        <f aca="false">E788-E790</f>
        <v>26.5570761068373</v>
      </c>
      <c r="F791" s="21" t="n">
        <f aca="false">F788-F790</f>
        <v>28.5658536953515</v>
      </c>
      <c r="G791" s="21" t="n">
        <f aca="false">G788-G790</f>
        <v>29.7466606165085</v>
      </c>
    </row>
    <row r="792" customFormat="false" ht="15" hidden="false" customHeight="false" outlineLevel="0" collapsed="false">
      <c r="A792" s="3" t="s">
        <v>598</v>
      </c>
      <c r="B792" s="0" t="s">
        <v>44</v>
      </c>
      <c r="C792" s="16" t="n">
        <f aca="false">C791/C778</f>
        <v>0.0493366191222961</v>
      </c>
      <c r="D792" s="16" t="n">
        <f aca="false">D791/D778</f>
        <v>0.236698048451424</v>
      </c>
      <c r="E792" s="16" t="n">
        <f aca="false">E791/E778</f>
        <v>0.331014290540097</v>
      </c>
      <c r="F792" s="16" t="n">
        <f aca="false">F791/F778</f>
        <v>0.32181882361495</v>
      </c>
      <c r="G792" s="16" t="n">
        <f aca="false">G791/G778</f>
        <v>0.306425307423319</v>
      </c>
    </row>
    <row r="793" customFormat="false" ht="15" hidden="false" customHeight="false" outlineLevel="0" collapsed="false">
      <c r="A793" s="3" t="s">
        <v>520</v>
      </c>
      <c r="B793" s="0" t="s">
        <v>333</v>
      </c>
      <c r="C793" s="21" t="n">
        <f aca="false">a25_nonop</f>
        <v>0.364</v>
      </c>
      <c r="D793" s="21" t="n">
        <f aca="false">a26_nonop</f>
        <v>0.623</v>
      </c>
      <c r="E793" s="21" t="n">
        <f aca="false">nonop27</f>
        <v>0.6</v>
      </c>
      <c r="F793" s="21" t="n">
        <f aca="false">nonop28</f>
        <v>0.6</v>
      </c>
      <c r="G793" s="21" t="n">
        <f aca="false">nonop29</f>
        <v>0.6</v>
      </c>
    </row>
    <row r="794" customFormat="false" ht="15" hidden="false" customHeight="false" outlineLevel="0" collapsed="false">
      <c r="A794" s="3" t="s">
        <v>522</v>
      </c>
      <c r="B794" s="0" t="s">
        <v>333</v>
      </c>
      <c r="C794" s="21" t="n">
        <f aca="false">C791+C793</f>
        <v>2.346</v>
      </c>
      <c r="D794" s="21" t="n">
        <f aca="false">D791+D793</f>
        <v>14.6231925</v>
      </c>
      <c r="E794" s="21" t="n">
        <f aca="false">E791+E793</f>
        <v>27.1570761068373</v>
      </c>
      <c r="F794" s="21" t="n">
        <f aca="false">F791+F793</f>
        <v>29.1658536953515</v>
      </c>
      <c r="G794" s="21" t="n">
        <f aca="false">G791+G793</f>
        <v>30.3466606165085</v>
      </c>
    </row>
    <row r="795" customFormat="false" ht="15" hidden="false" customHeight="false" outlineLevel="0" collapsed="false">
      <c r="A795" s="3" t="s">
        <v>525</v>
      </c>
      <c r="B795" s="0" t="s">
        <v>333</v>
      </c>
      <c r="E795" s="21" t="n">
        <f aca="false">E794*tax</f>
        <v>5.70298598243584</v>
      </c>
      <c r="F795" s="21" t="n">
        <f aca="false">F794*tax</f>
        <v>6.12482927602382</v>
      </c>
      <c r="G795" s="21" t="n">
        <f aca="false">G794*tax</f>
        <v>6.37279872946679</v>
      </c>
    </row>
    <row r="796" customFormat="false" ht="15" hidden="false" customHeight="false" outlineLevel="0" collapsed="false">
      <c r="A796" s="3" t="s">
        <v>523</v>
      </c>
      <c r="B796" s="0" t="s">
        <v>333</v>
      </c>
      <c r="C796" s="21" t="n">
        <f aca="false">a25_ni</f>
        <v>1.947</v>
      </c>
      <c r="D796" s="21" t="n">
        <f aca="false">a26_ni</f>
        <v>11.509862075</v>
      </c>
      <c r="E796" s="21" t="n">
        <f aca="false">E794-E795</f>
        <v>21.4540901244015</v>
      </c>
      <c r="F796" s="21" t="n">
        <f aca="false">F794-F795</f>
        <v>23.0410244193277</v>
      </c>
      <c r="G796" s="21" t="n">
        <f aca="false">G794-G795</f>
        <v>23.9738618870417</v>
      </c>
      <c r="H796" s="30" t="n">
        <f aca="false">H778*H800</f>
        <v>26.1198832310494</v>
      </c>
      <c r="I796" s="30" t="n">
        <f aca="false">I778*I800</f>
        <v>28.1619323590293</v>
      </c>
      <c r="J796" s="30" t="n">
        <f aca="false">J778*J800</f>
        <v>30.0444515034082</v>
      </c>
    </row>
    <row r="797" customFormat="false" ht="15" hidden="false" customHeight="false" outlineLevel="0" collapsed="false">
      <c r="A797" s="3" t="s">
        <v>658</v>
      </c>
      <c r="B797" s="3" t="s">
        <v>400</v>
      </c>
      <c r="C797" s="29" t="n">
        <f aca="false">a25_sh</f>
        <v>0.646843853820598</v>
      </c>
      <c r="D797" s="29" t="n">
        <f aca="false">a26_sh</f>
        <v>0.645863325123153</v>
      </c>
      <c r="E797" s="29" t="n">
        <f aca="false">a26_shend*(1+sh_g)</f>
        <v>0.64617</v>
      </c>
      <c r="F797" s="29" t="n">
        <f aca="false">E797*(1+sh_g)</f>
        <v>0.64617</v>
      </c>
      <c r="G797" s="29" t="n">
        <f aca="false">F797*(1+sh_g)</f>
        <v>0.64617</v>
      </c>
      <c r="H797" s="31" t="n">
        <f aca="false">G797*(1+sh_g)</f>
        <v>0.64617</v>
      </c>
      <c r="I797" s="31" t="n">
        <f aca="false">H797*(1+sh_g)</f>
        <v>0.64617</v>
      </c>
      <c r="J797" s="31" t="n">
        <f aca="false">I797*(1+sh_g)</f>
        <v>0.64617</v>
      </c>
    </row>
    <row r="798" customFormat="false" ht="17.15" hidden="false" customHeight="false" outlineLevel="0" collapsed="false">
      <c r="A798" s="0" t="s">
        <v>528</v>
      </c>
      <c r="B798" s="0" t="s">
        <v>406</v>
      </c>
      <c r="C798" s="18" t="n">
        <f aca="false">C796/C797</f>
        <v>3.01</v>
      </c>
      <c r="D798" s="18" t="n">
        <f aca="false">D796/D797</f>
        <v>17.820894339844</v>
      </c>
      <c r="E798" s="18" t="n">
        <f aca="false">E796/E797</f>
        <v>33.2019284776475</v>
      </c>
      <c r="F798" s="18" t="n">
        <f aca="false">F796/F797</f>
        <v>35.6578368220866</v>
      </c>
      <c r="G798" s="18" t="n">
        <f aca="false">G796/G797</f>
        <v>37.10147776443</v>
      </c>
      <c r="H798" s="28" t="n">
        <f aca="false">H796/H797</f>
        <v>40.4226182445013</v>
      </c>
      <c r="I798" s="28" t="n">
        <f aca="false">I796/I797</f>
        <v>43.5828533652589</v>
      </c>
      <c r="J798" s="28" t="n">
        <f aca="false">J796/J797</f>
        <v>46.4962030168659</v>
      </c>
    </row>
    <row r="799" customFormat="false" ht="17.15" hidden="false" customHeight="false" outlineLevel="0" collapsed="false">
      <c r="A799" s="0" t="s">
        <v>659</v>
      </c>
      <c r="B799" s="0" t="s">
        <v>44</v>
      </c>
      <c r="D799" s="20" t="n">
        <f aca="false">D798/C798-1</f>
        <v>4.92056290360265</v>
      </c>
      <c r="E799" s="20" t="n">
        <f aca="false">E798/D798-1</f>
        <v>0.863089912576083</v>
      </c>
      <c r="F799" s="20" t="n">
        <f aca="false">F798/E798-1</f>
        <v>0.0739688463003725</v>
      </c>
      <c r="G799" s="20" t="n">
        <f aca="false">G798/F798-1</f>
        <v>0.0404859372021467</v>
      </c>
      <c r="H799" s="26" t="n">
        <f aca="false">H798/G798-1</f>
        <v>0.0895150457660583</v>
      </c>
      <c r="I799" s="26" t="n">
        <f aca="false">I798/H798-1</f>
        <v>0.0781798720123086</v>
      </c>
      <c r="J799" s="26" t="n">
        <f aca="false">J798/I798-1</f>
        <v>0.0668462348527499</v>
      </c>
    </row>
    <row r="800" customFormat="false" ht="17.15" hidden="false" customHeight="false" outlineLevel="0" collapsed="false">
      <c r="A800" s="3" t="s">
        <v>660</v>
      </c>
      <c r="B800" s="0" t="s">
        <v>44</v>
      </c>
      <c r="C800" s="16" t="n">
        <f aca="false">C796/C778</f>
        <v>0.0484653872003585</v>
      </c>
      <c r="D800" s="16" t="n">
        <f aca="false">D796/D778</f>
        <v>0.194594602259759</v>
      </c>
      <c r="E800" s="16" t="n">
        <f aca="false">E796/E778</f>
        <v>0.267409348572214</v>
      </c>
      <c r="F800" s="16" t="n">
        <f aca="false">F796/F778</f>
        <v>0.259576886887088</v>
      </c>
      <c r="G800" s="16" t="n">
        <f aca="false">G796/G778</f>
        <v>0.246958745842686</v>
      </c>
      <c r="H800" s="27" t="n">
        <f aca="false">$G800+(fade_mA-$G800)*1/3</f>
        <v>0.248574654668749</v>
      </c>
      <c r="I800" s="27" t="n">
        <f aca="false">$G800+(fade_mA-$G800)*2/3</f>
        <v>0.250190563494813</v>
      </c>
      <c r="J800" s="27" t="n">
        <f aca="false">$G800+(fade_mA-$G800)*3/3</f>
        <v>0.251806472320876</v>
      </c>
    </row>
    <row r="801" customFormat="false" ht="17.15" hidden="false" customHeight="false" outlineLevel="0" collapsed="false">
      <c r="A801" s="3" t="s">
        <v>661</v>
      </c>
      <c r="B801" s="0" t="s">
        <v>44</v>
      </c>
      <c r="C801" s="20" t="n">
        <f aca="false">C784/C778</f>
        <v>0.0602892489980833</v>
      </c>
      <c r="D801" s="20" t="n">
        <f aca="false">D784/D778</f>
        <v>0.0676270839708595</v>
      </c>
      <c r="E801" s="20" t="n">
        <f aca="false">E784/E778</f>
        <v>0.174499634256357</v>
      </c>
      <c r="F801" s="20" t="n">
        <f aca="false">F784/F778</f>
        <v>0.202785426504223</v>
      </c>
      <c r="G801" s="20" t="n">
        <f aca="false">G784/G778</f>
        <v>0.123613999449711</v>
      </c>
      <c r="H801" s="26" t="n">
        <f aca="false">$G801+($G786*(1+tp_g)^(life_lo/2)-$G801)*1/3</f>
        <v>0.119165389011507</v>
      </c>
      <c r="I801" s="26" t="n">
        <f aca="false">$G801+($G786*(1+tp_g)^(life_lo/2)-$G801)*2/3</f>
        <v>0.114716778573302</v>
      </c>
      <c r="J801" s="26" t="n">
        <f aca="false">$G801+($G786*(1+tp_g)^(life_lo/2)-$G801)*3/3</f>
        <v>0.110268168135098</v>
      </c>
      <c r="K801" s="7" t="s">
        <v>662</v>
      </c>
    </row>
    <row r="802" customFormat="false" ht="15" hidden="false" customHeight="false" outlineLevel="0" collapsed="false">
      <c r="A802" s="3" t="s">
        <v>663</v>
      </c>
      <c r="B802" s="0" t="s">
        <v>333</v>
      </c>
      <c r="E802" s="21" t="n">
        <f aca="false">E796+E785-E784</f>
        <v>14.0374234577348</v>
      </c>
      <c r="F802" s="21" t="n">
        <f aca="false">F796+F785-F784</f>
        <v>12.8604688637721</v>
      </c>
      <c r="G802" s="21" t="n">
        <f aca="false">G796+G785-G784</f>
        <v>21.4900655907454</v>
      </c>
      <c r="H802" s="30" t="n">
        <f aca="false">H796+H785-H784</f>
        <v>23.8987954260725</v>
      </c>
      <c r="I802" s="30" t="n">
        <f aca="false">I796+I785-I784</f>
        <v>26.2834112501766</v>
      </c>
      <c r="J802" s="30" t="n">
        <f aca="false">J796+J785-J784</f>
        <v>28.5840079490436</v>
      </c>
      <c r="K802" s="3" t="s">
        <v>664</v>
      </c>
    </row>
    <row r="803" customFormat="false" ht="15" hidden="false" customHeight="false" outlineLevel="0" collapsed="false">
      <c r="A803" s="3" t="s">
        <v>665</v>
      </c>
      <c r="B803" s="0" t="s">
        <v>406</v>
      </c>
      <c r="E803" s="18" t="n">
        <f aca="false">E802/E797</f>
        <v>21.7240408216643</v>
      </c>
      <c r="F803" s="18" t="n">
        <f aca="false">F802/F797</f>
        <v>19.9026090096602</v>
      </c>
      <c r="G803" s="18" t="n">
        <f aca="false">G802/G797</f>
        <v>33.2576034027352</v>
      </c>
      <c r="H803" s="28" t="n">
        <f aca="false">H802/H797</f>
        <v>36.9853063838811</v>
      </c>
      <c r="I803" s="28" t="n">
        <f aca="false">I802/I797</f>
        <v>40.6756909949033</v>
      </c>
      <c r="J803" s="28" t="n">
        <f aca="false">J802/J797</f>
        <v>44.2360492580026</v>
      </c>
    </row>
    <row r="806" customFormat="false" ht="17.15" hidden="false" customHeight="false" outlineLevel="0" collapsed="false">
      <c r="A806" s="1" t="s">
        <v>1021</v>
      </c>
    </row>
    <row r="807" customFormat="false" ht="17.15" hidden="false" customHeight="false" outlineLevel="0" collapsed="false">
      <c r="A807" s="4" t="s">
        <v>21</v>
      </c>
      <c r="B807" s="4" t="s">
        <v>22</v>
      </c>
      <c r="C807" s="13" t="s">
        <v>498</v>
      </c>
      <c r="D807" s="13" t="s">
        <v>585</v>
      </c>
      <c r="E807" s="13" t="s">
        <v>586</v>
      </c>
      <c r="F807" s="13" t="s">
        <v>587</v>
      </c>
      <c r="G807" s="13" t="s">
        <v>588</v>
      </c>
      <c r="H807" s="13" t="s">
        <v>589</v>
      </c>
      <c r="I807" s="13" t="s">
        <v>590</v>
      </c>
      <c r="J807" s="13" t="s">
        <v>591</v>
      </c>
      <c r="K807" s="4" t="s">
        <v>553</v>
      </c>
    </row>
    <row r="808" customFormat="false" ht="17.15" hidden="false" customHeight="false" outlineLevel="0" collapsed="false">
      <c r="A808" s="5" t="s">
        <v>609</v>
      </c>
    </row>
    <row r="809" customFormat="false" ht="17.15" hidden="false" customHeight="false" outlineLevel="0" collapsed="false">
      <c r="A809" s="0" t="s">
        <v>610</v>
      </c>
      <c r="B809" s="3" t="s">
        <v>32</v>
      </c>
      <c r="D809" s="21" t="n">
        <f aca="false">(u_bw_26+u_rb_26+u_ru_26+u_hp_26)*1</f>
        <v>7.6</v>
      </c>
      <c r="E809" s="21" t="n">
        <f aca="false">(u_bw_27+u_rb_27+u_ru_27+u_hp_27)*1*1</f>
        <v>9.7</v>
      </c>
      <c r="F809" s="21" t="n">
        <f aca="false">(u_bw_28+u_rb_28+u_ru_28+u_hp_28)*um28_A*1</f>
        <v>9.5</v>
      </c>
      <c r="G809" s="21" t="n">
        <f aca="false">(u_bw_28*(1+g29_bw)+u_rb_28*(1+g29_rb)+u_ru_28*(1+g29_ru)+u_hp_28*(1+g29_hp))*um29_A*1</f>
        <v>10.6</v>
      </c>
      <c r="K809" s="7" t="s">
        <v>611</v>
      </c>
    </row>
    <row r="810" customFormat="false" ht="17.15" hidden="false" customHeight="false" outlineLevel="0" collapsed="false">
      <c r="A810" s="3" t="s">
        <v>612</v>
      </c>
      <c r="B810" s="3" t="s">
        <v>32</v>
      </c>
      <c r="D810" s="21" t="n">
        <f aca="false">(u_amd_26+u_tpu_26+u_trn_26+u_oth_26)*1</f>
        <v>7.6</v>
      </c>
      <c r="E810" s="21" t="n">
        <f aca="false">(u_amd_27+u_tpu_27+u_trn_27+u_oth_27)*1*1</f>
        <v>14</v>
      </c>
      <c r="F810" s="21" t="n">
        <f aca="false">(u_amd_28+u_tpu_28+u_trn_28+u_oth_28)*um28_A*1</f>
        <v>17</v>
      </c>
      <c r="G810" s="21" t="n">
        <f aca="false">(u_amd_28*(1+g29_amd)+u_tpu_28*(1+g29_tpu)+u_trn_28*(1+g29_trn)+u_oth_28*(1+g29_oth))*um29_A*1</f>
        <v>19.55</v>
      </c>
      <c r="K810" s="7" t="s">
        <v>613</v>
      </c>
    </row>
    <row r="811" customFormat="false" ht="17.15" hidden="false" customHeight="false" outlineLevel="0" collapsed="false">
      <c r="A811" s="3" t="s">
        <v>614</v>
      </c>
      <c r="B811" s="0" t="s">
        <v>154</v>
      </c>
      <c r="D811" s="19" t="n">
        <f aca="false">1</f>
        <v>1</v>
      </c>
      <c r="E811" s="19" t="n">
        <f aca="false">D811*(1+g_asp)</f>
        <v>1.18</v>
      </c>
      <c r="F811" s="19" t="n">
        <f aca="false">E811*(1+g_asp)</f>
        <v>1.3924</v>
      </c>
      <c r="G811" s="19" t="n">
        <f aca="false">F811*(1+g_asp)</f>
        <v>1.643032</v>
      </c>
      <c r="K811" s="7" t="s">
        <v>615</v>
      </c>
    </row>
    <row r="812" customFormat="false" ht="17.15" hidden="false" customHeight="false" outlineLevel="0" collapsed="false">
      <c r="A812" s="0" t="s">
        <v>616</v>
      </c>
      <c r="B812" s="0" t="s">
        <v>154</v>
      </c>
      <c r="D812" s="18" t="n">
        <f aca="false">1</f>
        <v>1</v>
      </c>
      <c r="E812" s="18" t="n">
        <f aca="false">ibpp_27</f>
        <v>1</v>
      </c>
      <c r="F812" s="18" t="n">
        <f aca="false">ibpp_28</f>
        <v>0.95</v>
      </c>
      <c r="G812" s="18" t="n">
        <f aca="false">ibpp_29</f>
        <v>0.9</v>
      </c>
      <c r="K812" s="7" t="s">
        <v>617</v>
      </c>
    </row>
    <row r="813" customFormat="false" ht="17.15" hidden="false" customHeight="false" outlineLevel="0" collapsed="false">
      <c r="A813" s="3" t="s">
        <v>618</v>
      </c>
      <c r="B813" s="0" t="s">
        <v>154</v>
      </c>
      <c r="D813" s="18" t="n">
        <f aca="false">1</f>
        <v>1</v>
      </c>
      <c r="E813" s="18" t="n">
        <f aca="false">1+carry</f>
        <v>1.15</v>
      </c>
      <c r="F813" s="18" t="n">
        <f aca="false">1+carry</f>
        <v>1.15</v>
      </c>
      <c r="G813" s="18" t="n">
        <f aca="false">1+carry</f>
        <v>1.15</v>
      </c>
      <c r="K813" s="7" t="s">
        <v>619</v>
      </c>
    </row>
    <row r="814" customFormat="false" ht="17.15" hidden="false" customHeight="false" outlineLevel="0" collapsed="false">
      <c r="A814" s="3" t="s">
        <v>620</v>
      </c>
      <c r="B814" s="0" t="s">
        <v>621</v>
      </c>
      <c r="D814" s="23" t="n">
        <f aca="false">v26*D811*D812</f>
        <v>215.308596</v>
      </c>
      <c r="E814" s="23" t="n">
        <f aca="false">v26*E811*E812</f>
        <v>254.06414328</v>
      </c>
      <c r="F814" s="23" t="n">
        <f aca="false">v26*F811*F812</f>
        <v>284.80590461688</v>
      </c>
      <c r="G814" s="23" t="n">
        <f aca="false">v26*G811*G812</f>
        <v>318.383021792765</v>
      </c>
      <c r="K814" s="7" t="s">
        <v>622</v>
      </c>
    </row>
    <row r="815" customFormat="false" ht="17.15" hidden="false" customHeight="false" outlineLevel="0" collapsed="false">
      <c r="A815" s="3" t="s">
        <v>623</v>
      </c>
      <c r="B815" s="0" t="s">
        <v>44</v>
      </c>
      <c r="D815" s="20" t="n">
        <f aca="false">sh_nv_26</f>
        <v>0.02</v>
      </c>
      <c r="E815" s="20" t="n">
        <f aca="false">sh_nv_27</f>
        <v>0.03</v>
      </c>
      <c r="F815" s="20" t="n">
        <f aca="false">sh_nv_28</f>
        <v>0.04</v>
      </c>
      <c r="G815" s="20" t="n">
        <f aca="false">sh_nv_29</f>
        <v>0.04</v>
      </c>
    </row>
    <row r="816" customFormat="false" ht="17.15" hidden="false" customHeight="false" outlineLevel="0" collapsed="false">
      <c r="A816" s="3" t="s">
        <v>624</v>
      </c>
      <c r="B816" s="0" t="s">
        <v>44</v>
      </c>
      <c r="D816" s="20" t="n">
        <f aca="false">sh_ot_26</f>
        <v>0.05</v>
      </c>
      <c r="E816" s="20" t="n">
        <f aca="false">sh_ot_27</f>
        <v>0.06</v>
      </c>
      <c r="F816" s="20" t="n">
        <f aca="false">sh_ot_28</f>
        <v>0.07</v>
      </c>
      <c r="G816" s="20" t="n">
        <f aca="false">sh_ot_29</f>
        <v>0.07</v>
      </c>
    </row>
    <row r="817" customFormat="false" ht="17.15" hidden="false" customHeight="false" outlineLevel="0" collapsed="false">
      <c r="A817" s="3" t="s">
        <v>625</v>
      </c>
      <c r="B817" s="0" t="s">
        <v>575</v>
      </c>
      <c r="D817" s="22" t="n">
        <f aca="false">(D809*D814*D815+D810*D814*v_ot*D816)*D813</f>
        <v>98.180719776</v>
      </c>
      <c r="E817" s="22" t="n">
        <f aca="false">(E809*E814*E815+E810*E814*v_ot*E816)*E813</f>
        <v>281.363335475436</v>
      </c>
      <c r="F817" s="22" t="n">
        <f aca="false">(F809*F814*F815+F810*F814*v_ot*F816)*F813</f>
        <v>436.265684692137</v>
      </c>
      <c r="G817" s="22" t="n">
        <f aca="false">(G809*G814*G815+G810*G814*v_ot*G816)*G813</f>
        <v>556.094153523679</v>
      </c>
    </row>
    <row r="818" customFormat="false" ht="15" hidden="false" customHeight="false" outlineLevel="0" collapsed="false">
      <c r="A818" s="3" t="s">
        <v>626</v>
      </c>
      <c r="B818" s="0" t="s">
        <v>333</v>
      </c>
      <c r="D818" s="21" t="n">
        <f aca="false">D817*fx/1000</f>
        <v>3.141783032832</v>
      </c>
      <c r="E818" s="21" t="n">
        <f aca="false">E817*fx/1000</f>
        <v>9.00362673521395</v>
      </c>
      <c r="F818" s="21" t="n">
        <f aca="false">F817*fx/1000</f>
        <v>13.9605019101484</v>
      </c>
      <c r="G818" s="21" t="n">
        <f aca="false">G817*fx/1000</f>
        <v>17.7950129127577</v>
      </c>
    </row>
    <row r="819" customFormat="false" ht="17.15" hidden="false" customHeight="false" outlineLevel="0" collapsed="false">
      <c r="A819" s="5" t="s">
        <v>627</v>
      </c>
    </row>
    <row r="820" customFormat="false" ht="17.15" hidden="false" customHeight="false" outlineLevel="0" collapsed="false">
      <c r="A820" s="0" t="s">
        <v>628</v>
      </c>
      <c r="B820" s="0" t="s">
        <v>333</v>
      </c>
      <c r="D820" s="21" t="n">
        <f aca="false">a26_abf*ai_abf</f>
        <v>22.2987583</v>
      </c>
      <c r="K820" s="3" t="s">
        <v>629</v>
      </c>
    </row>
    <row r="821" customFormat="false" ht="17.15" hidden="false" customHeight="false" outlineLevel="0" collapsed="false">
      <c r="A821" s="3" t="s">
        <v>630</v>
      </c>
      <c r="B821" s="0" t="s">
        <v>333</v>
      </c>
      <c r="D821" s="21" t="n">
        <f aca="false">D820-D818</f>
        <v>19.156975267168</v>
      </c>
      <c r="E821" s="21" t="n">
        <f aca="false">$D821*(swm_27/swm_26)^el_o*1*1*E812*E813</f>
        <v>30.814372309298</v>
      </c>
      <c r="F821" s="21" t="n">
        <f aca="false">$D821*(swm_28/swm_26)^el_o*um28_A*1*F812*F813</f>
        <v>31.4910971539819</v>
      </c>
      <c r="G821" s="21" t="n">
        <f aca="false">$D821*(swm_29/swm_26)^el_o*um29_A*1*G812*G813</f>
        <v>31.8267984747363</v>
      </c>
      <c r="K821" s="7" t="s">
        <v>631</v>
      </c>
    </row>
    <row r="822" customFormat="false" ht="17.15" hidden="false" customHeight="false" outlineLevel="0" collapsed="false">
      <c r="A822" s="3" t="s">
        <v>632</v>
      </c>
      <c r="B822" s="0" t="s">
        <v>333</v>
      </c>
      <c r="D822" s="21" t="n">
        <f aca="false">a26_abf-D820</f>
        <v>12.0070237</v>
      </c>
      <c r="E822" s="21" t="n">
        <f aca="false">D822*(1+g_nai)</f>
        <v>12.367234411</v>
      </c>
      <c r="F822" s="21" t="n">
        <f aca="false">E822*(1+g_nai)</f>
        <v>12.73825144333</v>
      </c>
      <c r="G822" s="21" t="n">
        <f aca="false">F822*(1+g_nai)</f>
        <v>13.1203989866299</v>
      </c>
    </row>
    <row r="823" customFormat="false" ht="17.15" hidden="false" customHeight="false" outlineLevel="0" collapsed="false">
      <c r="A823" s="0" t="s">
        <v>633</v>
      </c>
      <c r="B823" s="0" t="s">
        <v>333</v>
      </c>
      <c r="D823" s="21" t="n">
        <f aca="false">D818+D821+D822</f>
        <v>34.305782</v>
      </c>
      <c r="E823" s="21" t="n">
        <f aca="false">E818+E821+E822</f>
        <v>52.185233455512</v>
      </c>
      <c r="F823" s="21" t="n">
        <f aca="false">F818+F821+F822</f>
        <v>58.1898505074603</v>
      </c>
      <c r="G823" s="21" t="n">
        <f aca="false">G818+G821+G822</f>
        <v>62.7422103741239</v>
      </c>
    </row>
    <row r="824" customFormat="false" ht="17.15" hidden="false" customHeight="false" outlineLevel="0" collapsed="false">
      <c r="A824" s="0" t="s">
        <v>634</v>
      </c>
      <c r="B824" s="0" t="s">
        <v>333</v>
      </c>
      <c r="D824" s="21" t="n">
        <f aca="false">a26_abf</f>
        <v>34.305782</v>
      </c>
      <c r="E824" s="21" t="n">
        <f aca="false">$D823*cap_27*(1+g_mix)^1*E812*E813</f>
        <v>49.709078118</v>
      </c>
      <c r="F824" s="21" t="n">
        <f aca="false">$D823*cap_28*(1+g_mix)^2*F812*F813</f>
        <v>55.7829061005431</v>
      </c>
      <c r="G824" s="21" t="n">
        <f aca="false">$D823*cap_29*(1+g_mix)^3*G812*G813</f>
        <v>65.765110350114</v>
      </c>
      <c r="K824" s="7" t="s">
        <v>635</v>
      </c>
    </row>
    <row r="825" customFormat="false" ht="17.15" hidden="false" customHeight="false" outlineLevel="0" collapsed="false">
      <c r="A825" s="0" t="s">
        <v>636</v>
      </c>
      <c r="B825" s="0" t="s">
        <v>333</v>
      </c>
      <c r="D825" s="21" t="n">
        <f aca="false">a26_abf</f>
        <v>34.305782</v>
      </c>
      <c r="E825" s="21" t="n">
        <f aca="false">MIN(E823,E824)</f>
        <v>49.709078118</v>
      </c>
      <c r="F825" s="21" t="n">
        <f aca="false">MIN(F823,F824)</f>
        <v>55.7829061005431</v>
      </c>
      <c r="G825" s="21" t="n">
        <f aca="false">MIN(G823,G824)</f>
        <v>62.7422103741239</v>
      </c>
    </row>
    <row r="826" customFormat="false" ht="17.15" hidden="false" customHeight="false" outlineLevel="0" collapsed="false">
      <c r="A826" s="3" t="s">
        <v>637</v>
      </c>
      <c r="B826" s="0" t="s">
        <v>44</v>
      </c>
      <c r="D826" s="20" t="n">
        <f aca="false">D825/D823</f>
        <v>1</v>
      </c>
      <c r="E826" s="20" t="n">
        <f aca="false">E825/E823</f>
        <v>0.952550651332759</v>
      </c>
      <c r="F826" s="20" t="n">
        <f aca="false">F825/F823</f>
        <v>0.958636353489023</v>
      </c>
      <c r="G826" s="20" t="n">
        <f aca="false">G825/G823</f>
        <v>1</v>
      </c>
    </row>
    <row r="827" customFormat="false" ht="17.15" hidden="false" customHeight="false" outlineLevel="0" collapsed="false">
      <c r="A827" s="0" t="s">
        <v>638</v>
      </c>
      <c r="B827" s="0" t="s">
        <v>333</v>
      </c>
      <c r="D827" s="21" t="n">
        <f aca="false">(D818+D821)*D826</f>
        <v>22.2987583</v>
      </c>
      <c r="E827" s="21" t="n">
        <f aca="false">(E818+E821)*E826</f>
        <v>37.928660924617</v>
      </c>
      <c r="F827" s="21" t="n">
        <f aca="false">(F818+F821)*F826</f>
        <v>43.571555187083</v>
      </c>
      <c r="G827" s="21" t="n">
        <f aca="false">(G818+G821)*G826</f>
        <v>49.621811387494</v>
      </c>
    </row>
    <row r="828" customFormat="false" ht="17.15" hidden="false" customHeight="false" outlineLevel="0" collapsed="false">
      <c r="A828" s="3" t="s">
        <v>639</v>
      </c>
      <c r="B828" s="0" t="s">
        <v>44</v>
      </c>
      <c r="D828" s="20" t="n">
        <f aca="false">D818/(D818+D821)</f>
        <v>0.140894976776891</v>
      </c>
      <c r="E828" s="20" t="n">
        <f aca="false">E818/(E818+E821)</f>
        <v>0.226119517586731</v>
      </c>
      <c r="F828" s="20" t="n">
        <f aca="false">F818/(F818+F821)</f>
        <v>0.307150951728908</v>
      </c>
      <c r="G828" s="20" t="n">
        <f aca="false">G818/(G818+G821)</f>
        <v>0.358612723219583</v>
      </c>
    </row>
    <row r="829" customFormat="false" ht="17.15" hidden="false" customHeight="false" outlineLevel="0" collapsed="false">
      <c r="A829" s="5" t="s">
        <v>640</v>
      </c>
    </row>
    <row r="830" customFormat="false" ht="17.15" hidden="false" customHeight="false" outlineLevel="0" collapsed="false">
      <c r="A830" s="0" t="s">
        <v>641</v>
      </c>
      <c r="B830" s="0" t="s">
        <v>333</v>
      </c>
      <c r="D830" s="21" t="n">
        <f aca="false">a26_bt</f>
        <v>18.927328</v>
      </c>
      <c r="E830" s="21" t="n">
        <f aca="false">D830*(1+g_bt27_A)</f>
        <v>24.6055264</v>
      </c>
      <c r="F830" s="21" t="n">
        <f aca="false">E830*(1+g_bt28_A)</f>
        <v>27.06607904</v>
      </c>
      <c r="G830" s="21" t="n">
        <f aca="false">F830*(1+g_bt29_A)</f>
        <v>28.419382992</v>
      </c>
      <c r="K830" s="7" t="s">
        <v>642</v>
      </c>
    </row>
    <row r="831" customFormat="false" ht="17.15" hidden="false" customHeight="false" outlineLevel="0" collapsed="false">
      <c r="A831" s="0" t="s">
        <v>540</v>
      </c>
      <c r="B831" s="0" t="s">
        <v>333</v>
      </c>
      <c r="D831" s="21" t="n">
        <f aca="false">a26_pcb</f>
        <v>5.91479</v>
      </c>
      <c r="E831" s="21" t="n">
        <f aca="false">D831*(1+g_pcb)</f>
        <v>5.91479</v>
      </c>
      <c r="F831" s="21" t="n">
        <f aca="false">E831*(1+g_pcb)</f>
        <v>5.91479</v>
      </c>
      <c r="G831" s="21" t="n">
        <f aca="false">F831*(1+g_pcb)</f>
        <v>5.91479</v>
      </c>
    </row>
    <row r="832" customFormat="false" ht="17.15" hidden="false" customHeight="false" outlineLevel="0" collapsed="false">
      <c r="A832" s="3" t="s">
        <v>505</v>
      </c>
      <c r="B832" s="0" t="s">
        <v>333</v>
      </c>
      <c r="C832" s="23" t="n">
        <f aca="false">a25_rev</f>
        <v>40.173</v>
      </c>
      <c r="D832" s="23" t="n">
        <f aca="false">D825+D830+D831</f>
        <v>59.1479</v>
      </c>
      <c r="E832" s="23" t="n">
        <f aca="false">E825+E830+E831</f>
        <v>80.229394518</v>
      </c>
      <c r="F832" s="23" t="n">
        <f aca="false">F825+F830+F831</f>
        <v>88.7637751405431</v>
      </c>
      <c r="G832" s="23" t="n">
        <f aca="false">G825+G830+G831</f>
        <v>97.0763833661239</v>
      </c>
      <c r="H832" s="25" t="n">
        <f aca="false">G832*(1+H834)</f>
        <v>105.078626241508</v>
      </c>
      <c r="I832" s="25" t="n">
        <f aca="false">H832*(1+I834)</f>
        <v>112.561928658085</v>
      </c>
      <c r="J832" s="25" t="n">
        <f aca="false">I832*(1+J834)</f>
        <v>119.315644377571</v>
      </c>
      <c r="K832" s="7" t="s">
        <v>643</v>
      </c>
    </row>
    <row r="833" customFormat="false" ht="17.15" hidden="false" customHeight="false" outlineLevel="0" collapsed="false">
      <c r="A833" s="3" t="s">
        <v>644</v>
      </c>
      <c r="B833" s="0" t="s">
        <v>333</v>
      </c>
      <c r="D833" s="19" t="n">
        <f aca="false">D825+D830+D831-a26_rev</f>
        <v>0</v>
      </c>
      <c r="E833" s="19" t="n">
        <f aca="false">E825+E830+E831-E832</f>
        <v>0</v>
      </c>
      <c r="F833" s="19" t="n">
        <f aca="false">F825+F830+F831-F832</f>
        <v>0</v>
      </c>
      <c r="G833" s="19" t="n">
        <f aca="false">G825+G830+G831-G832</f>
        <v>0</v>
      </c>
    </row>
    <row r="834" customFormat="false" ht="15" hidden="false" customHeight="false" outlineLevel="0" collapsed="false">
      <c r="A834" s="3" t="s">
        <v>645</v>
      </c>
      <c r="B834" s="0" t="s">
        <v>44</v>
      </c>
      <c r="D834" s="20" t="n">
        <f aca="false">D832/C832-1</f>
        <v>0.472329674159261</v>
      </c>
      <c r="E834" s="20" t="n">
        <f aca="false">E832/D832-1</f>
        <v>0.35642</v>
      </c>
      <c r="F834" s="20" t="n">
        <f aca="false">F832/E832-1</f>
        <v>0.106374735517023</v>
      </c>
      <c r="G834" s="20" t="n">
        <f aca="false">G832/F832-1</f>
        <v>0.0936486557992731</v>
      </c>
      <c r="H834" s="26" t="n">
        <f aca="false">$G834+(fade_gA-$G834)*1/3</f>
        <v>0.0824324371995154</v>
      </c>
      <c r="I834" s="26" t="n">
        <f aca="false">$G834+(fade_gA-$G834)*2/3</f>
        <v>0.0712162185997577</v>
      </c>
      <c r="J834" s="26" t="n">
        <f aca="false">$G834+(fade_gA-$G834)*3/3</f>
        <v>0.06</v>
      </c>
    </row>
    <row r="835" customFormat="false" ht="17.15" hidden="false" customHeight="false" outlineLevel="0" collapsed="false">
      <c r="A835" s="0" t="s">
        <v>646</v>
      </c>
      <c r="B835" s="0" t="s">
        <v>44</v>
      </c>
      <c r="D835" s="20" t="n">
        <f aca="false">D825/D832</f>
        <v>0.58</v>
      </c>
      <c r="E835" s="20" t="n">
        <f aca="false">E825/E832</f>
        <v>0.619586853629407</v>
      </c>
      <c r="F835" s="20" t="n">
        <f aca="false">F825/F832</f>
        <v>0.62844224473576</v>
      </c>
      <c r="G835" s="20" t="n">
        <f aca="false">G825/G832</f>
        <v>0.646317963221718</v>
      </c>
    </row>
    <row r="836" customFormat="false" ht="17.15" hidden="false" customHeight="false" outlineLevel="0" collapsed="false">
      <c r="A836" s="0" t="s">
        <v>647</v>
      </c>
      <c r="B836" s="0" t="s">
        <v>44</v>
      </c>
      <c r="D836" s="20" t="n">
        <f aca="false">D827/D832</f>
        <v>0.377</v>
      </c>
      <c r="E836" s="20" t="n">
        <f aca="false">E827/E832</f>
        <v>0.472752675655648</v>
      </c>
      <c r="F836" s="20" t="n">
        <f aca="false">F827/F832</f>
        <v>0.490870911225829</v>
      </c>
      <c r="G836" s="20" t="n">
        <f aca="false">G827/G832</f>
        <v>0.511162547128947</v>
      </c>
      <c r="K836" s="3" t="s">
        <v>648</v>
      </c>
    </row>
    <row r="837" customFormat="false" ht="17.15" hidden="false" customHeight="false" outlineLevel="0" collapsed="false">
      <c r="A837" s="5" t="s">
        <v>649</v>
      </c>
    </row>
    <row r="838" customFormat="false" ht="15" hidden="false" customHeight="false" outlineLevel="0" collapsed="false">
      <c r="A838" s="3" t="s">
        <v>650</v>
      </c>
      <c r="B838" s="0" t="s">
        <v>333</v>
      </c>
      <c r="C838" s="23" t="n">
        <f aca="false">a25_cx</f>
        <v>2.422</v>
      </c>
      <c r="D838" s="23" t="n">
        <f aca="false">capex26</f>
        <v>4</v>
      </c>
      <c r="E838" s="23" t="n">
        <f aca="false">cx27</f>
        <v>14</v>
      </c>
      <c r="F838" s="23" t="n">
        <f aca="false">cx28</f>
        <v>18</v>
      </c>
      <c r="G838" s="23" t="n">
        <f aca="false">cx29</f>
        <v>12</v>
      </c>
      <c r="H838" s="25" t="n">
        <f aca="false">H832*H855</f>
        <v>12.4170974288216</v>
      </c>
      <c r="I838" s="25" t="n">
        <f aca="false">I832*I855</f>
        <v>12.6885621201751</v>
      </c>
      <c r="J838" s="25" t="n">
        <f aca="false">J832*J855</f>
        <v>12.800271771863</v>
      </c>
    </row>
    <row r="839" customFormat="false" ht="17.15" hidden="false" customHeight="false" outlineLevel="0" collapsed="false">
      <c r="A839" s="3" t="s">
        <v>651</v>
      </c>
      <c r="B839" s="0" t="s">
        <v>333</v>
      </c>
      <c r="C839" s="23" t="n">
        <f aca="false">a25_da</f>
        <v>6.894</v>
      </c>
      <c r="D839" s="23" t="n">
        <f aca="false">da26</f>
        <v>7.1</v>
      </c>
      <c r="E839" s="23" t="n">
        <f aca="false">D839*(1-1/life_hi)+D838/life_hi</f>
        <v>6.79</v>
      </c>
      <c r="F839" s="23" t="n">
        <f aca="false">E839*(1-1/life_hi)+E838/life_hi</f>
        <v>7.511</v>
      </c>
      <c r="G839" s="23" t="n">
        <f aca="false">F839*(1-1/life_hi)+F838/life_hi</f>
        <v>8.5599</v>
      </c>
      <c r="H839" s="25" t="n">
        <f aca="false">H832*H840</f>
        <v>9.26551341918413</v>
      </c>
      <c r="I839" s="25" t="n">
        <f aca="false">I832*I840</f>
        <v>9.92536824828374</v>
      </c>
      <c r="J839" s="25" t="n">
        <f aca="false">J832*J840</f>
        <v>10.5208903431808</v>
      </c>
      <c r="K839" s="3" t="s">
        <v>652</v>
      </c>
    </row>
    <row r="840" customFormat="false" ht="17.15" hidden="false" customHeight="false" outlineLevel="0" collapsed="false">
      <c r="A840" s="3" t="s">
        <v>653</v>
      </c>
      <c r="B840" s="0" t="s">
        <v>44</v>
      </c>
      <c r="C840" s="20" t="n">
        <f aca="false">C839/C832</f>
        <v>0.171607796281084</v>
      </c>
      <c r="D840" s="20" t="n">
        <f aca="false">D839/D832</f>
        <v>0.120038074048276</v>
      </c>
      <c r="E840" s="20" t="n">
        <f aca="false">E839/E832</f>
        <v>0.0846323226143333</v>
      </c>
      <c r="F840" s="20" t="n">
        <f aca="false">F839/F832</f>
        <v>0.0846178521374011</v>
      </c>
      <c r="G840" s="20" t="n">
        <f aca="false">G839/G832</f>
        <v>0.0881769561574653</v>
      </c>
      <c r="H840" s="26" t="n">
        <f aca="false">$G840</f>
        <v>0.0881769561574653</v>
      </c>
      <c r="I840" s="26" t="n">
        <f aca="false">$G840</f>
        <v>0.0881769561574653</v>
      </c>
      <c r="J840" s="26" t="n">
        <f aca="false">$G840</f>
        <v>0.0881769561574653</v>
      </c>
    </row>
    <row r="841" customFormat="false" ht="17.15" hidden="false" customHeight="false" outlineLevel="0" collapsed="false">
      <c r="A841" s="3" t="s">
        <v>654</v>
      </c>
      <c r="B841" s="0" t="s">
        <v>333</v>
      </c>
      <c r="E841" s="21" t="n">
        <f aca="false">E827*(1-1/(E812*E813))</f>
        <v>4.94721664234135</v>
      </c>
      <c r="F841" s="21" t="n">
        <f aca="false">F827*(1-1/(F812*F813))</f>
        <v>3.68912480989031</v>
      </c>
      <c r="G841" s="21" t="n">
        <f aca="false">G827*(1-1/(G812*G813))</f>
        <v>1.67803226914231</v>
      </c>
      <c r="K841" s="7" t="s">
        <v>655</v>
      </c>
    </row>
    <row r="842" customFormat="false" ht="17.15" hidden="false" customHeight="false" outlineLevel="0" collapsed="false">
      <c r="A842" s="3" t="s">
        <v>656</v>
      </c>
      <c r="B842" s="0" t="s">
        <v>333</v>
      </c>
      <c r="C842" s="21" t="n">
        <f aca="false">a25_gp</f>
        <v>3.647</v>
      </c>
      <c r="D842" s="21" t="n">
        <f aca="false">a26_gp</f>
        <v>15.9001925</v>
      </c>
      <c r="E842" s="21" t="n">
        <f aca="false">$D842+ft_abf*(E825-E841-$D825)+ft_oth*((E832-E825)-($D832-$D825))+E841-(E839-$D839)</f>
        <v>28.6567282401707</v>
      </c>
      <c r="F842" s="21" t="n">
        <f aca="false">$D842+ft_abf*(F825-F841-$D825)+ft_oth*((F832-F825)-($D832-$D825))+F841-(F839-$D839)</f>
        <v>31.3278173712167</v>
      </c>
      <c r="G842" s="21" t="n">
        <f aca="false">$D842+ft_abf*(G825-G841-$D825)+ft_oth*((G832-G825)-($D832-$D825))+G841-(G839-$D839)</f>
        <v>33.2943448184331</v>
      </c>
      <c r="K842" s="3" t="s">
        <v>657</v>
      </c>
    </row>
    <row r="843" customFormat="false" ht="15" hidden="false" customHeight="false" outlineLevel="0" collapsed="false">
      <c r="A843" s="3" t="s">
        <v>512</v>
      </c>
      <c r="B843" s="0" t="s">
        <v>44</v>
      </c>
      <c r="C843" s="16" t="n">
        <f aca="false">C842/C832</f>
        <v>0.0907823662659</v>
      </c>
      <c r="D843" s="16" t="n">
        <f aca="false">D842/D832</f>
        <v>0.268820913337583</v>
      </c>
      <c r="E843" s="16" t="n">
        <f aca="false">E842/E832</f>
        <v>0.357184899778115</v>
      </c>
      <c r="F843" s="16" t="n">
        <f aca="false">F842/F832</f>
        <v>0.352934711503811</v>
      </c>
      <c r="G843" s="16" t="n">
        <f aca="false">G842/G832</f>
        <v>0.342970593505357</v>
      </c>
    </row>
    <row r="844" customFormat="false" ht="15" hidden="false" customHeight="false" outlineLevel="0" collapsed="false">
      <c r="A844" s="3" t="s">
        <v>514</v>
      </c>
      <c r="B844" s="0" t="s">
        <v>333</v>
      </c>
      <c r="C844" s="21" t="n">
        <f aca="false">a25_opx</f>
        <v>1.665</v>
      </c>
      <c r="D844" s="21" t="n">
        <f aca="false">a26_opx</f>
        <v>1.9</v>
      </c>
      <c r="E844" s="21" t="n">
        <f aca="false">D844*(1+phi*E834)</f>
        <v>2.3063188</v>
      </c>
      <c r="F844" s="21" t="n">
        <f aca="false">E844*(1+phi*F834)</f>
        <v>2.45351923142076</v>
      </c>
      <c r="G844" s="21" t="n">
        <f aca="false">F844*(1+phi*G834)</f>
        <v>2.59138049822089</v>
      </c>
    </row>
    <row r="845" customFormat="false" ht="15" hidden="false" customHeight="false" outlineLevel="0" collapsed="false">
      <c r="A845" s="3" t="s">
        <v>517</v>
      </c>
      <c r="B845" s="0" t="s">
        <v>333</v>
      </c>
      <c r="C845" s="21" t="n">
        <f aca="false">C842-C844</f>
        <v>1.982</v>
      </c>
      <c r="D845" s="21" t="n">
        <f aca="false">D842-D844</f>
        <v>14.0001925</v>
      </c>
      <c r="E845" s="21" t="n">
        <f aca="false">E842-E844</f>
        <v>26.3504094401707</v>
      </c>
      <c r="F845" s="21" t="n">
        <f aca="false">F842-F844</f>
        <v>28.874298139796</v>
      </c>
      <c r="G845" s="21" t="n">
        <f aca="false">G842-G844</f>
        <v>30.7029643202122</v>
      </c>
    </row>
    <row r="846" customFormat="false" ht="15" hidden="false" customHeight="false" outlineLevel="0" collapsed="false">
      <c r="A846" s="3" t="s">
        <v>598</v>
      </c>
      <c r="B846" s="0" t="s">
        <v>44</v>
      </c>
      <c r="C846" s="16" t="n">
        <f aca="false">C845/C832</f>
        <v>0.0493366191222961</v>
      </c>
      <c r="D846" s="16" t="n">
        <f aca="false">D845/D832</f>
        <v>0.236698048451424</v>
      </c>
      <c r="E846" s="16" t="n">
        <f aca="false">E845/E832</f>
        <v>0.328438343558218</v>
      </c>
      <c r="F846" s="16" t="n">
        <f aca="false">F845/F832</f>
        <v>0.325293714627146</v>
      </c>
      <c r="G846" s="16" t="n">
        <f aca="false">G845/G832</f>
        <v>0.316276351215268</v>
      </c>
    </row>
    <row r="847" customFormat="false" ht="15" hidden="false" customHeight="false" outlineLevel="0" collapsed="false">
      <c r="A847" s="3" t="s">
        <v>520</v>
      </c>
      <c r="B847" s="0" t="s">
        <v>333</v>
      </c>
      <c r="C847" s="21" t="n">
        <f aca="false">a25_nonop</f>
        <v>0.364</v>
      </c>
      <c r="D847" s="21" t="n">
        <f aca="false">a26_nonop</f>
        <v>0.623</v>
      </c>
      <c r="E847" s="21" t="n">
        <f aca="false">nonop27</f>
        <v>0.6</v>
      </c>
      <c r="F847" s="21" t="n">
        <f aca="false">nonop28</f>
        <v>0.6</v>
      </c>
      <c r="G847" s="21" t="n">
        <f aca="false">nonop29</f>
        <v>0.6</v>
      </c>
    </row>
    <row r="848" customFormat="false" ht="15" hidden="false" customHeight="false" outlineLevel="0" collapsed="false">
      <c r="A848" s="3" t="s">
        <v>522</v>
      </c>
      <c r="B848" s="0" t="s">
        <v>333</v>
      </c>
      <c r="C848" s="21" t="n">
        <f aca="false">C845+C847</f>
        <v>2.346</v>
      </c>
      <c r="D848" s="21" t="n">
        <f aca="false">D845+D847</f>
        <v>14.6231925</v>
      </c>
      <c r="E848" s="21" t="n">
        <f aca="false">E845+E847</f>
        <v>26.9504094401707</v>
      </c>
      <c r="F848" s="21" t="n">
        <f aca="false">F845+F847</f>
        <v>29.474298139796</v>
      </c>
      <c r="G848" s="21" t="n">
        <f aca="false">G845+G847</f>
        <v>31.3029643202122</v>
      </c>
    </row>
    <row r="849" customFormat="false" ht="15" hidden="false" customHeight="false" outlineLevel="0" collapsed="false">
      <c r="A849" s="3" t="s">
        <v>525</v>
      </c>
      <c r="B849" s="0" t="s">
        <v>333</v>
      </c>
      <c r="E849" s="21" t="n">
        <f aca="false">E848*tax</f>
        <v>5.65958598243584</v>
      </c>
      <c r="F849" s="21" t="n">
        <f aca="false">F848*tax</f>
        <v>6.18960260935715</v>
      </c>
      <c r="G849" s="21" t="n">
        <f aca="false">G848*tax</f>
        <v>6.57362250724457</v>
      </c>
    </row>
    <row r="850" customFormat="false" ht="15" hidden="false" customHeight="false" outlineLevel="0" collapsed="false">
      <c r="A850" s="3" t="s">
        <v>523</v>
      </c>
      <c r="B850" s="0" t="s">
        <v>333</v>
      </c>
      <c r="C850" s="21" t="n">
        <f aca="false">a25_ni</f>
        <v>1.947</v>
      </c>
      <c r="D850" s="21" t="n">
        <f aca="false">a26_ni</f>
        <v>11.509862075</v>
      </c>
      <c r="E850" s="21" t="n">
        <f aca="false">E848-E849</f>
        <v>21.2908234577348</v>
      </c>
      <c r="F850" s="21" t="n">
        <f aca="false">F848-F849</f>
        <v>23.2846955304388</v>
      </c>
      <c r="G850" s="21" t="n">
        <f aca="false">G848-G849</f>
        <v>24.7293418129677</v>
      </c>
      <c r="H850" s="30" t="n">
        <f aca="false">H832*H854</f>
        <v>26.6650538826996</v>
      </c>
      <c r="I850" s="30" t="n">
        <f aca="false">I832*I854</f>
        <v>28.4539301810055</v>
      </c>
      <c r="J850" s="30" t="n">
        <f aca="false">J832*J854</f>
        <v>30.0444515034082</v>
      </c>
    </row>
    <row r="851" customFormat="false" ht="15" hidden="false" customHeight="false" outlineLevel="0" collapsed="false">
      <c r="A851" s="3" t="s">
        <v>658</v>
      </c>
      <c r="B851" s="3" t="s">
        <v>400</v>
      </c>
      <c r="C851" s="29" t="n">
        <f aca="false">a25_sh</f>
        <v>0.646843853820598</v>
      </c>
      <c r="D851" s="29" t="n">
        <f aca="false">a26_sh</f>
        <v>0.645863325123153</v>
      </c>
      <c r="E851" s="29" t="n">
        <f aca="false">a26_shend*(1+sh_g)</f>
        <v>0.64617</v>
      </c>
      <c r="F851" s="29" t="n">
        <f aca="false">E851*(1+sh_g)</f>
        <v>0.64617</v>
      </c>
      <c r="G851" s="29" t="n">
        <f aca="false">F851*(1+sh_g)</f>
        <v>0.64617</v>
      </c>
      <c r="H851" s="31" t="n">
        <f aca="false">G851*(1+sh_g)</f>
        <v>0.64617</v>
      </c>
      <c r="I851" s="31" t="n">
        <f aca="false">H851*(1+sh_g)</f>
        <v>0.64617</v>
      </c>
      <c r="J851" s="31" t="n">
        <f aca="false">I851*(1+sh_g)</f>
        <v>0.64617</v>
      </c>
    </row>
    <row r="852" customFormat="false" ht="17.15" hidden="false" customHeight="false" outlineLevel="0" collapsed="false">
      <c r="A852" s="0" t="s">
        <v>528</v>
      </c>
      <c r="B852" s="0" t="s">
        <v>406</v>
      </c>
      <c r="C852" s="18" t="n">
        <f aca="false">C850/C851</f>
        <v>3.01</v>
      </c>
      <c r="D852" s="18" t="n">
        <f aca="false">D850/D851</f>
        <v>17.820894339844</v>
      </c>
      <c r="E852" s="18" t="n">
        <f aca="false">E850/E851</f>
        <v>32.9492601911801</v>
      </c>
      <c r="F852" s="18" t="n">
        <f aca="false">F850/F851</f>
        <v>36.034937447481</v>
      </c>
      <c r="G852" s="18" t="n">
        <f aca="false">G850/G851</f>
        <v>38.2706436587394</v>
      </c>
      <c r="H852" s="28" t="n">
        <f aca="false">H850/H851</f>
        <v>41.2663136368133</v>
      </c>
      <c r="I852" s="28" t="n">
        <f aca="false">I850/I851</f>
        <v>44.0347434591601</v>
      </c>
      <c r="J852" s="28" t="n">
        <f aca="false">J850/J851</f>
        <v>46.4962030168659</v>
      </c>
    </row>
    <row r="853" customFormat="false" ht="17.15" hidden="false" customHeight="false" outlineLevel="0" collapsed="false">
      <c r="A853" s="0" t="s">
        <v>659</v>
      </c>
      <c r="B853" s="0" t="s">
        <v>44</v>
      </c>
      <c r="D853" s="20" t="n">
        <f aca="false">D852/C852-1</f>
        <v>4.92056290360265</v>
      </c>
      <c r="E853" s="20" t="n">
        <f aca="false">E852/D852-1</f>
        <v>0.848911707955761</v>
      </c>
      <c r="F853" s="20" t="n">
        <f aca="false">F852/E852-1</f>
        <v>0.0936493638520879</v>
      </c>
      <c r="G853" s="20" t="n">
        <f aca="false">G852/F852-1</f>
        <v>0.0620427387869573</v>
      </c>
      <c r="H853" s="26" t="n">
        <f aca="false">H852/G852-1</f>
        <v>0.0782759235717678</v>
      </c>
      <c r="I853" s="26" t="n">
        <f aca="false">I852/H852-1</f>
        <v>0.0670869185629681</v>
      </c>
      <c r="J853" s="26" t="n">
        <f aca="false">J852/I852-1</f>
        <v>0.0558981241707179</v>
      </c>
    </row>
    <row r="854" customFormat="false" ht="17.15" hidden="false" customHeight="false" outlineLevel="0" collapsed="false">
      <c r="A854" s="3" t="s">
        <v>660</v>
      </c>
      <c r="B854" s="0" t="s">
        <v>44</v>
      </c>
      <c r="C854" s="16" t="n">
        <f aca="false">C850/C832</f>
        <v>0.0484653872003585</v>
      </c>
      <c r="D854" s="16" t="n">
        <f aca="false">D850/D832</f>
        <v>0.194594602259759</v>
      </c>
      <c r="E854" s="16" t="n">
        <f aca="false">E850/E832</f>
        <v>0.265374350456529</v>
      </c>
      <c r="F854" s="16" t="n">
        <f aca="false">F850/F832</f>
        <v>0.262322050786723</v>
      </c>
      <c r="G854" s="16" t="n">
        <f aca="false">G850/G832</f>
        <v>0.254741070438325</v>
      </c>
      <c r="H854" s="27" t="n">
        <f aca="false">$G854+(fade_mA-$G854)*1/3</f>
        <v>0.253762871065842</v>
      </c>
      <c r="I854" s="27" t="n">
        <f aca="false">$G854+(fade_mA-$G854)*2/3</f>
        <v>0.252784671693359</v>
      </c>
      <c r="J854" s="27" t="n">
        <f aca="false">$G854+(fade_mA-$G854)*3/3</f>
        <v>0.251806472320876</v>
      </c>
    </row>
    <row r="855" customFormat="false" ht="17.15" hidden="false" customHeight="false" outlineLevel="0" collapsed="false">
      <c r="A855" s="3" t="s">
        <v>661</v>
      </c>
      <c r="B855" s="0" t="s">
        <v>44</v>
      </c>
      <c r="C855" s="20" t="n">
        <f aca="false">C838/C832</f>
        <v>0.0602892489980833</v>
      </c>
      <c r="D855" s="20" t="n">
        <f aca="false">D838/D832</f>
        <v>0.0676270839708595</v>
      </c>
      <c r="E855" s="20" t="n">
        <f aca="false">E838/E832</f>
        <v>0.174499634256357</v>
      </c>
      <c r="F855" s="20" t="n">
        <f aca="false">F838/F832</f>
        <v>0.202785426504223</v>
      </c>
      <c r="G855" s="20" t="n">
        <f aca="false">G838/G832</f>
        <v>0.123613999449711</v>
      </c>
      <c r="H855" s="26" t="n">
        <f aca="false">$G855+($G840*(1+tp_g)^(life_hi/2)-$G855)*1/3</f>
        <v>0.1181695828444</v>
      </c>
      <c r="I855" s="26" t="n">
        <f aca="false">$G855+($G840*(1+tp_g)^(life_hi/2)-$G855)*2/3</f>
        <v>0.112725166239089</v>
      </c>
      <c r="J855" s="26" t="n">
        <f aca="false">$G855+($G840*(1+tp_g)^(life_hi/2)-$G855)*3/3</f>
        <v>0.107280749633778</v>
      </c>
      <c r="K855" s="7" t="s">
        <v>662</v>
      </c>
    </row>
    <row r="856" customFormat="false" ht="15" hidden="false" customHeight="false" outlineLevel="0" collapsed="false">
      <c r="A856" s="3" t="s">
        <v>663</v>
      </c>
      <c r="B856" s="0" t="s">
        <v>333</v>
      </c>
      <c r="E856" s="21" t="n">
        <f aca="false">E850+E839-E838</f>
        <v>14.0808234577348</v>
      </c>
      <c r="F856" s="21" t="n">
        <f aca="false">F850+F839-F838</f>
        <v>12.7956955304388</v>
      </c>
      <c r="G856" s="21" t="n">
        <f aca="false">G850+G839-G838</f>
        <v>21.2892418129677</v>
      </c>
      <c r="H856" s="30" t="n">
        <f aca="false">H850+H839-H838</f>
        <v>23.5134698730621</v>
      </c>
      <c r="I856" s="30" t="n">
        <f aca="false">I850+I839-I838</f>
        <v>25.6907363091141</v>
      </c>
      <c r="J856" s="30" t="n">
        <f aca="false">J850+J839-J838</f>
        <v>27.765070074726</v>
      </c>
      <c r="K856" s="3" t="s">
        <v>664</v>
      </c>
    </row>
    <row r="857" customFormat="false" ht="15" hidden="false" customHeight="false" outlineLevel="0" collapsed="false">
      <c r="A857" s="3" t="s">
        <v>665</v>
      </c>
      <c r="B857" s="0" t="s">
        <v>406</v>
      </c>
      <c r="E857" s="18" t="n">
        <f aca="false">E856/E851</f>
        <v>21.7912058092063</v>
      </c>
      <c r="F857" s="18" t="n">
        <f aca="false">F856/F851</f>
        <v>19.8023670712642</v>
      </c>
      <c r="G857" s="18" t="n">
        <f aca="false">G856/G851</f>
        <v>32.9468124688049</v>
      </c>
      <c r="H857" s="28" t="n">
        <f aca="false">H856/H851</f>
        <v>36.3889841265644</v>
      </c>
      <c r="I857" s="28" t="n">
        <f aca="false">I856/I851</f>
        <v>39.7584788973708</v>
      </c>
      <c r="J857" s="28" t="n">
        <f aca="false">J856/J851</f>
        <v>42.9686770891964</v>
      </c>
    </row>
    <row r="860" customFormat="false" ht="17.15" hidden="false" customHeight="false" outlineLevel="0" collapsed="false">
      <c r="A860" s="1" t="s">
        <v>1022</v>
      </c>
    </row>
    <row r="861" customFormat="false" ht="17.15" hidden="false" customHeight="false" outlineLevel="0" collapsed="false">
      <c r="A861" s="4" t="s">
        <v>21</v>
      </c>
      <c r="B861" s="4" t="s">
        <v>22</v>
      </c>
      <c r="C861" s="13" t="s">
        <v>498</v>
      </c>
      <c r="D861" s="13" t="s">
        <v>585</v>
      </c>
      <c r="E861" s="13" t="s">
        <v>586</v>
      </c>
      <c r="F861" s="13" t="s">
        <v>587</v>
      </c>
      <c r="G861" s="13" t="s">
        <v>588</v>
      </c>
      <c r="H861" s="13" t="s">
        <v>589</v>
      </c>
      <c r="I861" s="13" t="s">
        <v>590</v>
      </c>
      <c r="J861" s="13" t="s">
        <v>591</v>
      </c>
      <c r="K861" s="4" t="s">
        <v>553</v>
      </c>
    </row>
    <row r="862" customFormat="false" ht="17.15" hidden="false" customHeight="false" outlineLevel="0" collapsed="false">
      <c r="A862" s="5" t="s">
        <v>609</v>
      </c>
    </row>
    <row r="863" customFormat="false" ht="17.15" hidden="false" customHeight="false" outlineLevel="0" collapsed="false">
      <c r="A863" s="0" t="s">
        <v>610</v>
      </c>
      <c r="B863" s="3" t="s">
        <v>32</v>
      </c>
      <c r="D863" s="21" t="n">
        <f aca="false">(u_bw_26+u_rb_26+u_ru_26+u_hp_26)*1</f>
        <v>7.6</v>
      </c>
      <c r="E863" s="21" t="n">
        <f aca="false">(u_bw_27+u_rb_27+u_ru_27+u_hp_27)*1*1</f>
        <v>9.7</v>
      </c>
      <c r="F863" s="21" t="n">
        <f aca="false">(u_bw_28+u_rb_28+u_ru_28+u_hp_28)*um28_A*1</f>
        <v>9.5</v>
      </c>
      <c r="G863" s="21" t="n">
        <f aca="false">(u_bw_28*(1+g29_bw)+u_rb_28*(1+g29_rb)+u_ru_28*(1+g29_ru)+u_hp_28*(1+g29_hp))*um29_A*1</f>
        <v>10.6</v>
      </c>
      <c r="K863" s="7" t="s">
        <v>611</v>
      </c>
    </row>
    <row r="864" customFormat="false" ht="17.15" hidden="false" customHeight="false" outlineLevel="0" collapsed="false">
      <c r="A864" s="3" t="s">
        <v>612</v>
      </c>
      <c r="B864" s="3" t="s">
        <v>32</v>
      </c>
      <c r="D864" s="21" t="n">
        <f aca="false">(u_amd_26+u_tpu_26+u_trn_26+u_oth_26)*1</f>
        <v>7.6</v>
      </c>
      <c r="E864" s="21" t="n">
        <f aca="false">(u_amd_27+u_tpu_27+u_trn_27+u_oth_27)*1*1</f>
        <v>14</v>
      </c>
      <c r="F864" s="21" t="n">
        <f aca="false">(u_amd_28+u_tpu_28+u_trn_28+u_oth_28)*um28_A*1</f>
        <v>17</v>
      </c>
      <c r="G864" s="21" t="n">
        <f aca="false">(u_amd_28*(1+g29_amd)+u_tpu_28*(1+g29_tpu)+u_trn_28*(1+g29_trn)+u_oth_28*(1+g29_oth))*um29_A*1</f>
        <v>19.55</v>
      </c>
      <c r="K864" s="7" t="s">
        <v>613</v>
      </c>
    </row>
    <row r="865" customFormat="false" ht="17.15" hidden="false" customHeight="false" outlineLevel="0" collapsed="false">
      <c r="A865" s="3" t="s">
        <v>614</v>
      </c>
      <c r="B865" s="0" t="s">
        <v>154</v>
      </c>
      <c r="D865" s="19" t="n">
        <f aca="false">1</f>
        <v>1</v>
      </c>
      <c r="E865" s="19" t="n">
        <f aca="false">D865*(1+g_asp)</f>
        <v>1.18</v>
      </c>
      <c r="F865" s="19" t="n">
        <f aca="false">E865*(1+g_asp)</f>
        <v>1.3924</v>
      </c>
      <c r="G865" s="19" t="n">
        <f aca="false">F865*(1+g_asp)</f>
        <v>1.643032</v>
      </c>
      <c r="K865" s="7" t="s">
        <v>615</v>
      </c>
    </row>
    <row r="866" customFormat="false" ht="17.15" hidden="false" customHeight="false" outlineLevel="0" collapsed="false">
      <c r="A866" s="0" t="s">
        <v>616</v>
      </c>
      <c r="B866" s="0" t="s">
        <v>154</v>
      </c>
      <c r="D866" s="18" t="n">
        <f aca="false">1</f>
        <v>1</v>
      </c>
      <c r="E866" s="18" t="n">
        <f aca="false">ibpp_27</f>
        <v>1</v>
      </c>
      <c r="F866" s="18" t="n">
        <f aca="false">ibpp_28</f>
        <v>0.95</v>
      </c>
      <c r="G866" s="18" t="n">
        <f aca="false">ibpp_29</f>
        <v>0.9</v>
      </c>
      <c r="K866" s="7" t="s">
        <v>617</v>
      </c>
    </row>
    <row r="867" customFormat="false" ht="17.15" hidden="false" customHeight="false" outlineLevel="0" collapsed="false">
      <c r="A867" s="3" t="s">
        <v>618</v>
      </c>
      <c r="B867" s="0" t="s">
        <v>154</v>
      </c>
      <c r="D867" s="18" t="n">
        <f aca="false">1</f>
        <v>1</v>
      </c>
      <c r="E867" s="18" t="n">
        <f aca="false">1+carry</f>
        <v>1.15</v>
      </c>
      <c r="F867" s="18" t="n">
        <f aca="false">1+carry</f>
        <v>1.15</v>
      </c>
      <c r="G867" s="18" t="n">
        <f aca="false">1+carry</f>
        <v>1.15</v>
      </c>
      <c r="K867" s="7" t="s">
        <v>619</v>
      </c>
    </row>
    <row r="868" customFormat="false" ht="17.15" hidden="false" customHeight="false" outlineLevel="0" collapsed="false">
      <c r="A868" s="3" t="s">
        <v>620</v>
      </c>
      <c r="B868" s="0" t="s">
        <v>621</v>
      </c>
      <c r="D868" s="23" t="n">
        <f aca="false">v26*D865*D866</f>
        <v>215.308596</v>
      </c>
      <c r="E868" s="23" t="n">
        <f aca="false">v26*E865*E866</f>
        <v>254.06414328</v>
      </c>
      <c r="F868" s="23" t="n">
        <f aca="false">v26*F865*F866</f>
        <v>284.80590461688</v>
      </c>
      <c r="G868" s="23" t="n">
        <f aca="false">v26*G865*G866</f>
        <v>318.383021792765</v>
      </c>
      <c r="K868" s="7" t="s">
        <v>622</v>
      </c>
    </row>
    <row r="869" customFormat="false" ht="17.15" hidden="false" customHeight="false" outlineLevel="0" collapsed="false">
      <c r="A869" s="3" t="s">
        <v>623</v>
      </c>
      <c r="B869" s="0" t="s">
        <v>44</v>
      </c>
      <c r="D869" s="20" t="n">
        <f aca="false">sh_nv_26</f>
        <v>0.02</v>
      </c>
      <c r="E869" s="20" t="n">
        <f aca="false">sh_nv_27</f>
        <v>0.03</v>
      </c>
      <c r="F869" s="20" t="n">
        <f aca="false">sh_nv_28</f>
        <v>0.04</v>
      </c>
      <c r="G869" s="20" t="n">
        <f aca="false">sh_nv_29</f>
        <v>0.04</v>
      </c>
    </row>
    <row r="870" customFormat="false" ht="17.15" hidden="false" customHeight="false" outlineLevel="0" collapsed="false">
      <c r="A870" s="3" t="s">
        <v>624</v>
      </c>
      <c r="B870" s="0" t="s">
        <v>44</v>
      </c>
      <c r="D870" s="20" t="n">
        <f aca="false">sh_ot_26</f>
        <v>0.05</v>
      </c>
      <c r="E870" s="20" t="n">
        <f aca="false">sh_ot_27</f>
        <v>0.06</v>
      </c>
      <c r="F870" s="20" t="n">
        <f aca="false">sh_ot_28</f>
        <v>0.07</v>
      </c>
      <c r="G870" s="20" t="n">
        <f aca="false">sh_ot_29</f>
        <v>0.07</v>
      </c>
    </row>
    <row r="871" customFormat="false" ht="17.15" hidden="false" customHeight="false" outlineLevel="0" collapsed="false">
      <c r="A871" s="3" t="s">
        <v>625</v>
      </c>
      <c r="B871" s="0" t="s">
        <v>575</v>
      </c>
      <c r="D871" s="22" t="n">
        <f aca="false">(D863*D868*D869+D864*D868*v_ot*D870)*D867</f>
        <v>98.180719776</v>
      </c>
      <c r="E871" s="22" t="n">
        <f aca="false">(E863*E868*E869+E864*E868*v_ot*E870)*E867</f>
        <v>281.363335475436</v>
      </c>
      <c r="F871" s="22" t="n">
        <f aca="false">(F863*F868*F869+F864*F868*v_ot*F870)*F867</f>
        <v>436.265684692137</v>
      </c>
      <c r="G871" s="22" t="n">
        <f aca="false">(G863*G868*G869+G864*G868*v_ot*G870)*G867</f>
        <v>556.094153523679</v>
      </c>
    </row>
    <row r="872" customFormat="false" ht="15" hidden="false" customHeight="false" outlineLevel="0" collapsed="false">
      <c r="A872" s="3" t="s">
        <v>626</v>
      </c>
      <c r="B872" s="0" t="s">
        <v>333</v>
      </c>
      <c r="D872" s="21" t="n">
        <f aca="false">D871*fx/1000</f>
        <v>3.141783032832</v>
      </c>
      <c r="E872" s="21" t="n">
        <f aca="false">E871*fx/1000</f>
        <v>9.00362673521395</v>
      </c>
      <c r="F872" s="21" t="n">
        <f aca="false">F871*fx/1000</f>
        <v>13.9605019101484</v>
      </c>
      <c r="G872" s="21" t="n">
        <f aca="false">G871*fx/1000</f>
        <v>17.7950129127577</v>
      </c>
    </row>
    <row r="873" customFormat="false" ht="17.15" hidden="false" customHeight="false" outlineLevel="0" collapsed="false">
      <c r="A873" s="5" t="s">
        <v>627</v>
      </c>
    </row>
    <row r="874" customFormat="false" ht="17.15" hidden="false" customHeight="false" outlineLevel="0" collapsed="false">
      <c r="A874" s="0" t="s">
        <v>628</v>
      </c>
      <c r="B874" s="0" t="s">
        <v>333</v>
      </c>
      <c r="D874" s="21" t="n">
        <f aca="false">a26_abf*ai_abf</f>
        <v>22.2987583</v>
      </c>
      <c r="K874" s="3" t="s">
        <v>629</v>
      </c>
    </row>
    <row r="875" customFormat="false" ht="17.15" hidden="false" customHeight="false" outlineLevel="0" collapsed="false">
      <c r="A875" s="3" t="s">
        <v>630</v>
      </c>
      <c r="B875" s="0" t="s">
        <v>333</v>
      </c>
      <c r="D875" s="21" t="n">
        <f aca="false">D874-D872</f>
        <v>19.156975267168</v>
      </c>
      <c r="E875" s="21" t="n">
        <f aca="false">$D875*(swm_27/swm_26)^el_o*1*1*E866*E867</f>
        <v>30.814372309298</v>
      </c>
      <c r="F875" s="21" t="n">
        <f aca="false">$D875*(swm_28/swm_26)^el_o*um28_A*1*F866*F867</f>
        <v>31.4910971539819</v>
      </c>
      <c r="G875" s="21" t="n">
        <f aca="false">$D875*(swm_29/swm_26)^el_o*um29_A*1*G866*G867</f>
        <v>31.8267984747363</v>
      </c>
      <c r="K875" s="7" t="s">
        <v>631</v>
      </c>
    </row>
    <row r="876" customFormat="false" ht="17.15" hidden="false" customHeight="false" outlineLevel="0" collapsed="false">
      <c r="A876" s="3" t="s">
        <v>632</v>
      </c>
      <c r="B876" s="0" t="s">
        <v>333</v>
      </c>
      <c r="D876" s="21" t="n">
        <f aca="false">a26_abf-D874</f>
        <v>12.0070237</v>
      </c>
      <c r="E876" s="21" t="n">
        <f aca="false">D876*(1+g_nai)</f>
        <v>12.367234411</v>
      </c>
      <c r="F876" s="21" t="n">
        <f aca="false">E876*(1+g_nai)</f>
        <v>12.73825144333</v>
      </c>
      <c r="G876" s="21" t="n">
        <f aca="false">F876*(1+g_nai)</f>
        <v>13.1203989866299</v>
      </c>
    </row>
    <row r="877" customFormat="false" ht="17.15" hidden="false" customHeight="false" outlineLevel="0" collapsed="false">
      <c r="A877" s="0" t="s">
        <v>633</v>
      </c>
      <c r="B877" s="0" t="s">
        <v>333</v>
      </c>
      <c r="D877" s="21" t="n">
        <f aca="false">D872+D875+D876</f>
        <v>34.305782</v>
      </c>
      <c r="E877" s="21" t="n">
        <f aca="false">E872+E875+E876</f>
        <v>52.185233455512</v>
      </c>
      <c r="F877" s="21" t="n">
        <f aca="false">F872+F875+F876</f>
        <v>58.1898505074603</v>
      </c>
      <c r="G877" s="21" t="n">
        <f aca="false">G872+G875+G876</f>
        <v>62.7422103741239</v>
      </c>
    </row>
    <row r="878" customFormat="false" ht="17.15" hidden="false" customHeight="false" outlineLevel="0" collapsed="false">
      <c r="A878" s="0" t="s">
        <v>634</v>
      </c>
      <c r="B878" s="0" t="s">
        <v>333</v>
      </c>
      <c r="D878" s="21" t="n">
        <f aca="false">a26_abf</f>
        <v>34.305782</v>
      </c>
      <c r="E878" s="21" t="n">
        <f aca="false">$D877*cap_27*(1+g_mix)^1*E866*E867</f>
        <v>49.709078118</v>
      </c>
      <c r="F878" s="21" t="n">
        <f aca="false">$D877*cap_28*(1+g_mix)^2*F866*F867</f>
        <v>55.7829061005431</v>
      </c>
      <c r="G878" s="21" t="n">
        <f aca="false">$D877*cap_29*(1+g_mix)^3*G866*G867</f>
        <v>65.765110350114</v>
      </c>
      <c r="K878" s="7" t="s">
        <v>635</v>
      </c>
    </row>
    <row r="879" customFormat="false" ht="17.15" hidden="false" customHeight="false" outlineLevel="0" collapsed="false">
      <c r="A879" s="0" t="s">
        <v>636</v>
      </c>
      <c r="B879" s="0" t="s">
        <v>333</v>
      </c>
      <c r="D879" s="21" t="n">
        <f aca="false">a26_abf</f>
        <v>34.305782</v>
      </c>
      <c r="E879" s="21" t="n">
        <f aca="false">MIN(E877,E878)</f>
        <v>49.709078118</v>
      </c>
      <c r="F879" s="21" t="n">
        <f aca="false">MIN(F877,F878)</f>
        <v>55.7829061005431</v>
      </c>
      <c r="G879" s="21" t="n">
        <f aca="false">MIN(G877,G878)</f>
        <v>62.7422103741239</v>
      </c>
    </row>
    <row r="880" customFormat="false" ht="17.15" hidden="false" customHeight="false" outlineLevel="0" collapsed="false">
      <c r="A880" s="3" t="s">
        <v>637</v>
      </c>
      <c r="B880" s="0" t="s">
        <v>44</v>
      </c>
      <c r="D880" s="20" t="n">
        <f aca="false">D879/D877</f>
        <v>1</v>
      </c>
      <c r="E880" s="20" t="n">
        <f aca="false">E879/E877</f>
        <v>0.952550651332759</v>
      </c>
      <c r="F880" s="20" t="n">
        <f aca="false">F879/F877</f>
        <v>0.958636353489023</v>
      </c>
      <c r="G880" s="20" t="n">
        <f aca="false">G879/G877</f>
        <v>1</v>
      </c>
    </row>
    <row r="881" customFormat="false" ht="17.15" hidden="false" customHeight="false" outlineLevel="0" collapsed="false">
      <c r="A881" s="0" t="s">
        <v>638</v>
      </c>
      <c r="B881" s="0" t="s">
        <v>333</v>
      </c>
      <c r="D881" s="21" t="n">
        <f aca="false">(D872+D875)*D880</f>
        <v>22.2987583</v>
      </c>
      <c r="E881" s="21" t="n">
        <f aca="false">(E872+E875)*E880</f>
        <v>37.928660924617</v>
      </c>
      <c r="F881" s="21" t="n">
        <f aca="false">(F872+F875)*F880</f>
        <v>43.571555187083</v>
      </c>
      <c r="G881" s="21" t="n">
        <f aca="false">(G872+G875)*G880</f>
        <v>49.621811387494</v>
      </c>
    </row>
    <row r="882" customFormat="false" ht="17.15" hidden="false" customHeight="false" outlineLevel="0" collapsed="false">
      <c r="A882" s="3" t="s">
        <v>639</v>
      </c>
      <c r="B882" s="0" t="s">
        <v>44</v>
      </c>
      <c r="D882" s="20" t="n">
        <f aca="false">D872/(D872+D875)</f>
        <v>0.140894976776891</v>
      </c>
      <c r="E882" s="20" t="n">
        <f aca="false">E872/(E872+E875)</f>
        <v>0.226119517586731</v>
      </c>
      <c r="F882" s="20" t="n">
        <f aca="false">F872/(F872+F875)</f>
        <v>0.307150951728908</v>
      </c>
      <c r="G882" s="20" t="n">
        <f aca="false">G872/(G872+G875)</f>
        <v>0.358612723219583</v>
      </c>
    </row>
    <row r="883" customFormat="false" ht="17.15" hidden="false" customHeight="false" outlineLevel="0" collapsed="false">
      <c r="A883" s="5" t="s">
        <v>640</v>
      </c>
    </row>
    <row r="884" customFormat="false" ht="17.15" hidden="false" customHeight="false" outlineLevel="0" collapsed="false">
      <c r="A884" s="0" t="s">
        <v>641</v>
      </c>
      <c r="B884" s="0" t="s">
        <v>333</v>
      </c>
      <c r="D884" s="21" t="n">
        <f aca="false">a26_bt</f>
        <v>18.927328</v>
      </c>
      <c r="E884" s="21" t="n">
        <f aca="false">D884*(1+g_bt27_A)</f>
        <v>24.6055264</v>
      </c>
      <c r="F884" s="21" t="n">
        <f aca="false">E884*(1+g_bt28_A)</f>
        <v>27.06607904</v>
      </c>
      <c r="G884" s="21" t="n">
        <f aca="false">F884*(1+g_bt29_A)</f>
        <v>28.419382992</v>
      </c>
      <c r="K884" s="7" t="s">
        <v>642</v>
      </c>
    </row>
    <row r="885" customFormat="false" ht="17.15" hidden="false" customHeight="false" outlineLevel="0" collapsed="false">
      <c r="A885" s="0" t="s">
        <v>540</v>
      </c>
      <c r="B885" s="0" t="s">
        <v>333</v>
      </c>
      <c r="D885" s="21" t="n">
        <f aca="false">a26_pcb</f>
        <v>5.91479</v>
      </c>
      <c r="E885" s="21" t="n">
        <f aca="false">D885*(1+g_pcb)</f>
        <v>5.91479</v>
      </c>
      <c r="F885" s="21" t="n">
        <f aca="false">E885*(1+g_pcb)</f>
        <v>5.91479</v>
      </c>
      <c r="G885" s="21" t="n">
        <f aca="false">F885*(1+g_pcb)</f>
        <v>5.91479</v>
      </c>
    </row>
    <row r="886" customFormat="false" ht="17.15" hidden="false" customHeight="false" outlineLevel="0" collapsed="false">
      <c r="A886" s="3" t="s">
        <v>505</v>
      </c>
      <c r="B886" s="0" t="s">
        <v>333</v>
      </c>
      <c r="C886" s="23" t="n">
        <f aca="false">a25_rev</f>
        <v>40.173</v>
      </c>
      <c r="D886" s="23" t="n">
        <f aca="false">D879+D884+D885</f>
        <v>59.1479</v>
      </c>
      <c r="E886" s="23" t="n">
        <f aca="false">E879+E884+E885</f>
        <v>80.229394518</v>
      </c>
      <c r="F886" s="23" t="n">
        <f aca="false">F879+F884+F885</f>
        <v>88.7637751405431</v>
      </c>
      <c r="G886" s="23" t="n">
        <f aca="false">G879+G884+G885</f>
        <v>97.0763833661239</v>
      </c>
      <c r="H886" s="25" t="n">
        <f aca="false">G886*(1+H888)</f>
        <v>105.078626241508</v>
      </c>
      <c r="I886" s="25" t="n">
        <f aca="false">H886*(1+I888)</f>
        <v>112.561928658085</v>
      </c>
      <c r="J886" s="25" t="n">
        <f aca="false">I886*(1+J888)</f>
        <v>119.315644377571</v>
      </c>
      <c r="K886" s="7" t="s">
        <v>643</v>
      </c>
    </row>
    <row r="887" customFormat="false" ht="17.15" hidden="false" customHeight="false" outlineLevel="0" collapsed="false">
      <c r="A887" s="3" t="s">
        <v>644</v>
      </c>
      <c r="B887" s="0" t="s">
        <v>333</v>
      </c>
      <c r="D887" s="19" t="n">
        <f aca="false">D879+D884+D885-a26_rev</f>
        <v>0</v>
      </c>
      <c r="E887" s="19" t="n">
        <f aca="false">E879+E884+E885-E886</f>
        <v>0</v>
      </c>
      <c r="F887" s="19" t="n">
        <f aca="false">F879+F884+F885-F886</f>
        <v>0</v>
      </c>
      <c r="G887" s="19" t="n">
        <f aca="false">G879+G884+G885-G886</f>
        <v>0</v>
      </c>
    </row>
    <row r="888" customFormat="false" ht="15" hidden="false" customHeight="false" outlineLevel="0" collapsed="false">
      <c r="A888" s="3" t="s">
        <v>645</v>
      </c>
      <c r="B888" s="0" t="s">
        <v>44</v>
      </c>
      <c r="D888" s="20" t="n">
        <f aca="false">D886/C886-1</f>
        <v>0.472329674159261</v>
      </c>
      <c r="E888" s="20" t="n">
        <f aca="false">E886/D886-1</f>
        <v>0.35642</v>
      </c>
      <c r="F888" s="20" t="n">
        <f aca="false">F886/E886-1</f>
        <v>0.106374735517023</v>
      </c>
      <c r="G888" s="20" t="n">
        <f aca="false">G886/F886-1</f>
        <v>0.0936486557992731</v>
      </c>
      <c r="H888" s="26" t="n">
        <f aca="false">$G888+(fade_gA-$G888)*1/3</f>
        <v>0.0824324371995154</v>
      </c>
      <c r="I888" s="26" t="n">
        <f aca="false">$G888+(fade_gA-$G888)*2/3</f>
        <v>0.0712162185997577</v>
      </c>
      <c r="J888" s="26" t="n">
        <f aca="false">$G888+(fade_gA-$G888)*3/3</f>
        <v>0.06</v>
      </c>
    </row>
    <row r="889" customFormat="false" ht="17.15" hidden="false" customHeight="false" outlineLevel="0" collapsed="false">
      <c r="A889" s="0" t="s">
        <v>646</v>
      </c>
      <c r="B889" s="0" t="s">
        <v>44</v>
      </c>
      <c r="D889" s="20" t="n">
        <f aca="false">D879/D886</f>
        <v>0.58</v>
      </c>
      <c r="E889" s="20" t="n">
        <f aca="false">E879/E886</f>
        <v>0.619586853629407</v>
      </c>
      <c r="F889" s="20" t="n">
        <f aca="false">F879/F886</f>
        <v>0.62844224473576</v>
      </c>
      <c r="G889" s="20" t="n">
        <f aca="false">G879/G886</f>
        <v>0.646317963221718</v>
      </c>
    </row>
    <row r="890" customFormat="false" ht="17.15" hidden="false" customHeight="false" outlineLevel="0" collapsed="false">
      <c r="A890" s="0" t="s">
        <v>647</v>
      </c>
      <c r="B890" s="0" t="s">
        <v>44</v>
      </c>
      <c r="D890" s="20" t="n">
        <f aca="false">D881/D886</f>
        <v>0.377</v>
      </c>
      <c r="E890" s="20" t="n">
        <f aca="false">E881/E886</f>
        <v>0.472752675655648</v>
      </c>
      <c r="F890" s="20" t="n">
        <f aca="false">F881/F886</f>
        <v>0.490870911225829</v>
      </c>
      <c r="G890" s="20" t="n">
        <f aca="false">G881/G886</f>
        <v>0.511162547128947</v>
      </c>
      <c r="K890" s="3" t="s">
        <v>648</v>
      </c>
    </row>
    <row r="891" customFormat="false" ht="17.15" hidden="false" customHeight="false" outlineLevel="0" collapsed="false">
      <c r="A891" s="5" t="s">
        <v>649</v>
      </c>
    </row>
    <row r="892" customFormat="false" ht="15" hidden="false" customHeight="false" outlineLevel="0" collapsed="false">
      <c r="A892" s="3" t="s">
        <v>650</v>
      </c>
      <c r="B892" s="0" t="s">
        <v>333</v>
      </c>
      <c r="C892" s="23" t="n">
        <f aca="false">a25_cx</f>
        <v>2.422</v>
      </c>
      <c r="D892" s="23" t="n">
        <f aca="false">capex26</f>
        <v>4</v>
      </c>
      <c r="E892" s="23" t="n">
        <f aca="false">cx27_lo</f>
        <v>6</v>
      </c>
      <c r="F892" s="23" t="n">
        <f aca="false">cx28_lo</f>
        <v>6</v>
      </c>
      <c r="G892" s="23" t="n">
        <f aca="false">cx29_lo</f>
        <v>6</v>
      </c>
      <c r="H892" s="25" t="n">
        <f aca="false">H886*H909</f>
        <v>7.09257300130089</v>
      </c>
      <c r="I892" s="25" t="n">
        <f aca="false">I886*I909</f>
        <v>8.23824336759303</v>
      </c>
      <c r="J892" s="25" t="n">
        <f aca="false">J886*J909</f>
        <v>9.41153595486519</v>
      </c>
    </row>
    <row r="893" customFormat="false" ht="17.15" hidden="false" customHeight="false" outlineLevel="0" collapsed="false">
      <c r="A893" s="3" t="s">
        <v>651</v>
      </c>
      <c r="B893" s="0" t="s">
        <v>333</v>
      </c>
      <c r="C893" s="23" t="n">
        <f aca="false">a25_da</f>
        <v>6.894</v>
      </c>
      <c r="D893" s="23" t="n">
        <f aca="false">da26</f>
        <v>7.1</v>
      </c>
      <c r="E893" s="23" t="n">
        <f aca="false">D893*(1-1/life)+D892/life</f>
        <v>6.7125</v>
      </c>
      <c r="F893" s="23" t="n">
        <f aca="false">E893*(1-1/life)+E892/life</f>
        <v>6.6234375</v>
      </c>
      <c r="G893" s="23" t="n">
        <f aca="false">F893*(1-1/life)+F892/life</f>
        <v>6.5455078125</v>
      </c>
      <c r="H893" s="25" t="n">
        <f aca="false">H886*H894</f>
        <v>7.08506997419284</v>
      </c>
      <c r="I893" s="25" t="n">
        <f aca="false">I886*I894</f>
        <v>7.58964186626954</v>
      </c>
      <c r="J893" s="25" t="n">
        <f aca="false">J886*J894</f>
        <v>8.04502037824571</v>
      </c>
      <c r="K893" s="3" t="s">
        <v>652</v>
      </c>
    </row>
    <row r="894" customFormat="false" ht="17.15" hidden="false" customHeight="false" outlineLevel="0" collapsed="false">
      <c r="A894" s="3" t="s">
        <v>653</v>
      </c>
      <c r="B894" s="0" t="s">
        <v>44</v>
      </c>
      <c r="C894" s="20" t="n">
        <f aca="false">C893/C886</f>
        <v>0.171607796281084</v>
      </c>
      <c r="D894" s="20" t="n">
        <f aca="false">D893/D886</f>
        <v>0.120038074048276</v>
      </c>
      <c r="E894" s="20" t="n">
        <f aca="false">E893/E886</f>
        <v>0.0836663424961285</v>
      </c>
      <c r="F894" s="20" t="n">
        <f aca="false">F893/F886</f>
        <v>0.0746186999089759</v>
      </c>
      <c r="G894" s="20" t="n">
        <f aca="false">G893/G886</f>
        <v>0.0674263665943713</v>
      </c>
      <c r="H894" s="26" t="n">
        <f aca="false">$G894</f>
        <v>0.0674263665943713</v>
      </c>
      <c r="I894" s="26" t="n">
        <f aca="false">$G894</f>
        <v>0.0674263665943713</v>
      </c>
      <c r="J894" s="26" t="n">
        <f aca="false">$G894</f>
        <v>0.0674263665943713</v>
      </c>
    </row>
    <row r="895" customFormat="false" ht="17.15" hidden="false" customHeight="false" outlineLevel="0" collapsed="false">
      <c r="A895" s="3" t="s">
        <v>654</v>
      </c>
      <c r="B895" s="0" t="s">
        <v>333</v>
      </c>
      <c r="E895" s="21" t="n">
        <f aca="false">E881*(1-1/(E866*E867))</f>
        <v>4.94721664234135</v>
      </c>
      <c r="F895" s="21" t="n">
        <f aca="false">F881*(1-1/(F866*F867))</f>
        <v>3.68912480989031</v>
      </c>
      <c r="G895" s="21" t="n">
        <f aca="false">G881*(1-1/(G866*G867))</f>
        <v>1.67803226914231</v>
      </c>
      <c r="K895" s="7" t="s">
        <v>655</v>
      </c>
    </row>
    <row r="896" customFormat="false" ht="17.15" hidden="false" customHeight="false" outlineLevel="0" collapsed="false">
      <c r="A896" s="3" t="s">
        <v>656</v>
      </c>
      <c r="B896" s="0" t="s">
        <v>333</v>
      </c>
      <c r="C896" s="21" t="n">
        <f aca="false">a25_gp</f>
        <v>3.647</v>
      </c>
      <c r="D896" s="21" t="n">
        <f aca="false">a26_gp</f>
        <v>15.9001925</v>
      </c>
      <c r="E896" s="21" t="n">
        <f aca="false">$D896+ft_abf*(E879-E895-$D879)+ft_oth*((E886-E879)-($D886-$D879))+E895-(E893-$D893)</f>
        <v>28.7342282401707</v>
      </c>
      <c r="F896" s="21" t="n">
        <f aca="false">$D896+ft_abf*(F879-F895-$D879)+ft_oth*((F886-F879)-($D886-$D879))+F895-(F893-$D893)</f>
        <v>32.2153798712167</v>
      </c>
      <c r="G896" s="21" t="n">
        <f aca="false">$D896+ft_abf*(G879-G895-$D879)+ft_oth*((G886-G879)-($D886-$D879))+G895-(G893-$D893)</f>
        <v>35.3087370059331</v>
      </c>
      <c r="K896" s="3" t="s">
        <v>657</v>
      </c>
    </row>
    <row r="897" customFormat="false" ht="15" hidden="false" customHeight="false" outlineLevel="0" collapsed="false">
      <c r="A897" s="3" t="s">
        <v>512</v>
      </c>
      <c r="B897" s="0" t="s">
        <v>44</v>
      </c>
      <c r="C897" s="16" t="n">
        <f aca="false">C896/C886</f>
        <v>0.0907823662659</v>
      </c>
      <c r="D897" s="16" t="n">
        <f aca="false">D896/D886</f>
        <v>0.268820913337583</v>
      </c>
      <c r="E897" s="16" t="n">
        <f aca="false">E896/E886</f>
        <v>0.35815087989632</v>
      </c>
      <c r="F897" s="16" t="n">
        <f aca="false">F896/F886</f>
        <v>0.362933863732236</v>
      </c>
      <c r="G897" s="16" t="n">
        <f aca="false">G896/G886</f>
        <v>0.363721183068451</v>
      </c>
    </row>
    <row r="898" customFormat="false" ht="15" hidden="false" customHeight="false" outlineLevel="0" collapsed="false">
      <c r="A898" s="3" t="s">
        <v>514</v>
      </c>
      <c r="B898" s="0" t="s">
        <v>333</v>
      </c>
      <c r="C898" s="21" t="n">
        <f aca="false">a25_opx</f>
        <v>1.665</v>
      </c>
      <c r="D898" s="21" t="n">
        <f aca="false">a26_opx</f>
        <v>1.9</v>
      </c>
      <c r="E898" s="21" t="n">
        <f aca="false">D898*(1+phi*E888)</f>
        <v>2.3063188</v>
      </c>
      <c r="F898" s="21" t="n">
        <f aca="false">E898*(1+phi*F888)</f>
        <v>2.45351923142076</v>
      </c>
      <c r="G898" s="21" t="n">
        <f aca="false">F898*(1+phi*G888)</f>
        <v>2.59138049822089</v>
      </c>
    </row>
    <row r="899" customFormat="false" ht="15" hidden="false" customHeight="false" outlineLevel="0" collapsed="false">
      <c r="A899" s="3" t="s">
        <v>517</v>
      </c>
      <c r="B899" s="0" t="s">
        <v>333</v>
      </c>
      <c r="C899" s="21" t="n">
        <f aca="false">C896-C898</f>
        <v>1.982</v>
      </c>
      <c r="D899" s="21" t="n">
        <f aca="false">D896-D898</f>
        <v>14.0001925</v>
      </c>
      <c r="E899" s="21" t="n">
        <f aca="false">E896-E898</f>
        <v>26.4279094401707</v>
      </c>
      <c r="F899" s="21" t="n">
        <f aca="false">F896-F898</f>
        <v>29.761860639796</v>
      </c>
      <c r="G899" s="21" t="n">
        <f aca="false">G896-G898</f>
        <v>32.7173565077122</v>
      </c>
    </row>
    <row r="900" customFormat="false" ht="15" hidden="false" customHeight="false" outlineLevel="0" collapsed="false">
      <c r="A900" s="3" t="s">
        <v>598</v>
      </c>
      <c r="B900" s="0" t="s">
        <v>44</v>
      </c>
      <c r="C900" s="16" t="n">
        <f aca="false">C899/C886</f>
        <v>0.0493366191222961</v>
      </c>
      <c r="D900" s="16" t="n">
        <f aca="false">D899/D886</f>
        <v>0.236698048451424</v>
      </c>
      <c r="E900" s="16" t="n">
        <f aca="false">E899/E886</f>
        <v>0.329404323676423</v>
      </c>
      <c r="F900" s="16" t="n">
        <f aca="false">F899/F886</f>
        <v>0.335292866855571</v>
      </c>
      <c r="G900" s="16" t="n">
        <f aca="false">G899/G886</f>
        <v>0.337026940778362</v>
      </c>
    </row>
    <row r="901" customFormat="false" ht="15" hidden="false" customHeight="false" outlineLevel="0" collapsed="false">
      <c r="A901" s="3" t="s">
        <v>520</v>
      </c>
      <c r="B901" s="0" t="s">
        <v>333</v>
      </c>
      <c r="C901" s="21" t="n">
        <f aca="false">a25_nonop</f>
        <v>0.364</v>
      </c>
      <c r="D901" s="21" t="n">
        <f aca="false">a26_nonop</f>
        <v>0.623</v>
      </c>
      <c r="E901" s="21" t="n">
        <f aca="false">nonop27</f>
        <v>0.6</v>
      </c>
      <c r="F901" s="21" t="n">
        <f aca="false">nonop28</f>
        <v>0.6</v>
      </c>
      <c r="G901" s="21" t="n">
        <f aca="false">nonop29</f>
        <v>0.6</v>
      </c>
    </row>
    <row r="902" customFormat="false" ht="15" hidden="false" customHeight="false" outlineLevel="0" collapsed="false">
      <c r="A902" s="3" t="s">
        <v>522</v>
      </c>
      <c r="B902" s="0" t="s">
        <v>333</v>
      </c>
      <c r="C902" s="21" t="n">
        <f aca="false">C899+C901</f>
        <v>2.346</v>
      </c>
      <c r="D902" s="21" t="n">
        <f aca="false">D899+D901</f>
        <v>14.6231925</v>
      </c>
      <c r="E902" s="21" t="n">
        <f aca="false">E899+E901</f>
        <v>27.0279094401707</v>
      </c>
      <c r="F902" s="21" t="n">
        <f aca="false">F899+F901</f>
        <v>30.361860639796</v>
      </c>
      <c r="G902" s="21" t="n">
        <f aca="false">G899+G901</f>
        <v>33.3173565077122</v>
      </c>
    </row>
    <row r="903" customFormat="false" ht="15" hidden="false" customHeight="false" outlineLevel="0" collapsed="false">
      <c r="A903" s="3" t="s">
        <v>525</v>
      </c>
      <c r="B903" s="0" t="s">
        <v>333</v>
      </c>
      <c r="E903" s="21" t="n">
        <f aca="false">E902*tax</f>
        <v>5.67586098243584</v>
      </c>
      <c r="F903" s="21" t="n">
        <f aca="false">F902*tax</f>
        <v>6.37599073435715</v>
      </c>
      <c r="G903" s="21" t="n">
        <f aca="false">G902*tax</f>
        <v>6.99664486661957</v>
      </c>
    </row>
    <row r="904" customFormat="false" ht="15" hidden="false" customHeight="false" outlineLevel="0" collapsed="false">
      <c r="A904" s="3" t="s">
        <v>523</v>
      </c>
      <c r="B904" s="0" t="s">
        <v>333</v>
      </c>
      <c r="C904" s="21" t="n">
        <f aca="false">a25_ni</f>
        <v>1.947</v>
      </c>
      <c r="D904" s="21" t="n">
        <f aca="false">a26_ni</f>
        <v>11.509862075</v>
      </c>
      <c r="E904" s="21" t="n">
        <f aca="false">E902-E903</f>
        <v>21.3520484577348</v>
      </c>
      <c r="F904" s="21" t="n">
        <f aca="false">F902-F903</f>
        <v>23.9858699054388</v>
      </c>
      <c r="G904" s="21" t="n">
        <f aca="false">G902-G903</f>
        <v>26.3207116410927</v>
      </c>
      <c r="H904" s="30" t="n">
        <f aca="false">H886*H908</f>
        <v>27.8134207637284</v>
      </c>
      <c r="I904" s="30" t="n">
        <f aca="false">I886*I908</f>
        <v>29.0690047949359</v>
      </c>
      <c r="J904" s="30" t="n">
        <f aca="false">J886*J908</f>
        <v>30.0444515034082</v>
      </c>
    </row>
    <row r="905" customFormat="false" ht="15" hidden="false" customHeight="false" outlineLevel="0" collapsed="false">
      <c r="A905" s="3" t="s">
        <v>658</v>
      </c>
      <c r="B905" s="3" t="s">
        <v>400</v>
      </c>
      <c r="C905" s="29" t="n">
        <f aca="false">a25_sh</f>
        <v>0.646843853820598</v>
      </c>
      <c r="D905" s="29" t="n">
        <f aca="false">a26_sh</f>
        <v>0.645863325123153</v>
      </c>
      <c r="E905" s="29" t="n">
        <f aca="false">a26_shend*(1+sh_g)</f>
        <v>0.64617</v>
      </c>
      <c r="F905" s="29" t="n">
        <f aca="false">E905*(1+sh_g)</f>
        <v>0.64617</v>
      </c>
      <c r="G905" s="29" t="n">
        <f aca="false">F905*(1+sh_g)</f>
        <v>0.64617</v>
      </c>
      <c r="H905" s="31" t="n">
        <f aca="false">G905*(1+sh_g)</f>
        <v>0.64617</v>
      </c>
      <c r="I905" s="31" t="n">
        <f aca="false">H905*(1+sh_g)</f>
        <v>0.64617</v>
      </c>
      <c r="J905" s="31" t="n">
        <f aca="false">I905*(1+sh_g)</f>
        <v>0.64617</v>
      </c>
    </row>
    <row r="906" customFormat="false" ht="17.15" hidden="false" customHeight="false" outlineLevel="0" collapsed="false">
      <c r="A906" s="0" t="s">
        <v>528</v>
      </c>
      <c r="B906" s="0" t="s">
        <v>406</v>
      </c>
      <c r="C906" s="18" t="n">
        <f aca="false">C904/C905</f>
        <v>3.01</v>
      </c>
      <c r="D906" s="18" t="n">
        <f aca="false">D904/D905</f>
        <v>17.820894339844</v>
      </c>
      <c r="E906" s="18" t="n">
        <f aca="false">E904/E905</f>
        <v>33.0440107986054</v>
      </c>
      <c r="F906" s="18" t="n">
        <f aca="false">F904/F905</f>
        <v>37.1200611378411</v>
      </c>
      <c r="G906" s="18" t="n">
        <f aca="false">G904/G905</f>
        <v>40.7334163472347</v>
      </c>
      <c r="H906" s="28" t="n">
        <f aca="false">H904/H905</f>
        <v>43.0435036657975</v>
      </c>
      <c r="I906" s="28" t="n">
        <f aca="false">I904/I905</f>
        <v>44.9866208504509</v>
      </c>
      <c r="J906" s="28" t="n">
        <f aca="false">J904/J905</f>
        <v>46.4962030168659</v>
      </c>
    </row>
    <row r="907" customFormat="false" ht="17.15" hidden="false" customHeight="false" outlineLevel="0" collapsed="false">
      <c r="A907" s="0" t="s">
        <v>659</v>
      </c>
      <c r="B907" s="0" t="s">
        <v>44</v>
      </c>
      <c r="D907" s="20" t="n">
        <f aca="false">D906/C906-1</f>
        <v>4.92056290360265</v>
      </c>
      <c r="E907" s="20" t="n">
        <f aca="false">E906/D906-1</f>
        <v>0.854228534688382</v>
      </c>
      <c r="F907" s="20" t="n">
        <f aca="false">F906/E906-1</f>
        <v>0.123352167025917</v>
      </c>
      <c r="G907" s="20" t="n">
        <f aca="false">G906/F906-1</f>
        <v>0.0973423830304532</v>
      </c>
      <c r="H907" s="26" t="n">
        <f aca="false">H906/G906-1</f>
        <v>0.0567123390503344</v>
      </c>
      <c r="I907" s="26" t="n">
        <f aca="false">I906/H906-1</f>
        <v>0.0451430998679925</v>
      </c>
      <c r="J907" s="26" t="n">
        <f aca="false">J906/I906-1</f>
        <v>0.0335562471214119</v>
      </c>
    </row>
    <row r="908" customFormat="false" ht="17.15" hidden="false" customHeight="false" outlineLevel="0" collapsed="false">
      <c r="A908" s="3" t="s">
        <v>660</v>
      </c>
      <c r="B908" s="0" t="s">
        <v>44</v>
      </c>
      <c r="C908" s="16" t="n">
        <f aca="false">C904/C886</f>
        <v>0.0484653872003585</v>
      </c>
      <c r="D908" s="16" t="n">
        <f aca="false">D904/D886</f>
        <v>0.194594602259759</v>
      </c>
      <c r="E908" s="16" t="n">
        <f aca="false">E904/E886</f>
        <v>0.266137474749911</v>
      </c>
      <c r="F908" s="16" t="n">
        <f aca="false">F904/F886</f>
        <v>0.270221381047179</v>
      </c>
      <c r="G908" s="16" t="n">
        <f aca="false">G904/G886</f>
        <v>0.27113403619317</v>
      </c>
      <c r="H908" s="27" t="n">
        <f aca="false">$G908+(fade_mA-$G908)*1/3</f>
        <v>0.264691514902405</v>
      </c>
      <c r="I908" s="27" t="n">
        <f aca="false">$G908+(fade_mA-$G908)*2/3</f>
        <v>0.258248993611641</v>
      </c>
      <c r="J908" s="27" t="n">
        <f aca="false">$G908+(fade_mA-$G908)*3/3</f>
        <v>0.251806472320876</v>
      </c>
    </row>
    <row r="909" customFormat="false" ht="17.15" hidden="false" customHeight="false" outlineLevel="0" collapsed="false">
      <c r="A909" s="3" t="s">
        <v>661</v>
      </c>
      <c r="B909" s="0" t="s">
        <v>44</v>
      </c>
      <c r="C909" s="20" t="n">
        <f aca="false">C892/C886</f>
        <v>0.0602892489980833</v>
      </c>
      <c r="D909" s="20" t="n">
        <f aca="false">D892/D886</f>
        <v>0.0676270839708595</v>
      </c>
      <c r="E909" s="20" t="n">
        <f aca="false">E892/E886</f>
        <v>0.0747855575384389</v>
      </c>
      <c r="F909" s="20" t="n">
        <f aca="false">F892/F886</f>
        <v>0.0675951421680744</v>
      </c>
      <c r="G909" s="20" t="n">
        <f aca="false">G892/G886</f>
        <v>0.0618069997248556</v>
      </c>
      <c r="H909" s="26" t="n">
        <f aca="false">$G909+($G894*(1+tp_g)^(life/2)-$G909)*1/3</f>
        <v>0.0674977705266115</v>
      </c>
      <c r="I909" s="26" t="n">
        <f aca="false">$G909+($G894*(1+tp_g)^(life/2)-$G909)*2/3</f>
        <v>0.0731885413283674</v>
      </c>
      <c r="J909" s="26" t="n">
        <f aca="false">$G909+($G894*(1+tp_g)^(life/2)-$G909)*3/3</f>
        <v>0.0788793121301233</v>
      </c>
      <c r="K909" s="7" t="s">
        <v>662</v>
      </c>
    </row>
    <row r="910" customFormat="false" ht="15" hidden="false" customHeight="false" outlineLevel="0" collapsed="false">
      <c r="A910" s="3" t="s">
        <v>663</v>
      </c>
      <c r="B910" s="0" t="s">
        <v>333</v>
      </c>
      <c r="E910" s="21" t="n">
        <f aca="false">E904+E893-E892</f>
        <v>22.0645484577348</v>
      </c>
      <c r="F910" s="21" t="n">
        <f aca="false">F904+F893-F892</f>
        <v>24.6093074054388</v>
      </c>
      <c r="G910" s="21" t="n">
        <f aca="false">G904+G893-G892</f>
        <v>26.8662194535927</v>
      </c>
      <c r="H910" s="30" t="n">
        <f aca="false">H904+H893-H892</f>
        <v>27.8059177366203</v>
      </c>
      <c r="I910" s="30" t="n">
        <f aca="false">I904+I893-I892</f>
        <v>28.4204032936124</v>
      </c>
      <c r="J910" s="30" t="n">
        <f aca="false">J904+J893-J892</f>
        <v>28.6779359267888</v>
      </c>
      <c r="K910" s="3" t="s">
        <v>664</v>
      </c>
    </row>
    <row r="911" customFormat="false" ht="15" hidden="false" customHeight="false" outlineLevel="0" collapsed="false">
      <c r="A911" s="3" t="s">
        <v>665</v>
      </c>
      <c r="B911" s="0" t="s">
        <v>406</v>
      </c>
      <c r="E911" s="18" t="n">
        <f aca="false">E910/E905</f>
        <v>34.1466618037588</v>
      </c>
      <c r="F911" s="18" t="n">
        <f aca="false">F910/F905</f>
        <v>38.0848807673504</v>
      </c>
      <c r="G911" s="18" t="n">
        <f aca="false">G910/G905</f>
        <v>41.5776335230553</v>
      </c>
      <c r="H911" s="28" t="n">
        <f aca="false">H910/H905</f>
        <v>43.0318921284188</v>
      </c>
      <c r="I911" s="28" t="n">
        <f aca="false">I910/I905</f>
        <v>43.982857906762</v>
      </c>
      <c r="J911" s="28" t="n">
        <f aca="false">J910/J905</f>
        <v>44.3814103514381</v>
      </c>
    </row>
    <row r="914" customFormat="false" ht="17.15" hidden="false" customHeight="false" outlineLevel="0" collapsed="false">
      <c r="A914" s="1" t="s">
        <v>1023</v>
      </c>
    </row>
    <row r="915" customFormat="false" ht="17.15" hidden="false" customHeight="false" outlineLevel="0" collapsed="false">
      <c r="A915" s="4" t="s">
        <v>21</v>
      </c>
      <c r="B915" s="4" t="s">
        <v>22</v>
      </c>
      <c r="C915" s="13" t="s">
        <v>498</v>
      </c>
      <c r="D915" s="13" t="s">
        <v>585</v>
      </c>
      <c r="E915" s="13" t="s">
        <v>586</v>
      </c>
      <c r="F915" s="13" t="s">
        <v>587</v>
      </c>
      <c r="G915" s="13" t="s">
        <v>588</v>
      </c>
      <c r="H915" s="13" t="s">
        <v>589</v>
      </c>
      <c r="I915" s="13" t="s">
        <v>590</v>
      </c>
      <c r="J915" s="13" t="s">
        <v>591</v>
      </c>
      <c r="K915" s="4" t="s">
        <v>553</v>
      </c>
    </row>
    <row r="916" customFormat="false" ht="17.15" hidden="false" customHeight="false" outlineLevel="0" collapsed="false">
      <c r="A916" s="5" t="s">
        <v>609</v>
      </c>
    </row>
    <row r="917" customFormat="false" ht="17.15" hidden="false" customHeight="false" outlineLevel="0" collapsed="false">
      <c r="A917" s="0" t="s">
        <v>610</v>
      </c>
      <c r="B917" s="3" t="s">
        <v>32</v>
      </c>
      <c r="D917" s="21" t="n">
        <f aca="false">(u_bw_26+u_rb_26+u_ru_26+u_hp_26)*1</f>
        <v>7.6</v>
      </c>
      <c r="E917" s="21" t="n">
        <f aca="false">(u_bw_27+u_rb_27+u_ru_27+u_hp_27)*1*1</f>
        <v>9.7</v>
      </c>
      <c r="F917" s="21" t="n">
        <f aca="false">(u_bw_28+u_rb_28+u_ru_28+u_hp_28)*um28_A*1</f>
        <v>9.5</v>
      </c>
      <c r="G917" s="21" t="n">
        <f aca="false">(u_bw_28*(1+g29_bw)+u_rb_28*(1+g29_rb)+u_ru_28*(1+g29_ru)+u_hp_28*(1+g29_hp))*um29_A*1</f>
        <v>10.6</v>
      </c>
      <c r="K917" s="7" t="s">
        <v>611</v>
      </c>
    </row>
    <row r="918" customFormat="false" ht="17.15" hidden="false" customHeight="false" outlineLevel="0" collapsed="false">
      <c r="A918" s="3" t="s">
        <v>612</v>
      </c>
      <c r="B918" s="3" t="s">
        <v>32</v>
      </c>
      <c r="D918" s="21" t="n">
        <f aca="false">(u_amd_26+u_tpu_26+u_trn_26+u_oth_26)*1</f>
        <v>7.6</v>
      </c>
      <c r="E918" s="21" t="n">
        <f aca="false">(u_amd_27+u_tpu_27+u_trn_27+u_oth_27)*1*1</f>
        <v>14</v>
      </c>
      <c r="F918" s="21" t="n">
        <f aca="false">(u_amd_28+u_tpu_28+u_trn_28+u_oth_28)*um28_A*1</f>
        <v>17</v>
      </c>
      <c r="G918" s="21" t="n">
        <f aca="false">(u_amd_28*(1+g29_amd)+u_tpu_28*(1+g29_tpu)+u_trn_28*(1+g29_trn)+u_oth_28*(1+g29_oth))*um29_A*1</f>
        <v>19.55</v>
      </c>
      <c r="K918" s="7" t="s">
        <v>613</v>
      </c>
    </row>
    <row r="919" customFormat="false" ht="17.15" hidden="false" customHeight="false" outlineLevel="0" collapsed="false">
      <c r="A919" s="3" t="s">
        <v>614</v>
      </c>
      <c r="B919" s="0" t="s">
        <v>154</v>
      </c>
      <c r="D919" s="19" t="n">
        <f aca="false">1</f>
        <v>1</v>
      </c>
      <c r="E919" s="19" t="n">
        <f aca="false">D919*(1+g_asp)</f>
        <v>1.18</v>
      </c>
      <c r="F919" s="19" t="n">
        <f aca="false">E919*(1+g_asp)</f>
        <v>1.3924</v>
      </c>
      <c r="G919" s="19" t="n">
        <f aca="false">F919*(1+g_asp)</f>
        <v>1.643032</v>
      </c>
      <c r="K919" s="7" t="s">
        <v>615</v>
      </c>
    </row>
    <row r="920" customFormat="false" ht="17.15" hidden="false" customHeight="false" outlineLevel="0" collapsed="false">
      <c r="A920" s="0" t="s">
        <v>616</v>
      </c>
      <c r="B920" s="0" t="s">
        <v>154</v>
      </c>
      <c r="D920" s="18" t="n">
        <f aca="false">1</f>
        <v>1</v>
      </c>
      <c r="E920" s="18" t="n">
        <f aca="false">ibpp_27</f>
        <v>1</v>
      </c>
      <c r="F920" s="18" t="n">
        <f aca="false">ibpp_28</f>
        <v>0.95</v>
      </c>
      <c r="G920" s="18" t="n">
        <f aca="false">ibpp_29</f>
        <v>0.9</v>
      </c>
      <c r="K920" s="7" t="s">
        <v>617</v>
      </c>
    </row>
    <row r="921" customFormat="false" ht="17.15" hidden="false" customHeight="false" outlineLevel="0" collapsed="false">
      <c r="A921" s="3" t="s">
        <v>618</v>
      </c>
      <c r="B921" s="0" t="s">
        <v>154</v>
      </c>
      <c r="D921" s="18" t="n">
        <f aca="false">1</f>
        <v>1</v>
      </c>
      <c r="E921" s="18" t="n">
        <f aca="false">1+carry</f>
        <v>1.15</v>
      </c>
      <c r="F921" s="18" t="n">
        <f aca="false">1+carry</f>
        <v>1.15</v>
      </c>
      <c r="G921" s="18" t="n">
        <f aca="false">1+carry</f>
        <v>1.15</v>
      </c>
      <c r="K921" s="7" t="s">
        <v>619</v>
      </c>
    </row>
    <row r="922" customFormat="false" ht="17.15" hidden="false" customHeight="false" outlineLevel="0" collapsed="false">
      <c r="A922" s="3" t="s">
        <v>620</v>
      </c>
      <c r="B922" s="0" t="s">
        <v>621</v>
      </c>
      <c r="D922" s="23" t="n">
        <f aca="false">v26*D919*D920</f>
        <v>215.308596</v>
      </c>
      <c r="E922" s="23" t="n">
        <f aca="false">v26*E919*E920</f>
        <v>254.06414328</v>
      </c>
      <c r="F922" s="23" t="n">
        <f aca="false">v26*F919*F920</f>
        <v>284.80590461688</v>
      </c>
      <c r="G922" s="23" t="n">
        <f aca="false">v26*G919*G920</f>
        <v>318.383021792765</v>
      </c>
      <c r="K922" s="7" t="s">
        <v>622</v>
      </c>
    </row>
    <row r="923" customFormat="false" ht="17.15" hidden="false" customHeight="false" outlineLevel="0" collapsed="false">
      <c r="A923" s="3" t="s">
        <v>623</v>
      </c>
      <c r="B923" s="0" t="s">
        <v>44</v>
      </c>
      <c r="D923" s="20" t="n">
        <f aca="false">sh_nv_26</f>
        <v>0.02</v>
      </c>
      <c r="E923" s="20" t="n">
        <f aca="false">sh_nv_27</f>
        <v>0.03</v>
      </c>
      <c r="F923" s="20" t="n">
        <f aca="false">sh_nv_28</f>
        <v>0.04</v>
      </c>
      <c r="G923" s="20" t="n">
        <f aca="false">sh_nv_29</f>
        <v>0.04</v>
      </c>
    </row>
    <row r="924" customFormat="false" ht="17.15" hidden="false" customHeight="false" outlineLevel="0" collapsed="false">
      <c r="A924" s="3" t="s">
        <v>624</v>
      </c>
      <c r="B924" s="0" t="s">
        <v>44</v>
      </c>
      <c r="D924" s="20" t="n">
        <f aca="false">sh_ot_26</f>
        <v>0.05</v>
      </c>
      <c r="E924" s="20" t="n">
        <f aca="false">sh_ot_27</f>
        <v>0.06</v>
      </c>
      <c r="F924" s="20" t="n">
        <f aca="false">sh_ot_28</f>
        <v>0.07</v>
      </c>
      <c r="G924" s="20" t="n">
        <f aca="false">sh_ot_29</f>
        <v>0.07</v>
      </c>
    </row>
    <row r="925" customFormat="false" ht="17.15" hidden="false" customHeight="false" outlineLevel="0" collapsed="false">
      <c r="A925" s="3" t="s">
        <v>625</v>
      </c>
      <c r="B925" s="0" t="s">
        <v>575</v>
      </c>
      <c r="D925" s="22" t="n">
        <f aca="false">(D917*D922*D923+D918*D922*v_ot*D924)*D921</f>
        <v>98.180719776</v>
      </c>
      <c r="E925" s="22" t="n">
        <f aca="false">(E917*E922*E923+E918*E922*v_ot*E924)*E921</f>
        <v>281.363335475436</v>
      </c>
      <c r="F925" s="22" t="n">
        <f aca="false">(F917*F922*F923+F918*F922*v_ot*F924)*F921</f>
        <v>436.265684692137</v>
      </c>
      <c r="G925" s="22" t="n">
        <f aca="false">(G917*G922*G923+G918*G922*v_ot*G924)*G921</f>
        <v>556.094153523679</v>
      </c>
    </row>
    <row r="926" customFormat="false" ht="15" hidden="false" customHeight="false" outlineLevel="0" collapsed="false">
      <c r="A926" s="3" t="s">
        <v>626</v>
      </c>
      <c r="B926" s="0" t="s">
        <v>333</v>
      </c>
      <c r="D926" s="21" t="n">
        <f aca="false">D925*fx/1000</f>
        <v>3.141783032832</v>
      </c>
      <c r="E926" s="21" t="n">
        <f aca="false">E925*fx/1000</f>
        <v>9.00362673521395</v>
      </c>
      <c r="F926" s="21" t="n">
        <f aca="false">F925*fx/1000</f>
        <v>13.9605019101484</v>
      </c>
      <c r="G926" s="21" t="n">
        <f aca="false">G925*fx/1000</f>
        <v>17.7950129127577</v>
      </c>
    </row>
    <row r="927" customFormat="false" ht="17.15" hidden="false" customHeight="false" outlineLevel="0" collapsed="false">
      <c r="A927" s="5" t="s">
        <v>627</v>
      </c>
    </row>
    <row r="928" customFormat="false" ht="17.15" hidden="false" customHeight="false" outlineLevel="0" collapsed="false">
      <c r="A928" s="0" t="s">
        <v>628</v>
      </c>
      <c r="B928" s="0" t="s">
        <v>333</v>
      </c>
      <c r="D928" s="21" t="n">
        <f aca="false">a26_abf*ai_abf</f>
        <v>22.2987583</v>
      </c>
      <c r="K928" s="3" t="s">
        <v>629</v>
      </c>
    </row>
    <row r="929" customFormat="false" ht="17.15" hidden="false" customHeight="false" outlineLevel="0" collapsed="false">
      <c r="A929" s="3" t="s">
        <v>630</v>
      </c>
      <c r="B929" s="0" t="s">
        <v>333</v>
      </c>
      <c r="D929" s="21" t="n">
        <f aca="false">D928-D926</f>
        <v>19.156975267168</v>
      </c>
      <c r="E929" s="21" t="n">
        <f aca="false">$D929*(swm_27/swm_26)^el_o*1*1*E920*E921</f>
        <v>30.814372309298</v>
      </c>
      <c r="F929" s="21" t="n">
        <f aca="false">$D929*(swm_28/swm_26)^el_o*um28_A*1*F920*F921</f>
        <v>31.4910971539819</v>
      </c>
      <c r="G929" s="21" t="n">
        <f aca="false">$D929*(swm_29/swm_26)^el_o*um29_A*1*G920*G921</f>
        <v>31.8267984747363</v>
      </c>
      <c r="K929" s="7" t="s">
        <v>631</v>
      </c>
    </row>
    <row r="930" customFormat="false" ht="17.15" hidden="false" customHeight="false" outlineLevel="0" collapsed="false">
      <c r="A930" s="3" t="s">
        <v>632</v>
      </c>
      <c r="B930" s="0" t="s">
        <v>333</v>
      </c>
      <c r="D930" s="21" t="n">
        <f aca="false">a26_abf-D928</f>
        <v>12.0070237</v>
      </c>
      <c r="E930" s="21" t="n">
        <f aca="false">D930*(1+g_nai)</f>
        <v>12.367234411</v>
      </c>
      <c r="F930" s="21" t="n">
        <f aca="false">E930*(1+g_nai)</f>
        <v>12.73825144333</v>
      </c>
      <c r="G930" s="21" t="n">
        <f aca="false">F930*(1+g_nai)</f>
        <v>13.1203989866299</v>
      </c>
    </row>
    <row r="931" customFormat="false" ht="17.15" hidden="false" customHeight="false" outlineLevel="0" collapsed="false">
      <c r="A931" s="0" t="s">
        <v>633</v>
      </c>
      <c r="B931" s="0" t="s">
        <v>333</v>
      </c>
      <c r="D931" s="21" t="n">
        <f aca="false">D926+D929+D930</f>
        <v>34.305782</v>
      </c>
      <c r="E931" s="21" t="n">
        <f aca="false">E926+E929+E930</f>
        <v>52.185233455512</v>
      </c>
      <c r="F931" s="21" t="n">
        <f aca="false">F926+F929+F930</f>
        <v>58.1898505074603</v>
      </c>
      <c r="G931" s="21" t="n">
        <f aca="false">G926+G929+G930</f>
        <v>62.7422103741239</v>
      </c>
    </row>
    <row r="932" customFormat="false" ht="17.15" hidden="false" customHeight="false" outlineLevel="0" collapsed="false">
      <c r="A932" s="0" t="s">
        <v>634</v>
      </c>
      <c r="B932" s="0" t="s">
        <v>333</v>
      </c>
      <c r="D932" s="21" t="n">
        <f aca="false">a26_abf</f>
        <v>34.305782</v>
      </c>
      <c r="E932" s="21" t="n">
        <f aca="false">$D931*cap_27*(1+g_mix)^1*E920*E921</f>
        <v>49.709078118</v>
      </c>
      <c r="F932" s="21" t="n">
        <f aca="false">$D931*cap_28*(1+g_mix)^2*F920*F921</f>
        <v>55.7829061005431</v>
      </c>
      <c r="G932" s="21" t="n">
        <f aca="false">$D931*cap_29*(1+g_mix)^3*G920*G921</f>
        <v>65.765110350114</v>
      </c>
      <c r="K932" s="7" t="s">
        <v>635</v>
      </c>
    </row>
    <row r="933" customFormat="false" ht="17.15" hidden="false" customHeight="false" outlineLevel="0" collapsed="false">
      <c r="A933" s="0" t="s">
        <v>636</v>
      </c>
      <c r="B933" s="0" t="s">
        <v>333</v>
      </c>
      <c r="D933" s="21" t="n">
        <f aca="false">a26_abf</f>
        <v>34.305782</v>
      </c>
      <c r="E933" s="21" t="n">
        <f aca="false">MIN(E931,E932)</f>
        <v>49.709078118</v>
      </c>
      <c r="F933" s="21" t="n">
        <f aca="false">MIN(F931,F932)</f>
        <v>55.7829061005431</v>
      </c>
      <c r="G933" s="21" t="n">
        <f aca="false">MIN(G931,G932)</f>
        <v>62.7422103741239</v>
      </c>
    </row>
    <row r="934" customFormat="false" ht="17.15" hidden="false" customHeight="false" outlineLevel="0" collapsed="false">
      <c r="A934" s="3" t="s">
        <v>637</v>
      </c>
      <c r="B934" s="0" t="s">
        <v>44</v>
      </c>
      <c r="D934" s="20" t="n">
        <f aca="false">D933/D931</f>
        <v>1</v>
      </c>
      <c r="E934" s="20" t="n">
        <f aca="false">E933/E931</f>
        <v>0.952550651332759</v>
      </c>
      <c r="F934" s="20" t="n">
        <f aca="false">F933/F931</f>
        <v>0.958636353489023</v>
      </c>
      <c r="G934" s="20" t="n">
        <f aca="false">G933/G931</f>
        <v>1</v>
      </c>
    </row>
    <row r="935" customFormat="false" ht="17.15" hidden="false" customHeight="false" outlineLevel="0" collapsed="false">
      <c r="A935" s="0" t="s">
        <v>638</v>
      </c>
      <c r="B935" s="0" t="s">
        <v>333</v>
      </c>
      <c r="D935" s="21" t="n">
        <f aca="false">(D926+D929)*D934</f>
        <v>22.2987583</v>
      </c>
      <c r="E935" s="21" t="n">
        <f aca="false">(E926+E929)*E934</f>
        <v>37.928660924617</v>
      </c>
      <c r="F935" s="21" t="n">
        <f aca="false">(F926+F929)*F934</f>
        <v>43.571555187083</v>
      </c>
      <c r="G935" s="21" t="n">
        <f aca="false">(G926+G929)*G934</f>
        <v>49.621811387494</v>
      </c>
    </row>
    <row r="936" customFormat="false" ht="17.15" hidden="false" customHeight="false" outlineLevel="0" collapsed="false">
      <c r="A936" s="3" t="s">
        <v>639</v>
      </c>
      <c r="B936" s="0" t="s">
        <v>44</v>
      </c>
      <c r="D936" s="20" t="n">
        <f aca="false">D926/(D926+D929)</f>
        <v>0.140894976776891</v>
      </c>
      <c r="E936" s="20" t="n">
        <f aca="false">E926/(E926+E929)</f>
        <v>0.226119517586731</v>
      </c>
      <c r="F936" s="20" t="n">
        <f aca="false">F926/(F926+F929)</f>
        <v>0.307150951728908</v>
      </c>
      <c r="G936" s="20" t="n">
        <f aca="false">G926/(G926+G929)</f>
        <v>0.358612723219583</v>
      </c>
    </row>
    <row r="937" customFormat="false" ht="17.15" hidden="false" customHeight="false" outlineLevel="0" collapsed="false">
      <c r="A937" s="5" t="s">
        <v>640</v>
      </c>
    </row>
    <row r="938" customFormat="false" ht="17.15" hidden="false" customHeight="false" outlineLevel="0" collapsed="false">
      <c r="A938" s="0" t="s">
        <v>641</v>
      </c>
      <c r="B938" s="0" t="s">
        <v>333</v>
      </c>
      <c r="D938" s="21" t="n">
        <f aca="false">a26_bt</f>
        <v>18.927328</v>
      </c>
      <c r="E938" s="21" t="n">
        <f aca="false">D938*(1+g_bt27_A)</f>
        <v>24.6055264</v>
      </c>
      <c r="F938" s="21" t="n">
        <f aca="false">E938*(1+g_bt28_A)</f>
        <v>27.06607904</v>
      </c>
      <c r="G938" s="21" t="n">
        <f aca="false">F938*(1+g_bt29_A)</f>
        <v>28.419382992</v>
      </c>
      <c r="K938" s="7" t="s">
        <v>642</v>
      </c>
    </row>
    <row r="939" customFormat="false" ht="17.15" hidden="false" customHeight="false" outlineLevel="0" collapsed="false">
      <c r="A939" s="0" t="s">
        <v>540</v>
      </c>
      <c r="B939" s="0" t="s">
        <v>333</v>
      </c>
      <c r="D939" s="21" t="n">
        <f aca="false">a26_pcb</f>
        <v>5.91479</v>
      </c>
      <c r="E939" s="21" t="n">
        <f aca="false">D939*(1+g_pcb)</f>
        <v>5.91479</v>
      </c>
      <c r="F939" s="21" t="n">
        <f aca="false">E939*(1+g_pcb)</f>
        <v>5.91479</v>
      </c>
      <c r="G939" s="21" t="n">
        <f aca="false">F939*(1+g_pcb)</f>
        <v>5.91479</v>
      </c>
    </row>
    <row r="940" customFormat="false" ht="17.15" hidden="false" customHeight="false" outlineLevel="0" collapsed="false">
      <c r="A940" s="3" t="s">
        <v>505</v>
      </c>
      <c r="B940" s="0" t="s">
        <v>333</v>
      </c>
      <c r="C940" s="23" t="n">
        <f aca="false">a25_rev</f>
        <v>40.173</v>
      </c>
      <c r="D940" s="23" t="n">
        <f aca="false">D933+D938+D939</f>
        <v>59.1479</v>
      </c>
      <c r="E940" s="23" t="n">
        <f aca="false">E933+E938+E939</f>
        <v>80.229394518</v>
      </c>
      <c r="F940" s="23" t="n">
        <f aca="false">F933+F938+F939</f>
        <v>88.7637751405431</v>
      </c>
      <c r="G940" s="23" t="n">
        <f aca="false">G933+G938+G939</f>
        <v>97.0763833661239</v>
      </c>
      <c r="H940" s="25" t="n">
        <f aca="false">G940*(1+H942)</f>
        <v>105.078626241508</v>
      </c>
      <c r="I940" s="25" t="n">
        <f aca="false">H940*(1+I942)</f>
        <v>112.561928658085</v>
      </c>
      <c r="J940" s="25" t="n">
        <f aca="false">I940*(1+J942)</f>
        <v>119.315644377571</v>
      </c>
      <c r="K940" s="7" t="s">
        <v>643</v>
      </c>
    </row>
    <row r="941" customFormat="false" ht="17.15" hidden="false" customHeight="false" outlineLevel="0" collapsed="false">
      <c r="A941" s="3" t="s">
        <v>644</v>
      </c>
      <c r="B941" s="0" t="s">
        <v>333</v>
      </c>
      <c r="D941" s="19" t="n">
        <f aca="false">D933+D938+D939-a26_rev</f>
        <v>0</v>
      </c>
      <c r="E941" s="19" t="n">
        <f aca="false">E933+E938+E939-E940</f>
        <v>0</v>
      </c>
      <c r="F941" s="19" t="n">
        <f aca="false">F933+F938+F939-F940</f>
        <v>0</v>
      </c>
      <c r="G941" s="19" t="n">
        <f aca="false">G933+G938+G939-G940</f>
        <v>0</v>
      </c>
    </row>
    <row r="942" customFormat="false" ht="15" hidden="false" customHeight="false" outlineLevel="0" collapsed="false">
      <c r="A942" s="3" t="s">
        <v>645</v>
      </c>
      <c r="B942" s="0" t="s">
        <v>44</v>
      </c>
      <c r="D942" s="20" t="n">
        <f aca="false">D940/C940-1</f>
        <v>0.472329674159261</v>
      </c>
      <c r="E942" s="20" t="n">
        <f aca="false">E940/D940-1</f>
        <v>0.35642</v>
      </c>
      <c r="F942" s="20" t="n">
        <f aca="false">F940/E940-1</f>
        <v>0.106374735517023</v>
      </c>
      <c r="G942" s="20" t="n">
        <f aca="false">G940/F940-1</f>
        <v>0.0936486557992731</v>
      </c>
      <c r="H942" s="26" t="n">
        <f aca="false">$G942+(fade_gA-$G942)*1/3</f>
        <v>0.0824324371995154</v>
      </c>
      <c r="I942" s="26" t="n">
        <f aca="false">$G942+(fade_gA-$G942)*2/3</f>
        <v>0.0712162185997577</v>
      </c>
      <c r="J942" s="26" t="n">
        <f aca="false">$G942+(fade_gA-$G942)*3/3</f>
        <v>0.06</v>
      </c>
    </row>
    <row r="943" customFormat="false" ht="17.15" hidden="false" customHeight="false" outlineLevel="0" collapsed="false">
      <c r="A943" s="0" t="s">
        <v>646</v>
      </c>
      <c r="B943" s="0" t="s">
        <v>44</v>
      </c>
      <c r="D943" s="20" t="n">
        <f aca="false">D933/D940</f>
        <v>0.58</v>
      </c>
      <c r="E943" s="20" t="n">
        <f aca="false">E933/E940</f>
        <v>0.619586853629407</v>
      </c>
      <c r="F943" s="20" t="n">
        <f aca="false">F933/F940</f>
        <v>0.62844224473576</v>
      </c>
      <c r="G943" s="20" t="n">
        <f aca="false">G933/G940</f>
        <v>0.646317963221718</v>
      </c>
    </row>
    <row r="944" customFormat="false" ht="17.15" hidden="false" customHeight="false" outlineLevel="0" collapsed="false">
      <c r="A944" s="0" t="s">
        <v>647</v>
      </c>
      <c r="B944" s="0" t="s">
        <v>44</v>
      </c>
      <c r="D944" s="20" t="n">
        <f aca="false">D935/D940</f>
        <v>0.377</v>
      </c>
      <c r="E944" s="20" t="n">
        <f aca="false">E935/E940</f>
        <v>0.472752675655648</v>
      </c>
      <c r="F944" s="20" t="n">
        <f aca="false">F935/F940</f>
        <v>0.490870911225829</v>
      </c>
      <c r="G944" s="20" t="n">
        <f aca="false">G935/G940</f>
        <v>0.511162547128947</v>
      </c>
      <c r="K944" s="3" t="s">
        <v>648</v>
      </c>
    </row>
    <row r="945" customFormat="false" ht="17.15" hidden="false" customHeight="false" outlineLevel="0" collapsed="false">
      <c r="A945" s="5" t="s">
        <v>649</v>
      </c>
    </row>
    <row r="946" customFormat="false" ht="15" hidden="false" customHeight="false" outlineLevel="0" collapsed="false">
      <c r="A946" s="3" t="s">
        <v>650</v>
      </c>
      <c r="B946" s="0" t="s">
        <v>333</v>
      </c>
      <c r="C946" s="23" t="n">
        <f aca="false">a25_cx</f>
        <v>2.422</v>
      </c>
      <c r="D946" s="23" t="n">
        <f aca="false">capex26</f>
        <v>4</v>
      </c>
      <c r="E946" s="23" t="n">
        <f aca="false">cx27_hi</f>
        <v>20</v>
      </c>
      <c r="F946" s="23" t="n">
        <f aca="false">cx28_hi</f>
        <v>24</v>
      </c>
      <c r="G946" s="23" t="n">
        <f aca="false">cx29_hi</f>
        <v>20</v>
      </c>
      <c r="H946" s="25" t="n">
        <f aca="false">H940*H963</f>
        <v>18.7913323643903</v>
      </c>
      <c r="I946" s="25" t="n">
        <f aca="false">I940*I963</f>
        <v>17.0687763503352</v>
      </c>
      <c r="J946" s="25" t="n">
        <f aca="false">J940*J963</f>
        <v>14.8484510650072</v>
      </c>
    </row>
    <row r="947" customFormat="false" ht="17.15" hidden="false" customHeight="false" outlineLevel="0" collapsed="false">
      <c r="A947" s="3" t="s">
        <v>651</v>
      </c>
      <c r="B947" s="0" t="s">
        <v>333</v>
      </c>
      <c r="C947" s="23" t="n">
        <f aca="false">a25_da</f>
        <v>6.894</v>
      </c>
      <c r="D947" s="23" t="n">
        <f aca="false">da26</f>
        <v>7.1</v>
      </c>
      <c r="E947" s="23" t="n">
        <f aca="false">D947*(1-1/life)+D946/life</f>
        <v>6.7125</v>
      </c>
      <c r="F947" s="23" t="n">
        <f aca="false">E947*(1-1/life)+E946/life</f>
        <v>8.3734375</v>
      </c>
      <c r="G947" s="23" t="n">
        <f aca="false">F947*(1-1/life)+F946/life</f>
        <v>10.3267578125</v>
      </c>
      <c r="H947" s="25" t="n">
        <f aca="false">H940*H948</f>
        <v>11.1780176273535</v>
      </c>
      <c r="I947" s="25" t="n">
        <f aca="false">I940*I948</f>
        <v>11.9740737742151</v>
      </c>
      <c r="J947" s="25" t="n">
        <f aca="false">J940*J948</f>
        <v>12.692518200668</v>
      </c>
      <c r="K947" s="3" t="s">
        <v>652</v>
      </c>
    </row>
    <row r="948" customFormat="false" ht="17.15" hidden="false" customHeight="false" outlineLevel="0" collapsed="false">
      <c r="A948" s="3" t="s">
        <v>653</v>
      </c>
      <c r="B948" s="0" t="s">
        <v>44</v>
      </c>
      <c r="C948" s="20" t="n">
        <f aca="false">C947/C940</f>
        <v>0.171607796281084</v>
      </c>
      <c r="D948" s="20" t="n">
        <f aca="false">D947/D940</f>
        <v>0.120038074048276</v>
      </c>
      <c r="E948" s="20" t="n">
        <f aca="false">E947/E940</f>
        <v>0.0836663424961285</v>
      </c>
      <c r="F948" s="20" t="n">
        <f aca="false">F947/F940</f>
        <v>0.0943339497079976</v>
      </c>
      <c r="G948" s="20" t="n">
        <f aca="false">G947/G940</f>
        <v>0.106377652879306</v>
      </c>
      <c r="H948" s="26" t="n">
        <f aca="false">$G948</f>
        <v>0.106377652879306</v>
      </c>
      <c r="I948" s="26" t="n">
        <f aca="false">$G948</f>
        <v>0.106377652879306</v>
      </c>
      <c r="J948" s="26" t="n">
        <f aca="false">$G948</f>
        <v>0.106377652879306</v>
      </c>
    </row>
    <row r="949" customFormat="false" ht="17.15" hidden="false" customHeight="false" outlineLevel="0" collapsed="false">
      <c r="A949" s="3" t="s">
        <v>654</v>
      </c>
      <c r="B949" s="0" t="s">
        <v>333</v>
      </c>
      <c r="E949" s="21" t="n">
        <f aca="false">E935*(1-1/(E920*E921))</f>
        <v>4.94721664234135</v>
      </c>
      <c r="F949" s="21" t="n">
        <f aca="false">F935*(1-1/(F920*F921))</f>
        <v>3.68912480989031</v>
      </c>
      <c r="G949" s="21" t="n">
        <f aca="false">G935*(1-1/(G920*G921))</f>
        <v>1.67803226914231</v>
      </c>
      <c r="K949" s="7" t="s">
        <v>655</v>
      </c>
    </row>
    <row r="950" customFormat="false" ht="17.15" hidden="false" customHeight="false" outlineLevel="0" collapsed="false">
      <c r="A950" s="3" t="s">
        <v>656</v>
      </c>
      <c r="B950" s="0" t="s">
        <v>333</v>
      </c>
      <c r="C950" s="21" t="n">
        <f aca="false">a25_gp</f>
        <v>3.647</v>
      </c>
      <c r="D950" s="21" t="n">
        <f aca="false">a26_gp</f>
        <v>15.9001925</v>
      </c>
      <c r="E950" s="21" t="n">
        <f aca="false">$D950+ft_abf*(E933-E949-$D933)+ft_oth*((E940-E933)-($D940-$D933))+E949-(E947-$D947)</f>
        <v>28.7342282401707</v>
      </c>
      <c r="F950" s="21" t="n">
        <f aca="false">$D950+ft_abf*(F933-F949-$D933)+ft_oth*((F940-F933)-($D940-$D933))+F949-(F947-$D947)</f>
        <v>30.4653798712167</v>
      </c>
      <c r="G950" s="21" t="n">
        <f aca="false">$D950+ft_abf*(G933-G949-$D933)+ft_oth*((G940-G933)-($D940-$D933))+G949-(G947-$D947)</f>
        <v>31.5274870059331</v>
      </c>
      <c r="K950" s="3" t="s">
        <v>657</v>
      </c>
    </row>
    <row r="951" customFormat="false" ht="15" hidden="false" customHeight="false" outlineLevel="0" collapsed="false">
      <c r="A951" s="3" t="s">
        <v>512</v>
      </c>
      <c r="B951" s="0" t="s">
        <v>44</v>
      </c>
      <c r="C951" s="16" t="n">
        <f aca="false">C950/C940</f>
        <v>0.0907823662659</v>
      </c>
      <c r="D951" s="16" t="n">
        <f aca="false">D950/D940</f>
        <v>0.268820913337583</v>
      </c>
      <c r="E951" s="16" t="n">
        <f aca="false">E950/E940</f>
        <v>0.35815087989632</v>
      </c>
      <c r="F951" s="16" t="n">
        <f aca="false">F950/F940</f>
        <v>0.343218613933214</v>
      </c>
      <c r="G951" s="16" t="n">
        <f aca="false">G950/G940</f>
        <v>0.324769896783516</v>
      </c>
    </row>
    <row r="952" customFormat="false" ht="15" hidden="false" customHeight="false" outlineLevel="0" collapsed="false">
      <c r="A952" s="3" t="s">
        <v>514</v>
      </c>
      <c r="B952" s="0" t="s">
        <v>333</v>
      </c>
      <c r="C952" s="21" t="n">
        <f aca="false">a25_opx</f>
        <v>1.665</v>
      </c>
      <c r="D952" s="21" t="n">
        <f aca="false">a26_opx</f>
        <v>1.9</v>
      </c>
      <c r="E952" s="21" t="n">
        <f aca="false">D952*(1+phi*E942)</f>
        <v>2.3063188</v>
      </c>
      <c r="F952" s="21" t="n">
        <f aca="false">E952*(1+phi*F942)</f>
        <v>2.45351923142076</v>
      </c>
      <c r="G952" s="21" t="n">
        <f aca="false">F952*(1+phi*G942)</f>
        <v>2.59138049822089</v>
      </c>
    </row>
    <row r="953" customFormat="false" ht="15" hidden="false" customHeight="false" outlineLevel="0" collapsed="false">
      <c r="A953" s="3" t="s">
        <v>517</v>
      </c>
      <c r="B953" s="0" t="s">
        <v>333</v>
      </c>
      <c r="C953" s="21" t="n">
        <f aca="false">C950-C952</f>
        <v>1.982</v>
      </c>
      <c r="D953" s="21" t="n">
        <f aca="false">D950-D952</f>
        <v>14.0001925</v>
      </c>
      <c r="E953" s="21" t="n">
        <f aca="false">E950-E952</f>
        <v>26.4279094401707</v>
      </c>
      <c r="F953" s="21" t="n">
        <f aca="false">F950-F952</f>
        <v>28.011860639796</v>
      </c>
      <c r="G953" s="21" t="n">
        <f aca="false">G950-G952</f>
        <v>28.9361065077122</v>
      </c>
    </row>
    <row r="954" customFormat="false" ht="15" hidden="false" customHeight="false" outlineLevel="0" collapsed="false">
      <c r="A954" s="3" t="s">
        <v>598</v>
      </c>
      <c r="B954" s="0" t="s">
        <v>44</v>
      </c>
      <c r="C954" s="16" t="n">
        <f aca="false">C953/C940</f>
        <v>0.0493366191222961</v>
      </c>
      <c r="D954" s="16" t="n">
        <f aca="false">D953/D940</f>
        <v>0.236698048451424</v>
      </c>
      <c r="E954" s="16" t="n">
        <f aca="false">E953/E940</f>
        <v>0.329404323676423</v>
      </c>
      <c r="F954" s="16" t="n">
        <f aca="false">F953/F940</f>
        <v>0.315577617056549</v>
      </c>
      <c r="G954" s="16" t="n">
        <f aca="false">G953/G940</f>
        <v>0.298075654493427</v>
      </c>
    </row>
    <row r="955" customFormat="false" ht="15" hidden="false" customHeight="false" outlineLevel="0" collapsed="false">
      <c r="A955" s="3" t="s">
        <v>520</v>
      </c>
      <c r="B955" s="0" t="s">
        <v>333</v>
      </c>
      <c r="C955" s="21" t="n">
        <f aca="false">a25_nonop</f>
        <v>0.364</v>
      </c>
      <c r="D955" s="21" t="n">
        <f aca="false">a26_nonop</f>
        <v>0.623</v>
      </c>
      <c r="E955" s="21" t="n">
        <f aca="false">nonop27</f>
        <v>0.6</v>
      </c>
      <c r="F955" s="21" t="n">
        <f aca="false">nonop28</f>
        <v>0.6</v>
      </c>
      <c r="G955" s="21" t="n">
        <f aca="false">nonop29</f>
        <v>0.6</v>
      </c>
    </row>
    <row r="956" customFormat="false" ht="15" hidden="false" customHeight="false" outlineLevel="0" collapsed="false">
      <c r="A956" s="3" t="s">
        <v>522</v>
      </c>
      <c r="B956" s="0" t="s">
        <v>333</v>
      </c>
      <c r="C956" s="21" t="n">
        <f aca="false">C953+C955</f>
        <v>2.346</v>
      </c>
      <c r="D956" s="21" t="n">
        <f aca="false">D953+D955</f>
        <v>14.6231925</v>
      </c>
      <c r="E956" s="21" t="n">
        <f aca="false">E953+E955</f>
        <v>27.0279094401707</v>
      </c>
      <c r="F956" s="21" t="n">
        <f aca="false">F953+F955</f>
        <v>28.611860639796</v>
      </c>
      <c r="G956" s="21" t="n">
        <f aca="false">G953+G955</f>
        <v>29.5361065077122</v>
      </c>
    </row>
    <row r="957" customFormat="false" ht="15" hidden="false" customHeight="false" outlineLevel="0" collapsed="false">
      <c r="A957" s="3" t="s">
        <v>525</v>
      </c>
      <c r="B957" s="0" t="s">
        <v>333</v>
      </c>
      <c r="E957" s="21" t="n">
        <f aca="false">E956*tax</f>
        <v>5.67586098243584</v>
      </c>
      <c r="F957" s="21" t="n">
        <f aca="false">F956*tax</f>
        <v>6.00849073435715</v>
      </c>
      <c r="G957" s="21" t="n">
        <f aca="false">G956*tax</f>
        <v>6.20258236661957</v>
      </c>
    </row>
    <row r="958" customFormat="false" ht="15" hidden="false" customHeight="false" outlineLevel="0" collapsed="false">
      <c r="A958" s="3" t="s">
        <v>523</v>
      </c>
      <c r="B958" s="0" t="s">
        <v>333</v>
      </c>
      <c r="C958" s="21" t="n">
        <f aca="false">a25_ni</f>
        <v>1.947</v>
      </c>
      <c r="D958" s="21" t="n">
        <f aca="false">a26_ni</f>
        <v>11.509862075</v>
      </c>
      <c r="E958" s="21" t="n">
        <f aca="false">E956-E957</f>
        <v>21.3520484577348</v>
      </c>
      <c r="F958" s="21" t="n">
        <f aca="false">F956-F957</f>
        <v>22.6033699054388</v>
      </c>
      <c r="G958" s="21" t="n">
        <f aca="false">G956-G957</f>
        <v>23.3335241410927</v>
      </c>
      <c r="H958" s="30" t="n">
        <f aca="false">H940*H962</f>
        <v>25.6578016663971</v>
      </c>
      <c r="I958" s="30" t="n">
        <f aca="false">I940*I962</f>
        <v>27.9144377258436</v>
      </c>
      <c r="J958" s="30" t="n">
        <f aca="false">J940*J962</f>
        <v>30.0444515034082</v>
      </c>
    </row>
    <row r="959" customFormat="false" ht="15" hidden="false" customHeight="false" outlineLevel="0" collapsed="false">
      <c r="A959" s="3" t="s">
        <v>658</v>
      </c>
      <c r="B959" s="3" t="s">
        <v>400</v>
      </c>
      <c r="C959" s="29" t="n">
        <f aca="false">a25_sh</f>
        <v>0.646843853820598</v>
      </c>
      <c r="D959" s="29" t="n">
        <f aca="false">a26_sh</f>
        <v>0.645863325123153</v>
      </c>
      <c r="E959" s="29" t="n">
        <f aca="false">a26_shend*(1+sh_g)</f>
        <v>0.64617</v>
      </c>
      <c r="F959" s="29" t="n">
        <f aca="false">E959*(1+sh_g)</f>
        <v>0.64617</v>
      </c>
      <c r="G959" s="29" t="n">
        <f aca="false">F959*(1+sh_g)</f>
        <v>0.64617</v>
      </c>
      <c r="H959" s="31" t="n">
        <f aca="false">G959*(1+sh_g)</f>
        <v>0.64617</v>
      </c>
      <c r="I959" s="31" t="n">
        <f aca="false">H959*(1+sh_g)</f>
        <v>0.64617</v>
      </c>
      <c r="J959" s="31" t="n">
        <f aca="false">I959*(1+sh_g)</f>
        <v>0.64617</v>
      </c>
    </row>
    <row r="960" customFormat="false" ht="17.15" hidden="false" customHeight="false" outlineLevel="0" collapsed="false">
      <c r="A960" s="0" t="s">
        <v>528</v>
      </c>
      <c r="B960" s="0" t="s">
        <v>406</v>
      </c>
      <c r="C960" s="18" t="n">
        <f aca="false">C958/C959</f>
        <v>3.01</v>
      </c>
      <c r="D960" s="18" t="n">
        <f aca="false">D958/D959</f>
        <v>17.820894339844</v>
      </c>
      <c r="E960" s="18" t="n">
        <f aca="false">E958/E959</f>
        <v>33.0440107986054</v>
      </c>
      <c r="F960" s="18" t="n">
        <f aca="false">F958/F959</f>
        <v>34.9805312927539</v>
      </c>
      <c r="G960" s="18" t="n">
        <f aca="false">G958/G959</f>
        <v>36.1105036462427</v>
      </c>
      <c r="H960" s="28" t="n">
        <f aca="false">H958/H959</f>
        <v>39.7075098912006</v>
      </c>
      <c r="I960" s="28" t="n">
        <f aca="false">I958/I959</f>
        <v>43.1998355322029</v>
      </c>
      <c r="J960" s="28" t="n">
        <f aca="false">J958/J959</f>
        <v>46.4962030168659</v>
      </c>
    </row>
    <row r="961" customFormat="false" ht="17.15" hidden="false" customHeight="false" outlineLevel="0" collapsed="false">
      <c r="A961" s="0" t="s">
        <v>659</v>
      </c>
      <c r="B961" s="0" t="s">
        <v>44</v>
      </c>
      <c r="D961" s="20" t="n">
        <f aca="false">D960/C960-1</f>
        <v>4.92056290360265</v>
      </c>
      <c r="E961" s="20" t="n">
        <f aca="false">E960/D960-1</f>
        <v>0.854228534688382</v>
      </c>
      <c r="F961" s="20" t="n">
        <f aca="false">F960/E960-1</f>
        <v>0.0586042809981862</v>
      </c>
      <c r="G961" s="20" t="n">
        <f aca="false">G960/F960-1</f>
        <v>0.0323028928300713</v>
      </c>
      <c r="H961" s="26" t="n">
        <f aca="false">H960/G960-1</f>
        <v>0.099611079374468</v>
      </c>
      <c r="I961" s="26" t="n">
        <f aca="false">I960/H960-1</f>
        <v>0.0879512628863237</v>
      </c>
      <c r="J961" s="26" t="n">
        <f aca="false">J960/I960-1</f>
        <v>0.0763050933887413</v>
      </c>
    </row>
    <row r="962" customFormat="false" ht="17.15" hidden="false" customHeight="false" outlineLevel="0" collapsed="false">
      <c r="A962" s="3" t="s">
        <v>660</v>
      </c>
      <c r="B962" s="0" t="s">
        <v>44</v>
      </c>
      <c r="C962" s="16" t="n">
        <f aca="false">C958/C940</f>
        <v>0.0484653872003585</v>
      </c>
      <c r="D962" s="16" t="n">
        <f aca="false">D958/D940</f>
        <v>0.194594602259759</v>
      </c>
      <c r="E962" s="16" t="n">
        <f aca="false">E958/E940</f>
        <v>0.266137474749911</v>
      </c>
      <c r="F962" s="16" t="n">
        <f aca="false">F958/F940</f>
        <v>0.254646333705952</v>
      </c>
      <c r="G962" s="16" t="n">
        <f aca="false">G958/G940</f>
        <v>0.240362520028071</v>
      </c>
      <c r="H962" s="27" t="n">
        <f aca="false">$G962+(fade_mA-$G962)*1/3</f>
        <v>0.244177170792339</v>
      </c>
      <c r="I962" s="27" t="n">
        <f aca="false">$G962+(fade_mA-$G962)*2/3</f>
        <v>0.247991821556608</v>
      </c>
      <c r="J962" s="27" t="n">
        <f aca="false">$G962+(fade_mA-$G962)*3/3</f>
        <v>0.251806472320876</v>
      </c>
    </row>
    <row r="963" customFormat="false" ht="17.15" hidden="false" customHeight="false" outlineLevel="0" collapsed="false">
      <c r="A963" s="3" t="s">
        <v>661</v>
      </c>
      <c r="B963" s="0" t="s">
        <v>44</v>
      </c>
      <c r="C963" s="20" t="n">
        <f aca="false">C946/C940</f>
        <v>0.0602892489980833</v>
      </c>
      <c r="D963" s="20" t="n">
        <f aca="false">D946/D940</f>
        <v>0.0676270839708595</v>
      </c>
      <c r="E963" s="20" t="n">
        <f aca="false">E946/E940</f>
        <v>0.249285191794796</v>
      </c>
      <c r="F963" s="20" t="n">
        <f aca="false">F946/F940</f>
        <v>0.270380568672298</v>
      </c>
      <c r="G963" s="20" t="n">
        <f aca="false">G946/G940</f>
        <v>0.206023332416185</v>
      </c>
      <c r="H963" s="26" t="n">
        <f aca="false">$G963+($G948*(1+tp_g)^(life/2)-$G963)*1/3</f>
        <v>0.178831157548645</v>
      </c>
      <c r="I963" s="26" t="n">
        <f aca="false">$G963+($G948*(1+tp_g)^(life/2)-$G963)*2/3</f>
        <v>0.151638982681105</v>
      </c>
      <c r="J963" s="26" t="n">
        <f aca="false">$G963+($G948*(1+tp_g)^(life/2)-$G963)*3/3</f>
        <v>0.124446807813565</v>
      </c>
      <c r="K963" s="7" t="s">
        <v>662</v>
      </c>
    </row>
    <row r="964" customFormat="false" ht="15" hidden="false" customHeight="false" outlineLevel="0" collapsed="false">
      <c r="A964" s="3" t="s">
        <v>663</v>
      </c>
      <c r="B964" s="0" t="s">
        <v>333</v>
      </c>
      <c r="E964" s="21" t="n">
        <f aca="false">E958+E947-E946</f>
        <v>8.06454845773483</v>
      </c>
      <c r="F964" s="21" t="n">
        <f aca="false">F958+F947-F946</f>
        <v>6.97680740543881</v>
      </c>
      <c r="G964" s="21" t="n">
        <f aca="false">G958+G947-G946</f>
        <v>13.6602819535927</v>
      </c>
      <c r="H964" s="30" t="n">
        <f aca="false">H958+H947-H946</f>
        <v>18.0444869293603</v>
      </c>
      <c r="I964" s="30" t="n">
        <f aca="false">I958+I947-I946</f>
        <v>22.8197351497234</v>
      </c>
      <c r="J964" s="30" t="n">
        <f aca="false">J958+J947-J946</f>
        <v>27.888518639069</v>
      </c>
      <c r="K964" s="3" t="s">
        <v>664</v>
      </c>
    </row>
    <row r="965" customFormat="false" ht="15" hidden="false" customHeight="false" outlineLevel="0" collapsed="false">
      <c r="A965" s="3" t="s">
        <v>665</v>
      </c>
      <c r="B965" s="0" t="s">
        <v>406</v>
      </c>
      <c r="E965" s="18" t="n">
        <f aca="false">E964/E959</f>
        <v>12.4805367902175</v>
      </c>
      <c r="F965" s="18" t="n">
        <f aca="false">F964/F959</f>
        <v>10.7971701029742</v>
      </c>
      <c r="G965" s="18" t="n">
        <f aca="false">G964/G959</f>
        <v>21.1403840376258</v>
      </c>
      <c r="H965" s="28" t="n">
        <f aca="false">H964/H959</f>
        <v>27.9252935440523</v>
      </c>
      <c r="I965" s="28" t="n">
        <f aca="false">I964/I959</f>
        <v>35.3153738949864</v>
      </c>
      <c r="J965" s="28" t="n">
        <f aca="false">J964/J959</f>
        <v>43.1597236626104</v>
      </c>
    </row>
    <row r="968" customFormat="false" ht="17.15" hidden="false" customHeight="false" outlineLevel="0" collapsed="false">
      <c r="A968" s="1" t="s">
        <v>1024</v>
      </c>
    </row>
    <row r="969" customFormat="false" ht="17.15" hidden="false" customHeight="false" outlineLevel="0" collapsed="false">
      <c r="A969" s="4" t="s">
        <v>21</v>
      </c>
      <c r="B969" s="4" t="s">
        <v>22</v>
      </c>
      <c r="C969" s="13" t="s">
        <v>498</v>
      </c>
      <c r="D969" s="13" t="s">
        <v>585</v>
      </c>
      <c r="E969" s="13" t="s">
        <v>586</v>
      </c>
      <c r="F969" s="13" t="s">
        <v>587</v>
      </c>
      <c r="G969" s="13" t="s">
        <v>588</v>
      </c>
      <c r="H969" s="13" t="s">
        <v>589</v>
      </c>
      <c r="I969" s="13" t="s">
        <v>590</v>
      </c>
      <c r="J969" s="13" t="s">
        <v>591</v>
      </c>
      <c r="K969" s="4" t="s">
        <v>553</v>
      </c>
    </row>
    <row r="970" customFormat="false" ht="17.15" hidden="false" customHeight="false" outlineLevel="0" collapsed="false">
      <c r="A970" s="5" t="s">
        <v>609</v>
      </c>
    </row>
    <row r="971" customFormat="false" ht="17.15" hidden="false" customHeight="false" outlineLevel="0" collapsed="false">
      <c r="A971" s="0" t="s">
        <v>610</v>
      </c>
      <c r="B971" s="3" t="s">
        <v>32</v>
      </c>
      <c r="D971" s="21" t="n">
        <f aca="false">(u_bw_26+u_rb_26+u_ru_26+u_hp_26)*1</f>
        <v>7.6</v>
      </c>
      <c r="E971" s="21" t="n">
        <f aca="false">(u_bw_27+u_rb_27+u_ru_27+u_hp_27)*1*1</f>
        <v>9.7</v>
      </c>
      <c r="F971" s="21" t="n">
        <f aca="false">(u_bw_28+u_rb_28+u_ru_28+u_hp_28)*um28_A*1</f>
        <v>9.5</v>
      </c>
      <c r="G971" s="21" t="n">
        <f aca="false">(u_bw_28*(1+g29_bw)+u_rb_28*(1+g29_rb)+u_ru_28*(1+g29_ru)+u_hp_28*(1+g29_hp))*um29_A*1</f>
        <v>10.6</v>
      </c>
      <c r="K971" s="7" t="s">
        <v>611</v>
      </c>
    </row>
    <row r="972" customFormat="false" ht="17.15" hidden="false" customHeight="false" outlineLevel="0" collapsed="false">
      <c r="A972" s="3" t="s">
        <v>612</v>
      </c>
      <c r="B972" s="3" t="s">
        <v>32</v>
      </c>
      <c r="D972" s="21" t="n">
        <f aca="false">(u_amd_26+u_tpu_26+u_trn_26+u_oth_26)*1</f>
        <v>7.6</v>
      </c>
      <c r="E972" s="21" t="n">
        <f aca="false">(u_amd_27+u_tpu_27+u_trn_27+u_oth_27)*1*1</f>
        <v>14</v>
      </c>
      <c r="F972" s="21" t="n">
        <f aca="false">(u_amd_28+u_tpu_28+u_trn_28+u_oth_28)*um28_A*1</f>
        <v>17</v>
      </c>
      <c r="G972" s="21" t="n">
        <f aca="false">(u_amd_28*(1+g29_amd)+u_tpu_28*(1+g29_tpu)+u_trn_28*(1+g29_trn)+u_oth_28*(1+g29_oth))*um29_A*1</f>
        <v>19.55</v>
      </c>
      <c r="K972" s="7" t="s">
        <v>613</v>
      </c>
    </row>
    <row r="973" customFormat="false" ht="17.15" hidden="false" customHeight="false" outlineLevel="0" collapsed="false">
      <c r="A973" s="3" t="s">
        <v>614</v>
      </c>
      <c r="B973" s="0" t="s">
        <v>154</v>
      </c>
      <c r="D973" s="19" t="n">
        <f aca="false">1</f>
        <v>1</v>
      </c>
      <c r="E973" s="19" t="n">
        <f aca="false">D973*(1+g_asp)</f>
        <v>1.18</v>
      </c>
      <c r="F973" s="19" t="n">
        <f aca="false">E973*(1+g_asp)</f>
        <v>1.3924</v>
      </c>
      <c r="G973" s="19" t="n">
        <f aca="false">F973*(1+g_asp)</f>
        <v>1.643032</v>
      </c>
      <c r="K973" s="7" t="s">
        <v>615</v>
      </c>
    </row>
    <row r="974" customFormat="false" ht="17.15" hidden="false" customHeight="false" outlineLevel="0" collapsed="false">
      <c r="A974" s="0" t="s">
        <v>616</v>
      </c>
      <c r="B974" s="0" t="s">
        <v>154</v>
      </c>
      <c r="D974" s="18" t="n">
        <f aca="false">1</f>
        <v>1</v>
      </c>
      <c r="E974" s="18" t="n">
        <f aca="false">ibpp_27</f>
        <v>1</v>
      </c>
      <c r="F974" s="18" t="n">
        <f aca="false">ibpp_28</f>
        <v>0.95</v>
      </c>
      <c r="G974" s="18" t="n">
        <f aca="false">ibpp_29</f>
        <v>0.9</v>
      </c>
      <c r="K974" s="7" t="s">
        <v>617</v>
      </c>
    </row>
    <row r="975" customFormat="false" ht="17.15" hidden="false" customHeight="false" outlineLevel="0" collapsed="false">
      <c r="A975" s="3" t="s">
        <v>618</v>
      </c>
      <c r="B975" s="0" t="s">
        <v>154</v>
      </c>
      <c r="D975" s="18" t="n">
        <f aca="false">1</f>
        <v>1</v>
      </c>
      <c r="E975" s="18" t="n">
        <f aca="false">1+carry</f>
        <v>1.15</v>
      </c>
      <c r="F975" s="18" t="n">
        <f aca="false">1+carry</f>
        <v>1.15</v>
      </c>
      <c r="G975" s="18" t="n">
        <f aca="false">1+carry</f>
        <v>1.15</v>
      </c>
      <c r="K975" s="7" t="s">
        <v>619</v>
      </c>
    </row>
    <row r="976" customFormat="false" ht="17.15" hidden="false" customHeight="false" outlineLevel="0" collapsed="false">
      <c r="A976" s="3" t="s">
        <v>620</v>
      </c>
      <c r="B976" s="0" t="s">
        <v>621</v>
      </c>
      <c r="D976" s="23" t="n">
        <f aca="false">v26*D973*D974</f>
        <v>215.308596</v>
      </c>
      <c r="E976" s="23" t="n">
        <f aca="false">v26*E973*E974</f>
        <v>254.06414328</v>
      </c>
      <c r="F976" s="23" t="n">
        <f aca="false">v26*F973*F974</f>
        <v>284.80590461688</v>
      </c>
      <c r="G976" s="23" t="n">
        <f aca="false">v26*G973*G974</f>
        <v>318.383021792765</v>
      </c>
      <c r="K976" s="7" t="s">
        <v>622</v>
      </c>
    </row>
    <row r="977" customFormat="false" ht="17.15" hidden="false" customHeight="false" outlineLevel="0" collapsed="false">
      <c r="A977" s="3" t="s">
        <v>623</v>
      </c>
      <c r="B977" s="0" t="s">
        <v>44</v>
      </c>
      <c r="D977" s="20" t="n">
        <f aca="false">sh_nv_26_lo</f>
        <v>0.01</v>
      </c>
      <c r="E977" s="20" t="n">
        <f aca="false">sh_nv_27_lo</f>
        <v>0.01</v>
      </c>
      <c r="F977" s="20" t="n">
        <f aca="false">sh_nv_28_lo</f>
        <v>0.01</v>
      </c>
      <c r="G977" s="20" t="n">
        <f aca="false">sh_nv_29_lo</f>
        <v>0.01</v>
      </c>
    </row>
    <row r="978" customFormat="false" ht="17.15" hidden="false" customHeight="false" outlineLevel="0" collapsed="false">
      <c r="A978" s="3" t="s">
        <v>624</v>
      </c>
      <c r="B978" s="0" t="s">
        <v>44</v>
      </c>
      <c r="D978" s="20" t="n">
        <f aca="false">sh_ot_26</f>
        <v>0.05</v>
      </c>
      <c r="E978" s="20" t="n">
        <f aca="false">sh_ot_27</f>
        <v>0.06</v>
      </c>
      <c r="F978" s="20" t="n">
        <f aca="false">sh_ot_28</f>
        <v>0.07</v>
      </c>
      <c r="G978" s="20" t="n">
        <f aca="false">sh_ot_29</f>
        <v>0.07</v>
      </c>
    </row>
    <row r="979" customFormat="false" ht="17.15" hidden="false" customHeight="false" outlineLevel="0" collapsed="false">
      <c r="A979" s="3" t="s">
        <v>625</v>
      </c>
      <c r="B979" s="0" t="s">
        <v>575</v>
      </c>
      <c r="D979" s="22" t="n">
        <f aca="false">(D971*D976*D977+D972*D976*v_ot*D978)*D975</f>
        <v>81.81726648</v>
      </c>
      <c r="E979" s="22" t="n">
        <f aca="false">(E971*E976*E977+E972*E976*v_ot*E978)*E975</f>
        <v>224.681625109668</v>
      </c>
      <c r="F979" s="22" t="n">
        <f aca="false">(F971*F976*F977+F972*F976*v_ot*F978)*F975</f>
        <v>342.920549453954</v>
      </c>
      <c r="G979" s="22" t="n">
        <f aca="false">(G971*G976*G977+G972*G976*v_ot*G978)*G975</f>
        <v>439.661482454065</v>
      </c>
    </row>
    <row r="980" customFormat="false" ht="15" hidden="false" customHeight="false" outlineLevel="0" collapsed="false">
      <c r="A980" s="3" t="s">
        <v>626</v>
      </c>
      <c r="B980" s="0" t="s">
        <v>333</v>
      </c>
      <c r="D980" s="21" t="n">
        <f aca="false">D979*fx/1000</f>
        <v>2.61815252736</v>
      </c>
      <c r="E980" s="21" t="n">
        <f aca="false">E979*fx/1000</f>
        <v>7.18981200350937</v>
      </c>
      <c r="F980" s="21" t="n">
        <f aca="false">F979*fx/1000</f>
        <v>10.9734575825265</v>
      </c>
      <c r="G980" s="21" t="n">
        <f aca="false">G979*fx/1000</f>
        <v>14.0691674385301</v>
      </c>
    </row>
    <row r="981" customFormat="false" ht="17.15" hidden="false" customHeight="false" outlineLevel="0" collapsed="false">
      <c r="A981" s="5" t="s">
        <v>627</v>
      </c>
    </row>
    <row r="982" customFormat="false" ht="17.15" hidden="false" customHeight="false" outlineLevel="0" collapsed="false">
      <c r="A982" s="0" t="s">
        <v>628</v>
      </c>
      <c r="B982" s="0" t="s">
        <v>333</v>
      </c>
      <c r="D982" s="21" t="n">
        <f aca="false">a26_abf*ai_abf</f>
        <v>22.2987583</v>
      </c>
      <c r="K982" s="3" t="s">
        <v>629</v>
      </c>
    </row>
    <row r="983" customFormat="false" ht="17.15" hidden="false" customHeight="false" outlineLevel="0" collapsed="false">
      <c r="A983" s="3" t="s">
        <v>630</v>
      </c>
      <c r="B983" s="0" t="s">
        <v>333</v>
      </c>
      <c r="D983" s="21" t="n">
        <f aca="false">D982-D980</f>
        <v>19.68060577264</v>
      </c>
      <c r="E983" s="21" t="n">
        <f aca="false">$D983*(swm_27/swm_26)^el_o*1*1*E974*E975</f>
        <v>31.6566422983277</v>
      </c>
      <c r="F983" s="21" t="n">
        <f aca="false">$D983*(swm_28/swm_26)^el_o*um28_A*1*F974*F975</f>
        <v>32.3518645189045</v>
      </c>
      <c r="G983" s="21" t="n">
        <f aca="false">$D983*(swm_29/swm_26)^el_o*um29_A*1*G974*G975</f>
        <v>32.6967417899236</v>
      </c>
      <c r="K983" s="7" t="s">
        <v>631</v>
      </c>
    </row>
    <row r="984" customFormat="false" ht="17.15" hidden="false" customHeight="false" outlineLevel="0" collapsed="false">
      <c r="A984" s="3" t="s">
        <v>632</v>
      </c>
      <c r="B984" s="0" t="s">
        <v>333</v>
      </c>
      <c r="D984" s="21" t="n">
        <f aca="false">a26_abf-D982</f>
        <v>12.0070237</v>
      </c>
      <c r="E984" s="21" t="n">
        <f aca="false">D984*(1+g_nai)</f>
        <v>12.367234411</v>
      </c>
      <c r="F984" s="21" t="n">
        <f aca="false">E984*(1+g_nai)</f>
        <v>12.73825144333</v>
      </c>
      <c r="G984" s="21" t="n">
        <f aca="false">F984*(1+g_nai)</f>
        <v>13.1203989866299</v>
      </c>
    </row>
    <row r="985" customFormat="false" ht="17.15" hidden="false" customHeight="false" outlineLevel="0" collapsed="false">
      <c r="A985" s="0" t="s">
        <v>633</v>
      </c>
      <c r="B985" s="0" t="s">
        <v>333</v>
      </c>
      <c r="D985" s="21" t="n">
        <f aca="false">D980+D983+D984</f>
        <v>34.305782</v>
      </c>
      <c r="E985" s="21" t="n">
        <f aca="false">E980+E983+E984</f>
        <v>51.2136887128371</v>
      </c>
      <c r="F985" s="21" t="n">
        <f aca="false">F980+F983+F984</f>
        <v>56.0635735447611</v>
      </c>
      <c r="G985" s="21" t="n">
        <f aca="false">G980+G983+G984</f>
        <v>59.8863082150836</v>
      </c>
    </row>
    <row r="986" customFormat="false" ht="17.15" hidden="false" customHeight="false" outlineLevel="0" collapsed="false">
      <c r="A986" s="0" t="s">
        <v>634</v>
      </c>
      <c r="B986" s="0" t="s">
        <v>333</v>
      </c>
      <c r="D986" s="21" t="n">
        <f aca="false">a26_abf</f>
        <v>34.305782</v>
      </c>
      <c r="E986" s="21" t="n">
        <f aca="false">$D985*cap_27*(1+g_mix)^1*E974*E975</f>
        <v>49.709078118</v>
      </c>
      <c r="F986" s="21" t="n">
        <f aca="false">$D985*cap_28*(1+g_mix)^2*F974*F975</f>
        <v>55.7829061005431</v>
      </c>
      <c r="G986" s="21" t="n">
        <f aca="false">$D985*cap_29*(1+g_mix)^3*G974*G975</f>
        <v>65.765110350114</v>
      </c>
      <c r="K986" s="7" t="s">
        <v>635</v>
      </c>
    </row>
    <row r="987" customFormat="false" ht="17.15" hidden="false" customHeight="false" outlineLevel="0" collapsed="false">
      <c r="A987" s="0" t="s">
        <v>636</v>
      </c>
      <c r="B987" s="0" t="s">
        <v>333</v>
      </c>
      <c r="D987" s="21" t="n">
        <f aca="false">a26_abf</f>
        <v>34.305782</v>
      </c>
      <c r="E987" s="21" t="n">
        <f aca="false">MIN(E985,E986)</f>
        <v>49.709078118</v>
      </c>
      <c r="F987" s="21" t="n">
        <f aca="false">MIN(F985,F986)</f>
        <v>55.7829061005431</v>
      </c>
      <c r="G987" s="21" t="n">
        <f aca="false">MIN(G985,G986)</f>
        <v>59.8863082150836</v>
      </c>
    </row>
    <row r="988" customFormat="false" ht="17.15" hidden="false" customHeight="false" outlineLevel="0" collapsed="false">
      <c r="A988" s="3" t="s">
        <v>637</v>
      </c>
      <c r="B988" s="0" t="s">
        <v>44</v>
      </c>
      <c r="D988" s="20" t="n">
        <f aca="false">D987/D985</f>
        <v>1</v>
      </c>
      <c r="E988" s="20" t="n">
        <f aca="false">E987/E985</f>
        <v>0.970620929039623</v>
      </c>
      <c r="F988" s="20" t="n">
        <f aca="false">F987/F985</f>
        <v>0.994993764641245</v>
      </c>
      <c r="G988" s="20" t="n">
        <f aca="false">G987/G985</f>
        <v>1</v>
      </c>
    </row>
    <row r="989" customFormat="false" ht="17.15" hidden="false" customHeight="false" outlineLevel="0" collapsed="false">
      <c r="A989" s="0" t="s">
        <v>638</v>
      </c>
      <c r="B989" s="0" t="s">
        <v>333</v>
      </c>
      <c r="D989" s="21" t="n">
        <f aca="false">(D980+D983)*D988</f>
        <v>22.2987583</v>
      </c>
      <c r="E989" s="21" t="n">
        <f aca="false">(E980+E983)*E988</f>
        <v>37.7051815643444</v>
      </c>
      <c r="F989" s="21" t="n">
        <f aca="false">(F980+F983)*F988</f>
        <v>43.1084253419974</v>
      </c>
      <c r="G989" s="21" t="n">
        <f aca="false">(G980+G983)*G988</f>
        <v>46.7659092284537</v>
      </c>
    </row>
    <row r="990" customFormat="false" ht="17.15" hidden="false" customHeight="false" outlineLevel="0" collapsed="false">
      <c r="A990" s="3" t="s">
        <v>639</v>
      </c>
      <c r="B990" s="0" t="s">
        <v>44</v>
      </c>
      <c r="D990" s="20" t="n">
        <f aca="false">D980/(D980+D983)</f>
        <v>0.117412480647409</v>
      </c>
      <c r="E990" s="20" t="n">
        <f aca="false">E980/(E980+E983)</f>
        <v>0.185082837873555</v>
      </c>
      <c r="F990" s="20" t="n">
        <f aca="false">F980/(F980+F983)</f>
        <v>0.253280461639409</v>
      </c>
      <c r="G990" s="20" t="n">
        <f aca="false">G980/(G980+G983)</f>
        <v>0.300842380072234</v>
      </c>
    </row>
    <row r="991" customFormat="false" ht="17.15" hidden="false" customHeight="false" outlineLevel="0" collapsed="false">
      <c r="A991" s="5" t="s">
        <v>640</v>
      </c>
    </row>
    <row r="992" customFormat="false" ht="17.15" hidden="false" customHeight="false" outlineLevel="0" collapsed="false">
      <c r="A992" s="0" t="s">
        <v>641</v>
      </c>
      <c r="B992" s="0" t="s">
        <v>333</v>
      </c>
      <c r="D992" s="21" t="n">
        <f aca="false">a26_bt</f>
        <v>18.927328</v>
      </c>
      <c r="E992" s="21" t="n">
        <f aca="false">D992*(1+g_bt27_A)</f>
        <v>24.6055264</v>
      </c>
      <c r="F992" s="21" t="n">
        <f aca="false">E992*(1+g_bt28_A)</f>
        <v>27.06607904</v>
      </c>
      <c r="G992" s="21" t="n">
        <f aca="false">F992*(1+g_bt29_A)</f>
        <v>28.419382992</v>
      </c>
      <c r="K992" s="7" t="s">
        <v>642</v>
      </c>
    </row>
    <row r="993" customFormat="false" ht="17.15" hidden="false" customHeight="false" outlineLevel="0" collapsed="false">
      <c r="A993" s="0" t="s">
        <v>540</v>
      </c>
      <c r="B993" s="0" t="s">
        <v>333</v>
      </c>
      <c r="D993" s="21" t="n">
        <f aca="false">a26_pcb</f>
        <v>5.91479</v>
      </c>
      <c r="E993" s="21" t="n">
        <f aca="false">D993*(1+g_pcb)</f>
        <v>5.91479</v>
      </c>
      <c r="F993" s="21" t="n">
        <f aca="false">E993*(1+g_pcb)</f>
        <v>5.91479</v>
      </c>
      <c r="G993" s="21" t="n">
        <f aca="false">F993*(1+g_pcb)</f>
        <v>5.91479</v>
      </c>
    </row>
    <row r="994" customFormat="false" ht="17.15" hidden="false" customHeight="false" outlineLevel="0" collapsed="false">
      <c r="A994" s="3" t="s">
        <v>505</v>
      </c>
      <c r="B994" s="0" t="s">
        <v>333</v>
      </c>
      <c r="C994" s="23" t="n">
        <f aca="false">a25_rev</f>
        <v>40.173</v>
      </c>
      <c r="D994" s="23" t="n">
        <f aca="false">D987+D992+D993</f>
        <v>59.1479</v>
      </c>
      <c r="E994" s="23" t="n">
        <f aca="false">E987+E992+E993</f>
        <v>80.229394518</v>
      </c>
      <c r="F994" s="23" t="n">
        <f aca="false">F987+F992+F993</f>
        <v>88.7637751405431</v>
      </c>
      <c r="G994" s="23" t="n">
        <f aca="false">G987+G992+G993</f>
        <v>94.2204812070836</v>
      </c>
      <c r="H994" s="25" t="n">
        <f aca="false">G994*(1+H996)</f>
        <v>99.9663269525935</v>
      </c>
      <c r="I994" s="25" t="n">
        <f aca="false">H994*(1+I996)</f>
        <v>106.013439032763</v>
      </c>
      <c r="J994" s="25" t="n">
        <f aca="false">I994*(1+J996)</f>
        <v>112.374245374729</v>
      </c>
      <c r="K994" s="7" t="s">
        <v>643</v>
      </c>
    </row>
    <row r="995" customFormat="false" ht="17.15" hidden="false" customHeight="false" outlineLevel="0" collapsed="false">
      <c r="A995" s="3" t="s">
        <v>644</v>
      </c>
      <c r="B995" s="0" t="s">
        <v>333</v>
      </c>
      <c r="D995" s="19" t="n">
        <f aca="false">D987+D992+D993-a26_rev</f>
        <v>0</v>
      </c>
      <c r="E995" s="19" t="n">
        <f aca="false">E987+E992+E993-E994</f>
        <v>0</v>
      </c>
      <c r="F995" s="19" t="n">
        <f aca="false">F987+F992+F993-F994</f>
        <v>0</v>
      </c>
      <c r="G995" s="19" t="n">
        <f aca="false">G987+G992+G993-G994</f>
        <v>0</v>
      </c>
    </row>
    <row r="996" customFormat="false" ht="15" hidden="false" customHeight="false" outlineLevel="0" collapsed="false">
      <c r="A996" s="3" t="s">
        <v>645</v>
      </c>
      <c r="B996" s="0" t="s">
        <v>44</v>
      </c>
      <c r="D996" s="20" t="n">
        <f aca="false">D994/C994-1</f>
        <v>0.472329674159261</v>
      </c>
      <c r="E996" s="20" t="n">
        <f aca="false">E994/D994-1</f>
        <v>0.35642</v>
      </c>
      <c r="F996" s="20" t="n">
        <f aca="false">F994/E994-1</f>
        <v>0.106374735517023</v>
      </c>
      <c r="G996" s="20" t="n">
        <f aca="false">G994/F994-1</f>
        <v>0.0614744703895327</v>
      </c>
      <c r="H996" s="26" t="n">
        <f aca="false">$G996+(fade_gA-$G996)*1/3</f>
        <v>0.0609829802596885</v>
      </c>
      <c r="I996" s="26" t="n">
        <f aca="false">$G996+(fade_gA-$G996)*2/3</f>
        <v>0.0604914901298442</v>
      </c>
      <c r="J996" s="26" t="n">
        <f aca="false">$G996+(fade_gA-$G996)*3/3</f>
        <v>0.06</v>
      </c>
    </row>
    <row r="997" customFormat="false" ht="17.15" hidden="false" customHeight="false" outlineLevel="0" collapsed="false">
      <c r="A997" s="0" t="s">
        <v>646</v>
      </c>
      <c r="B997" s="0" t="s">
        <v>44</v>
      </c>
      <c r="D997" s="20" t="n">
        <f aca="false">D987/D994</f>
        <v>0.58</v>
      </c>
      <c r="E997" s="20" t="n">
        <f aca="false">E987/E994</f>
        <v>0.619586853629407</v>
      </c>
      <c r="F997" s="20" t="n">
        <f aca="false">F987/F994</f>
        <v>0.62844224473576</v>
      </c>
      <c r="G997" s="20" t="n">
        <f aca="false">G987/G994</f>
        <v>0.635597562736511</v>
      </c>
    </row>
    <row r="998" customFormat="false" ht="17.15" hidden="false" customHeight="false" outlineLevel="0" collapsed="false">
      <c r="A998" s="0" t="s">
        <v>647</v>
      </c>
      <c r="B998" s="0" t="s">
        <v>44</v>
      </c>
      <c r="D998" s="20" t="n">
        <f aca="false">D989/D994</f>
        <v>0.377</v>
      </c>
      <c r="E998" s="20" t="n">
        <f aca="false">E989/E994</f>
        <v>0.46996717089626</v>
      </c>
      <c r="F998" s="20" t="n">
        <f aca="false">F989/F994</f>
        <v>0.48565335660569</v>
      </c>
      <c r="G998" s="20" t="n">
        <f aca="false">G989/G994</f>
        <v>0.496345472123717</v>
      </c>
      <c r="K998" s="3" t="s">
        <v>648</v>
      </c>
    </row>
    <row r="999" customFormat="false" ht="17.15" hidden="false" customHeight="false" outlineLevel="0" collapsed="false">
      <c r="A999" s="5" t="s">
        <v>649</v>
      </c>
    </row>
    <row r="1000" customFormat="false" ht="15" hidden="false" customHeight="false" outlineLevel="0" collapsed="false">
      <c r="A1000" s="3" t="s">
        <v>650</v>
      </c>
      <c r="B1000" s="0" t="s">
        <v>333</v>
      </c>
      <c r="C1000" s="23" t="n">
        <f aca="false">a25_cx</f>
        <v>2.422</v>
      </c>
      <c r="D1000" s="23" t="n">
        <f aca="false">capex26</f>
        <v>4</v>
      </c>
      <c r="E1000" s="23" t="n">
        <f aca="false">cx27</f>
        <v>14</v>
      </c>
      <c r="F1000" s="23" t="n">
        <f aca="false">cx28</f>
        <v>18</v>
      </c>
      <c r="G1000" s="23" t="n">
        <f aca="false">cx29</f>
        <v>12</v>
      </c>
      <c r="H1000" s="25" t="n">
        <f aca="false">H994*H1017</f>
        <v>12.1785753382136</v>
      </c>
      <c r="I1000" s="25" t="n">
        <f aca="false">I994*I1017</f>
        <v>12.3285899553054</v>
      </c>
      <c r="J1000" s="25" t="n">
        <f aca="false">J994*J1017</f>
        <v>12.4464186666818</v>
      </c>
    </row>
    <row r="1001" customFormat="false" ht="17.15" hidden="false" customHeight="false" outlineLevel="0" collapsed="false">
      <c r="A1001" s="3" t="s">
        <v>651</v>
      </c>
      <c r="B1001" s="0" t="s">
        <v>333</v>
      </c>
      <c r="C1001" s="23" t="n">
        <f aca="false">a25_da</f>
        <v>6.894</v>
      </c>
      <c r="D1001" s="23" t="n">
        <f aca="false">da26</f>
        <v>7.1</v>
      </c>
      <c r="E1001" s="23" t="n">
        <f aca="false">D1001*(1-1/life)+D1000/life</f>
        <v>6.7125</v>
      </c>
      <c r="F1001" s="23" t="n">
        <f aca="false">E1001*(1-1/life)+E1000/life</f>
        <v>7.6234375</v>
      </c>
      <c r="G1001" s="23" t="n">
        <f aca="false">F1001*(1-1/life)+F1000/life</f>
        <v>8.9205078125</v>
      </c>
      <c r="H1001" s="25" t="n">
        <f aca="false">H994*H1002</f>
        <v>9.46450696433608</v>
      </c>
      <c r="I1001" s="25" t="n">
        <f aca="false">I994*I1002</f>
        <v>10.0370290939531</v>
      </c>
      <c r="J1001" s="25" t="n">
        <f aca="false">J994*J1002</f>
        <v>10.6392508395902</v>
      </c>
      <c r="K1001" s="3" t="s">
        <v>652</v>
      </c>
    </row>
    <row r="1002" customFormat="false" ht="17.15" hidden="false" customHeight="false" outlineLevel="0" collapsed="false">
      <c r="A1002" s="3" t="s">
        <v>653</v>
      </c>
      <c r="B1002" s="0" t="s">
        <v>44</v>
      </c>
      <c r="C1002" s="20" t="n">
        <f aca="false">C1001/C994</f>
        <v>0.171607796281084</v>
      </c>
      <c r="D1002" s="20" t="n">
        <f aca="false">D1001/D994</f>
        <v>0.120038074048276</v>
      </c>
      <c r="E1002" s="20" t="n">
        <f aca="false">E1001/E994</f>
        <v>0.0836663424961285</v>
      </c>
      <c r="F1002" s="20" t="n">
        <f aca="false">F1001/F994</f>
        <v>0.0858845569369883</v>
      </c>
      <c r="G1002" s="20" t="n">
        <f aca="false">G1001/G994</f>
        <v>0.0946769502577041</v>
      </c>
      <c r="H1002" s="26" t="n">
        <f aca="false">$G1002</f>
        <v>0.0946769502577041</v>
      </c>
      <c r="I1002" s="26" t="n">
        <f aca="false">$G1002</f>
        <v>0.0946769502577041</v>
      </c>
      <c r="J1002" s="26" t="n">
        <f aca="false">$G1002</f>
        <v>0.0946769502577041</v>
      </c>
    </row>
    <row r="1003" customFormat="false" ht="17.15" hidden="false" customHeight="false" outlineLevel="0" collapsed="false">
      <c r="A1003" s="3" t="s">
        <v>654</v>
      </c>
      <c r="B1003" s="0" t="s">
        <v>333</v>
      </c>
      <c r="E1003" s="21" t="n">
        <f aca="false">E989*(1-1/(E974*E975))</f>
        <v>4.91806716056666</v>
      </c>
      <c r="F1003" s="21" t="n">
        <f aca="false">F989*(1-1/(F974*F975))</f>
        <v>3.64991244314394</v>
      </c>
      <c r="G1003" s="21" t="n">
        <f aca="false">G989*(1-1/(G974*G975))</f>
        <v>1.58145586762886</v>
      </c>
      <c r="K1003" s="7" t="s">
        <v>655</v>
      </c>
    </row>
    <row r="1004" customFormat="false" ht="17.15" hidden="false" customHeight="false" outlineLevel="0" collapsed="false">
      <c r="A1004" s="3" t="s">
        <v>656</v>
      </c>
      <c r="B1004" s="0" t="s">
        <v>333</v>
      </c>
      <c r="C1004" s="21" t="n">
        <f aca="false">a25_gp</f>
        <v>3.647</v>
      </c>
      <c r="D1004" s="21" t="n">
        <f aca="false">a26_gp</f>
        <v>15.9001925</v>
      </c>
      <c r="E1004" s="21" t="n">
        <f aca="false">$D1004+ft_abf*(E987-E1003-$D987)+ft_oth*((E994-E987)-($D994-$D987))+E1003-(E1001-$D1001)</f>
        <v>28.7196534992833</v>
      </c>
      <c r="F1004" s="21" t="n">
        <f aca="false">$D1004+ft_abf*(F987-F1003-$D987)+ft_oth*((F994-F987)-($D994-$D987))+F1003-(F1001-$D1001)</f>
        <v>31.1957736878435</v>
      </c>
      <c r="G1004" s="21" t="n">
        <f aca="false">$D1004+ft_abf*(G987-G1003-$D987)+ft_oth*((G994-G987)-($D994-$D987))+G1003-(G1001-$D1001)</f>
        <v>31.4574977256562</v>
      </c>
      <c r="K1004" s="3" t="s">
        <v>657</v>
      </c>
    </row>
    <row r="1005" customFormat="false" ht="15" hidden="false" customHeight="false" outlineLevel="0" collapsed="false">
      <c r="A1005" s="3" t="s">
        <v>512</v>
      </c>
      <c r="B1005" s="0" t="s">
        <v>44</v>
      </c>
      <c r="C1005" s="16" t="n">
        <f aca="false">C1004/C994</f>
        <v>0.0907823662659</v>
      </c>
      <c r="D1005" s="16" t="n">
        <f aca="false">D1004/D994</f>
        <v>0.268820913337583</v>
      </c>
      <c r="E1005" s="16" t="n">
        <f aca="false">E1004/E994</f>
        <v>0.357969216542447</v>
      </c>
      <c r="F1005" s="16" t="n">
        <f aca="false">F1004/F994</f>
        <v>0.351447126245476</v>
      </c>
      <c r="G1005" s="16" t="n">
        <f aca="false">G1004/G994</f>
        <v>0.333871121465799</v>
      </c>
    </row>
    <row r="1006" customFormat="false" ht="15" hidden="false" customHeight="false" outlineLevel="0" collapsed="false">
      <c r="A1006" s="3" t="s">
        <v>514</v>
      </c>
      <c r="B1006" s="0" t="s">
        <v>333</v>
      </c>
      <c r="C1006" s="21" t="n">
        <f aca="false">a25_opx</f>
        <v>1.665</v>
      </c>
      <c r="D1006" s="21" t="n">
        <f aca="false">a26_opx</f>
        <v>1.9</v>
      </c>
      <c r="E1006" s="21" t="n">
        <f aca="false">D1006*(1+phi*E996)</f>
        <v>2.3063188</v>
      </c>
      <c r="F1006" s="21" t="n">
        <f aca="false">E1006*(1+phi*F996)</f>
        <v>2.45351923142076</v>
      </c>
      <c r="G1006" s="21" t="n">
        <f aca="false">F1006*(1+phi*G996)</f>
        <v>2.54401650862604</v>
      </c>
    </row>
    <row r="1007" customFormat="false" ht="15" hidden="false" customHeight="false" outlineLevel="0" collapsed="false">
      <c r="A1007" s="3" t="s">
        <v>517</v>
      </c>
      <c r="B1007" s="0" t="s">
        <v>333</v>
      </c>
      <c r="C1007" s="21" t="n">
        <f aca="false">C1004-C1006</f>
        <v>1.982</v>
      </c>
      <c r="D1007" s="21" t="n">
        <f aca="false">D1004-D1006</f>
        <v>14.0001925</v>
      </c>
      <c r="E1007" s="21" t="n">
        <f aca="false">E1004-E1006</f>
        <v>26.4133346992833</v>
      </c>
      <c r="F1007" s="21" t="n">
        <f aca="false">F1004-F1006</f>
        <v>28.7422544564228</v>
      </c>
      <c r="G1007" s="21" t="n">
        <f aca="false">G1004-G1006</f>
        <v>28.9134812170302</v>
      </c>
    </row>
    <row r="1008" customFormat="false" ht="15" hidden="false" customHeight="false" outlineLevel="0" collapsed="false">
      <c r="A1008" s="3" t="s">
        <v>598</v>
      </c>
      <c r="B1008" s="0" t="s">
        <v>44</v>
      </c>
      <c r="C1008" s="16" t="n">
        <f aca="false">C1007/C994</f>
        <v>0.0493366191222961</v>
      </c>
      <c r="D1008" s="16" t="n">
        <f aca="false">D1007/D994</f>
        <v>0.236698048451424</v>
      </c>
      <c r="E1008" s="16" t="n">
        <f aca="false">E1007/E994</f>
        <v>0.32922266032255</v>
      </c>
      <c r="F1008" s="16" t="n">
        <f aca="false">F1007/F994</f>
        <v>0.323806129368811</v>
      </c>
      <c r="G1008" s="16" t="n">
        <f aca="false">G1007/G994</f>
        <v>0.306870447344483</v>
      </c>
    </row>
    <row r="1009" customFormat="false" ht="15" hidden="false" customHeight="false" outlineLevel="0" collapsed="false">
      <c r="A1009" s="3" t="s">
        <v>520</v>
      </c>
      <c r="B1009" s="0" t="s">
        <v>333</v>
      </c>
      <c r="C1009" s="21" t="n">
        <f aca="false">a25_nonop</f>
        <v>0.364</v>
      </c>
      <c r="D1009" s="21" t="n">
        <f aca="false">a26_nonop</f>
        <v>0.623</v>
      </c>
      <c r="E1009" s="21" t="n">
        <f aca="false">nonop27</f>
        <v>0.6</v>
      </c>
      <c r="F1009" s="21" t="n">
        <f aca="false">nonop28</f>
        <v>0.6</v>
      </c>
      <c r="G1009" s="21" t="n">
        <f aca="false">nonop29</f>
        <v>0.6</v>
      </c>
    </row>
    <row r="1010" customFormat="false" ht="15" hidden="false" customHeight="false" outlineLevel="0" collapsed="false">
      <c r="A1010" s="3" t="s">
        <v>522</v>
      </c>
      <c r="B1010" s="0" t="s">
        <v>333</v>
      </c>
      <c r="C1010" s="21" t="n">
        <f aca="false">C1007+C1009</f>
        <v>2.346</v>
      </c>
      <c r="D1010" s="21" t="n">
        <f aca="false">D1007+D1009</f>
        <v>14.6231925</v>
      </c>
      <c r="E1010" s="21" t="n">
        <f aca="false">E1007+E1009</f>
        <v>27.0133346992833</v>
      </c>
      <c r="F1010" s="21" t="n">
        <f aca="false">F1007+F1009</f>
        <v>29.3422544564228</v>
      </c>
      <c r="G1010" s="21" t="n">
        <f aca="false">G1007+G1009</f>
        <v>29.5134812170302</v>
      </c>
    </row>
    <row r="1011" customFormat="false" ht="15" hidden="false" customHeight="false" outlineLevel="0" collapsed="false">
      <c r="A1011" s="3" t="s">
        <v>525</v>
      </c>
      <c r="B1011" s="0" t="s">
        <v>333</v>
      </c>
      <c r="E1011" s="21" t="n">
        <f aca="false">E1010*tax</f>
        <v>5.6728002868495</v>
      </c>
      <c r="F1011" s="21" t="n">
        <f aca="false">F1010*tax</f>
        <v>6.16187343584878</v>
      </c>
      <c r="G1011" s="21" t="n">
        <f aca="false">G1010*tax</f>
        <v>6.19783105557634</v>
      </c>
    </row>
    <row r="1012" customFormat="false" ht="15" hidden="false" customHeight="false" outlineLevel="0" collapsed="false">
      <c r="A1012" s="3" t="s">
        <v>523</v>
      </c>
      <c r="B1012" s="0" t="s">
        <v>333</v>
      </c>
      <c r="C1012" s="21" t="n">
        <f aca="false">a25_ni</f>
        <v>1.947</v>
      </c>
      <c r="D1012" s="21" t="n">
        <f aca="false">a26_ni</f>
        <v>11.509862075</v>
      </c>
      <c r="E1012" s="21" t="n">
        <f aca="false">E1010-E1011</f>
        <v>21.3405344124338</v>
      </c>
      <c r="F1012" s="21" t="n">
        <f aca="false">F1010-F1011</f>
        <v>23.180381020574</v>
      </c>
      <c r="G1012" s="21" t="n">
        <f aca="false">G1010-G1011</f>
        <v>23.3156501614539</v>
      </c>
      <c r="H1012" s="30" t="n">
        <f aca="false">H994*H1016</f>
        <v>24.8823947102637</v>
      </c>
      <c r="I1012" s="30" t="n">
        <f aca="false">I994*I1016</f>
        <v>26.5412189728654</v>
      </c>
      <c r="J1012" s="30" t="n">
        <f aca="false">J994*J1016</f>
        <v>28.296562307531</v>
      </c>
    </row>
    <row r="1013" customFormat="false" ht="15" hidden="false" customHeight="false" outlineLevel="0" collapsed="false">
      <c r="A1013" s="3" t="s">
        <v>658</v>
      </c>
      <c r="B1013" s="3" t="s">
        <v>400</v>
      </c>
      <c r="C1013" s="29" t="n">
        <f aca="false">a25_sh</f>
        <v>0.646843853820598</v>
      </c>
      <c r="D1013" s="29" t="n">
        <f aca="false">a26_sh</f>
        <v>0.645863325123153</v>
      </c>
      <c r="E1013" s="29" t="n">
        <f aca="false">a26_shend*(1+sh_g)</f>
        <v>0.64617</v>
      </c>
      <c r="F1013" s="29" t="n">
        <f aca="false">E1013*(1+sh_g)</f>
        <v>0.64617</v>
      </c>
      <c r="G1013" s="29" t="n">
        <f aca="false">F1013*(1+sh_g)</f>
        <v>0.64617</v>
      </c>
      <c r="H1013" s="31" t="n">
        <f aca="false">G1013*(1+sh_g)</f>
        <v>0.64617</v>
      </c>
      <c r="I1013" s="31" t="n">
        <f aca="false">H1013*(1+sh_g)</f>
        <v>0.64617</v>
      </c>
      <c r="J1013" s="31" t="n">
        <f aca="false">I1013*(1+sh_g)</f>
        <v>0.64617</v>
      </c>
    </row>
    <row r="1014" customFormat="false" ht="17.15" hidden="false" customHeight="false" outlineLevel="0" collapsed="false">
      <c r="A1014" s="0" t="s">
        <v>528</v>
      </c>
      <c r="B1014" s="0" t="s">
        <v>406</v>
      </c>
      <c r="C1014" s="18" t="n">
        <f aca="false">C1012/C1013</f>
        <v>3.01</v>
      </c>
      <c r="D1014" s="18" t="n">
        <f aca="false">D1012/D1013</f>
        <v>17.820894339844</v>
      </c>
      <c r="E1014" s="18" t="n">
        <f aca="false">E1012/E1013</f>
        <v>33.0261918882552</v>
      </c>
      <c r="F1014" s="18" t="n">
        <f aca="false">F1012/F1013</f>
        <v>35.8735023609483</v>
      </c>
      <c r="G1014" s="18" t="n">
        <f aca="false">G1012/G1013</f>
        <v>36.0828422264324</v>
      </c>
      <c r="H1014" s="28" t="n">
        <f aca="false">H1012/H1013</f>
        <v>38.5075053163466</v>
      </c>
      <c r="I1014" s="28" t="n">
        <f aca="false">I1012/I1013</f>
        <v>41.0746691627055</v>
      </c>
      <c r="J1014" s="28" t="n">
        <f aca="false">J1012/J1013</f>
        <v>43.7912040291735</v>
      </c>
    </row>
    <row r="1015" customFormat="false" ht="17.15" hidden="false" customHeight="false" outlineLevel="0" collapsed="false">
      <c r="A1015" s="0" t="s">
        <v>659</v>
      </c>
      <c r="B1015" s="0" t="s">
        <v>44</v>
      </c>
      <c r="D1015" s="20" t="n">
        <f aca="false">D1014/C1014-1</f>
        <v>4.92056290360265</v>
      </c>
      <c r="E1015" s="20" t="n">
        <f aca="false">E1014/D1014-1</f>
        <v>0.853228646017791</v>
      </c>
      <c r="F1015" s="20" t="n">
        <f aca="false">F1014/E1014-1</f>
        <v>0.086213708269095</v>
      </c>
      <c r="G1015" s="20" t="n">
        <f aca="false">G1014/F1014-1</f>
        <v>0.00583550118351384</v>
      </c>
      <c r="H1015" s="26" t="n">
        <f aca="false">H1014/G1014-1</f>
        <v>0.0671971203016264</v>
      </c>
      <c r="I1015" s="26" t="n">
        <f aca="false">I1014/H1014-1</f>
        <v>0.0666665842221967</v>
      </c>
      <c r="J1015" s="26" t="n">
        <f aca="false">J1014/I1014-1</f>
        <v>0.0661365002285754</v>
      </c>
    </row>
    <row r="1016" customFormat="false" ht="17.15" hidden="false" customHeight="false" outlineLevel="0" collapsed="false">
      <c r="A1016" s="3" t="s">
        <v>660</v>
      </c>
      <c r="B1016" s="0" t="s">
        <v>44</v>
      </c>
      <c r="C1016" s="16" t="n">
        <f aca="false">C1012/C994</f>
        <v>0.0484653872003585</v>
      </c>
      <c r="D1016" s="16" t="n">
        <f aca="false">D1012/D994</f>
        <v>0.194594602259759</v>
      </c>
      <c r="E1016" s="16" t="n">
        <f aca="false">E1012/E994</f>
        <v>0.265993960700351</v>
      </c>
      <c r="F1016" s="16" t="n">
        <f aca="false">F1012/F994</f>
        <v>0.261146858432639</v>
      </c>
      <c r="G1016" s="16" t="n">
        <f aca="false">G1012/G994</f>
        <v>0.247458406736528</v>
      </c>
      <c r="H1016" s="27" t="n">
        <f aca="false">$G1016+(fade_mA-$G1016)*1/3</f>
        <v>0.248907761931311</v>
      </c>
      <c r="I1016" s="27" t="n">
        <f aca="false">$G1016+(fade_mA-$G1016)*2/3</f>
        <v>0.250357117126093</v>
      </c>
      <c r="J1016" s="27" t="n">
        <f aca="false">$G1016+(fade_mA-$G1016)*3/3</f>
        <v>0.251806472320876</v>
      </c>
    </row>
    <row r="1017" customFormat="false" ht="17.15" hidden="false" customHeight="false" outlineLevel="0" collapsed="false">
      <c r="A1017" s="3" t="s">
        <v>661</v>
      </c>
      <c r="B1017" s="0" t="s">
        <v>44</v>
      </c>
      <c r="C1017" s="20" t="n">
        <f aca="false">C1000/C994</f>
        <v>0.0602892489980833</v>
      </c>
      <c r="D1017" s="20" t="n">
        <f aca="false">D1000/D994</f>
        <v>0.0676270839708595</v>
      </c>
      <c r="E1017" s="20" t="n">
        <f aca="false">E1000/E994</f>
        <v>0.174499634256357</v>
      </c>
      <c r="F1017" s="20" t="n">
        <f aca="false">F1000/F994</f>
        <v>0.202785426504223</v>
      </c>
      <c r="G1017" s="20" t="n">
        <f aca="false">G1000/G994</f>
        <v>0.127360843908509</v>
      </c>
      <c r="H1017" s="26" t="n">
        <f aca="false">$G1017+($G1002*(1+tp_g)^(life/2)-$G1017)*1/3</f>
        <v>0.121826776170229</v>
      </c>
      <c r="I1017" s="26" t="n">
        <f aca="false">$G1017+($G1002*(1+tp_g)^(life/2)-$G1017)*2/3</f>
        <v>0.116292708431949</v>
      </c>
      <c r="J1017" s="26" t="n">
        <f aca="false">$G1017+($G1002*(1+tp_g)^(life/2)-$G1017)*3/3</f>
        <v>0.110758640693669</v>
      </c>
      <c r="K1017" s="7" t="s">
        <v>662</v>
      </c>
    </row>
    <row r="1018" customFormat="false" ht="15" hidden="false" customHeight="false" outlineLevel="0" collapsed="false">
      <c r="A1018" s="3" t="s">
        <v>663</v>
      </c>
      <c r="B1018" s="0" t="s">
        <v>333</v>
      </c>
      <c r="E1018" s="21" t="n">
        <f aca="false">E1012+E1001-E1000</f>
        <v>14.0530344124338</v>
      </c>
      <c r="F1018" s="21" t="n">
        <f aca="false">F1012+F1001-F1000</f>
        <v>12.803818520574</v>
      </c>
      <c r="G1018" s="21" t="n">
        <f aca="false">G1012+G1001-G1000</f>
        <v>20.2361579739539</v>
      </c>
      <c r="H1018" s="30" t="n">
        <f aca="false">H1012+H1001-H1000</f>
        <v>22.1683263363862</v>
      </c>
      <c r="I1018" s="30" t="n">
        <f aca="false">I1012+I1001-I1000</f>
        <v>24.2496581115131</v>
      </c>
      <c r="J1018" s="30" t="n">
        <f aca="false">J1012+J1001-J1000</f>
        <v>26.4893944804394</v>
      </c>
      <c r="K1018" s="3" t="s">
        <v>664</v>
      </c>
    </row>
    <row r="1019" customFormat="false" ht="15" hidden="false" customHeight="false" outlineLevel="0" collapsed="false">
      <c r="A1019" s="3" t="s">
        <v>665</v>
      </c>
      <c r="B1019" s="0" t="s">
        <v>406</v>
      </c>
      <c r="E1019" s="18" t="n">
        <f aca="false">E1018/E1013</f>
        <v>21.7482000285278</v>
      </c>
      <c r="F1019" s="18" t="n">
        <f aca="false">F1018/F1013</f>
        <v>19.8149380512466</v>
      </c>
      <c r="G1019" s="18" t="n">
        <f aca="false">G1018/G1013</f>
        <v>31.317080604104</v>
      </c>
      <c r="H1019" s="28" t="n">
        <f aca="false">H1018/H1013</f>
        <v>34.307266410366</v>
      </c>
      <c r="I1019" s="28" t="n">
        <f aca="false">I1018/I1013</f>
        <v>37.5282945842629</v>
      </c>
      <c r="J1019" s="28" t="n">
        <f aca="false">J1018/J1013</f>
        <v>40.994466596158</v>
      </c>
    </row>
    <row r="1022" customFormat="false" ht="17.15" hidden="false" customHeight="false" outlineLevel="0" collapsed="false">
      <c r="A1022" s="1" t="s">
        <v>1025</v>
      </c>
    </row>
    <row r="1023" customFormat="false" ht="17.15" hidden="false" customHeight="false" outlineLevel="0" collapsed="false">
      <c r="A1023" s="4" t="s">
        <v>21</v>
      </c>
      <c r="B1023" s="4" t="s">
        <v>22</v>
      </c>
      <c r="C1023" s="13" t="s">
        <v>498</v>
      </c>
      <c r="D1023" s="13" t="s">
        <v>585</v>
      </c>
      <c r="E1023" s="13" t="s">
        <v>586</v>
      </c>
      <c r="F1023" s="13" t="s">
        <v>587</v>
      </c>
      <c r="G1023" s="13" t="s">
        <v>588</v>
      </c>
      <c r="H1023" s="13" t="s">
        <v>589</v>
      </c>
      <c r="I1023" s="13" t="s">
        <v>590</v>
      </c>
      <c r="J1023" s="13" t="s">
        <v>591</v>
      </c>
      <c r="K1023" s="4" t="s">
        <v>553</v>
      </c>
    </row>
    <row r="1024" customFormat="false" ht="17.15" hidden="false" customHeight="false" outlineLevel="0" collapsed="false">
      <c r="A1024" s="5" t="s">
        <v>609</v>
      </c>
    </row>
    <row r="1025" customFormat="false" ht="17.15" hidden="false" customHeight="false" outlineLevel="0" collapsed="false">
      <c r="A1025" s="0" t="s">
        <v>610</v>
      </c>
      <c r="B1025" s="3" t="s">
        <v>32</v>
      </c>
      <c r="D1025" s="21" t="n">
        <f aca="false">(u_bw_26+u_rb_26+u_ru_26+u_hp_26)*1</f>
        <v>7.6</v>
      </c>
      <c r="E1025" s="21" t="n">
        <f aca="false">(u_bw_27+u_rb_27+u_ru_27+u_hp_27)*1*1</f>
        <v>9.7</v>
      </c>
      <c r="F1025" s="21" t="n">
        <f aca="false">(u_bw_28+u_rb_28+u_ru_28+u_hp_28)*um28_A*1</f>
        <v>9.5</v>
      </c>
      <c r="G1025" s="21" t="n">
        <f aca="false">(u_bw_28*(1+g29_bw)+u_rb_28*(1+g29_rb)+u_ru_28*(1+g29_ru)+u_hp_28*(1+g29_hp))*um29_A*1</f>
        <v>10.6</v>
      </c>
      <c r="K1025" s="7" t="s">
        <v>611</v>
      </c>
    </row>
    <row r="1026" customFormat="false" ht="17.15" hidden="false" customHeight="false" outlineLevel="0" collapsed="false">
      <c r="A1026" s="3" t="s">
        <v>612</v>
      </c>
      <c r="B1026" s="3" t="s">
        <v>32</v>
      </c>
      <c r="D1026" s="21" t="n">
        <f aca="false">(u_amd_26+u_tpu_26+u_trn_26+u_oth_26)*1</f>
        <v>7.6</v>
      </c>
      <c r="E1026" s="21" t="n">
        <f aca="false">(u_amd_27+u_tpu_27+u_trn_27+u_oth_27)*1*1</f>
        <v>14</v>
      </c>
      <c r="F1026" s="21" t="n">
        <f aca="false">(u_amd_28+u_tpu_28+u_trn_28+u_oth_28)*um28_A*1</f>
        <v>17</v>
      </c>
      <c r="G1026" s="21" t="n">
        <f aca="false">(u_amd_28*(1+g29_amd)+u_tpu_28*(1+g29_tpu)+u_trn_28*(1+g29_trn)+u_oth_28*(1+g29_oth))*um29_A*1</f>
        <v>19.55</v>
      </c>
      <c r="K1026" s="7" t="s">
        <v>613</v>
      </c>
    </row>
    <row r="1027" customFormat="false" ht="17.15" hidden="false" customHeight="false" outlineLevel="0" collapsed="false">
      <c r="A1027" s="3" t="s">
        <v>614</v>
      </c>
      <c r="B1027" s="0" t="s">
        <v>154</v>
      </c>
      <c r="D1027" s="19" t="n">
        <f aca="false">1</f>
        <v>1</v>
      </c>
      <c r="E1027" s="19" t="n">
        <f aca="false">D1027*(1+g_asp)</f>
        <v>1.18</v>
      </c>
      <c r="F1027" s="19" t="n">
        <f aca="false">E1027*(1+g_asp)</f>
        <v>1.3924</v>
      </c>
      <c r="G1027" s="19" t="n">
        <f aca="false">F1027*(1+g_asp)</f>
        <v>1.643032</v>
      </c>
      <c r="K1027" s="7" t="s">
        <v>615</v>
      </c>
    </row>
    <row r="1028" customFormat="false" ht="17.15" hidden="false" customHeight="false" outlineLevel="0" collapsed="false">
      <c r="A1028" s="0" t="s">
        <v>616</v>
      </c>
      <c r="B1028" s="0" t="s">
        <v>154</v>
      </c>
      <c r="D1028" s="18" t="n">
        <f aca="false">1</f>
        <v>1</v>
      </c>
      <c r="E1028" s="18" t="n">
        <f aca="false">ibpp_27</f>
        <v>1</v>
      </c>
      <c r="F1028" s="18" t="n">
        <f aca="false">ibpp_28</f>
        <v>0.95</v>
      </c>
      <c r="G1028" s="18" t="n">
        <f aca="false">ibpp_29</f>
        <v>0.9</v>
      </c>
      <c r="K1028" s="7" t="s">
        <v>617</v>
      </c>
    </row>
    <row r="1029" customFormat="false" ht="17.15" hidden="false" customHeight="false" outlineLevel="0" collapsed="false">
      <c r="A1029" s="3" t="s">
        <v>618</v>
      </c>
      <c r="B1029" s="0" t="s">
        <v>154</v>
      </c>
      <c r="D1029" s="18" t="n">
        <f aca="false">1</f>
        <v>1</v>
      </c>
      <c r="E1029" s="18" t="n">
        <f aca="false">1+carry</f>
        <v>1.15</v>
      </c>
      <c r="F1029" s="18" t="n">
        <f aca="false">1+carry</f>
        <v>1.15</v>
      </c>
      <c r="G1029" s="18" t="n">
        <f aca="false">1+carry</f>
        <v>1.15</v>
      </c>
      <c r="K1029" s="7" t="s">
        <v>619</v>
      </c>
    </row>
    <row r="1030" customFormat="false" ht="17.15" hidden="false" customHeight="false" outlineLevel="0" collapsed="false">
      <c r="A1030" s="3" t="s">
        <v>620</v>
      </c>
      <c r="B1030" s="0" t="s">
        <v>621</v>
      </c>
      <c r="D1030" s="23" t="n">
        <f aca="false">v26*D1027*D1028</f>
        <v>215.308596</v>
      </c>
      <c r="E1030" s="23" t="n">
        <f aca="false">v26*E1027*E1028</f>
        <v>254.06414328</v>
      </c>
      <c r="F1030" s="23" t="n">
        <f aca="false">v26*F1027*F1028</f>
        <v>284.80590461688</v>
      </c>
      <c r="G1030" s="23" t="n">
        <f aca="false">v26*G1027*G1028</f>
        <v>318.383021792765</v>
      </c>
      <c r="K1030" s="7" t="s">
        <v>622</v>
      </c>
    </row>
    <row r="1031" customFormat="false" ht="17.15" hidden="false" customHeight="false" outlineLevel="0" collapsed="false">
      <c r="A1031" s="3" t="s">
        <v>623</v>
      </c>
      <c r="B1031" s="0" t="s">
        <v>44</v>
      </c>
      <c r="D1031" s="20" t="n">
        <f aca="false">sh_nv_26_hi</f>
        <v>0.03</v>
      </c>
      <c r="E1031" s="20" t="n">
        <f aca="false">sh_nv_27_hi</f>
        <v>0.05</v>
      </c>
      <c r="F1031" s="20" t="n">
        <f aca="false">sh_nv_28_hi</f>
        <v>0.06</v>
      </c>
      <c r="G1031" s="20" t="n">
        <f aca="false">sh_nv_29_hi</f>
        <v>0.06</v>
      </c>
    </row>
    <row r="1032" customFormat="false" ht="17.15" hidden="false" customHeight="false" outlineLevel="0" collapsed="false">
      <c r="A1032" s="3" t="s">
        <v>624</v>
      </c>
      <c r="B1032" s="0" t="s">
        <v>44</v>
      </c>
      <c r="D1032" s="20" t="n">
        <f aca="false">sh_ot_26</f>
        <v>0.05</v>
      </c>
      <c r="E1032" s="20" t="n">
        <f aca="false">sh_ot_27</f>
        <v>0.06</v>
      </c>
      <c r="F1032" s="20" t="n">
        <f aca="false">sh_ot_28</f>
        <v>0.07</v>
      </c>
      <c r="G1032" s="20" t="n">
        <f aca="false">sh_ot_29</f>
        <v>0.07</v>
      </c>
    </row>
    <row r="1033" customFormat="false" ht="17.15" hidden="false" customHeight="false" outlineLevel="0" collapsed="false">
      <c r="A1033" s="3" t="s">
        <v>625</v>
      </c>
      <c r="B1033" s="0" t="s">
        <v>575</v>
      </c>
      <c r="D1033" s="22" t="n">
        <f aca="false">(D1025*D1030*D1031+D1026*D1030*v_ot*D1032)*D1029</f>
        <v>114.544173072</v>
      </c>
      <c r="E1033" s="22" t="n">
        <f aca="false">(E1025*E1030*E1031+E1026*E1030*v_ot*E1032)*E1029</f>
        <v>338.045045841204</v>
      </c>
      <c r="F1033" s="22" t="n">
        <f aca="false">(F1025*F1030*F1031+F1026*F1030*v_ot*F1032)*F1029</f>
        <v>498.495774850925</v>
      </c>
      <c r="G1033" s="22" t="n">
        <f aca="false">(G1025*G1030*G1031+G1026*G1030*v_ot*G1032)*G1029</f>
        <v>633.715934236755</v>
      </c>
    </row>
    <row r="1034" customFormat="false" ht="15" hidden="false" customHeight="false" outlineLevel="0" collapsed="false">
      <c r="A1034" s="3" t="s">
        <v>626</v>
      </c>
      <c r="B1034" s="0" t="s">
        <v>333</v>
      </c>
      <c r="D1034" s="21" t="n">
        <f aca="false">D1033*fx/1000</f>
        <v>3.665413538304</v>
      </c>
      <c r="E1034" s="21" t="n">
        <f aca="false">E1033*fx/1000</f>
        <v>10.8174414669185</v>
      </c>
      <c r="F1034" s="21" t="n">
        <f aca="false">F1033*fx/1000</f>
        <v>15.9518647952296</v>
      </c>
      <c r="G1034" s="21" t="n">
        <f aca="false">G1033*fx/1000</f>
        <v>20.2789098955762</v>
      </c>
    </row>
    <row r="1035" customFormat="false" ht="17.15" hidden="false" customHeight="false" outlineLevel="0" collapsed="false">
      <c r="A1035" s="5" t="s">
        <v>627</v>
      </c>
    </row>
    <row r="1036" customFormat="false" ht="17.15" hidden="false" customHeight="false" outlineLevel="0" collapsed="false">
      <c r="A1036" s="0" t="s">
        <v>628</v>
      </c>
      <c r="B1036" s="0" t="s">
        <v>333</v>
      </c>
      <c r="D1036" s="21" t="n">
        <f aca="false">a26_abf*ai_abf</f>
        <v>22.2987583</v>
      </c>
      <c r="K1036" s="3" t="s">
        <v>629</v>
      </c>
    </row>
    <row r="1037" customFormat="false" ht="17.15" hidden="false" customHeight="false" outlineLevel="0" collapsed="false">
      <c r="A1037" s="3" t="s">
        <v>630</v>
      </c>
      <c r="B1037" s="0" t="s">
        <v>333</v>
      </c>
      <c r="D1037" s="21" t="n">
        <f aca="false">D1036-D1034</f>
        <v>18.633344761696</v>
      </c>
      <c r="E1037" s="21" t="n">
        <f aca="false">$D1037*(swm_27/swm_26)^el_o*1*1*E1028*E1029</f>
        <v>29.9721023202683</v>
      </c>
      <c r="F1037" s="21" t="n">
        <f aca="false">$D1037*(swm_28/swm_26)^el_o*um28_A*1*F1028*F1029</f>
        <v>30.6303297890594</v>
      </c>
      <c r="G1037" s="21" t="n">
        <f aca="false">$D1037*(swm_29/swm_26)^el_o*um29_A*1*G1028*G1029</f>
        <v>30.956855159549</v>
      </c>
      <c r="K1037" s="7" t="s">
        <v>631</v>
      </c>
    </row>
    <row r="1038" customFormat="false" ht="17.15" hidden="false" customHeight="false" outlineLevel="0" collapsed="false">
      <c r="A1038" s="3" t="s">
        <v>632</v>
      </c>
      <c r="B1038" s="0" t="s">
        <v>333</v>
      </c>
      <c r="D1038" s="21" t="n">
        <f aca="false">a26_abf-D1036</f>
        <v>12.0070237</v>
      </c>
      <c r="E1038" s="21" t="n">
        <f aca="false">D1038*(1+g_nai)</f>
        <v>12.367234411</v>
      </c>
      <c r="F1038" s="21" t="n">
        <f aca="false">E1038*(1+g_nai)</f>
        <v>12.73825144333</v>
      </c>
      <c r="G1038" s="21" t="n">
        <f aca="false">F1038*(1+g_nai)</f>
        <v>13.1203989866299</v>
      </c>
    </row>
    <row r="1039" customFormat="false" ht="17.15" hidden="false" customHeight="false" outlineLevel="0" collapsed="false">
      <c r="A1039" s="0" t="s">
        <v>633</v>
      </c>
      <c r="B1039" s="0" t="s">
        <v>333</v>
      </c>
      <c r="D1039" s="21" t="n">
        <f aca="false">D1034+D1037+D1038</f>
        <v>34.305782</v>
      </c>
      <c r="E1039" s="21" t="n">
        <f aca="false">E1034+E1037+E1038</f>
        <v>53.1567781981868</v>
      </c>
      <c r="F1039" s="21" t="n">
        <f aca="false">F1034+F1037+F1038</f>
        <v>59.320446027619</v>
      </c>
      <c r="G1039" s="21" t="n">
        <f aca="false">G1034+G1037+G1038</f>
        <v>64.356164041755</v>
      </c>
    </row>
    <row r="1040" customFormat="false" ht="17.15" hidden="false" customHeight="false" outlineLevel="0" collapsed="false">
      <c r="A1040" s="0" t="s">
        <v>634</v>
      </c>
      <c r="B1040" s="0" t="s">
        <v>333</v>
      </c>
      <c r="D1040" s="21" t="n">
        <f aca="false">a26_abf</f>
        <v>34.305782</v>
      </c>
      <c r="E1040" s="21" t="n">
        <f aca="false">$D1039*cap_27*(1+g_mix)^1*E1028*E1029</f>
        <v>49.709078118</v>
      </c>
      <c r="F1040" s="21" t="n">
        <f aca="false">$D1039*cap_28*(1+g_mix)^2*F1028*F1029</f>
        <v>55.7829061005431</v>
      </c>
      <c r="G1040" s="21" t="n">
        <f aca="false">$D1039*cap_29*(1+g_mix)^3*G1028*G1029</f>
        <v>65.765110350114</v>
      </c>
      <c r="K1040" s="7" t="s">
        <v>635</v>
      </c>
    </row>
    <row r="1041" customFormat="false" ht="17.15" hidden="false" customHeight="false" outlineLevel="0" collapsed="false">
      <c r="A1041" s="0" t="s">
        <v>636</v>
      </c>
      <c r="B1041" s="0" t="s">
        <v>333</v>
      </c>
      <c r="D1041" s="21" t="n">
        <f aca="false">a26_abf</f>
        <v>34.305782</v>
      </c>
      <c r="E1041" s="21" t="n">
        <f aca="false">MIN(E1039,E1040)</f>
        <v>49.709078118</v>
      </c>
      <c r="F1041" s="21" t="n">
        <f aca="false">MIN(F1039,F1040)</f>
        <v>55.7829061005431</v>
      </c>
      <c r="G1041" s="21" t="n">
        <f aca="false">MIN(G1039,G1040)</f>
        <v>64.356164041755</v>
      </c>
    </row>
    <row r="1042" customFormat="false" ht="17.15" hidden="false" customHeight="false" outlineLevel="0" collapsed="false">
      <c r="A1042" s="3" t="s">
        <v>637</v>
      </c>
      <c r="B1042" s="0" t="s">
        <v>44</v>
      </c>
      <c r="D1042" s="20" t="n">
        <f aca="false">D1041/D1039</f>
        <v>1</v>
      </c>
      <c r="E1042" s="20" t="n">
        <f aca="false">E1041/E1039</f>
        <v>0.935140913406516</v>
      </c>
      <c r="F1042" s="20" t="n">
        <f aca="false">F1041/F1039</f>
        <v>0.940365587854333</v>
      </c>
      <c r="G1042" s="20" t="n">
        <f aca="false">G1041/G1039</f>
        <v>1</v>
      </c>
    </row>
    <row r="1043" customFormat="false" ht="17.15" hidden="false" customHeight="false" outlineLevel="0" collapsed="false">
      <c r="A1043" s="0" t="s">
        <v>638</v>
      </c>
      <c r="B1043" s="0" t="s">
        <v>333</v>
      </c>
      <c r="D1043" s="21" t="n">
        <f aca="false">(D1034+D1037)*D1042</f>
        <v>22.2987583</v>
      </c>
      <c r="E1043" s="21" t="n">
        <f aca="false">(E1034+E1037)*E1042</f>
        <v>38.143971234585</v>
      </c>
      <c r="F1043" s="21" t="n">
        <f aca="false">(F1034+F1037)*F1042</f>
        <v>43.8042927937998</v>
      </c>
      <c r="G1043" s="21" t="n">
        <f aca="false">(G1034+G1037)*G1042</f>
        <v>51.2357650551251</v>
      </c>
    </row>
    <row r="1044" customFormat="false" ht="17.15" hidden="false" customHeight="false" outlineLevel="0" collapsed="false">
      <c r="A1044" s="3" t="s">
        <v>639</v>
      </c>
      <c r="B1044" s="0" t="s">
        <v>44</v>
      </c>
      <c r="D1044" s="20" t="n">
        <f aca="false">D1034/(D1034+D1037)</f>
        <v>0.164377472906373</v>
      </c>
      <c r="E1044" s="20" t="n">
        <f aca="false">E1034/(E1034+E1037)</f>
        <v>0.265201335012641</v>
      </c>
      <c r="F1044" s="20" t="n">
        <f aca="false">F1034/(F1034+F1037)</f>
        <v>0.34244554035266</v>
      </c>
      <c r="G1044" s="20" t="n">
        <f aca="false">G1034/(G1034+G1037)</f>
        <v>0.395795981064357</v>
      </c>
    </row>
    <row r="1045" customFormat="false" ht="17.15" hidden="false" customHeight="false" outlineLevel="0" collapsed="false">
      <c r="A1045" s="5" t="s">
        <v>640</v>
      </c>
    </row>
    <row r="1046" customFormat="false" ht="17.15" hidden="false" customHeight="false" outlineLevel="0" collapsed="false">
      <c r="A1046" s="0" t="s">
        <v>641</v>
      </c>
      <c r="B1046" s="0" t="s">
        <v>333</v>
      </c>
      <c r="D1046" s="21" t="n">
        <f aca="false">a26_bt</f>
        <v>18.927328</v>
      </c>
      <c r="E1046" s="21" t="n">
        <f aca="false">D1046*(1+g_bt27_A)</f>
        <v>24.6055264</v>
      </c>
      <c r="F1046" s="21" t="n">
        <f aca="false">E1046*(1+g_bt28_A)</f>
        <v>27.06607904</v>
      </c>
      <c r="G1046" s="21" t="n">
        <f aca="false">F1046*(1+g_bt29_A)</f>
        <v>28.419382992</v>
      </c>
      <c r="K1046" s="7" t="s">
        <v>642</v>
      </c>
    </row>
    <row r="1047" customFormat="false" ht="17.15" hidden="false" customHeight="false" outlineLevel="0" collapsed="false">
      <c r="A1047" s="0" t="s">
        <v>540</v>
      </c>
      <c r="B1047" s="0" t="s">
        <v>333</v>
      </c>
      <c r="D1047" s="21" t="n">
        <f aca="false">a26_pcb</f>
        <v>5.91479</v>
      </c>
      <c r="E1047" s="21" t="n">
        <f aca="false">D1047*(1+g_pcb)</f>
        <v>5.91479</v>
      </c>
      <c r="F1047" s="21" t="n">
        <f aca="false">E1047*(1+g_pcb)</f>
        <v>5.91479</v>
      </c>
      <c r="G1047" s="21" t="n">
        <f aca="false">F1047*(1+g_pcb)</f>
        <v>5.91479</v>
      </c>
    </row>
    <row r="1048" customFormat="false" ht="17.15" hidden="false" customHeight="false" outlineLevel="0" collapsed="false">
      <c r="A1048" s="3" t="s">
        <v>505</v>
      </c>
      <c r="B1048" s="0" t="s">
        <v>333</v>
      </c>
      <c r="C1048" s="23" t="n">
        <f aca="false">a25_rev</f>
        <v>40.173</v>
      </c>
      <c r="D1048" s="23" t="n">
        <f aca="false">D1041+D1046+D1047</f>
        <v>59.1479</v>
      </c>
      <c r="E1048" s="23" t="n">
        <f aca="false">E1041+E1046+E1047</f>
        <v>80.229394518</v>
      </c>
      <c r="F1048" s="23" t="n">
        <f aca="false">F1041+F1046+F1047</f>
        <v>88.7637751405431</v>
      </c>
      <c r="G1048" s="23" t="n">
        <f aca="false">G1041+G1046+G1047</f>
        <v>98.690337033755</v>
      </c>
      <c r="H1048" s="25" t="n">
        <f aca="false">G1048*(1+H1050)</f>
        <v>108.021918101299</v>
      </c>
      <c r="I1048" s="25" t="n">
        <f aca="false">H1048*(1+I1050)</f>
        <v>116.369536042543</v>
      </c>
      <c r="J1048" s="25" t="n">
        <f aca="false">I1048*(1+J1050)</f>
        <v>123.351708205095</v>
      </c>
      <c r="K1048" s="7" t="s">
        <v>643</v>
      </c>
    </row>
    <row r="1049" customFormat="false" ht="17.15" hidden="false" customHeight="false" outlineLevel="0" collapsed="false">
      <c r="A1049" s="3" t="s">
        <v>644</v>
      </c>
      <c r="B1049" s="0" t="s">
        <v>333</v>
      </c>
      <c r="D1049" s="19" t="n">
        <f aca="false">D1041+D1046+D1047-a26_rev</f>
        <v>0</v>
      </c>
      <c r="E1049" s="19" t="n">
        <f aca="false">E1041+E1046+E1047-E1048</f>
        <v>0</v>
      </c>
      <c r="F1049" s="19" t="n">
        <f aca="false">F1041+F1046+F1047-F1048</f>
        <v>0</v>
      </c>
      <c r="G1049" s="19" t="n">
        <f aca="false">G1041+G1046+G1047-G1048</f>
        <v>0</v>
      </c>
    </row>
    <row r="1050" customFormat="false" ht="15" hidden="false" customHeight="false" outlineLevel="0" collapsed="false">
      <c r="A1050" s="3" t="s">
        <v>645</v>
      </c>
      <c r="B1050" s="0" t="s">
        <v>44</v>
      </c>
      <c r="D1050" s="20" t="n">
        <f aca="false">D1048/C1048-1</f>
        <v>0.472329674159261</v>
      </c>
      <c r="E1050" s="20" t="n">
        <f aca="false">E1048/D1048-1</f>
        <v>0.35642</v>
      </c>
      <c r="F1050" s="20" t="n">
        <f aca="false">F1048/E1048-1</f>
        <v>0.106374735517023</v>
      </c>
      <c r="G1050" s="20" t="n">
        <f aca="false">G1048/F1048-1</f>
        <v>0.111831227068641</v>
      </c>
      <c r="H1050" s="26" t="n">
        <f aca="false">$G1050+(fade_gA-$G1050)*1/3</f>
        <v>0.0945541513790942</v>
      </c>
      <c r="I1050" s="26" t="n">
        <f aca="false">$G1050+(fade_gA-$G1050)*2/3</f>
        <v>0.0772770756895471</v>
      </c>
      <c r="J1050" s="26" t="n">
        <f aca="false">$G1050+(fade_gA-$G1050)*3/3</f>
        <v>0.06</v>
      </c>
    </row>
    <row r="1051" customFormat="false" ht="17.15" hidden="false" customHeight="false" outlineLevel="0" collapsed="false">
      <c r="A1051" s="0" t="s">
        <v>646</v>
      </c>
      <c r="B1051" s="0" t="s">
        <v>44</v>
      </c>
      <c r="D1051" s="20" t="n">
        <f aca="false">D1041/D1048</f>
        <v>0.58</v>
      </c>
      <c r="E1051" s="20" t="n">
        <f aca="false">E1041/E1048</f>
        <v>0.619586853629407</v>
      </c>
      <c r="F1051" s="20" t="n">
        <f aca="false">F1041/F1048</f>
        <v>0.62844224473576</v>
      </c>
      <c r="G1051" s="20" t="n">
        <f aca="false">G1041/G1048</f>
        <v>0.652101978532542</v>
      </c>
    </row>
    <row r="1052" customFormat="false" ht="17.15" hidden="false" customHeight="false" outlineLevel="0" collapsed="false">
      <c r="A1052" s="0" t="s">
        <v>647</v>
      </c>
      <c r="B1052" s="0" t="s">
        <v>44</v>
      </c>
      <c r="D1052" s="20" t="n">
        <f aca="false">D1043/D1048</f>
        <v>0.377</v>
      </c>
      <c r="E1052" s="20" t="n">
        <f aca="false">E1043/E1048</f>
        <v>0.475436359251435</v>
      </c>
      <c r="F1052" s="20" t="n">
        <f aca="false">F1043/F1048</f>
        <v>0.493492899828142</v>
      </c>
      <c r="G1052" s="20" t="n">
        <f aca="false">G1043/G1048</f>
        <v>0.519156855626108</v>
      </c>
      <c r="K1052" s="3" t="s">
        <v>648</v>
      </c>
    </row>
    <row r="1053" customFormat="false" ht="17.15" hidden="false" customHeight="false" outlineLevel="0" collapsed="false">
      <c r="A1053" s="5" t="s">
        <v>649</v>
      </c>
    </row>
    <row r="1054" customFormat="false" ht="15" hidden="false" customHeight="false" outlineLevel="0" collapsed="false">
      <c r="A1054" s="3" t="s">
        <v>650</v>
      </c>
      <c r="B1054" s="0" t="s">
        <v>333</v>
      </c>
      <c r="C1054" s="23" t="n">
        <f aca="false">a25_cx</f>
        <v>2.422</v>
      </c>
      <c r="D1054" s="23" t="n">
        <f aca="false">capex26</f>
        <v>4</v>
      </c>
      <c r="E1054" s="23" t="n">
        <f aca="false">cx27</f>
        <v>14</v>
      </c>
      <c r="F1054" s="23" t="n">
        <f aca="false">cx28</f>
        <v>18</v>
      </c>
      <c r="G1054" s="23" t="n">
        <f aca="false">cx29</f>
        <v>12</v>
      </c>
      <c r="H1054" s="25" t="n">
        <f aca="false">H1048*H1071</f>
        <v>12.563924626823</v>
      </c>
      <c r="I1054" s="25" t="n">
        <f aca="false">I1048*I1071</f>
        <v>12.9199988177572</v>
      </c>
      <c r="J1054" s="25" t="n">
        <f aca="false">J1048*J1071</f>
        <v>13.0434798336074</v>
      </c>
    </row>
    <row r="1055" customFormat="false" ht="17.15" hidden="false" customHeight="false" outlineLevel="0" collapsed="false">
      <c r="A1055" s="3" t="s">
        <v>651</v>
      </c>
      <c r="B1055" s="0" t="s">
        <v>333</v>
      </c>
      <c r="C1055" s="23" t="n">
        <f aca="false">a25_da</f>
        <v>6.894</v>
      </c>
      <c r="D1055" s="23" t="n">
        <f aca="false">da26</f>
        <v>7.1</v>
      </c>
      <c r="E1055" s="23" t="n">
        <f aca="false">D1055*(1-1/life)+D1054/life</f>
        <v>6.7125</v>
      </c>
      <c r="F1055" s="23" t="n">
        <f aca="false">E1055*(1-1/life)+E1054/life</f>
        <v>7.6234375</v>
      </c>
      <c r="G1055" s="23" t="n">
        <f aca="false">F1055*(1-1/life)+F1054/life</f>
        <v>8.9205078125</v>
      </c>
      <c r="H1055" s="25" t="n">
        <f aca="false">H1048*H1056</f>
        <v>9.76397885858152</v>
      </c>
      <c r="I1055" s="25" t="n">
        <f aca="false">I1048*I1056</f>
        <v>10.5185105918673</v>
      </c>
      <c r="J1055" s="25" t="n">
        <f aca="false">J1048*J1056</f>
        <v>11.1496212273793</v>
      </c>
      <c r="K1055" s="3" t="s">
        <v>652</v>
      </c>
    </row>
    <row r="1056" customFormat="false" ht="17.15" hidden="false" customHeight="false" outlineLevel="0" collapsed="false">
      <c r="A1056" s="3" t="s">
        <v>653</v>
      </c>
      <c r="B1056" s="0" t="s">
        <v>44</v>
      </c>
      <c r="C1056" s="20" t="n">
        <f aca="false">C1055/C1048</f>
        <v>0.171607796281084</v>
      </c>
      <c r="D1056" s="20" t="n">
        <f aca="false">D1055/D1048</f>
        <v>0.120038074048276</v>
      </c>
      <c r="E1056" s="20" t="n">
        <f aca="false">E1055/E1048</f>
        <v>0.0836663424961285</v>
      </c>
      <c r="F1056" s="20" t="n">
        <f aca="false">F1055/F1048</f>
        <v>0.0858845569369883</v>
      </c>
      <c r="G1056" s="20" t="n">
        <f aca="false">G1055/G1048</f>
        <v>0.0903888676502232</v>
      </c>
      <c r="H1056" s="26" t="n">
        <f aca="false">$G1056</f>
        <v>0.0903888676502232</v>
      </c>
      <c r="I1056" s="26" t="n">
        <f aca="false">$G1056</f>
        <v>0.0903888676502232</v>
      </c>
      <c r="J1056" s="26" t="n">
        <f aca="false">$G1056</f>
        <v>0.0903888676502232</v>
      </c>
    </row>
    <row r="1057" customFormat="false" ht="17.15" hidden="false" customHeight="false" outlineLevel="0" collapsed="false">
      <c r="A1057" s="3" t="s">
        <v>654</v>
      </c>
      <c r="B1057" s="0" t="s">
        <v>333</v>
      </c>
      <c r="E1057" s="21" t="n">
        <f aca="false">E1043*(1-1/(E1028*E1029))</f>
        <v>4.97530059581543</v>
      </c>
      <c r="F1057" s="21" t="n">
        <f aca="false">F1043*(1-1/(F1028*F1029))</f>
        <v>3.70883028231256</v>
      </c>
      <c r="G1057" s="21" t="n">
        <f aca="false">G1043*(1-1/(G1028*G1029))</f>
        <v>1.73261041249215</v>
      </c>
      <c r="K1057" s="7" t="s">
        <v>655</v>
      </c>
    </row>
    <row r="1058" customFormat="false" ht="17.15" hidden="false" customHeight="false" outlineLevel="0" collapsed="false">
      <c r="A1058" s="3" t="s">
        <v>656</v>
      </c>
      <c r="B1058" s="0" t="s">
        <v>333</v>
      </c>
      <c r="C1058" s="21" t="n">
        <f aca="false">a25_gp</f>
        <v>3.647</v>
      </c>
      <c r="D1058" s="21" t="n">
        <f aca="false">a26_gp</f>
        <v>15.9001925</v>
      </c>
      <c r="E1058" s="21" t="n">
        <f aca="false">$D1058+ft_abf*(E1041-E1057-$D1041)+ft_oth*((E1048-E1041)-($D1048-$D1041))+E1057-(E1055-$D1055)</f>
        <v>28.7482702169077</v>
      </c>
      <c r="F1058" s="21" t="n">
        <f aca="false">$D1058+ft_abf*(F1041-F1057-$D1041)+ft_oth*((F1048-F1041)-($D1048-$D1041))+F1057-(F1055-$D1055)</f>
        <v>31.2252326074279</v>
      </c>
      <c r="G1058" s="21" t="n">
        <f aca="false">$D1058+ft_abf*(G1041-G1057-$D1041)+ft_oth*((G1048-G1041)-($D1048-$D1041))+G1057-(G1055-$D1055)</f>
        <v>33.7680029114236</v>
      </c>
      <c r="K1058" s="3" t="s">
        <v>657</v>
      </c>
    </row>
    <row r="1059" customFormat="false" ht="15" hidden="false" customHeight="false" outlineLevel="0" collapsed="false">
      <c r="A1059" s="3" t="s">
        <v>512</v>
      </c>
      <c r="B1059" s="0" t="s">
        <v>44</v>
      </c>
      <c r="C1059" s="16" t="n">
        <f aca="false">C1058/C1048</f>
        <v>0.0907823662659</v>
      </c>
      <c r="D1059" s="16" t="n">
        <f aca="false">D1058/D1048</f>
        <v>0.268820913337583</v>
      </c>
      <c r="E1059" s="16" t="n">
        <f aca="false">E1058/E1048</f>
        <v>0.358325902739523</v>
      </c>
      <c r="F1059" s="16" t="n">
        <f aca="false">F1058/F1048</f>
        <v>0.351779006221713</v>
      </c>
      <c r="G1059" s="16" t="n">
        <f aca="false">G1058/G1048</f>
        <v>0.342161187471413</v>
      </c>
    </row>
    <row r="1060" customFormat="false" ht="15" hidden="false" customHeight="false" outlineLevel="0" collapsed="false">
      <c r="A1060" s="3" t="s">
        <v>514</v>
      </c>
      <c r="B1060" s="0" t="s">
        <v>333</v>
      </c>
      <c r="C1060" s="21" t="n">
        <f aca="false">a25_opx</f>
        <v>1.665</v>
      </c>
      <c r="D1060" s="21" t="n">
        <f aca="false">a26_opx</f>
        <v>1.9</v>
      </c>
      <c r="E1060" s="21" t="n">
        <f aca="false">D1060*(1+phi*E1050)</f>
        <v>2.3063188</v>
      </c>
      <c r="F1060" s="21" t="n">
        <f aca="false">E1060*(1+phi*F1050)</f>
        <v>2.45351923142076</v>
      </c>
      <c r="G1060" s="21" t="n">
        <f aca="false">F1060*(1+phi*G1050)</f>
        <v>2.61814727119254</v>
      </c>
    </row>
    <row r="1061" customFormat="false" ht="15" hidden="false" customHeight="false" outlineLevel="0" collapsed="false">
      <c r="A1061" s="3" t="s">
        <v>517</v>
      </c>
      <c r="B1061" s="0" t="s">
        <v>333</v>
      </c>
      <c r="C1061" s="21" t="n">
        <f aca="false">C1058-C1060</f>
        <v>1.982</v>
      </c>
      <c r="D1061" s="21" t="n">
        <f aca="false">D1058-D1060</f>
        <v>14.0001925</v>
      </c>
      <c r="E1061" s="21" t="n">
        <f aca="false">E1058-E1060</f>
        <v>26.4419514169077</v>
      </c>
      <c r="F1061" s="21" t="n">
        <f aca="false">F1058-F1060</f>
        <v>28.7717133760071</v>
      </c>
      <c r="G1061" s="21" t="n">
        <f aca="false">G1058-G1060</f>
        <v>31.1498556402311</v>
      </c>
    </row>
    <row r="1062" customFormat="false" ht="15" hidden="false" customHeight="false" outlineLevel="0" collapsed="false">
      <c r="A1062" s="3" t="s">
        <v>598</v>
      </c>
      <c r="B1062" s="0" t="s">
        <v>44</v>
      </c>
      <c r="C1062" s="16" t="n">
        <f aca="false">C1061/C1048</f>
        <v>0.0493366191222961</v>
      </c>
      <c r="D1062" s="16" t="n">
        <f aca="false">D1061/D1048</f>
        <v>0.236698048451424</v>
      </c>
      <c r="E1062" s="16" t="n">
        <f aca="false">E1061/E1048</f>
        <v>0.329579346519626</v>
      </c>
      <c r="F1062" s="16" t="n">
        <f aca="false">F1061/F1048</f>
        <v>0.324138009345048</v>
      </c>
      <c r="G1062" s="16" t="n">
        <f aca="false">G1061/G1048</f>
        <v>0.315632275423042</v>
      </c>
    </row>
    <row r="1063" customFormat="false" ht="15" hidden="false" customHeight="false" outlineLevel="0" collapsed="false">
      <c r="A1063" s="3" t="s">
        <v>520</v>
      </c>
      <c r="B1063" s="0" t="s">
        <v>333</v>
      </c>
      <c r="C1063" s="21" t="n">
        <f aca="false">a25_nonop</f>
        <v>0.364</v>
      </c>
      <c r="D1063" s="21" t="n">
        <f aca="false">a26_nonop</f>
        <v>0.623</v>
      </c>
      <c r="E1063" s="21" t="n">
        <f aca="false">nonop27</f>
        <v>0.6</v>
      </c>
      <c r="F1063" s="21" t="n">
        <f aca="false">nonop28</f>
        <v>0.6</v>
      </c>
      <c r="G1063" s="21" t="n">
        <f aca="false">nonop29</f>
        <v>0.6</v>
      </c>
    </row>
    <row r="1064" customFormat="false" ht="15" hidden="false" customHeight="false" outlineLevel="0" collapsed="false">
      <c r="A1064" s="3" t="s">
        <v>522</v>
      </c>
      <c r="B1064" s="0" t="s">
        <v>333</v>
      </c>
      <c r="C1064" s="21" t="n">
        <f aca="false">C1061+C1063</f>
        <v>2.346</v>
      </c>
      <c r="D1064" s="21" t="n">
        <f aca="false">D1061+D1063</f>
        <v>14.6231925</v>
      </c>
      <c r="E1064" s="21" t="n">
        <f aca="false">E1061+E1063</f>
        <v>27.0419514169077</v>
      </c>
      <c r="F1064" s="21" t="n">
        <f aca="false">F1061+F1063</f>
        <v>29.3717133760071</v>
      </c>
      <c r="G1064" s="21" t="n">
        <f aca="false">G1061+G1063</f>
        <v>31.7498556402311</v>
      </c>
    </row>
    <row r="1065" customFormat="false" ht="15" hidden="false" customHeight="false" outlineLevel="0" collapsed="false">
      <c r="A1065" s="3" t="s">
        <v>525</v>
      </c>
      <c r="B1065" s="0" t="s">
        <v>333</v>
      </c>
      <c r="E1065" s="21" t="n">
        <f aca="false">E1064*tax</f>
        <v>5.67880979755062</v>
      </c>
      <c r="F1065" s="21" t="n">
        <f aca="false">F1064*tax</f>
        <v>6.16805980896149</v>
      </c>
      <c r="G1065" s="21" t="n">
        <f aca="false">G1064*tax</f>
        <v>6.66746968444852</v>
      </c>
    </row>
    <row r="1066" customFormat="false" ht="15" hidden="false" customHeight="false" outlineLevel="0" collapsed="false">
      <c r="A1066" s="3" t="s">
        <v>523</v>
      </c>
      <c r="B1066" s="0" t="s">
        <v>333</v>
      </c>
      <c r="C1066" s="21" t="n">
        <f aca="false">a25_ni</f>
        <v>1.947</v>
      </c>
      <c r="D1066" s="21" t="n">
        <f aca="false">a26_ni</f>
        <v>11.509862075</v>
      </c>
      <c r="E1066" s="21" t="n">
        <f aca="false">E1064-E1065</f>
        <v>21.3631416193571</v>
      </c>
      <c r="F1066" s="21" t="n">
        <f aca="false">F1064-F1065</f>
        <v>23.2036535670456</v>
      </c>
      <c r="G1066" s="21" t="n">
        <f aca="false">G1064-G1065</f>
        <v>25.0823859557825</v>
      </c>
      <c r="H1066" s="30" t="n">
        <f aca="false">H1048*H1070</f>
        <v>27.3695591597372</v>
      </c>
      <c r="I1066" s="30" t="n">
        <f aca="false">I1048*I1070</f>
        <v>29.3936005055017</v>
      </c>
      <c r="J1066" s="30" t="n">
        <f aca="false">J1048*J1070</f>
        <v>31.0607584978791</v>
      </c>
    </row>
    <row r="1067" customFormat="false" ht="15" hidden="false" customHeight="false" outlineLevel="0" collapsed="false">
      <c r="A1067" s="3" t="s">
        <v>658</v>
      </c>
      <c r="B1067" s="3" t="s">
        <v>400</v>
      </c>
      <c r="C1067" s="29" t="n">
        <f aca="false">a25_sh</f>
        <v>0.646843853820598</v>
      </c>
      <c r="D1067" s="29" t="n">
        <f aca="false">a26_sh</f>
        <v>0.645863325123153</v>
      </c>
      <c r="E1067" s="29" t="n">
        <f aca="false">a26_shend*(1+sh_g)</f>
        <v>0.64617</v>
      </c>
      <c r="F1067" s="29" t="n">
        <f aca="false">E1067*(1+sh_g)</f>
        <v>0.64617</v>
      </c>
      <c r="G1067" s="29" t="n">
        <f aca="false">F1067*(1+sh_g)</f>
        <v>0.64617</v>
      </c>
      <c r="H1067" s="31" t="n">
        <f aca="false">G1067*(1+sh_g)</f>
        <v>0.64617</v>
      </c>
      <c r="I1067" s="31" t="n">
        <f aca="false">H1067*(1+sh_g)</f>
        <v>0.64617</v>
      </c>
      <c r="J1067" s="31" t="n">
        <f aca="false">I1067*(1+sh_g)</f>
        <v>0.64617</v>
      </c>
    </row>
    <row r="1068" customFormat="false" ht="17.15" hidden="false" customHeight="false" outlineLevel="0" collapsed="false">
      <c r="A1068" s="0" t="s">
        <v>528</v>
      </c>
      <c r="B1068" s="0" t="s">
        <v>406</v>
      </c>
      <c r="C1068" s="18" t="n">
        <f aca="false">C1066/C1067</f>
        <v>3.01</v>
      </c>
      <c r="D1068" s="18" t="n">
        <f aca="false">D1066/D1067</f>
        <v>17.820894339844</v>
      </c>
      <c r="E1068" s="18" t="n">
        <f aca="false">E1066/E1067</f>
        <v>33.0611783576413</v>
      </c>
      <c r="F1068" s="18" t="n">
        <f aca="false">F1066/F1067</f>
        <v>35.909518496751</v>
      </c>
      <c r="G1068" s="18" t="n">
        <f aca="false">G1066/G1067</f>
        <v>38.8170078397055</v>
      </c>
      <c r="H1068" s="28" t="n">
        <f aca="false">H1066/H1067</f>
        <v>42.3565921657415</v>
      </c>
      <c r="I1068" s="28" t="n">
        <f aca="false">I1066/I1067</f>
        <v>45.4889587964494</v>
      </c>
      <c r="J1068" s="28" t="n">
        <f aca="false">J1066/J1067</f>
        <v>48.0690197593189</v>
      </c>
    </row>
    <row r="1069" customFormat="false" ht="17.15" hidden="false" customHeight="false" outlineLevel="0" collapsed="false">
      <c r="A1069" s="0" t="s">
        <v>659</v>
      </c>
      <c r="B1069" s="0" t="s">
        <v>44</v>
      </c>
      <c r="D1069" s="20" t="n">
        <f aca="false">D1068/C1068-1</f>
        <v>4.92056290360265</v>
      </c>
      <c r="E1069" s="20" t="n">
        <f aca="false">E1068/D1068-1</f>
        <v>0.85519187349218</v>
      </c>
      <c r="F1069" s="20" t="n">
        <f aca="false">F1068/E1068-1</f>
        <v>0.086153618249706</v>
      </c>
      <c r="G1069" s="20" t="n">
        <f aca="false">G1068/F1068-1</f>
        <v>0.0809670935358711</v>
      </c>
      <c r="H1069" s="26" t="n">
        <f aca="false">H1068/G1068-1</f>
        <v>0.091186428914166</v>
      </c>
      <c r="I1069" s="26" t="n">
        <f aca="false">I1068/H1068-1</f>
        <v>0.073952281582309</v>
      </c>
      <c r="J1069" s="26" t="n">
        <f aca="false">J1068/I1068-1</f>
        <v>0.0567184000498795</v>
      </c>
    </row>
    <row r="1070" customFormat="false" ht="17.15" hidden="false" customHeight="false" outlineLevel="0" collapsed="false">
      <c r="A1070" s="3" t="s">
        <v>660</v>
      </c>
      <c r="B1070" s="0" t="s">
        <v>44</v>
      </c>
      <c r="C1070" s="16" t="n">
        <f aca="false">C1066/C1048</f>
        <v>0.0484653872003585</v>
      </c>
      <c r="D1070" s="16" t="n">
        <f aca="false">D1066/D1048</f>
        <v>0.194594602259759</v>
      </c>
      <c r="E1070" s="16" t="n">
        <f aca="false">E1066/E1048</f>
        <v>0.266275742796041</v>
      </c>
      <c r="F1070" s="16" t="n">
        <f aca="false">F1066/F1048</f>
        <v>0.261409043613866</v>
      </c>
      <c r="G1070" s="16" t="n">
        <f aca="false">G1066/G1048</f>
        <v>0.254152399410731</v>
      </c>
      <c r="H1070" s="27" t="n">
        <f aca="false">$G1070+(fade_mA-$G1070)*1/3</f>
        <v>0.253370423714113</v>
      </c>
      <c r="I1070" s="27" t="n">
        <f aca="false">$G1070+(fade_mA-$G1070)*2/3</f>
        <v>0.252588448017494</v>
      </c>
      <c r="J1070" s="27" t="n">
        <f aca="false">$G1070+(fade_mA-$G1070)*3/3</f>
        <v>0.251806472320876</v>
      </c>
    </row>
    <row r="1071" customFormat="false" ht="17.15" hidden="false" customHeight="false" outlineLevel="0" collapsed="false">
      <c r="A1071" s="3" t="s">
        <v>661</v>
      </c>
      <c r="B1071" s="0" t="s">
        <v>44</v>
      </c>
      <c r="C1071" s="20" t="n">
        <f aca="false">C1054/C1048</f>
        <v>0.0602892489980833</v>
      </c>
      <c r="D1071" s="20" t="n">
        <f aca="false">D1054/D1048</f>
        <v>0.0676270839708595</v>
      </c>
      <c r="E1071" s="20" t="n">
        <f aca="false">E1054/E1048</f>
        <v>0.174499634256357</v>
      </c>
      <c r="F1071" s="20" t="n">
        <f aca="false">F1054/F1048</f>
        <v>0.202785426504223</v>
      </c>
      <c r="G1071" s="20" t="n">
        <f aca="false">G1054/G1048</f>
        <v>0.121592451304484</v>
      </c>
      <c r="H1071" s="26" t="n">
        <f aca="false">$G1071+($G1056*(1+tp_g)^(life/2)-$G1071)*1/3</f>
        <v>0.116309031052763</v>
      </c>
      <c r="I1071" s="26" t="n">
        <f aca="false">$G1071+($G1056*(1+tp_g)^(life/2)-$G1071)*2/3</f>
        <v>0.111025610801042</v>
      </c>
      <c r="J1071" s="26" t="n">
        <f aca="false">$G1071+($G1056*(1+tp_g)^(life/2)-$G1071)*3/3</f>
        <v>0.105742190549321</v>
      </c>
      <c r="K1071" s="7" t="s">
        <v>662</v>
      </c>
    </row>
    <row r="1072" customFormat="false" ht="15" hidden="false" customHeight="false" outlineLevel="0" collapsed="false">
      <c r="A1072" s="3" t="s">
        <v>663</v>
      </c>
      <c r="B1072" s="0" t="s">
        <v>333</v>
      </c>
      <c r="E1072" s="21" t="n">
        <f aca="false">E1066+E1055-E1054</f>
        <v>14.0756416193571</v>
      </c>
      <c r="F1072" s="21" t="n">
        <f aca="false">F1066+F1055-F1054</f>
        <v>12.8270910670456</v>
      </c>
      <c r="G1072" s="21" t="n">
        <f aca="false">G1066+G1055-G1054</f>
        <v>22.0028937682825</v>
      </c>
      <c r="H1072" s="30" t="n">
        <f aca="false">H1066+H1055-H1054</f>
        <v>24.5696133914957</v>
      </c>
      <c r="I1072" s="30" t="n">
        <f aca="false">I1066+I1055-I1054</f>
        <v>26.9921122796118</v>
      </c>
      <c r="J1072" s="30" t="n">
        <f aca="false">J1066+J1055-J1054</f>
        <v>29.166899891651</v>
      </c>
      <c r="K1072" s="3" t="s">
        <v>664</v>
      </c>
    </row>
    <row r="1073" customFormat="false" ht="15" hidden="false" customHeight="false" outlineLevel="0" collapsed="false">
      <c r="A1073" s="3" t="s">
        <v>665</v>
      </c>
      <c r="B1073" s="0" t="s">
        <v>406</v>
      </c>
      <c r="E1073" s="18" t="n">
        <f aca="false">E1072/E1067</f>
        <v>21.783186497914</v>
      </c>
      <c r="F1073" s="18" t="n">
        <f aca="false">F1072/F1067</f>
        <v>19.8509541870492</v>
      </c>
      <c r="G1073" s="18" t="n">
        <f aca="false">G1072/G1067</f>
        <v>34.0512462173771</v>
      </c>
      <c r="H1073" s="28" t="n">
        <f aca="false">H1072/H1067</f>
        <v>38.0234510910375</v>
      </c>
      <c r="I1073" s="28" t="n">
        <f aca="false">I1072/I1067</f>
        <v>41.7724627878296</v>
      </c>
      <c r="J1073" s="28" t="n">
        <f aca="false">J1072/J1067</f>
        <v>45.1381213792826</v>
      </c>
    </row>
    <row r="1076" customFormat="false" ht="17.15" hidden="false" customHeight="false" outlineLevel="0" collapsed="false">
      <c r="A1076" s="1" t="s">
        <v>1026</v>
      </c>
    </row>
    <row r="1077" customFormat="false" ht="17.15" hidden="false" customHeight="false" outlineLevel="0" collapsed="false">
      <c r="A1077" s="4" t="s">
        <v>21</v>
      </c>
      <c r="B1077" s="4" t="s">
        <v>22</v>
      </c>
      <c r="C1077" s="13" t="s">
        <v>498</v>
      </c>
      <c r="D1077" s="13" t="s">
        <v>585</v>
      </c>
      <c r="E1077" s="13" t="s">
        <v>586</v>
      </c>
      <c r="F1077" s="13" t="s">
        <v>587</v>
      </c>
      <c r="G1077" s="13" t="s">
        <v>588</v>
      </c>
      <c r="H1077" s="13" t="s">
        <v>589</v>
      </c>
      <c r="I1077" s="13" t="s">
        <v>590</v>
      </c>
      <c r="J1077" s="13" t="s">
        <v>591</v>
      </c>
      <c r="K1077" s="4" t="s">
        <v>553</v>
      </c>
    </row>
    <row r="1078" customFormat="false" ht="17.15" hidden="false" customHeight="false" outlineLevel="0" collapsed="false">
      <c r="A1078" s="5" t="s">
        <v>609</v>
      </c>
    </row>
    <row r="1079" customFormat="false" ht="17.15" hidden="false" customHeight="false" outlineLevel="0" collapsed="false">
      <c r="A1079" s="0" t="s">
        <v>610</v>
      </c>
      <c r="B1079" s="3" t="s">
        <v>32</v>
      </c>
      <c r="D1079" s="21" t="n">
        <f aca="false">(u_bw_26+u_rb_26+u_ru_26+u_hp_26)*1</f>
        <v>7.6</v>
      </c>
      <c r="E1079" s="21" t="n">
        <f aca="false">(u_bw_27+u_rb_27+u_ru_27+u_hp_27)*1*1</f>
        <v>9.7</v>
      </c>
      <c r="F1079" s="21" t="n">
        <f aca="false">(u_bw_28+u_rb_28+u_ru_28+u_hp_28)*um28_A*1</f>
        <v>9.5</v>
      </c>
      <c r="G1079" s="21" t="n">
        <f aca="false">(u_bw_28*(1+g29_bw)+u_rb_28*(1+g29_rb)+u_ru_28*(1+g29_ru)+u_hp_28*(1+g29_hp))*um29_A*1</f>
        <v>10.6</v>
      </c>
      <c r="K1079" s="7" t="s">
        <v>611</v>
      </c>
    </row>
    <row r="1080" customFormat="false" ht="17.15" hidden="false" customHeight="false" outlineLevel="0" collapsed="false">
      <c r="A1080" s="3" t="s">
        <v>612</v>
      </c>
      <c r="B1080" s="3" t="s">
        <v>32</v>
      </c>
      <c r="D1080" s="21" t="n">
        <f aca="false">(u_amd_26+u_tpu_26+u_trn_26+u_oth_26)*1</f>
        <v>7.6</v>
      </c>
      <c r="E1080" s="21" t="n">
        <f aca="false">(u_amd_27+u_tpu_27+u_trn_27+u_oth_27)*1*1</f>
        <v>14</v>
      </c>
      <c r="F1080" s="21" t="n">
        <f aca="false">(u_amd_28+u_tpu_28+u_trn_28+u_oth_28)*um28_A*1</f>
        <v>17</v>
      </c>
      <c r="G1080" s="21" t="n">
        <f aca="false">(u_amd_28*(1+g29_amd)+u_tpu_28*(1+g29_tpu)+u_trn_28*(1+g29_trn)+u_oth_28*(1+g29_oth))*um29_A*1</f>
        <v>19.55</v>
      </c>
      <c r="K1080" s="7" t="s">
        <v>613</v>
      </c>
    </row>
    <row r="1081" customFormat="false" ht="17.15" hidden="false" customHeight="false" outlineLevel="0" collapsed="false">
      <c r="A1081" s="3" t="s">
        <v>614</v>
      </c>
      <c r="B1081" s="0" t="s">
        <v>154</v>
      </c>
      <c r="D1081" s="19" t="n">
        <f aca="false">1</f>
        <v>1</v>
      </c>
      <c r="E1081" s="19" t="n">
        <f aca="false">D1081*(1+g_asp)</f>
        <v>1.18</v>
      </c>
      <c r="F1081" s="19" t="n">
        <f aca="false">E1081*(1+g_asp)</f>
        <v>1.3924</v>
      </c>
      <c r="G1081" s="19" t="n">
        <f aca="false">F1081*(1+g_asp)</f>
        <v>1.643032</v>
      </c>
      <c r="K1081" s="7" t="s">
        <v>615</v>
      </c>
    </row>
    <row r="1082" customFormat="false" ht="17.15" hidden="false" customHeight="false" outlineLevel="0" collapsed="false">
      <c r="A1082" s="0" t="s">
        <v>616</v>
      </c>
      <c r="B1082" s="0" t="s">
        <v>154</v>
      </c>
      <c r="D1082" s="18" t="n">
        <f aca="false">1</f>
        <v>1</v>
      </c>
      <c r="E1082" s="18" t="n">
        <f aca="false">ibpp_27</f>
        <v>1</v>
      </c>
      <c r="F1082" s="18" t="n">
        <f aca="false">ibpp_28</f>
        <v>0.95</v>
      </c>
      <c r="G1082" s="18" t="n">
        <f aca="false">ibpp_29</f>
        <v>0.9</v>
      </c>
      <c r="K1082" s="7" t="s">
        <v>617</v>
      </c>
    </row>
    <row r="1083" customFormat="false" ht="17.15" hidden="false" customHeight="false" outlineLevel="0" collapsed="false">
      <c r="A1083" s="3" t="s">
        <v>618</v>
      </c>
      <c r="B1083" s="0" t="s">
        <v>154</v>
      </c>
      <c r="D1083" s="18" t="n">
        <f aca="false">1</f>
        <v>1</v>
      </c>
      <c r="E1083" s="18" t="n">
        <f aca="false">1+carry</f>
        <v>1.15</v>
      </c>
      <c r="F1083" s="18" t="n">
        <f aca="false">1+carry</f>
        <v>1.15</v>
      </c>
      <c r="G1083" s="18" t="n">
        <f aca="false">1+carry</f>
        <v>1.15</v>
      </c>
      <c r="K1083" s="7" t="s">
        <v>619</v>
      </c>
    </row>
    <row r="1084" customFormat="false" ht="17.15" hidden="false" customHeight="false" outlineLevel="0" collapsed="false">
      <c r="A1084" s="3" t="s">
        <v>620</v>
      </c>
      <c r="B1084" s="0" t="s">
        <v>621</v>
      </c>
      <c r="D1084" s="23" t="n">
        <f aca="false">v26*D1081*D1082</f>
        <v>215.308596</v>
      </c>
      <c r="E1084" s="23" t="n">
        <f aca="false">v26*E1081*E1082</f>
        <v>254.06414328</v>
      </c>
      <c r="F1084" s="23" t="n">
        <f aca="false">v26*F1081*F1082</f>
        <v>284.80590461688</v>
      </c>
      <c r="G1084" s="23" t="n">
        <f aca="false">v26*G1081*G1082</f>
        <v>318.383021792765</v>
      </c>
      <c r="K1084" s="7" t="s">
        <v>622</v>
      </c>
    </row>
    <row r="1085" customFormat="false" ht="17.15" hidden="false" customHeight="false" outlineLevel="0" collapsed="false">
      <c r="A1085" s="3" t="s">
        <v>623</v>
      </c>
      <c r="B1085" s="0" t="s">
        <v>44</v>
      </c>
      <c r="D1085" s="20" t="n">
        <f aca="false">sh_nv_26</f>
        <v>0.02</v>
      </c>
      <c r="E1085" s="20" t="n">
        <f aca="false">sh_nv_27</f>
        <v>0.03</v>
      </c>
      <c r="F1085" s="20" t="n">
        <f aca="false">sh_nv_28</f>
        <v>0.04</v>
      </c>
      <c r="G1085" s="20" t="n">
        <f aca="false">sh_nv_29</f>
        <v>0.04</v>
      </c>
    </row>
    <row r="1086" customFormat="false" ht="17.15" hidden="false" customHeight="false" outlineLevel="0" collapsed="false">
      <c r="A1086" s="3" t="s">
        <v>624</v>
      </c>
      <c r="B1086" s="0" t="s">
        <v>44</v>
      </c>
      <c r="D1086" s="20" t="n">
        <f aca="false">sh_ot_26_lo</f>
        <v>0.03</v>
      </c>
      <c r="E1086" s="20" t="n">
        <f aca="false">sh_ot_27_lo</f>
        <v>0.03</v>
      </c>
      <c r="F1086" s="20" t="n">
        <f aca="false">sh_ot_28_lo</f>
        <v>0.03</v>
      </c>
      <c r="G1086" s="20" t="n">
        <f aca="false">sh_ot_29_lo</f>
        <v>0.03</v>
      </c>
    </row>
    <row r="1087" customFormat="false" ht="17.15" hidden="false" customHeight="false" outlineLevel="0" collapsed="false">
      <c r="A1087" s="3" t="s">
        <v>625</v>
      </c>
      <c r="B1087" s="0" t="s">
        <v>575</v>
      </c>
      <c r="D1087" s="22" t="n">
        <f aca="false">(D1079*D1084*D1085+D1080*D1084*v_ot*D1086)*D1083</f>
        <v>71.9991945024</v>
      </c>
      <c r="E1087" s="22" t="n">
        <f aca="false">(E1079*E1084*E1085+E1080*E1084*v_ot*E1086)*E1083</f>
        <v>183.192950512044</v>
      </c>
      <c r="F1087" s="22" t="n">
        <f aca="false">(F1079*F1084*F1085+F1080*F1084*v_ot*F1086)*F1083</f>
        <v>258.091110763817</v>
      </c>
      <c r="G1087" s="22" t="n">
        <f aca="false">(G1079*G1084*G1085+G1080*G1084*v_ot*G1086)*G1083</f>
        <v>327.036672325092</v>
      </c>
    </row>
    <row r="1088" customFormat="false" ht="15" hidden="false" customHeight="false" outlineLevel="0" collapsed="false">
      <c r="A1088" s="3" t="s">
        <v>626</v>
      </c>
      <c r="B1088" s="0" t="s">
        <v>333</v>
      </c>
      <c r="D1088" s="21" t="n">
        <f aca="false">D1087*fx/1000</f>
        <v>2.3039742240768</v>
      </c>
      <c r="E1088" s="21" t="n">
        <f aca="false">E1087*fx/1000</f>
        <v>5.86217441638541</v>
      </c>
      <c r="F1088" s="21" t="n">
        <f aca="false">F1087*fx/1000</f>
        <v>8.25891554444213</v>
      </c>
      <c r="G1088" s="21" t="n">
        <f aca="false">G1087*fx/1000</f>
        <v>10.4651735144029</v>
      </c>
    </row>
    <row r="1089" customFormat="false" ht="17.15" hidden="false" customHeight="false" outlineLevel="0" collapsed="false">
      <c r="A1089" s="5" t="s">
        <v>627</v>
      </c>
    </row>
    <row r="1090" customFormat="false" ht="17.15" hidden="false" customHeight="false" outlineLevel="0" collapsed="false">
      <c r="A1090" s="0" t="s">
        <v>628</v>
      </c>
      <c r="B1090" s="0" t="s">
        <v>333</v>
      </c>
      <c r="D1090" s="21" t="n">
        <f aca="false">a26_abf*ai_abf</f>
        <v>22.2987583</v>
      </c>
      <c r="K1090" s="3" t="s">
        <v>629</v>
      </c>
    </row>
    <row r="1091" customFormat="false" ht="17.15" hidden="false" customHeight="false" outlineLevel="0" collapsed="false">
      <c r="A1091" s="3" t="s">
        <v>630</v>
      </c>
      <c r="B1091" s="0" t="s">
        <v>333</v>
      </c>
      <c r="D1091" s="21" t="n">
        <f aca="false">D1090-D1088</f>
        <v>19.9947840759232</v>
      </c>
      <c r="E1091" s="21" t="n">
        <f aca="false">$D1091*(swm_27/swm_26)^el_o*1*1*E1082*E1083</f>
        <v>32.1620042917455</v>
      </c>
      <c r="F1091" s="21" t="n">
        <f aca="false">$D1091*(swm_28/swm_26)^el_o*um28_A*1*F1082*F1083</f>
        <v>32.8683249378581</v>
      </c>
      <c r="G1091" s="21" t="n">
        <f aca="false">$D1091*(swm_29/swm_26)^el_o*um29_A*1*G1082*G1083</f>
        <v>33.218707779036</v>
      </c>
      <c r="K1091" s="7" t="s">
        <v>631</v>
      </c>
    </row>
    <row r="1092" customFormat="false" ht="17.15" hidden="false" customHeight="false" outlineLevel="0" collapsed="false">
      <c r="A1092" s="3" t="s">
        <v>632</v>
      </c>
      <c r="B1092" s="0" t="s">
        <v>333</v>
      </c>
      <c r="D1092" s="21" t="n">
        <f aca="false">a26_abf-D1090</f>
        <v>12.0070237</v>
      </c>
      <c r="E1092" s="21" t="n">
        <f aca="false">D1092*(1+g_nai)</f>
        <v>12.367234411</v>
      </c>
      <c r="F1092" s="21" t="n">
        <f aca="false">E1092*(1+g_nai)</f>
        <v>12.73825144333</v>
      </c>
      <c r="G1092" s="21" t="n">
        <f aca="false">F1092*(1+g_nai)</f>
        <v>13.1203989866299</v>
      </c>
    </row>
    <row r="1093" customFormat="false" ht="17.15" hidden="false" customHeight="false" outlineLevel="0" collapsed="false">
      <c r="A1093" s="0" t="s">
        <v>633</v>
      </c>
      <c r="B1093" s="0" t="s">
        <v>333</v>
      </c>
      <c r="D1093" s="21" t="n">
        <f aca="false">D1088+D1091+D1092</f>
        <v>34.305782</v>
      </c>
      <c r="E1093" s="21" t="n">
        <f aca="false">E1088+E1091+E1092</f>
        <v>50.391413119131</v>
      </c>
      <c r="F1093" s="21" t="n">
        <f aca="false">F1088+F1091+F1092</f>
        <v>53.8654919256302</v>
      </c>
      <c r="G1093" s="21" t="n">
        <f aca="false">G1088+G1091+G1092</f>
        <v>56.8042802800688</v>
      </c>
    </row>
    <row r="1094" customFormat="false" ht="17.15" hidden="false" customHeight="false" outlineLevel="0" collapsed="false">
      <c r="A1094" s="0" t="s">
        <v>634</v>
      </c>
      <c r="B1094" s="0" t="s">
        <v>333</v>
      </c>
      <c r="D1094" s="21" t="n">
        <f aca="false">a26_abf</f>
        <v>34.305782</v>
      </c>
      <c r="E1094" s="21" t="n">
        <f aca="false">$D1093*cap_27*(1+g_mix)^1*E1082*E1083</f>
        <v>49.709078118</v>
      </c>
      <c r="F1094" s="21" t="n">
        <f aca="false">$D1093*cap_28*(1+g_mix)^2*F1082*F1083</f>
        <v>55.7829061005431</v>
      </c>
      <c r="G1094" s="21" t="n">
        <f aca="false">$D1093*cap_29*(1+g_mix)^3*G1082*G1083</f>
        <v>65.765110350114</v>
      </c>
      <c r="K1094" s="7" t="s">
        <v>635</v>
      </c>
    </row>
    <row r="1095" customFormat="false" ht="17.15" hidden="false" customHeight="false" outlineLevel="0" collapsed="false">
      <c r="A1095" s="0" t="s">
        <v>636</v>
      </c>
      <c r="B1095" s="0" t="s">
        <v>333</v>
      </c>
      <c r="D1095" s="21" t="n">
        <f aca="false">a26_abf</f>
        <v>34.305782</v>
      </c>
      <c r="E1095" s="21" t="n">
        <f aca="false">MIN(E1093,E1094)</f>
        <v>49.709078118</v>
      </c>
      <c r="F1095" s="21" t="n">
        <f aca="false">MIN(F1093,F1094)</f>
        <v>53.8654919256302</v>
      </c>
      <c r="G1095" s="21" t="n">
        <f aca="false">MIN(G1093,G1094)</f>
        <v>56.8042802800688</v>
      </c>
    </row>
    <row r="1096" customFormat="false" ht="17.15" hidden="false" customHeight="false" outlineLevel="0" collapsed="false">
      <c r="A1096" s="3" t="s">
        <v>637</v>
      </c>
      <c r="B1096" s="0" t="s">
        <v>44</v>
      </c>
      <c r="D1096" s="20" t="n">
        <f aca="false">D1095/D1093</f>
        <v>1</v>
      </c>
      <c r="E1096" s="20" t="n">
        <f aca="false">E1095/E1093</f>
        <v>0.986459300128817</v>
      </c>
      <c r="F1096" s="20" t="n">
        <f aca="false">F1095/F1093</f>
        <v>1</v>
      </c>
      <c r="G1096" s="20" t="n">
        <f aca="false">G1095/G1093</f>
        <v>1</v>
      </c>
    </row>
    <row r="1097" customFormat="false" ht="17.15" hidden="false" customHeight="false" outlineLevel="0" collapsed="false">
      <c r="A1097" s="0" t="s">
        <v>638</v>
      </c>
      <c r="B1097" s="0" t="s">
        <v>333</v>
      </c>
      <c r="D1097" s="21" t="n">
        <f aca="false">(D1088+D1091)*D1096</f>
        <v>22.2987583</v>
      </c>
      <c r="E1097" s="21" t="n">
        <f aca="false">(E1088+E1091)*E1096</f>
        <v>37.5093047163959</v>
      </c>
      <c r="F1097" s="21" t="n">
        <f aca="false">(F1088+F1091)*F1096</f>
        <v>41.1272404823002</v>
      </c>
      <c r="G1097" s="21" t="n">
        <f aca="false">(G1088+G1091)*G1096</f>
        <v>43.6838812934389</v>
      </c>
    </row>
    <row r="1098" customFormat="false" ht="17.15" hidden="false" customHeight="false" outlineLevel="0" collapsed="false">
      <c r="A1098" s="3" t="s">
        <v>639</v>
      </c>
      <c r="B1098" s="0" t="s">
        <v>44</v>
      </c>
      <c r="D1098" s="20" t="n">
        <f aca="false">D1088/(D1088+D1091)</f>
        <v>0.10332298296972</v>
      </c>
      <c r="E1098" s="20" t="n">
        <f aca="false">E1088/(E1088+E1091)</f>
        <v>0.154169652456737</v>
      </c>
      <c r="F1098" s="20" t="n">
        <f aca="false">F1088/(F1088+F1091)</f>
        <v>0.20081375379407</v>
      </c>
      <c r="G1098" s="20" t="n">
        <f aca="false">G1088/(G1088+G1091)</f>
        <v>0.239566018507031</v>
      </c>
    </row>
    <row r="1099" customFormat="false" ht="17.15" hidden="false" customHeight="false" outlineLevel="0" collapsed="false">
      <c r="A1099" s="5" t="s">
        <v>640</v>
      </c>
    </row>
    <row r="1100" customFormat="false" ht="17.15" hidden="false" customHeight="false" outlineLevel="0" collapsed="false">
      <c r="A1100" s="0" t="s">
        <v>641</v>
      </c>
      <c r="B1100" s="0" t="s">
        <v>333</v>
      </c>
      <c r="D1100" s="21" t="n">
        <f aca="false">a26_bt</f>
        <v>18.927328</v>
      </c>
      <c r="E1100" s="21" t="n">
        <f aca="false">D1100*(1+g_bt27_A)</f>
        <v>24.6055264</v>
      </c>
      <c r="F1100" s="21" t="n">
        <f aca="false">E1100*(1+g_bt28_A)</f>
        <v>27.06607904</v>
      </c>
      <c r="G1100" s="21" t="n">
        <f aca="false">F1100*(1+g_bt29_A)</f>
        <v>28.419382992</v>
      </c>
      <c r="K1100" s="7" t="s">
        <v>642</v>
      </c>
    </row>
    <row r="1101" customFormat="false" ht="17.15" hidden="false" customHeight="false" outlineLevel="0" collapsed="false">
      <c r="A1101" s="0" t="s">
        <v>540</v>
      </c>
      <c r="B1101" s="0" t="s">
        <v>333</v>
      </c>
      <c r="D1101" s="21" t="n">
        <f aca="false">a26_pcb</f>
        <v>5.91479</v>
      </c>
      <c r="E1101" s="21" t="n">
        <f aca="false">D1101*(1+g_pcb)</f>
        <v>5.91479</v>
      </c>
      <c r="F1101" s="21" t="n">
        <f aca="false">E1101*(1+g_pcb)</f>
        <v>5.91479</v>
      </c>
      <c r="G1101" s="21" t="n">
        <f aca="false">F1101*(1+g_pcb)</f>
        <v>5.91479</v>
      </c>
    </row>
    <row r="1102" customFormat="false" ht="17.15" hidden="false" customHeight="false" outlineLevel="0" collapsed="false">
      <c r="A1102" s="3" t="s">
        <v>505</v>
      </c>
      <c r="B1102" s="0" t="s">
        <v>333</v>
      </c>
      <c r="C1102" s="23" t="n">
        <f aca="false">a25_rev</f>
        <v>40.173</v>
      </c>
      <c r="D1102" s="23" t="n">
        <f aca="false">D1095+D1100+D1101</f>
        <v>59.1479</v>
      </c>
      <c r="E1102" s="23" t="n">
        <f aca="false">E1095+E1100+E1101</f>
        <v>80.229394518</v>
      </c>
      <c r="F1102" s="23" t="n">
        <f aca="false">F1095+F1100+F1101</f>
        <v>86.8463609656302</v>
      </c>
      <c r="G1102" s="23" t="n">
        <f aca="false">G1095+G1100+G1101</f>
        <v>91.1384532720688</v>
      </c>
      <c r="H1102" s="25" t="n">
        <f aca="false">G1102*(1+H1104)</f>
        <v>95.9640321252807</v>
      </c>
      <c r="I1102" s="25" t="n">
        <f aca="false">H1102*(1+I1104)</f>
        <v>101.383494361504</v>
      </c>
      <c r="J1102" s="25" t="n">
        <f aca="false">I1102*(1+J1104)</f>
        <v>107.466504023195</v>
      </c>
      <c r="K1102" s="7" t="s">
        <v>643</v>
      </c>
    </row>
    <row r="1103" customFormat="false" ht="17.15" hidden="false" customHeight="false" outlineLevel="0" collapsed="false">
      <c r="A1103" s="3" t="s">
        <v>644</v>
      </c>
      <c r="B1103" s="0" t="s">
        <v>333</v>
      </c>
      <c r="D1103" s="19" t="n">
        <f aca="false">D1095+D1100+D1101-a26_rev</f>
        <v>0</v>
      </c>
      <c r="E1103" s="19" t="n">
        <f aca="false">E1095+E1100+E1101-E1102</f>
        <v>0</v>
      </c>
      <c r="F1103" s="19" t="n">
        <f aca="false">F1095+F1100+F1101-F1102</f>
        <v>0</v>
      </c>
      <c r="G1103" s="19" t="n">
        <f aca="false">G1095+G1100+G1101-G1102</f>
        <v>0</v>
      </c>
    </row>
    <row r="1104" customFormat="false" ht="15" hidden="false" customHeight="false" outlineLevel="0" collapsed="false">
      <c r="A1104" s="3" t="s">
        <v>645</v>
      </c>
      <c r="B1104" s="0" t="s">
        <v>44</v>
      </c>
      <c r="D1104" s="20" t="n">
        <f aca="false">D1102/C1102-1</f>
        <v>0.472329674159261</v>
      </c>
      <c r="E1104" s="20" t="n">
        <f aca="false">E1102/D1102-1</f>
        <v>0.35642</v>
      </c>
      <c r="F1104" s="20" t="n">
        <f aca="false">F1102/E1102-1</f>
        <v>0.0824755874998615</v>
      </c>
      <c r="G1104" s="20" t="n">
        <f aca="false">G1102/F1102-1</f>
        <v>0.0494216713137494</v>
      </c>
      <c r="H1104" s="26" t="n">
        <f aca="false">$G1104+(fade_gA-$G1104)*1/3</f>
        <v>0.0529477808758329</v>
      </c>
      <c r="I1104" s="26" t="n">
        <f aca="false">$G1104+(fade_gA-$G1104)*2/3</f>
        <v>0.0564738904379165</v>
      </c>
      <c r="J1104" s="26" t="n">
        <f aca="false">$G1104+(fade_gA-$G1104)*3/3</f>
        <v>0.06</v>
      </c>
    </row>
    <row r="1105" customFormat="false" ht="17.15" hidden="false" customHeight="false" outlineLevel="0" collapsed="false">
      <c r="A1105" s="0" t="s">
        <v>646</v>
      </c>
      <c r="B1105" s="0" t="s">
        <v>44</v>
      </c>
      <c r="D1105" s="20" t="n">
        <f aca="false">D1095/D1102</f>
        <v>0.58</v>
      </c>
      <c r="E1105" s="20" t="n">
        <f aca="false">E1095/E1102</f>
        <v>0.619586853629407</v>
      </c>
      <c r="F1105" s="20" t="n">
        <f aca="false">F1095/F1102</f>
        <v>0.620238906117756</v>
      </c>
      <c r="G1105" s="20" t="n">
        <f aca="false">G1095/G1102</f>
        <v>0.623274570070827</v>
      </c>
    </row>
    <row r="1106" customFormat="false" ht="17.15" hidden="false" customHeight="false" outlineLevel="0" collapsed="false">
      <c r="A1106" s="0" t="s">
        <v>647</v>
      </c>
      <c r="B1106" s="0" t="s">
        <v>44</v>
      </c>
      <c r="D1106" s="20" t="n">
        <f aca="false">D1097/D1102</f>
        <v>0.377</v>
      </c>
      <c r="E1106" s="20" t="n">
        <f aca="false">E1097/E1102</f>
        <v>0.467525711015811</v>
      </c>
      <c r="F1106" s="20" t="n">
        <f aca="false">F1097/F1102</f>
        <v>0.473563198561382</v>
      </c>
      <c r="G1106" s="20" t="n">
        <f aca="false">G1097/G1102</f>
        <v>0.479313393250516</v>
      </c>
      <c r="K1106" s="3" t="s">
        <v>648</v>
      </c>
    </row>
    <row r="1107" customFormat="false" ht="17.15" hidden="false" customHeight="false" outlineLevel="0" collapsed="false">
      <c r="A1107" s="5" t="s">
        <v>649</v>
      </c>
    </row>
    <row r="1108" customFormat="false" ht="15" hidden="false" customHeight="false" outlineLevel="0" collapsed="false">
      <c r="A1108" s="3" t="s">
        <v>650</v>
      </c>
      <c r="B1108" s="0" t="s">
        <v>333</v>
      </c>
      <c r="C1108" s="23" t="n">
        <f aca="false">a25_cx</f>
        <v>2.422</v>
      </c>
      <c r="D1108" s="23" t="n">
        <f aca="false">capex26</f>
        <v>4</v>
      </c>
      <c r="E1108" s="23" t="n">
        <f aca="false">cx27</f>
        <v>14</v>
      </c>
      <c r="F1108" s="23" t="n">
        <f aca="false">cx28</f>
        <v>18</v>
      </c>
      <c r="G1108" s="23" t="n">
        <f aca="false">cx29</f>
        <v>12</v>
      </c>
      <c r="H1108" s="25" t="n">
        <f aca="false">H1102*H1125</f>
        <v>12.0863426795616</v>
      </c>
      <c r="I1108" s="25" t="n">
        <f aca="false">I1102*I1125</f>
        <v>12.1888688818062</v>
      </c>
      <c r="J1108" s="25" t="n">
        <f aca="false">J1102*J1125</f>
        <v>12.3053622292763</v>
      </c>
    </row>
    <row r="1109" customFormat="false" ht="17.15" hidden="false" customHeight="false" outlineLevel="0" collapsed="false">
      <c r="A1109" s="3" t="s">
        <v>651</v>
      </c>
      <c r="B1109" s="0" t="s">
        <v>333</v>
      </c>
      <c r="C1109" s="23" t="n">
        <f aca="false">a25_da</f>
        <v>6.894</v>
      </c>
      <c r="D1109" s="23" t="n">
        <f aca="false">da26</f>
        <v>7.1</v>
      </c>
      <c r="E1109" s="23" t="n">
        <f aca="false">D1109*(1-1/life)+D1108/life</f>
        <v>6.7125</v>
      </c>
      <c r="F1109" s="23" t="n">
        <f aca="false">E1109*(1-1/life)+E1108/life</f>
        <v>7.6234375</v>
      </c>
      <c r="G1109" s="23" t="n">
        <f aca="false">F1109*(1-1/life)+F1108/life</f>
        <v>8.9205078125</v>
      </c>
      <c r="H1109" s="25" t="n">
        <f aca="false">H1102*H1110</f>
        <v>9.3928289054574</v>
      </c>
      <c r="I1109" s="25" t="n">
        <f aca="false">I1102*I1110</f>
        <v>9.9232784959663</v>
      </c>
      <c r="J1109" s="25" t="n">
        <f aca="false">J1102*J1110</f>
        <v>10.5186752057243</v>
      </c>
      <c r="K1109" s="3" t="s">
        <v>652</v>
      </c>
    </row>
    <row r="1110" customFormat="false" ht="17.15" hidden="false" customHeight="false" outlineLevel="0" collapsed="false">
      <c r="A1110" s="3" t="s">
        <v>653</v>
      </c>
      <c r="B1110" s="0" t="s">
        <v>44</v>
      </c>
      <c r="C1110" s="20" t="n">
        <f aca="false">C1109/C1102</f>
        <v>0.171607796281084</v>
      </c>
      <c r="D1110" s="20" t="n">
        <f aca="false">D1109/D1102</f>
        <v>0.120038074048276</v>
      </c>
      <c r="E1110" s="20" t="n">
        <f aca="false">E1109/E1102</f>
        <v>0.0836663424961285</v>
      </c>
      <c r="F1110" s="20" t="n">
        <f aca="false">F1109/F1102</f>
        <v>0.0877807361786524</v>
      </c>
      <c r="G1110" s="20" t="n">
        <f aca="false">G1109/G1102</f>
        <v>0.0978786395010487</v>
      </c>
      <c r="H1110" s="26" t="n">
        <f aca="false">$G1110</f>
        <v>0.0978786395010487</v>
      </c>
      <c r="I1110" s="26" t="n">
        <f aca="false">$G1110</f>
        <v>0.0978786395010487</v>
      </c>
      <c r="J1110" s="26" t="n">
        <f aca="false">$G1110</f>
        <v>0.0978786395010487</v>
      </c>
    </row>
    <row r="1111" customFormat="false" ht="17.15" hidden="false" customHeight="false" outlineLevel="0" collapsed="false">
      <c r="A1111" s="3" t="s">
        <v>654</v>
      </c>
      <c r="B1111" s="0" t="s">
        <v>333</v>
      </c>
      <c r="E1111" s="21" t="n">
        <f aca="false">E1097*(1-1/(E1082*E1083))</f>
        <v>4.89251800648642</v>
      </c>
      <c r="F1111" s="21" t="n">
        <f aca="false">F1097*(1-1/(F1082*F1083))</f>
        <v>3.48216910262038</v>
      </c>
      <c r="G1111" s="21" t="n">
        <f aca="false">G1097*(1-1/(G1082*G1083))</f>
        <v>1.47723270074431</v>
      </c>
      <c r="K1111" s="7" t="s">
        <v>655</v>
      </c>
    </row>
    <row r="1112" customFormat="false" ht="17.15" hidden="false" customHeight="false" outlineLevel="0" collapsed="false">
      <c r="A1112" s="3" t="s">
        <v>656</v>
      </c>
      <c r="B1112" s="0" t="s">
        <v>333</v>
      </c>
      <c r="C1112" s="21" t="n">
        <f aca="false">a25_gp</f>
        <v>3.647</v>
      </c>
      <c r="D1112" s="21" t="n">
        <f aca="false">a26_gp</f>
        <v>15.9001925</v>
      </c>
      <c r="E1112" s="21" t="n">
        <f aca="false">$D1112+ft_abf*(E1095-E1111-$D1095)+ft_oth*((E1102-E1095)-($D1102-$D1095))+E1111-(E1109-$D1109)</f>
        <v>28.7068789222432</v>
      </c>
      <c r="F1112" s="21" t="n">
        <f aca="false">$D1112+ft_abf*(F1095-F1111-$D1095)+ft_oth*((F1102-F1095)-($D1102-$D1095))+F1111-(F1109-$D1109)</f>
        <v>30.1531949301253</v>
      </c>
      <c r="G1112" s="21" t="n">
        <f aca="false">$D1112+ft_abf*(G1095-G1111-$D1095)+ft_oth*((G1102-G1095)-($D1102-$D1095))+G1111-(G1109-$D1109)</f>
        <v>29.8643721747066</v>
      </c>
      <c r="K1112" s="3" t="s">
        <v>657</v>
      </c>
    </row>
    <row r="1113" customFormat="false" ht="15" hidden="false" customHeight="false" outlineLevel="0" collapsed="false">
      <c r="A1113" s="3" t="s">
        <v>512</v>
      </c>
      <c r="B1113" s="0" t="s">
        <v>44</v>
      </c>
      <c r="C1113" s="16" t="n">
        <f aca="false">C1112/C1102</f>
        <v>0.0907823662659</v>
      </c>
      <c r="D1113" s="16" t="n">
        <f aca="false">D1112/D1102</f>
        <v>0.268820913337583</v>
      </c>
      <c r="E1113" s="16" t="n">
        <f aca="false">E1112/E1102</f>
        <v>0.35780999089807</v>
      </c>
      <c r="F1113" s="16" t="n">
        <f aca="false">F1112/F1102</f>
        <v>0.347201593651789</v>
      </c>
      <c r="G1113" s="16" t="n">
        <f aca="false">G1112/G1102</f>
        <v>0.32768135844433</v>
      </c>
    </row>
    <row r="1114" customFormat="false" ht="15" hidden="false" customHeight="false" outlineLevel="0" collapsed="false">
      <c r="A1114" s="3" t="s">
        <v>514</v>
      </c>
      <c r="B1114" s="0" t="s">
        <v>333</v>
      </c>
      <c r="C1114" s="21" t="n">
        <f aca="false">a25_opx</f>
        <v>1.665</v>
      </c>
      <c r="D1114" s="21" t="n">
        <f aca="false">a26_opx</f>
        <v>1.9</v>
      </c>
      <c r="E1114" s="21" t="n">
        <f aca="false">D1114*(1+phi*E1104)</f>
        <v>2.3063188</v>
      </c>
      <c r="F1114" s="21" t="n">
        <f aca="false">E1114*(1+phi*F1104)</f>
        <v>2.42044779879519</v>
      </c>
      <c r="G1114" s="21" t="n">
        <f aca="false">F1114*(1+phi*G1104)</f>
        <v>2.49222134412167</v>
      </c>
    </row>
    <row r="1115" customFormat="false" ht="15" hidden="false" customHeight="false" outlineLevel="0" collapsed="false">
      <c r="A1115" s="3" t="s">
        <v>517</v>
      </c>
      <c r="B1115" s="0" t="s">
        <v>333</v>
      </c>
      <c r="C1115" s="21" t="n">
        <f aca="false">C1112-C1114</f>
        <v>1.982</v>
      </c>
      <c r="D1115" s="21" t="n">
        <f aca="false">D1112-D1114</f>
        <v>14.0001925</v>
      </c>
      <c r="E1115" s="21" t="n">
        <f aca="false">E1112-E1114</f>
        <v>26.4005601222432</v>
      </c>
      <c r="F1115" s="21" t="n">
        <f aca="false">F1112-F1114</f>
        <v>27.7327471313301</v>
      </c>
      <c r="G1115" s="21" t="n">
        <f aca="false">G1112-G1114</f>
        <v>27.3721508305849</v>
      </c>
    </row>
    <row r="1116" customFormat="false" ht="15" hidden="false" customHeight="false" outlineLevel="0" collapsed="false">
      <c r="A1116" s="3" t="s">
        <v>598</v>
      </c>
      <c r="B1116" s="0" t="s">
        <v>44</v>
      </c>
      <c r="C1116" s="16" t="n">
        <f aca="false">C1115/C1102</f>
        <v>0.0493366191222961</v>
      </c>
      <c r="D1116" s="16" t="n">
        <f aca="false">D1115/D1102</f>
        <v>0.236698048451424</v>
      </c>
      <c r="E1116" s="16" t="n">
        <f aca="false">E1115/E1102</f>
        <v>0.329063434678172</v>
      </c>
      <c r="F1116" s="16" t="n">
        <f aca="false">F1115/F1102</f>
        <v>0.319331136307547</v>
      </c>
      <c r="G1116" s="16" t="n">
        <f aca="false">G1115/G1102</f>
        <v>0.300335915827679</v>
      </c>
    </row>
    <row r="1117" customFormat="false" ht="15" hidden="false" customHeight="false" outlineLevel="0" collapsed="false">
      <c r="A1117" s="3" t="s">
        <v>520</v>
      </c>
      <c r="B1117" s="0" t="s">
        <v>333</v>
      </c>
      <c r="C1117" s="21" t="n">
        <f aca="false">a25_nonop</f>
        <v>0.364</v>
      </c>
      <c r="D1117" s="21" t="n">
        <f aca="false">a26_nonop</f>
        <v>0.623</v>
      </c>
      <c r="E1117" s="21" t="n">
        <f aca="false">nonop27</f>
        <v>0.6</v>
      </c>
      <c r="F1117" s="21" t="n">
        <f aca="false">nonop28</f>
        <v>0.6</v>
      </c>
      <c r="G1117" s="21" t="n">
        <f aca="false">nonop29</f>
        <v>0.6</v>
      </c>
    </row>
    <row r="1118" customFormat="false" ht="15" hidden="false" customHeight="false" outlineLevel="0" collapsed="false">
      <c r="A1118" s="3" t="s">
        <v>522</v>
      </c>
      <c r="B1118" s="0" t="s">
        <v>333</v>
      </c>
      <c r="C1118" s="21" t="n">
        <f aca="false">C1115+C1117</f>
        <v>2.346</v>
      </c>
      <c r="D1118" s="21" t="n">
        <f aca="false">D1115+D1117</f>
        <v>14.6231925</v>
      </c>
      <c r="E1118" s="21" t="n">
        <f aca="false">E1115+E1117</f>
        <v>27.0005601222432</v>
      </c>
      <c r="F1118" s="21" t="n">
        <f aca="false">F1115+F1117</f>
        <v>28.3327471313301</v>
      </c>
      <c r="G1118" s="21" t="n">
        <f aca="false">G1115+G1117</f>
        <v>27.9721508305849</v>
      </c>
    </row>
    <row r="1119" customFormat="false" ht="15" hidden="false" customHeight="false" outlineLevel="0" collapsed="false">
      <c r="A1119" s="3" t="s">
        <v>525</v>
      </c>
      <c r="B1119" s="0" t="s">
        <v>333</v>
      </c>
      <c r="E1119" s="21" t="n">
        <f aca="false">E1118*tax</f>
        <v>5.67011762567108</v>
      </c>
      <c r="F1119" s="21" t="n">
        <f aca="false">F1118*tax</f>
        <v>5.94987689757933</v>
      </c>
      <c r="G1119" s="21" t="n">
        <f aca="false">G1118*tax</f>
        <v>5.87415167442283</v>
      </c>
    </row>
    <row r="1120" customFormat="false" ht="15" hidden="false" customHeight="false" outlineLevel="0" collapsed="false">
      <c r="A1120" s="3" t="s">
        <v>523</v>
      </c>
      <c r="B1120" s="0" t="s">
        <v>333</v>
      </c>
      <c r="C1120" s="21" t="n">
        <f aca="false">a25_ni</f>
        <v>1.947</v>
      </c>
      <c r="D1120" s="21" t="n">
        <f aca="false">a26_ni</f>
        <v>11.509862075</v>
      </c>
      <c r="E1120" s="21" t="n">
        <f aca="false">E1118-E1119</f>
        <v>21.3304424965721</v>
      </c>
      <c r="F1120" s="21" t="n">
        <f aca="false">F1118-F1119</f>
        <v>22.3828702337508</v>
      </c>
      <c r="G1120" s="21" t="n">
        <f aca="false">G1118-G1119</f>
        <v>22.0979991561621</v>
      </c>
      <c r="H1120" s="30" t="n">
        <f aca="false">H1102*H1124</f>
        <v>23.5668142485693</v>
      </c>
      <c r="I1120" s="30" t="n">
        <f aca="false">I1102*I1124</f>
        <v>25.2133720005738</v>
      </c>
      <c r="J1120" s="30" t="n">
        <f aca="false">J1102*J1124</f>
        <v>27.0607612707379</v>
      </c>
    </row>
    <row r="1121" customFormat="false" ht="15" hidden="false" customHeight="false" outlineLevel="0" collapsed="false">
      <c r="A1121" s="3" t="s">
        <v>658</v>
      </c>
      <c r="B1121" s="3" t="s">
        <v>400</v>
      </c>
      <c r="C1121" s="29" t="n">
        <f aca="false">a25_sh</f>
        <v>0.646843853820598</v>
      </c>
      <c r="D1121" s="29" t="n">
        <f aca="false">a26_sh</f>
        <v>0.645863325123153</v>
      </c>
      <c r="E1121" s="29" t="n">
        <f aca="false">a26_shend*(1+sh_g)</f>
        <v>0.64617</v>
      </c>
      <c r="F1121" s="29" t="n">
        <f aca="false">E1121*(1+sh_g)</f>
        <v>0.64617</v>
      </c>
      <c r="G1121" s="29" t="n">
        <f aca="false">F1121*(1+sh_g)</f>
        <v>0.64617</v>
      </c>
      <c r="H1121" s="31" t="n">
        <f aca="false">G1121*(1+sh_g)</f>
        <v>0.64617</v>
      </c>
      <c r="I1121" s="31" t="n">
        <f aca="false">H1121*(1+sh_g)</f>
        <v>0.64617</v>
      </c>
      <c r="J1121" s="31" t="n">
        <f aca="false">I1121*(1+sh_g)</f>
        <v>0.64617</v>
      </c>
    </row>
    <row r="1122" customFormat="false" ht="17.15" hidden="false" customHeight="false" outlineLevel="0" collapsed="false">
      <c r="A1122" s="0" t="s">
        <v>528</v>
      </c>
      <c r="B1122" s="0" t="s">
        <v>406</v>
      </c>
      <c r="C1122" s="18" t="n">
        <f aca="false">C1120/C1121</f>
        <v>3.01</v>
      </c>
      <c r="D1122" s="18" t="n">
        <f aca="false">D1120/D1121</f>
        <v>17.820894339844</v>
      </c>
      <c r="E1122" s="18" t="n">
        <f aca="false">E1120/E1121</f>
        <v>33.0105738374919</v>
      </c>
      <c r="F1122" s="18" t="n">
        <f aca="false">F1120/F1121</f>
        <v>34.6392903318798</v>
      </c>
      <c r="G1122" s="18" t="n">
        <f aca="false">G1120/G1121</f>
        <v>34.1984294476099</v>
      </c>
      <c r="H1122" s="28" t="n">
        <f aca="false">H1120/H1121</f>
        <v>36.471538834315</v>
      </c>
      <c r="I1122" s="28" t="n">
        <f aca="false">I1120/I1121</f>
        <v>39.0197192698111</v>
      </c>
      <c r="J1122" s="28" t="n">
        <f aca="false">J1120/J1121</f>
        <v>41.8787026181004</v>
      </c>
    </row>
    <row r="1123" customFormat="false" ht="17.15" hidden="false" customHeight="false" outlineLevel="0" collapsed="false">
      <c r="A1123" s="0" t="s">
        <v>659</v>
      </c>
      <c r="B1123" s="0" t="s">
        <v>44</v>
      </c>
      <c r="D1123" s="20" t="n">
        <f aca="false">D1122/C1122-1</f>
        <v>4.92056290360265</v>
      </c>
      <c r="E1123" s="20" t="n">
        <f aca="false">E1122/D1122-1</f>
        <v>0.852352256176438</v>
      </c>
      <c r="F1123" s="20" t="n">
        <f aca="false">F1122/E1122-1</f>
        <v>0.0493392360401235</v>
      </c>
      <c r="G1123" s="20" t="n">
        <f aca="false">G1122/F1122-1</f>
        <v>-0.0127271915806031</v>
      </c>
      <c r="H1123" s="26" t="n">
        <f aca="false">H1122/G1122-1</f>
        <v>0.0664682391390923</v>
      </c>
      <c r="I1123" s="26" t="n">
        <f aca="false">I1122/H1122-1</f>
        <v>0.0698676424669689</v>
      </c>
      <c r="J1123" s="26" t="n">
        <f aca="false">J1122/I1122-1</f>
        <v>0.0732702182842526</v>
      </c>
    </row>
    <row r="1124" customFormat="false" ht="17.15" hidden="false" customHeight="false" outlineLevel="0" collapsed="false">
      <c r="A1124" s="3" t="s">
        <v>660</v>
      </c>
      <c r="B1124" s="0" t="s">
        <v>44</v>
      </c>
      <c r="C1124" s="16" t="n">
        <f aca="false">C1120/C1102</f>
        <v>0.0484653872003585</v>
      </c>
      <c r="D1124" s="16" t="n">
        <f aca="false">D1120/D1102</f>
        <v>0.194594602259759</v>
      </c>
      <c r="E1124" s="16" t="n">
        <f aca="false">E1120/E1102</f>
        <v>0.265868172441293</v>
      </c>
      <c r="F1124" s="16" t="n">
        <f aca="false">F1120/F1102</f>
        <v>0.257729512035731</v>
      </c>
      <c r="G1124" s="16" t="n">
        <f aca="false">G1120/G1102</f>
        <v>0.242466251760874</v>
      </c>
      <c r="H1124" s="27" t="n">
        <f aca="false">$G1124+(fade_mA-$G1124)*1/3</f>
        <v>0.245579658614208</v>
      </c>
      <c r="I1124" s="27" t="n">
        <f aca="false">$G1124+(fade_mA-$G1124)*2/3</f>
        <v>0.248693065467542</v>
      </c>
      <c r="J1124" s="27" t="n">
        <f aca="false">$G1124+(fade_mA-$G1124)*3/3</f>
        <v>0.251806472320876</v>
      </c>
    </row>
    <row r="1125" customFormat="false" ht="17.15" hidden="false" customHeight="false" outlineLevel="0" collapsed="false">
      <c r="A1125" s="3" t="s">
        <v>661</v>
      </c>
      <c r="B1125" s="0" t="s">
        <v>44</v>
      </c>
      <c r="C1125" s="20" t="n">
        <f aca="false">C1108/C1102</f>
        <v>0.0602892489980833</v>
      </c>
      <c r="D1125" s="20" t="n">
        <f aca="false">D1108/D1102</f>
        <v>0.0676270839708595</v>
      </c>
      <c r="E1125" s="20" t="n">
        <f aca="false">E1108/E1102</f>
        <v>0.174499634256357</v>
      </c>
      <c r="F1125" s="20" t="n">
        <f aca="false">F1108/F1102</f>
        <v>0.207262570358286</v>
      </c>
      <c r="G1125" s="20" t="n">
        <f aca="false">G1108/G1102</f>
        <v>0.131667803974874</v>
      </c>
      <c r="H1125" s="26" t="n">
        <f aca="false">$G1125+($G1110*(1+tp_g)^(life/2)-$G1125)*1/3</f>
        <v>0.125946590737068</v>
      </c>
      <c r="I1125" s="26" t="n">
        <f aca="false">$G1125+($G1110*(1+tp_g)^(life/2)-$G1125)*2/3</f>
        <v>0.120225377499262</v>
      </c>
      <c r="J1125" s="26" t="n">
        <f aca="false">$G1125+($G1110*(1+tp_g)^(life/2)-$G1125)*3/3</f>
        <v>0.114504164261456</v>
      </c>
      <c r="K1125" s="7" t="s">
        <v>662</v>
      </c>
    </row>
    <row r="1126" customFormat="false" ht="15" hidden="false" customHeight="false" outlineLevel="0" collapsed="false">
      <c r="A1126" s="3" t="s">
        <v>663</v>
      </c>
      <c r="B1126" s="0" t="s">
        <v>333</v>
      </c>
      <c r="E1126" s="21" t="n">
        <f aca="false">E1120+E1109-E1108</f>
        <v>14.0429424965721</v>
      </c>
      <c r="F1126" s="21" t="n">
        <f aca="false">F1120+F1109-F1108</f>
        <v>12.0063077337508</v>
      </c>
      <c r="G1126" s="21" t="n">
        <f aca="false">G1120+G1109-G1108</f>
        <v>19.0185069686621</v>
      </c>
      <c r="H1126" s="30" t="n">
        <f aca="false">H1120+H1109-H1108</f>
        <v>20.8733004744651</v>
      </c>
      <c r="I1126" s="30" t="n">
        <f aca="false">I1120+I1109-I1108</f>
        <v>22.9477816147339</v>
      </c>
      <c r="J1126" s="30" t="n">
        <f aca="false">J1120+J1109-J1108</f>
        <v>25.2740742471859</v>
      </c>
      <c r="K1126" s="3" t="s">
        <v>664</v>
      </c>
    </row>
    <row r="1127" customFormat="false" ht="15" hidden="false" customHeight="false" outlineLevel="0" collapsed="false">
      <c r="A1127" s="3" t="s">
        <v>665</v>
      </c>
      <c r="B1127" s="0" t="s">
        <v>406</v>
      </c>
      <c r="E1127" s="18" t="n">
        <f aca="false">E1126/E1121</f>
        <v>21.7325819777646</v>
      </c>
      <c r="F1127" s="18" t="n">
        <f aca="false">F1126/F1121</f>
        <v>18.5807260221781</v>
      </c>
      <c r="G1127" s="18" t="n">
        <f aca="false">G1126/G1121</f>
        <v>29.4326678252814</v>
      </c>
      <c r="H1127" s="28" t="n">
        <f aca="false">H1126/H1121</f>
        <v>32.3031098232124</v>
      </c>
      <c r="I1127" s="28" t="n">
        <f aca="false">I1126/I1121</f>
        <v>35.5135360891622</v>
      </c>
      <c r="J1127" s="28" t="n">
        <f aca="false">J1126/J1121</f>
        <v>39.1136608743611</v>
      </c>
    </row>
    <row r="1130" customFormat="false" ht="17.15" hidden="false" customHeight="false" outlineLevel="0" collapsed="false">
      <c r="A1130" s="1" t="s">
        <v>1027</v>
      </c>
    </row>
    <row r="1131" customFormat="false" ht="17.15" hidden="false" customHeight="false" outlineLevel="0" collapsed="false">
      <c r="A1131" s="4" t="s">
        <v>21</v>
      </c>
      <c r="B1131" s="4" t="s">
        <v>22</v>
      </c>
      <c r="C1131" s="13" t="s">
        <v>498</v>
      </c>
      <c r="D1131" s="13" t="s">
        <v>585</v>
      </c>
      <c r="E1131" s="13" t="s">
        <v>586</v>
      </c>
      <c r="F1131" s="13" t="s">
        <v>587</v>
      </c>
      <c r="G1131" s="13" t="s">
        <v>588</v>
      </c>
      <c r="H1131" s="13" t="s">
        <v>589</v>
      </c>
      <c r="I1131" s="13" t="s">
        <v>590</v>
      </c>
      <c r="J1131" s="13" t="s">
        <v>591</v>
      </c>
      <c r="K1131" s="4" t="s">
        <v>553</v>
      </c>
    </row>
    <row r="1132" customFormat="false" ht="17.15" hidden="false" customHeight="false" outlineLevel="0" collapsed="false">
      <c r="A1132" s="5" t="s">
        <v>609</v>
      </c>
    </row>
    <row r="1133" customFormat="false" ht="17.15" hidden="false" customHeight="false" outlineLevel="0" collapsed="false">
      <c r="A1133" s="0" t="s">
        <v>610</v>
      </c>
      <c r="B1133" s="3" t="s">
        <v>32</v>
      </c>
      <c r="D1133" s="21" t="n">
        <f aca="false">(u_bw_26+u_rb_26+u_ru_26+u_hp_26)*1</f>
        <v>7.6</v>
      </c>
      <c r="E1133" s="21" t="n">
        <f aca="false">(u_bw_27+u_rb_27+u_ru_27+u_hp_27)*1*1</f>
        <v>9.7</v>
      </c>
      <c r="F1133" s="21" t="n">
        <f aca="false">(u_bw_28+u_rb_28+u_ru_28+u_hp_28)*um28_A*1</f>
        <v>9.5</v>
      </c>
      <c r="G1133" s="21" t="n">
        <f aca="false">(u_bw_28*(1+g29_bw)+u_rb_28*(1+g29_rb)+u_ru_28*(1+g29_ru)+u_hp_28*(1+g29_hp))*um29_A*1</f>
        <v>10.6</v>
      </c>
      <c r="K1133" s="7" t="s">
        <v>611</v>
      </c>
    </row>
    <row r="1134" customFormat="false" ht="17.15" hidden="false" customHeight="false" outlineLevel="0" collapsed="false">
      <c r="A1134" s="3" t="s">
        <v>612</v>
      </c>
      <c r="B1134" s="3" t="s">
        <v>32</v>
      </c>
      <c r="D1134" s="21" t="n">
        <f aca="false">(u_amd_26+u_tpu_26+u_trn_26+u_oth_26)*1</f>
        <v>7.6</v>
      </c>
      <c r="E1134" s="21" t="n">
        <f aca="false">(u_amd_27+u_tpu_27+u_trn_27+u_oth_27)*1*1</f>
        <v>14</v>
      </c>
      <c r="F1134" s="21" t="n">
        <f aca="false">(u_amd_28+u_tpu_28+u_trn_28+u_oth_28)*um28_A*1</f>
        <v>17</v>
      </c>
      <c r="G1134" s="21" t="n">
        <f aca="false">(u_amd_28*(1+g29_amd)+u_tpu_28*(1+g29_tpu)+u_trn_28*(1+g29_trn)+u_oth_28*(1+g29_oth))*um29_A*1</f>
        <v>19.55</v>
      </c>
      <c r="K1134" s="7" t="s">
        <v>613</v>
      </c>
    </row>
    <row r="1135" customFormat="false" ht="17.15" hidden="false" customHeight="false" outlineLevel="0" collapsed="false">
      <c r="A1135" s="3" t="s">
        <v>614</v>
      </c>
      <c r="B1135" s="0" t="s">
        <v>154</v>
      </c>
      <c r="D1135" s="19" t="n">
        <f aca="false">1</f>
        <v>1</v>
      </c>
      <c r="E1135" s="19" t="n">
        <f aca="false">D1135*(1+g_asp)</f>
        <v>1.18</v>
      </c>
      <c r="F1135" s="19" t="n">
        <f aca="false">E1135*(1+g_asp)</f>
        <v>1.3924</v>
      </c>
      <c r="G1135" s="19" t="n">
        <f aca="false">F1135*(1+g_asp)</f>
        <v>1.643032</v>
      </c>
      <c r="K1135" s="7" t="s">
        <v>615</v>
      </c>
    </row>
    <row r="1136" customFormat="false" ht="17.15" hidden="false" customHeight="false" outlineLevel="0" collapsed="false">
      <c r="A1136" s="0" t="s">
        <v>616</v>
      </c>
      <c r="B1136" s="0" t="s">
        <v>154</v>
      </c>
      <c r="D1136" s="18" t="n">
        <f aca="false">1</f>
        <v>1</v>
      </c>
      <c r="E1136" s="18" t="n">
        <f aca="false">ibpp_27</f>
        <v>1</v>
      </c>
      <c r="F1136" s="18" t="n">
        <f aca="false">ibpp_28</f>
        <v>0.95</v>
      </c>
      <c r="G1136" s="18" t="n">
        <f aca="false">ibpp_29</f>
        <v>0.9</v>
      </c>
      <c r="K1136" s="7" t="s">
        <v>617</v>
      </c>
    </row>
    <row r="1137" customFormat="false" ht="17.15" hidden="false" customHeight="false" outlineLevel="0" collapsed="false">
      <c r="A1137" s="3" t="s">
        <v>618</v>
      </c>
      <c r="B1137" s="0" t="s">
        <v>154</v>
      </c>
      <c r="D1137" s="18" t="n">
        <f aca="false">1</f>
        <v>1</v>
      </c>
      <c r="E1137" s="18" t="n">
        <f aca="false">1+carry</f>
        <v>1.15</v>
      </c>
      <c r="F1137" s="18" t="n">
        <f aca="false">1+carry</f>
        <v>1.15</v>
      </c>
      <c r="G1137" s="18" t="n">
        <f aca="false">1+carry</f>
        <v>1.15</v>
      </c>
      <c r="K1137" s="7" t="s">
        <v>619</v>
      </c>
    </row>
    <row r="1138" customFormat="false" ht="17.15" hidden="false" customHeight="false" outlineLevel="0" collapsed="false">
      <c r="A1138" s="3" t="s">
        <v>620</v>
      </c>
      <c r="B1138" s="0" t="s">
        <v>621</v>
      </c>
      <c r="D1138" s="23" t="n">
        <f aca="false">v26*D1135*D1136</f>
        <v>215.308596</v>
      </c>
      <c r="E1138" s="23" t="n">
        <f aca="false">v26*E1135*E1136</f>
        <v>254.06414328</v>
      </c>
      <c r="F1138" s="23" t="n">
        <f aca="false">v26*F1135*F1136</f>
        <v>284.80590461688</v>
      </c>
      <c r="G1138" s="23" t="n">
        <f aca="false">v26*G1135*G1136</f>
        <v>318.383021792765</v>
      </c>
      <c r="K1138" s="7" t="s">
        <v>622</v>
      </c>
    </row>
    <row r="1139" customFormat="false" ht="17.15" hidden="false" customHeight="false" outlineLevel="0" collapsed="false">
      <c r="A1139" s="3" t="s">
        <v>623</v>
      </c>
      <c r="B1139" s="0" t="s">
        <v>44</v>
      </c>
      <c r="D1139" s="20" t="n">
        <f aca="false">sh_nv_26</f>
        <v>0.02</v>
      </c>
      <c r="E1139" s="20" t="n">
        <f aca="false">sh_nv_27</f>
        <v>0.03</v>
      </c>
      <c r="F1139" s="20" t="n">
        <f aca="false">sh_nv_28</f>
        <v>0.04</v>
      </c>
      <c r="G1139" s="20" t="n">
        <f aca="false">sh_nv_29</f>
        <v>0.04</v>
      </c>
    </row>
    <row r="1140" customFormat="false" ht="17.15" hidden="false" customHeight="false" outlineLevel="0" collapsed="false">
      <c r="A1140" s="3" t="s">
        <v>624</v>
      </c>
      <c r="B1140" s="0" t="s">
        <v>44</v>
      </c>
      <c r="D1140" s="20" t="n">
        <f aca="false">sh_ot_26_hi</f>
        <v>0.08</v>
      </c>
      <c r="E1140" s="20" t="n">
        <f aca="false">sh_ot_27_hi</f>
        <v>0.09</v>
      </c>
      <c r="F1140" s="20" t="n">
        <f aca="false">sh_ot_28_hi</f>
        <v>0.1</v>
      </c>
      <c r="G1140" s="20" t="n">
        <f aca="false">sh_ot_29_hi</f>
        <v>0.1</v>
      </c>
    </row>
    <row r="1141" customFormat="false" ht="17.15" hidden="false" customHeight="false" outlineLevel="0" collapsed="false">
      <c r="A1141" s="3" t="s">
        <v>625</v>
      </c>
      <c r="B1141" s="0" t="s">
        <v>575</v>
      </c>
      <c r="D1141" s="22" t="n">
        <f aca="false">(D1133*D1138*D1139+D1134*D1138*v_ot*D1140)*D1137</f>
        <v>137.4530076864</v>
      </c>
      <c r="E1141" s="22" t="n">
        <f aca="false">(E1133*E1138*E1139+E1134*E1138*v_ot*E1140)*E1137</f>
        <v>379.533720438828</v>
      </c>
      <c r="F1141" s="22" t="n">
        <f aca="false">(F1133*F1138*F1139+F1134*F1138*v_ot*F1140)*F1137</f>
        <v>569.896615138377</v>
      </c>
      <c r="G1141" s="22" t="n">
        <f aca="false">(G1133*G1138*G1139+G1134*G1138*v_ot*G1140)*G1137</f>
        <v>727.887264422619</v>
      </c>
    </row>
    <row r="1142" customFormat="false" ht="15" hidden="false" customHeight="false" outlineLevel="0" collapsed="false">
      <c r="A1142" s="3" t="s">
        <v>626</v>
      </c>
      <c r="B1142" s="0" t="s">
        <v>333</v>
      </c>
      <c r="D1142" s="21" t="n">
        <f aca="false">D1141*fx/1000</f>
        <v>4.3984962459648</v>
      </c>
      <c r="E1142" s="21" t="n">
        <f aca="false">E1141*fx/1000</f>
        <v>12.1450790540425</v>
      </c>
      <c r="F1142" s="21" t="n">
        <f aca="false">F1141*fx/1000</f>
        <v>18.2366916844281</v>
      </c>
      <c r="G1142" s="21" t="n">
        <f aca="false">G1141*fx/1000</f>
        <v>23.2923924615238</v>
      </c>
    </row>
    <row r="1143" customFormat="false" ht="17.15" hidden="false" customHeight="false" outlineLevel="0" collapsed="false">
      <c r="A1143" s="5" t="s">
        <v>627</v>
      </c>
    </row>
    <row r="1144" customFormat="false" ht="17.15" hidden="false" customHeight="false" outlineLevel="0" collapsed="false">
      <c r="A1144" s="0" t="s">
        <v>628</v>
      </c>
      <c r="B1144" s="0" t="s">
        <v>333</v>
      </c>
      <c r="D1144" s="21" t="n">
        <f aca="false">a26_abf*ai_abf</f>
        <v>22.2987583</v>
      </c>
      <c r="K1144" s="3" t="s">
        <v>629</v>
      </c>
    </row>
    <row r="1145" customFormat="false" ht="17.15" hidden="false" customHeight="false" outlineLevel="0" collapsed="false">
      <c r="A1145" s="3" t="s">
        <v>630</v>
      </c>
      <c r="B1145" s="0" t="s">
        <v>333</v>
      </c>
      <c r="D1145" s="21" t="n">
        <f aca="false">D1144-D1142</f>
        <v>17.9002620540352</v>
      </c>
      <c r="E1145" s="21" t="n">
        <f aca="false">$D1145*(swm_27/swm_26)^el_o*1*1*E1136*E1137</f>
        <v>28.7929243356267</v>
      </c>
      <c r="F1145" s="21" t="n">
        <f aca="false">$D1145*(swm_28/swm_26)^el_o*um28_A*1*F1136*F1137</f>
        <v>29.4252554781677</v>
      </c>
      <c r="G1145" s="21" t="n">
        <f aca="false">$D1145*(swm_29/swm_26)^el_o*um29_A*1*G1136*G1137</f>
        <v>29.7389345182867</v>
      </c>
      <c r="K1145" s="7" t="s">
        <v>631</v>
      </c>
    </row>
    <row r="1146" customFormat="false" ht="17.15" hidden="false" customHeight="false" outlineLevel="0" collapsed="false">
      <c r="A1146" s="3" t="s">
        <v>632</v>
      </c>
      <c r="B1146" s="0" t="s">
        <v>333</v>
      </c>
      <c r="D1146" s="21" t="n">
        <f aca="false">a26_abf-D1144</f>
        <v>12.0070237</v>
      </c>
      <c r="E1146" s="21" t="n">
        <f aca="false">D1146*(1+g_nai)</f>
        <v>12.367234411</v>
      </c>
      <c r="F1146" s="21" t="n">
        <f aca="false">E1146*(1+g_nai)</f>
        <v>12.73825144333</v>
      </c>
      <c r="G1146" s="21" t="n">
        <f aca="false">F1146*(1+g_nai)</f>
        <v>13.1203989866299</v>
      </c>
    </row>
    <row r="1147" customFormat="false" ht="17.15" hidden="false" customHeight="false" outlineLevel="0" collapsed="false">
      <c r="A1147" s="0" t="s">
        <v>633</v>
      </c>
      <c r="B1147" s="0" t="s">
        <v>333</v>
      </c>
      <c r="D1147" s="21" t="n">
        <f aca="false">D1142+D1145+D1146</f>
        <v>34.305782</v>
      </c>
      <c r="E1147" s="21" t="n">
        <f aca="false">E1142+E1145+E1146</f>
        <v>53.3052378006692</v>
      </c>
      <c r="F1147" s="21" t="n">
        <f aca="false">F1142+F1145+F1146</f>
        <v>60.4001986059258</v>
      </c>
      <c r="G1147" s="21" t="n">
        <f aca="false">G1142+G1145+G1146</f>
        <v>66.1517259664404</v>
      </c>
    </row>
    <row r="1148" customFormat="false" ht="17.15" hidden="false" customHeight="false" outlineLevel="0" collapsed="false">
      <c r="A1148" s="0" t="s">
        <v>634</v>
      </c>
      <c r="B1148" s="0" t="s">
        <v>333</v>
      </c>
      <c r="D1148" s="21" t="n">
        <f aca="false">a26_abf</f>
        <v>34.305782</v>
      </c>
      <c r="E1148" s="21" t="n">
        <f aca="false">$D1147*cap_27*(1+g_mix)^1*E1136*E1137</f>
        <v>49.709078118</v>
      </c>
      <c r="F1148" s="21" t="n">
        <f aca="false">$D1147*cap_28*(1+g_mix)^2*F1136*F1137</f>
        <v>55.7829061005431</v>
      </c>
      <c r="G1148" s="21" t="n">
        <f aca="false">$D1147*cap_29*(1+g_mix)^3*G1136*G1137</f>
        <v>65.765110350114</v>
      </c>
      <c r="K1148" s="7" t="s">
        <v>635</v>
      </c>
    </row>
    <row r="1149" customFormat="false" ht="17.15" hidden="false" customHeight="false" outlineLevel="0" collapsed="false">
      <c r="A1149" s="0" t="s">
        <v>636</v>
      </c>
      <c r="B1149" s="0" t="s">
        <v>333</v>
      </c>
      <c r="D1149" s="21" t="n">
        <f aca="false">a26_abf</f>
        <v>34.305782</v>
      </c>
      <c r="E1149" s="21" t="n">
        <f aca="false">MIN(E1147,E1148)</f>
        <v>49.709078118</v>
      </c>
      <c r="F1149" s="21" t="n">
        <f aca="false">MIN(F1147,F1148)</f>
        <v>55.7829061005431</v>
      </c>
      <c r="G1149" s="21" t="n">
        <f aca="false">MIN(G1147,G1148)</f>
        <v>65.765110350114</v>
      </c>
    </row>
    <row r="1150" customFormat="false" ht="17.15" hidden="false" customHeight="false" outlineLevel="0" collapsed="false">
      <c r="A1150" s="3" t="s">
        <v>637</v>
      </c>
      <c r="B1150" s="0" t="s">
        <v>44</v>
      </c>
      <c r="D1150" s="20" t="n">
        <f aca="false">D1149/D1147</f>
        <v>1</v>
      </c>
      <c r="E1150" s="20" t="n">
        <f aca="false">E1149/E1147</f>
        <v>0.93253646675179</v>
      </c>
      <c r="F1150" s="20" t="n">
        <f aca="false">F1149/F1147</f>
        <v>0.923555011209356</v>
      </c>
      <c r="G1150" s="20" t="n">
        <f aca="false">G1149/G1147</f>
        <v>0.994155623142433</v>
      </c>
    </row>
    <row r="1151" customFormat="false" ht="17.15" hidden="false" customHeight="false" outlineLevel="0" collapsed="false">
      <c r="A1151" s="0" t="s">
        <v>638</v>
      </c>
      <c r="B1151" s="0" t="s">
        <v>333</v>
      </c>
      <c r="D1151" s="21" t="n">
        <f aca="false">(D1142+D1145)*D1150</f>
        <v>22.2987583</v>
      </c>
      <c r="E1151" s="21" t="n">
        <f aca="false">(E1142+E1145)*E1150</f>
        <v>38.1761810368749</v>
      </c>
      <c r="F1151" s="21" t="n">
        <f aca="false">(F1142+F1145)*F1150</f>
        <v>44.0184301460109</v>
      </c>
      <c r="G1151" s="21" t="n">
        <f aca="false">(G1142+G1145)*G1150</f>
        <v>52.7213919196836</v>
      </c>
    </row>
    <row r="1152" customFormat="false" ht="17.15" hidden="false" customHeight="false" outlineLevel="0" collapsed="false">
      <c r="A1152" s="3" t="s">
        <v>639</v>
      </c>
      <c r="B1152" s="0" t="s">
        <v>44</v>
      </c>
      <c r="D1152" s="20" t="n">
        <f aca="false">D1142/(D1142+D1145)</f>
        <v>0.197252967487647</v>
      </c>
      <c r="E1152" s="20" t="n">
        <f aca="false">E1142/(E1142+E1145)</f>
        <v>0.29667003880085</v>
      </c>
      <c r="F1152" s="20" t="n">
        <f aca="false">F1142/(F1142+F1145)</f>
        <v>0.382625821438111</v>
      </c>
      <c r="G1152" s="20" t="n">
        <f aca="false">G1142/(G1142+G1145)</f>
        <v>0.439219491346906</v>
      </c>
    </row>
    <row r="1153" customFormat="false" ht="17.15" hidden="false" customHeight="false" outlineLevel="0" collapsed="false">
      <c r="A1153" s="5" t="s">
        <v>640</v>
      </c>
    </row>
    <row r="1154" customFormat="false" ht="17.15" hidden="false" customHeight="false" outlineLevel="0" collapsed="false">
      <c r="A1154" s="0" t="s">
        <v>641</v>
      </c>
      <c r="B1154" s="0" t="s">
        <v>333</v>
      </c>
      <c r="D1154" s="21" t="n">
        <f aca="false">a26_bt</f>
        <v>18.927328</v>
      </c>
      <c r="E1154" s="21" t="n">
        <f aca="false">D1154*(1+g_bt27_A)</f>
        <v>24.6055264</v>
      </c>
      <c r="F1154" s="21" t="n">
        <f aca="false">E1154*(1+g_bt28_A)</f>
        <v>27.06607904</v>
      </c>
      <c r="G1154" s="21" t="n">
        <f aca="false">F1154*(1+g_bt29_A)</f>
        <v>28.419382992</v>
      </c>
      <c r="K1154" s="7" t="s">
        <v>642</v>
      </c>
    </row>
    <row r="1155" customFormat="false" ht="17.15" hidden="false" customHeight="false" outlineLevel="0" collapsed="false">
      <c r="A1155" s="0" t="s">
        <v>540</v>
      </c>
      <c r="B1155" s="0" t="s">
        <v>333</v>
      </c>
      <c r="D1155" s="21" t="n">
        <f aca="false">a26_pcb</f>
        <v>5.91479</v>
      </c>
      <c r="E1155" s="21" t="n">
        <f aca="false">D1155*(1+g_pcb)</f>
        <v>5.91479</v>
      </c>
      <c r="F1155" s="21" t="n">
        <f aca="false">E1155*(1+g_pcb)</f>
        <v>5.91479</v>
      </c>
      <c r="G1155" s="21" t="n">
        <f aca="false">F1155*(1+g_pcb)</f>
        <v>5.91479</v>
      </c>
    </row>
    <row r="1156" customFormat="false" ht="17.15" hidden="false" customHeight="false" outlineLevel="0" collapsed="false">
      <c r="A1156" s="3" t="s">
        <v>505</v>
      </c>
      <c r="B1156" s="0" t="s">
        <v>333</v>
      </c>
      <c r="C1156" s="23" t="n">
        <f aca="false">a25_rev</f>
        <v>40.173</v>
      </c>
      <c r="D1156" s="23" t="n">
        <f aca="false">D1149+D1154+D1155</f>
        <v>59.1479</v>
      </c>
      <c r="E1156" s="23" t="n">
        <f aca="false">E1149+E1154+E1155</f>
        <v>80.229394518</v>
      </c>
      <c r="F1156" s="23" t="n">
        <f aca="false">F1149+F1154+F1155</f>
        <v>88.7637751405431</v>
      </c>
      <c r="G1156" s="23" t="n">
        <f aca="false">G1149+G1154+G1155</f>
        <v>100.099283342114</v>
      </c>
      <c r="H1156" s="25" t="n">
        <f aca="false">G1156*(1+H1158)</f>
        <v>110.623335925701</v>
      </c>
      <c r="I1156" s="25" t="n">
        <f aca="false">H1156*(1+I1158)</f>
        <v>119.757291444787</v>
      </c>
      <c r="J1156" s="25" t="n">
        <f aca="false">I1156*(1+J1158)</f>
        <v>126.942728931474</v>
      </c>
      <c r="K1156" s="7" t="s">
        <v>643</v>
      </c>
    </row>
    <row r="1157" customFormat="false" ht="17.15" hidden="false" customHeight="false" outlineLevel="0" collapsed="false">
      <c r="A1157" s="3" t="s">
        <v>644</v>
      </c>
      <c r="B1157" s="0" t="s">
        <v>333</v>
      </c>
      <c r="D1157" s="19" t="n">
        <f aca="false">D1149+D1154+D1155-a26_rev</f>
        <v>0</v>
      </c>
      <c r="E1157" s="19" t="n">
        <f aca="false">E1149+E1154+E1155-E1156</f>
        <v>0</v>
      </c>
      <c r="F1157" s="19" t="n">
        <f aca="false">F1149+F1154+F1155-F1156</f>
        <v>0</v>
      </c>
      <c r="G1157" s="19" t="n">
        <f aca="false">G1149+G1154+G1155-G1156</f>
        <v>0</v>
      </c>
    </row>
    <row r="1158" customFormat="false" ht="15" hidden="false" customHeight="false" outlineLevel="0" collapsed="false">
      <c r="A1158" s="3" t="s">
        <v>645</v>
      </c>
      <c r="B1158" s="0" t="s">
        <v>44</v>
      </c>
      <c r="D1158" s="20" t="n">
        <f aca="false">D1156/C1156-1</f>
        <v>0.472329674159261</v>
      </c>
      <c r="E1158" s="20" t="n">
        <f aca="false">E1156/D1156-1</f>
        <v>0.35642</v>
      </c>
      <c r="F1158" s="20" t="n">
        <f aca="false">F1156/E1156-1</f>
        <v>0.106374735517023</v>
      </c>
      <c r="G1158" s="20" t="n">
        <f aca="false">G1156/F1156-1</f>
        <v>0.127704214738759</v>
      </c>
      <c r="H1158" s="26" t="n">
        <f aca="false">$G1158+(fade_gA-$G1158)*1/3</f>
        <v>0.105136143159173</v>
      </c>
      <c r="I1158" s="26" t="n">
        <f aca="false">$G1158+(fade_gA-$G1158)*2/3</f>
        <v>0.0825680715795865</v>
      </c>
      <c r="J1158" s="26" t="n">
        <f aca="false">$G1158+(fade_gA-$G1158)*3/3</f>
        <v>0.06</v>
      </c>
    </row>
    <row r="1159" customFormat="false" ht="17.15" hidden="false" customHeight="false" outlineLevel="0" collapsed="false">
      <c r="A1159" s="0" t="s">
        <v>646</v>
      </c>
      <c r="B1159" s="0" t="s">
        <v>44</v>
      </c>
      <c r="D1159" s="20" t="n">
        <f aca="false">D1149/D1156</f>
        <v>0.58</v>
      </c>
      <c r="E1159" s="20" t="n">
        <f aca="false">E1149/E1156</f>
        <v>0.619586853629407</v>
      </c>
      <c r="F1159" s="20" t="n">
        <f aca="false">F1149/F1156</f>
        <v>0.62844224473576</v>
      </c>
      <c r="G1159" s="20" t="n">
        <f aca="false">G1149/G1156</f>
        <v>0.656998813121823</v>
      </c>
    </row>
    <row r="1160" customFormat="false" ht="17.15" hidden="false" customHeight="false" outlineLevel="0" collapsed="false">
      <c r="A1160" s="0" t="s">
        <v>647</v>
      </c>
      <c r="B1160" s="0" t="s">
        <v>44</v>
      </c>
      <c r="D1160" s="20" t="n">
        <f aca="false">D1151/D1156</f>
        <v>0.377</v>
      </c>
      <c r="E1160" s="20" t="n">
        <f aca="false">E1151/E1156</f>
        <v>0.475837830588511</v>
      </c>
      <c r="F1160" s="20" t="n">
        <f aca="false">F1151/F1156</f>
        <v>0.49590534062251</v>
      </c>
      <c r="G1160" s="20" t="n">
        <f aca="false">G1151/G1156</f>
        <v>0.526691002766676</v>
      </c>
      <c r="K1160" s="3" t="s">
        <v>648</v>
      </c>
    </row>
    <row r="1161" customFormat="false" ht="17.15" hidden="false" customHeight="false" outlineLevel="0" collapsed="false">
      <c r="A1161" s="5" t="s">
        <v>649</v>
      </c>
    </row>
    <row r="1162" customFormat="false" ht="15" hidden="false" customHeight="false" outlineLevel="0" collapsed="false">
      <c r="A1162" s="3" t="s">
        <v>650</v>
      </c>
      <c r="B1162" s="0" t="s">
        <v>333</v>
      </c>
      <c r="C1162" s="23" t="n">
        <f aca="false">a25_cx</f>
        <v>2.422</v>
      </c>
      <c r="D1162" s="23" t="n">
        <f aca="false">capex26</f>
        <v>4</v>
      </c>
      <c r="E1162" s="23" t="n">
        <f aca="false">cx27</f>
        <v>14</v>
      </c>
      <c r="F1162" s="23" t="n">
        <f aca="false">cx28</f>
        <v>18</v>
      </c>
      <c r="G1162" s="23" t="n">
        <f aca="false">cx29</f>
        <v>12</v>
      </c>
      <c r="H1162" s="25" t="n">
        <f aca="false">H1156*H1179</f>
        <v>12.6853908393069</v>
      </c>
      <c r="I1162" s="25" t="n">
        <f aca="false">I1156*I1179</f>
        <v>13.1089769562909</v>
      </c>
      <c r="J1162" s="25" t="n">
        <f aca="false">J1156*J1179</f>
        <v>13.2342641033063</v>
      </c>
    </row>
    <row r="1163" customFormat="false" ht="17.15" hidden="false" customHeight="false" outlineLevel="0" collapsed="false">
      <c r="A1163" s="3" t="s">
        <v>651</v>
      </c>
      <c r="B1163" s="0" t="s">
        <v>333</v>
      </c>
      <c r="C1163" s="23" t="n">
        <f aca="false">a25_da</f>
        <v>6.894</v>
      </c>
      <c r="D1163" s="23" t="n">
        <f aca="false">da26</f>
        <v>7.1</v>
      </c>
      <c r="E1163" s="23" t="n">
        <f aca="false">D1163*(1-1/life)+D1162/life</f>
        <v>6.7125</v>
      </c>
      <c r="F1163" s="23" t="n">
        <f aca="false">E1163*(1-1/life)+E1162/life</f>
        <v>7.6234375</v>
      </c>
      <c r="G1163" s="23" t="n">
        <f aca="false">F1163*(1-1/life)+F1162/life</f>
        <v>8.9205078125</v>
      </c>
      <c r="H1163" s="25" t="n">
        <f aca="false">H1156*H1164</f>
        <v>9.85837559892752</v>
      </c>
      <c r="I1163" s="25" t="n">
        <f aca="false">I1156*I1164</f>
        <v>10.6723626610382</v>
      </c>
      <c r="J1163" s="25" t="n">
        <f aca="false">J1156*J1164</f>
        <v>11.3127044207005</v>
      </c>
      <c r="K1163" s="3" t="s">
        <v>652</v>
      </c>
    </row>
    <row r="1164" customFormat="false" ht="17.15" hidden="false" customHeight="false" outlineLevel="0" collapsed="false">
      <c r="A1164" s="3" t="s">
        <v>653</v>
      </c>
      <c r="B1164" s="0" t="s">
        <v>44</v>
      </c>
      <c r="C1164" s="20" t="n">
        <f aca="false">C1163/C1156</f>
        <v>0.171607796281084</v>
      </c>
      <c r="D1164" s="20" t="n">
        <f aca="false">D1163/D1156</f>
        <v>0.120038074048276</v>
      </c>
      <c r="E1164" s="20" t="n">
        <f aca="false">E1163/E1156</f>
        <v>0.0836663424961285</v>
      </c>
      <c r="F1164" s="20" t="n">
        <f aca="false">F1163/F1156</f>
        <v>0.0858845569369883</v>
      </c>
      <c r="G1164" s="20" t="n">
        <f aca="false">G1163/G1156</f>
        <v>0.089116600185957</v>
      </c>
      <c r="H1164" s="26" t="n">
        <f aca="false">$G1164</f>
        <v>0.089116600185957</v>
      </c>
      <c r="I1164" s="26" t="n">
        <f aca="false">$G1164</f>
        <v>0.089116600185957</v>
      </c>
      <c r="J1164" s="26" t="n">
        <f aca="false">$G1164</f>
        <v>0.089116600185957</v>
      </c>
    </row>
    <row r="1165" customFormat="false" ht="17.15" hidden="false" customHeight="false" outlineLevel="0" collapsed="false">
      <c r="A1165" s="3" t="s">
        <v>654</v>
      </c>
      <c r="B1165" s="0" t="s">
        <v>333</v>
      </c>
      <c r="E1165" s="21" t="n">
        <f aca="false">E1151*(1-1/(E1136*E1137))</f>
        <v>4.97950187437499</v>
      </c>
      <c r="F1165" s="21" t="n">
        <f aca="false">F1151*(1-1/(F1136*F1137))</f>
        <v>3.72696090481098</v>
      </c>
      <c r="G1165" s="21" t="n">
        <f aca="false">G1151*(1-1/(G1136*G1137))</f>
        <v>1.7828490021149</v>
      </c>
      <c r="K1165" s="7" t="s">
        <v>655</v>
      </c>
    </row>
    <row r="1166" customFormat="false" ht="17.15" hidden="false" customHeight="false" outlineLevel="0" collapsed="false">
      <c r="A1166" s="3" t="s">
        <v>656</v>
      </c>
      <c r="B1166" s="0" t="s">
        <v>333</v>
      </c>
      <c r="C1166" s="21" t="n">
        <f aca="false">a25_gp</f>
        <v>3.647</v>
      </c>
      <c r="D1166" s="21" t="n">
        <f aca="false">a26_gp</f>
        <v>15.9001925</v>
      </c>
      <c r="E1166" s="21" t="n">
        <f aca="false">$D1166+ft_abf*(E1149-E1165-$D1149)+ft_oth*((E1156-E1149)-($D1156-$D1149))+E1165-(E1163-$D1163)</f>
        <v>28.7503708561875</v>
      </c>
      <c r="F1166" s="21" t="n">
        <f aca="false">$D1166+ft_abf*(F1149-F1165-$D1149)+ft_oth*((F1156-F1149)-($D1156-$D1149))+F1165-(F1163-$D1163)</f>
        <v>31.2342979186771</v>
      </c>
      <c r="G1166" s="21" t="n">
        <f aca="false">$D1166+ft_abf*(G1149-G1165-$D1149)+ft_oth*((G1156-G1149)-($D1156-$D1149))+G1165-(G1163-$D1163)</f>
        <v>34.4975953604145</v>
      </c>
      <c r="K1166" s="3" t="s">
        <v>657</v>
      </c>
    </row>
    <row r="1167" customFormat="false" ht="15" hidden="false" customHeight="false" outlineLevel="0" collapsed="false">
      <c r="A1167" s="3" t="s">
        <v>512</v>
      </c>
      <c r="B1167" s="0" t="s">
        <v>44</v>
      </c>
      <c r="C1167" s="16" t="n">
        <f aca="false">C1166/C1156</f>
        <v>0.0907823662659</v>
      </c>
      <c r="D1167" s="16" t="n">
        <f aca="false">D1166/D1156</f>
        <v>0.268820913337583</v>
      </c>
      <c r="E1167" s="16" t="n">
        <f aca="false">E1166/E1156</f>
        <v>0.358352085652811</v>
      </c>
      <c r="F1167" s="16" t="n">
        <f aca="false">F1166/F1156</f>
        <v>0.351881134722161</v>
      </c>
      <c r="G1167" s="16" t="n">
        <f aca="false">G1166/G1156</f>
        <v>0.344633789659716</v>
      </c>
    </row>
    <row r="1168" customFormat="false" ht="15" hidden="false" customHeight="false" outlineLevel="0" collapsed="false">
      <c r="A1168" s="3" t="s">
        <v>514</v>
      </c>
      <c r="B1168" s="0" t="s">
        <v>333</v>
      </c>
      <c r="C1168" s="21" t="n">
        <f aca="false">a25_opx</f>
        <v>1.665</v>
      </c>
      <c r="D1168" s="21" t="n">
        <f aca="false">a26_opx</f>
        <v>1.9</v>
      </c>
      <c r="E1168" s="21" t="n">
        <f aca="false">D1168*(1+phi*E1158)</f>
        <v>2.3063188</v>
      </c>
      <c r="F1168" s="21" t="n">
        <f aca="false">E1168*(1+phi*F1158)</f>
        <v>2.45351923142076</v>
      </c>
      <c r="G1168" s="21" t="n">
        <f aca="false">F1168*(1+phi*G1158)</f>
        <v>2.64151407949778</v>
      </c>
    </row>
    <row r="1169" customFormat="false" ht="15" hidden="false" customHeight="false" outlineLevel="0" collapsed="false">
      <c r="A1169" s="3" t="s">
        <v>517</v>
      </c>
      <c r="B1169" s="0" t="s">
        <v>333</v>
      </c>
      <c r="C1169" s="21" t="n">
        <f aca="false">C1166-C1168</f>
        <v>1.982</v>
      </c>
      <c r="D1169" s="21" t="n">
        <f aca="false">D1166-D1168</f>
        <v>14.0001925</v>
      </c>
      <c r="E1169" s="21" t="n">
        <f aca="false">E1166-E1168</f>
        <v>26.4440520561875</v>
      </c>
      <c r="F1169" s="21" t="n">
        <f aca="false">F1166-F1168</f>
        <v>28.7807786872563</v>
      </c>
      <c r="G1169" s="21" t="n">
        <f aca="false">G1166-G1168</f>
        <v>31.8560812809167</v>
      </c>
    </row>
    <row r="1170" customFormat="false" ht="15" hidden="false" customHeight="false" outlineLevel="0" collapsed="false">
      <c r="A1170" s="3" t="s">
        <v>598</v>
      </c>
      <c r="B1170" s="0" t="s">
        <v>44</v>
      </c>
      <c r="C1170" s="16" t="n">
        <f aca="false">C1169/C1156</f>
        <v>0.0493366191222961</v>
      </c>
      <c r="D1170" s="16" t="n">
        <f aca="false">D1169/D1156</f>
        <v>0.236698048451424</v>
      </c>
      <c r="E1170" s="16" t="n">
        <f aca="false">E1169/E1156</f>
        <v>0.329605529432914</v>
      </c>
      <c r="F1170" s="16" t="n">
        <f aca="false">F1169/F1156</f>
        <v>0.324240137845496</v>
      </c>
      <c r="G1170" s="16" t="n">
        <f aca="false">G1169/G1156</f>
        <v>0.318244848687284</v>
      </c>
    </row>
    <row r="1171" customFormat="false" ht="15" hidden="false" customHeight="false" outlineLevel="0" collapsed="false">
      <c r="A1171" s="3" t="s">
        <v>520</v>
      </c>
      <c r="B1171" s="0" t="s">
        <v>333</v>
      </c>
      <c r="C1171" s="21" t="n">
        <f aca="false">a25_nonop</f>
        <v>0.364</v>
      </c>
      <c r="D1171" s="21" t="n">
        <f aca="false">a26_nonop</f>
        <v>0.623</v>
      </c>
      <c r="E1171" s="21" t="n">
        <f aca="false">nonop27</f>
        <v>0.6</v>
      </c>
      <c r="F1171" s="21" t="n">
        <f aca="false">nonop28</f>
        <v>0.6</v>
      </c>
      <c r="G1171" s="21" t="n">
        <f aca="false">nonop29</f>
        <v>0.6</v>
      </c>
    </row>
    <row r="1172" customFormat="false" ht="15" hidden="false" customHeight="false" outlineLevel="0" collapsed="false">
      <c r="A1172" s="3" t="s">
        <v>522</v>
      </c>
      <c r="B1172" s="0" t="s">
        <v>333</v>
      </c>
      <c r="C1172" s="21" t="n">
        <f aca="false">C1169+C1171</f>
        <v>2.346</v>
      </c>
      <c r="D1172" s="21" t="n">
        <f aca="false">D1169+D1171</f>
        <v>14.6231925</v>
      </c>
      <c r="E1172" s="21" t="n">
        <f aca="false">E1169+E1171</f>
        <v>27.0440520561875</v>
      </c>
      <c r="F1172" s="21" t="n">
        <f aca="false">F1169+F1171</f>
        <v>29.3807786872563</v>
      </c>
      <c r="G1172" s="21" t="n">
        <f aca="false">G1169+G1171</f>
        <v>32.4560812809167</v>
      </c>
    </row>
    <row r="1173" customFormat="false" ht="15" hidden="false" customHeight="false" outlineLevel="0" collapsed="false">
      <c r="A1173" s="3" t="s">
        <v>525</v>
      </c>
      <c r="B1173" s="0" t="s">
        <v>333</v>
      </c>
      <c r="E1173" s="21" t="n">
        <f aca="false">E1172*tax</f>
        <v>5.67925093179938</v>
      </c>
      <c r="F1173" s="21" t="n">
        <f aca="false">F1172*tax</f>
        <v>6.16996352432382</v>
      </c>
      <c r="G1173" s="21" t="n">
        <f aca="false">G1172*tax</f>
        <v>6.8157770689925</v>
      </c>
    </row>
    <row r="1174" customFormat="false" ht="15" hidden="false" customHeight="false" outlineLevel="0" collapsed="false">
      <c r="A1174" s="3" t="s">
        <v>523</v>
      </c>
      <c r="B1174" s="0" t="s">
        <v>333</v>
      </c>
      <c r="C1174" s="21" t="n">
        <f aca="false">a25_ni</f>
        <v>1.947</v>
      </c>
      <c r="D1174" s="21" t="n">
        <f aca="false">a26_ni</f>
        <v>11.509862075</v>
      </c>
      <c r="E1174" s="21" t="n">
        <f aca="false">E1172-E1173</f>
        <v>21.3648011243881</v>
      </c>
      <c r="F1174" s="21" t="n">
        <f aca="false">F1172-F1173</f>
        <v>23.2108151629325</v>
      </c>
      <c r="G1174" s="21" t="n">
        <f aca="false">G1172-G1173</f>
        <v>25.6403042119242</v>
      </c>
      <c r="H1174" s="30" t="n">
        <f aca="false">H1156*H1178</f>
        <v>28.1759085960685</v>
      </c>
      <c r="I1174" s="30" t="n">
        <f aca="false">I1156*I1178</f>
        <v>30.3290000636318</v>
      </c>
      <c r="J1174" s="30" t="n">
        <f aca="false">J1156*J1178</f>
        <v>31.9650007590198</v>
      </c>
    </row>
    <row r="1175" customFormat="false" ht="15" hidden="false" customHeight="false" outlineLevel="0" collapsed="false">
      <c r="A1175" s="3" t="s">
        <v>658</v>
      </c>
      <c r="B1175" s="3" t="s">
        <v>400</v>
      </c>
      <c r="C1175" s="29" t="n">
        <f aca="false">a25_sh</f>
        <v>0.646843853820598</v>
      </c>
      <c r="D1175" s="29" t="n">
        <f aca="false">a26_sh</f>
        <v>0.645863325123153</v>
      </c>
      <c r="E1175" s="29" t="n">
        <f aca="false">a26_shend*(1+sh_g)</f>
        <v>0.64617</v>
      </c>
      <c r="F1175" s="29" t="n">
        <f aca="false">E1175*(1+sh_g)</f>
        <v>0.64617</v>
      </c>
      <c r="G1175" s="29" t="n">
        <f aca="false">F1175*(1+sh_g)</f>
        <v>0.64617</v>
      </c>
      <c r="H1175" s="31" t="n">
        <f aca="false">G1175*(1+sh_g)</f>
        <v>0.64617</v>
      </c>
      <c r="I1175" s="31" t="n">
        <f aca="false">H1175*(1+sh_g)</f>
        <v>0.64617</v>
      </c>
      <c r="J1175" s="31" t="n">
        <f aca="false">I1175*(1+sh_g)</f>
        <v>0.64617</v>
      </c>
    </row>
    <row r="1176" customFormat="false" ht="17.15" hidden="false" customHeight="false" outlineLevel="0" collapsed="false">
      <c r="A1176" s="0" t="s">
        <v>528</v>
      </c>
      <c r="B1176" s="0" t="s">
        <v>406</v>
      </c>
      <c r="C1176" s="18" t="n">
        <f aca="false">C1174/C1175</f>
        <v>3.01</v>
      </c>
      <c r="D1176" s="18" t="n">
        <f aca="false">D1174/D1175</f>
        <v>17.820894339844</v>
      </c>
      <c r="E1176" s="18" t="n">
        <f aca="false">E1174/E1175</f>
        <v>33.0637465750315</v>
      </c>
      <c r="F1176" s="18" t="n">
        <f aca="false">F1174/F1175</f>
        <v>35.9206016418783</v>
      </c>
      <c r="G1176" s="18" t="n">
        <f aca="false">G1174/G1175</f>
        <v>39.6804311743414</v>
      </c>
      <c r="H1176" s="28" t="n">
        <f aca="false">H1174/H1175</f>
        <v>43.6044827151811</v>
      </c>
      <c r="I1176" s="28" t="n">
        <f aca="false">I1174/I1175</f>
        <v>46.9365647795963</v>
      </c>
      <c r="J1176" s="28" t="n">
        <f aca="false">J1174/J1175</f>
        <v>49.4684073216333</v>
      </c>
    </row>
    <row r="1177" customFormat="false" ht="17.15" hidden="false" customHeight="false" outlineLevel="0" collapsed="false">
      <c r="A1177" s="0" t="s">
        <v>659</v>
      </c>
      <c r="B1177" s="0" t="s">
        <v>44</v>
      </c>
      <c r="D1177" s="20" t="n">
        <f aca="false">D1176/C1176-1</f>
        <v>4.92056290360265</v>
      </c>
      <c r="E1177" s="20" t="n">
        <f aca="false">E1176/D1176-1</f>
        <v>0.855335986202868</v>
      </c>
      <c r="F1177" s="20" t="n">
        <f aca="false">F1176/E1176-1</f>
        <v>0.0864044569287894</v>
      </c>
      <c r="G1177" s="20" t="n">
        <f aca="false">G1176/F1176-1</f>
        <v>0.104670561199056</v>
      </c>
      <c r="H1177" s="26" t="n">
        <f aca="false">H1176/G1176-1</f>
        <v>0.0988913533625382</v>
      </c>
      <c r="I1177" s="26" t="n">
        <f aca="false">I1176/H1176-1</f>
        <v>0.0764160438774149</v>
      </c>
      <c r="J1177" s="26" t="n">
        <f aca="false">J1176/I1176-1</f>
        <v>0.0539417947164635</v>
      </c>
    </row>
    <row r="1178" customFormat="false" ht="17.15" hidden="false" customHeight="false" outlineLevel="0" collapsed="false">
      <c r="A1178" s="3" t="s">
        <v>660</v>
      </c>
      <c r="B1178" s="0" t="s">
        <v>44</v>
      </c>
      <c r="C1178" s="16" t="n">
        <f aca="false">C1174/C1156</f>
        <v>0.0484653872003585</v>
      </c>
      <c r="D1178" s="16" t="n">
        <f aca="false">D1174/D1156</f>
        <v>0.194594602259759</v>
      </c>
      <c r="E1178" s="16" t="n">
        <f aca="false">E1174/E1156</f>
        <v>0.266296427297539</v>
      </c>
      <c r="F1178" s="16" t="n">
        <f aca="false">F1174/F1156</f>
        <v>0.26148972512922</v>
      </c>
      <c r="G1178" s="16" t="n">
        <f aca="false">G1174/G1156</f>
        <v>0.256148729100209</v>
      </c>
      <c r="H1178" s="27" t="n">
        <f aca="false">$G1178+(fade_mA-$G1178)*1/3</f>
        <v>0.254701310173764</v>
      </c>
      <c r="I1178" s="27" t="n">
        <f aca="false">$G1178+(fade_mA-$G1178)*2/3</f>
        <v>0.25325389124732</v>
      </c>
      <c r="J1178" s="27" t="n">
        <f aca="false">$G1178+(fade_mA-$G1178)*3/3</f>
        <v>0.251806472320876</v>
      </c>
    </row>
    <row r="1179" customFormat="false" ht="17.15" hidden="false" customHeight="false" outlineLevel="0" collapsed="false">
      <c r="A1179" s="3" t="s">
        <v>661</v>
      </c>
      <c r="B1179" s="0" t="s">
        <v>44</v>
      </c>
      <c r="C1179" s="20" t="n">
        <f aca="false">C1162/C1156</f>
        <v>0.0602892489980833</v>
      </c>
      <c r="D1179" s="20" t="n">
        <f aca="false">D1162/D1156</f>
        <v>0.0676270839708595</v>
      </c>
      <c r="E1179" s="20" t="n">
        <f aca="false">E1162/E1156</f>
        <v>0.174499634256357</v>
      </c>
      <c r="F1179" s="20" t="n">
        <f aca="false">F1162/F1156</f>
        <v>0.202785426504223</v>
      </c>
      <c r="G1179" s="20" t="n">
        <f aca="false">G1162/G1156</f>
        <v>0.119880978158325</v>
      </c>
      <c r="H1179" s="26" t="n">
        <f aca="false">$G1179+($G1164*(1+tp_g)^(life/2)-$G1179)*1/3</f>
        <v>0.11467192462743</v>
      </c>
      <c r="I1179" s="26" t="n">
        <f aca="false">$G1179+($G1164*(1+tp_g)^(life/2)-$G1179)*2/3</f>
        <v>0.109462871096535</v>
      </c>
      <c r="J1179" s="26" t="n">
        <f aca="false">$G1179+($G1164*(1+tp_g)^(life/2)-$G1179)*3/3</f>
        <v>0.104253817565639</v>
      </c>
      <c r="K1179" s="7" t="s">
        <v>662</v>
      </c>
    </row>
    <row r="1180" customFormat="false" ht="15" hidden="false" customHeight="false" outlineLevel="0" collapsed="false">
      <c r="A1180" s="3" t="s">
        <v>663</v>
      </c>
      <c r="B1180" s="0" t="s">
        <v>333</v>
      </c>
      <c r="E1180" s="21" t="n">
        <f aca="false">E1174+E1163-E1162</f>
        <v>14.0773011243881</v>
      </c>
      <c r="F1180" s="21" t="n">
        <f aca="false">F1174+F1163-F1162</f>
        <v>12.8342526629325</v>
      </c>
      <c r="G1180" s="21" t="n">
        <f aca="false">G1174+G1163-G1162</f>
        <v>22.5608120244242</v>
      </c>
      <c r="H1180" s="30" t="n">
        <f aca="false">H1174+H1163-H1162</f>
        <v>25.3488933556892</v>
      </c>
      <c r="I1180" s="30" t="n">
        <f aca="false">I1174+I1163-I1162</f>
        <v>27.8923857683791</v>
      </c>
      <c r="J1180" s="30" t="n">
        <f aca="false">J1174+J1163-J1162</f>
        <v>30.043441076414</v>
      </c>
      <c r="K1180" s="3" t="s">
        <v>664</v>
      </c>
    </row>
    <row r="1181" customFormat="false" ht="15" hidden="false" customHeight="false" outlineLevel="0" collapsed="false">
      <c r="A1181" s="3" t="s">
        <v>665</v>
      </c>
      <c r="B1181" s="0" t="s">
        <v>406</v>
      </c>
      <c r="E1181" s="18" t="n">
        <f aca="false">E1180/E1175</f>
        <v>21.7857547153042</v>
      </c>
      <c r="F1181" s="18" t="n">
        <f aca="false">F1180/F1175</f>
        <v>19.8620373321765</v>
      </c>
      <c r="G1181" s="18" t="n">
        <f aca="false">G1180/G1175</f>
        <v>34.9146695520129</v>
      </c>
      <c r="H1181" s="28" t="n">
        <f aca="false">H1180/H1175</f>
        <v>39.2294494570921</v>
      </c>
      <c r="I1181" s="28" t="n">
        <f aca="false">I1180/I1175</f>
        <v>43.165708355973</v>
      </c>
      <c r="J1181" s="28" t="n">
        <f aca="false">J1180/J1175</f>
        <v>46.4946392998962</v>
      </c>
    </row>
    <row r="1184" customFormat="false" ht="17.15" hidden="false" customHeight="false" outlineLevel="0" collapsed="false">
      <c r="A1184" s="1" t="s">
        <v>1028</v>
      </c>
    </row>
    <row r="1185" customFormat="false" ht="17.15" hidden="false" customHeight="false" outlineLevel="0" collapsed="false">
      <c r="A1185" s="4" t="s">
        <v>21</v>
      </c>
      <c r="B1185" s="4" t="s">
        <v>22</v>
      </c>
      <c r="C1185" s="13" t="s">
        <v>498</v>
      </c>
      <c r="D1185" s="13" t="s">
        <v>585</v>
      </c>
      <c r="E1185" s="13" t="s">
        <v>586</v>
      </c>
      <c r="F1185" s="13" t="s">
        <v>587</v>
      </c>
      <c r="G1185" s="13" t="s">
        <v>588</v>
      </c>
      <c r="H1185" s="13" t="s">
        <v>589</v>
      </c>
      <c r="I1185" s="13" t="s">
        <v>590</v>
      </c>
      <c r="J1185" s="13" t="s">
        <v>591</v>
      </c>
      <c r="K1185" s="4" t="s">
        <v>553</v>
      </c>
    </row>
    <row r="1186" customFormat="false" ht="17.15" hidden="false" customHeight="false" outlineLevel="0" collapsed="false">
      <c r="A1186" s="5" t="s">
        <v>609</v>
      </c>
    </row>
    <row r="1187" customFormat="false" ht="17.15" hidden="false" customHeight="false" outlineLevel="0" collapsed="false">
      <c r="A1187" s="0" t="s">
        <v>610</v>
      </c>
      <c r="B1187" s="3" t="s">
        <v>32</v>
      </c>
      <c r="D1187" s="21" t="n">
        <f aca="false">(u_bw_26+u_rb_26+u_ru_26+u_hp_26)*1</f>
        <v>7.6</v>
      </c>
      <c r="E1187" s="21" t="n">
        <f aca="false">(u_bw_27+u_rb_27+u_ru_27+u_hp_27)*1*1</f>
        <v>9.7</v>
      </c>
      <c r="F1187" s="21" t="n">
        <f aca="false">(u_bw_28+u_rb_28+u_ru_28+u_hp_28)*um28_A*1</f>
        <v>9.5</v>
      </c>
      <c r="G1187" s="21" t="n">
        <f aca="false">(u_bw_28*(1+g29_bw)+u_rb_28*(1+g29_rb)+u_ru_28*(1+g29_ru)+u_hp_28*(1+g29_hp))*um29_A*1</f>
        <v>10.6</v>
      </c>
      <c r="K1187" s="7" t="s">
        <v>611</v>
      </c>
    </row>
    <row r="1188" customFormat="false" ht="17.15" hidden="false" customHeight="false" outlineLevel="0" collapsed="false">
      <c r="A1188" s="3" t="s">
        <v>612</v>
      </c>
      <c r="B1188" s="3" t="s">
        <v>32</v>
      </c>
      <c r="D1188" s="21" t="n">
        <f aca="false">(u_amd_26+u_tpu_26+u_trn_26+u_oth_26)*1</f>
        <v>7.6</v>
      </c>
      <c r="E1188" s="21" t="n">
        <f aca="false">(u_amd_27+u_tpu_27+u_trn_27+u_oth_27)*1*1</f>
        <v>14</v>
      </c>
      <c r="F1188" s="21" t="n">
        <f aca="false">(u_amd_28+u_tpu_28+u_trn_28+u_oth_28)*um28_A*1</f>
        <v>17</v>
      </c>
      <c r="G1188" s="21" t="n">
        <f aca="false">(u_amd_28*(1+g29_amd)+u_tpu_28*(1+g29_tpu)+u_trn_28*(1+g29_trn)+u_oth_28*(1+g29_oth))*um29_A*1</f>
        <v>19.55</v>
      </c>
      <c r="K1188" s="7" t="s">
        <v>613</v>
      </c>
    </row>
    <row r="1189" customFormat="false" ht="17.15" hidden="false" customHeight="false" outlineLevel="0" collapsed="false">
      <c r="A1189" s="3" t="s">
        <v>614</v>
      </c>
      <c r="B1189" s="0" t="s">
        <v>154</v>
      </c>
      <c r="D1189" s="19" t="n">
        <f aca="false">1</f>
        <v>1</v>
      </c>
      <c r="E1189" s="19" t="n">
        <f aca="false">D1189*(1+g_asp)</f>
        <v>1.18</v>
      </c>
      <c r="F1189" s="19" t="n">
        <f aca="false">E1189*(1+g_asp)</f>
        <v>1.3924</v>
      </c>
      <c r="G1189" s="19" t="n">
        <f aca="false">F1189*(1+g_asp)</f>
        <v>1.643032</v>
      </c>
      <c r="K1189" s="7" t="s">
        <v>615</v>
      </c>
    </row>
    <row r="1190" customFormat="false" ht="17.15" hidden="false" customHeight="false" outlineLevel="0" collapsed="false">
      <c r="A1190" s="0" t="s">
        <v>616</v>
      </c>
      <c r="B1190" s="0" t="s">
        <v>154</v>
      </c>
      <c r="D1190" s="18" t="n">
        <f aca="false">1</f>
        <v>1</v>
      </c>
      <c r="E1190" s="18" t="n">
        <f aca="false">ibpp_27</f>
        <v>1</v>
      </c>
      <c r="F1190" s="18" t="n">
        <f aca="false">ibpp_28</f>
        <v>0.95</v>
      </c>
      <c r="G1190" s="18" t="n">
        <f aca="false">ibpp_29</f>
        <v>0.9</v>
      </c>
      <c r="K1190" s="7" t="s">
        <v>617</v>
      </c>
    </row>
    <row r="1191" customFormat="false" ht="17.15" hidden="false" customHeight="false" outlineLevel="0" collapsed="false">
      <c r="A1191" s="3" t="s">
        <v>618</v>
      </c>
      <c r="B1191" s="0" t="s">
        <v>154</v>
      </c>
      <c r="D1191" s="18" t="n">
        <f aca="false">1</f>
        <v>1</v>
      </c>
      <c r="E1191" s="18" t="n">
        <f aca="false">1+carry</f>
        <v>1.15</v>
      </c>
      <c r="F1191" s="18" t="n">
        <f aca="false">1+carry</f>
        <v>1.15</v>
      </c>
      <c r="G1191" s="18" t="n">
        <f aca="false">1+carry</f>
        <v>1.15</v>
      </c>
      <c r="K1191" s="7" t="s">
        <v>619</v>
      </c>
    </row>
    <row r="1192" customFormat="false" ht="17.15" hidden="false" customHeight="false" outlineLevel="0" collapsed="false">
      <c r="A1192" s="3" t="s">
        <v>620</v>
      </c>
      <c r="B1192" s="0" t="s">
        <v>621</v>
      </c>
      <c r="D1192" s="23" t="n">
        <f aca="false">v26*D1189*D1190</f>
        <v>215.308596</v>
      </c>
      <c r="E1192" s="23" t="n">
        <f aca="false">v26*E1189*E1190</f>
        <v>254.06414328</v>
      </c>
      <c r="F1192" s="23" t="n">
        <f aca="false">v26*F1189*F1190</f>
        <v>284.80590461688</v>
      </c>
      <c r="G1192" s="23" t="n">
        <f aca="false">v26*G1189*G1190</f>
        <v>318.383021792765</v>
      </c>
      <c r="K1192" s="7" t="s">
        <v>622</v>
      </c>
    </row>
    <row r="1193" customFormat="false" ht="17.15" hidden="false" customHeight="false" outlineLevel="0" collapsed="false">
      <c r="A1193" s="3" t="s">
        <v>623</v>
      </c>
      <c r="B1193" s="0" t="s">
        <v>44</v>
      </c>
      <c r="D1193" s="20" t="n">
        <f aca="false">sh_nv_26</f>
        <v>0.02</v>
      </c>
      <c r="E1193" s="20" t="n">
        <f aca="false">sh_nv_27</f>
        <v>0.03</v>
      </c>
      <c r="F1193" s="20" t="n">
        <f aca="false">sh_nv_28</f>
        <v>0.04</v>
      </c>
      <c r="G1193" s="20" t="n">
        <f aca="false">sh_nv_29</f>
        <v>0.04</v>
      </c>
    </row>
    <row r="1194" customFormat="false" ht="17.15" hidden="false" customHeight="false" outlineLevel="0" collapsed="false">
      <c r="A1194" s="3" t="s">
        <v>624</v>
      </c>
      <c r="B1194" s="0" t="s">
        <v>44</v>
      </c>
      <c r="D1194" s="20" t="n">
        <f aca="false">sh_ot_26</f>
        <v>0.05</v>
      </c>
      <c r="E1194" s="20" t="n">
        <f aca="false">sh_ot_27</f>
        <v>0.06</v>
      </c>
      <c r="F1194" s="20" t="n">
        <f aca="false">sh_ot_28</f>
        <v>0.07</v>
      </c>
      <c r="G1194" s="20" t="n">
        <f aca="false">sh_ot_29</f>
        <v>0.07</v>
      </c>
    </row>
    <row r="1195" customFormat="false" ht="17.15" hidden="false" customHeight="false" outlineLevel="0" collapsed="false">
      <c r="A1195" s="3" t="s">
        <v>625</v>
      </c>
      <c r="B1195" s="0" t="s">
        <v>575</v>
      </c>
      <c r="D1195" s="22" t="n">
        <f aca="false">(D1187*D1192*D1193+D1188*D1192*v_ot*D1194)*D1191</f>
        <v>98.180719776</v>
      </c>
      <c r="E1195" s="22" t="n">
        <f aca="false">(E1187*E1192*E1193+E1188*E1192*v_ot*E1194)*E1191</f>
        <v>281.363335475436</v>
      </c>
      <c r="F1195" s="22" t="n">
        <f aca="false">(F1187*F1192*F1193+F1188*F1192*v_ot*F1194)*F1191</f>
        <v>436.265684692137</v>
      </c>
      <c r="G1195" s="22" t="n">
        <f aca="false">(G1187*G1192*G1193+G1188*G1192*v_ot*G1194)*G1191</f>
        <v>556.094153523679</v>
      </c>
    </row>
    <row r="1196" customFormat="false" ht="15" hidden="false" customHeight="false" outlineLevel="0" collapsed="false">
      <c r="A1196" s="3" t="s">
        <v>626</v>
      </c>
      <c r="B1196" s="0" t="s">
        <v>333</v>
      </c>
      <c r="D1196" s="21" t="n">
        <f aca="false">D1195*fx/1000</f>
        <v>3.141783032832</v>
      </c>
      <c r="E1196" s="21" t="n">
        <f aca="false">E1195*fx/1000</f>
        <v>9.00362673521395</v>
      </c>
      <c r="F1196" s="21" t="n">
        <f aca="false">F1195*fx/1000</f>
        <v>13.9605019101484</v>
      </c>
      <c r="G1196" s="21" t="n">
        <f aca="false">G1195*fx/1000</f>
        <v>17.7950129127577</v>
      </c>
    </row>
    <row r="1197" customFormat="false" ht="17.15" hidden="false" customHeight="false" outlineLevel="0" collapsed="false">
      <c r="A1197" s="5" t="s">
        <v>627</v>
      </c>
    </row>
    <row r="1198" customFormat="false" ht="17.15" hidden="false" customHeight="false" outlineLevel="0" collapsed="false">
      <c r="A1198" s="0" t="s">
        <v>628</v>
      </c>
      <c r="B1198" s="0" t="s">
        <v>333</v>
      </c>
      <c r="D1198" s="21" t="n">
        <f aca="false">a26_abf*ai_abf</f>
        <v>22.2987583</v>
      </c>
      <c r="K1198" s="3" t="s">
        <v>629</v>
      </c>
    </row>
    <row r="1199" customFormat="false" ht="17.15" hidden="false" customHeight="false" outlineLevel="0" collapsed="false">
      <c r="A1199" s="3" t="s">
        <v>630</v>
      </c>
      <c r="B1199" s="0" t="s">
        <v>333</v>
      </c>
      <c r="D1199" s="21" t="n">
        <f aca="false">D1198-D1196</f>
        <v>19.156975267168</v>
      </c>
      <c r="E1199" s="21" t="n">
        <f aca="false">$D1199*(swm_27/swm_26)^el_o_lo*1*1*E1190*E1191</f>
        <v>26.9439898915389</v>
      </c>
      <c r="F1199" s="21" t="n">
        <f aca="false">$D1199*(swm_28/swm_26)^el_o_lo*um28_A*1*F1190*F1191</f>
        <v>26.7431172699397</v>
      </c>
      <c r="G1199" s="21" t="n">
        <f aca="false">$D1199*(swm_29/swm_26)^el_o_lo*um29_A*1*G1190*G1191</f>
        <v>26.3379936036906</v>
      </c>
      <c r="K1199" s="7" t="s">
        <v>631</v>
      </c>
    </row>
    <row r="1200" customFormat="false" ht="17.15" hidden="false" customHeight="false" outlineLevel="0" collapsed="false">
      <c r="A1200" s="3" t="s">
        <v>632</v>
      </c>
      <c r="B1200" s="0" t="s">
        <v>333</v>
      </c>
      <c r="D1200" s="21" t="n">
        <f aca="false">a26_abf-D1198</f>
        <v>12.0070237</v>
      </c>
      <c r="E1200" s="21" t="n">
        <f aca="false">D1200*(1+g_nai)</f>
        <v>12.367234411</v>
      </c>
      <c r="F1200" s="21" t="n">
        <f aca="false">E1200*(1+g_nai)</f>
        <v>12.73825144333</v>
      </c>
      <c r="G1200" s="21" t="n">
        <f aca="false">F1200*(1+g_nai)</f>
        <v>13.1203989866299</v>
      </c>
    </row>
    <row r="1201" customFormat="false" ht="17.15" hidden="false" customHeight="false" outlineLevel="0" collapsed="false">
      <c r="A1201" s="0" t="s">
        <v>633</v>
      </c>
      <c r="B1201" s="0" t="s">
        <v>333</v>
      </c>
      <c r="D1201" s="21" t="n">
        <f aca="false">D1196+D1199+D1200</f>
        <v>34.305782</v>
      </c>
      <c r="E1201" s="21" t="n">
        <f aca="false">E1196+E1199+E1200</f>
        <v>48.3148510377528</v>
      </c>
      <c r="F1201" s="21" t="n">
        <f aca="false">F1196+F1199+F1200</f>
        <v>53.4418706234181</v>
      </c>
      <c r="G1201" s="21" t="n">
        <f aca="false">G1196+G1199+G1200</f>
        <v>57.2534055030783</v>
      </c>
    </row>
    <row r="1202" customFormat="false" ht="17.15" hidden="false" customHeight="false" outlineLevel="0" collapsed="false">
      <c r="A1202" s="0" t="s">
        <v>634</v>
      </c>
      <c r="B1202" s="0" t="s">
        <v>333</v>
      </c>
      <c r="D1202" s="21" t="n">
        <f aca="false">a26_abf</f>
        <v>34.305782</v>
      </c>
      <c r="E1202" s="21" t="n">
        <f aca="false">$D1201*cap_27*(1+g_mix)^1*E1190*E1191</f>
        <v>49.709078118</v>
      </c>
      <c r="F1202" s="21" t="n">
        <f aca="false">$D1201*cap_28*(1+g_mix)^2*F1190*F1191</f>
        <v>55.7829061005431</v>
      </c>
      <c r="G1202" s="21" t="n">
        <f aca="false">$D1201*cap_29*(1+g_mix)^3*G1190*G1191</f>
        <v>65.765110350114</v>
      </c>
      <c r="K1202" s="7" t="s">
        <v>635</v>
      </c>
    </row>
    <row r="1203" customFormat="false" ht="17.15" hidden="false" customHeight="false" outlineLevel="0" collapsed="false">
      <c r="A1203" s="0" t="s">
        <v>636</v>
      </c>
      <c r="B1203" s="0" t="s">
        <v>333</v>
      </c>
      <c r="D1203" s="21" t="n">
        <f aca="false">a26_abf</f>
        <v>34.305782</v>
      </c>
      <c r="E1203" s="21" t="n">
        <f aca="false">MIN(E1201,E1202)</f>
        <v>48.3148510377528</v>
      </c>
      <c r="F1203" s="21" t="n">
        <f aca="false">MIN(F1201,F1202)</f>
        <v>53.4418706234181</v>
      </c>
      <c r="G1203" s="21" t="n">
        <f aca="false">MIN(G1201,G1202)</f>
        <v>57.2534055030783</v>
      </c>
    </row>
    <row r="1204" customFormat="false" ht="17.15" hidden="false" customHeight="false" outlineLevel="0" collapsed="false">
      <c r="A1204" s="3" t="s">
        <v>637</v>
      </c>
      <c r="B1204" s="0" t="s">
        <v>44</v>
      </c>
      <c r="D1204" s="20" t="n">
        <f aca="false">D1203/D1201</f>
        <v>1</v>
      </c>
      <c r="E1204" s="20" t="n">
        <f aca="false">E1203/E1201</f>
        <v>1</v>
      </c>
      <c r="F1204" s="20" t="n">
        <f aca="false">F1203/F1201</f>
        <v>1</v>
      </c>
      <c r="G1204" s="20" t="n">
        <f aca="false">G1203/G1201</f>
        <v>1</v>
      </c>
    </row>
    <row r="1205" customFormat="false" ht="17.15" hidden="false" customHeight="false" outlineLevel="0" collapsed="false">
      <c r="A1205" s="0" t="s">
        <v>638</v>
      </c>
      <c r="B1205" s="0" t="s">
        <v>333</v>
      </c>
      <c r="D1205" s="21" t="n">
        <f aca="false">(D1196+D1199)*D1204</f>
        <v>22.2987583</v>
      </c>
      <c r="E1205" s="21" t="n">
        <f aca="false">(E1196+E1199)*E1204</f>
        <v>35.9476166267528</v>
      </c>
      <c r="F1205" s="21" t="n">
        <f aca="false">(F1196+F1199)*F1204</f>
        <v>40.7036191800881</v>
      </c>
      <c r="G1205" s="21" t="n">
        <f aca="false">(G1196+G1199)*G1204</f>
        <v>44.1330065164484</v>
      </c>
    </row>
    <row r="1206" customFormat="false" ht="17.15" hidden="false" customHeight="false" outlineLevel="0" collapsed="false">
      <c r="A1206" s="3" t="s">
        <v>639</v>
      </c>
      <c r="B1206" s="0" t="s">
        <v>44</v>
      </c>
      <c r="D1206" s="20" t="n">
        <f aca="false">D1196/(D1196+D1199)</f>
        <v>0.140894976776891</v>
      </c>
      <c r="E1206" s="20" t="n">
        <f aca="false">E1196/(E1196+E1199)</f>
        <v>0.250465192969519</v>
      </c>
      <c r="F1206" s="20" t="n">
        <f aca="false">F1196/(F1196+F1199)</f>
        <v>0.342979376069285</v>
      </c>
      <c r="G1206" s="20" t="n">
        <f aca="false">G1196/(G1196+G1199)</f>
        <v>0.403213248255034</v>
      </c>
    </row>
    <row r="1207" customFormat="false" ht="17.15" hidden="false" customHeight="false" outlineLevel="0" collapsed="false">
      <c r="A1207" s="5" t="s">
        <v>640</v>
      </c>
    </row>
    <row r="1208" customFormat="false" ht="17.15" hidden="false" customHeight="false" outlineLevel="0" collapsed="false">
      <c r="A1208" s="0" t="s">
        <v>641</v>
      </c>
      <c r="B1208" s="0" t="s">
        <v>333</v>
      </c>
      <c r="D1208" s="21" t="n">
        <f aca="false">a26_bt</f>
        <v>18.927328</v>
      </c>
      <c r="E1208" s="21" t="n">
        <f aca="false">D1208*(1+g_bt27_A)</f>
        <v>24.6055264</v>
      </c>
      <c r="F1208" s="21" t="n">
        <f aca="false">E1208*(1+g_bt28_A)</f>
        <v>27.06607904</v>
      </c>
      <c r="G1208" s="21" t="n">
        <f aca="false">F1208*(1+g_bt29_A)</f>
        <v>28.419382992</v>
      </c>
      <c r="K1208" s="7" t="s">
        <v>642</v>
      </c>
    </row>
    <row r="1209" customFormat="false" ht="17.15" hidden="false" customHeight="false" outlineLevel="0" collapsed="false">
      <c r="A1209" s="0" t="s">
        <v>540</v>
      </c>
      <c r="B1209" s="0" t="s">
        <v>333</v>
      </c>
      <c r="D1209" s="21" t="n">
        <f aca="false">a26_pcb</f>
        <v>5.91479</v>
      </c>
      <c r="E1209" s="21" t="n">
        <f aca="false">D1209*(1+g_pcb)</f>
        <v>5.91479</v>
      </c>
      <c r="F1209" s="21" t="n">
        <f aca="false">E1209*(1+g_pcb)</f>
        <v>5.91479</v>
      </c>
      <c r="G1209" s="21" t="n">
        <f aca="false">F1209*(1+g_pcb)</f>
        <v>5.91479</v>
      </c>
    </row>
    <row r="1210" customFormat="false" ht="17.15" hidden="false" customHeight="false" outlineLevel="0" collapsed="false">
      <c r="A1210" s="3" t="s">
        <v>505</v>
      </c>
      <c r="B1210" s="0" t="s">
        <v>333</v>
      </c>
      <c r="C1210" s="23" t="n">
        <f aca="false">a25_rev</f>
        <v>40.173</v>
      </c>
      <c r="D1210" s="23" t="n">
        <f aca="false">D1203+D1208+D1209</f>
        <v>59.1479</v>
      </c>
      <c r="E1210" s="23" t="n">
        <f aca="false">E1203+E1208+E1209</f>
        <v>78.8351674377528</v>
      </c>
      <c r="F1210" s="23" t="n">
        <f aca="false">F1203+F1208+F1209</f>
        <v>86.4227396634181</v>
      </c>
      <c r="G1210" s="23" t="n">
        <f aca="false">G1203+G1208+G1209</f>
        <v>91.5875784950783</v>
      </c>
      <c r="H1210" s="25" t="n">
        <f aca="false">G1210*(1+H1212)</f>
        <v>97.0683317339957</v>
      </c>
      <c r="I1210" s="25" t="n">
        <f aca="false">H1210*(1+I1212)</f>
        <v>102.88474700656</v>
      </c>
      <c r="J1210" s="25" t="n">
        <f aca="false">I1210*(1+J1212)</f>
        <v>109.057831826953</v>
      </c>
      <c r="K1210" s="7" t="s">
        <v>643</v>
      </c>
    </row>
    <row r="1211" customFormat="false" ht="17.15" hidden="false" customHeight="false" outlineLevel="0" collapsed="false">
      <c r="A1211" s="3" t="s">
        <v>644</v>
      </c>
      <c r="B1211" s="0" t="s">
        <v>333</v>
      </c>
      <c r="D1211" s="19" t="n">
        <f aca="false">D1203+D1208+D1209-a26_rev</f>
        <v>0</v>
      </c>
      <c r="E1211" s="19" t="n">
        <f aca="false">E1203+E1208+E1209-E1210</f>
        <v>0</v>
      </c>
      <c r="F1211" s="19" t="n">
        <f aca="false">F1203+F1208+F1209-F1210</f>
        <v>0</v>
      </c>
      <c r="G1211" s="19" t="n">
        <f aca="false">G1203+G1208+G1209-G1210</f>
        <v>0</v>
      </c>
    </row>
    <row r="1212" customFormat="false" ht="15" hidden="false" customHeight="false" outlineLevel="0" collapsed="false">
      <c r="A1212" s="3" t="s">
        <v>645</v>
      </c>
      <c r="B1212" s="0" t="s">
        <v>44</v>
      </c>
      <c r="D1212" s="20" t="n">
        <f aca="false">D1210/C1210-1</f>
        <v>0.472329674159261</v>
      </c>
      <c r="E1212" s="20" t="n">
        <f aca="false">E1210/D1210-1</f>
        <v>0.332848122042419</v>
      </c>
      <c r="F1212" s="20" t="n">
        <f aca="false">F1210/E1210-1</f>
        <v>0.0962460342543992</v>
      </c>
      <c r="G1212" s="20" t="n">
        <f aca="false">G1210/F1210-1</f>
        <v>0.0597624982935645</v>
      </c>
      <c r="H1212" s="26" t="n">
        <f aca="false">$G1212+(fade_gA-$G1212)*1/3</f>
        <v>0.059841665529043</v>
      </c>
      <c r="I1212" s="26" t="n">
        <f aca="false">$G1212+(fade_gA-$G1212)*2/3</f>
        <v>0.0599208327645215</v>
      </c>
      <c r="J1212" s="26" t="n">
        <f aca="false">$G1212+(fade_gA-$G1212)*3/3</f>
        <v>0.06</v>
      </c>
    </row>
    <row r="1213" customFormat="false" ht="17.15" hidden="false" customHeight="false" outlineLevel="0" collapsed="false">
      <c r="A1213" s="0" t="s">
        <v>646</v>
      </c>
      <c r="B1213" s="0" t="s">
        <v>44</v>
      </c>
      <c r="D1213" s="20" t="n">
        <f aca="false">D1203/D1210</f>
        <v>0.58</v>
      </c>
      <c r="E1213" s="20" t="n">
        <f aca="false">E1203/E1210</f>
        <v>0.612859116153988</v>
      </c>
      <c r="F1213" s="20" t="n">
        <f aca="false">F1203/F1210</f>
        <v>0.61837741816046</v>
      </c>
      <c r="G1213" s="20" t="n">
        <f aca="false">G1203/G1210</f>
        <v>0.62512194823619</v>
      </c>
    </row>
    <row r="1214" customFormat="false" ht="17.15" hidden="false" customHeight="false" outlineLevel="0" collapsed="false">
      <c r="A1214" s="0" t="s">
        <v>647</v>
      </c>
      <c r="B1214" s="0" t="s">
        <v>44</v>
      </c>
      <c r="D1214" s="20" t="n">
        <f aca="false">D1205/D1210</f>
        <v>0.377</v>
      </c>
      <c r="E1214" s="20" t="n">
        <f aca="false">E1205/E1210</f>
        <v>0.455984528162975</v>
      </c>
      <c r="F1214" s="20" t="n">
        <f aca="false">F1205/F1210</f>
        <v>0.47098274526603</v>
      </c>
      <c r="G1214" s="20" t="n">
        <f aca="false">G1205/G1210</f>
        <v>0.481866725178458</v>
      </c>
      <c r="K1214" s="3" t="s">
        <v>648</v>
      </c>
    </row>
    <row r="1215" customFormat="false" ht="17.15" hidden="false" customHeight="false" outlineLevel="0" collapsed="false">
      <c r="A1215" s="5" t="s">
        <v>649</v>
      </c>
    </row>
    <row r="1216" customFormat="false" ht="15" hidden="false" customHeight="false" outlineLevel="0" collapsed="false">
      <c r="A1216" s="3" t="s">
        <v>650</v>
      </c>
      <c r="B1216" s="0" t="s">
        <v>333</v>
      </c>
      <c r="C1216" s="23" t="n">
        <f aca="false">a25_cx</f>
        <v>2.422</v>
      </c>
      <c r="D1216" s="23" t="n">
        <f aca="false">capex26</f>
        <v>4</v>
      </c>
      <c r="E1216" s="23" t="n">
        <f aca="false">cx27</f>
        <v>14</v>
      </c>
      <c r="F1216" s="23" t="n">
        <f aca="false">cx28</f>
        <v>18</v>
      </c>
      <c r="G1216" s="23" t="n">
        <f aca="false">cx29</f>
        <v>12</v>
      </c>
      <c r="H1216" s="25" t="n">
        <f aca="false">H1210*H1233</f>
        <v>12.1654746686549</v>
      </c>
      <c r="I1216" s="25" t="n">
        <f aca="false">I1210*I1233</f>
        <v>12.3087009548398</v>
      </c>
      <c r="J1216" s="25" t="n">
        <f aca="false">J1210*J1233</f>
        <v>12.4263395799774</v>
      </c>
    </row>
    <row r="1217" customFormat="false" ht="17.15" hidden="false" customHeight="false" outlineLevel="0" collapsed="false">
      <c r="A1217" s="3" t="s">
        <v>651</v>
      </c>
      <c r="B1217" s="0" t="s">
        <v>333</v>
      </c>
      <c r="C1217" s="23" t="n">
        <f aca="false">a25_da</f>
        <v>6.894</v>
      </c>
      <c r="D1217" s="23" t="n">
        <f aca="false">da26</f>
        <v>7.1</v>
      </c>
      <c r="E1217" s="23" t="n">
        <f aca="false">D1217*(1-1/life)+D1216/life</f>
        <v>6.7125</v>
      </c>
      <c r="F1217" s="23" t="n">
        <f aca="false">E1217*(1-1/life)+E1216/life</f>
        <v>7.6234375</v>
      </c>
      <c r="G1217" s="23" t="n">
        <f aca="false">F1217*(1-1/life)+F1216/life</f>
        <v>8.9205078125</v>
      </c>
      <c r="H1217" s="25" t="n">
        <f aca="false">H1210*H1218</f>
        <v>9.45432585736484</v>
      </c>
      <c r="I1217" s="25" t="n">
        <f aca="false">I1210*I1218</f>
        <v>10.0208369359653</v>
      </c>
      <c r="J1217" s="25" t="n">
        <f aca="false">J1210*J1218</f>
        <v>10.6220871521232</v>
      </c>
      <c r="K1217" s="3" t="s">
        <v>652</v>
      </c>
    </row>
    <row r="1218" customFormat="false" ht="17.15" hidden="false" customHeight="false" outlineLevel="0" collapsed="false">
      <c r="A1218" s="3" t="s">
        <v>653</v>
      </c>
      <c r="B1218" s="0" t="s">
        <v>44</v>
      </c>
      <c r="C1218" s="20" t="n">
        <f aca="false">C1217/C1210</f>
        <v>0.171607796281084</v>
      </c>
      <c r="D1218" s="20" t="n">
        <f aca="false">D1217/D1210</f>
        <v>0.120038074048276</v>
      </c>
      <c r="E1218" s="20" t="n">
        <f aca="false">E1217/E1210</f>
        <v>0.0851460105707278</v>
      </c>
      <c r="F1218" s="20" t="n">
        <f aca="false">F1217/F1210</f>
        <v>0.0882110140188824</v>
      </c>
      <c r="G1218" s="20" t="n">
        <f aca="false">G1217/G1210</f>
        <v>0.0973986643066381</v>
      </c>
      <c r="H1218" s="26" t="n">
        <f aca="false">$G1218</f>
        <v>0.0973986643066381</v>
      </c>
      <c r="I1218" s="26" t="n">
        <f aca="false">$G1218</f>
        <v>0.0973986643066381</v>
      </c>
      <c r="J1218" s="26" t="n">
        <f aca="false">$G1218</f>
        <v>0.0973986643066381</v>
      </c>
    </row>
    <row r="1219" customFormat="false" ht="17.15" hidden="false" customHeight="false" outlineLevel="0" collapsed="false">
      <c r="A1219" s="3" t="s">
        <v>654</v>
      </c>
      <c r="B1219" s="0" t="s">
        <v>333</v>
      </c>
      <c r="E1219" s="21" t="n">
        <f aca="false">E1205*(1-1/(E1190*E1191))</f>
        <v>4.68881956001123</v>
      </c>
      <c r="F1219" s="21" t="n">
        <f aca="false">F1205*(1-1/(F1190*F1191))</f>
        <v>3.44630185277633</v>
      </c>
      <c r="G1219" s="21" t="n">
        <f aca="false">G1205*(1-1/(G1190*G1191))</f>
        <v>1.49242051021806</v>
      </c>
      <c r="K1219" s="7" t="s">
        <v>655</v>
      </c>
    </row>
    <row r="1220" customFormat="false" ht="17.15" hidden="false" customHeight="false" outlineLevel="0" collapsed="false">
      <c r="A1220" s="3" t="s">
        <v>656</v>
      </c>
      <c r="B1220" s="0" t="s">
        <v>333</v>
      </c>
      <c r="C1220" s="21" t="n">
        <f aca="false">a25_gp</f>
        <v>3.647</v>
      </c>
      <c r="D1220" s="21" t="n">
        <f aca="false">a26_gp</f>
        <v>15.9001925</v>
      </c>
      <c r="E1220" s="21" t="n">
        <f aca="false">$D1220+ft_abf*(E1203-E1219-$D1203)+ft_oth*((E1210-E1203)-($D1210-$D1203))+E1219-(E1217-$D1217)</f>
        <v>27.907916158882</v>
      </c>
      <c r="F1220" s="21" t="n">
        <f aca="false">$D1220+ft_abf*(F1203-F1219-$D1203)+ft_oth*((F1210-F1203)-($D1210-$D1203))+F1219-(F1217-$D1217)</f>
        <v>29.9234506540972</v>
      </c>
      <c r="G1220" s="21" t="n">
        <f aca="false">$D1220+ft_abf*(G1203-G1219-$D1203)+ft_oth*((G1210-G1203)-($D1210-$D1203))+G1219-(G1217-$D1217)</f>
        <v>30.0965286909482</v>
      </c>
      <c r="K1220" s="3" t="s">
        <v>657</v>
      </c>
    </row>
    <row r="1221" customFormat="false" ht="15" hidden="false" customHeight="false" outlineLevel="0" collapsed="false">
      <c r="A1221" s="3" t="s">
        <v>512</v>
      </c>
      <c r="B1221" s="0" t="s">
        <v>44</v>
      </c>
      <c r="C1221" s="16" t="n">
        <f aca="false">C1220/C1210</f>
        <v>0.0907823662659</v>
      </c>
      <c r="D1221" s="16" t="n">
        <f aca="false">D1220/D1210</f>
        <v>0.268820913337583</v>
      </c>
      <c r="E1221" s="16" t="n">
        <f aca="false">E1220/E1210</f>
        <v>0.35400338536628</v>
      </c>
      <c r="F1221" s="16" t="n">
        <f aca="false">F1220/F1210</f>
        <v>0.346245105982951</v>
      </c>
      <c r="G1221" s="16" t="n">
        <f aca="false">G1220/G1210</f>
        <v>0.328609285074236</v>
      </c>
    </row>
    <row r="1222" customFormat="false" ht="15" hidden="false" customHeight="false" outlineLevel="0" collapsed="false">
      <c r="A1222" s="3" t="s">
        <v>514</v>
      </c>
      <c r="B1222" s="0" t="s">
        <v>333</v>
      </c>
      <c r="C1222" s="21" t="n">
        <f aca="false">a25_opx</f>
        <v>1.665</v>
      </c>
      <c r="D1222" s="21" t="n">
        <f aca="false">a26_opx</f>
        <v>1.9</v>
      </c>
      <c r="E1222" s="21" t="n">
        <f aca="false">D1222*(1+phi*E1212)</f>
        <v>2.27944685912836</v>
      </c>
      <c r="F1222" s="21" t="n">
        <f aca="false">E1222*(1+phi*F1212)</f>
        <v>2.41107949141921</v>
      </c>
      <c r="G1222" s="21" t="n">
        <f aca="false">F1222*(1+phi*G1212)</f>
        <v>2.49753477181416</v>
      </c>
    </row>
    <row r="1223" customFormat="false" ht="15" hidden="false" customHeight="false" outlineLevel="0" collapsed="false">
      <c r="A1223" s="3" t="s">
        <v>517</v>
      </c>
      <c r="B1223" s="0" t="s">
        <v>333</v>
      </c>
      <c r="C1223" s="21" t="n">
        <f aca="false">C1220-C1222</f>
        <v>1.982</v>
      </c>
      <c r="D1223" s="21" t="n">
        <f aca="false">D1220-D1222</f>
        <v>14.0001925</v>
      </c>
      <c r="E1223" s="21" t="n">
        <f aca="false">E1220-E1222</f>
        <v>25.6284692997537</v>
      </c>
      <c r="F1223" s="21" t="n">
        <f aca="false">F1220-F1222</f>
        <v>27.512371162678</v>
      </c>
      <c r="G1223" s="21" t="n">
        <f aca="false">G1220-G1222</f>
        <v>27.598993919134</v>
      </c>
    </row>
    <row r="1224" customFormat="false" ht="15" hidden="false" customHeight="false" outlineLevel="0" collapsed="false">
      <c r="A1224" s="3" t="s">
        <v>598</v>
      </c>
      <c r="B1224" s="0" t="s">
        <v>44</v>
      </c>
      <c r="C1224" s="16" t="n">
        <f aca="false">C1223/C1210</f>
        <v>0.0493366191222961</v>
      </c>
      <c r="D1224" s="16" t="n">
        <f aca="false">D1223/D1210</f>
        <v>0.236698048451424</v>
      </c>
      <c r="E1224" s="16" t="n">
        <f aca="false">E1223/E1210</f>
        <v>0.325089298757304</v>
      </c>
      <c r="F1224" s="16" t="n">
        <f aca="false">F1223/F1210</f>
        <v>0.318346436017044</v>
      </c>
      <c r="G1224" s="16" t="n">
        <f aca="false">G1223/G1210</f>
        <v>0.301339923738863</v>
      </c>
    </row>
    <row r="1225" customFormat="false" ht="15" hidden="false" customHeight="false" outlineLevel="0" collapsed="false">
      <c r="A1225" s="3" t="s">
        <v>520</v>
      </c>
      <c r="B1225" s="0" t="s">
        <v>333</v>
      </c>
      <c r="C1225" s="21" t="n">
        <f aca="false">a25_nonop</f>
        <v>0.364</v>
      </c>
      <c r="D1225" s="21" t="n">
        <f aca="false">a26_nonop</f>
        <v>0.623</v>
      </c>
      <c r="E1225" s="21" t="n">
        <f aca="false">nonop27</f>
        <v>0.6</v>
      </c>
      <c r="F1225" s="21" t="n">
        <f aca="false">nonop28</f>
        <v>0.6</v>
      </c>
      <c r="G1225" s="21" t="n">
        <f aca="false">nonop29</f>
        <v>0.6</v>
      </c>
    </row>
    <row r="1226" customFormat="false" ht="15" hidden="false" customHeight="false" outlineLevel="0" collapsed="false">
      <c r="A1226" s="3" t="s">
        <v>522</v>
      </c>
      <c r="B1226" s="0" t="s">
        <v>333</v>
      </c>
      <c r="C1226" s="21" t="n">
        <f aca="false">C1223+C1225</f>
        <v>2.346</v>
      </c>
      <c r="D1226" s="21" t="n">
        <f aca="false">D1223+D1225</f>
        <v>14.6231925</v>
      </c>
      <c r="E1226" s="21" t="n">
        <f aca="false">E1223+E1225</f>
        <v>26.2284692997537</v>
      </c>
      <c r="F1226" s="21" t="n">
        <f aca="false">F1223+F1225</f>
        <v>28.112371162678</v>
      </c>
      <c r="G1226" s="21" t="n">
        <f aca="false">G1223+G1225</f>
        <v>28.198993919134</v>
      </c>
    </row>
    <row r="1227" customFormat="false" ht="15" hidden="false" customHeight="false" outlineLevel="0" collapsed="false">
      <c r="A1227" s="3" t="s">
        <v>525</v>
      </c>
      <c r="B1227" s="0" t="s">
        <v>333</v>
      </c>
      <c r="E1227" s="21" t="n">
        <f aca="false">E1226*tax</f>
        <v>5.50797855294827</v>
      </c>
      <c r="F1227" s="21" t="n">
        <f aca="false">F1226*tax</f>
        <v>5.90359794416238</v>
      </c>
      <c r="G1227" s="21" t="n">
        <f aca="false">G1226*tax</f>
        <v>5.92178872301814</v>
      </c>
    </row>
    <row r="1228" customFormat="false" ht="15" hidden="false" customHeight="false" outlineLevel="0" collapsed="false">
      <c r="A1228" s="3" t="s">
        <v>523</v>
      </c>
      <c r="B1228" s="0" t="s">
        <v>333</v>
      </c>
      <c r="C1228" s="21" t="n">
        <f aca="false">a25_ni</f>
        <v>1.947</v>
      </c>
      <c r="D1228" s="21" t="n">
        <f aca="false">a26_ni</f>
        <v>11.509862075</v>
      </c>
      <c r="E1228" s="21" t="n">
        <f aca="false">E1226-E1227</f>
        <v>20.7204907468054</v>
      </c>
      <c r="F1228" s="21" t="n">
        <f aca="false">F1226-F1227</f>
        <v>22.2087732185156</v>
      </c>
      <c r="G1228" s="21" t="n">
        <f aca="false">G1226-G1227</f>
        <v>22.2772051961159</v>
      </c>
      <c r="H1228" s="30" t="n">
        <f aca="false">H1210*H1232</f>
        <v>23.8876849015925</v>
      </c>
      <c r="I1228" s="30" t="n">
        <f aca="false">I1210*I1232</f>
        <v>25.61305003653</v>
      </c>
      <c r="J1228" s="30" t="n">
        <f aca="false">J1210*J1232</f>
        <v>27.4614679113085</v>
      </c>
    </row>
    <row r="1229" customFormat="false" ht="15" hidden="false" customHeight="false" outlineLevel="0" collapsed="false">
      <c r="A1229" s="3" t="s">
        <v>658</v>
      </c>
      <c r="B1229" s="3" t="s">
        <v>400</v>
      </c>
      <c r="C1229" s="29" t="n">
        <f aca="false">a25_sh</f>
        <v>0.646843853820598</v>
      </c>
      <c r="D1229" s="29" t="n">
        <f aca="false">a26_sh</f>
        <v>0.645863325123153</v>
      </c>
      <c r="E1229" s="29" t="n">
        <f aca="false">a26_shend*(1+sh_g)</f>
        <v>0.64617</v>
      </c>
      <c r="F1229" s="29" t="n">
        <f aca="false">E1229*(1+sh_g)</f>
        <v>0.64617</v>
      </c>
      <c r="G1229" s="29" t="n">
        <f aca="false">F1229*(1+sh_g)</f>
        <v>0.64617</v>
      </c>
      <c r="H1229" s="31" t="n">
        <f aca="false">G1229*(1+sh_g)</f>
        <v>0.64617</v>
      </c>
      <c r="I1229" s="31" t="n">
        <f aca="false">H1229*(1+sh_g)</f>
        <v>0.64617</v>
      </c>
      <c r="J1229" s="31" t="n">
        <f aca="false">I1229*(1+sh_g)</f>
        <v>0.64617</v>
      </c>
    </row>
    <row r="1230" customFormat="false" ht="17.15" hidden="false" customHeight="false" outlineLevel="0" collapsed="false">
      <c r="A1230" s="0" t="s">
        <v>528</v>
      </c>
      <c r="B1230" s="0" t="s">
        <v>406</v>
      </c>
      <c r="C1230" s="18" t="n">
        <f aca="false">C1228/C1229</f>
        <v>3.01</v>
      </c>
      <c r="D1230" s="18" t="n">
        <f aca="false">D1228/D1229</f>
        <v>17.820894339844</v>
      </c>
      <c r="E1230" s="18" t="n">
        <f aca="false">E1228/E1229</f>
        <v>32.066624490158</v>
      </c>
      <c r="F1230" s="18" t="n">
        <f aca="false">F1228/F1229</f>
        <v>34.3698612106963</v>
      </c>
      <c r="G1230" s="18" t="n">
        <f aca="false">G1228/G1229</f>
        <v>34.4757651950971</v>
      </c>
      <c r="H1230" s="28" t="n">
        <f aca="false">H1228/H1229</f>
        <v>36.9681119544276</v>
      </c>
      <c r="I1230" s="28" t="n">
        <f aca="false">I1228/I1229</f>
        <v>39.6382531478249</v>
      </c>
      <c r="J1230" s="28" t="n">
        <f aca="false">J1228/J1229</f>
        <v>42.4988283444116</v>
      </c>
    </row>
    <row r="1231" customFormat="false" ht="17.15" hidden="false" customHeight="false" outlineLevel="0" collapsed="false">
      <c r="A1231" s="0" t="s">
        <v>659</v>
      </c>
      <c r="B1231" s="0" t="s">
        <v>44</v>
      </c>
      <c r="D1231" s="20" t="n">
        <f aca="false">D1230/C1230-1</f>
        <v>4.92056290360265</v>
      </c>
      <c r="E1231" s="20" t="n">
        <f aca="false">E1230/D1230-1</f>
        <v>0.799383570692264</v>
      </c>
      <c r="F1231" s="20" t="n">
        <f aca="false">F1230/E1230-1</f>
        <v>0.0718266034282835</v>
      </c>
      <c r="G1231" s="20" t="n">
        <f aca="false">G1230/F1230-1</f>
        <v>0.00308130381299931</v>
      </c>
      <c r="H1231" s="26" t="n">
        <f aca="false">H1230/G1230-1</f>
        <v>0.0722927176590984</v>
      </c>
      <c r="I1231" s="26" t="n">
        <f aca="false">I1230/H1230-1</f>
        <v>0.0722282273081434</v>
      </c>
      <c r="J1231" s="26" t="n">
        <f aca="false">J1230/I1230-1</f>
        <v>0.0721670348569266</v>
      </c>
    </row>
    <row r="1232" customFormat="false" ht="17.15" hidden="false" customHeight="false" outlineLevel="0" collapsed="false">
      <c r="A1232" s="3" t="s">
        <v>660</v>
      </c>
      <c r="B1232" s="0" t="s">
        <v>44</v>
      </c>
      <c r="C1232" s="16" t="n">
        <f aca="false">C1228/C1210</f>
        <v>0.0484653872003585</v>
      </c>
      <c r="D1232" s="16" t="n">
        <f aca="false">D1228/D1210</f>
        <v>0.194594602259759</v>
      </c>
      <c r="E1232" s="16" t="n">
        <f aca="false">E1228/E1210</f>
        <v>0.262833091122259</v>
      </c>
      <c r="F1232" s="16" t="n">
        <f aca="false">F1228/F1210</f>
        <v>0.256978352051901</v>
      </c>
      <c r="G1232" s="16" t="n">
        <f aca="false">G1228/G1210</f>
        <v>0.243233914054328</v>
      </c>
      <c r="H1232" s="27" t="n">
        <f aca="false">$G1232+(fade_mA-$G1232)*1/3</f>
        <v>0.246091433476511</v>
      </c>
      <c r="I1232" s="27" t="n">
        <f aca="false">$G1232+(fade_mA-$G1232)*2/3</f>
        <v>0.248948952898693</v>
      </c>
      <c r="J1232" s="27" t="n">
        <f aca="false">$G1232+(fade_mA-$G1232)*3/3</f>
        <v>0.251806472320876</v>
      </c>
    </row>
    <row r="1233" customFormat="false" ht="17.15" hidden="false" customHeight="false" outlineLevel="0" collapsed="false">
      <c r="A1233" s="3" t="s">
        <v>661</v>
      </c>
      <c r="B1233" s="0" t="s">
        <v>44</v>
      </c>
      <c r="C1233" s="20" t="n">
        <f aca="false">C1216/C1210</f>
        <v>0.0602892489980833</v>
      </c>
      <c r="D1233" s="20" t="n">
        <f aca="false">D1216/D1210</f>
        <v>0.0676270839708595</v>
      </c>
      <c r="E1233" s="20" t="n">
        <f aca="false">E1216/E1210</f>
        <v>0.177585720370978</v>
      </c>
      <c r="F1233" s="20" t="n">
        <f aca="false">F1216/F1210</f>
        <v>0.208278516396296</v>
      </c>
      <c r="G1233" s="20" t="n">
        <f aca="false">G1216/G1210</f>
        <v>0.131022134193065</v>
      </c>
      <c r="H1233" s="26" t="n">
        <f aca="false">$G1233+($G1218*(1+tp_g)^(life/2)-$G1233)*1/3</f>
        <v>0.125328976519272</v>
      </c>
      <c r="I1233" s="26" t="n">
        <f aca="false">$G1233+($G1218*(1+tp_g)^(life/2)-$G1233)*2/3</f>
        <v>0.11963581884548</v>
      </c>
      <c r="J1233" s="26" t="n">
        <f aca="false">$G1233+($G1218*(1+tp_g)^(life/2)-$G1233)*3/3</f>
        <v>0.113942661171687</v>
      </c>
      <c r="K1233" s="7" t="s">
        <v>662</v>
      </c>
    </row>
    <row r="1234" customFormat="false" ht="15" hidden="false" customHeight="false" outlineLevel="0" collapsed="false">
      <c r="A1234" s="3" t="s">
        <v>663</v>
      </c>
      <c r="B1234" s="0" t="s">
        <v>333</v>
      </c>
      <c r="E1234" s="21" t="n">
        <f aca="false">E1228+E1217-E1216</f>
        <v>13.4329907468054</v>
      </c>
      <c r="F1234" s="21" t="n">
        <f aca="false">F1228+F1217-F1216</f>
        <v>11.8322107185156</v>
      </c>
      <c r="G1234" s="21" t="n">
        <f aca="false">G1228+G1217-G1216</f>
        <v>19.1977130086159</v>
      </c>
      <c r="H1234" s="30" t="n">
        <f aca="false">H1228+H1217-H1216</f>
        <v>21.1765360903024</v>
      </c>
      <c r="I1234" s="30" t="n">
        <f aca="false">I1228+I1217-I1216</f>
        <v>23.3251860176555</v>
      </c>
      <c r="J1234" s="30" t="n">
        <f aca="false">J1228+J1217-J1216</f>
        <v>25.6572154834543</v>
      </c>
      <c r="K1234" s="3" t="s">
        <v>664</v>
      </c>
    </row>
    <row r="1235" customFormat="false" ht="15" hidden="false" customHeight="false" outlineLevel="0" collapsed="false">
      <c r="A1235" s="3" t="s">
        <v>665</v>
      </c>
      <c r="B1235" s="0" t="s">
        <v>406</v>
      </c>
      <c r="E1235" s="18" t="n">
        <f aca="false">E1234/E1229</f>
        <v>20.7886326304307</v>
      </c>
      <c r="F1235" s="18" t="n">
        <f aca="false">F1234/F1229</f>
        <v>18.3112969009945</v>
      </c>
      <c r="G1235" s="18" t="n">
        <f aca="false">G1234/G1229</f>
        <v>29.7100035727686</v>
      </c>
      <c r="H1235" s="28" t="n">
        <f aca="false">H1234/H1229</f>
        <v>32.7723913061616</v>
      </c>
      <c r="I1235" s="28" t="n">
        <f aca="false">I1234/I1229</f>
        <v>36.0975997301879</v>
      </c>
      <c r="J1235" s="28" t="n">
        <f aca="false">J1234/J1229</f>
        <v>39.7066027259921</v>
      </c>
    </row>
    <row r="1238" customFormat="false" ht="17.15" hidden="false" customHeight="false" outlineLevel="0" collapsed="false">
      <c r="A1238" s="1" t="s">
        <v>1029</v>
      </c>
    </row>
    <row r="1239" customFormat="false" ht="17.15" hidden="false" customHeight="false" outlineLevel="0" collapsed="false">
      <c r="A1239" s="4" t="s">
        <v>21</v>
      </c>
      <c r="B1239" s="4" t="s">
        <v>22</v>
      </c>
      <c r="C1239" s="13" t="s">
        <v>498</v>
      </c>
      <c r="D1239" s="13" t="s">
        <v>585</v>
      </c>
      <c r="E1239" s="13" t="s">
        <v>586</v>
      </c>
      <c r="F1239" s="13" t="s">
        <v>587</v>
      </c>
      <c r="G1239" s="13" t="s">
        <v>588</v>
      </c>
      <c r="H1239" s="13" t="s">
        <v>589</v>
      </c>
      <c r="I1239" s="13" t="s">
        <v>590</v>
      </c>
      <c r="J1239" s="13" t="s">
        <v>591</v>
      </c>
      <c r="K1239" s="4" t="s">
        <v>553</v>
      </c>
    </row>
    <row r="1240" customFormat="false" ht="17.15" hidden="false" customHeight="false" outlineLevel="0" collapsed="false">
      <c r="A1240" s="5" t="s">
        <v>609</v>
      </c>
    </row>
    <row r="1241" customFormat="false" ht="17.15" hidden="false" customHeight="false" outlineLevel="0" collapsed="false">
      <c r="A1241" s="0" t="s">
        <v>610</v>
      </c>
      <c r="B1241" s="3" t="s">
        <v>32</v>
      </c>
      <c r="D1241" s="21" t="n">
        <f aca="false">(u_bw_26+u_rb_26+u_ru_26+u_hp_26)*1</f>
        <v>7.6</v>
      </c>
      <c r="E1241" s="21" t="n">
        <f aca="false">(u_bw_27+u_rb_27+u_ru_27+u_hp_27)*1*1</f>
        <v>9.7</v>
      </c>
      <c r="F1241" s="21" t="n">
        <f aca="false">(u_bw_28+u_rb_28+u_ru_28+u_hp_28)*um28_A*1</f>
        <v>9.5</v>
      </c>
      <c r="G1241" s="21" t="n">
        <f aca="false">(u_bw_28*(1+g29_bw)+u_rb_28*(1+g29_rb)+u_ru_28*(1+g29_ru)+u_hp_28*(1+g29_hp))*um29_A*1</f>
        <v>10.6</v>
      </c>
      <c r="K1241" s="7" t="s">
        <v>611</v>
      </c>
    </row>
    <row r="1242" customFormat="false" ht="17.15" hidden="false" customHeight="false" outlineLevel="0" collapsed="false">
      <c r="A1242" s="3" t="s">
        <v>612</v>
      </c>
      <c r="B1242" s="3" t="s">
        <v>32</v>
      </c>
      <c r="D1242" s="21" t="n">
        <f aca="false">(u_amd_26+u_tpu_26+u_trn_26+u_oth_26)*1</f>
        <v>7.6</v>
      </c>
      <c r="E1242" s="21" t="n">
        <f aca="false">(u_amd_27+u_tpu_27+u_trn_27+u_oth_27)*1*1</f>
        <v>14</v>
      </c>
      <c r="F1242" s="21" t="n">
        <f aca="false">(u_amd_28+u_tpu_28+u_trn_28+u_oth_28)*um28_A*1</f>
        <v>17</v>
      </c>
      <c r="G1242" s="21" t="n">
        <f aca="false">(u_amd_28*(1+g29_amd)+u_tpu_28*(1+g29_tpu)+u_trn_28*(1+g29_trn)+u_oth_28*(1+g29_oth))*um29_A*1</f>
        <v>19.55</v>
      </c>
      <c r="K1242" s="7" t="s">
        <v>613</v>
      </c>
    </row>
    <row r="1243" customFormat="false" ht="17.15" hidden="false" customHeight="false" outlineLevel="0" collapsed="false">
      <c r="A1243" s="3" t="s">
        <v>614</v>
      </c>
      <c r="B1243" s="0" t="s">
        <v>154</v>
      </c>
      <c r="D1243" s="19" t="n">
        <f aca="false">1</f>
        <v>1</v>
      </c>
      <c r="E1243" s="19" t="n">
        <f aca="false">D1243*(1+g_asp)</f>
        <v>1.18</v>
      </c>
      <c r="F1243" s="19" t="n">
        <f aca="false">E1243*(1+g_asp)</f>
        <v>1.3924</v>
      </c>
      <c r="G1243" s="19" t="n">
        <f aca="false">F1243*(1+g_asp)</f>
        <v>1.643032</v>
      </c>
      <c r="K1243" s="7" t="s">
        <v>615</v>
      </c>
    </row>
    <row r="1244" customFormat="false" ht="17.15" hidden="false" customHeight="false" outlineLevel="0" collapsed="false">
      <c r="A1244" s="0" t="s">
        <v>616</v>
      </c>
      <c r="B1244" s="0" t="s">
        <v>154</v>
      </c>
      <c r="D1244" s="18" t="n">
        <f aca="false">1</f>
        <v>1</v>
      </c>
      <c r="E1244" s="18" t="n">
        <f aca="false">ibpp_27</f>
        <v>1</v>
      </c>
      <c r="F1244" s="18" t="n">
        <f aca="false">ibpp_28</f>
        <v>0.95</v>
      </c>
      <c r="G1244" s="18" t="n">
        <f aca="false">ibpp_29</f>
        <v>0.9</v>
      </c>
      <c r="K1244" s="7" t="s">
        <v>617</v>
      </c>
    </row>
    <row r="1245" customFormat="false" ht="17.15" hidden="false" customHeight="false" outlineLevel="0" collapsed="false">
      <c r="A1245" s="3" t="s">
        <v>618</v>
      </c>
      <c r="B1245" s="0" t="s">
        <v>154</v>
      </c>
      <c r="D1245" s="18" t="n">
        <f aca="false">1</f>
        <v>1</v>
      </c>
      <c r="E1245" s="18" t="n">
        <f aca="false">1+carry</f>
        <v>1.15</v>
      </c>
      <c r="F1245" s="18" t="n">
        <f aca="false">1+carry</f>
        <v>1.15</v>
      </c>
      <c r="G1245" s="18" t="n">
        <f aca="false">1+carry</f>
        <v>1.15</v>
      </c>
      <c r="K1245" s="7" t="s">
        <v>619</v>
      </c>
    </row>
    <row r="1246" customFormat="false" ht="17.15" hidden="false" customHeight="false" outlineLevel="0" collapsed="false">
      <c r="A1246" s="3" t="s">
        <v>620</v>
      </c>
      <c r="B1246" s="0" t="s">
        <v>621</v>
      </c>
      <c r="D1246" s="23" t="n">
        <f aca="false">v26*D1243*D1244</f>
        <v>215.308596</v>
      </c>
      <c r="E1246" s="23" t="n">
        <f aca="false">v26*E1243*E1244</f>
        <v>254.06414328</v>
      </c>
      <c r="F1246" s="23" t="n">
        <f aca="false">v26*F1243*F1244</f>
        <v>284.80590461688</v>
      </c>
      <c r="G1246" s="23" t="n">
        <f aca="false">v26*G1243*G1244</f>
        <v>318.383021792765</v>
      </c>
      <c r="K1246" s="7" t="s">
        <v>622</v>
      </c>
    </row>
    <row r="1247" customFormat="false" ht="17.15" hidden="false" customHeight="false" outlineLevel="0" collapsed="false">
      <c r="A1247" s="3" t="s">
        <v>623</v>
      </c>
      <c r="B1247" s="0" t="s">
        <v>44</v>
      </c>
      <c r="D1247" s="20" t="n">
        <f aca="false">sh_nv_26</f>
        <v>0.02</v>
      </c>
      <c r="E1247" s="20" t="n">
        <f aca="false">sh_nv_27</f>
        <v>0.03</v>
      </c>
      <c r="F1247" s="20" t="n">
        <f aca="false">sh_nv_28</f>
        <v>0.04</v>
      </c>
      <c r="G1247" s="20" t="n">
        <f aca="false">sh_nv_29</f>
        <v>0.04</v>
      </c>
    </row>
    <row r="1248" customFormat="false" ht="17.15" hidden="false" customHeight="false" outlineLevel="0" collapsed="false">
      <c r="A1248" s="3" t="s">
        <v>624</v>
      </c>
      <c r="B1248" s="0" t="s">
        <v>44</v>
      </c>
      <c r="D1248" s="20" t="n">
        <f aca="false">sh_ot_26</f>
        <v>0.05</v>
      </c>
      <c r="E1248" s="20" t="n">
        <f aca="false">sh_ot_27</f>
        <v>0.06</v>
      </c>
      <c r="F1248" s="20" t="n">
        <f aca="false">sh_ot_28</f>
        <v>0.07</v>
      </c>
      <c r="G1248" s="20" t="n">
        <f aca="false">sh_ot_29</f>
        <v>0.07</v>
      </c>
    </row>
    <row r="1249" customFormat="false" ht="17.15" hidden="false" customHeight="false" outlineLevel="0" collapsed="false">
      <c r="A1249" s="3" t="s">
        <v>625</v>
      </c>
      <c r="B1249" s="0" t="s">
        <v>575</v>
      </c>
      <c r="D1249" s="22" t="n">
        <f aca="false">(D1241*D1246*D1247+D1242*D1246*v_ot*D1248)*D1245</f>
        <v>98.180719776</v>
      </c>
      <c r="E1249" s="22" t="n">
        <f aca="false">(E1241*E1246*E1247+E1242*E1246*v_ot*E1248)*E1245</f>
        <v>281.363335475436</v>
      </c>
      <c r="F1249" s="22" t="n">
        <f aca="false">(F1241*F1246*F1247+F1242*F1246*v_ot*F1248)*F1245</f>
        <v>436.265684692137</v>
      </c>
      <c r="G1249" s="22" t="n">
        <f aca="false">(G1241*G1246*G1247+G1242*G1246*v_ot*G1248)*G1245</f>
        <v>556.094153523679</v>
      </c>
    </row>
    <row r="1250" customFormat="false" ht="15" hidden="false" customHeight="false" outlineLevel="0" collapsed="false">
      <c r="A1250" s="3" t="s">
        <v>626</v>
      </c>
      <c r="B1250" s="0" t="s">
        <v>333</v>
      </c>
      <c r="D1250" s="21" t="n">
        <f aca="false">D1249*fx/1000</f>
        <v>3.141783032832</v>
      </c>
      <c r="E1250" s="21" t="n">
        <f aca="false">E1249*fx/1000</f>
        <v>9.00362673521395</v>
      </c>
      <c r="F1250" s="21" t="n">
        <f aca="false">F1249*fx/1000</f>
        <v>13.9605019101484</v>
      </c>
      <c r="G1250" s="21" t="n">
        <f aca="false">G1249*fx/1000</f>
        <v>17.7950129127577</v>
      </c>
    </row>
    <row r="1251" customFormat="false" ht="17.15" hidden="false" customHeight="false" outlineLevel="0" collapsed="false">
      <c r="A1251" s="5" t="s">
        <v>627</v>
      </c>
    </row>
    <row r="1252" customFormat="false" ht="17.15" hidden="false" customHeight="false" outlineLevel="0" collapsed="false">
      <c r="A1252" s="0" t="s">
        <v>628</v>
      </c>
      <c r="B1252" s="0" t="s">
        <v>333</v>
      </c>
      <c r="D1252" s="21" t="n">
        <f aca="false">a26_abf*ai_abf</f>
        <v>22.2987583</v>
      </c>
      <c r="K1252" s="3" t="s">
        <v>629</v>
      </c>
    </row>
    <row r="1253" customFormat="false" ht="17.15" hidden="false" customHeight="false" outlineLevel="0" collapsed="false">
      <c r="A1253" s="3" t="s">
        <v>630</v>
      </c>
      <c r="B1253" s="0" t="s">
        <v>333</v>
      </c>
      <c r="D1253" s="21" t="n">
        <f aca="false">D1252-D1250</f>
        <v>19.156975267168</v>
      </c>
      <c r="E1253" s="21" t="n">
        <f aca="false">$D1253*(swm_27/swm_26)^el_o_hi*1*1*E1244*E1245</f>
        <v>37.6869033199474</v>
      </c>
      <c r="F1253" s="21" t="n">
        <f aca="false">$D1253*(swm_28/swm_26)^el_o_hi*um28_A*1*F1244*F1245</f>
        <v>40.2393944314097</v>
      </c>
      <c r="G1253" s="21" t="n">
        <f aca="false">$D1253*(swm_29/swm_26)^el_o_hi*um29_A*1*G1244*G1245</f>
        <v>42.2774080584051</v>
      </c>
      <c r="K1253" s="7" t="s">
        <v>631</v>
      </c>
    </row>
    <row r="1254" customFormat="false" ht="17.15" hidden="false" customHeight="false" outlineLevel="0" collapsed="false">
      <c r="A1254" s="3" t="s">
        <v>632</v>
      </c>
      <c r="B1254" s="0" t="s">
        <v>333</v>
      </c>
      <c r="D1254" s="21" t="n">
        <f aca="false">a26_abf-D1252</f>
        <v>12.0070237</v>
      </c>
      <c r="E1254" s="21" t="n">
        <f aca="false">D1254*(1+g_nai)</f>
        <v>12.367234411</v>
      </c>
      <c r="F1254" s="21" t="n">
        <f aca="false">E1254*(1+g_nai)</f>
        <v>12.73825144333</v>
      </c>
      <c r="G1254" s="21" t="n">
        <f aca="false">F1254*(1+g_nai)</f>
        <v>13.1203989866299</v>
      </c>
    </row>
    <row r="1255" customFormat="false" ht="17.15" hidden="false" customHeight="false" outlineLevel="0" collapsed="false">
      <c r="A1255" s="0" t="s">
        <v>633</v>
      </c>
      <c r="B1255" s="0" t="s">
        <v>333</v>
      </c>
      <c r="D1255" s="21" t="n">
        <f aca="false">D1250+D1253+D1254</f>
        <v>34.305782</v>
      </c>
      <c r="E1255" s="21" t="n">
        <f aca="false">E1250+E1253+E1254</f>
        <v>59.0577644661613</v>
      </c>
      <c r="F1255" s="21" t="n">
        <f aca="false">F1250+F1253+F1254</f>
        <v>66.938147784888</v>
      </c>
      <c r="G1255" s="21" t="n">
        <f aca="false">G1250+G1253+G1254</f>
        <v>73.1928199577927</v>
      </c>
    </row>
    <row r="1256" customFormat="false" ht="17.15" hidden="false" customHeight="false" outlineLevel="0" collapsed="false">
      <c r="A1256" s="0" t="s">
        <v>634</v>
      </c>
      <c r="B1256" s="0" t="s">
        <v>333</v>
      </c>
      <c r="D1256" s="21" t="n">
        <f aca="false">a26_abf</f>
        <v>34.305782</v>
      </c>
      <c r="E1256" s="21" t="n">
        <f aca="false">$D1255*cap_27*(1+g_mix)^1*E1244*E1245</f>
        <v>49.709078118</v>
      </c>
      <c r="F1256" s="21" t="n">
        <f aca="false">$D1255*cap_28*(1+g_mix)^2*F1244*F1245</f>
        <v>55.7829061005431</v>
      </c>
      <c r="G1256" s="21" t="n">
        <f aca="false">$D1255*cap_29*(1+g_mix)^3*G1244*G1245</f>
        <v>65.765110350114</v>
      </c>
      <c r="K1256" s="7" t="s">
        <v>635</v>
      </c>
    </row>
    <row r="1257" customFormat="false" ht="17.15" hidden="false" customHeight="false" outlineLevel="0" collapsed="false">
      <c r="A1257" s="0" t="s">
        <v>636</v>
      </c>
      <c r="B1257" s="0" t="s">
        <v>333</v>
      </c>
      <c r="D1257" s="21" t="n">
        <f aca="false">a26_abf</f>
        <v>34.305782</v>
      </c>
      <c r="E1257" s="21" t="n">
        <f aca="false">MIN(E1255,E1256)</f>
        <v>49.709078118</v>
      </c>
      <c r="F1257" s="21" t="n">
        <f aca="false">MIN(F1255,F1256)</f>
        <v>55.7829061005431</v>
      </c>
      <c r="G1257" s="21" t="n">
        <f aca="false">MIN(G1255,G1256)</f>
        <v>65.765110350114</v>
      </c>
    </row>
    <row r="1258" customFormat="false" ht="17.15" hidden="false" customHeight="false" outlineLevel="0" collapsed="false">
      <c r="A1258" s="3" t="s">
        <v>637</v>
      </c>
      <c r="B1258" s="0" t="s">
        <v>44</v>
      </c>
      <c r="D1258" s="20" t="n">
        <f aca="false">D1257/D1255</f>
        <v>1</v>
      </c>
      <c r="E1258" s="20" t="n">
        <f aca="false">E1257/E1255</f>
        <v>0.841702671398646</v>
      </c>
      <c r="F1258" s="20" t="n">
        <f aca="false">F1257/F1255</f>
        <v>0.833350009620922</v>
      </c>
      <c r="G1258" s="20" t="n">
        <f aca="false">G1257/G1255</f>
        <v>0.898518603164054</v>
      </c>
    </row>
    <row r="1259" customFormat="false" ht="17.15" hidden="false" customHeight="false" outlineLevel="0" collapsed="false">
      <c r="A1259" s="0" t="s">
        <v>638</v>
      </c>
      <c r="B1259" s="0" t="s">
        <v>333</v>
      </c>
      <c r="D1259" s="21" t="n">
        <f aca="false">(D1250+D1253)*D1258</f>
        <v>22.2987583</v>
      </c>
      <c r="E1259" s="21" t="n">
        <f aca="false">(E1250+E1253)*E1258</f>
        <v>39.2995438764481</v>
      </c>
      <c r="F1259" s="21" t="n">
        <f aca="false">(F1250+F1253)*F1258</f>
        <v>45.1674841376904</v>
      </c>
      <c r="G1259" s="21" t="n">
        <f aca="false">(G1250+G1253)*G1258</f>
        <v>53.9761877796922</v>
      </c>
    </row>
    <row r="1260" customFormat="false" ht="17.15" hidden="false" customHeight="false" outlineLevel="0" collapsed="false">
      <c r="A1260" s="3" t="s">
        <v>639</v>
      </c>
      <c r="B1260" s="0" t="s">
        <v>44</v>
      </c>
      <c r="D1260" s="20" t="n">
        <f aca="false">D1250/(D1250+D1253)</f>
        <v>0.140894976776891</v>
      </c>
      <c r="E1260" s="20" t="n">
        <f aca="false">E1250/(E1250+E1253)</f>
        <v>0.192836250189853</v>
      </c>
      <c r="F1260" s="20" t="n">
        <f aca="false">F1250/(F1250+F1253)</f>
        <v>0.257574328595977</v>
      </c>
      <c r="G1260" s="20" t="n">
        <f aca="false">G1250/(G1250+G1253)</f>
        <v>0.296225998970477</v>
      </c>
    </row>
    <row r="1261" customFormat="false" ht="17.15" hidden="false" customHeight="false" outlineLevel="0" collapsed="false">
      <c r="A1261" s="5" t="s">
        <v>640</v>
      </c>
    </row>
    <row r="1262" customFormat="false" ht="17.15" hidden="false" customHeight="false" outlineLevel="0" collapsed="false">
      <c r="A1262" s="0" t="s">
        <v>641</v>
      </c>
      <c r="B1262" s="0" t="s">
        <v>333</v>
      </c>
      <c r="D1262" s="21" t="n">
        <f aca="false">a26_bt</f>
        <v>18.927328</v>
      </c>
      <c r="E1262" s="21" t="n">
        <f aca="false">D1262*(1+g_bt27_A)</f>
        <v>24.6055264</v>
      </c>
      <c r="F1262" s="21" t="n">
        <f aca="false">E1262*(1+g_bt28_A)</f>
        <v>27.06607904</v>
      </c>
      <c r="G1262" s="21" t="n">
        <f aca="false">F1262*(1+g_bt29_A)</f>
        <v>28.419382992</v>
      </c>
      <c r="K1262" s="7" t="s">
        <v>642</v>
      </c>
    </row>
    <row r="1263" customFormat="false" ht="17.15" hidden="false" customHeight="false" outlineLevel="0" collapsed="false">
      <c r="A1263" s="0" t="s">
        <v>540</v>
      </c>
      <c r="B1263" s="0" t="s">
        <v>333</v>
      </c>
      <c r="D1263" s="21" t="n">
        <f aca="false">a26_pcb</f>
        <v>5.91479</v>
      </c>
      <c r="E1263" s="21" t="n">
        <f aca="false">D1263*(1+g_pcb)</f>
        <v>5.91479</v>
      </c>
      <c r="F1263" s="21" t="n">
        <f aca="false">E1263*(1+g_pcb)</f>
        <v>5.91479</v>
      </c>
      <c r="G1263" s="21" t="n">
        <f aca="false">F1263*(1+g_pcb)</f>
        <v>5.91479</v>
      </c>
    </row>
    <row r="1264" customFormat="false" ht="17.15" hidden="false" customHeight="false" outlineLevel="0" collapsed="false">
      <c r="A1264" s="3" t="s">
        <v>505</v>
      </c>
      <c r="B1264" s="0" t="s">
        <v>333</v>
      </c>
      <c r="C1264" s="23" t="n">
        <f aca="false">a25_rev</f>
        <v>40.173</v>
      </c>
      <c r="D1264" s="23" t="n">
        <f aca="false">D1257+D1262+D1263</f>
        <v>59.1479</v>
      </c>
      <c r="E1264" s="23" t="n">
        <f aca="false">E1257+E1262+E1263</f>
        <v>80.229394518</v>
      </c>
      <c r="F1264" s="23" t="n">
        <f aca="false">F1257+F1262+F1263</f>
        <v>88.7637751405431</v>
      </c>
      <c r="G1264" s="23" t="n">
        <f aca="false">G1257+G1262+G1263</f>
        <v>100.099283342114</v>
      </c>
      <c r="H1264" s="25" t="n">
        <f aca="false">G1264*(1+H1266)</f>
        <v>110.623335925701</v>
      </c>
      <c r="I1264" s="25" t="n">
        <f aca="false">H1264*(1+I1266)</f>
        <v>119.757291444787</v>
      </c>
      <c r="J1264" s="25" t="n">
        <f aca="false">I1264*(1+J1266)</f>
        <v>126.942728931474</v>
      </c>
      <c r="K1264" s="7" t="s">
        <v>643</v>
      </c>
    </row>
    <row r="1265" customFormat="false" ht="17.15" hidden="false" customHeight="false" outlineLevel="0" collapsed="false">
      <c r="A1265" s="3" t="s">
        <v>644</v>
      </c>
      <c r="B1265" s="0" t="s">
        <v>333</v>
      </c>
      <c r="D1265" s="19" t="n">
        <f aca="false">D1257+D1262+D1263-a26_rev</f>
        <v>0</v>
      </c>
      <c r="E1265" s="19" t="n">
        <f aca="false">E1257+E1262+E1263-E1264</f>
        <v>0</v>
      </c>
      <c r="F1265" s="19" t="n">
        <f aca="false">F1257+F1262+F1263-F1264</f>
        <v>0</v>
      </c>
      <c r="G1265" s="19" t="n">
        <f aca="false">G1257+G1262+G1263-G1264</f>
        <v>0</v>
      </c>
    </row>
    <row r="1266" customFormat="false" ht="15" hidden="false" customHeight="false" outlineLevel="0" collapsed="false">
      <c r="A1266" s="3" t="s">
        <v>645</v>
      </c>
      <c r="B1266" s="0" t="s">
        <v>44</v>
      </c>
      <c r="D1266" s="20" t="n">
        <f aca="false">D1264/C1264-1</f>
        <v>0.472329674159261</v>
      </c>
      <c r="E1266" s="20" t="n">
        <f aca="false">E1264/D1264-1</f>
        <v>0.35642</v>
      </c>
      <c r="F1266" s="20" t="n">
        <f aca="false">F1264/E1264-1</f>
        <v>0.106374735517023</v>
      </c>
      <c r="G1266" s="20" t="n">
        <f aca="false">G1264/F1264-1</f>
        <v>0.127704214738759</v>
      </c>
      <c r="H1266" s="26" t="n">
        <f aca="false">$G1266+(fade_gA-$G1266)*1/3</f>
        <v>0.105136143159173</v>
      </c>
      <c r="I1266" s="26" t="n">
        <f aca="false">$G1266+(fade_gA-$G1266)*2/3</f>
        <v>0.0825680715795865</v>
      </c>
      <c r="J1266" s="26" t="n">
        <f aca="false">$G1266+(fade_gA-$G1266)*3/3</f>
        <v>0.06</v>
      </c>
    </row>
    <row r="1267" customFormat="false" ht="17.15" hidden="false" customHeight="false" outlineLevel="0" collapsed="false">
      <c r="A1267" s="0" t="s">
        <v>646</v>
      </c>
      <c r="B1267" s="0" t="s">
        <v>44</v>
      </c>
      <c r="D1267" s="20" t="n">
        <f aca="false">D1257/D1264</f>
        <v>0.58</v>
      </c>
      <c r="E1267" s="20" t="n">
        <f aca="false">E1257/E1264</f>
        <v>0.619586853629407</v>
      </c>
      <c r="F1267" s="20" t="n">
        <f aca="false">F1257/F1264</f>
        <v>0.62844224473576</v>
      </c>
      <c r="G1267" s="20" t="n">
        <f aca="false">G1257/G1264</f>
        <v>0.656998813121823</v>
      </c>
    </row>
    <row r="1268" customFormat="false" ht="17.15" hidden="false" customHeight="false" outlineLevel="0" collapsed="false">
      <c r="A1268" s="0" t="s">
        <v>647</v>
      </c>
      <c r="B1268" s="0" t="s">
        <v>44</v>
      </c>
      <c r="D1268" s="20" t="n">
        <f aca="false">D1259/D1264</f>
        <v>0.377</v>
      </c>
      <c r="E1268" s="20" t="n">
        <f aca="false">E1259/E1264</f>
        <v>0.489839716634418</v>
      </c>
      <c r="F1268" s="20" t="n">
        <f aca="false">F1259/F1264</f>
        <v>0.508850418610237</v>
      </c>
      <c r="G1268" s="20" t="n">
        <f aca="false">G1259/G1264</f>
        <v>0.53922651569058</v>
      </c>
      <c r="K1268" s="3" t="s">
        <v>648</v>
      </c>
    </row>
    <row r="1269" customFormat="false" ht="17.15" hidden="false" customHeight="false" outlineLevel="0" collapsed="false">
      <c r="A1269" s="5" t="s">
        <v>649</v>
      </c>
    </row>
    <row r="1270" customFormat="false" ht="15" hidden="false" customHeight="false" outlineLevel="0" collapsed="false">
      <c r="A1270" s="3" t="s">
        <v>650</v>
      </c>
      <c r="B1270" s="0" t="s">
        <v>333</v>
      </c>
      <c r="C1270" s="23" t="n">
        <f aca="false">a25_cx</f>
        <v>2.422</v>
      </c>
      <c r="D1270" s="23" t="n">
        <f aca="false">capex26</f>
        <v>4</v>
      </c>
      <c r="E1270" s="23" t="n">
        <f aca="false">cx27</f>
        <v>14</v>
      </c>
      <c r="F1270" s="23" t="n">
        <f aca="false">cx28</f>
        <v>18</v>
      </c>
      <c r="G1270" s="23" t="n">
        <f aca="false">cx29</f>
        <v>12</v>
      </c>
      <c r="H1270" s="25" t="n">
        <f aca="false">H1264*H1287</f>
        <v>12.6853908393069</v>
      </c>
      <c r="I1270" s="25" t="n">
        <f aca="false">I1264*I1287</f>
        <v>13.1089769562909</v>
      </c>
      <c r="J1270" s="25" t="n">
        <f aca="false">J1264*J1287</f>
        <v>13.2342641033063</v>
      </c>
    </row>
    <row r="1271" customFormat="false" ht="17.15" hidden="false" customHeight="false" outlineLevel="0" collapsed="false">
      <c r="A1271" s="3" t="s">
        <v>651</v>
      </c>
      <c r="B1271" s="0" t="s">
        <v>333</v>
      </c>
      <c r="C1271" s="23" t="n">
        <f aca="false">a25_da</f>
        <v>6.894</v>
      </c>
      <c r="D1271" s="23" t="n">
        <f aca="false">da26</f>
        <v>7.1</v>
      </c>
      <c r="E1271" s="23" t="n">
        <f aca="false">D1271*(1-1/life)+D1270/life</f>
        <v>6.7125</v>
      </c>
      <c r="F1271" s="23" t="n">
        <f aca="false">E1271*(1-1/life)+E1270/life</f>
        <v>7.6234375</v>
      </c>
      <c r="G1271" s="23" t="n">
        <f aca="false">F1271*(1-1/life)+F1270/life</f>
        <v>8.9205078125</v>
      </c>
      <c r="H1271" s="25" t="n">
        <f aca="false">H1264*H1272</f>
        <v>9.85837559892752</v>
      </c>
      <c r="I1271" s="25" t="n">
        <f aca="false">I1264*I1272</f>
        <v>10.6723626610382</v>
      </c>
      <c r="J1271" s="25" t="n">
        <f aca="false">J1264*J1272</f>
        <v>11.3127044207005</v>
      </c>
      <c r="K1271" s="3" t="s">
        <v>652</v>
      </c>
    </row>
    <row r="1272" customFormat="false" ht="17.15" hidden="false" customHeight="false" outlineLevel="0" collapsed="false">
      <c r="A1272" s="3" t="s">
        <v>653</v>
      </c>
      <c r="B1272" s="0" t="s">
        <v>44</v>
      </c>
      <c r="C1272" s="20" t="n">
        <f aca="false">C1271/C1264</f>
        <v>0.171607796281084</v>
      </c>
      <c r="D1272" s="20" t="n">
        <f aca="false">D1271/D1264</f>
        <v>0.120038074048276</v>
      </c>
      <c r="E1272" s="20" t="n">
        <f aca="false">E1271/E1264</f>
        <v>0.0836663424961285</v>
      </c>
      <c r="F1272" s="20" t="n">
        <f aca="false">F1271/F1264</f>
        <v>0.0858845569369883</v>
      </c>
      <c r="G1272" s="20" t="n">
        <f aca="false">G1271/G1264</f>
        <v>0.089116600185957</v>
      </c>
      <c r="H1272" s="26" t="n">
        <f aca="false">$G1272</f>
        <v>0.089116600185957</v>
      </c>
      <c r="I1272" s="26" t="n">
        <f aca="false">$G1272</f>
        <v>0.089116600185957</v>
      </c>
      <c r="J1272" s="26" t="n">
        <f aca="false">$G1272</f>
        <v>0.089116600185957</v>
      </c>
    </row>
    <row r="1273" customFormat="false" ht="17.15" hidden="false" customHeight="false" outlineLevel="0" collapsed="false">
      <c r="A1273" s="3" t="s">
        <v>654</v>
      </c>
      <c r="B1273" s="0" t="s">
        <v>333</v>
      </c>
      <c r="E1273" s="21" t="n">
        <f aca="false">E1259*(1-1/(E1244*E1245))</f>
        <v>5.12602746214539</v>
      </c>
      <c r="F1273" s="21" t="n">
        <f aca="false">F1259*(1-1/(F1244*F1245))</f>
        <v>3.82424922904929</v>
      </c>
      <c r="G1273" s="21" t="n">
        <f aca="false">G1259*(1-1/(G1244*G1245))</f>
        <v>1.82528171235674</v>
      </c>
      <c r="K1273" s="7" t="s">
        <v>655</v>
      </c>
    </row>
    <row r="1274" customFormat="false" ht="17.15" hidden="false" customHeight="false" outlineLevel="0" collapsed="false">
      <c r="A1274" s="3" t="s">
        <v>656</v>
      </c>
      <c r="B1274" s="0" t="s">
        <v>333</v>
      </c>
      <c r="C1274" s="21" t="n">
        <f aca="false">a25_gp</f>
        <v>3.647</v>
      </c>
      <c r="D1274" s="21" t="n">
        <f aca="false">a26_gp</f>
        <v>15.9001925</v>
      </c>
      <c r="E1274" s="21" t="n">
        <f aca="false">$D1274+ft_abf*(E1257-E1273-$D1257)+ft_oth*((E1264-E1257)-($D1264-$D1257))+E1273-(E1271-$D1271)</f>
        <v>28.8236336500727</v>
      </c>
      <c r="F1274" s="21" t="n">
        <f aca="false">$D1274+ft_abf*(F1257-F1273-$D1257)+ft_oth*((F1264-F1257)-($D1264-$D1257))+F1273-(F1271-$D1271)</f>
        <v>31.2829420807962</v>
      </c>
      <c r="G1274" s="21" t="n">
        <f aca="false">$D1274+ft_abf*(G1257-G1273-$D1257)+ft_oth*((G1264-G1257)-($D1264-$D1257))+G1273-(G1271-$D1271)</f>
        <v>34.5188117155354</v>
      </c>
      <c r="K1274" s="3" t="s">
        <v>657</v>
      </c>
    </row>
    <row r="1275" customFormat="false" ht="15" hidden="false" customHeight="false" outlineLevel="0" collapsed="false">
      <c r="A1275" s="3" t="s">
        <v>512</v>
      </c>
      <c r="B1275" s="0" t="s">
        <v>44</v>
      </c>
      <c r="C1275" s="16" t="n">
        <f aca="false">C1274/C1264</f>
        <v>0.0907823662659</v>
      </c>
      <c r="D1275" s="16" t="n">
        <f aca="false">D1274/D1264</f>
        <v>0.268820913337583</v>
      </c>
      <c r="E1275" s="16" t="n">
        <f aca="false">E1274/E1264</f>
        <v>0.359265252134066</v>
      </c>
      <c r="F1275" s="16" t="n">
        <f aca="false">F1274/F1264</f>
        <v>0.352429152897843</v>
      </c>
      <c r="G1275" s="16" t="n">
        <f aca="false">G1274/G1264</f>
        <v>0.344845742776787</v>
      </c>
    </row>
    <row r="1276" customFormat="false" ht="15" hidden="false" customHeight="false" outlineLevel="0" collapsed="false">
      <c r="A1276" s="3" t="s">
        <v>514</v>
      </c>
      <c r="B1276" s="0" t="s">
        <v>333</v>
      </c>
      <c r="C1276" s="21" t="n">
        <f aca="false">a25_opx</f>
        <v>1.665</v>
      </c>
      <c r="D1276" s="21" t="n">
        <f aca="false">a26_opx</f>
        <v>1.9</v>
      </c>
      <c r="E1276" s="21" t="n">
        <f aca="false">D1276*(1+phi*E1266)</f>
        <v>2.3063188</v>
      </c>
      <c r="F1276" s="21" t="n">
        <f aca="false">E1276*(1+phi*F1266)</f>
        <v>2.45351923142076</v>
      </c>
      <c r="G1276" s="21" t="n">
        <f aca="false">F1276*(1+phi*G1266)</f>
        <v>2.64151407949778</v>
      </c>
    </row>
    <row r="1277" customFormat="false" ht="15" hidden="false" customHeight="false" outlineLevel="0" collapsed="false">
      <c r="A1277" s="3" t="s">
        <v>517</v>
      </c>
      <c r="B1277" s="0" t="s">
        <v>333</v>
      </c>
      <c r="C1277" s="21" t="n">
        <f aca="false">C1274-C1276</f>
        <v>1.982</v>
      </c>
      <c r="D1277" s="21" t="n">
        <f aca="false">D1274-D1276</f>
        <v>14.0001925</v>
      </c>
      <c r="E1277" s="21" t="n">
        <f aca="false">E1274-E1276</f>
        <v>26.5173148500727</v>
      </c>
      <c r="F1277" s="21" t="n">
        <f aca="false">F1274-F1276</f>
        <v>28.8294228493754</v>
      </c>
      <c r="G1277" s="21" t="n">
        <f aca="false">G1274-G1276</f>
        <v>31.8772976360376</v>
      </c>
    </row>
    <row r="1278" customFormat="false" ht="15" hidden="false" customHeight="false" outlineLevel="0" collapsed="false">
      <c r="A1278" s="3" t="s">
        <v>598</v>
      </c>
      <c r="B1278" s="0" t="s">
        <v>44</v>
      </c>
      <c r="C1278" s="16" t="n">
        <f aca="false">C1277/C1264</f>
        <v>0.0493366191222961</v>
      </c>
      <c r="D1278" s="16" t="n">
        <f aca="false">D1277/D1264</f>
        <v>0.236698048451424</v>
      </c>
      <c r="E1278" s="16" t="n">
        <f aca="false">E1277/E1264</f>
        <v>0.330518695914169</v>
      </c>
      <c r="F1278" s="16" t="n">
        <f aca="false">F1277/F1264</f>
        <v>0.324788156021178</v>
      </c>
      <c r="G1278" s="16" t="n">
        <f aca="false">G1277/G1264</f>
        <v>0.318456801804355</v>
      </c>
    </row>
    <row r="1279" customFormat="false" ht="15" hidden="false" customHeight="false" outlineLevel="0" collapsed="false">
      <c r="A1279" s="3" t="s">
        <v>520</v>
      </c>
      <c r="B1279" s="0" t="s">
        <v>333</v>
      </c>
      <c r="C1279" s="21" t="n">
        <f aca="false">a25_nonop</f>
        <v>0.364</v>
      </c>
      <c r="D1279" s="21" t="n">
        <f aca="false">a26_nonop</f>
        <v>0.623</v>
      </c>
      <c r="E1279" s="21" t="n">
        <f aca="false">nonop27</f>
        <v>0.6</v>
      </c>
      <c r="F1279" s="21" t="n">
        <f aca="false">nonop28</f>
        <v>0.6</v>
      </c>
      <c r="G1279" s="21" t="n">
        <f aca="false">nonop29</f>
        <v>0.6</v>
      </c>
    </row>
    <row r="1280" customFormat="false" ht="15" hidden="false" customHeight="false" outlineLevel="0" collapsed="false">
      <c r="A1280" s="3" t="s">
        <v>522</v>
      </c>
      <c r="B1280" s="0" t="s">
        <v>333</v>
      </c>
      <c r="C1280" s="21" t="n">
        <f aca="false">C1277+C1279</f>
        <v>2.346</v>
      </c>
      <c r="D1280" s="21" t="n">
        <f aca="false">D1277+D1279</f>
        <v>14.6231925</v>
      </c>
      <c r="E1280" s="21" t="n">
        <f aca="false">E1277+E1279</f>
        <v>27.1173148500727</v>
      </c>
      <c r="F1280" s="21" t="n">
        <f aca="false">F1277+F1279</f>
        <v>29.4294228493754</v>
      </c>
      <c r="G1280" s="21" t="n">
        <f aca="false">G1277+G1279</f>
        <v>32.4772976360376</v>
      </c>
    </row>
    <row r="1281" customFormat="false" ht="15" hidden="false" customHeight="false" outlineLevel="0" collapsed="false">
      <c r="A1281" s="3" t="s">
        <v>525</v>
      </c>
      <c r="B1281" s="0" t="s">
        <v>333</v>
      </c>
      <c r="E1281" s="21" t="n">
        <f aca="false">E1280*tax</f>
        <v>5.69463611851527</v>
      </c>
      <c r="F1281" s="21" t="n">
        <f aca="false">F1280*tax</f>
        <v>6.18017879836884</v>
      </c>
      <c r="G1281" s="21" t="n">
        <f aca="false">G1280*tax</f>
        <v>6.8202325035679</v>
      </c>
    </row>
    <row r="1282" customFormat="false" ht="15" hidden="false" customHeight="false" outlineLevel="0" collapsed="false">
      <c r="A1282" s="3" t="s">
        <v>523</v>
      </c>
      <c r="B1282" s="0" t="s">
        <v>333</v>
      </c>
      <c r="C1282" s="21" t="n">
        <f aca="false">a25_ni</f>
        <v>1.947</v>
      </c>
      <c r="D1282" s="21" t="n">
        <f aca="false">a26_ni</f>
        <v>11.509862075</v>
      </c>
      <c r="E1282" s="21" t="n">
        <f aca="false">E1280-E1281</f>
        <v>21.4226787315574</v>
      </c>
      <c r="F1282" s="21" t="n">
        <f aca="false">F1280-F1281</f>
        <v>23.2492440510066</v>
      </c>
      <c r="G1282" s="21" t="n">
        <f aca="false">G1280-G1281</f>
        <v>25.6570651324697</v>
      </c>
      <c r="H1282" s="30" t="n">
        <f aca="false">H1264*H1286</f>
        <v>28.1882573287935</v>
      </c>
      <c r="I1282" s="30" t="n">
        <f aca="false">I1264*I1286</f>
        <v>30.335684235518</v>
      </c>
      <c r="J1282" s="30" t="n">
        <f aca="false">J1264*J1286</f>
        <v>31.9650007590198</v>
      </c>
    </row>
    <row r="1283" customFormat="false" ht="15" hidden="false" customHeight="false" outlineLevel="0" collapsed="false">
      <c r="A1283" s="3" t="s">
        <v>658</v>
      </c>
      <c r="B1283" s="3" t="s">
        <v>400</v>
      </c>
      <c r="C1283" s="29" t="n">
        <f aca="false">a25_sh</f>
        <v>0.646843853820598</v>
      </c>
      <c r="D1283" s="29" t="n">
        <f aca="false">a26_sh</f>
        <v>0.645863325123153</v>
      </c>
      <c r="E1283" s="29" t="n">
        <f aca="false">a26_shend*(1+sh_g)</f>
        <v>0.64617</v>
      </c>
      <c r="F1283" s="29" t="n">
        <f aca="false">E1283*(1+sh_g)</f>
        <v>0.64617</v>
      </c>
      <c r="G1283" s="29" t="n">
        <f aca="false">F1283*(1+sh_g)</f>
        <v>0.64617</v>
      </c>
      <c r="H1283" s="31" t="n">
        <f aca="false">G1283*(1+sh_g)</f>
        <v>0.64617</v>
      </c>
      <c r="I1283" s="31" t="n">
        <f aca="false">H1283*(1+sh_g)</f>
        <v>0.64617</v>
      </c>
      <c r="J1283" s="31" t="n">
        <f aca="false">I1283*(1+sh_g)</f>
        <v>0.64617</v>
      </c>
    </row>
    <row r="1284" customFormat="false" ht="17.15" hidden="false" customHeight="false" outlineLevel="0" collapsed="false">
      <c r="A1284" s="0" t="s">
        <v>528</v>
      </c>
      <c r="B1284" s="0" t="s">
        <v>406</v>
      </c>
      <c r="C1284" s="18" t="n">
        <f aca="false">C1282/C1283</f>
        <v>3.01</v>
      </c>
      <c r="D1284" s="18" t="n">
        <f aca="false">D1282/D1283</f>
        <v>17.820894339844</v>
      </c>
      <c r="E1284" s="18" t="n">
        <f aca="false">E1282/E1283</f>
        <v>33.1533168230612</v>
      </c>
      <c r="F1284" s="18" t="n">
        <f aca="false">F1282/F1283</f>
        <v>35.9800734342458</v>
      </c>
      <c r="G1284" s="18" t="n">
        <f aca="false">G1282/G1283</f>
        <v>39.7063700457615</v>
      </c>
      <c r="H1284" s="28" t="n">
        <f aca="false">H1282/H1283</f>
        <v>43.6235933713938</v>
      </c>
      <c r="I1284" s="28" t="n">
        <f aca="false">I1282/I1283</f>
        <v>46.9469090727177</v>
      </c>
      <c r="J1284" s="28" t="n">
        <f aca="false">J1282/J1283</f>
        <v>49.4684073216333</v>
      </c>
    </row>
    <row r="1285" customFormat="false" ht="17.15" hidden="false" customHeight="false" outlineLevel="0" collapsed="false">
      <c r="A1285" s="0" t="s">
        <v>659</v>
      </c>
      <c r="B1285" s="0" t="s">
        <v>44</v>
      </c>
      <c r="D1285" s="20" t="n">
        <f aca="false">D1284/C1284-1</f>
        <v>4.92056290360265</v>
      </c>
      <c r="E1285" s="20" t="n">
        <f aca="false">E1284/D1284-1</f>
        <v>0.860362122732356</v>
      </c>
      <c r="F1285" s="20" t="n">
        <f aca="false">F1284/E1284-1</f>
        <v>0.0852631616399344</v>
      </c>
      <c r="G1285" s="20" t="n">
        <f aca="false">G1284/F1284-1</f>
        <v>0.103565564376225</v>
      </c>
      <c r="H1285" s="26" t="n">
        <f aca="false">H1284/G1284-1</f>
        <v>0.0986547831271838</v>
      </c>
      <c r="I1285" s="26" t="n">
        <f aca="false">I1284/H1284-1</f>
        <v>0.0761816128495092</v>
      </c>
      <c r="J1285" s="26" t="n">
        <f aca="false">J1284/I1284-1</f>
        <v>0.0537095689305107</v>
      </c>
    </row>
    <row r="1286" customFormat="false" ht="17.15" hidden="false" customHeight="false" outlineLevel="0" collapsed="false">
      <c r="A1286" s="3" t="s">
        <v>660</v>
      </c>
      <c r="B1286" s="0" t="s">
        <v>44</v>
      </c>
      <c r="C1286" s="16" t="n">
        <f aca="false">C1282/C1264</f>
        <v>0.0484653872003585</v>
      </c>
      <c r="D1286" s="16" t="n">
        <f aca="false">D1282/D1264</f>
        <v>0.194594602259759</v>
      </c>
      <c r="E1286" s="16" t="n">
        <f aca="false">E1282/E1264</f>
        <v>0.26701782881773</v>
      </c>
      <c r="F1286" s="16" t="n">
        <f aca="false">F1282/F1264</f>
        <v>0.261922659488008</v>
      </c>
      <c r="G1286" s="16" t="n">
        <f aca="false">G1282/G1264</f>
        <v>0.256316172062695</v>
      </c>
      <c r="H1286" s="27" t="n">
        <f aca="false">$G1286+(fade_mA-$G1286)*1/3</f>
        <v>0.254812938815422</v>
      </c>
      <c r="I1286" s="27" t="n">
        <f aca="false">$G1286+(fade_mA-$G1286)*2/3</f>
        <v>0.253309705568149</v>
      </c>
      <c r="J1286" s="27" t="n">
        <f aca="false">$G1286+(fade_mA-$G1286)*3/3</f>
        <v>0.251806472320876</v>
      </c>
    </row>
    <row r="1287" customFormat="false" ht="17.15" hidden="false" customHeight="false" outlineLevel="0" collapsed="false">
      <c r="A1287" s="3" t="s">
        <v>661</v>
      </c>
      <c r="B1287" s="0" t="s">
        <v>44</v>
      </c>
      <c r="C1287" s="20" t="n">
        <f aca="false">C1270/C1264</f>
        <v>0.0602892489980833</v>
      </c>
      <c r="D1287" s="20" t="n">
        <f aca="false">D1270/D1264</f>
        <v>0.0676270839708595</v>
      </c>
      <c r="E1287" s="20" t="n">
        <f aca="false">E1270/E1264</f>
        <v>0.174499634256357</v>
      </c>
      <c r="F1287" s="20" t="n">
        <f aca="false">F1270/F1264</f>
        <v>0.202785426504223</v>
      </c>
      <c r="G1287" s="20" t="n">
        <f aca="false">G1270/G1264</f>
        <v>0.119880978158325</v>
      </c>
      <c r="H1287" s="26" t="n">
        <f aca="false">$G1287+($G1272*(1+tp_g)^(life/2)-$G1287)*1/3</f>
        <v>0.11467192462743</v>
      </c>
      <c r="I1287" s="26" t="n">
        <f aca="false">$G1287+($G1272*(1+tp_g)^(life/2)-$G1287)*2/3</f>
        <v>0.109462871096535</v>
      </c>
      <c r="J1287" s="26" t="n">
        <f aca="false">$G1287+($G1272*(1+tp_g)^(life/2)-$G1287)*3/3</f>
        <v>0.104253817565639</v>
      </c>
      <c r="K1287" s="7" t="s">
        <v>662</v>
      </c>
    </row>
    <row r="1288" customFormat="false" ht="15" hidden="false" customHeight="false" outlineLevel="0" collapsed="false">
      <c r="A1288" s="3" t="s">
        <v>663</v>
      </c>
      <c r="B1288" s="0" t="s">
        <v>333</v>
      </c>
      <c r="E1288" s="21" t="n">
        <f aca="false">E1282+E1271-E1270</f>
        <v>14.1351787315574</v>
      </c>
      <c r="F1288" s="21" t="n">
        <f aca="false">F1282+F1271-F1270</f>
        <v>12.8726815510066</v>
      </c>
      <c r="G1288" s="21" t="n">
        <f aca="false">G1282+G1271-G1270</f>
        <v>22.5775729449697</v>
      </c>
      <c r="H1288" s="30" t="n">
        <f aca="false">H1282+H1271-H1270</f>
        <v>25.3612420884142</v>
      </c>
      <c r="I1288" s="30" t="n">
        <f aca="false">I1282+I1271-I1270</f>
        <v>27.8990699402654</v>
      </c>
      <c r="J1288" s="30" t="n">
        <f aca="false">J1282+J1271-J1270</f>
        <v>30.043441076414</v>
      </c>
      <c r="K1288" s="3" t="s">
        <v>664</v>
      </c>
    </row>
    <row r="1289" customFormat="false" ht="15" hidden="false" customHeight="false" outlineLevel="0" collapsed="false">
      <c r="A1289" s="3" t="s">
        <v>665</v>
      </c>
      <c r="B1289" s="0" t="s">
        <v>406</v>
      </c>
      <c r="E1289" s="18" t="n">
        <f aca="false">E1288/E1283</f>
        <v>21.8753249633339</v>
      </c>
      <c r="F1289" s="18" t="n">
        <f aca="false">F1288/F1283</f>
        <v>19.921509124544</v>
      </c>
      <c r="G1289" s="18" t="n">
        <f aca="false">G1288/G1283</f>
        <v>34.940608423433</v>
      </c>
      <c r="H1289" s="28" t="n">
        <f aca="false">H1288/H1283</f>
        <v>39.2485601133048</v>
      </c>
      <c r="I1289" s="28" t="n">
        <f aca="false">I1288/I1283</f>
        <v>43.1760526490945</v>
      </c>
      <c r="J1289" s="28" t="n">
        <f aca="false">J1288/J1283</f>
        <v>46.4946392998962</v>
      </c>
    </row>
    <row r="1292" customFormat="false" ht="17.15" hidden="false" customHeight="false" outlineLevel="0" collapsed="false">
      <c r="A1292" s="1" t="s">
        <v>1030</v>
      </c>
    </row>
    <row r="1293" customFormat="false" ht="17.15" hidden="false" customHeight="false" outlineLevel="0" collapsed="false">
      <c r="A1293" s="4" t="s">
        <v>21</v>
      </c>
      <c r="B1293" s="4" t="s">
        <v>22</v>
      </c>
      <c r="C1293" s="13" t="s">
        <v>498</v>
      </c>
      <c r="D1293" s="13" t="s">
        <v>585</v>
      </c>
      <c r="E1293" s="13" t="s">
        <v>586</v>
      </c>
      <c r="F1293" s="13" t="s">
        <v>587</v>
      </c>
      <c r="G1293" s="13" t="s">
        <v>588</v>
      </c>
      <c r="H1293" s="13" t="s">
        <v>589</v>
      </c>
      <c r="I1293" s="13" t="s">
        <v>590</v>
      </c>
      <c r="J1293" s="13" t="s">
        <v>591</v>
      </c>
      <c r="K1293" s="4" t="s">
        <v>553</v>
      </c>
    </row>
    <row r="1294" customFormat="false" ht="17.15" hidden="false" customHeight="false" outlineLevel="0" collapsed="false">
      <c r="A1294" s="5" t="s">
        <v>609</v>
      </c>
    </row>
    <row r="1295" customFormat="false" ht="17.15" hidden="false" customHeight="false" outlineLevel="0" collapsed="false">
      <c r="A1295" s="0" t="s">
        <v>610</v>
      </c>
      <c r="B1295" s="3" t="s">
        <v>32</v>
      </c>
      <c r="D1295" s="21" t="n">
        <f aca="false">(u_bw_26+u_rb_26+u_ru_26+u_hp_26)*1</f>
        <v>7.6</v>
      </c>
      <c r="E1295" s="21" t="n">
        <f aca="false">(u_bw_27+u_rb_27+u_ru_27+u_hp_27)*1*1</f>
        <v>9.7</v>
      </c>
      <c r="F1295" s="21" t="n">
        <f aca="false">(u_bw_28+u_rb_28+u_ru_28+u_hp_28)*um28_A*1</f>
        <v>9.5</v>
      </c>
      <c r="G1295" s="21" t="n">
        <f aca="false">(u_bw_28*(1+g29_bw)+u_rb_28*(1+g29_rb)+u_ru_28*(1+g29_ru)+u_hp_28*(1+g29_hp))*um29_A*1</f>
        <v>10.6</v>
      </c>
      <c r="K1295" s="7" t="s">
        <v>611</v>
      </c>
    </row>
    <row r="1296" customFormat="false" ht="17.15" hidden="false" customHeight="false" outlineLevel="0" collapsed="false">
      <c r="A1296" s="3" t="s">
        <v>612</v>
      </c>
      <c r="B1296" s="3" t="s">
        <v>32</v>
      </c>
      <c r="D1296" s="21" t="n">
        <f aca="false">(u_amd_26+u_tpu_26+u_trn_26+u_oth_26)*1</f>
        <v>7.6</v>
      </c>
      <c r="E1296" s="21" t="n">
        <f aca="false">(u_amd_27+u_tpu_27+u_trn_27+u_oth_27)*1*1</f>
        <v>14</v>
      </c>
      <c r="F1296" s="21" t="n">
        <f aca="false">(u_amd_28+u_tpu_28+u_trn_28+u_oth_28)*um28_A*1</f>
        <v>17</v>
      </c>
      <c r="G1296" s="21" t="n">
        <f aca="false">(u_amd_28*(1+g29_amd)+u_tpu_28*(1+g29_tpu)+u_trn_28*(1+g29_trn)+u_oth_28*(1+g29_oth))*um29_A*1</f>
        <v>19.55</v>
      </c>
      <c r="K1296" s="7" t="s">
        <v>613</v>
      </c>
    </row>
    <row r="1297" customFormat="false" ht="17.15" hidden="false" customHeight="false" outlineLevel="0" collapsed="false">
      <c r="A1297" s="3" t="s">
        <v>614</v>
      </c>
      <c r="B1297" s="0" t="s">
        <v>154</v>
      </c>
      <c r="D1297" s="19" t="n">
        <f aca="false">1</f>
        <v>1</v>
      </c>
      <c r="E1297" s="19" t="n">
        <f aca="false">D1297*(1+g_asp)</f>
        <v>1.18</v>
      </c>
      <c r="F1297" s="19" t="n">
        <f aca="false">E1297*(1+g_asp)</f>
        <v>1.3924</v>
      </c>
      <c r="G1297" s="19" t="n">
        <f aca="false">F1297*(1+g_asp)</f>
        <v>1.643032</v>
      </c>
      <c r="K1297" s="7" t="s">
        <v>615</v>
      </c>
    </row>
    <row r="1298" customFormat="false" ht="17.15" hidden="false" customHeight="false" outlineLevel="0" collapsed="false">
      <c r="A1298" s="0" t="s">
        <v>616</v>
      </c>
      <c r="B1298" s="0" t="s">
        <v>154</v>
      </c>
      <c r="D1298" s="18" t="n">
        <f aca="false">1</f>
        <v>1</v>
      </c>
      <c r="E1298" s="18" t="n">
        <f aca="false">ibpp_27</f>
        <v>1</v>
      </c>
      <c r="F1298" s="18" t="n">
        <f aca="false">ibpp_28</f>
        <v>0.95</v>
      </c>
      <c r="G1298" s="18" t="n">
        <f aca="false">ibpp_29</f>
        <v>0.9</v>
      </c>
      <c r="K1298" s="7" t="s">
        <v>617</v>
      </c>
    </row>
    <row r="1299" customFormat="false" ht="17.15" hidden="false" customHeight="false" outlineLevel="0" collapsed="false">
      <c r="A1299" s="3" t="s">
        <v>618</v>
      </c>
      <c r="B1299" s="0" t="s">
        <v>154</v>
      </c>
      <c r="D1299" s="18" t="n">
        <f aca="false">1</f>
        <v>1</v>
      </c>
      <c r="E1299" s="18" t="n">
        <f aca="false">1+carry</f>
        <v>1.15</v>
      </c>
      <c r="F1299" s="18" t="n">
        <f aca="false">1+carry</f>
        <v>1.15</v>
      </c>
      <c r="G1299" s="18" t="n">
        <f aca="false">1+carry</f>
        <v>1.15</v>
      </c>
      <c r="K1299" s="7" t="s">
        <v>619</v>
      </c>
    </row>
    <row r="1300" customFormat="false" ht="17.15" hidden="false" customHeight="false" outlineLevel="0" collapsed="false">
      <c r="A1300" s="3" t="s">
        <v>620</v>
      </c>
      <c r="B1300" s="0" t="s">
        <v>621</v>
      </c>
      <c r="D1300" s="23" t="n">
        <f aca="false">v26*D1297*D1298</f>
        <v>215.308596</v>
      </c>
      <c r="E1300" s="23" t="n">
        <f aca="false">v26*E1297*E1298</f>
        <v>254.06414328</v>
      </c>
      <c r="F1300" s="23" t="n">
        <f aca="false">v26*F1297*F1298</f>
        <v>284.80590461688</v>
      </c>
      <c r="G1300" s="23" t="n">
        <f aca="false">v26*G1297*G1298</f>
        <v>318.383021792765</v>
      </c>
      <c r="K1300" s="7" t="s">
        <v>622</v>
      </c>
    </row>
    <row r="1301" customFormat="false" ht="17.15" hidden="false" customHeight="false" outlineLevel="0" collapsed="false">
      <c r="A1301" s="3" t="s">
        <v>623</v>
      </c>
      <c r="B1301" s="0" t="s">
        <v>44</v>
      </c>
      <c r="D1301" s="20" t="n">
        <f aca="false">sh_nv_26</f>
        <v>0.02</v>
      </c>
      <c r="E1301" s="20" t="n">
        <f aca="false">sh_nv_27</f>
        <v>0.03</v>
      </c>
      <c r="F1301" s="20" t="n">
        <f aca="false">sh_nv_28</f>
        <v>0.04</v>
      </c>
      <c r="G1301" s="20" t="n">
        <f aca="false">sh_nv_29</f>
        <v>0.04</v>
      </c>
    </row>
    <row r="1302" customFormat="false" ht="17.15" hidden="false" customHeight="false" outlineLevel="0" collapsed="false">
      <c r="A1302" s="3" t="s">
        <v>624</v>
      </c>
      <c r="B1302" s="0" t="s">
        <v>44</v>
      </c>
      <c r="D1302" s="20" t="n">
        <f aca="false">sh_ot_26</f>
        <v>0.05</v>
      </c>
      <c r="E1302" s="20" t="n">
        <f aca="false">sh_ot_27</f>
        <v>0.06</v>
      </c>
      <c r="F1302" s="20" t="n">
        <f aca="false">sh_ot_28</f>
        <v>0.07</v>
      </c>
      <c r="G1302" s="20" t="n">
        <f aca="false">sh_ot_29</f>
        <v>0.07</v>
      </c>
    </row>
    <row r="1303" customFormat="false" ht="17.15" hidden="false" customHeight="false" outlineLevel="0" collapsed="false">
      <c r="A1303" s="3" t="s">
        <v>625</v>
      </c>
      <c r="B1303" s="0" t="s">
        <v>575</v>
      </c>
      <c r="D1303" s="22" t="n">
        <f aca="false">(D1295*D1300*D1301+D1296*D1300*v_ot*D1302)*D1299</f>
        <v>98.180719776</v>
      </c>
      <c r="E1303" s="22" t="n">
        <f aca="false">(E1295*E1300*E1301+E1296*E1300*v_ot*E1302)*E1299</f>
        <v>281.363335475436</v>
      </c>
      <c r="F1303" s="22" t="n">
        <f aca="false">(F1295*F1300*F1301+F1296*F1300*v_ot*F1302)*F1299</f>
        <v>436.265684692137</v>
      </c>
      <c r="G1303" s="22" t="n">
        <f aca="false">(G1295*G1300*G1301+G1296*G1300*v_ot*G1302)*G1299</f>
        <v>556.094153523679</v>
      </c>
    </row>
    <row r="1304" customFormat="false" ht="15" hidden="false" customHeight="false" outlineLevel="0" collapsed="false">
      <c r="A1304" s="3" t="s">
        <v>626</v>
      </c>
      <c r="B1304" s="0" t="s">
        <v>333</v>
      </c>
      <c r="D1304" s="21" t="n">
        <f aca="false">D1303*fx/1000</f>
        <v>3.141783032832</v>
      </c>
      <c r="E1304" s="21" t="n">
        <f aca="false">E1303*fx/1000</f>
        <v>9.00362673521395</v>
      </c>
      <c r="F1304" s="21" t="n">
        <f aca="false">F1303*fx/1000</f>
        <v>13.9605019101484</v>
      </c>
      <c r="G1304" s="21" t="n">
        <f aca="false">G1303*fx/1000</f>
        <v>17.7950129127577</v>
      </c>
    </row>
    <row r="1305" customFormat="false" ht="17.15" hidden="false" customHeight="false" outlineLevel="0" collapsed="false">
      <c r="A1305" s="5" t="s">
        <v>627</v>
      </c>
    </row>
    <row r="1306" customFormat="false" ht="17.15" hidden="false" customHeight="false" outlineLevel="0" collapsed="false">
      <c r="A1306" s="0" t="s">
        <v>628</v>
      </c>
      <c r="B1306" s="0" t="s">
        <v>333</v>
      </c>
      <c r="D1306" s="21" t="n">
        <f aca="false">a26_abf*ai_abf</f>
        <v>22.2987583</v>
      </c>
      <c r="K1306" s="3" t="s">
        <v>629</v>
      </c>
    </row>
    <row r="1307" customFormat="false" ht="17.15" hidden="false" customHeight="false" outlineLevel="0" collapsed="false">
      <c r="A1307" s="3" t="s">
        <v>630</v>
      </c>
      <c r="B1307" s="0" t="s">
        <v>333</v>
      </c>
      <c r="D1307" s="21" t="n">
        <f aca="false">D1306-D1304</f>
        <v>19.156975267168</v>
      </c>
      <c r="E1307" s="21" t="n">
        <f aca="false">$D1307*(swm_27/swm_26)^el_o*1*1*E1298*E1299</f>
        <v>30.814372309298</v>
      </c>
      <c r="F1307" s="21" t="n">
        <f aca="false">$D1307*(swm_28/swm_26)^el_o*um28_A*1*F1298*F1299</f>
        <v>31.4910971539819</v>
      </c>
      <c r="G1307" s="21" t="n">
        <f aca="false">$D1307*(swm_29/swm_26)^el_o*um29_A*1*G1298*G1299</f>
        <v>31.8267984747363</v>
      </c>
      <c r="K1307" s="7" t="s">
        <v>631</v>
      </c>
    </row>
    <row r="1308" customFormat="false" ht="17.15" hidden="false" customHeight="false" outlineLevel="0" collapsed="false">
      <c r="A1308" s="3" t="s">
        <v>632</v>
      </c>
      <c r="B1308" s="0" t="s">
        <v>333</v>
      </c>
      <c r="D1308" s="21" t="n">
        <f aca="false">a26_abf-D1306</f>
        <v>12.0070237</v>
      </c>
      <c r="E1308" s="21" t="n">
        <f aca="false">D1308*(1+g_nai)</f>
        <v>12.367234411</v>
      </c>
      <c r="F1308" s="21" t="n">
        <f aca="false">E1308*(1+g_nai)</f>
        <v>12.73825144333</v>
      </c>
      <c r="G1308" s="21" t="n">
        <f aca="false">F1308*(1+g_nai)</f>
        <v>13.1203989866299</v>
      </c>
    </row>
    <row r="1309" customFormat="false" ht="17.15" hidden="false" customHeight="false" outlineLevel="0" collapsed="false">
      <c r="A1309" s="0" t="s">
        <v>633</v>
      </c>
      <c r="B1309" s="0" t="s">
        <v>333</v>
      </c>
      <c r="D1309" s="21" t="n">
        <f aca="false">D1304+D1307+D1308</f>
        <v>34.305782</v>
      </c>
      <c r="E1309" s="21" t="n">
        <f aca="false">E1304+E1307+E1308</f>
        <v>52.185233455512</v>
      </c>
      <c r="F1309" s="21" t="n">
        <f aca="false">F1304+F1307+F1308</f>
        <v>58.1898505074603</v>
      </c>
      <c r="G1309" s="21" t="n">
        <f aca="false">G1304+G1307+G1308</f>
        <v>62.7422103741239</v>
      </c>
    </row>
    <row r="1310" customFormat="false" ht="17.15" hidden="false" customHeight="false" outlineLevel="0" collapsed="false">
      <c r="A1310" s="0" t="s">
        <v>634</v>
      </c>
      <c r="B1310" s="0" t="s">
        <v>333</v>
      </c>
      <c r="D1310" s="21" t="n">
        <f aca="false">a26_abf</f>
        <v>34.305782</v>
      </c>
      <c r="E1310" s="21" t="n">
        <f aca="false">$D1309*cap_27*(1+g_mix)^1*E1298*E1299</f>
        <v>49.709078118</v>
      </c>
      <c r="F1310" s="21" t="n">
        <f aca="false">$D1309*cap_28*(1+g_mix)^2*F1298*F1299</f>
        <v>55.7829061005431</v>
      </c>
      <c r="G1310" s="21" t="n">
        <f aca="false">$D1309*cap_29*(1+g_mix)^3*G1298*G1299</f>
        <v>65.765110350114</v>
      </c>
      <c r="K1310" s="7" t="s">
        <v>635</v>
      </c>
    </row>
    <row r="1311" customFormat="false" ht="17.15" hidden="false" customHeight="false" outlineLevel="0" collapsed="false">
      <c r="A1311" s="0" t="s">
        <v>636</v>
      </c>
      <c r="B1311" s="0" t="s">
        <v>333</v>
      </c>
      <c r="D1311" s="21" t="n">
        <f aca="false">a26_abf</f>
        <v>34.305782</v>
      </c>
      <c r="E1311" s="21" t="n">
        <f aca="false">MIN(E1309,E1310)</f>
        <v>49.709078118</v>
      </c>
      <c r="F1311" s="21" t="n">
        <f aca="false">MIN(F1309,F1310)</f>
        <v>55.7829061005431</v>
      </c>
      <c r="G1311" s="21" t="n">
        <f aca="false">MIN(G1309,G1310)</f>
        <v>62.7422103741239</v>
      </c>
    </row>
    <row r="1312" customFormat="false" ht="17.15" hidden="false" customHeight="false" outlineLevel="0" collapsed="false">
      <c r="A1312" s="3" t="s">
        <v>637</v>
      </c>
      <c r="B1312" s="0" t="s">
        <v>44</v>
      </c>
      <c r="D1312" s="20" t="n">
        <f aca="false">D1311/D1309</f>
        <v>1</v>
      </c>
      <c r="E1312" s="20" t="n">
        <f aca="false">E1311/E1309</f>
        <v>0.952550651332759</v>
      </c>
      <c r="F1312" s="20" t="n">
        <f aca="false">F1311/F1309</f>
        <v>0.958636353489023</v>
      </c>
      <c r="G1312" s="20" t="n">
        <f aca="false">G1311/G1309</f>
        <v>1</v>
      </c>
    </row>
    <row r="1313" customFormat="false" ht="17.15" hidden="false" customHeight="false" outlineLevel="0" collapsed="false">
      <c r="A1313" s="0" t="s">
        <v>638</v>
      </c>
      <c r="B1313" s="0" t="s">
        <v>333</v>
      </c>
      <c r="D1313" s="21" t="n">
        <f aca="false">(D1304+D1307)*D1312</f>
        <v>22.2987583</v>
      </c>
      <c r="E1313" s="21" t="n">
        <f aca="false">(E1304+E1307)*E1312</f>
        <v>37.928660924617</v>
      </c>
      <c r="F1313" s="21" t="n">
        <f aca="false">(F1304+F1307)*F1312</f>
        <v>43.571555187083</v>
      </c>
      <c r="G1313" s="21" t="n">
        <f aca="false">(G1304+G1307)*G1312</f>
        <v>49.621811387494</v>
      </c>
    </row>
    <row r="1314" customFormat="false" ht="17.15" hidden="false" customHeight="false" outlineLevel="0" collapsed="false">
      <c r="A1314" s="3" t="s">
        <v>639</v>
      </c>
      <c r="B1314" s="0" t="s">
        <v>44</v>
      </c>
      <c r="D1314" s="20" t="n">
        <f aca="false">D1304/(D1304+D1307)</f>
        <v>0.140894976776891</v>
      </c>
      <c r="E1314" s="20" t="n">
        <f aca="false">E1304/(E1304+E1307)</f>
        <v>0.226119517586731</v>
      </c>
      <c r="F1314" s="20" t="n">
        <f aca="false">F1304/(F1304+F1307)</f>
        <v>0.307150951728908</v>
      </c>
      <c r="G1314" s="20" t="n">
        <f aca="false">G1304/(G1304+G1307)</f>
        <v>0.358612723219583</v>
      </c>
    </row>
    <row r="1315" customFormat="false" ht="17.15" hidden="false" customHeight="false" outlineLevel="0" collapsed="false">
      <c r="A1315" s="5" t="s">
        <v>640</v>
      </c>
    </row>
    <row r="1316" customFormat="false" ht="17.15" hidden="false" customHeight="false" outlineLevel="0" collapsed="false">
      <c r="A1316" s="0" t="s">
        <v>641</v>
      </c>
      <c r="B1316" s="0" t="s">
        <v>333</v>
      </c>
      <c r="D1316" s="21" t="n">
        <f aca="false">a26_bt</f>
        <v>18.927328</v>
      </c>
      <c r="E1316" s="21" t="n">
        <f aca="false">D1316*(1+g_bt27_A)</f>
        <v>24.6055264</v>
      </c>
      <c r="F1316" s="21" t="n">
        <f aca="false">E1316*(1+g_bt28_A)</f>
        <v>27.06607904</v>
      </c>
      <c r="G1316" s="21" t="n">
        <f aca="false">F1316*(1+g_bt29_A)</f>
        <v>28.419382992</v>
      </c>
      <c r="K1316" s="7" t="s">
        <v>642</v>
      </c>
    </row>
    <row r="1317" customFormat="false" ht="17.15" hidden="false" customHeight="false" outlineLevel="0" collapsed="false">
      <c r="A1317" s="0" t="s">
        <v>540</v>
      </c>
      <c r="B1317" s="0" t="s">
        <v>333</v>
      </c>
      <c r="D1317" s="21" t="n">
        <f aca="false">a26_pcb</f>
        <v>5.91479</v>
      </c>
      <c r="E1317" s="21" t="n">
        <f aca="false">D1317*(1+g_pcb)</f>
        <v>5.91479</v>
      </c>
      <c r="F1317" s="21" t="n">
        <f aca="false">E1317*(1+g_pcb)</f>
        <v>5.91479</v>
      </c>
      <c r="G1317" s="21" t="n">
        <f aca="false">F1317*(1+g_pcb)</f>
        <v>5.91479</v>
      </c>
    </row>
    <row r="1318" customFormat="false" ht="17.15" hidden="false" customHeight="false" outlineLevel="0" collapsed="false">
      <c r="A1318" s="3" t="s">
        <v>505</v>
      </c>
      <c r="B1318" s="0" t="s">
        <v>333</v>
      </c>
      <c r="C1318" s="23" t="n">
        <f aca="false">a25_rev</f>
        <v>40.173</v>
      </c>
      <c r="D1318" s="23" t="n">
        <f aca="false">D1311+D1316+D1317</f>
        <v>59.1479</v>
      </c>
      <c r="E1318" s="23" t="n">
        <f aca="false">E1311+E1316+E1317</f>
        <v>80.229394518</v>
      </c>
      <c r="F1318" s="23" t="n">
        <f aca="false">F1311+F1316+F1317</f>
        <v>88.7637751405431</v>
      </c>
      <c r="G1318" s="23" t="n">
        <f aca="false">G1311+G1316+G1317</f>
        <v>97.0763833661239</v>
      </c>
      <c r="H1318" s="25" t="n">
        <f aca="false">G1318*(1+H1320)</f>
        <v>105.078626241508</v>
      </c>
      <c r="I1318" s="25" t="n">
        <f aca="false">H1318*(1+I1320)</f>
        <v>112.561928658085</v>
      </c>
      <c r="J1318" s="25" t="n">
        <f aca="false">I1318*(1+J1320)</f>
        <v>119.315644377571</v>
      </c>
      <c r="K1318" s="7" t="s">
        <v>643</v>
      </c>
    </row>
    <row r="1319" customFormat="false" ht="17.15" hidden="false" customHeight="false" outlineLevel="0" collapsed="false">
      <c r="A1319" s="3" t="s">
        <v>644</v>
      </c>
      <c r="B1319" s="0" t="s">
        <v>333</v>
      </c>
      <c r="D1319" s="19" t="n">
        <f aca="false">D1311+D1316+D1317-a26_rev</f>
        <v>0</v>
      </c>
      <c r="E1319" s="19" t="n">
        <f aca="false">E1311+E1316+E1317-E1318</f>
        <v>0</v>
      </c>
      <c r="F1319" s="19" t="n">
        <f aca="false">F1311+F1316+F1317-F1318</f>
        <v>0</v>
      </c>
      <c r="G1319" s="19" t="n">
        <f aca="false">G1311+G1316+G1317-G1318</f>
        <v>0</v>
      </c>
    </row>
    <row r="1320" customFormat="false" ht="15" hidden="false" customHeight="false" outlineLevel="0" collapsed="false">
      <c r="A1320" s="3" t="s">
        <v>645</v>
      </c>
      <c r="B1320" s="0" t="s">
        <v>44</v>
      </c>
      <c r="D1320" s="20" t="n">
        <f aca="false">D1318/C1318-1</f>
        <v>0.472329674159261</v>
      </c>
      <c r="E1320" s="20" t="n">
        <f aca="false">E1318/D1318-1</f>
        <v>0.35642</v>
      </c>
      <c r="F1320" s="20" t="n">
        <f aca="false">F1318/E1318-1</f>
        <v>0.106374735517023</v>
      </c>
      <c r="G1320" s="20" t="n">
        <f aca="false">G1318/F1318-1</f>
        <v>0.0936486557992731</v>
      </c>
      <c r="H1320" s="26" t="n">
        <f aca="false">$G1320+(fade_gA-$G1320)*1/3</f>
        <v>0.0824324371995154</v>
      </c>
      <c r="I1320" s="26" t="n">
        <f aca="false">$G1320+(fade_gA-$G1320)*2/3</f>
        <v>0.0712162185997577</v>
      </c>
      <c r="J1320" s="26" t="n">
        <f aca="false">$G1320+(fade_gA-$G1320)*3/3</f>
        <v>0.06</v>
      </c>
    </row>
    <row r="1321" customFormat="false" ht="17.15" hidden="false" customHeight="false" outlineLevel="0" collapsed="false">
      <c r="A1321" s="0" t="s">
        <v>646</v>
      </c>
      <c r="B1321" s="0" t="s">
        <v>44</v>
      </c>
      <c r="D1321" s="20" t="n">
        <f aca="false">D1311/D1318</f>
        <v>0.58</v>
      </c>
      <c r="E1321" s="20" t="n">
        <f aca="false">E1311/E1318</f>
        <v>0.619586853629407</v>
      </c>
      <c r="F1321" s="20" t="n">
        <f aca="false">F1311/F1318</f>
        <v>0.62844224473576</v>
      </c>
      <c r="G1321" s="20" t="n">
        <f aca="false">G1311/G1318</f>
        <v>0.646317963221718</v>
      </c>
    </row>
    <row r="1322" customFormat="false" ht="17.15" hidden="false" customHeight="false" outlineLevel="0" collapsed="false">
      <c r="A1322" s="0" t="s">
        <v>647</v>
      </c>
      <c r="B1322" s="0" t="s">
        <v>44</v>
      </c>
      <c r="D1322" s="20" t="n">
        <f aca="false">D1313/D1318</f>
        <v>0.377</v>
      </c>
      <c r="E1322" s="20" t="n">
        <f aca="false">E1313/E1318</f>
        <v>0.472752675655648</v>
      </c>
      <c r="F1322" s="20" t="n">
        <f aca="false">F1313/F1318</f>
        <v>0.490870911225829</v>
      </c>
      <c r="G1322" s="20" t="n">
        <f aca="false">G1313/G1318</f>
        <v>0.511162547128947</v>
      </c>
      <c r="K1322" s="3" t="s">
        <v>648</v>
      </c>
    </row>
    <row r="1323" customFormat="false" ht="17.15" hidden="false" customHeight="false" outlineLevel="0" collapsed="false">
      <c r="A1323" s="5" t="s">
        <v>649</v>
      </c>
    </row>
    <row r="1324" customFormat="false" ht="15" hidden="false" customHeight="false" outlineLevel="0" collapsed="false">
      <c r="A1324" s="3" t="s">
        <v>650</v>
      </c>
      <c r="B1324" s="0" t="s">
        <v>333</v>
      </c>
      <c r="C1324" s="23" t="n">
        <f aca="false">a25_cx</f>
        <v>2.422</v>
      </c>
      <c r="D1324" s="23" t="n">
        <f aca="false">capex26</f>
        <v>4</v>
      </c>
      <c r="E1324" s="23" t="n">
        <f aca="false">cx27</f>
        <v>14</v>
      </c>
      <c r="F1324" s="23" t="n">
        <f aca="false">cx28</f>
        <v>18</v>
      </c>
      <c r="G1324" s="23" t="n">
        <f aca="false">cx29</f>
        <v>12</v>
      </c>
      <c r="H1324" s="25" t="n">
        <f aca="false">H1318*H1341</f>
        <v>12.4247845914869</v>
      </c>
      <c r="I1324" s="25" t="n">
        <f aca="false">I1318*I1341</f>
        <v>12.7050313468192</v>
      </c>
      <c r="J1324" s="25" t="n">
        <f aca="false">J1318*J1341</f>
        <v>12.8264578422271</v>
      </c>
    </row>
    <row r="1325" customFormat="false" ht="17.15" hidden="false" customHeight="false" outlineLevel="0" collapsed="false">
      <c r="A1325" s="3" t="s">
        <v>651</v>
      </c>
      <c r="B1325" s="0" t="s">
        <v>333</v>
      </c>
      <c r="C1325" s="23" t="n">
        <f aca="false">a25_da</f>
        <v>6.894</v>
      </c>
      <c r="D1325" s="23" t="n">
        <f aca="false">da26</f>
        <v>7.1</v>
      </c>
      <c r="E1325" s="23" t="n">
        <f aca="false">D1325*(1-1/life)+D1324/life</f>
        <v>6.7125</v>
      </c>
      <c r="F1325" s="23" t="n">
        <f aca="false">E1325*(1-1/life)+E1324/life</f>
        <v>7.6234375</v>
      </c>
      <c r="G1325" s="23" t="n">
        <f aca="false">F1325*(1-1/life)+F1324/life</f>
        <v>8.9205078125</v>
      </c>
      <c r="H1325" s="25" t="n">
        <f aca="false">H1318*H1326</f>
        <v>9.65584701254169</v>
      </c>
      <c r="I1325" s="25" t="n">
        <f aca="false">I1318*I1326</f>
        <v>10.3434999241527</v>
      </c>
      <c r="J1325" s="25" t="n">
        <f aca="false">J1318*J1326</f>
        <v>10.9641099196018</v>
      </c>
      <c r="K1325" s="3" t="s">
        <v>652</v>
      </c>
    </row>
    <row r="1326" customFormat="false" ht="17.15" hidden="false" customHeight="false" outlineLevel="0" collapsed="false">
      <c r="A1326" s="3" t="s">
        <v>653</v>
      </c>
      <c r="B1326" s="0" t="s">
        <v>44</v>
      </c>
      <c r="C1326" s="20" t="n">
        <f aca="false">C1325/C1318</f>
        <v>0.171607796281084</v>
      </c>
      <c r="D1326" s="20" t="n">
        <f aca="false">D1325/D1318</f>
        <v>0.120038074048276</v>
      </c>
      <c r="E1326" s="20" t="n">
        <f aca="false">E1325/E1318</f>
        <v>0.0836663424961285</v>
      </c>
      <c r="F1326" s="20" t="n">
        <f aca="false">F1325/F1318</f>
        <v>0.0858845569369883</v>
      </c>
      <c r="G1326" s="20" t="n">
        <f aca="false">G1325/G1318</f>
        <v>0.0918916373187933</v>
      </c>
      <c r="H1326" s="26" t="n">
        <f aca="false">$G1326</f>
        <v>0.0918916373187933</v>
      </c>
      <c r="I1326" s="26" t="n">
        <f aca="false">$G1326</f>
        <v>0.0918916373187933</v>
      </c>
      <c r="J1326" s="26" t="n">
        <f aca="false">$G1326</f>
        <v>0.0918916373187933</v>
      </c>
    </row>
    <row r="1327" customFormat="false" ht="17.15" hidden="false" customHeight="false" outlineLevel="0" collapsed="false">
      <c r="A1327" s="3" t="s">
        <v>654</v>
      </c>
      <c r="B1327" s="0" t="s">
        <v>333</v>
      </c>
      <c r="E1327" s="21" t="n">
        <f aca="false">E1313*(1-1/(E1298*E1299))</f>
        <v>4.94721664234135</v>
      </c>
      <c r="F1327" s="21" t="n">
        <f aca="false">F1313*(1-1/(F1298*F1299))</f>
        <v>3.68912480989031</v>
      </c>
      <c r="G1327" s="21" t="n">
        <f aca="false">G1313*(1-1/(G1298*G1299))</f>
        <v>1.67803226914231</v>
      </c>
      <c r="K1327" s="7" t="s">
        <v>655</v>
      </c>
    </row>
    <row r="1328" customFormat="false" ht="17.15" hidden="false" customHeight="false" outlineLevel="0" collapsed="false">
      <c r="A1328" s="3" t="s">
        <v>656</v>
      </c>
      <c r="B1328" s="0" t="s">
        <v>333</v>
      </c>
      <c r="C1328" s="21" t="n">
        <f aca="false">a25_gp</f>
        <v>3.647</v>
      </c>
      <c r="D1328" s="21" t="n">
        <f aca="false">a26_gp</f>
        <v>15.9001925</v>
      </c>
      <c r="E1328" s="21" t="n">
        <f aca="false">$D1328+ft_abf*(E1311-E1327-$D1311)+ft_oth*((E1318-E1311)-($D1318-$D1311))+E1327-(E1325-$D1325)</f>
        <v>28.7342282401707</v>
      </c>
      <c r="F1328" s="21" t="n">
        <f aca="false">$D1328+ft_abf*(F1311-F1327-$D1311)+ft_oth*((F1318-F1311)-($D1318-$D1311))+F1327-(F1325-$D1325)</f>
        <v>31.2153798712167</v>
      </c>
      <c r="G1328" s="21" t="n">
        <f aca="false">$D1328+ft_abf*(G1311-G1327-$D1311)+ft_oth*((G1318-G1311)-($D1318-$D1311))+G1327-(G1325-$D1325)</f>
        <v>32.9337370059331</v>
      </c>
      <c r="K1328" s="3" t="s">
        <v>657</v>
      </c>
    </row>
    <row r="1329" customFormat="false" ht="15" hidden="false" customHeight="false" outlineLevel="0" collapsed="false">
      <c r="A1329" s="3" t="s">
        <v>512</v>
      </c>
      <c r="B1329" s="0" t="s">
        <v>44</v>
      </c>
      <c r="C1329" s="16" t="n">
        <f aca="false">C1328/C1318</f>
        <v>0.0907823662659</v>
      </c>
      <c r="D1329" s="16" t="n">
        <f aca="false">D1328/D1318</f>
        <v>0.268820913337583</v>
      </c>
      <c r="E1329" s="16" t="n">
        <f aca="false">E1328/E1318</f>
        <v>0.35815087989632</v>
      </c>
      <c r="F1329" s="16" t="n">
        <f aca="false">F1328/F1318</f>
        <v>0.351668006704224</v>
      </c>
      <c r="G1329" s="16" t="n">
        <f aca="false">G1328/G1318</f>
        <v>0.339255912344029</v>
      </c>
    </row>
    <row r="1330" customFormat="false" ht="15" hidden="false" customHeight="false" outlineLevel="0" collapsed="false">
      <c r="A1330" s="3" t="s">
        <v>514</v>
      </c>
      <c r="B1330" s="0" t="s">
        <v>333</v>
      </c>
      <c r="C1330" s="21" t="n">
        <f aca="false">a25_opx</f>
        <v>1.665</v>
      </c>
      <c r="D1330" s="21" t="n">
        <f aca="false">a26_opx</f>
        <v>1.9</v>
      </c>
      <c r="E1330" s="21" t="n">
        <f aca="false">D1330*(1+phi_hi*E1320)</f>
        <v>2.577198</v>
      </c>
      <c r="F1330" s="21" t="n">
        <f aca="false">E1330*(1+phi_hi*F1320)</f>
        <v>2.851346755625</v>
      </c>
      <c r="G1330" s="21" t="n">
        <f aca="false">F1330*(1+phi_hi*G1320)</f>
        <v>3.1183715465069</v>
      </c>
    </row>
    <row r="1331" customFormat="false" ht="15" hidden="false" customHeight="false" outlineLevel="0" collapsed="false">
      <c r="A1331" s="3" t="s">
        <v>517</v>
      </c>
      <c r="B1331" s="0" t="s">
        <v>333</v>
      </c>
      <c r="C1331" s="21" t="n">
        <f aca="false">C1328-C1330</f>
        <v>1.982</v>
      </c>
      <c r="D1331" s="21" t="n">
        <f aca="false">D1328-D1330</f>
        <v>14.0001925</v>
      </c>
      <c r="E1331" s="21" t="n">
        <f aca="false">E1328-E1330</f>
        <v>26.1570302401707</v>
      </c>
      <c r="F1331" s="21" t="n">
        <f aca="false">F1328-F1330</f>
        <v>28.3640331155917</v>
      </c>
      <c r="G1331" s="21" t="n">
        <f aca="false">G1328-G1330</f>
        <v>29.8153654594262</v>
      </c>
    </row>
    <row r="1332" customFormat="false" ht="15" hidden="false" customHeight="false" outlineLevel="0" collapsed="false">
      <c r="A1332" s="3" t="s">
        <v>598</v>
      </c>
      <c r="B1332" s="0" t="s">
        <v>44</v>
      </c>
      <c r="C1332" s="16" t="n">
        <f aca="false">C1331/C1318</f>
        <v>0.0493366191222961</v>
      </c>
      <c r="D1332" s="16" t="n">
        <f aca="false">D1331/D1318</f>
        <v>0.236698048451424</v>
      </c>
      <c r="E1332" s="16" t="n">
        <f aca="false">E1331/E1318</f>
        <v>0.326028015010162</v>
      </c>
      <c r="F1332" s="16" t="n">
        <f aca="false">F1331/F1318</f>
        <v>0.319545141818065</v>
      </c>
      <c r="G1332" s="16" t="n">
        <f aca="false">G1331/G1318</f>
        <v>0.307133047457871</v>
      </c>
    </row>
    <row r="1333" customFormat="false" ht="15" hidden="false" customHeight="false" outlineLevel="0" collapsed="false">
      <c r="A1333" s="3" t="s">
        <v>520</v>
      </c>
      <c r="B1333" s="0" t="s">
        <v>333</v>
      </c>
      <c r="C1333" s="21" t="n">
        <f aca="false">a25_nonop</f>
        <v>0.364</v>
      </c>
      <c r="D1333" s="21" t="n">
        <f aca="false">a26_nonop</f>
        <v>0.623</v>
      </c>
      <c r="E1333" s="21" t="n">
        <f aca="false">nonop27</f>
        <v>0.6</v>
      </c>
      <c r="F1333" s="21" t="n">
        <f aca="false">nonop28</f>
        <v>0.6</v>
      </c>
      <c r="G1333" s="21" t="n">
        <f aca="false">nonop29</f>
        <v>0.6</v>
      </c>
    </row>
    <row r="1334" customFormat="false" ht="15" hidden="false" customHeight="false" outlineLevel="0" collapsed="false">
      <c r="A1334" s="3" t="s">
        <v>522</v>
      </c>
      <c r="B1334" s="0" t="s">
        <v>333</v>
      </c>
      <c r="C1334" s="21" t="n">
        <f aca="false">C1331+C1333</f>
        <v>2.346</v>
      </c>
      <c r="D1334" s="21" t="n">
        <f aca="false">D1331+D1333</f>
        <v>14.6231925</v>
      </c>
      <c r="E1334" s="21" t="n">
        <f aca="false">E1331+E1333</f>
        <v>26.7570302401707</v>
      </c>
      <c r="F1334" s="21" t="n">
        <f aca="false">F1331+F1333</f>
        <v>28.9640331155917</v>
      </c>
      <c r="G1334" s="21" t="n">
        <f aca="false">G1331+G1333</f>
        <v>30.4153654594262</v>
      </c>
    </row>
    <row r="1335" customFormat="false" ht="15" hidden="false" customHeight="false" outlineLevel="0" collapsed="false">
      <c r="A1335" s="3" t="s">
        <v>525</v>
      </c>
      <c r="B1335" s="0" t="s">
        <v>333</v>
      </c>
      <c r="E1335" s="21" t="n">
        <f aca="false">E1334*tax</f>
        <v>5.61897635043584</v>
      </c>
      <c r="F1335" s="21" t="n">
        <f aca="false">F1334*tax</f>
        <v>6.08244695427426</v>
      </c>
      <c r="G1335" s="21" t="n">
        <f aca="false">G1334*tax</f>
        <v>6.38722674647951</v>
      </c>
    </row>
    <row r="1336" customFormat="false" ht="15" hidden="false" customHeight="false" outlineLevel="0" collapsed="false">
      <c r="A1336" s="3" t="s">
        <v>523</v>
      </c>
      <c r="B1336" s="0" t="s">
        <v>333</v>
      </c>
      <c r="C1336" s="21" t="n">
        <f aca="false">a25_ni</f>
        <v>1.947</v>
      </c>
      <c r="D1336" s="21" t="n">
        <f aca="false">a26_ni</f>
        <v>11.509862075</v>
      </c>
      <c r="E1336" s="21" t="n">
        <f aca="false">E1334-E1335</f>
        <v>21.1380538897348</v>
      </c>
      <c r="F1336" s="21" t="n">
        <f aca="false">F1334-F1335</f>
        <v>22.8815861613175</v>
      </c>
      <c r="G1336" s="21" t="n">
        <f aca="false">G1334-G1335</f>
        <v>24.0281387129467</v>
      </c>
      <c r="H1336" s="30" t="n">
        <f aca="false">H1318*H1340</f>
        <v>26.159050562348</v>
      </c>
      <c r="I1336" s="30" t="n">
        <f aca="false">I1318*I1340</f>
        <v>28.1829106992924</v>
      </c>
      <c r="J1336" s="30" t="n">
        <f aca="false">J1318*J1340</f>
        <v>30.0444515034082</v>
      </c>
    </row>
    <row r="1337" customFormat="false" ht="15" hidden="false" customHeight="false" outlineLevel="0" collapsed="false">
      <c r="A1337" s="3" t="s">
        <v>658</v>
      </c>
      <c r="B1337" s="3" t="s">
        <v>400</v>
      </c>
      <c r="C1337" s="29" t="n">
        <f aca="false">a25_sh</f>
        <v>0.646843853820598</v>
      </c>
      <c r="D1337" s="29" t="n">
        <f aca="false">a26_sh</f>
        <v>0.645863325123153</v>
      </c>
      <c r="E1337" s="29" t="n">
        <f aca="false">a26_shend*(1+sh_g)</f>
        <v>0.64617</v>
      </c>
      <c r="F1337" s="29" t="n">
        <f aca="false">E1337*(1+sh_g)</f>
        <v>0.64617</v>
      </c>
      <c r="G1337" s="29" t="n">
        <f aca="false">F1337*(1+sh_g)</f>
        <v>0.64617</v>
      </c>
      <c r="H1337" s="31" t="n">
        <f aca="false">G1337*(1+sh_g)</f>
        <v>0.64617</v>
      </c>
      <c r="I1337" s="31" t="n">
        <f aca="false">H1337*(1+sh_g)</f>
        <v>0.64617</v>
      </c>
      <c r="J1337" s="31" t="n">
        <f aca="false">I1337*(1+sh_g)</f>
        <v>0.64617</v>
      </c>
    </row>
    <row r="1338" customFormat="false" ht="17.15" hidden="false" customHeight="false" outlineLevel="0" collapsed="false">
      <c r="A1338" s="0" t="s">
        <v>528</v>
      </c>
      <c r="B1338" s="0" t="s">
        <v>406</v>
      </c>
      <c r="C1338" s="18" t="n">
        <f aca="false">C1336/C1337</f>
        <v>3.01</v>
      </c>
      <c r="D1338" s="18" t="n">
        <f aca="false">D1336/D1337</f>
        <v>17.820894339844</v>
      </c>
      <c r="E1338" s="18" t="n">
        <f aca="false">E1336/E1337</f>
        <v>32.7128370084263</v>
      </c>
      <c r="F1338" s="18" t="n">
        <f aca="false">F1336/F1337</f>
        <v>35.4110933056587</v>
      </c>
      <c r="G1338" s="18" t="n">
        <f aca="false">G1336/G1337</f>
        <v>37.1854755141011</v>
      </c>
      <c r="H1338" s="28" t="n">
        <f aca="false">H1336/H1337</f>
        <v>40.4832328370985</v>
      </c>
      <c r="I1338" s="28" t="n">
        <f aca="false">I1336/I1337</f>
        <v>43.6153190325958</v>
      </c>
      <c r="J1338" s="28" t="n">
        <f aca="false">J1336/J1337</f>
        <v>46.4962030168659</v>
      </c>
    </row>
    <row r="1339" customFormat="false" ht="17.15" hidden="false" customHeight="false" outlineLevel="0" collapsed="false">
      <c r="A1339" s="0" t="s">
        <v>659</v>
      </c>
      <c r="B1339" s="0" t="s">
        <v>44</v>
      </c>
      <c r="D1339" s="20" t="n">
        <f aca="false">D1338/C1338-1</f>
        <v>4.92056290360265</v>
      </c>
      <c r="E1339" s="20" t="n">
        <f aca="false">E1338/D1338-1</f>
        <v>0.835645079567467</v>
      </c>
      <c r="F1339" s="20" t="n">
        <f aca="false">F1338/E1338-1</f>
        <v>0.0824831027812514</v>
      </c>
      <c r="G1339" s="20" t="n">
        <f aca="false">G1338/F1338-1</f>
        <v>0.0501080888163057</v>
      </c>
      <c r="H1339" s="26" t="n">
        <f aca="false">H1338/G1338-1</f>
        <v>0.0886840164716161</v>
      </c>
      <c r="I1339" s="26" t="n">
        <f aca="false">I1338/H1338-1</f>
        <v>0.0773674920701262</v>
      </c>
      <c r="J1339" s="26" t="n">
        <f aca="false">J1338/I1338-1</f>
        <v>0.0660521130687379</v>
      </c>
    </row>
    <row r="1340" customFormat="false" ht="17.15" hidden="false" customHeight="false" outlineLevel="0" collapsed="false">
      <c r="A1340" s="3" t="s">
        <v>660</v>
      </c>
      <c r="B1340" s="0" t="s">
        <v>44</v>
      </c>
      <c r="C1340" s="16" t="n">
        <f aca="false">C1336/C1318</f>
        <v>0.0484653872003585</v>
      </c>
      <c r="D1340" s="16" t="n">
        <f aca="false">D1336/D1318</f>
        <v>0.194594602259759</v>
      </c>
      <c r="E1340" s="16" t="n">
        <f aca="false">E1336/E1318</f>
        <v>0.263470190903564</v>
      </c>
      <c r="F1340" s="16" t="n">
        <f aca="false">F1336/F1318</f>
        <v>0.25778067826755</v>
      </c>
      <c r="G1340" s="16" t="n">
        <f aca="false">G1336/G1318</f>
        <v>0.247517860469982</v>
      </c>
      <c r="H1340" s="27" t="n">
        <f aca="false">$G1340+(fade_mA-$G1340)*1/3</f>
        <v>0.248947397753613</v>
      </c>
      <c r="I1340" s="27" t="n">
        <f aca="false">$G1340+(fade_mA-$G1340)*2/3</f>
        <v>0.250376935037245</v>
      </c>
      <c r="J1340" s="27" t="n">
        <f aca="false">$G1340+(fade_mA-$G1340)*3/3</f>
        <v>0.251806472320876</v>
      </c>
    </row>
    <row r="1341" customFormat="false" ht="17.15" hidden="false" customHeight="false" outlineLevel="0" collapsed="false">
      <c r="A1341" s="3" t="s">
        <v>661</v>
      </c>
      <c r="B1341" s="0" t="s">
        <v>44</v>
      </c>
      <c r="C1341" s="20" t="n">
        <f aca="false">C1324/C1318</f>
        <v>0.0602892489980833</v>
      </c>
      <c r="D1341" s="20" t="n">
        <f aca="false">D1324/D1318</f>
        <v>0.0676270839708595</v>
      </c>
      <c r="E1341" s="20" t="n">
        <f aca="false">E1324/E1318</f>
        <v>0.174499634256357</v>
      </c>
      <c r="F1341" s="20" t="n">
        <f aca="false">F1324/F1318</f>
        <v>0.202785426504223</v>
      </c>
      <c r="G1341" s="20" t="n">
        <f aca="false">G1324/G1318</f>
        <v>0.123613999449711</v>
      </c>
      <c r="H1341" s="26" t="n">
        <f aca="false">$G1341+($G1326*(1+tp_g)^(life/2)-$G1341)*1/3</f>
        <v>0.118242739136409</v>
      </c>
      <c r="I1341" s="26" t="n">
        <f aca="false">$G1341+($G1326*(1+tp_g)^(life/2)-$G1341)*2/3</f>
        <v>0.112871478823108</v>
      </c>
      <c r="J1341" s="26" t="n">
        <f aca="false">$G1341+($G1326*(1+tp_g)^(life/2)-$G1341)*3/3</f>
        <v>0.107500218509806</v>
      </c>
      <c r="K1341" s="7" t="s">
        <v>662</v>
      </c>
    </row>
    <row r="1342" customFormat="false" ht="15" hidden="false" customHeight="false" outlineLevel="0" collapsed="false">
      <c r="A1342" s="3" t="s">
        <v>663</v>
      </c>
      <c r="B1342" s="0" t="s">
        <v>333</v>
      </c>
      <c r="E1342" s="21" t="n">
        <f aca="false">E1336+E1325-E1324</f>
        <v>13.8505538897348</v>
      </c>
      <c r="F1342" s="21" t="n">
        <f aca="false">F1336+F1325-F1324</f>
        <v>12.5050236613175</v>
      </c>
      <c r="G1342" s="21" t="n">
        <f aca="false">G1336+G1325-G1324</f>
        <v>20.9486465254467</v>
      </c>
      <c r="H1342" s="30" t="n">
        <f aca="false">H1336+H1325-H1324</f>
        <v>23.3901129834027</v>
      </c>
      <c r="I1342" s="30" t="n">
        <f aca="false">I1336+I1325-I1324</f>
        <v>25.8213792766259</v>
      </c>
      <c r="J1342" s="30" t="n">
        <f aca="false">J1336+J1325-J1324</f>
        <v>28.182103580783</v>
      </c>
      <c r="K1342" s="3" t="s">
        <v>664</v>
      </c>
    </row>
    <row r="1343" customFormat="false" ht="15" hidden="false" customHeight="false" outlineLevel="0" collapsed="false">
      <c r="A1343" s="3" t="s">
        <v>665</v>
      </c>
      <c r="B1343" s="0" t="s">
        <v>406</v>
      </c>
      <c r="E1343" s="18" t="n">
        <f aca="false">E1342/E1337</f>
        <v>21.434845148699</v>
      </c>
      <c r="F1343" s="18" t="n">
        <f aca="false">F1342/F1337</f>
        <v>19.3525289959569</v>
      </c>
      <c r="G1343" s="18" t="n">
        <f aca="false">G1342/G1337</f>
        <v>32.4197138917726</v>
      </c>
      <c r="H1343" s="28" t="n">
        <f aca="false">H1342/H1337</f>
        <v>36.19807942709</v>
      </c>
      <c r="I1343" s="28" t="n">
        <f aca="false">I1342/I1337</f>
        <v>39.9606593878173</v>
      </c>
      <c r="J1343" s="28" t="n">
        <f aca="false">J1342/J1337</f>
        <v>43.6140699518439</v>
      </c>
    </row>
    <row r="1346" customFormat="false" ht="17.15" hidden="false" customHeight="false" outlineLevel="0" collapsed="false">
      <c r="A1346" s="1" t="s">
        <v>1031</v>
      </c>
    </row>
    <row r="1347" customFormat="false" ht="17.15" hidden="false" customHeight="false" outlineLevel="0" collapsed="false">
      <c r="A1347" s="4" t="s">
        <v>21</v>
      </c>
      <c r="B1347" s="4" t="s">
        <v>22</v>
      </c>
      <c r="C1347" s="13" t="s">
        <v>498</v>
      </c>
      <c r="D1347" s="13" t="s">
        <v>585</v>
      </c>
      <c r="E1347" s="13" t="s">
        <v>586</v>
      </c>
      <c r="F1347" s="13" t="s">
        <v>587</v>
      </c>
      <c r="G1347" s="13" t="s">
        <v>588</v>
      </c>
      <c r="H1347" s="13" t="s">
        <v>589</v>
      </c>
      <c r="I1347" s="13" t="s">
        <v>590</v>
      </c>
      <c r="J1347" s="13" t="s">
        <v>591</v>
      </c>
      <c r="K1347" s="4" t="s">
        <v>553</v>
      </c>
    </row>
    <row r="1348" customFormat="false" ht="17.15" hidden="false" customHeight="false" outlineLevel="0" collapsed="false">
      <c r="A1348" s="5" t="s">
        <v>609</v>
      </c>
    </row>
    <row r="1349" customFormat="false" ht="17.15" hidden="false" customHeight="false" outlineLevel="0" collapsed="false">
      <c r="A1349" s="0" t="s">
        <v>610</v>
      </c>
      <c r="B1349" s="3" t="s">
        <v>32</v>
      </c>
      <c r="D1349" s="21" t="n">
        <f aca="false">(u_bw_26+u_rb_26+u_ru_26+u_hp_26)*1</f>
        <v>7.6</v>
      </c>
      <c r="E1349" s="21" t="n">
        <f aca="false">(u_bw_27+u_rb_27+u_ru_27+u_hp_27)*1*1</f>
        <v>9.7</v>
      </c>
      <c r="F1349" s="21" t="n">
        <f aca="false">(u_bw_28+u_rb_28+u_ru_28+u_hp_28)*um28_A*1</f>
        <v>9.5</v>
      </c>
      <c r="G1349" s="21" t="n">
        <f aca="false">(u_bw_28*(1+g29_bw)+u_rb_28*(1+g29_rb)+u_ru_28*(1+g29_ru)+u_hp_28*(1+g29_hp))*um29_A*1</f>
        <v>10.6</v>
      </c>
      <c r="K1349" s="7" t="s">
        <v>611</v>
      </c>
    </row>
    <row r="1350" customFormat="false" ht="17.15" hidden="false" customHeight="false" outlineLevel="0" collapsed="false">
      <c r="A1350" s="3" t="s">
        <v>612</v>
      </c>
      <c r="B1350" s="3" t="s">
        <v>32</v>
      </c>
      <c r="D1350" s="21" t="n">
        <f aca="false">(u_amd_26+u_tpu_26+u_trn_26+u_oth_26)*1</f>
        <v>7.6</v>
      </c>
      <c r="E1350" s="21" t="n">
        <f aca="false">(u_amd_27+u_tpu_27+u_trn_27+u_oth_27)*1*1</f>
        <v>14</v>
      </c>
      <c r="F1350" s="21" t="n">
        <f aca="false">(u_amd_28+u_tpu_28+u_trn_28+u_oth_28)*um28_A*1</f>
        <v>17</v>
      </c>
      <c r="G1350" s="21" t="n">
        <f aca="false">(u_amd_28*(1+g29_amd)+u_tpu_28*(1+g29_tpu)+u_trn_28*(1+g29_trn)+u_oth_28*(1+g29_oth))*um29_A*1</f>
        <v>19.55</v>
      </c>
      <c r="K1350" s="7" t="s">
        <v>613</v>
      </c>
    </row>
    <row r="1351" customFormat="false" ht="17.15" hidden="false" customHeight="false" outlineLevel="0" collapsed="false">
      <c r="A1351" s="3" t="s">
        <v>614</v>
      </c>
      <c r="B1351" s="0" t="s">
        <v>154</v>
      </c>
      <c r="D1351" s="19" t="n">
        <f aca="false">1</f>
        <v>1</v>
      </c>
      <c r="E1351" s="19" t="n">
        <f aca="false">D1351*(1+g_asp)</f>
        <v>1.18</v>
      </c>
      <c r="F1351" s="19" t="n">
        <f aca="false">E1351*(1+g_asp)</f>
        <v>1.3924</v>
      </c>
      <c r="G1351" s="19" t="n">
        <f aca="false">F1351*(1+g_asp)</f>
        <v>1.643032</v>
      </c>
      <c r="K1351" s="7" t="s">
        <v>615</v>
      </c>
    </row>
    <row r="1352" customFormat="false" ht="17.15" hidden="false" customHeight="false" outlineLevel="0" collapsed="false">
      <c r="A1352" s="0" t="s">
        <v>616</v>
      </c>
      <c r="B1352" s="0" t="s">
        <v>154</v>
      </c>
      <c r="D1352" s="18" t="n">
        <f aca="false">1</f>
        <v>1</v>
      </c>
      <c r="E1352" s="18" t="n">
        <f aca="false">ibpp_27</f>
        <v>1</v>
      </c>
      <c r="F1352" s="18" t="n">
        <f aca="false">ibpp_28</f>
        <v>0.95</v>
      </c>
      <c r="G1352" s="18" t="n">
        <f aca="false">ibpp_29</f>
        <v>0.9</v>
      </c>
      <c r="K1352" s="7" t="s">
        <v>617</v>
      </c>
    </row>
    <row r="1353" customFormat="false" ht="17.15" hidden="false" customHeight="false" outlineLevel="0" collapsed="false">
      <c r="A1353" s="3" t="s">
        <v>618</v>
      </c>
      <c r="B1353" s="0" t="s">
        <v>154</v>
      </c>
      <c r="D1353" s="18" t="n">
        <f aca="false">1</f>
        <v>1</v>
      </c>
      <c r="E1353" s="18" t="n">
        <f aca="false">1+carry</f>
        <v>1.15</v>
      </c>
      <c r="F1353" s="18" t="n">
        <f aca="false">1+carry</f>
        <v>1.15</v>
      </c>
      <c r="G1353" s="18" t="n">
        <f aca="false">1+carry</f>
        <v>1.15</v>
      </c>
      <c r="K1353" s="7" t="s">
        <v>619</v>
      </c>
    </row>
    <row r="1354" customFormat="false" ht="17.15" hidden="false" customHeight="false" outlineLevel="0" collapsed="false">
      <c r="A1354" s="3" t="s">
        <v>620</v>
      </c>
      <c r="B1354" s="0" t="s">
        <v>621</v>
      </c>
      <c r="D1354" s="23" t="n">
        <f aca="false">v26*D1351*D1352</f>
        <v>215.308596</v>
      </c>
      <c r="E1354" s="23" t="n">
        <f aca="false">v26*E1351*E1352</f>
        <v>254.06414328</v>
      </c>
      <c r="F1354" s="23" t="n">
        <f aca="false">v26*F1351*F1352</f>
        <v>284.80590461688</v>
      </c>
      <c r="G1354" s="23" t="n">
        <f aca="false">v26*G1351*G1352</f>
        <v>318.383021792765</v>
      </c>
      <c r="K1354" s="7" t="s">
        <v>622</v>
      </c>
    </row>
    <row r="1355" customFormat="false" ht="17.15" hidden="false" customHeight="false" outlineLevel="0" collapsed="false">
      <c r="A1355" s="3" t="s">
        <v>623</v>
      </c>
      <c r="B1355" s="0" t="s">
        <v>44</v>
      </c>
      <c r="D1355" s="20" t="n">
        <f aca="false">sh_nv_26</f>
        <v>0.02</v>
      </c>
      <c r="E1355" s="20" t="n">
        <f aca="false">sh_nv_27</f>
        <v>0.03</v>
      </c>
      <c r="F1355" s="20" t="n">
        <f aca="false">sh_nv_28</f>
        <v>0.04</v>
      </c>
      <c r="G1355" s="20" t="n">
        <f aca="false">sh_nv_29</f>
        <v>0.04</v>
      </c>
    </row>
    <row r="1356" customFormat="false" ht="17.15" hidden="false" customHeight="false" outlineLevel="0" collapsed="false">
      <c r="A1356" s="3" t="s">
        <v>624</v>
      </c>
      <c r="B1356" s="0" t="s">
        <v>44</v>
      </c>
      <c r="D1356" s="20" t="n">
        <f aca="false">sh_ot_26</f>
        <v>0.05</v>
      </c>
      <c r="E1356" s="20" t="n">
        <f aca="false">sh_ot_27</f>
        <v>0.06</v>
      </c>
      <c r="F1356" s="20" t="n">
        <f aca="false">sh_ot_28</f>
        <v>0.07</v>
      </c>
      <c r="G1356" s="20" t="n">
        <f aca="false">sh_ot_29</f>
        <v>0.07</v>
      </c>
    </row>
    <row r="1357" customFormat="false" ht="17.15" hidden="false" customHeight="false" outlineLevel="0" collapsed="false">
      <c r="A1357" s="3" t="s">
        <v>625</v>
      </c>
      <c r="B1357" s="0" t="s">
        <v>575</v>
      </c>
      <c r="D1357" s="22" t="n">
        <f aca="false">(D1349*D1354*D1355+D1350*D1354*v_ot*D1356)*D1353</f>
        <v>98.180719776</v>
      </c>
      <c r="E1357" s="22" t="n">
        <f aca="false">(E1349*E1354*E1355+E1350*E1354*v_ot*E1356)*E1353</f>
        <v>281.363335475436</v>
      </c>
      <c r="F1357" s="22" t="n">
        <f aca="false">(F1349*F1354*F1355+F1350*F1354*v_ot*F1356)*F1353</f>
        <v>436.265684692137</v>
      </c>
      <c r="G1357" s="22" t="n">
        <f aca="false">(G1349*G1354*G1355+G1350*G1354*v_ot*G1356)*G1353</f>
        <v>556.094153523679</v>
      </c>
    </row>
    <row r="1358" customFormat="false" ht="15" hidden="false" customHeight="false" outlineLevel="0" collapsed="false">
      <c r="A1358" s="3" t="s">
        <v>626</v>
      </c>
      <c r="B1358" s="0" t="s">
        <v>333</v>
      </c>
      <c r="D1358" s="21" t="n">
        <f aca="false">D1357*fx/1000</f>
        <v>3.141783032832</v>
      </c>
      <c r="E1358" s="21" t="n">
        <f aca="false">E1357*fx/1000</f>
        <v>9.00362673521395</v>
      </c>
      <c r="F1358" s="21" t="n">
        <f aca="false">F1357*fx/1000</f>
        <v>13.9605019101484</v>
      </c>
      <c r="G1358" s="21" t="n">
        <f aca="false">G1357*fx/1000</f>
        <v>17.7950129127577</v>
      </c>
    </row>
    <row r="1359" customFormat="false" ht="17.15" hidden="false" customHeight="false" outlineLevel="0" collapsed="false">
      <c r="A1359" s="5" t="s">
        <v>627</v>
      </c>
    </row>
    <row r="1360" customFormat="false" ht="17.15" hidden="false" customHeight="false" outlineLevel="0" collapsed="false">
      <c r="A1360" s="0" t="s">
        <v>628</v>
      </c>
      <c r="B1360" s="0" t="s">
        <v>333</v>
      </c>
      <c r="D1360" s="21" t="n">
        <f aca="false">a26_abf*ai_abf</f>
        <v>22.2987583</v>
      </c>
      <c r="K1360" s="3" t="s">
        <v>629</v>
      </c>
    </row>
    <row r="1361" customFormat="false" ht="17.15" hidden="false" customHeight="false" outlineLevel="0" collapsed="false">
      <c r="A1361" s="3" t="s">
        <v>630</v>
      </c>
      <c r="B1361" s="0" t="s">
        <v>333</v>
      </c>
      <c r="D1361" s="21" t="n">
        <f aca="false">D1360-D1358</f>
        <v>19.156975267168</v>
      </c>
      <c r="E1361" s="21" t="n">
        <f aca="false">$D1361*(swm_27/swm_26)^el_o*1*1*E1352*E1353</f>
        <v>30.814372309298</v>
      </c>
      <c r="F1361" s="21" t="n">
        <f aca="false">$D1361*(swm_28/swm_26)^el_o*um28_A*1*F1352*F1353</f>
        <v>31.4910971539819</v>
      </c>
      <c r="G1361" s="21" t="n">
        <f aca="false">$D1361*(swm_29/swm_26)^el_o*um29_A*1*G1352*G1353</f>
        <v>31.8267984747363</v>
      </c>
      <c r="K1361" s="7" t="s">
        <v>631</v>
      </c>
    </row>
    <row r="1362" customFormat="false" ht="17.15" hidden="false" customHeight="false" outlineLevel="0" collapsed="false">
      <c r="A1362" s="3" t="s">
        <v>632</v>
      </c>
      <c r="B1362" s="0" t="s">
        <v>333</v>
      </c>
      <c r="D1362" s="21" t="n">
        <f aca="false">a26_abf-D1360</f>
        <v>12.0070237</v>
      </c>
      <c r="E1362" s="21" t="n">
        <f aca="false">D1362*(1+g_nai)</f>
        <v>12.367234411</v>
      </c>
      <c r="F1362" s="21" t="n">
        <f aca="false">E1362*(1+g_nai)</f>
        <v>12.73825144333</v>
      </c>
      <c r="G1362" s="21" t="n">
        <f aca="false">F1362*(1+g_nai)</f>
        <v>13.1203989866299</v>
      </c>
    </row>
    <row r="1363" customFormat="false" ht="17.15" hidden="false" customHeight="false" outlineLevel="0" collapsed="false">
      <c r="A1363" s="0" t="s">
        <v>633</v>
      </c>
      <c r="B1363" s="0" t="s">
        <v>333</v>
      </c>
      <c r="D1363" s="21" t="n">
        <f aca="false">D1358+D1361+D1362</f>
        <v>34.305782</v>
      </c>
      <c r="E1363" s="21" t="n">
        <f aca="false">E1358+E1361+E1362</f>
        <v>52.185233455512</v>
      </c>
      <c r="F1363" s="21" t="n">
        <f aca="false">F1358+F1361+F1362</f>
        <v>58.1898505074603</v>
      </c>
      <c r="G1363" s="21" t="n">
        <f aca="false">G1358+G1361+G1362</f>
        <v>62.7422103741239</v>
      </c>
    </row>
    <row r="1364" customFormat="false" ht="17.15" hidden="false" customHeight="false" outlineLevel="0" collapsed="false">
      <c r="A1364" s="0" t="s">
        <v>634</v>
      </c>
      <c r="B1364" s="0" t="s">
        <v>333</v>
      </c>
      <c r="D1364" s="21" t="n">
        <f aca="false">a26_abf</f>
        <v>34.305782</v>
      </c>
      <c r="E1364" s="21" t="n">
        <f aca="false">$D1363*cap_27*(1+g_mix)^1*E1352*E1353</f>
        <v>49.709078118</v>
      </c>
      <c r="F1364" s="21" t="n">
        <f aca="false">$D1363*cap_28*(1+g_mix)^2*F1352*F1353</f>
        <v>55.7829061005431</v>
      </c>
      <c r="G1364" s="21" t="n">
        <f aca="false">$D1363*cap_29*(1+g_mix)^3*G1352*G1353</f>
        <v>65.765110350114</v>
      </c>
      <c r="K1364" s="7" t="s">
        <v>635</v>
      </c>
    </row>
    <row r="1365" customFormat="false" ht="17.15" hidden="false" customHeight="false" outlineLevel="0" collapsed="false">
      <c r="A1365" s="0" t="s">
        <v>636</v>
      </c>
      <c r="B1365" s="0" t="s">
        <v>333</v>
      </c>
      <c r="D1365" s="21" t="n">
        <f aca="false">a26_abf</f>
        <v>34.305782</v>
      </c>
      <c r="E1365" s="21" t="n">
        <f aca="false">MIN(E1363,E1364)</f>
        <v>49.709078118</v>
      </c>
      <c r="F1365" s="21" t="n">
        <f aca="false">MIN(F1363,F1364)</f>
        <v>55.7829061005431</v>
      </c>
      <c r="G1365" s="21" t="n">
        <f aca="false">MIN(G1363,G1364)</f>
        <v>62.7422103741239</v>
      </c>
    </row>
    <row r="1366" customFormat="false" ht="17.15" hidden="false" customHeight="false" outlineLevel="0" collapsed="false">
      <c r="A1366" s="3" t="s">
        <v>637</v>
      </c>
      <c r="B1366" s="0" t="s">
        <v>44</v>
      </c>
      <c r="D1366" s="20" t="n">
        <f aca="false">D1365/D1363</f>
        <v>1</v>
      </c>
      <c r="E1366" s="20" t="n">
        <f aca="false">E1365/E1363</f>
        <v>0.952550651332759</v>
      </c>
      <c r="F1366" s="20" t="n">
        <f aca="false">F1365/F1363</f>
        <v>0.958636353489023</v>
      </c>
      <c r="G1366" s="20" t="n">
        <f aca="false">G1365/G1363</f>
        <v>1</v>
      </c>
    </row>
    <row r="1367" customFormat="false" ht="17.15" hidden="false" customHeight="false" outlineLevel="0" collapsed="false">
      <c r="A1367" s="0" t="s">
        <v>638</v>
      </c>
      <c r="B1367" s="0" t="s">
        <v>333</v>
      </c>
      <c r="D1367" s="21" t="n">
        <f aca="false">(D1358+D1361)*D1366</f>
        <v>22.2987583</v>
      </c>
      <c r="E1367" s="21" t="n">
        <f aca="false">(E1358+E1361)*E1366</f>
        <v>37.928660924617</v>
      </c>
      <c r="F1367" s="21" t="n">
        <f aca="false">(F1358+F1361)*F1366</f>
        <v>43.571555187083</v>
      </c>
      <c r="G1367" s="21" t="n">
        <f aca="false">(G1358+G1361)*G1366</f>
        <v>49.621811387494</v>
      </c>
    </row>
    <row r="1368" customFormat="false" ht="17.15" hidden="false" customHeight="false" outlineLevel="0" collapsed="false">
      <c r="A1368" s="3" t="s">
        <v>639</v>
      </c>
      <c r="B1368" s="0" t="s">
        <v>44</v>
      </c>
      <c r="D1368" s="20" t="n">
        <f aca="false">D1358/(D1358+D1361)</f>
        <v>0.140894976776891</v>
      </c>
      <c r="E1368" s="20" t="n">
        <f aca="false">E1358/(E1358+E1361)</f>
        <v>0.226119517586731</v>
      </c>
      <c r="F1368" s="20" t="n">
        <f aca="false">F1358/(F1358+F1361)</f>
        <v>0.307150951728908</v>
      </c>
      <c r="G1368" s="20" t="n">
        <f aca="false">G1358/(G1358+G1361)</f>
        <v>0.358612723219583</v>
      </c>
    </row>
    <row r="1369" customFormat="false" ht="17.15" hidden="false" customHeight="false" outlineLevel="0" collapsed="false">
      <c r="A1369" s="5" t="s">
        <v>640</v>
      </c>
    </row>
    <row r="1370" customFormat="false" ht="17.15" hidden="false" customHeight="false" outlineLevel="0" collapsed="false">
      <c r="A1370" s="0" t="s">
        <v>641</v>
      </c>
      <c r="B1370" s="0" t="s">
        <v>333</v>
      </c>
      <c r="D1370" s="21" t="n">
        <f aca="false">a26_bt</f>
        <v>18.927328</v>
      </c>
      <c r="E1370" s="21" t="n">
        <f aca="false">D1370*(1+g_bt27_A)</f>
        <v>24.6055264</v>
      </c>
      <c r="F1370" s="21" t="n">
        <f aca="false">E1370*(1+g_bt28_A)</f>
        <v>27.06607904</v>
      </c>
      <c r="G1370" s="21" t="n">
        <f aca="false">F1370*(1+g_bt29_A)</f>
        <v>28.419382992</v>
      </c>
      <c r="K1370" s="7" t="s">
        <v>642</v>
      </c>
    </row>
    <row r="1371" customFormat="false" ht="17.15" hidden="false" customHeight="false" outlineLevel="0" collapsed="false">
      <c r="A1371" s="0" t="s">
        <v>540</v>
      </c>
      <c r="B1371" s="0" t="s">
        <v>333</v>
      </c>
      <c r="D1371" s="21" t="n">
        <f aca="false">a26_pcb</f>
        <v>5.91479</v>
      </c>
      <c r="E1371" s="21" t="n">
        <f aca="false">D1371*(1+g_pcb)</f>
        <v>5.91479</v>
      </c>
      <c r="F1371" s="21" t="n">
        <f aca="false">E1371*(1+g_pcb)</f>
        <v>5.91479</v>
      </c>
      <c r="G1371" s="21" t="n">
        <f aca="false">F1371*(1+g_pcb)</f>
        <v>5.91479</v>
      </c>
    </row>
    <row r="1372" customFormat="false" ht="17.15" hidden="false" customHeight="false" outlineLevel="0" collapsed="false">
      <c r="A1372" s="3" t="s">
        <v>505</v>
      </c>
      <c r="B1372" s="0" t="s">
        <v>333</v>
      </c>
      <c r="C1372" s="23" t="n">
        <f aca="false">a25_rev</f>
        <v>40.173</v>
      </c>
      <c r="D1372" s="23" t="n">
        <f aca="false">D1365+D1370+D1371</f>
        <v>59.1479</v>
      </c>
      <c r="E1372" s="23" t="n">
        <f aca="false">E1365+E1370+E1371</f>
        <v>80.229394518</v>
      </c>
      <c r="F1372" s="23" t="n">
        <f aca="false">F1365+F1370+F1371</f>
        <v>88.7637751405431</v>
      </c>
      <c r="G1372" s="23" t="n">
        <f aca="false">G1365+G1370+G1371</f>
        <v>97.0763833661239</v>
      </c>
      <c r="H1372" s="25" t="n">
        <f aca="false">G1372*(1+H1374)</f>
        <v>105.078626241508</v>
      </c>
      <c r="I1372" s="25" t="n">
        <f aca="false">H1372*(1+I1374)</f>
        <v>112.561928658085</v>
      </c>
      <c r="J1372" s="25" t="n">
        <f aca="false">I1372*(1+J1374)</f>
        <v>119.315644377571</v>
      </c>
      <c r="K1372" s="7" t="s">
        <v>643</v>
      </c>
    </row>
    <row r="1373" customFormat="false" ht="17.15" hidden="false" customHeight="false" outlineLevel="0" collapsed="false">
      <c r="A1373" s="3" t="s">
        <v>644</v>
      </c>
      <c r="B1373" s="0" t="s">
        <v>333</v>
      </c>
      <c r="D1373" s="19" t="n">
        <f aca="false">D1365+D1370+D1371-a26_rev</f>
        <v>0</v>
      </c>
      <c r="E1373" s="19" t="n">
        <f aca="false">E1365+E1370+E1371-E1372</f>
        <v>0</v>
      </c>
      <c r="F1373" s="19" t="n">
        <f aca="false">F1365+F1370+F1371-F1372</f>
        <v>0</v>
      </c>
      <c r="G1373" s="19" t="n">
        <f aca="false">G1365+G1370+G1371-G1372</f>
        <v>0</v>
      </c>
    </row>
    <row r="1374" customFormat="false" ht="15" hidden="false" customHeight="false" outlineLevel="0" collapsed="false">
      <c r="A1374" s="3" t="s">
        <v>645</v>
      </c>
      <c r="B1374" s="0" t="s">
        <v>44</v>
      </c>
      <c r="D1374" s="20" t="n">
        <f aca="false">D1372/C1372-1</f>
        <v>0.472329674159261</v>
      </c>
      <c r="E1374" s="20" t="n">
        <f aca="false">E1372/D1372-1</f>
        <v>0.35642</v>
      </c>
      <c r="F1374" s="20" t="n">
        <f aca="false">F1372/E1372-1</f>
        <v>0.106374735517023</v>
      </c>
      <c r="G1374" s="20" t="n">
        <f aca="false">G1372/F1372-1</f>
        <v>0.0936486557992731</v>
      </c>
      <c r="H1374" s="26" t="n">
        <f aca="false">$G1374+(fade_gA-$G1374)*1/3</f>
        <v>0.0824324371995154</v>
      </c>
      <c r="I1374" s="26" t="n">
        <f aca="false">$G1374+(fade_gA-$G1374)*2/3</f>
        <v>0.0712162185997577</v>
      </c>
      <c r="J1374" s="26" t="n">
        <f aca="false">$G1374+(fade_gA-$G1374)*3/3</f>
        <v>0.06</v>
      </c>
    </row>
    <row r="1375" customFormat="false" ht="17.15" hidden="false" customHeight="false" outlineLevel="0" collapsed="false">
      <c r="A1375" s="0" t="s">
        <v>646</v>
      </c>
      <c r="B1375" s="0" t="s">
        <v>44</v>
      </c>
      <c r="D1375" s="20" t="n">
        <f aca="false">D1365/D1372</f>
        <v>0.58</v>
      </c>
      <c r="E1375" s="20" t="n">
        <f aca="false">E1365/E1372</f>
        <v>0.619586853629407</v>
      </c>
      <c r="F1375" s="20" t="n">
        <f aca="false">F1365/F1372</f>
        <v>0.62844224473576</v>
      </c>
      <c r="G1375" s="20" t="n">
        <f aca="false">G1365/G1372</f>
        <v>0.646317963221718</v>
      </c>
    </row>
    <row r="1376" customFormat="false" ht="17.15" hidden="false" customHeight="false" outlineLevel="0" collapsed="false">
      <c r="A1376" s="0" t="s">
        <v>647</v>
      </c>
      <c r="B1376" s="0" t="s">
        <v>44</v>
      </c>
      <c r="D1376" s="20" t="n">
        <f aca="false">D1367/D1372</f>
        <v>0.377</v>
      </c>
      <c r="E1376" s="20" t="n">
        <f aca="false">E1367/E1372</f>
        <v>0.472752675655648</v>
      </c>
      <c r="F1376" s="20" t="n">
        <f aca="false">F1367/F1372</f>
        <v>0.490870911225829</v>
      </c>
      <c r="G1376" s="20" t="n">
        <f aca="false">G1367/G1372</f>
        <v>0.511162547128947</v>
      </c>
      <c r="K1376" s="3" t="s">
        <v>648</v>
      </c>
    </row>
    <row r="1377" customFormat="false" ht="17.15" hidden="false" customHeight="false" outlineLevel="0" collapsed="false">
      <c r="A1377" s="5" t="s">
        <v>649</v>
      </c>
    </row>
    <row r="1378" customFormat="false" ht="15" hidden="false" customHeight="false" outlineLevel="0" collapsed="false">
      <c r="A1378" s="3" t="s">
        <v>650</v>
      </c>
      <c r="B1378" s="0" t="s">
        <v>333</v>
      </c>
      <c r="C1378" s="23" t="n">
        <f aca="false">a25_cx</f>
        <v>2.422</v>
      </c>
      <c r="D1378" s="23" t="n">
        <f aca="false">capex26</f>
        <v>4</v>
      </c>
      <c r="E1378" s="23" t="n">
        <f aca="false">cx27</f>
        <v>14</v>
      </c>
      <c r="F1378" s="23" t="n">
        <f aca="false">cx28</f>
        <v>18</v>
      </c>
      <c r="G1378" s="23" t="n">
        <f aca="false">cx29</f>
        <v>12</v>
      </c>
      <c r="H1378" s="25" t="n">
        <f aca="false">H1372*H1395</f>
        <v>12.4247845914869</v>
      </c>
      <c r="I1378" s="25" t="n">
        <f aca="false">I1372*I1395</f>
        <v>12.7050313468192</v>
      </c>
      <c r="J1378" s="25" t="n">
        <f aca="false">J1372*J1395</f>
        <v>12.8264578422271</v>
      </c>
    </row>
    <row r="1379" customFormat="false" ht="17.15" hidden="false" customHeight="false" outlineLevel="0" collapsed="false">
      <c r="A1379" s="3" t="s">
        <v>651</v>
      </c>
      <c r="B1379" s="0" t="s">
        <v>333</v>
      </c>
      <c r="C1379" s="23" t="n">
        <f aca="false">a25_da</f>
        <v>6.894</v>
      </c>
      <c r="D1379" s="23" t="n">
        <f aca="false">da26</f>
        <v>7.1</v>
      </c>
      <c r="E1379" s="23" t="n">
        <f aca="false">D1379*(1-1/life)+D1378/life</f>
        <v>6.7125</v>
      </c>
      <c r="F1379" s="23" t="n">
        <f aca="false">E1379*(1-1/life)+E1378/life</f>
        <v>7.6234375</v>
      </c>
      <c r="G1379" s="23" t="n">
        <f aca="false">F1379*(1-1/life)+F1378/life</f>
        <v>8.9205078125</v>
      </c>
      <c r="H1379" s="25" t="n">
        <f aca="false">H1372*H1380</f>
        <v>9.65584701254169</v>
      </c>
      <c r="I1379" s="25" t="n">
        <f aca="false">I1372*I1380</f>
        <v>10.3434999241527</v>
      </c>
      <c r="J1379" s="25" t="n">
        <f aca="false">J1372*J1380</f>
        <v>10.9641099196018</v>
      </c>
      <c r="K1379" s="3" t="s">
        <v>652</v>
      </c>
    </row>
    <row r="1380" customFormat="false" ht="17.15" hidden="false" customHeight="false" outlineLevel="0" collapsed="false">
      <c r="A1380" s="3" t="s">
        <v>653</v>
      </c>
      <c r="B1380" s="0" t="s">
        <v>44</v>
      </c>
      <c r="C1380" s="20" t="n">
        <f aca="false">C1379/C1372</f>
        <v>0.171607796281084</v>
      </c>
      <c r="D1380" s="20" t="n">
        <f aca="false">D1379/D1372</f>
        <v>0.120038074048276</v>
      </c>
      <c r="E1380" s="20" t="n">
        <f aca="false">E1379/E1372</f>
        <v>0.0836663424961285</v>
      </c>
      <c r="F1380" s="20" t="n">
        <f aca="false">F1379/F1372</f>
        <v>0.0858845569369883</v>
      </c>
      <c r="G1380" s="20" t="n">
        <f aca="false">G1379/G1372</f>
        <v>0.0918916373187933</v>
      </c>
      <c r="H1380" s="26" t="n">
        <f aca="false">$G1380</f>
        <v>0.0918916373187933</v>
      </c>
      <c r="I1380" s="26" t="n">
        <f aca="false">$G1380</f>
        <v>0.0918916373187933</v>
      </c>
      <c r="J1380" s="26" t="n">
        <f aca="false">$G1380</f>
        <v>0.0918916373187933</v>
      </c>
    </row>
    <row r="1381" customFormat="false" ht="17.15" hidden="false" customHeight="false" outlineLevel="0" collapsed="false">
      <c r="A1381" s="3" t="s">
        <v>654</v>
      </c>
      <c r="B1381" s="0" t="s">
        <v>333</v>
      </c>
      <c r="E1381" s="21" t="n">
        <f aca="false">E1367*(1-1/(E1352*E1353))</f>
        <v>4.94721664234135</v>
      </c>
      <c r="F1381" s="21" t="n">
        <f aca="false">F1367*(1-1/(F1352*F1353))</f>
        <v>3.68912480989031</v>
      </c>
      <c r="G1381" s="21" t="n">
        <f aca="false">G1367*(1-1/(G1352*G1353))</f>
        <v>1.67803226914231</v>
      </c>
      <c r="K1381" s="7" t="s">
        <v>655</v>
      </c>
    </row>
    <row r="1382" customFormat="false" ht="17.15" hidden="false" customHeight="false" outlineLevel="0" collapsed="false">
      <c r="A1382" s="3" t="s">
        <v>656</v>
      </c>
      <c r="B1382" s="0" t="s">
        <v>333</v>
      </c>
      <c r="C1382" s="21" t="n">
        <f aca="false">a25_gp</f>
        <v>3.647</v>
      </c>
      <c r="D1382" s="21" t="n">
        <f aca="false">a26_gp</f>
        <v>15.9001925</v>
      </c>
      <c r="E1382" s="21" t="n">
        <f aca="false">$D1382+ft_abf*(E1365-E1381-$D1365)+ft_oth*((E1372-E1365)-($D1372-$D1365))+E1381-(E1379-$D1379)</f>
        <v>28.7342282401707</v>
      </c>
      <c r="F1382" s="21" t="n">
        <f aca="false">$D1382+ft_abf*(F1365-F1381-$D1365)+ft_oth*((F1372-F1365)-($D1372-$D1365))+F1381-(F1379-$D1379)</f>
        <v>31.2153798712167</v>
      </c>
      <c r="G1382" s="21" t="n">
        <f aca="false">$D1382+ft_abf*(G1365-G1381-$D1365)+ft_oth*((G1372-G1365)-($D1372-$D1365))+G1381-(G1379-$D1379)</f>
        <v>32.9337370059331</v>
      </c>
      <c r="K1382" s="3" t="s">
        <v>657</v>
      </c>
    </row>
    <row r="1383" customFormat="false" ht="15" hidden="false" customHeight="false" outlineLevel="0" collapsed="false">
      <c r="A1383" s="3" t="s">
        <v>512</v>
      </c>
      <c r="B1383" s="0" t="s">
        <v>44</v>
      </c>
      <c r="C1383" s="16" t="n">
        <f aca="false">C1382/C1372</f>
        <v>0.0907823662659</v>
      </c>
      <c r="D1383" s="16" t="n">
        <f aca="false">D1382/D1372</f>
        <v>0.268820913337583</v>
      </c>
      <c r="E1383" s="16" t="n">
        <f aca="false">E1382/E1372</f>
        <v>0.35815087989632</v>
      </c>
      <c r="F1383" s="16" t="n">
        <f aca="false">F1382/F1372</f>
        <v>0.351668006704224</v>
      </c>
      <c r="G1383" s="16" t="n">
        <f aca="false">G1382/G1372</f>
        <v>0.339255912344029</v>
      </c>
    </row>
    <row r="1384" customFormat="false" ht="15" hidden="false" customHeight="false" outlineLevel="0" collapsed="false">
      <c r="A1384" s="3" t="s">
        <v>514</v>
      </c>
      <c r="B1384" s="0" t="s">
        <v>333</v>
      </c>
      <c r="C1384" s="21" t="n">
        <f aca="false">a25_opx</f>
        <v>1.665</v>
      </c>
      <c r="D1384" s="21" t="n">
        <f aca="false">a26_opx</f>
        <v>1.9</v>
      </c>
      <c r="E1384" s="21" t="n">
        <f aca="false">D1384*(1+phi*E1374)</f>
        <v>2.3063188</v>
      </c>
      <c r="F1384" s="21" t="n">
        <f aca="false">E1384*(1+phi*F1374)</f>
        <v>2.45351923142076</v>
      </c>
      <c r="G1384" s="21" t="n">
        <f aca="false">F1384*(1+phi*G1374)</f>
        <v>2.59138049822089</v>
      </c>
    </row>
    <row r="1385" customFormat="false" ht="15" hidden="false" customHeight="false" outlineLevel="0" collapsed="false">
      <c r="A1385" s="3" t="s">
        <v>517</v>
      </c>
      <c r="B1385" s="0" t="s">
        <v>333</v>
      </c>
      <c r="C1385" s="21" t="n">
        <f aca="false">C1382-C1384</f>
        <v>1.982</v>
      </c>
      <c r="D1385" s="21" t="n">
        <f aca="false">D1382-D1384</f>
        <v>14.0001925</v>
      </c>
      <c r="E1385" s="21" t="n">
        <f aca="false">E1382-E1384</f>
        <v>26.4279094401707</v>
      </c>
      <c r="F1385" s="21" t="n">
        <f aca="false">F1382-F1384</f>
        <v>28.761860639796</v>
      </c>
      <c r="G1385" s="21" t="n">
        <f aca="false">G1382-G1384</f>
        <v>30.3423565077122</v>
      </c>
    </row>
    <row r="1386" customFormat="false" ht="15" hidden="false" customHeight="false" outlineLevel="0" collapsed="false">
      <c r="A1386" s="3" t="s">
        <v>598</v>
      </c>
      <c r="B1386" s="0" t="s">
        <v>44</v>
      </c>
      <c r="C1386" s="16" t="n">
        <f aca="false">C1385/C1372</f>
        <v>0.0493366191222961</v>
      </c>
      <c r="D1386" s="16" t="n">
        <f aca="false">D1385/D1372</f>
        <v>0.236698048451424</v>
      </c>
      <c r="E1386" s="16" t="n">
        <f aca="false">E1385/E1372</f>
        <v>0.329404323676423</v>
      </c>
      <c r="F1386" s="16" t="n">
        <f aca="false">F1385/F1372</f>
        <v>0.324027009827558</v>
      </c>
      <c r="G1386" s="16" t="n">
        <f aca="false">G1385/G1372</f>
        <v>0.31256167005394</v>
      </c>
    </row>
    <row r="1387" customFormat="false" ht="15" hidden="false" customHeight="false" outlineLevel="0" collapsed="false">
      <c r="A1387" s="3" t="s">
        <v>520</v>
      </c>
      <c r="B1387" s="0" t="s">
        <v>333</v>
      </c>
      <c r="C1387" s="21" t="n">
        <f aca="false">a25_nonop</f>
        <v>0.364</v>
      </c>
      <c r="D1387" s="21" t="n">
        <f aca="false">a26_nonop</f>
        <v>0.623</v>
      </c>
      <c r="E1387" s="21" t="n">
        <f aca="false">nonop27</f>
        <v>0.6</v>
      </c>
      <c r="F1387" s="21" t="n">
        <f aca="false">nonop28</f>
        <v>0.6</v>
      </c>
      <c r="G1387" s="21" t="n">
        <f aca="false">nonop29</f>
        <v>0.6</v>
      </c>
    </row>
    <row r="1388" customFormat="false" ht="15" hidden="false" customHeight="false" outlineLevel="0" collapsed="false">
      <c r="A1388" s="3" t="s">
        <v>522</v>
      </c>
      <c r="B1388" s="0" t="s">
        <v>333</v>
      </c>
      <c r="C1388" s="21" t="n">
        <f aca="false">C1385+C1387</f>
        <v>2.346</v>
      </c>
      <c r="D1388" s="21" t="n">
        <f aca="false">D1385+D1387</f>
        <v>14.6231925</v>
      </c>
      <c r="E1388" s="21" t="n">
        <f aca="false">E1385+E1387</f>
        <v>27.0279094401707</v>
      </c>
      <c r="F1388" s="21" t="n">
        <f aca="false">F1385+F1387</f>
        <v>29.361860639796</v>
      </c>
      <c r="G1388" s="21" t="n">
        <f aca="false">G1385+G1387</f>
        <v>30.9423565077122</v>
      </c>
    </row>
    <row r="1389" customFormat="false" ht="15" hidden="false" customHeight="false" outlineLevel="0" collapsed="false">
      <c r="A1389" s="3" t="s">
        <v>525</v>
      </c>
      <c r="B1389" s="0" t="s">
        <v>333</v>
      </c>
      <c r="E1389" s="21" t="n">
        <f aca="false">E1388*tax_hi</f>
        <v>6.48669826564096</v>
      </c>
      <c r="F1389" s="21" t="n">
        <f aca="false">F1388*tax_hi</f>
        <v>7.04684655355103</v>
      </c>
      <c r="G1389" s="21" t="n">
        <f aca="false">G1388*tax_hi</f>
        <v>7.42616556185093</v>
      </c>
    </row>
    <row r="1390" customFormat="false" ht="15" hidden="false" customHeight="false" outlineLevel="0" collapsed="false">
      <c r="A1390" s="3" t="s">
        <v>523</v>
      </c>
      <c r="B1390" s="0" t="s">
        <v>333</v>
      </c>
      <c r="C1390" s="21" t="n">
        <f aca="false">a25_ni</f>
        <v>1.947</v>
      </c>
      <c r="D1390" s="21" t="n">
        <f aca="false">a26_ni</f>
        <v>11.509862075</v>
      </c>
      <c r="E1390" s="21" t="n">
        <f aca="false">E1388-E1389</f>
        <v>20.5412111745297</v>
      </c>
      <c r="F1390" s="21" t="n">
        <f aca="false">F1388-F1389</f>
        <v>22.3150140862449</v>
      </c>
      <c r="G1390" s="21" t="n">
        <f aca="false">G1388-G1389</f>
        <v>23.5161909458613</v>
      </c>
      <c r="H1390" s="30" t="n">
        <f aca="false">H1372*H1394</f>
        <v>25.7896179828512</v>
      </c>
      <c r="I1390" s="30" t="n">
        <f aca="false">I1372*I1394</f>
        <v>27.9850396138744</v>
      </c>
      <c r="J1390" s="30" t="n">
        <f aca="false">J1372*J1394</f>
        <v>30.0444515034082</v>
      </c>
    </row>
    <row r="1391" customFormat="false" ht="15" hidden="false" customHeight="false" outlineLevel="0" collapsed="false">
      <c r="A1391" s="3" t="s">
        <v>658</v>
      </c>
      <c r="B1391" s="3" t="s">
        <v>400</v>
      </c>
      <c r="C1391" s="29" t="n">
        <f aca="false">a25_sh</f>
        <v>0.646843853820598</v>
      </c>
      <c r="D1391" s="29" t="n">
        <f aca="false">a26_sh</f>
        <v>0.645863325123153</v>
      </c>
      <c r="E1391" s="29" t="n">
        <f aca="false">a26_shend*(1+sh_g)</f>
        <v>0.64617</v>
      </c>
      <c r="F1391" s="29" t="n">
        <f aca="false">E1391*(1+sh_g)</f>
        <v>0.64617</v>
      </c>
      <c r="G1391" s="29" t="n">
        <f aca="false">F1391*(1+sh_g)</f>
        <v>0.64617</v>
      </c>
      <c r="H1391" s="31" t="n">
        <f aca="false">G1391*(1+sh_g)</f>
        <v>0.64617</v>
      </c>
      <c r="I1391" s="31" t="n">
        <f aca="false">H1391*(1+sh_g)</f>
        <v>0.64617</v>
      </c>
      <c r="J1391" s="31" t="n">
        <f aca="false">I1391*(1+sh_g)</f>
        <v>0.64617</v>
      </c>
    </row>
    <row r="1392" customFormat="false" ht="17.15" hidden="false" customHeight="false" outlineLevel="0" collapsed="false">
      <c r="A1392" s="0" t="s">
        <v>528</v>
      </c>
      <c r="B1392" s="0" t="s">
        <v>406</v>
      </c>
      <c r="C1392" s="18" t="n">
        <f aca="false">C1390/C1391</f>
        <v>3.01</v>
      </c>
      <c r="D1392" s="18" t="n">
        <f aca="false">D1390/D1391</f>
        <v>17.820894339844</v>
      </c>
      <c r="E1392" s="18" t="n">
        <f aca="false">E1390/E1391</f>
        <v>31.7891749454938</v>
      </c>
      <c r="F1392" s="18" t="n">
        <f aca="false">F1390/F1391</f>
        <v>34.5342774908227</v>
      </c>
      <c r="G1392" s="18" t="n">
        <f aca="false">G1390/G1391</f>
        <v>36.3931952053814</v>
      </c>
      <c r="H1392" s="28" t="n">
        <f aca="false">H1390/H1391</f>
        <v>39.9115062334234</v>
      </c>
      <c r="I1392" s="28" t="n">
        <f aca="false">I1390/I1391</f>
        <v>43.309097627365</v>
      </c>
      <c r="J1392" s="28" t="n">
        <f aca="false">J1390/J1391</f>
        <v>46.4962030168659</v>
      </c>
    </row>
    <row r="1393" customFormat="false" ht="17.15" hidden="false" customHeight="false" outlineLevel="0" collapsed="false">
      <c r="A1393" s="0" t="s">
        <v>659</v>
      </c>
      <c r="B1393" s="0" t="s">
        <v>44</v>
      </c>
      <c r="D1393" s="20" t="n">
        <f aca="false">D1392/C1392-1</f>
        <v>4.92056290360265</v>
      </c>
      <c r="E1393" s="20" t="n">
        <f aca="false">E1392/D1392-1</f>
        <v>0.783814792864773</v>
      </c>
      <c r="F1393" s="20" t="n">
        <f aca="false">F1392/E1392-1</f>
        <v>0.0863533750100705</v>
      </c>
      <c r="G1393" s="20" t="n">
        <f aca="false">G1392/F1392-1</f>
        <v>0.0538281918610473</v>
      </c>
      <c r="H1393" s="26" t="n">
        <f aca="false">H1392/G1392-1</f>
        <v>0.0966749692679301</v>
      </c>
      <c r="I1393" s="26" t="n">
        <f aca="false">I1392/H1392-1</f>
        <v>0.0851281175426113</v>
      </c>
      <c r="J1393" s="26" t="n">
        <f aca="false">J1392/I1392-1</f>
        <v>0.0735897435897437</v>
      </c>
    </row>
    <row r="1394" customFormat="false" ht="17.15" hidden="false" customHeight="false" outlineLevel="0" collapsed="false">
      <c r="A1394" s="3" t="s">
        <v>660</v>
      </c>
      <c r="B1394" s="0" t="s">
        <v>44</v>
      </c>
      <c r="C1394" s="16" t="n">
        <f aca="false">C1390/C1372</f>
        <v>0.0484653872003585</v>
      </c>
      <c r="D1394" s="16" t="n">
        <f aca="false">D1390/D1372</f>
        <v>0.194594602259759</v>
      </c>
      <c r="E1394" s="16" t="n">
        <f aca="false">E1390/E1372</f>
        <v>0.256030988367003</v>
      </c>
      <c r="F1394" s="16" t="n">
        <f aca="false">F1390/F1372</f>
        <v>0.251397758273718</v>
      </c>
      <c r="G1394" s="16" t="n">
        <f aca="false">G1390/G1372</f>
        <v>0.242244201220084</v>
      </c>
      <c r="H1394" s="27" t="n">
        <f aca="false">$G1394+(fade_mA-$G1394)*1/3</f>
        <v>0.245431624920348</v>
      </c>
      <c r="I1394" s="27" t="n">
        <f aca="false">$G1394+(fade_mA-$G1394)*2/3</f>
        <v>0.248619048620612</v>
      </c>
      <c r="J1394" s="27" t="n">
        <f aca="false">$G1394+(fade_mA-$G1394)*3/3</f>
        <v>0.251806472320876</v>
      </c>
    </row>
    <row r="1395" customFormat="false" ht="17.15" hidden="false" customHeight="false" outlineLevel="0" collapsed="false">
      <c r="A1395" s="3" t="s">
        <v>661</v>
      </c>
      <c r="B1395" s="0" t="s">
        <v>44</v>
      </c>
      <c r="C1395" s="20" t="n">
        <f aca="false">C1378/C1372</f>
        <v>0.0602892489980833</v>
      </c>
      <c r="D1395" s="20" t="n">
        <f aca="false">D1378/D1372</f>
        <v>0.0676270839708595</v>
      </c>
      <c r="E1395" s="20" t="n">
        <f aca="false">E1378/E1372</f>
        <v>0.174499634256357</v>
      </c>
      <c r="F1395" s="20" t="n">
        <f aca="false">F1378/F1372</f>
        <v>0.202785426504223</v>
      </c>
      <c r="G1395" s="20" t="n">
        <f aca="false">G1378/G1372</f>
        <v>0.123613999449711</v>
      </c>
      <c r="H1395" s="26" t="n">
        <f aca="false">$G1395+($G1380*(1+tp_g)^(life/2)-$G1395)*1/3</f>
        <v>0.118242739136409</v>
      </c>
      <c r="I1395" s="26" t="n">
        <f aca="false">$G1395+($G1380*(1+tp_g)^(life/2)-$G1395)*2/3</f>
        <v>0.112871478823108</v>
      </c>
      <c r="J1395" s="26" t="n">
        <f aca="false">$G1395+($G1380*(1+tp_g)^(life/2)-$G1395)*3/3</f>
        <v>0.107500218509806</v>
      </c>
      <c r="K1395" s="7" t="s">
        <v>662</v>
      </c>
    </row>
    <row r="1396" customFormat="false" ht="15" hidden="false" customHeight="false" outlineLevel="0" collapsed="false">
      <c r="A1396" s="3" t="s">
        <v>663</v>
      </c>
      <c r="B1396" s="0" t="s">
        <v>333</v>
      </c>
      <c r="E1396" s="21" t="n">
        <f aca="false">E1390+E1379-E1378</f>
        <v>13.2537111745297</v>
      </c>
      <c r="F1396" s="21" t="n">
        <f aca="false">F1390+F1379-F1378</f>
        <v>11.9384515862449</v>
      </c>
      <c r="G1396" s="21" t="n">
        <f aca="false">G1390+G1379-G1378</f>
        <v>20.4366987583613</v>
      </c>
      <c r="H1396" s="30" t="n">
        <f aca="false">H1390+H1379-H1378</f>
        <v>23.020680403906</v>
      </c>
      <c r="I1396" s="30" t="n">
        <f aca="false">I1390+I1379-I1378</f>
        <v>25.6235081912078</v>
      </c>
      <c r="J1396" s="30" t="n">
        <f aca="false">J1390+J1379-J1378</f>
        <v>28.182103580783</v>
      </c>
      <c r="K1396" s="3" t="s">
        <v>664</v>
      </c>
    </row>
    <row r="1397" customFormat="false" ht="15" hidden="false" customHeight="false" outlineLevel="0" collapsed="false">
      <c r="A1397" s="3" t="s">
        <v>665</v>
      </c>
      <c r="B1397" s="0" t="s">
        <v>406</v>
      </c>
      <c r="E1397" s="18" t="n">
        <f aca="false">E1396/E1391</f>
        <v>20.5111830857665</v>
      </c>
      <c r="F1397" s="18" t="n">
        <f aca="false">F1396/F1391</f>
        <v>18.475713181121</v>
      </c>
      <c r="G1397" s="18" t="n">
        <f aca="false">G1396/G1391</f>
        <v>31.6274335830529</v>
      </c>
      <c r="H1397" s="28" t="n">
        <f aca="false">H1396/H1391</f>
        <v>35.6263528234149</v>
      </c>
      <c r="I1397" s="28" t="n">
        <f aca="false">I1396/I1391</f>
        <v>39.6544379825864</v>
      </c>
      <c r="J1397" s="28" t="n">
        <f aca="false">J1396/J1391</f>
        <v>43.6140699518439</v>
      </c>
    </row>
    <row r="1400" customFormat="false" ht="17.15" hidden="false" customHeight="false" outlineLevel="0" collapsed="false">
      <c r="A1400" s="1" t="s">
        <v>1032</v>
      </c>
    </row>
    <row r="1401" customFormat="false" ht="17.15" hidden="false" customHeight="false" outlineLevel="0" collapsed="false">
      <c r="A1401" s="4" t="s">
        <v>21</v>
      </c>
      <c r="B1401" s="4" t="s">
        <v>22</v>
      </c>
      <c r="C1401" s="13" t="s">
        <v>498</v>
      </c>
      <c r="D1401" s="13" t="s">
        <v>585</v>
      </c>
      <c r="E1401" s="13" t="s">
        <v>586</v>
      </c>
      <c r="F1401" s="13" t="s">
        <v>587</v>
      </c>
      <c r="G1401" s="13" t="s">
        <v>588</v>
      </c>
      <c r="H1401" s="13" t="s">
        <v>589</v>
      </c>
      <c r="I1401" s="13" t="s">
        <v>590</v>
      </c>
      <c r="J1401" s="13" t="s">
        <v>591</v>
      </c>
      <c r="K1401" s="4" t="s">
        <v>553</v>
      </c>
    </row>
    <row r="1402" customFormat="false" ht="17.15" hidden="false" customHeight="false" outlineLevel="0" collapsed="false">
      <c r="A1402" s="5" t="s">
        <v>609</v>
      </c>
    </row>
    <row r="1403" customFormat="false" ht="17.15" hidden="false" customHeight="false" outlineLevel="0" collapsed="false">
      <c r="A1403" s="0" t="s">
        <v>610</v>
      </c>
      <c r="B1403" s="3" t="s">
        <v>32</v>
      </c>
      <c r="D1403" s="21" t="n">
        <f aca="false">(u_bw_26+u_rb_26+u_ru_26+u_hp_26)*1</f>
        <v>7.6</v>
      </c>
      <c r="E1403" s="21" t="n">
        <f aca="false">(u_bw_27+u_rb_27+u_ru_27+u_hp_27)*1*1</f>
        <v>9.7</v>
      </c>
      <c r="F1403" s="21" t="n">
        <f aca="false">(u_bw_28+u_rb_28+u_ru_28+u_hp_28)*um28_A*1</f>
        <v>9.5</v>
      </c>
      <c r="G1403" s="21" t="n">
        <f aca="false">(u_bw_28*(1+g29_bw)+u_rb_28*(1+g29_rb)+u_ru_28*(1+g29_ru)+u_hp_28*(1+g29_hp))*um29_A*1</f>
        <v>10.6</v>
      </c>
      <c r="K1403" s="7" t="s">
        <v>611</v>
      </c>
    </row>
    <row r="1404" customFormat="false" ht="17.15" hidden="false" customHeight="false" outlineLevel="0" collapsed="false">
      <c r="A1404" s="3" t="s">
        <v>612</v>
      </c>
      <c r="B1404" s="3" t="s">
        <v>32</v>
      </c>
      <c r="D1404" s="21" t="n">
        <f aca="false">(u_amd_26+u_tpu_26+u_trn_26+u_oth_26)*1</f>
        <v>7.6</v>
      </c>
      <c r="E1404" s="21" t="n">
        <f aca="false">(u_amd_27+u_tpu_27+u_trn_27+u_oth_27)*1*1</f>
        <v>14</v>
      </c>
      <c r="F1404" s="21" t="n">
        <f aca="false">(u_amd_28+u_tpu_28+u_trn_28+u_oth_28)*um28_A*1</f>
        <v>17</v>
      </c>
      <c r="G1404" s="21" t="n">
        <f aca="false">(u_amd_28*(1+g29_amd)+u_tpu_28*(1+g29_tpu)+u_trn_28*(1+g29_trn)+u_oth_28*(1+g29_oth))*um29_A*1</f>
        <v>19.55</v>
      </c>
      <c r="K1404" s="7" t="s">
        <v>613</v>
      </c>
    </row>
    <row r="1405" customFormat="false" ht="17.15" hidden="false" customHeight="false" outlineLevel="0" collapsed="false">
      <c r="A1405" s="3" t="s">
        <v>614</v>
      </c>
      <c r="B1405" s="0" t="s">
        <v>154</v>
      </c>
      <c r="D1405" s="19" t="n">
        <f aca="false">1</f>
        <v>1</v>
      </c>
      <c r="E1405" s="19" t="n">
        <f aca="false">D1405*(1+g_asp)</f>
        <v>1.18</v>
      </c>
      <c r="F1405" s="19" t="n">
        <f aca="false">E1405*(1+g_asp)</f>
        <v>1.3924</v>
      </c>
      <c r="G1405" s="19" t="n">
        <f aca="false">F1405*(1+g_asp)</f>
        <v>1.643032</v>
      </c>
      <c r="K1405" s="7" t="s">
        <v>615</v>
      </c>
    </row>
    <row r="1406" customFormat="false" ht="17.15" hidden="false" customHeight="false" outlineLevel="0" collapsed="false">
      <c r="A1406" s="0" t="s">
        <v>616</v>
      </c>
      <c r="B1406" s="0" t="s">
        <v>154</v>
      </c>
      <c r="D1406" s="18" t="n">
        <f aca="false">1</f>
        <v>1</v>
      </c>
      <c r="E1406" s="18" t="n">
        <f aca="false">ibpp_27</f>
        <v>1</v>
      </c>
      <c r="F1406" s="18" t="n">
        <f aca="false">ibpp_28</f>
        <v>0.95</v>
      </c>
      <c r="G1406" s="18" t="n">
        <f aca="false">ibpp_29</f>
        <v>0.9</v>
      </c>
      <c r="K1406" s="7" t="s">
        <v>617</v>
      </c>
    </row>
    <row r="1407" customFormat="false" ht="17.15" hidden="false" customHeight="false" outlineLevel="0" collapsed="false">
      <c r="A1407" s="3" t="s">
        <v>618</v>
      </c>
      <c r="B1407" s="0" t="s">
        <v>154</v>
      </c>
      <c r="D1407" s="18" t="n">
        <f aca="false">1</f>
        <v>1</v>
      </c>
      <c r="E1407" s="18" t="n">
        <f aca="false">1+carry</f>
        <v>1.15</v>
      </c>
      <c r="F1407" s="18" t="n">
        <f aca="false">1+carry</f>
        <v>1.15</v>
      </c>
      <c r="G1407" s="18" t="n">
        <f aca="false">1+carry</f>
        <v>1.15</v>
      </c>
      <c r="K1407" s="7" t="s">
        <v>619</v>
      </c>
    </row>
    <row r="1408" customFormat="false" ht="17.15" hidden="false" customHeight="false" outlineLevel="0" collapsed="false">
      <c r="A1408" s="3" t="s">
        <v>620</v>
      </c>
      <c r="B1408" s="0" t="s">
        <v>621</v>
      </c>
      <c r="D1408" s="23" t="n">
        <f aca="false">v26*D1405*D1406</f>
        <v>215.308596</v>
      </c>
      <c r="E1408" s="23" t="n">
        <f aca="false">v26*E1405*E1406</f>
        <v>254.06414328</v>
      </c>
      <c r="F1408" s="23" t="n">
        <f aca="false">v26*F1405*F1406</f>
        <v>284.80590461688</v>
      </c>
      <c r="G1408" s="23" t="n">
        <f aca="false">v26*G1405*G1406</f>
        <v>318.383021792765</v>
      </c>
      <c r="K1408" s="7" t="s">
        <v>622</v>
      </c>
    </row>
    <row r="1409" customFormat="false" ht="17.15" hidden="false" customHeight="false" outlineLevel="0" collapsed="false">
      <c r="A1409" s="3" t="s">
        <v>623</v>
      </c>
      <c r="B1409" s="0" t="s">
        <v>44</v>
      </c>
      <c r="D1409" s="20" t="n">
        <f aca="false">sh_nv_26</f>
        <v>0.02</v>
      </c>
      <c r="E1409" s="20" t="n">
        <f aca="false">sh_nv_27</f>
        <v>0.03</v>
      </c>
      <c r="F1409" s="20" t="n">
        <f aca="false">sh_nv_28</f>
        <v>0.04</v>
      </c>
      <c r="G1409" s="20" t="n">
        <f aca="false">sh_nv_29</f>
        <v>0.04</v>
      </c>
    </row>
    <row r="1410" customFormat="false" ht="17.15" hidden="false" customHeight="false" outlineLevel="0" collapsed="false">
      <c r="A1410" s="3" t="s">
        <v>624</v>
      </c>
      <c r="B1410" s="0" t="s">
        <v>44</v>
      </c>
      <c r="D1410" s="20" t="n">
        <f aca="false">sh_ot_26</f>
        <v>0.05</v>
      </c>
      <c r="E1410" s="20" t="n">
        <f aca="false">sh_ot_27</f>
        <v>0.06</v>
      </c>
      <c r="F1410" s="20" t="n">
        <f aca="false">sh_ot_28</f>
        <v>0.07</v>
      </c>
      <c r="G1410" s="20" t="n">
        <f aca="false">sh_ot_29</f>
        <v>0.07</v>
      </c>
    </row>
    <row r="1411" customFormat="false" ht="17.15" hidden="false" customHeight="false" outlineLevel="0" collapsed="false">
      <c r="A1411" s="3" t="s">
        <v>625</v>
      </c>
      <c r="B1411" s="0" t="s">
        <v>575</v>
      </c>
      <c r="D1411" s="22" t="n">
        <f aca="false">(D1403*D1408*D1409+D1404*D1408*v_ot*D1410)*D1407</f>
        <v>98.180719776</v>
      </c>
      <c r="E1411" s="22" t="n">
        <f aca="false">(E1403*E1408*E1409+E1404*E1408*v_ot*E1410)*E1407</f>
        <v>281.363335475436</v>
      </c>
      <c r="F1411" s="22" t="n">
        <f aca="false">(F1403*F1408*F1409+F1404*F1408*v_ot*F1410)*F1407</f>
        <v>436.265684692137</v>
      </c>
      <c r="G1411" s="22" t="n">
        <f aca="false">(G1403*G1408*G1409+G1404*G1408*v_ot*G1410)*G1407</f>
        <v>556.094153523679</v>
      </c>
    </row>
    <row r="1412" customFormat="false" ht="15" hidden="false" customHeight="false" outlineLevel="0" collapsed="false">
      <c r="A1412" s="3" t="s">
        <v>626</v>
      </c>
      <c r="B1412" s="0" t="s">
        <v>333</v>
      </c>
      <c r="D1412" s="21" t="n">
        <f aca="false">D1411*fx/1000</f>
        <v>3.141783032832</v>
      </c>
      <c r="E1412" s="21" t="n">
        <f aca="false">E1411*fx/1000</f>
        <v>9.00362673521395</v>
      </c>
      <c r="F1412" s="21" t="n">
        <f aca="false">F1411*fx/1000</f>
        <v>13.9605019101484</v>
      </c>
      <c r="G1412" s="21" t="n">
        <f aca="false">G1411*fx/1000</f>
        <v>17.7950129127577</v>
      </c>
    </row>
    <row r="1413" customFormat="false" ht="17.15" hidden="false" customHeight="false" outlineLevel="0" collapsed="false">
      <c r="A1413" s="5" t="s">
        <v>627</v>
      </c>
    </row>
    <row r="1414" customFormat="false" ht="17.15" hidden="false" customHeight="false" outlineLevel="0" collapsed="false">
      <c r="A1414" s="0" t="s">
        <v>628</v>
      </c>
      <c r="B1414" s="0" t="s">
        <v>333</v>
      </c>
      <c r="D1414" s="21" t="n">
        <f aca="false">a26_abf*ai_abf</f>
        <v>22.2987583</v>
      </c>
      <c r="K1414" s="3" t="s">
        <v>629</v>
      </c>
    </row>
    <row r="1415" customFormat="false" ht="17.15" hidden="false" customHeight="false" outlineLevel="0" collapsed="false">
      <c r="A1415" s="3" t="s">
        <v>630</v>
      </c>
      <c r="B1415" s="0" t="s">
        <v>333</v>
      </c>
      <c r="D1415" s="21" t="n">
        <f aca="false">D1414-D1412</f>
        <v>19.156975267168</v>
      </c>
      <c r="E1415" s="21" t="n">
        <f aca="false">$D1415*(swm_27/swm_26)^el_o*1*1*E1406*E1407</f>
        <v>30.814372309298</v>
      </c>
      <c r="F1415" s="21" t="n">
        <f aca="false">$D1415*(swm_28/swm_26)^el_o*um28_A*1*F1406*F1407</f>
        <v>31.4910971539819</v>
      </c>
      <c r="G1415" s="21" t="n">
        <f aca="false">$D1415*(swm_29/swm_26)^el_o*um29_A*1*G1406*G1407</f>
        <v>31.8267984747363</v>
      </c>
      <c r="K1415" s="7" t="s">
        <v>631</v>
      </c>
    </row>
    <row r="1416" customFormat="false" ht="17.15" hidden="false" customHeight="false" outlineLevel="0" collapsed="false">
      <c r="A1416" s="3" t="s">
        <v>632</v>
      </c>
      <c r="B1416" s="0" t="s">
        <v>333</v>
      </c>
      <c r="D1416" s="21" t="n">
        <f aca="false">a26_abf-D1414</f>
        <v>12.0070237</v>
      </c>
      <c r="E1416" s="21" t="n">
        <f aca="false">D1416*(1+g_nai)</f>
        <v>12.367234411</v>
      </c>
      <c r="F1416" s="21" t="n">
        <f aca="false">E1416*(1+g_nai)</f>
        <v>12.73825144333</v>
      </c>
      <c r="G1416" s="21" t="n">
        <f aca="false">F1416*(1+g_nai)</f>
        <v>13.1203989866299</v>
      </c>
    </row>
    <row r="1417" customFormat="false" ht="17.15" hidden="false" customHeight="false" outlineLevel="0" collapsed="false">
      <c r="A1417" s="0" t="s">
        <v>633</v>
      </c>
      <c r="B1417" s="0" t="s">
        <v>333</v>
      </c>
      <c r="D1417" s="21" t="n">
        <f aca="false">D1412+D1415+D1416</f>
        <v>34.305782</v>
      </c>
      <c r="E1417" s="21" t="n">
        <f aca="false">E1412+E1415+E1416</f>
        <v>52.185233455512</v>
      </c>
      <c r="F1417" s="21" t="n">
        <f aca="false">F1412+F1415+F1416</f>
        <v>58.1898505074603</v>
      </c>
      <c r="G1417" s="21" t="n">
        <f aca="false">G1412+G1415+G1416</f>
        <v>62.7422103741239</v>
      </c>
    </row>
    <row r="1418" customFormat="false" ht="17.15" hidden="false" customHeight="false" outlineLevel="0" collapsed="false">
      <c r="A1418" s="0" t="s">
        <v>634</v>
      </c>
      <c r="B1418" s="0" t="s">
        <v>333</v>
      </c>
      <c r="D1418" s="21" t="n">
        <f aca="false">a26_abf</f>
        <v>34.305782</v>
      </c>
      <c r="E1418" s="21" t="n">
        <f aca="false">$D1417*cap_27*(1+g_mix)^1*E1406*E1407</f>
        <v>49.709078118</v>
      </c>
      <c r="F1418" s="21" t="n">
        <f aca="false">$D1417*cap_28*(1+g_mix)^2*F1406*F1407</f>
        <v>55.7829061005431</v>
      </c>
      <c r="G1418" s="21" t="n">
        <f aca="false">$D1417*cap_29*(1+g_mix)^3*G1406*G1407</f>
        <v>65.765110350114</v>
      </c>
      <c r="K1418" s="7" t="s">
        <v>635</v>
      </c>
    </row>
    <row r="1419" customFormat="false" ht="17.15" hidden="false" customHeight="false" outlineLevel="0" collapsed="false">
      <c r="A1419" s="0" t="s">
        <v>636</v>
      </c>
      <c r="B1419" s="0" t="s">
        <v>333</v>
      </c>
      <c r="D1419" s="21" t="n">
        <f aca="false">a26_abf</f>
        <v>34.305782</v>
      </c>
      <c r="E1419" s="21" t="n">
        <f aca="false">MIN(E1417,E1418)</f>
        <v>49.709078118</v>
      </c>
      <c r="F1419" s="21" t="n">
        <f aca="false">MIN(F1417,F1418)</f>
        <v>55.7829061005431</v>
      </c>
      <c r="G1419" s="21" t="n">
        <f aca="false">MIN(G1417,G1418)</f>
        <v>62.7422103741239</v>
      </c>
    </row>
    <row r="1420" customFormat="false" ht="17.15" hidden="false" customHeight="false" outlineLevel="0" collapsed="false">
      <c r="A1420" s="3" t="s">
        <v>637</v>
      </c>
      <c r="B1420" s="0" t="s">
        <v>44</v>
      </c>
      <c r="D1420" s="20" t="n">
        <f aca="false">D1419/D1417</f>
        <v>1</v>
      </c>
      <c r="E1420" s="20" t="n">
        <f aca="false">E1419/E1417</f>
        <v>0.952550651332759</v>
      </c>
      <c r="F1420" s="20" t="n">
        <f aca="false">F1419/F1417</f>
        <v>0.958636353489023</v>
      </c>
      <c r="G1420" s="20" t="n">
        <f aca="false">G1419/G1417</f>
        <v>1</v>
      </c>
    </row>
    <row r="1421" customFormat="false" ht="17.15" hidden="false" customHeight="false" outlineLevel="0" collapsed="false">
      <c r="A1421" s="0" t="s">
        <v>638</v>
      </c>
      <c r="B1421" s="0" t="s">
        <v>333</v>
      </c>
      <c r="D1421" s="21" t="n">
        <f aca="false">(D1412+D1415)*D1420</f>
        <v>22.2987583</v>
      </c>
      <c r="E1421" s="21" t="n">
        <f aca="false">(E1412+E1415)*E1420</f>
        <v>37.928660924617</v>
      </c>
      <c r="F1421" s="21" t="n">
        <f aca="false">(F1412+F1415)*F1420</f>
        <v>43.571555187083</v>
      </c>
      <c r="G1421" s="21" t="n">
        <f aca="false">(G1412+G1415)*G1420</f>
        <v>49.621811387494</v>
      </c>
    </row>
    <row r="1422" customFormat="false" ht="17.15" hidden="false" customHeight="false" outlineLevel="0" collapsed="false">
      <c r="A1422" s="3" t="s">
        <v>639</v>
      </c>
      <c r="B1422" s="0" t="s">
        <v>44</v>
      </c>
      <c r="D1422" s="20" t="n">
        <f aca="false">D1412/(D1412+D1415)</f>
        <v>0.140894976776891</v>
      </c>
      <c r="E1422" s="20" t="n">
        <f aca="false">E1412/(E1412+E1415)</f>
        <v>0.226119517586731</v>
      </c>
      <c r="F1422" s="20" t="n">
        <f aca="false">F1412/(F1412+F1415)</f>
        <v>0.307150951728908</v>
      </c>
      <c r="G1422" s="20" t="n">
        <f aca="false">G1412/(G1412+G1415)</f>
        <v>0.358612723219583</v>
      </c>
    </row>
    <row r="1423" customFormat="false" ht="17.15" hidden="false" customHeight="false" outlineLevel="0" collapsed="false">
      <c r="A1423" s="5" t="s">
        <v>640</v>
      </c>
    </row>
    <row r="1424" customFormat="false" ht="17.15" hidden="false" customHeight="false" outlineLevel="0" collapsed="false">
      <c r="A1424" s="0" t="s">
        <v>641</v>
      </c>
      <c r="B1424" s="0" t="s">
        <v>333</v>
      </c>
      <c r="D1424" s="21" t="n">
        <f aca="false">a26_bt</f>
        <v>18.927328</v>
      </c>
      <c r="E1424" s="21" t="n">
        <f aca="false">D1424*(1+g_bt27_A)</f>
        <v>24.6055264</v>
      </c>
      <c r="F1424" s="21" t="n">
        <f aca="false">E1424*(1+g_bt28_A)</f>
        <v>27.06607904</v>
      </c>
      <c r="G1424" s="21" t="n">
        <f aca="false">F1424*(1+g_bt29_A)</f>
        <v>28.419382992</v>
      </c>
      <c r="K1424" s="7" t="s">
        <v>642</v>
      </c>
    </row>
    <row r="1425" customFormat="false" ht="17.15" hidden="false" customHeight="false" outlineLevel="0" collapsed="false">
      <c r="A1425" s="0" t="s">
        <v>540</v>
      </c>
      <c r="B1425" s="0" t="s">
        <v>333</v>
      </c>
      <c r="D1425" s="21" t="n">
        <f aca="false">a26_pcb</f>
        <v>5.91479</v>
      </c>
      <c r="E1425" s="21" t="n">
        <f aca="false">D1425*(1+g_pcb)</f>
        <v>5.91479</v>
      </c>
      <c r="F1425" s="21" t="n">
        <f aca="false">E1425*(1+g_pcb)</f>
        <v>5.91479</v>
      </c>
      <c r="G1425" s="21" t="n">
        <f aca="false">F1425*(1+g_pcb)</f>
        <v>5.91479</v>
      </c>
    </row>
    <row r="1426" customFormat="false" ht="17.15" hidden="false" customHeight="false" outlineLevel="0" collapsed="false">
      <c r="A1426" s="3" t="s">
        <v>505</v>
      </c>
      <c r="B1426" s="0" t="s">
        <v>333</v>
      </c>
      <c r="C1426" s="23" t="n">
        <f aca="false">a25_rev</f>
        <v>40.173</v>
      </c>
      <c r="D1426" s="23" t="n">
        <f aca="false">D1419+D1424+D1425</f>
        <v>59.1479</v>
      </c>
      <c r="E1426" s="23" t="n">
        <f aca="false">E1419+E1424+E1425</f>
        <v>80.229394518</v>
      </c>
      <c r="F1426" s="23" t="n">
        <f aca="false">F1419+F1424+F1425</f>
        <v>88.7637751405431</v>
      </c>
      <c r="G1426" s="23" t="n">
        <f aca="false">G1419+G1424+G1425</f>
        <v>97.0763833661239</v>
      </c>
      <c r="H1426" s="25" t="n">
        <f aca="false">G1426*(1+H1428)</f>
        <v>105.078626241508</v>
      </c>
      <c r="I1426" s="25" t="n">
        <f aca="false">H1426*(1+I1428)</f>
        <v>112.561928658085</v>
      </c>
      <c r="J1426" s="25" t="n">
        <f aca="false">I1426*(1+J1428)</f>
        <v>119.315644377571</v>
      </c>
      <c r="K1426" s="7" t="s">
        <v>643</v>
      </c>
    </row>
    <row r="1427" customFormat="false" ht="17.15" hidden="false" customHeight="false" outlineLevel="0" collapsed="false">
      <c r="A1427" s="3" t="s">
        <v>644</v>
      </c>
      <c r="B1427" s="0" t="s">
        <v>333</v>
      </c>
      <c r="D1427" s="19" t="n">
        <f aca="false">D1419+D1424+D1425-a26_rev</f>
        <v>0</v>
      </c>
      <c r="E1427" s="19" t="n">
        <f aca="false">E1419+E1424+E1425-E1426</f>
        <v>0</v>
      </c>
      <c r="F1427" s="19" t="n">
        <f aca="false">F1419+F1424+F1425-F1426</f>
        <v>0</v>
      </c>
      <c r="G1427" s="19" t="n">
        <f aca="false">G1419+G1424+G1425-G1426</f>
        <v>0</v>
      </c>
    </row>
    <row r="1428" customFormat="false" ht="15" hidden="false" customHeight="false" outlineLevel="0" collapsed="false">
      <c r="A1428" s="3" t="s">
        <v>645</v>
      </c>
      <c r="B1428" s="0" t="s">
        <v>44</v>
      </c>
      <c r="D1428" s="20" t="n">
        <f aca="false">D1426/C1426-1</f>
        <v>0.472329674159261</v>
      </c>
      <c r="E1428" s="20" t="n">
        <f aca="false">E1426/D1426-1</f>
        <v>0.35642</v>
      </c>
      <c r="F1428" s="20" t="n">
        <f aca="false">F1426/E1426-1</f>
        <v>0.106374735517023</v>
      </c>
      <c r="G1428" s="20" t="n">
        <f aca="false">G1426/F1426-1</f>
        <v>0.0936486557992731</v>
      </c>
      <c r="H1428" s="26" t="n">
        <f aca="false">$G1428+(fade_gA-$G1428)*1/3</f>
        <v>0.0824324371995154</v>
      </c>
      <c r="I1428" s="26" t="n">
        <f aca="false">$G1428+(fade_gA-$G1428)*2/3</f>
        <v>0.0712162185997577</v>
      </c>
      <c r="J1428" s="26" t="n">
        <f aca="false">$G1428+(fade_gA-$G1428)*3/3</f>
        <v>0.06</v>
      </c>
    </row>
    <row r="1429" customFormat="false" ht="17.15" hidden="false" customHeight="false" outlineLevel="0" collapsed="false">
      <c r="A1429" s="0" t="s">
        <v>646</v>
      </c>
      <c r="B1429" s="0" t="s">
        <v>44</v>
      </c>
      <c r="D1429" s="20" t="n">
        <f aca="false">D1419/D1426</f>
        <v>0.58</v>
      </c>
      <c r="E1429" s="20" t="n">
        <f aca="false">E1419/E1426</f>
        <v>0.619586853629407</v>
      </c>
      <c r="F1429" s="20" t="n">
        <f aca="false">F1419/F1426</f>
        <v>0.62844224473576</v>
      </c>
      <c r="G1429" s="20" t="n">
        <f aca="false">G1419/G1426</f>
        <v>0.646317963221718</v>
      </c>
    </row>
    <row r="1430" customFormat="false" ht="17.15" hidden="false" customHeight="false" outlineLevel="0" collapsed="false">
      <c r="A1430" s="0" t="s">
        <v>647</v>
      </c>
      <c r="B1430" s="0" t="s">
        <v>44</v>
      </c>
      <c r="D1430" s="20" t="n">
        <f aca="false">D1421/D1426</f>
        <v>0.377</v>
      </c>
      <c r="E1430" s="20" t="n">
        <f aca="false">E1421/E1426</f>
        <v>0.472752675655648</v>
      </c>
      <c r="F1430" s="20" t="n">
        <f aca="false">F1421/F1426</f>
        <v>0.490870911225829</v>
      </c>
      <c r="G1430" s="20" t="n">
        <f aca="false">G1421/G1426</f>
        <v>0.511162547128947</v>
      </c>
      <c r="K1430" s="3" t="s">
        <v>648</v>
      </c>
    </row>
    <row r="1431" customFormat="false" ht="17.15" hidden="false" customHeight="false" outlineLevel="0" collapsed="false">
      <c r="A1431" s="5" t="s">
        <v>649</v>
      </c>
    </row>
    <row r="1432" customFormat="false" ht="15" hidden="false" customHeight="false" outlineLevel="0" collapsed="false">
      <c r="A1432" s="3" t="s">
        <v>650</v>
      </c>
      <c r="B1432" s="0" t="s">
        <v>333</v>
      </c>
      <c r="C1432" s="23" t="n">
        <f aca="false">a25_cx</f>
        <v>2.422</v>
      </c>
      <c r="D1432" s="23" t="n">
        <f aca="false">capex26</f>
        <v>4</v>
      </c>
      <c r="E1432" s="23" t="n">
        <f aca="false">cx27</f>
        <v>14</v>
      </c>
      <c r="F1432" s="23" t="n">
        <f aca="false">cx28</f>
        <v>18</v>
      </c>
      <c r="G1432" s="23" t="n">
        <f aca="false">cx29</f>
        <v>12</v>
      </c>
      <c r="H1432" s="25" t="n">
        <f aca="false">H1426*H1449</f>
        <v>12.4247845914869</v>
      </c>
      <c r="I1432" s="25" t="n">
        <f aca="false">I1426*I1449</f>
        <v>12.7050313468192</v>
      </c>
      <c r="J1432" s="25" t="n">
        <f aca="false">J1426*J1449</f>
        <v>12.8264578422271</v>
      </c>
    </row>
    <row r="1433" customFormat="false" ht="17.15" hidden="false" customHeight="false" outlineLevel="0" collapsed="false">
      <c r="A1433" s="3" t="s">
        <v>651</v>
      </c>
      <c r="B1433" s="0" t="s">
        <v>333</v>
      </c>
      <c r="C1433" s="23" t="n">
        <f aca="false">a25_da</f>
        <v>6.894</v>
      </c>
      <c r="D1433" s="23" t="n">
        <f aca="false">da26</f>
        <v>7.1</v>
      </c>
      <c r="E1433" s="23" t="n">
        <f aca="false">D1433*(1-1/life)+D1432/life</f>
        <v>6.7125</v>
      </c>
      <c r="F1433" s="23" t="n">
        <f aca="false">E1433*(1-1/life)+E1432/life</f>
        <v>7.6234375</v>
      </c>
      <c r="G1433" s="23" t="n">
        <f aca="false">F1433*(1-1/life)+F1432/life</f>
        <v>8.9205078125</v>
      </c>
      <c r="H1433" s="25" t="n">
        <f aca="false">H1426*H1434</f>
        <v>9.65584701254169</v>
      </c>
      <c r="I1433" s="25" t="n">
        <f aca="false">I1426*I1434</f>
        <v>10.3434999241527</v>
      </c>
      <c r="J1433" s="25" t="n">
        <f aca="false">J1426*J1434</f>
        <v>10.9641099196018</v>
      </c>
      <c r="K1433" s="3" t="s">
        <v>652</v>
      </c>
    </row>
    <row r="1434" customFormat="false" ht="17.15" hidden="false" customHeight="false" outlineLevel="0" collapsed="false">
      <c r="A1434" s="3" t="s">
        <v>653</v>
      </c>
      <c r="B1434" s="0" t="s">
        <v>44</v>
      </c>
      <c r="C1434" s="20" t="n">
        <f aca="false">C1433/C1426</f>
        <v>0.171607796281084</v>
      </c>
      <c r="D1434" s="20" t="n">
        <f aca="false">D1433/D1426</f>
        <v>0.120038074048276</v>
      </c>
      <c r="E1434" s="20" t="n">
        <f aca="false">E1433/E1426</f>
        <v>0.0836663424961285</v>
      </c>
      <c r="F1434" s="20" t="n">
        <f aca="false">F1433/F1426</f>
        <v>0.0858845569369883</v>
      </c>
      <c r="G1434" s="20" t="n">
        <f aca="false">G1433/G1426</f>
        <v>0.0918916373187933</v>
      </c>
      <c r="H1434" s="26" t="n">
        <f aca="false">$G1434</f>
        <v>0.0918916373187933</v>
      </c>
      <c r="I1434" s="26" t="n">
        <f aca="false">$G1434</f>
        <v>0.0918916373187933</v>
      </c>
      <c r="J1434" s="26" t="n">
        <f aca="false">$G1434</f>
        <v>0.0918916373187933</v>
      </c>
    </row>
    <row r="1435" customFormat="false" ht="17.15" hidden="false" customHeight="false" outlineLevel="0" collapsed="false">
      <c r="A1435" s="3" t="s">
        <v>654</v>
      </c>
      <c r="B1435" s="0" t="s">
        <v>333</v>
      </c>
      <c r="E1435" s="21" t="n">
        <f aca="false">E1421*(1-1/(E1406*E1407))</f>
        <v>4.94721664234135</v>
      </c>
      <c r="F1435" s="21" t="n">
        <f aca="false">F1421*(1-1/(F1406*F1407))</f>
        <v>3.68912480989031</v>
      </c>
      <c r="G1435" s="21" t="n">
        <f aca="false">G1421*(1-1/(G1406*G1407))</f>
        <v>1.67803226914231</v>
      </c>
      <c r="K1435" s="7" t="s">
        <v>655</v>
      </c>
    </row>
    <row r="1436" customFormat="false" ht="17.15" hidden="false" customHeight="false" outlineLevel="0" collapsed="false">
      <c r="A1436" s="3" t="s">
        <v>656</v>
      </c>
      <c r="B1436" s="0" t="s">
        <v>333</v>
      </c>
      <c r="C1436" s="21" t="n">
        <f aca="false">a25_gp</f>
        <v>3.647</v>
      </c>
      <c r="D1436" s="21" t="n">
        <f aca="false">a26_gp</f>
        <v>15.9001925</v>
      </c>
      <c r="E1436" s="21" t="n">
        <f aca="false">$D1436+ft_abf*(E1419-E1435-$D1419)+ft_oth*((E1426-E1419)-($D1426-$D1419))+E1435-(E1433-$D1433)</f>
        <v>28.7342282401707</v>
      </c>
      <c r="F1436" s="21" t="n">
        <f aca="false">$D1436+ft_abf*(F1419-F1435-$D1419)+ft_oth*((F1426-F1419)-($D1426-$D1419))+F1435-(F1433-$D1433)</f>
        <v>31.2153798712167</v>
      </c>
      <c r="G1436" s="21" t="n">
        <f aca="false">$D1436+ft_abf*(G1419-G1435-$D1419)+ft_oth*((G1426-G1419)-($D1426-$D1419))+G1435-(G1433-$D1433)</f>
        <v>32.9337370059331</v>
      </c>
      <c r="K1436" s="3" t="s">
        <v>657</v>
      </c>
    </row>
    <row r="1437" customFormat="false" ht="15" hidden="false" customHeight="false" outlineLevel="0" collapsed="false">
      <c r="A1437" s="3" t="s">
        <v>512</v>
      </c>
      <c r="B1437" s="0" t="s">
        <v>44</v>
      </c>
      <c r="C1437" s="16" t="n">
        <f aca="false">C1436/C1426</f>
        <v>0.0907823662659</v>
      </c>
      <c r="D1437" s="16" t="n">
        <f aca="false">D1436/D1426</f>
        <v>0.268820913337583</v>
      </c>
      <c r="E1437" s="16" t="n">
        <f aca="false">E1436/E1426</f>
        <v>0.35815087989632</v>
      </c>
      <c r="F1437" s="16" t="n">
        <f aca="false">F1436/F1426</f>
        <v>0.351668006704224</v>
      </c>
      <c r="G1437" s="16" t="n">
        <f aca="false">G1436/G1426</f>
        <v>0.339255912344029</v>
      </c>
    </row>
    <row r="1438" customFormat="false" ht="15" hidden="false" customHeight="false" outlineLevel="0" collapsed="false">
      <c r="A1438" s="3" t="s">
        <v>514</v>
      </c>
      <c r="B1438" s="0" t="s">
        <v>333</v>
      </c>
      <c r="C1438" s="21" t="n">
        <f aca="false">a25_opx</f>
        <v>1.665</v>
      </c>
      <c r="D1438" s="21" t="n">
        <f aca="false">a26_opx</f>
        <v>1.9</v>
      </c>
      <c r="E1438" s="21" t="n">
        <f aca="false">D1438*(1+phi*E1428)</f>
        <v>2.3063188</v>
      </c>
      <c r="F1438" s="21" t="n">
        <f aca="false">E1438*(1+phi*F1428)</f>
        <v>2.45351923142076</v>
      </c>
      <c r="G1438" s="21" t="n">
        <f aca="false">F1438*(1+phi*G1428)</f>
        <v>2.59138049822089</v>
      </c>
    </row>
    <row r="1439" customFormat="false" ht="15" hidden="false" customHeight="false" outlineLevel="0" collapsed="false">
      <c r="A1439" s="3" t="s">
        <v>517</v>
      </c>
      <c r="B1439" s="0" t="s">
        <v>333</v>
      </c>
      <c r="C1439" s="21" t="n">
        <f aca="false">C1436-C1438</f>
        <v>1.982</v>
      </c>
      <c r="D1439" s="21" t="n">
        <f aca="false">D1436-D1438</f>
        <v>14.0001925</v>
      </c>
      <c r="E1439" s="21" t="n">
        <f aca="false">E1436-E1438</f>
        <v>26.4279094401707</v>
      </c>
      <c r="F1439" s="21" t="n">
        <f aca="false">F1436-F1438</f>
        <v>28.761860639796</v>
      </c>
      <c r="G1439" s="21" t="n">
        <f aca="false">G1436-G1438</f>
        <v>30.3423565077122</v>
      </c>
    </row>
    <row r="1440" customFormat="false" ht="15" hidden="false" customHeight="false" outlineLevel="0" collapsed="false">
      <c r="A1440" s="3" t="s">
        <v>598</v>
      </c>
      <c r="B1440" s="0" t="s">
        <v>44</v>
      </c>
      <c r="C1440" s="16" t="n">
        <f aca="false">C1439/C1426</f>
        <v>0.0493366191222961</v>
      </c>
      <c r="D1440" s="16" t="n">
        <f aca="false">D1439/D1426</f>
        <v>0.236698048451424</v>
      </c>
      <c r="E1440" s="16" t="n">
        <f aca="false">E1439/E1426</f>
        <v>0.329404323676423</v>
      </c>
      <c r="F1440" s="16" t="n">
        <f aca="false">F1439/F1426</f>
        <v>0.324027009827558</v>
      </c>
      <c r="G1440" s="16" t="n">
        <f aca="false">G1439/G1426</f>
        <v>0.31256167005394</v>
      </c>
    </row>
    <row r="1441" customFormat="false" ht="15" hidden="false" customHeight="false" outlineLevel="0" collapsed="false">
      <c r="A1441" s="3" t="s">
        <v>520</v>
      </c>
      <c r="B1441" s="0" t="s">
        <v>333</v>
      </c>
      <c r="C1441" s="21" t="n">
        <f aca="false">a25_nonop</f>
        <v>0.364</v>
      </c>
      <c r="D1441" s="21" t="n">
        <f aca="false">a26_nonop</f>
        <v>0.623</v>
      </c>
      <c r="E1441" s="21" t="n">
        <f aca="false">nonop27_lo</f>
        <v>0</v>
      </c>
      <c r="F1441" s="21" t="n">
        <f aca="false">nonop28_lo</f>
        <v>0</v>
      </c>
      <c r="G1441" s="21" t="n">
        <f aca="false">nonop29_lo</f>
        <v>0</v>
      </c>
    </row>
    <row r="1442" customFormat="false" ht="15" hidden="false" customHeight="false" outlineLevel="0" collapsed="false">
      <c r="A1442" s="3" t="s">
        <v>522</v>
      </c>
      <c r="B1442" s="0" t="s">
        <v>333</v>
      </c>
      <c r="C1442" s="21" t="n">
        <f aca="false">C1439+C1441</f>
        <v>2.346</v>
      </c>
      <c r="D1442" s="21" t="n">
        <f aca="false">D1439+D1441</f>
        <v>14.6231925</v>
      </c>
      <c r="E1442" s="21" t="n">
        <f aca="false">E1439+E1441</f>
        <v>26.4279094401707</v>
      </c>
      <c r="F1442" s="21" t="n">
        <f aca="false">F1439+F1441</f>
        <v>28.761860639796</v>
      </c>
      <c r="G1442" s="21" t="n">
        <f aca="false">G1439+G1441</f>
        <v>30.3423565077122</v>
      </c>
    </row>
    <row r="1443" customFormat="false" ht="15" hidden="false" customHeight="false" outlineLevel="0" collapsed="false">
      <c r="A1443" s="3" t="s">
        <v>525</v>
      </c>
      <c r="B1443" s="0" t="s">
        <v>333</v>
      </c>
      <c r="E1443" s="21" t="n">
        <f aca="false">E1442*tax</f>
        <v>5.54986098243584</v>
      </c>
      <c r="F1443" s="21" t="n">
        <f aca="false">F1442*tax</f>
        <v>6.03999073435715</v>
      </c>
      <c r="G1443" s="21" t="n">
        <f aca="false">G1442*tax</f>
        <v>6.37189486661957</v>
      </c>
    </row>
    <row r="1444" customFormat="false" ht="15" hidden="false" customHeight="false" outlineLevel="0" collapsed="false">
      <c r="A1444" s="3" t="s">
        <v>523</v>
      </c>
      <c r="B1444" s="0" t="s">
        <v>333</v>
      </c>
      <c r="C1444" s="21" t="n">
        <f aca="false">a25_ni</f>
        <v>1.947</v>
      </c>
      <c r="D1444" s="21" t="n">
        <f aca="false">a26_ni</f>
        <v>11.509862075</v>
      </c>
      <c r="E1444" s="21" t="n">
        <f aca="false">E1442-E1443</f>
        <v>20.8780484577348</v>
      </c>
      <c r="F1444" s="21" t="n">
        <f aca="false">F1442-F1443</f>
        <v>22.7218699054388</v>
      </c>
      <c r="G1444" s="21" t="n">
        <f aca="false">G1442-G1443</f>
        <v>23.9704616410927</v>
      </c>
      <c r="H1444" s="30" t="n">
        <f aca="false">H1426*H1448</f>
        <v>26.1174295400429</v>
      </c>
      <c r="I1444" s="30" t="n">
        <f aca="false">I1426*I1448</f>
        <v>28.1606181422285</v>
      </c>
      <c r="J1444" s="30" t="n">
        <f aca="false">J1426*J1448</f>
        <v>30.0444515034082</v>
      </c>
    </row>
    <row r="1445" customFormat="false" ht="15" hidden="false" customHeight="false" outlineLevel="0" collapsed="false">
      <c r="A1445" s="3" t="s">
        <v>658</v>
      </c>
      <c r="B1445" s="3" t="s">
        <v>400</v>
      </c>
      <c r="C1445" s="29" t="n">
        <f aca="false">a25_sh</f>
        <v>0.646843853820598</v>
      </c>
      <c r="D1445" s="29" t="n">
        <f aca="false">a26_sh</f>
        <v>0.645863325123153</v>
      </c>
      <c r="E1445" s="29" t="n">
        <f aca="false">a26_shend*(1+sh_g)</f>
        <v>0.64617</v>
      </c>
      <c r="F1445" s="29" t="n">
        <f aca="false">E1445*(1+sh_g)</f>
        <v>0.64617</v>
      </c>
      <c r="G1445" s="29" t="n">
        <f aca="false">F1445*(1+sh_g)</f>
        <v>0.64617</v>
      </c>
      <c r="H1445" s="31" t="n">
        <f aca="false">G1445*(1+sh_g)</f>
        <v>0.64617</v>
      </c>
      <c r="I1445" s="31" t="n">
        <f aca="false">H1445*(1+sh_g)</f>
        <v>0.64617</v>
      </c>
      <c r="J1445" s="31" t="n">
        <f aca="false">I1445*(1+sh_g)</f>
        <v>0.64617</v>
      </c>
    </row>
    <row r="1446" customFormat="false" ht="17.15" hidden="false" customHeight="false" outlineLevel="0" collapsed="false">
      <c r="A1446" s="0" t="s">
        <v>528</v>
      </c>
      <c r="B1446" s="0" t="s">
        <v>406</v>
      </c>
      <c r="C1446" s="18" t="n">
        <f aca="false">C1444/C1445</f>
        <v>3.01</v>
      </c>
      <c r="D1446" s="18" t="n">
        <f aca="false">D1444/D1445</f>
        <v>17.820894339844</v>
      </c>
      <c r="E1446" s="18" t="n">
        <f aca="false">E1444/E1445</f>
        <v>32.3104577088612</v>
      </c>
      <c r="F1446" s="18" t="n">
        <f aca="false">F1444/F1445</f>
        <v>35.16391956519</v>
      </c>
      <c r="G1446" s="18" t="n">
        <f aca="false">G1444/G1445</f>
        <v>37.0962156105865</v>
      </c>
      <c r="H1446" s="28" t="n">
        <f aca="false">H1444/H1445</f>
        <v>40.4188209604948</v>
      </c>
      <c r="I1446" s="28" t="n">
        <f aca="false">I1444/I1445</f>
        <v>43.5808195091517</v>
      </c>
      <c r="J1446" s="28" t="n">
        <f aca="false">J1444/J1445</f>
        <v>46.4962030168659</v>
      </c>
    </row>
    <row r="1447" customFormat="false" ht="17.15" hidden="false" customHeight="false" outlineLevel="0" collapsed="false">
      <c r="A1447" s="0" t="s">
        <v>659</v>
      </c>
      <c r="B1447" s="0" t="s">
        <v>44</v>
      </c>
      <c r="D1447" s="20" t="n">
        <f aca="false">D1446/C1446-1</f>
        <v>4.92056290360265</v>
      </c>
      <c r="E1447" s="20" t="n">
        <f aca="false">E1446/D1446-1</f>
        <v>0.813066005145512</v>
      </c>
      <c r="F1447" s="20" t="n">
        <f aca="false">F1446/E1446-1</f>
        <v>0.0883138791174174</v>
      </c>
      <c r="G1447" s="20" t="n">
        <f aca="false">G1446/F1446-1</f>
        <v>0.0549510995727944</v>
      </c>
      <c r="H1447" s="26" t="n">
        <f aca="false">H1446/G1446-1</f>
        <v>0.0895672319998095</v>
      </c>
      <c r="I1447" s="26" t="n">
        <f aca="false">I1446/H1446-1</f>
        <v>0.0782308457673062</v>
      </c>
      <c r="J1447" s="26" t="n">
        <f aca="false">J1446/I1446-1</f>
        <v>0.0668960230796496</v>
      </c>
    </row>
    <row r="1448" customFormat="false" ht="17.15" hidden="false" customHeight="false" outlineLevel="0" collapsed="false">
      <c r="A1448" s="3" t="s">
        <v>660</v>
      </c>
      <c r="B1448" s="0" t="s">
        <v>44</v>
      </c>
      <c r="C1448" s="16" t="n">
        <f aca="false">C1444/C1426</f>
        <v>0.0484653872003585</v>
      </c>
      <c r="D1448" s="16" t="n">
        <f aca="false">D1444/D1426</f>
        <v>0.194594602259759</v>
      </c>
      <c r="E1448" s="16" t="n">
        <f aca="false">E1444/E1426</f>
        <v>0.260229415704374</v>
      </c>
      <c r="F1448" s="16" t="n">
        <f aca="false">F1444/F1426</f>
        <v>0.255981337763771</v>
      </c>
      <c r="G1448" s="16" t="n">
        <f aca="false">G1444/G1426</f>
        <v>0.246923719342613</v>
      </c>
      <c r="H1448" s="27" t="n">
        <f aca="false">$G1448+(fade_mA-$G1448)*1/3</f>
        <v>0.248551303668701</v>
      </c>
      <c r="I1448" s="27" t="n">
        <f aca="false">$G1448+(fade_mA-$G1448)*2/3</f>
        <v>0.250178887994788</v>
      </c>
      <c r="J1448" s="27" t="n">
        <f aca="false">$G1448+(fade_mA-$G1448)*3/3</f>
        <v>0.251806472320876</v>
      </c>
    </row>
    <row r="1449" customFormat="false" ht="17.15" hidden="false" customHeight="false" outlineLevel="0" collapsed="false">
      <c r="A1449" s="3" t="s">
        <v>661</v>
      </c>
      <c r="B1449" s="0" t="s">
        <v>44</v>
      </c>
      <c r="C1449" s="20" t="n">
        <f aca="false">C1432/C1426</f>
        <v>0.0602892489980833</v>
      </c>
      <c r="D1449" s="20" t="n">
        <f aca="false">D1432/D1426</f>
        <v>0.0676270839708595</v>
      </c>
      <c r="E1449" s="20" t="n">
        <f aca="false">E1432/E1426</f>
        <v>0.174499634256357</v>
      </c>
      <c r="F1449" s="20" t="n">
        <f aca="false">F1432/F1426</f>
        <v>0.202785426504223</v>
      </c>
      <c r="G1449" s="20" t="n">
        <f aca="false">G1432/G1426</f>
        <v>0.123613999449711</v>
      </c>
      <c r="H1449" s="26" t="n">
        <f aca="false">$G1449+($G1434*(1+tp_g)^(life/2)-$G1449)*1/3</f>
        <v>0.118242739136409</v>
      </c>
      <c r="I1449" s="26" t="n">
        <f aca="false">$G1449+($G1434*(1+tp_g)^(life/2)-$G1449)*2/3</f>
        <v>0.112871478823108</v>
      </c>
      <c r="J1449" s="26" t="n">
        <f aca="false">$G1449+($G1434*(1+tp_g)^(life/2)-$G1449)*3/3</f>
        <v>0.107500218509806</v>
      </c>
      <c r="K1449" s="7" t="s">
        <v>662</v>
      </c>
    </row>
    <row r="1450" customFormat="false" ht="15" hidden="false" customHeight="false" outlineLevel="0" collapsed="false">
      <c r="A1450" s="3" t="s">
        <v>663</v>
      </c>
      <c r="B1450" s="0" t="s">
        <v>333</v>
      </c>
      <c r="E1450" s="21" t="n">
        <f aca="false">E1444+E1433-E1432</f>
        <v>13.5905484577348</v>
      </c>
      <c r="F1450" s="21" t="n">
        <f aca="false">F1444+F1433-F1432</f>
        <v>12.3453074054388</v>
      </c>
      <c r="G1450" s="21" t="n">
        <f aca="false">G1444+G1433-G1432</f>
        <v>20.8909694535927</v>
      </c>
      <c r="H1450" s="30" t="n">
        <f aca="false">H1444+H1433-H1432</f>
        <v>23.3484919610977</v>
      </c>
      <c r="I1450" s="30" t="n">
        <f aca="false">I1444+I1433-I1432</f>
        <v>25.799086719562</v>
      </c>
      <c r="J1450" s="30" t="n">
        <f aca="false">J1444+J1433-J1432</f>
        <v>28.182103580783</v>
      </c>
      <c r="K1450" s="3" t="s">
        <v>664</v>
      </c>
    </row>
    <row r="1451" customFormat="false" ht="15" hidden="false" customHeight="false" outlineLevel="0" collapsed="false">
      <c r="A1451" s="3" t="s">
        <v>665</v>
      </c>
      <c r="B1451" s="0" t="s">
        <v>406</v>
      </c>
      <c r="E1451" s="18" t="n">
        <f aca="false">E1450/E1445</f>
        <v>21.0324658491339</v>
      </c>
      <c r="F1451" s="18" t="n">
        <f aca="false">F1450/F1445</f>
        <v>19.1053552554882</v>
      </c>
      <c r="G1451" s="18" t="n">
        <f aca="false">G1450/G1445</f>
        <v>32.330453988258</v>
      </c>
      <c r="H1451" s="28" t="n">
        <f aca="false">H1450/H1445</f>
        <v>36.1336675504863</v>
      </c>
      <c r="I1451" s="28" t="n">
        <f aca="false">I1450/I1445</f>
        <v>39.9261598643731</v>
      </c>
      <c r="J1451" s="28" t="n">
        <f aca="false">J1450/J1445</f>
        <v>43.6140699518439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1033</v>
      </c>
    </row>
    <row r="2" customFormat="false" ht="17.15" hidden="false" customHeight="false" outlineLevel="0" collapsed="false">
      <c r="A2" s="3" t="s">
        <v>1034</v>
      </c>
      <c r="B2" s="0" t="s">
        <v>1035</v>
      </c>
    </row>
    <row r="3" customFormat="false" ht="17.15" hidden="false" customHeight="false" outlineLevel="0" collapsed="false">
      <c r="A3" s="3" t="s">
        <v>1036</v>
      </c>
      <c r="B3" s="0" t="s">
        <v>1037</v>
      </c>
    </row>
    <row r="4" customFormat="false" ht="17.15" hidden="false" customHeight="false" outlineLevel="0" collapsed="false">
      <c r="A4" s="3" t="s">
        <v>1038</v>
      </c>
      <c r="B4" s="0" t="s">
        <v>1039</v>
      </c>
    </row>
    <row r="5" customFormat="false" ht="17.15" hidden="false" customHeight="false" outlineLevel="0" collapsed="false">
      <c r="A5" s="3" t="s">
        <v>1040</v>
      </c>
      <c r="B5" s="0" t="s">
        <v>1041</v>
      </c>
    </row>
    <row r="6" customFormat="false" ht="17.15" hidden="false" customHeight="false" outlineLevel="0" collapsed="false">
      <c r="A6" s="3" t="s">
        <v>1042</v>
      </c>
      <c r="B6" s="0" t="s">
        <v>1043</v>
      </c>
    </row>
    <row r="7" customFormat="false" ht="17.15" hidden="false" customHeight="false" outlineLevel="0" collapsed="false">
      <c r="A7" s="3" t="s">
        <v>1044</v>
      </c>
      <c r="B7" s="0" t="s">
        <v>1045</v>
      </c>
    </row>
    <row r="8" customFormat="false" ht="17.15" hidden="false" customHeight="false" outlineLevel="0" collapsed="false">
      <c r="A8" s="3" t="s">
        <v>1046</v>
      </c>
      <c r="B8" s="0" t="s">
        <v>1047</v>
      </c>
    </row>
    <row r="9" customFormat="false" ht="17.15" hidden="false" customHeight="false" outlineLevel="0" collapsed="false">
      <c r="A9" s="3" t="s">
        <v>1048</v>
      </c>
      <c r="B9" s="0" t="s">
        <v>1049</v>
      </c>
    </row>
    <row r="10" customFormat="false" ht="17.15" hidden="false" customHeight="false" outlineLevel="0" collapsed="false">
      <c r="A10" s="3" t="s">
        <v>1050</v>
      </c>
      <c r="B10" s="0" t="s">
        <v>1051</v>
      </c>
    </row>
    <row r="11" customFormat="false" ht="17.15" hidden="false" customHeight="false" outlineLevel="0" collapsed="false">
      <c r="A11" s="3" t="s">
        <v>1052</v>
      </c>
      <c r="B11" s="0" t="s">
        <v>1053</v>
      </c>
    </row>
    <row r="12" customFormat="false" ht="17.15" hidden="false" customHeight="false" outlineLevel="0" collapsed="false">
      <c r="A12" s="3" t="s">
        <v>1054</v>
      </c>
      <c r="B12" s="0" t="s">
        <v>1055</v>
      </c>
    </row>
    <row r="13" customFormat="false" ht="17.15" hidden="false" customHeight="false" outlineLevel="0" collapsed="false">
      <c r="A13" s="3" t="s">
        <v>1056</v>
      </c>
      <c r="B13" s="0" t="s">
        <v>1057</v>
      </c>
    </row>
    <row r="14" customFormat="false" ht="17.15" hidden="false" customHeight="false" outlineLevel="0" collapsed="false">
      <c r="A14" s="3" t="s">
        <v>1058</v>
      </c>
      <c r="B14" s="0" t="s">
        <v>1059</v>
      </c>
    </row>
    <row r="15" customFormat="false" ht="17.15" hidden="false" customHeight="false" outlineLevel="0" collapsed="false">
      <c r="A15" s="3" t="s">
        <v>1060</v>
      </c>
      <c r="B15" s="0" t="s">
        <v>1061</v>
      </c>
    </row>
    <row r="16" customFormat="false" ht="17.15" hidden="false" customHeight="false" outlineLevel="0" collapsed="false">
      <c r="A16" s="3" t="s">
        <v>1062</v>
      </c>
      <c r="B16" s="0" t="s">
        <v>1063</v>
      </c>
    </row>
    <row r="17" customFormat="false" ht="17.15" hidden="false" customHeight="false" outlineLevel="0" collapsed="false">
      <c r="A17" s="3" t="s">
        <v>1064</v>
      </c>
      <c r="B17" s="0" t="s">
        <v>1065</v>
      </c>
    </row>
    <row r="18" customFormat="false" ht="17.15" hidden="false" customHeight="false" outlineLevel="0" collapsed="false">
      <c r="A18" s="3" t="s">
        <v>1066</v>
      </c>
      <c r="B18" s="0" t="s">
        <v>1067</v>
      </c>
    </row>
    <row r="19" customFormat="false" ht="17.15" hidden="false" customHeight="false" outlineLevel="0" collapsed="false">
      <c r="A19" s="3" t="s">
        <v>1068</v>
      </c>
      <c r="B19" s="0" t="s">
        <v>1069</v>
      </c>
    </row>
    <row r="20" customFormat="false" ht="17.15" hidden="false" customHeight="false" outlineLevel="0" collapsed="false">
      <c r="A20" s="3" t="s">
        <v>1070</v>
      </c>
      <c r="B20" s="3" t="s">
        <v>1071</v>
      </c>
    </row>
    <row r="21" customFormat="false" ht="15" hidden="false" customHeight="false" outlineLevel="0" collapsed="false">
      <c r="A21" s="0" t="s">
        <v>1072</v>
      </c>
      <c r="B21" s="3" t="s">
        <v>1073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2026-10-29T07:24:05Z</dcterms:created>
  <dc:creator>openpyxl</dc:creator>
  <dc:description/>
  <dc:language>en-US</dc:language>
  <cp:lastModifiedBy/>
  <dcterms:modified xsi:type="dcterms:W3CDTF">2026-10-29T07:24:06Z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