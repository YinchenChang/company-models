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x" vbProcedure="false">Q!$B$16</definedName>
    <definedName function="false" hidden="false" name="a25_da" vbProcedure="false">Q!$B$15</definedName>
    <definedName function="false" hidden="false" name="a25_eps" vbProcedure="false">Q!$B$14</definedName>
    <definedName function="false" hidden="false" name="a25_gp" vbProcedure="false">Q!$B$5</definedName>
    <definedName function="false" hidden="false" name="a25_ni" vbProcedure="false">Q!$B$11</definedName>
    <definedName function="false" hidden="false" name="a25_nonop" vbProcedure="false">Q!$B$9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Q!$B$13</definedName>
    <definedName function="false" hidden="false" name="a26_abf" vbProcedure="false">Q!$G$19</definedName>
    <definedName function="false" hidden="false" name="a26_bt" vbProcedure="false">Q!$G$20</definedName>
    <definedName function="false" hidden="false" name="a26_cx" vbProcedure="false">Q!$G$16</definedName>
    <definedName function="false" hidden="false" name="a26_da" vbProcedure="false">Q!$G$15</definedName>
    <definedName function="false" hidden="false" name="a26_eps" vbProcedure="false">Q!$G$14</definedName>
    <definedName function="false" hidden="false" name="a26_gp" vbProcedure="false">Q!$G$5</definedName>
    <definedName function="false" hidden="false" name="a26_ni" vbProcedure="false">Q!$G$11</definedName>
    <definedName function="false" hidden="false" name="a26_nonop" vbProcedure="false">Q!$G$9</definedName>
    <definedName function="false" hidden="false" name="a26_oi" vbProcedure="false">Q!$G$8</definedName>
    <definedName function="false" hidden="false" name="a26_opx" vbProcedure="false">Q!$G$7</definedName>
    <definedName function="false" hidden="false" name="a26_pcb" vbProcedure="false">Q!$G$21</definedName>
    <definedName function="false" hidden="false" name="a26_rev" vbProcedure="false">Q!$G$4</definedName>
    <definedName function="false" hidden="false" name="a26_sh" vbProcedure="false">Q!$G$13</definedName>
    <definedName function="false" hidden="false" name="a26_shend" vbProcedure="false">Q!$F$13</definedName>
    <definedName function="false" hidden="false" name="ai_abf" vbProcedure="false">In!$E$82</definedName>
    <definedName function="false" hidden="false" name="ai_abf_hi" vbProcedure="false">In!$F$82</definedName>
    <definedName function="false" hidden="false" name="ai_abf_lo" vbProcedure="false">In!$D$82</definedName>
    <definedName function="false" hidden="false" name="bk_eps27" vbProcedure="false">In!$E$131</definedName>
    <definedName function="false" hidden="false" name="bk_eps27_hi" vbProcedure="false">In!$F$131</definedName>
    <definedName function="false" hidden="false" name="bk_eps27_lo" vbProcedure="false">In!$D$131</definedName>
    <definedName function="false" hidden="false" name="bk_eps28" vbProcedure="false">In!$E$132</definedName>
    <definedName function="false" hidden="false" name="bk_eps28_hi" vbProcedure="false">In!$F$132</definedName>
    <definedName function="false" hidden="false" name="bk_eps28_lo" vbProcedure="false">In!$D$132</definedName>
    <definedName function="false" hidden="false" name="capex26" vbProcedure="false">In!$E$107</definedName>
    <definedName function="false" hidden="false" name="cap_27" vbProcedure="false">In!$E$86</definedName>
    <definedName function="false" hidden="false" name="cap_27_hi" vbProcedure="false">In!$F$86</definedName>
    <definedName function="false" hidden="false" name="cap_27_lo" vbProcedure="false">In!$D$86</definedName>
    <definedName function="false" hidden="false" name="cap_28" vbProcedure="false">In!$E$87</definedName>
    <definedName function="false" hidden="false" name="cap_28_hi" vbProcedure="false">In!$F$87</definedName>
    <definedName function="false" hidden="false" name="cap_28_lo" vbProcedure="false">In!$D$87</definedName>
    <definedName function="false" hidden="false" name="cap_29" vbProcedure="false">In!$E$88</definedName>
    <definedName function="false" hidden="false" name="cap_29_hi" vbProcedure="false">In!$F$88</definedName>
    <definedName function="false" hidden="false" name="cap_29_lo" vbProcedure="false">In!$D$88</definedName>
    <definedName function="false" hidden="false" name="carry" vbProcedure="false">In!$E$90</definedName>
    <definedName function="false" hidden="false" name="carry_hi" vbProcedure="false">In!$F$90</definedName>
    <definedName function="false" hidden="false" name="carry_lo" vbProcedure="false">In!$D$90</definedName>
    <definedName function="false" hidden="false" name="cons_eps26" vbProcedure="false">In!$E$126</definedName>
    <definedName function="false" hidden="false" name="cons_eps26_hi" vbProcedure="false">In!$F$126</definedName>
    <definedName function="false" hidden="false" name="cons_eps26_lo" vbProcedure="false">In!$D$126</definedName>
    <definedName function="false" hidden="false" name="cons_eps27" vbProcedure="false">In!$E$127</definedName>
    <definedName function="false" hidden="false" name="cons_eps27_hi" vbProcedure="false">In!$F$127</definedName>
    <definedName function="false" hidden="false" name="cons_eps27_lo" vbProcedure="false">In!$D$127</definedName>
    <definedName function="false" hidden="false" name="cons_eps28" vbProcedure="false">In!$E$128</definedName>
    <definedName function="false" hidden="false" name="cons_eps28_hi" vbProcedure="false">In!$F$128</definedName>
    <definedName function="false" hidden="false" name="cons_eps28_lo" vbProcedure="false">In!$D$128</definedName>
    <definedName function="false" hidden="false" name="cons_feps" vbProcedure="false">In!$E$137</definedName>
    <definedName function="false" hidden="false" name="cons_rev27" vbProcedure="false">In!$E$129</definedName>
    <definedName function="false" hidden="false" name="cons_rev27_hi" vbProcedure="false">In!$F$129</definedName>
    <definedName function="false" hidden="false" name="cons_rev27_lo" vbProcedure="false">In!$D$129</definedName>
    <definedName function="false" hidden="false" name="cons_rev28" vbProcedure="false">In!$E$130</definedName>
    <definedName function="false" hidden="false" name="cons_rev28_hi" vbProcedure="false">In!$F$130</definedName>
    <definedName function="false" hidden="false" name="cons_rev28_lo" vbProcedure="false">In!$D$130</definedName>
    <definedName function="false" hidden="false" name="cons_tp" vbProcedure="false">In!$E$138</definedName>
    <definedName function="false" hidden="false" name="cx27" vbProcedure="false">In!$E$104</definedName>
    <definedName function="false" hidden="false" name="cx27_hi" vbProcedure="false">In!$F$104</definedName>
    <definedName function="false" hidden="false" name="cx27_lo" vbProcedure="false">In!$D$104</definedName>
    <definedName function="false" hidden="false" name="cx28" vbProcedure="false">In!$E$105</definedName>
    <definedName function="false" hidden="false" name="cx28_hi" vbProcedure="false">In!$F$105</definedName>
    <definedName function="false" hidden="false" name="cx28_lo" vbProcedure="false">In!$D$105</definedName>
    <definedName function="false" hidden="false" name="cx29" vbProcedure="false">In!$E$106</definedName>
    <definedName function="false" hidden="false" name="cx29_hi" vbProcedure="false">In!$F$106</definedName>
    <definedName function="false" hidden="false" name="cx29_lo" vbProcedure="false">In!$D$106</definedName>
    <definedName function="false" hidden="false" name="da26" vbProcedure="false">In!$E$108</definedName>
    <definedName function="false" hidden="false" name="el_o" vbProcedure="false">In!$E$84</definedName>
    <definedName function="false" hidden="false" name="el_o_hi" vbProcedure="false">In!$F$84</definedName>
    <definedName function="false" hidden="false" name="el_o_lo" vbProcedure="false">In!$D$84</definedName>
    <definedName function="false" hidden="false" name="fade_gA" vbProcedure="false">In!$E$149</definedName>
    <definedName function="false" hidden="false" name="fade_gB" vbProcedure="false">In!$E$150</definedName>
    <definedName function="false" hidden="false" name="fade_gC" vbProcedure="false">In!$E$151</definedName>
    <definedName function="false" hidden="false" name="fade_mA" vbProcedure="false">In!$E$152</definedName>
    <definedName function="false" hidden="false" name="fade_mB" vbProcedure="false">In!$E$153</definedName>
    <definedName function="false" hidden="false" name="fade_mC" vbProcedure="false">In!$E$154</definedName>
    <definedName function="false" hidden="false" name="fpe" vbProcedure="false">In!$E$135</definedName>
    <definedName function="false" hidden="false" name="ft_abf" vbProcedure="false">In!$E$102</definedName>
    <definedName function="false" hidden="false" name="ft_abf_hi" vbProcedure="false">In!$F$102</definedName>
    <definedName function="false" hidden="false" name="ft_abf_lo" vbProcedure="false">In!$D$102</definedName>
    <definedName function="false" hidden="false" name="ft_oth" vbProcedure="false">In!$E$103</definedName>
    <definedName function="false" hidden="false" name="ft_oth_hi" vbProcedure="false">In!$F$103</definedName>
    <definedName function="false" hidden="false" name="ft_oth_lo" vbProcedure="false">In!$D$103</definedName>
    <definedName function="false" hidden="false" name="fx" vbProcedure="false">In!$E$139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_asp" vbProcedure="false">In!$E$53</definedName>
    <definedName function="false" hidden="false" name="g_asp_hi" vbProcedure="false">In!$F$53</definedName>
    <definedName function="false" hidden="false" name="g_asp_lo" vbProcedure="false">In!$D$53</definedName>
    <definedName function="false" hidden="false" name="g_bt27_A" vbProcedure="false">In!$E$91</definedName>
    <definedName function="false" hidden="false" name="g_bt27_B" vbProcedure="false">In!$E$94</definedName>
    <definedName function="false" hidden="false" name="g_bt27_C" vbProcedure="false">In!$E$97</definedName>
    <definedName function="false" hidden="false" name="g_bt28_A" vbProcedure="false">In!$E$92</definedName>
    <definedName function="false" hidden="false" name="g_bt28_B" vbProcedure="false">In!$E$95</definedName>
    <definedName function="false" hidden="false" name="g_bt28_C" vbProcedure="false">In!$E$98</definedName>
    <definedName function="false" hidden="false" name="g_bt29_A" vbProcedure="false">In!$E$93</definedName>
    <definedName function="false" hidden="false" name="g_bt29_B" vbProcedure="false">In!$E$96</definedName>
    <definedName function="false" hidden="false" name="g_bt29_C" vbProcedure="false">In!$E$99</definedName>
    <definedName function="false" hidden="false" name="g_mix" vbProcedure="false">In!$E$89</definedName>
    <definedName function="false" hidden="false" name="g_mix_hi" vbProcedure="false">In!$F$89</definedName>
    <definedName function="false" hidden="false" name="g_mix_lo" vbProcedure="false">In!$D$89</definedName>
    <definedName function="false" hidden="false" name="g_nai" vbProcedure="false">In!$E$85</definedName>
    <definedName function="false" hidden="false" name="g_nai_hi" vbProcedure="false">In!$F$85</definedName>
    <definedName function="false" hidden="false" name="g_nai_lo" vbProcedure="false">In!$D$85</definedName>
    <definedName function="false" hidden="false" name="g_pcb" vbProcedure="false">In!$E$100</definedName>
    <definedName function="false" hidden="false" name="g_pcb_hi" vbProcedure="false">In!$F$100</definedName>
    <definedName function="false" hidden="false" name="g_pcb_lo" vbProcedure="false">In!$D$100</definedName>
    <definedName function="false" hidden="false" name="ibpp_27" vbProcedure="false">In!$E$54</definedName>
    <definedName function="false" hidden="false" name="ibpp_27_hi" vbProcedure="false">In!$F$54</definedName>
    <definedName function="false" hidden="false" name="ibpp_27_lo" vbProcedure="false">In!$D$54</definedName>
    <definedName function="false" hidden="false" name="ibpp_28" vbProcedure="false">In!$E$56</definedName>
    <definedName function="false" hidden="false" name="ibpp_28_hi" vbProcedure="false">In!$F$56</definedName>
    <definedName function="false" hidden="false" name="ibpp_28_lo" vbProcedure="false">In!$D$56</definedName>
    <definedName function="false" hidden="false" name="ibpp_29" vbProcedure="false">In!$E$58</definedName>
    <definedName function="false" hidden="false" name="ibpp_29_hi" vbProcedure="false">In!$F$58</definedName>
    <definedName function="false" hidden="false" name="ibpp_29_lo" vbProcedure="false">In!$D$58</definedName>
    <definedName function="false" hidden="false" name="ibrel_27" vbProcedure="false">In!$E$55</definedName>
    <definedName function="false" hidden="false" name="ibrel_28" vbProcedure="false">In!$E$57</definedName>
    <definedName function="false" hidden="false" name="ibrel_29" vbProcedure="false">In!$E$59</definedName>
    <definedName function="false" hidden="false" name="ib_sh26" vbProcedure="false">In!$E$60</definedName>
    <definedName function="false" hidden="false" name="ib_sh26_hi" vbProcedure="false">In!$F$60</definedName>
    <definedName function="false" hidden="false" name="ib_sh26_lo" vbProcedure="false">In!$D$60</definedName>
    <definedName function="false" hidden="false" name="ib_w_ot" vbProcedure="false">In!$E$61</definedName>
    <definedName function="false" hidden="false" name="ib_w_ot_hi" vbProcedure="false">In!$F$61</definedName>
    <definedName function="false" hidden="false" name="ib_w_ot_lo" vbProcedure="false">In!$D$61</definedName>
    <definedName function="false" hidden="false" name="itc_26" vbProcedure="false">In!$E$37</definedName>
    <definedName function="false" hidden="false" name="itc_27" vbProcedure="false">In!$E$38</definedName>
    <definedName function="false" hidden="false" name="itc_28" vbProcedure="false">In!$E$39</definedName>
    <definedName function="false" hidden="false" name="itc_29" vbProcedure="false">In!$E$40</definedName>
    <definedName function="false" hidden="false" name="life" vbProcedure="false">In!$E$109</definedName>
    <definedName function="false" hidden="false" name="life_hi" vbProcedure="false">In!$F$109</definedName>
    <definedName function="false" hidden="false" name="life_lo" vbProcedure="false">In!$D$109</definedName>
    <definedName function="false" hidden="false" name="mx_abf" vbProcedure="false">In!$E$80</definedName>
    <definedName function="false" hidden="false" name="mx_abf_hi" vbProcedure="false">In!$F$80</definedName>
    <definedName function="false" hidden="false" name="mx_abf_lo" vbProcedure="false">In!$D$80</definedName>
    <definedName function="false" hidden="false" name="mx_bt" vbProcedure="false">In!$E$81</definedName>
    <definedName function="false" hidden="false" name="mx_bt_hi" vbProcedure="false">In!$F$81</definedName>
    <definedName function="false" hidden="false" name="mx_bt_lo" vbProcedure="false">In!$D$81</definedName>
    <definedName function="false" hidden="false" name="nim5" vbProcedure="false">In!$E$140</definedName>
    <definedName function="false" hidden="false" name="nonop27" vbProcedure="false">In!$E$111</definedName>
    <definedName function="false" hidden="false" name="nonop27_hi" vbProcedure="false">In!$F$111</definedName>
    <definedName function="false" hidden="false" name="nonop27_lo" vbProcedure="false">In!$D$111</definedName>
    <definedName function="false" hidden="false" name="nonop28" vbProcedure="false">In!$E$112</definedName>
    <definedName function="false" hidden="false" name="nonop28_hi" vbProcedure="false">In!$F$112</definedName>
    <definedName function="false" hidden="false" name="nonop28_lo" vbProcedure="false">In!$D$112</definedName>
    <definedName function="false" hidden="false" name="nonop29" vbProcedure="false">In!$E$113</definedName>
    <definedName function="false" hidden="false" name="nonop29_hi" vbProcedure="false">In!$F$113</definedName>
    <definedName function="false" hidden="false" name="nonop29_lo" vbProcedure="false">In!$D$113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In!$E$136</definedName>
    <definedName function="false" hidden="false" name="phi" vbProcedure="false">In!$E$110</definedName>
    <definedName function="false" hidden="false" name="phi_hi" vbProcedure="false">In!$F$110</definedName>
    <definedName function="false" hidden="false" name="phi_lo" vbProcedure="false">In!$D$110</definedName>
    <definedName function="false" hidden="false" name="px" vbProcedure="false">In!$E$134</definedName>
    <definedName function="false" hidden="false" name="q3_gm" vbProcedure="false">In!$E$118</definedName>
    <definedName function="false" hidden="false" name="q3_gm_hi" vbProcedure="false">In!$F$118</definedName>
    <definedName function="false" hidden="false" name="q3_gm_lo" vbProcedure="false">In!$D$118</definedName>
    <definedName function="false" hidden="false" name="q3_opx" vbProcedure="false">In!$E$119</definedName>
    <definedName function="false" hidden="false" name="q3_opx_hi" vbProcedure="false">In!$F$119</definedName>
    <definedName function="false" hidden="false" name="q3_opx_lo" vbProcedure="false">In!$D$119</definedName>
    <definedName function="false" hidden="false" name="q3_rev" vbProcedure="false">In!$E$117</definedName>
    <definedName function="false" hidden="false" name="q4_g" vbProcedure="false">In!$E$120</definedName>
    <definedName function="false" hidden="false" name="q4_gm" vbProcedure="false">In!$E$121</definedName>
    <definedName function="false" hidden="false" name="q4_gm_hi" vbProcedure="false">In!$F$121</definedName>
    <definedName function="false" hidden="false" name="q4_gm_lo" vbProcedure="false">In!$D$121</definedName>
    <definedName function="false" hidden="false" name="q4_g_hi" vbProcedure="false">In!$F$120</definedName>
    <definedName function="false" hidden="false" name="q4_g_lo" vbProcedure="false">In!$D$120</definedName>
    <definedName function="false" hidden="false" name="q4_opx" vbProcedure="false">In!$E$122</definedName>
    <definedName function="false" hidden="false" name="q4_opx_hi" vbProcedure="false">In!$F$122</definedName>
    <definedName function="false" hidden="false" name="q4_opx_lo" vbProcedure="false">In!$D$122</definedName>
    <definedName function="false" hidden="false" name="q_nonop" vbProcedure="false">In!$E$123</definedName>
    <definedName function="false" hidden="false" name="q_nonop_hi" vbProcedure="false">In!$F$123</definedName>
    <definedName function="false" hidden="false" name="q_nonop_lo" vbProcedure="false">In!$D$123</definedName>
    <definedName function="false" hidden="false" name="q_sh" vbProcedure="false">In!$E$124</definedName>
    <definedName function="false" hidden="false" name="sh_g" vbProcedure="false">In!$E$115</definedName>
    <definedName function="false" hidden="false" name="sh_g_hi" vbProcedure="false">In!$F$115</definedName>
    <definedName function="false" hidden="false" name="sh_g_lo" vbProcedure="false">In!$D$115</definedName>
    <definedName function="false" hidden="false" name="sh_nv_26" vbProcedure="false">In!$E$71</definedName>
    <definedName function="false" hidden="false" name="sh_nv_26_hi" vbProcedure="false">In!$F$71</definedName>
    <definedName function="false" hidden="false" name="sh_nv_26_lo" vbProcedure="false">In!$D$71</definedName>
    <definedName function="false" hidden="false" name="sh_nv_27" vbProcedure="false">In!$E$72</definedName>
    <definedName function="false" hidden="false" name="sh_nv_27_hi" vbProcedure="false">In!$F$72</definedName>
    <definedName function="false" hidden="false" name="sh_nv_27_lo" vbProcedure="false">In!$D$72</definedName>
    <definedName function="false" hidden="false" name="sh_nv_28" vbProcedure="false">In!$E$73</definedName>
    <definedName function="false" hidden="false" name="sh_nv_28_hi" vbProcedure="false">In!$F$73</definedName>
    <definedName function="false" hidden="false" name="sh_nv_28_lo" vbProcedure="false">In!$D$73</definedName>
    <definedName function="false" hidden="false" name="sh_nv_29" vbProcedure="false">In!$E$74</definedName>
    <definedName function="false" hidden="false" name="sh_nv_29_hi" vbProcedure="false">In!$F$74</definedName>
    <definedName function="false" hidden="false" name="sh_nv_29_lo" vbProcedure="false">In!$D$74</definedName>
    <definedName function="false" hidden="false" name="sh_ot_26" vbProcedure="false">In!$E$75</definedName>
    <definedName function="false" hidden="false" name="sh_ot_26_hi" vbProcedure="false">In!$F$75</definedName>
    <definedName function="false" hidden="false" name="sh_ot_26_lo" vbProcedure="false">In!$D$75</definedName>
    <definedName function="false" hidden="false" name="sh_ot_27" vbProcedure="false">In!$E$76</definedName>
    <definedName function="false" hidden="false" name="sh_ot_27_hi" vbProcedure="false">In!$F$76</definedName>
    <definedName function="false" hidden="false" name="sh_ot_27_lo" vbProcedure="false">In!$D$76</definedName>
    <definedName function="false" hidden="false" name="sh_ot_28" vbProcedure="false">In!$E$77</definedName>
    <definedName function="false" hidden="false" name="sh_ot_28_hi" vbProcedure="false">In!$F$77</definedName>
    <definedName function="false" hidden="false" name="sh_ot_28_lo" vbProcedure="false">In!$D$77</definedName>
    <definedName function="false" hidden="false" name="sh_ot_29" vbProcedure="false">In!$E$78</definedName>
    <definedName function="false" hidden="false" name="sh_ot_29_hi" vbProcedure="false">In!$F$78</definedName>
    <definedName function="false" hidden="false" name="sh_ot_29_lo" vbProcedure="false">In!$D$78</definedName>
    <definedName function="false" hidden="false" name="swm_26" vbProcedure="false">In!$E$41</definedName>
    <definedName function="false" hidden="false" name="swm_27" vbProcedure="false">In!$E$42</definedName>
    <definedName function="false" hidden="false" name="swm_28" vbProcedure="false">In!$E$43</definedName>
    <definedName function="false" hidden="false" name="swm_29" vbProcedure="false">In!$E$44</definedName>
    <definedName function="false" hidden="false" name="tax" vbProcedure="false">In!$E$114</definedName>
    <definedName function="false" hidden="false" name="tax_hi" vbProcedure="false">In!$F$114</definedName>
    <definedName function="false" hidden="false" name="tax_lo" vbProcedure="false">In!$D$114</definedName>
    <definedName function="false" hidden="false" name="tp_g" vbProcedure="false">In!$E$146</definedName>
    <definedName function="false" hidden="false" name="tp_r" vbProcedure="false">In!$E$145</definedName>
    <definedName function="false" hidden="false" name="tp_roe" vbProcedure="false">In!$E$147</definedName>
    <definedName function="false" hidden="false" name="tp_wA" vbProcedure="false">In!$E$142</definedName>
    <definedName function="false" hidden="false" name="tp_wB" vbProcedure="false">In!$E$143</definedName>
    <definedName function="false" hidden="false" name="tp_wC" vbProcedure="false">In!$E$144</definedName>
    <definedName function="false" hidden="false" name="tp_w_dcf" vbProcedure="false">In!$E$148</definedName>
    <definedName function="false" hidden="false" name="um28_A" vbProcedure="false">In!$E$45</definedName>
    <definedName function="false" hidden="false" name="um28_B" vbProcedure="false">In!$E$47</definedName>
    <definedName function="false" hidden="false" name="um28_C" vbProcedure="false">In!$E$49</definedName>
    <definedName function="false" hidden="false" name="um29_A" vbProcedure="false">In!$E$46</definedName>
    <definedName function="false" hidden="false" name="um29_B" vbProcedure="false">In!$E$48</definedName>
    <definedName function="false" hidden="false" name="um29_C" vbProcedure="false">In!$E$50</definedName>
    <definedName function="false" hidden="false" name="un_nv_26" vbProcedure="false">In!$E$63</definedName>
    <definedName function="false" hidden="false" name="un_nv_27" vbProcedure="false">In!$E$65</definedName>
    <definedName function="false" hidden="false" name="un_nv_28" vbProcedure="false">In!$E$67</definedName>
    <definedName function="false" hidden="false" name="un_nv_29" vbProcedure="false">In!$E$69</definedName>
    <definedName function="false" hidden="false" name="un_ot_26" vbProcedure="false">In!$E$64</definedName>
    <definedName function="false" hidden="false" name="un_ot_27" vbProcedure="false">In!$E$66</definedName>
    <definedName function="false" hidden="false" name="un_ot_28" vbProcedure="false">In!$E$68</definedName>
    <definedName function="false" hidden="false" name="un_ot_29" vbProcedure="false">In!$E$70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v26" vbProcedure="false">In!$E$52</definedName>
    <definedName function="false" hidden="false" name="v_ot" vbProcedure="false">In!$E$62</definedName>
    <definedName function="false" hidden="false" name="v_ot_hi" vbProcedure="false">In!$F$62</definedName>
    <definedName function="false" hidden="false" name="v_ot_lo" vbProcedure="false">In!$D$62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<sst xmlns="http://schemas.openxmlformats.org/spreadsheetml/2006/main" count="5080" uniqueCount="1025">
  <si>
    <r>
      <rPr>
        <b val="true"/>
        <sz val="11"/>
        <rFont val="Noto Sans CJK SC"/>
        <family val="2"/>
      </rPr>
      <t xml:space="preserve">南電（</t>
    </r>
    <r>
      <rPr>
        <b val="true"/>
        <sz val="11"/>
        <rFont val="Cambria"/>
        <family val="0"/>
        <charset val="1"/>
      </rPr>
      <t xml:space="preserve">8046.TW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</si>
  <si>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（初版）。樣板：</t>
    </r>
    <r>
      <rPr>
        <sz val="11"/>
        <rFont val="Cambria"/>
        <family val="0"/>
        <charset val="1"/>
      </rPr>
      <t xml:space="preserve">unimicron/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加速器載板的每顆金額、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份額與非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權重讀 </t>
    </r>
    <r>
      <rPr>
        <sz val="11"/>
        <rFont val="Cambria"/>
        <family val="0"/>
        <charset val="1"/>
      </rPr>
      <t xml:space="preserve">ibiden/dist</t>
    </r>
    <r>
      <rPr>
        <sz val="11"/>
        <rFont val="Noto Sans CJK SC"/>
        <family val="2"/>
      </rPr>
      <t xml:space="preserve">，欣興份額讀 </t>
    </r>
    <r>
      <rPr>
        <sz val="11"/>
        <rFont val="Cambria"/>
        <family val="0"/>
        <charset val="1"/>
      </rPr>
      <t xml:space="preserve">unimicron/dist</t>
    </r>
    <r>
      <rPr>
        <sz val="11"/>
        <rFont val="Noto Sans CJK SC"/>
        <family val="2"/>
      </rPr>
      <t xml:space="preserve">（本專案權威）；三家份額合計在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頁檢查。</t>
    </r>
  </si>
  <si>
    <r>
      <rPr>
        <sz val="11"/>
        <rFont val="Noto Sans CJK SC"/>
        <family val="2"/>
      </rPr>
      <t xml:space="preserve">模型命題：南電的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載板營收＝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產能）；需求以網通交換器載板為主（隨 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的交換晶片與交換器市場），加上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每顆載板金額（與 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、欣興同口徑）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南電份額（個位數）與非 </t>
    </r>
    <r>
      <rPr>
        <sz val="11"/>
        <rFont val="Cambria"/>
        <family val="0"/>
        <charset val="1"/>
      </rPr>
      <t xml:space="preserve">AI ABF</t>
    </r>
    <r>
      <rPr>
        <sz val="11"/>
        <rFont val="Noto Sans CJK SC"/>
        <family val="2"/>
      </rPr>
      <t xml:space="preserve">；產能 </t>
    </r>
    <r>
      <rPr>
        <sz val="11"/>
        <rFont val="Cambria"/>
        <family val="0"/>
        <charset val="1"/>
      </rPr>
      <t xml:space="preserve">2026–28 </t>
    </r>
    <r>
      <rPr>
        <sz val="11"/>
        <rFont val="Noto Sans CJK SC"/>
        <family val="2"/>
      </rPr>
      <t xml:space="preserve">年靠去瓶頸與昆山廠爬坡，新廠約 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年。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載板（約三成營收）以漲價為主。資本支出低（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40 </t>
    </r>
    <r>
      <rPr>
        <sz val="11"/>
        <rFont val="Noto Sans CJK SC"/>
        <family val="2"/>
      </rPr>
      <t xml:space="preserve">億）、折舊約 </t>
    </r>
    <r>
      <rPr>
        <sz val="11"/>
        <rFont val="Cambria"/>
        <family val="0"/>
        <charset val="1"/>
      </rPr>
      <t xml:space="preserve">70 </t>
    </r>
    <r>
      <rPr>
        <sz val="11"/>
        <rFont val="Noto Sans CJK SC"/>
        <family val="2"/>
      </rPr>
      <t xml:space="preserve">億。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</si>
  <si>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年下半年的漲價與交換器載板需求，能不能讓毛利率從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27% </t>
    </r>
    <r>
      <rPr>
        <sz val="11"/>
        <rFont val="Noto Sans CJK SC"/>
        <family val="2"/>
      </rPr>
      <t xml:space="preserve">再升、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倍增；約 </t>
    </r>
    <r>
      <rPr>
        <sz val="11"/>
        <rFont val="Cambria"/>
        <family val="0"/>
        <charset val="1"/>
      </rPr>
      <t xml:space="preserve">1,265 </t>
    </r>
    <r>
      <rPr>
        <sz val="11"/>
        <rFont val="Noto Sans CJK SC"/>
        <family val="2"/>
      </rPr>
      <t xml:space="preserve">元的股價隱含什麼路徑。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</si>
  <si>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：新台幣（基本、歸屬母公司）。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</si>
  <si>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</si>
  <si>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加速器載板：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tsmc </t>
    </r>
    <r>
      <rPr>
        <sz val="11"/>
        <rFont val="Noto Sans CJK SC"/>
        <family val="2"/>
      </rPr>
      <t xml:space="preserve">同字母情境係數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載板金額（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模型 </t>
    </r>
    <r>
      <rPr>
        <sz val="11"/>
        <rFont val="Cambria"/>
        <family val="0"/>
        <charset val="1"/>
      </rPr>
      <t xml:space="preserve">US$215 × </t>
    </r>
    <r>
      <rPr>
        <sz val="11"/>
        <rFont val="Noto Sans CJK SC"/>
        <family val="2"/>
      </rPr>
      <t xml:space="preserve">面積層數 </t>
    </r>
    <r>
      <rPr>
        <sz val="11"/>
        <rFont val="Cambria"/>
        <family val="0"/>
        <charset val="1"/>
      </rPr>
      <t xml:space="preserve">+18%</t>
    </r>
    <r>
      <rPr>
        <sz val="11"/>
        <rFont val="Noto Sans CJK SC"/>
        <family val="2"/>
      </rPr>
      <t xml:space="preserve">／年 </t>
    </r>
    <r>
      <rPr>
        <sz val="11"/>
        <rFont val="Cambria"/>
        <family val="0"/>
        <charset val="1"/>
      </rPr>
      <t xml:space="preserve">× Ibiden </t>
    </r>
    <r>
      <rPr>
        <sz val="11"/>
        <rFont val="Noto Sans CJK SC"/>
        <family val="2"/>
      </rPr>
      <t xml:space="preserve">溢價指數）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南電份額（</t>
    </r>
    <r>
      <rPr>
        <sz val="11"/>
        <rFont val="Cambria"/>
        <family val="0"/>
        <charset val="1"/>
      </rPr>
      <t xml:space="preserve">NVIDIA 2%→4%</t>
    </r>
    <r>
      <rPr>
        <sz val="11"/>
        <rFont val="Noto Sans CJK SC"/>
        <family val="2"/>
      </rPr>
      <t xml:space="preserve">、非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金額 </t>
    </r>
    <r>
      <rPr>
        <sz val="11"/>
        <rFont val="Cambria"/>
        <family val="0"/>
        <charset val="1"/>
      </rPr>
      <t xml:space="preserve">5%→7%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漲價年度化 </t>
    </r>
    <r>
      <rPr>
        <sz val="11"/>
        <rFont val="Cambria"/>
        <family val="0"/>
        <charset val="1"/>
      </rPr>
      <t xml:space="preserve">1.15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</si>
  <si>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載板（交換器為主）＝</t>
    </r>
    <r>
      <rPr>
        <sz val="11"/>
        <rFont val="Cambria"/>
        <family val="0"/>
        <charset val="1"/>
      </rPr>
      <t xml:space="preserve">FY2026 AI </t>
    </r>
    <r>
      <rPr>
        <sz val="11"/>
        <rFont val="Noto Sans CJK SC"/>
        <family val="2"/>
      </rPr>
      <t xml:space="preserve">載板（</t>
    </r>
    <r>
      <rPr>
        <sz val="11"/>
        <rFont val="Cambria"/>
        <family val="0"/>
        <charset val="1"/>
      </rPr>
      <t xml:space="preserve">ABF × 65%</t>
    </r>
    <r>
      <rPr>
        <sz val="11"/>
        <rFont val="Noto Sans CJK SC"/>
        <family val="2"/>
      </rPr>
      <t xml:space="preserve">）− 加速器載板（校準殘差），之後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交換晶片與交換器市場成長 </t>
    </r>
    <r>
      <rPr>
        <sz val="11"/>
        <rFont val="Cambria"/>
        <family val="0"/>
        <charset val="1"/>
      </rPr>
      <t xml:space="preserve">^ 0.5 × </t>
    </r>
    <r>
      <rPr>
        <sz val="11"/>
        <rFont val="Noto Sans CJK SC"/>
        <family val="2"/>
      </rPr>
      <t xml:space="preserve">情境係數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溢價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漲價年度化；非 </t>
    </r>
    <r>
      <rPr>
        <sz val="11"/>
        <rFont val="Cambria"/>
        <family val="0"/>
        <charset val="1"/>
      </rPr>
      <t xml:space="preserve">AI ABF +3%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產能指數 </t>
    </r>
    <r>
      <rPr>
        <sz val="11"/>
        <rFont val="Cambria"/>
        <family val="0"/>
        <charset val="1"/>
      </rPr>
      <t xml:space="preserve">1.20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1.35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組合 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／年。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年增依情境（</t>
    </r>
    <r>
      <rPr>
        <sz val="11"/>
        <rFont val="Cambria"/>
        <family val="0"/>
        <charset val="1"/>
      </rPr>
      <t xml:space="preserve">A 30%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15%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持平。</t>
    </r>
  </si>
  <si>
    <r>
      <rPr>
        <sz val="11"/>
        <rFont val="Noto Sans CJK SC"/>
        <family val="2"/>
      </rPr>
      <t xml:space="preserve">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錨點＋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現金毛利增量（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）＋其他產品現金毛利增量（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）＋漲價溢價營收 − 折舊增量；折舊＝前一年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年）＋前一年資本支出 </t>
    </r>
    <r>
      <rPr>
        <sz val="11"/>
        <rFont val="Cambria"/>
        <family val="0"/>
        <charset val="1"/>
      </rPr>
      <t xml:space="preserve">÷ 8 </t>
    </r>
    <r>
      <rPr>
        <sz val="11"/>
        <rFont val="Noto Sans CJK SC"/>
        <family val="2"/>
      </rPr>
      <t xml:space="preserve">年；資本支出 </t>
    </r>
    <r>
      <rPr>
        <sz val="11"/>
        <rFont val="Cambria"/>
        <family val="0"/>
        <charset val="1"/>
      </rPr>
      <t xml:space="preserve">140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180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120 </t>
    </r>
    <r>
      <rPr>
        <sz val="11"/>
        <rFont val="Noto Sans CJK SC"/>
        <family val="2"/>
      </rPr>
      <t xml:space="preserve">億（三情境相同）。營業費用彈性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；業外每年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億；稅率 </t>
    </r>
    <r>
      <rPr>
        <sz val="11"/>
        <rFont val="Cambria"/>
        <family val="0"/>
        <charset val="1"/>
      </rPr>
      <t xml:space="preserve">21%</t>
    </r>
    <r>
      <rPr>
        <sz val="11"/>
        <rFont val="Noto Sans CJK SC"/>
        <family val="2"/>
      </rPr>
      <t xml:space="preserve">；股數持平 </t>
    </r>
    <r>
      <rPr>
        <sz val="11"/>
        <rFont val="Cambria"/>
        <family val="0"/>
        <charset val="1"/>
      </rPr>
      <t xml:space="preserve">6.46 </t>
    </r>
    <r>
      <rPr>
        <sz val="11"/>
        <rFont val="Noto Sans CJK SC"/>
        <family val="2"/>
      </rPr>
      <t xml:space="preserve">億股。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</si>
  <si>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財報實績（</t>
    </r>
    <r>
      <rPr>
        <sz val="11"/>
        <rFont val="Cambria"/>
        <family val="0"/>
        <charset val="1"/>
      </rPr>
      <t xml:space="preserve">EPS 2.03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3.50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 </t>
    </r>
    <r>
      <rPr>
        <sz val="11"/>
        <rFont val="Cambria"/>
        <family val="0"/>
        <charset val="1"/>
      </rPr>
      <t xml:space="preserve">163.8 </t>
    </r>
    <r>
      <rPr>
        <sz val="11"/>
        <rFont val="Noto Sans CJK SC"/>
        <family val="2"/>
      </rPr>
      <t xml:space="preserve">億＋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30%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營收季增 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32.5%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</si>
  <si>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目標價（股東現金流＝每股（淨利＋折舊－資本支出），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目標價（欣興、景碩、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、三星電機、</t>
    </r>
    <r>
      <rPr>
        <sz val="11"/>
        <rFont val="Cambria"/>
        <family val="0"/>
        <charset val="1"/>
      </rPr>
      <t xml:space="preserve">AT&amp;S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；無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</si>
  <si>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讀 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同字母顆數係數（＝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，建置時核對）；交換器市場讀 </t>
    </r>
    <r>
      <rPr>
        <sz val="11"/>
        <rFont val="Cambria"/>
        <family val="0"/>
        <charset val="1"/>
      </rPr>
      <t xml:space="preserve">markets/network</t>
    </r>
    <r>
      <rPr>
        <sz val="11"/>
        <rFont val="Noto Sans CJK SC"/>
        <family val="2"/>
      </rPr>
      <t xml:space="preserve">（單一路徑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同字母係數）；公司特有變數只有 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年增隨情境，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</si>
  <si>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未使用。公司數字經資料商與媒體轉載（公司原文待人工複核）；券商與資料商為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</si>
  <si>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加速器、交換器與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載板的拆分公司未揭露，其他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載板為校準殘差；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份額、產能指數、漲價年度化皆為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，與 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、欣興合計只做上限檢查；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毛利用現金流通率近似，未建分廠稼動率；</t>
    </r>
    <r>
      <rPr>
        <sz val="11"/>
        <rFont val="Cambria"/>
        <family val="0"/>
        <charset val="1"/>
      </rPr>
      <t xml:space="preserve">(4) AMD </t>
    </r>
    <r>
      <rPr>
        <sz val="11"/>
        <rFont val="Noto Sans CJK SC"/>
        <family val="2"/>
      </rPr>
      <t xml:space="preserve">伺服器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認證（美銀：成功則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年逾兩成營收）未建入；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新廠資本支出未定，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現金流可能偏高；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2016–2018 </t>
    </r>
    <r>
      <rPr>
        <sz val="11"/>
        <rFont val="Noto Sans CJK SC"/>
        <family val="2"/>
      </rPr>
      <t xml:space="preserve">年虧損不計，其餘與盈餘反向；</t>
    </r>
    <r>
      <rPr>
        <sz val="11"/>
        <rFont val="Cambria"/>
        <family val="0"/>
        <charset val="1"/>
      </rPr>
      <t xml:space="preserve">(7) FactSet </t>
    </r>
    <r>
      <rPr>
        <sz val="11"/>
        <rFont val="Noto Sans CJK SC"/>
        <family val="2"/>
      </rPr>
      <t xml:space="preserve">共識為 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(8)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月底）後更新錨點。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</si>
  <si>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</si>
  <si>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未使用。公司數字經資料商（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）與媒體轉載；公司說法為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；券商、媒體、資料商為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</si>
  <si>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</si>
  <si>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</si>
  <si>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</si>
  <si>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</si>
  <si>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</si>
  <si>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</si>
  <si>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</si>
  <si>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</si>
  <si>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</si>
  <si>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加速器顆數、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資本支出與交換器市場（讀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成品；唯讀，不自行重估）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</si>
  <si>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</si>
  <si>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</si>
  <si>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</si>
  <si>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</si>
  <si>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</si>
  <si>
    <r>
      <rPr>
        <sz val="11"/>
        <color theme="1"/>
        <rFont val="Noto Sans CJK SC"/>
        <family val="2"/>
      </rPr>
      <t xml:space="preserve">唯讀上游；與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、欣興、台積電模型同一份顆數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</si>
  <si>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</si>
  <si>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</si>
  <si>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</si>
  <si>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</si>
  <si>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</si>
  <si>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</si>
  <si>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</si>
  <si>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</si>
  <si>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</si>
  <si>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</si>
  <si>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t xml:space="preserve">同上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</si>
  <si>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</si>
  <si>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</si>
  <si>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</si>
  <si>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</si>
  <si>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</si>
  <si>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</si>
  <si>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</si>
  <si>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</si>
  <si>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</si>
  <si>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</si>
  <si>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</si>
  <si>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</si>
  <si>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</si>
  <si>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</si>
  <si>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</si>
  <si>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</si>
  <si>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</si>
  <si>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</si>
  <si>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</si>
  <si>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</si>
  <si>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In!E15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</si>
  <si>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</si>
  <si>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</si>
  <si>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</si>
  <si>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</si>
  <si>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</si>
  <si>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</si>
  <si>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</si>
  <si>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</si>
  <si>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In!E18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</si>
  <si>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</si>
  <si>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</si>
  <si>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In!E19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</si>
  <si>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</si>
  <si>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</si>
  <si>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</si>
  <si>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</si>
  <si>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</si>
  <si>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</si>
  <si>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</si>
  <si>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</si>
  <si>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In!E22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</si>
  <si>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</si>
  <si>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</si>
  <si>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In!E23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</si>
  <si>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</si>
  <si>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</si>
  <si>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</si>
  <si>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</si>
  <si>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</si>
  <si>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</si>
  <si>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</si>
  <si>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</si>
  <si>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</si>
  <si>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</si>
  <si>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</si>
  <si>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</si>
  <si>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</si>
  <si>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</si>
  <si>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</si>
  <si>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</si>
  <si>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</si>
  <si>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</si>
  <si>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</si>
  <si>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</si>
  <si>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</si>
  <si>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</si>
  <si>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</si>
  <si>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</si>
  <si>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</si>
  <si>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</si>
  <si>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</si>
  <si>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</si>
  <si>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</si>
  <si>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</si>
  <si>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</si>
  <si>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</si>
  <si>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</si>
  <si>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</si>
  <si>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</si>
  <si>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</si>
  <si>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</si>
  <si>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</si>
  <si>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</si>
  <si>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</si>
  <si>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</si>
  <si>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</si>
  <si>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</si>
  <si>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</si>
  <si>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</si>
  <si>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</si>
  <si>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</si>
  <si>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</si>
  <si>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</si>
  <si>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</si>
  <si>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swm_26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</si>
  <si>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</si>
  <si>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Mkt!C17:F17</t>
    </r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</si>
  <si>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載板以網通交換器為主（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交換晶片）；其他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載板的成長依據</t>
    </r>
  </si>
  <si>
    <t xml:space="preserve">swm_27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</si>
  <si>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</si>
  <si>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t xml:space="preserve">swm_28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</si>
  <si>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</si>
  <si>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t xml:space="preserve">swm_29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</si>
  <si>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</si>
  <si>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</si>
  <si>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</si>
  <si>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</si>
  <si>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</si>
  <si>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</si>
  <si>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</si>
  <si>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</si>
  <si>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</si>
  <si>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</si>
  <si>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</si>
  <si>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</si>
  <si>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</si>
  <si>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</si>
  <si>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</si>
  <si>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</si>
  <si>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</si>
  <si>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</si>
  <si>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</si>
  <si>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</si>
  <si>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</si>
  <si>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</si>
  <si>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每顆加速器載板金額與份額（口徑與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、欣興一致；兩者數字唯讀取自各自 </t>
    </r>
    <r>
      <rPr>
        <b val="true"/>
        <sz val="11"/>
        <rFont val="Cambria"/>
        <family val="0"/>
        <charset val="1"/>
      </rPr>
      <t xml:space="preserve">dist</t>
    </r>
    <r>
      <rPr>
        <b val="true"/>
        <sz val="11"/>
        <rFont val="Noto Sans CJK SC"/>
        <family val="2"/>
      </rPr>
      <t xml:space="preserve">）</t>
    </r>
  </si>
  <si>
    <t xml:space="preserve">v26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</si>
  <si>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模型校準）</t>
    </r>
  </si>
  <si>
    <t xml:space="preserve">US$</t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</si>
  <si>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</si>
  <si>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每顆營收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</si>
  <si>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g_asp</t>
  </si>
  <si>
    <r>
      <rPr>
        <sz val="11"/>
        <color theme="1"/>
        <rFont val="Noto Sans CJK SC"/>
        <family val="2"/>
      </rPr>
      <t xml:space="preserve">每顆載板金額年增（面積、層數；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</si>
  <si>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</si>
  <si>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</si>
  <si>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 →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</si>
  <si>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ibpp_27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</si>
  <si>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</si>
  <si>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</si>
  <si>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r>
      <rPr>
        <sz val="11"/>
        <color theme="1"/>
        <rFont val="Noto Sans CJK SC"/>
        <family val="2"/>
      </rPr>
      <t xml:space="preserve">全市場短缺溢價；新產能到位後回落（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模型；欣興模型同值）</t>
    </r>
  </si>
  <si>
    <t xml:space="preserve">ibrel_27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</si>
  <si>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</si>
  <si>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</si>
  <si>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頁份額合計檢查用</t>
    </r>
  </si>
  <si>
    <t xml:space="preserve">ibpp_28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</si>
  <si>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</si>
  <si>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</si>
  <si>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t xml:space="preserve">ibrel_28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</si>
  <si>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</si>
  <si>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</si>
  <si>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ibpp_29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</si>
  <si>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</si>
  <si>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</si>
  <si>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ibrel_29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</si>
  <si>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</si>
  <si>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</si>
  <si>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ib_sh26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</si>
  <si>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模型假設）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</si>
  <si>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</si>
  <si>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</t>
    </r>
    <r>
      <rPr>
        <sz val="11"/>
        <color theme="1"/>
        <rFont val="Noto Sans CJK SC"/>
        <family val="2"/>
      </rPr>
      <t xml:space="preserve">（列標籤：假設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</si>
  <si>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70–80%</t>
    </r>
  </si>
  <si>
    <t xml:space="preserve">ib_w_ot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</si>
  <si>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</si>
  <si>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</si>
  <si>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÷ v_ot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</si>
  <si>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t xml:space="preserve">v_ot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</si>
  <si>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  <r>
      <rPr>
        <sz val="11"/>
        <color theme="1"/>
        <rFont val="Noto Sans CJK SC"/>
        <family val="2"/>
      </rPr>
      <t xml:space="preserve">（欣興模型同值）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</si>
  <si>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；量化：未找到</t>
    </r>
  </si>
  <si>
    <r>
      <rPr>
        <sz val="11"/>
        <color theme="1"/>
        <rFont val="Noto Sans CJK SC"/>
        <family val="2"/>
      </rPr>
      <t xml:space="preserve">與欣興模型 </t>
    </r>
    <r>
      <rPr>
        <sz val="11"/>
        <color theme="1"/>
        <rFont val="Calibri"/>
        <family val="2"/>
        <charset val="1"/>
      </rPr>
      <t xml:space="preserve">v_ot </t>
    </r>
    <r>
      <rPr>
        <sz val="11"/>
        <color theme="1"/>
        <rFont val="Noto Sans CJK SC"/>
        <family val="2"/>
      </rPr>
      <t xml:space="preserve">相同</t>
    </r>
  </si>
  <si>
    <t xml:space="preserve">un_nv_26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</si>
  <si>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</si>
  <si>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</si>
  <si>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t xml:space="preserve">un_ot_26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</si>
  <si>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</si>
  <si>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In!E63</t>
    </r>
  </si>
  <si>
    <t xml:space="preserve">un_nv_27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</si>
  <si>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</si>
  <si>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In!E60</t>
    </r>
  </si>
  <si>
    <t xml:space="preserve">un_ot_27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</si>
  <si>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</si>
  <si>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In!E64</t>
    </r>
  </si>
  <si>
    <t xml:space="preserve">un_nv_28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</si>
  <si>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</si>
  <si>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In!E61</t>
    </r>
  </si>
  <si>
    <t xml:space="preserve">un_ot_28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</si>
  <si>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</si>
  <si>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In!E65</t>
    </r>
  </si>
  <si>
    <t xml:space="preserve">un_nv_29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</si>
  <si>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</si>
  <si>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In!E62</t>
    </r>
  </si>
  <si>
    <t xml:space="preserve">un_ot_29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</si>
  <si>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</si>
  <si>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In!E66</t>
    </r>
  </si>
  <si>
    <t xml:space="preserve">sh_nv_26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</si>
  <si>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</si>
  <si>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）：客戶含博通、輝達、超微、蘋果（份額未揭露）</t>
    </r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</si>
  <si>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載板以網通交換器為主，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載板份額小（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））；量化：未找到</t>
    </r>
  </si>
  <si>
    <t xml:space="preserve">sh_nv_27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</si>
  <si>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</si>
  <si>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、欣興合計 </t>
    </r>
    <r>
      <rPr>
        <sz val="11"/>
        <color theme="1"/>
        <rFont val="Calibri"/>
        <family val="2"/>
        <charset val="1"/>
      </rPr>
      <t xml:space="preserve">95%→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，其餘由南電、三星電機分食（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</si>
  <si>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—</t>
  </si>
  <si>
    <t xml:space="preserve">sh_nv_28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</si>
  <si>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</si>
  <si>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sh_nv_29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</si>
  <si>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</si>
  <si>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sh_ot_26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</si>
  <si>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</si>
  <si>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（美銀報告）：調配昆山廠產能支應博通需求（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</si>
  <si>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＋南電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，其餘為三星電機、景碩、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</si>
  <si>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sh_ot_27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</si>
  <si>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</si>
  <si>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sh_ot_28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</si>
  <si>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</si>
  <si>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sh_ot_29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</si>
  <si>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</si>
  <si>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C. FY2026 </t>
    </r>
    <r>
      <rPr>
        <b val="true"/>
        <sz val="11"/>
        <rFont val="Noto Sans CJK SC"/>
        <family val="2"/>
      </rPr>
      <t xml:space="preserve">產品組合與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占比（公司未按季揭露；券商與法說摘要推全年）</t>
    </r>
  </si>
  <si>
    <t xml:space="preserve">mx_abf</t>
  </si>
  <si>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</si>
  <si>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1Q26 ABF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30–35%</t>
    </r>
  </si>
  <si>
    <r>
      <rPr>
        <sz val="11"/>
        <color theme="1"/>
        <rFont val="Calibri"/>
        <family val="2"/>
        <charset val="1"/>
      </rPr>
      <t xml:space="preserve">vocus 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2026-03-17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ABF 50–55%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PCB 10–15%</t>
    </r>
  </si>
  <si>
    <t xml:space="preserve">mx_bt</t>
  </si>
  <si>
    <r>
      <rPr>
        <sz val="11"/>
        <color theme="1"/>
        <rFont val="Calibri"/>
        <family val="2"/>
        <charset val="1"/>
      </rPr>
      <t xml:space="preserve">FY2026 BT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營收（其餘為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</si>
  <si>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</si>
  <si>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</si>
  <si>
    <t xml:space="preserve">ai_abf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</si>
  <si>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與資料中心 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</si>
  <si>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與資料中心（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交換器）約占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</si>
  <si>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應用別網通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HPC 16%</t>
    </r>
    <r>
      <rPr>
        <sz val="11"/>
        <color theme="1"/>
        <rFont val="Noto Sans CJK SC"/>
        <family val="2"/>
      </rPr>
      <t xml:space="preserve">（全公司）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</si>
  <si>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需求與產能（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</si>
  <si>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el_o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</si>
  <si>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載板（交換器、伺服器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）對交換晶片與交換器市場的彈性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</si>
  <si>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載板＝</t>
    </r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 − 加速器載板（校準殘差）；隨交換器市場成長但低於等比例（單價已由溢價另計）</t>
    </r>
  </si>
  <si>
    <r>
      <rPr>
        <sz val="11"/>
        <color theme="1"/>
        <rFont val="Noto Sans CJK SC"/>
        <family val="2"/>
      </rPr>
      <t xml:space="preserve">研究報告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：南電占高階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</t>
    </r>
  </si>
  <si>
    <t xml:space="preserve">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</si>
  <si>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、一般伺服器、車用）年增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</si>
  <si>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摘要）：電腦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（零組件缺貨限制）、車用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（需求弱）</t>
    </r>
  </si>
  <si>
    <t xml:space="preserve">cap_27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</si>
  <si>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</si>
  <si>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）：新產能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年到位，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年主要靠產能升級；</t>
    </r>
    <r>
      <rPr>
        <sz val="11"/>
        <color theme="1"/>
        <rFont val="Calibri"/>
        <family val="2"/>
        <charset val="1"/>
      </rPr>
      <t xml:space="preserve">1H26 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80–85%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</si>
  <si>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營收、法人預估、產能）：錦興、樹林滿載，昆山稼動率約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，以去瓶頸擴產</t>
    </r>
  </si>
  <si>
    <t xml:space="preserve">cap_28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</si>
  <si>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</si>
  <si>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公司：持續擴充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，含新建廠，時程待董事會（富果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</si>
  <si>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cap_29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</si>
  <si>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</si>
  <si>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g_mix</t>
  </si>
  <si>
    <t xml:space="preserve">每單位產能營收年增（層數、尺寸組合）</t>
  </si>
  <si>
    <r>
      <rPr>
        <sz val="11"/>
        <color theme="1"/>
        <rFont val="Noto Sans CJK SC"/>
        <family val="2"/>
      </rPr>
      <t xml:space="preserve">公司：產品朝 </t>
    </r>
    <r>
      <rPr>
        <sz val="11"/>
        <color theme="1"/>
        <rFont val="Calibri"/>
        <family val="2"/>
        <charset val="1"/>
      </rPr>
      <t xml:space="preserve">140 mm </t>
    </r>
    <r>
      <rPr>
        <sz val="11"/>
        <color theme="1"/>
        <rFont val="Noto Sans CJK SC"/>
        <family val="2"/>
      </rPr>
      <t xml:space="preserve">以上大尺寸、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層以上（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年後）發展（</t>
    </r>
    <r>
      <rPr>
        <sz val="11"/>
        <color theme="1"/>
        <rFont val="Calibri"/>
        <family val="2"/>
        <charset val="1"/>
      </rPr>
      <t xml:space="preserve">vocus 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2026-03-17</t>
    </r>
    <r>
      <rPr>
        <sz val="11"/>
        <color theme="1"/>
        <rFont val="Noto Sans CJK SC"/>
        <family val="2"/>
      </rPr>
      <t xml:space="preserve">））</t>
    </r>
  </si>
  <si>
    <t xml:space="preserve">與欣興模型同值</t>
  </si>
  <si>
    <t xml:space="preserve">carry</t>
  </si>
  <si>
    <r>
      <rPr>
        <sz val="11"/>
        <color theme="1"/>
        <rFont val="Noto Sans CJK SC"/>
        <family val="2"/>
      </rPr>
      <t xml:space="preserve">南電漲價年度化（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基期含上半年低價；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＋此值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</si>
  <si>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毛利率由 </t>
    </r>
    <r>
      <rPr>
        <sz val="11"/>
        <color theme="1"/>
        <rFont val="Calibri"/>
        <family val="2"/>
        <charset val="1"/>
      </rPr>
      <t xml:space="preserve">1Q26 15.8%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32%</t>
    </r>
    <r>
      <rPr>
        <sz val="11"/>
        <color theme="1"/>
        <rFont val="Noto Sans CJK SC"/>
        <family val="2"/>
      </rPr>
      <t xml:space="preserve">（美銀估），季營收由 </t>
    </r>
    <r>
      <rPr>
        <sz val="11"/>
        <color theme="1"/>
        <rFont val="Calibri"/>
        <family val="2"/>
        <charset val="1"/>
      </rPr>
      <t xml:space="preserve">111.8 </t>
    </r>
    <r>
      <rPr>
        <sz val="11"/>
        <color theme="1"/>
        <rFont val="Noto Sans CJK SC"/>
        <family val="2"/>
      </rPr>
      <t xml:space="preserve">億升到約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1.22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；含量增）</t>
    </r>
  </si>
  <si>
    <r>
      <rPr>
        <sz val="11"/>
        <color theme="1"/>
        <rFont val="Noto Sans CJK SC"/>
        <family val="2"/>
      </rPr>
      <t xml:space="preserve">研究報告：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每平方呎單價 </t>
    </r>
    <r>
      <rPr>
        <sz val="11"/>
        <color theme="1"/>
        <rFont val="Calibri"/>
        <family val="2"/>
        <charset val="1"/>
      </rPr>
      <t xml:space="preserve">2026 +35%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+57%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</si>
  <si>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g_bt27_A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</si>
  <si>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</si>
  <si>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</t>
    </r>
    <r>
      <rPr>
        <sz val="11"/>
        <color theme="1"/>
        <rFont val="Calibri"/>
        <family val="2"/>
        <charset val="1"/>
      </rPr>
      <t xml:space="preserve">BT 4Q26 </t>
    </r>
    <r>
      <rPr>
        <sz val="11"/>
        <color theme="1"/>
        <rFont val="Noto Sans CJK SC"/>
        <family val="2"/>
      </rPr>
      <t xml:space="preserve">漲價個位數、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再漲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</si>
  <si>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（大和報告；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月自結獲利）：</t>
    </r>
    <r>
      <rPr>
        <sz val="11"/>
        <color theme="1"/>
        <rFont val="Calibri"/>
        <family val="2"/>
        <charset val="1"/>
      </rPr>
      <t xml:space="preserve">BT 1Q27 </t>
    </r>
    <r>
      <rPr>
        <sz val="11"/>
        <color theme="1"/>
        <rFont val="Noto Sans CJK SC"/>
        <family val="2"/>
      </rPr>
      <t xml:space="preserve">季增最高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；台、韓部分廠商縮減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產能（凱基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</t>
    </r>
  </si>
  <si>
    <t xml:space="preserve">g_bt28_A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</si>
  <si>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</si>
  <si>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g_bt29_A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</si>
  <si>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</si>
  <si>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g_bt27_B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</si>
  <si>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</si>
  <si>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g_bt28_B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</si>
  <si>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</si>
  <si>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g_bt29_B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</si>
  <si>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</si>
  <si>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g_bt27_C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</si>
  <si>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</si>
  <si>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g_bt28_C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</si>
  <si>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</si>
  <si>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g_bt29_C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</si>
  <si>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</si>
  <si>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g_pcb</t>
  </si>
  <si>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（一般電路板）年增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</si>
  <si>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以消費型為主且虧損，公司計畫產能轉向 </t>
    </r>
    <r>
      <rPr>
        <sz val="11"/>
        <color theme="1"/>
        <rFont val="Calibri"/>
        <family val="2"/>
        <charset val="1"/>
      </rPr>
      <t xml:space="preserve">BT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</si>
  <si>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毛利、折舊、費用與淨利（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</si>
  <si>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ft_abf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</si>
  <si>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營收增量的現金毛利率（扣除漲價溢價後）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</si>
  <si>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50%</t>
    </r>
  </si>
  <si>
    <t xml:space="preserve">ft_oth</t>
  </si>
  <si>
    <r>
      <rPr>
        <sz val="11"/>
        <color theme="1"/>
        <rFont val="Noto Sans CJK SC"/>
        <family val="2"/>
      </rPr>
      <t xml:space="preserve">其他產品（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）營收增量的現金毛利率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</si>
  <si>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成長以漲價為主（漲價幾乎全數落在毛利）；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虧損</t>
    </r>
  </si>
  <si>
    <t xml:space="preserve">cx27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</si>
  <si>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（三情境相同；公司特有）</t>
    </r>
  </si>
  <si>
    <t xml:space="preserve">NT$B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</si>
  <si>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2025–28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US$12.8 </t>
    </r>
    <r>
      <rPr>
        <sz val="11"/>
        <color theme="1"/>
        <rFont val="Noto Sans CJK SC"/>
        <family val="2"/>
      </rPr>
      <t xml:space="preserve">億（約 </t>
    </r>
    <r>
      <rPr>
        <sz val="11"/>
        <color theme="1"/>
        <rFont val="Calibri"/>
        <family val="2"/>
        <charset val="1"/>
      </rPr>
      <t xml:space="preserve">416 </t>
    </r>
    <r>
      <rPr>
        <sz val="11"/>
        <color theme="1"/>
        <rFont val="Noto Sans CJK SC"/>
        <family val="2"/>
      </rPr>
      <t xml:space="preserve">億新台幣；七家載板廠第六）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</si>
  <si>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億，新廠待董事會決議（富果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</si>
  <si>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cx28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</si>
  <si>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（三情境相同；公司特有）</t>
    </r>
  </si>
  <si>
    <t xml:space="preserve">cx29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</si>
  <si>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（三情境相同；公司特有）</t>
    </r>
  </si>
  <si>
    <t xml:space="preserve">capex26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</si>
  <si>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資本支出（公司計畫）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</si>
  <si>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</si>
  <si>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19.3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現金流量表）</t>
    </r>
  </si>
  <si>
    <t xml:space="preserve">da26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</si>
  <si>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折舊攤提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</si>
  <si>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現金流量表：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 71.0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</si>
  <si>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研究報告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71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</t>
    </r>
  </si>
  <si>
    <t xml:space="preserve">life</t>
  </si>
  <si>
    <t xml:space="preserve">新增資產平均折舊年限</t>
  </si>
  <si>
    <t xml:space="preserve">年</t>
  </si>
  <si>
    <t xml:space="preserve">載板設備與廠房混合；與欣興模型同值</t>
  </si>
  <si>
    <t xml:space="preserve">會計年限：未找到</t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</si>
  <si>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</si>
  <si>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</si>
  <si>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4.19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4.61 </t>
    </r>
    <r>
      <rPr>
        <sz val="11"/>
        <color theme="1"/>
        <rFont val="Noto Sans CJK SC"/>
        <family val="2"/>
      </rPr>
      <t xml:space="preserve">億（營收季增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頁推得）</t>
    </r>
  </si>
  <si>
    <t xml:space="preserve">nonop27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</si>
  <si>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</si>
  <si>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1Q26 2.5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0.8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推得；含匯兌）</t>
    </r>
  </si>
  <si>
    <r>
      <rPr>
        <sz val="11"/>
        <color theme="1"/>
        <rFont val="Noto Sans CJK SC"/>
        <family val="2"/>
      </rPr>
      <t xml:space="preserve">利息收入（現金部位）（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</si>
  <si>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nonop28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</si>
  <si>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FY2028</t>
    </r>
  </si>
  <si>
    <t xml:space="preserve">nonop29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</si>
  <si>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FY2029</t>
    </r>
  </si>
  <si>
    <t xml:space="preserve">tax</t>
  </si>
  <si>
    <r>
      <rPr>
        <sz val="11"/>
        <color theme="1"/>
        <rFont val="Noto Sans CJK SC"/>
        <family val="2"/>
      </rPr>
      <t xml:space="preserve">所得稅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稅前利益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</si>
  <si>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：稅前 </t>
    </r>
    <r>
      <rPr>
        <sz val="11"/>
        <color theme="1"/>
        <rFont val="Calibri"/>
        <family val="2"/>
        <charset val="1"/>
      </rPr>
      <t xml:space="preserve">45.7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35.7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21.9%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</si>
  <si>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r>
      <rPr>
        <sz val="11"/>
        <color theme="1"/>
        <rFont val="Calibri"/>
        <family val="2"/>
        <charset val="1"/>
      </rPr>
      <t xml:space="preserve">2Q26 24.0%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18.1%</t>
    </r>
    <r>
      <rPr>
        <sz val="11"/>
        <color theme="1"/>
        <rFont val="Noto Sans CJK SC"/>
        <family val="2"/>
      </rPr>
      <t xml:space="preserve">；營所稅 </t>
    </r>
    <r>
      <rPr>
        <sz val="11"/>
        <color theme="1"/>
        <rFont val="Calibri"/>
        <family val="2"/>
        <charset val="1"/>
      </rPr>
      <t xml:space="preserve">20%</t>
    </r>
  </si>
  <si>
    <t xml:space="preserve">sh_g</t>
  </si>
  <si>
    <t xml:space="preserve">股數年變動</t>
  </si>
  <si>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6.4617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</si>
  <si>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無可轉債資訊：未找到</t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</si>
  <si>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</si>
  <si>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</si>
  <si>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營收（月營收實績加總）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</si>
  <si>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</si>
  <si>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TechNews 2026-10-03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411.31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1H26 247.52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</si>
  <si>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winvest 2026-08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</t>
    </r>
    <r>
      <rPr>
        <sz val="11"/>
        <color theme="1"/>
        <rFont val="Calibri"/>
        <family val="2"/>
        <charset val="1"/>
      </rPr>
      <t xml:space="preserve">1Q26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54.40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（大和報告；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月自結獲利）：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53.53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55.86 </t>
    </r>
    <r>
      <rPr>
        <sz val="11"/>
        <color theme="1"/>
        <rFont val="Noto Sans CJK SC"/>
        <family val="2"/>
      </rPr>
      <t xml:space="preserve">億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</si>
  <si>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</si>
  <si>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</si>
  <si>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（大和報告；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月自結獲利）：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月自結稅前淨利率 </t>
    </r>
    <r>
      <rPr>
        <sz val="11"/>
        <color theme="1"/>
        <rFont val="Calibri"/>
        <family val="2"/>
        <charset val="1"/>
      </rPr>
      <t xml:space="preserve">27.8%</t>
    </r>
    <r>
      <rPr>
        <sz val="11"/>
        <color theme="1"/>
        <rFont val="Noto Sans CJK SC"/>
        <family val="2"/>
      </rPr>
      <t xml:space="preserve">、毛利率推算約 </t>
    </r>
    <r>
      <rPr>
        <sz val="11"/>
        <color theme="1"/>
        <rFont val="Calibri"/>
        <family val="2"/>
        <charset val="1"/>
      </rPr>
      <t xml:space="preserve">30–31%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</si>
  <si>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營收、法人預估、產能）：法人估 </t>
    </r>
    <r>
      <rPr>
        <sz val="11"/>
        <color theme="1"/>
        <rFont val="Calibri"/>
        <family val="2"/>
        <charset val="1"/>
      </rPr>
      <t xml:space="preserve">28.1%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</si>
  <si>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</si>
  <si>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</si>
  <si>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1Q26 0.419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0.461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頁推得）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</si>
  <si>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</si>
  <si>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</si>
  <si>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</si>
  <si>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（大和報告；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月自結獲利）：法人估 </t>
    </r>
    <r>
      <rPr>
        <sz val="11"/>
        <color theme="1"/>
        <rFont val="Calibri"/>
        <family val="2"/>
        <charset val="1"/>
      </rPr>
      <t xml:space="preserve">4Q26 184.1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</si>
  <si>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</si>
  <si>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</si>
  <si>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32–33%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</si>
  <si>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</si>
  <si>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</si>
  <si>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</si>
  <si>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</si>
  <si>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0.246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0.077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</si>
  <si>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</si>
  <si>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</si>
  <si>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加權股數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</si>
  <si>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</si>
  <si>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）：流通股數 </t>
    </r>
    <r>
      <rPr>
        <sz val="11"/>
        <color theme="1"/>
        <rFont val="Calibri"/>
        <family val="2"/>
        <charset val="1"/>
      </rPr>
      <t xml:space="preserve">646.17M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</si>
  <si>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6.46 </t>
    </r>
    <r>
      <rPr>
        <sz val="11"/>
        <color theme="1"/>
        <rFont val="Noto Sans CJK SC"/>
        <family val="2"/>
      </rPr>
      <t xml:space="preserve">億股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</si>
  <si>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對照，不作校準）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</si>
  <si>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</si>
  <si>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</si>
  <si>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</si>
  <si>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14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</si>
  <si>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12.57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17.27</t>
    </r>
    <r>
      <rPr>
        <sz val="11"/>
        <color theme="1"/>
        <rFont val="Noto Sans CJK SC"/>
        <family val="2"/>
      </rPr>
      <t xml:space="preserve">；美銀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18.44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</si>
  <si>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</si>
  <si>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</si>
  <si>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28.9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38.88</t>
    </r>
    <r>
      <rPr>
        <sz val="11"/>
        <color theme="1"/>
        <rFont val="Noto Sans CJK SC"/>
        <family val="2"/>
      </rPr>
      <t xml:space="preserve">；美銀 </t>
    </r>
    <r>
      <rPr>
        <sz val="11"/>
        <color theme="1"/>
        <rFont val="Calibri"/>
        <family val="2"/>
        <charset val="1"/>
      </rPr>
      <t xml:space="preserve">43.80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</si>
  <si>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</si>
  <si>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</si>
  <si>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54.25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61.35</t>
    </r>
    <r>
      <rPr>
        <sz val="11"/>
        <color theme="1"/>
        <rFont val="Noto Sans CJK SC"/>
        <family val="2"/>
      </rPr>
      <t xml:space="preserve">；美銀 </t>
    </r>
    <r>
      <rPr>
        <sz val="11"/>
        <color theme="1"/>
        <rFont val="Calibri"/>
        <family val="2"/>
        <charset val="1"/>
      </rPr>
      <t xml:space="preserve">70.09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</si>
  <si>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</si>
  <si>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</si>
  <si>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90.33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88.41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</si>
  <si>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</si>
  <si>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</si>
  <si>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120.65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123.31</t>
    </r>
  </si>
  <si>
    <t xml:space="preserve">bk_eps27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</si>
  <si>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（美銀 </t>
    </r>
    <r>
      <rPr>
        <sz val="11"/>
        <color theme="1"/>
        <rFont val="Calibri"/>
        <family val="2"/>
        <charset val="1"/>
      </rPr>
      <t xml:space="preserve">2026-10 43.80</t>
    </r>
    <r>
      <rPr>
        <sz val="11"/>
        <color theme="1"/>
        <rFont val="Noto Sans CJK SC"/>
        <family val="2"/>
      </rPr>
      <t xml:space="preserve">、凱基 </t>
    </r>
    <r>
      <rPr>
        <sz val="11"/>
        <color theme="1"/>
        <rFont val="Calibri"/>
        <family val="2"/>
        <charset val="1"/>
      </rPr>
      <t xml:space="preserve">2026-07 38.88 </t>
    </r>
    <r>
      <rPr>
        <sz val="11"/>
        <color theme="1"/>
        <rFont val="Noto Sans CJK SC"/>
        <family val="2"/>
      </rPr>
      <t xml:space="preserve">平均）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</si>
  <si>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</t>
    </r>
  </si>
  <si>
    <t xml:space="preserve">bk_eps28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</si>
  <si>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（美銀 </t>
    </r>
    <r>
      <rPr>
        <sz val="11"/>
        <color theme="1"/>
        <rFont val="Calibri"/>
        <family val="2"/>
        <charset val="1"/>
      </rPr>
      <t xml:space="preserve">70.09</t>
    </r>
    <r>
      <rPr>
        <sz val="11"/>
        <color theme="1"/>
        <rFont val="Noto Sans CJK SC"/>
        <family val="2"/>
      </rPr>
      <t xml:space="preserve">、凱基 </t>
    </r>
    <r>
      <rPr>
        <sz val="11"/>
        <color theme="1"/>
        <rFont val="Calibri"/>
        <family val="2"/>
        <charset val="1"/>
      </rPr>
      <t xml:space="preserve">61.35 </t>
    </r>
    <r>
      <rPr>
        <sz val="11"/>
        <color theme="1"/>
        <rFont val="Noto Sans CJK SC"/>
        <family val="2"/>
      </rPr>
      <t xml:space="preserve">平均）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</si>
  <si>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價格與市場資料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</si>
  <si>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</si>
  <si>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收盤未取得）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</si>
  <si>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 歷史價格：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1,265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10-21 1,340</t>
    </r>
  </si>
  <si>
    <r>
      <rPr>
        <sz val="11"/>
        <color theme="1"/>
        <rFont val="Noto Sans CJK SC"/>
        <family val="2"/>
      </rPr>
      <t xml:space="preserve">財報狗、</t>
    </r>
    <r>
      <rPr>
        <sz val="11"/>
        <color theme="1"/>
        <rFont val="Calibri"/>
        <family val="2"/>
        <charset val="1"/>
      </rPr>
      <t xml:space="preserve">HiStock 2026-10-22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1,265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</si>
  <si>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</si>
  <si>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，價格日期 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</si>
  <si>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）：頁面價格 </t>
    </r>
    <r>
      <rPr>
        <sz val="11"/>
        <color theme="1"/>
        <rFont val="Calibri"/>
        <family val="2"/>
        <charset val="1"/>
      </rPr>
      <t xml:space="preserve">1,050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</si>
  <si>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口徑：頁面未明示（約未來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月更新值未取得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</si>
  <si>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</si>
  <si>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（財報狗，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</si>
  <si>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 </t>
    </r>
    <r>
      <rPr>
        <sz val="11"/>
        <color theme="1"/>
        <rFont val="Calibri"/>
        <family val="2"/>
        <charset val="1"/>
      </rPr>
      <t xml:space="preserve">2026-10-22</t>
    </r>
  </si>
  <si>
    <t xml:space="preserve">HiStock 148.65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</si>
  <si>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</si>
  <si>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頁面價格 </t>
    </r>
    <r>
      <rPr>
        <sz val="11"/>
        <color theme="1"/>
        <rFont val="Calibri"/>
        <family val="2"/>
        <charset val="1"/>
      </rPr>
      <t xml:space="preserve">1,050 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</si>
  <si>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</si>
  <si>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以頁面同日價格推算（不用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現價）；直接數字：未找到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</si>
  <si>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</si>
  <si>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</si>
  <si>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1,651.31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</si>
  <si>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月：美銀 </t>
    </r>
    <r>
      <rPr>
        <sz val="11"/>
        <color theme="1"/>
        <rFont val="Calibri"/>
        <family val="2"/>
        <charset val="1"/>
      </rPr>
      <t xml:space="preserve">2,000</t>
    </r>
    <r>
      <rPr>
        <sz val="11"/>
        <color theme="1"/>
        <rFont val="Noto Sans CJK SC"/>
        <family val="2"/>
      </rPr>
      <t xml:space="preserve">、大和 </t>
    </r>
    <r>
      <rPr>
        <sz val="11"/>
        <color theme="1"/>
        <rFont val="Calibri"/>
        <family val="2"/>
        <charset val="1"/>
      </rPr>
      <t xml:space="preserve">2,460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1,480</t>
    </r>
  </si>
  <si>
    <t xml:space="preserve">fx</t>
  </si>
  <si>
    <t xml:space="preserve">匯率</t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</si>
  <si>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</t>
    </r>
  </si>
  <si>
    <r>
      <rPr>
        <sz val="11"/>
        <color theme="1"/>
        <rFont val="Noto Sans CJK SC"/>
        <family val="2"/>
      </rPr>
      <t xml:space="preserve">與欣興模型同值（鉅亨報價框 </t>
    </r>
    <r>
      <rPr>
        <sz val="11"/>
        <color theme="1"/>
        <rFont val="Calibri"/>
        <family val="2"/>
        <charset val="1"/>
      </rPr>
      <t xml:space="preserve">USD/TWD 32.508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</si>
  <si>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</si>
  <si>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；十年平均的參考）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</si>
  <si>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）：營收與淨利 </t>
    </r>
    <r>
      <rPr>
        <sz val="11"/>
        <color theme="1"/>
        <rFont val="Calibri"/>
        <family val="2"/>
        <charset val="1"/>
      </rPr>
      <t xml:space="preserve">FY2021–25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</si>
  <si>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）營收：未找到（</t>
    </r>
    <r>
      <rPr>
        <sz val="11"/>
        <color theme="1"/>
        <rFont val="Calibri"/>
        <family val="2"/>
        <charset val="1"/>
      </rPr>
      <t xml:space="preserve">FY2016–20 </t>
    </r>
    <r>
      <rPr>
        <sz val="11"/>
        <color theme="1"/>
        <rFont val="Noto Sans CJK SC"/>
        <family val="2"/>
      </rPr>
      <t xml:space="preserve">營收未取得），收斂法依工作單改用 </t>
    </r>
    <r>
      <rPr>
        <sz val="11"/>
        <color theme="1"/>
        <rFont val="Calibri"/>
        <family val="2"/>
        <charset val="1"/>
      </rPr>
      <t xml:space="preserve">FY2029 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</si>
  <si>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</si>
  <si>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</si>
  <si>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</si>
  <si>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</si>
  <si>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</si>
  <si>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</si>
  <si>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</si>
  <si>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</si>
  <si>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</si>
  <si>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</si>
  <si>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</si>
  <si>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，美台日韓同一值）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</si>
  <si>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</si>
  <si>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</si>
  <si>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</si>
  <si>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永續價值與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</si>
  <si>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</si>
  <si>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</si>
  <si>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 比率頁：</t>
    </r>
    <r>
      <rPr>
        <sz val="11"/>
        <color theme="1"/>
        <rFont val="Calibri"/>
        <family val="2"/>
        <charset val="1"/>
      </rPr>
      <t xml:space="preserve">FY2023 11.45%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0.44%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4.25%</t>
    </r>
  </si>
  <si>
    <r>
      <rPr>
        <sz val="11"/>
        <color theme="1"/>
        <rFont val="Noto Sans CJK SC"/>
        <family val="2"/>
      </rPr>
      <t xml:space="preserve">單一來源；本模型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改用（淨利＋折舊－資本支出），此值只作參考列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</si>
  <si>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</si>
  <si>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</si>
  <si>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</si>
  <si>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</si>
  <si>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</si>
  <si>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</si>
  <si>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</si>
  <si>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</si>
  <si>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</si>
  <si>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</si>
  <si>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</si>
  <si>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</si>
  <si>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</si>
  <si>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</si>
  <si>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</si>
  <si>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</si>
  <si>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B FY2029 × 0.8 </t>
    </r>
    <r>
      <rPr>
        <sz val="11"/>
        <color theme="1"/>
        <rFont val="Noto Sans CJK SC"/>
        <family val="2"/>
      </rPr>
      <t xml:space="preserve">代替（工作單規則）；本列＝（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</si>
  <si>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Noto Sans CJK SC"/>
        <family val="2"/>
      </rPr>
      <t xml:space="preserve">近五年平均見 </t>
    </r>
    <r>
      <rPr>
        <sz val="11"/>
        <color theme="1"/>
        <rFont val="Calibri"/>
        <family val="2"/>
        <charset val="1"/>
      </rPr>
      <t xml:space="preserve">nim5</t>
    </r>
    <r>
      <rPr>
        <sz val="11"/>
        <color theme="1"/>
        <rFont val="Noto Sans CJK SC"/>
        <family val="2"/>
      </rPr>
      <t xml:space="preserve">（只作參考）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</si>
  <si>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</si>
  <si>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</si>
  <si>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代替（工作單規則）</t>
    </r>
  </si>
  <si>
    <r>
      <rPr>
        <sz val="11"/>
        <color theme="1"/>
        <rFont val="Calibri"/>
        <family val="2"/>
        <charset val="1"/>
      </rPr>
      <t xml:space="preserve">Q — 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新台幣、基本；股數十億股）。藍字＝輸入；黑字＝公式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</si>
  <si>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毛利率、費用假設＋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月底公布，屆時以實績取代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欄（毛利率、費用、業外、淨利）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</si>
  <si>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</si>
  <si>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</si>
  <si>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</si>
  <si>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</si>
  <si>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</si>
  <si>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</si>
  <si>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</si>
  <si>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</si>
  <si>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</si>
  <si>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年度與季損益表（公司財報轉載）</t>
    </r>
  </si>
  <si>
    <r>
      <rPr>
        <sz val="11"/>
        <color theme="1"/>
        <rFont val="Calibri"/>
        <family val="2"/>
        <charset val="1"/>
      </rPr>
      <t xml:space="preserve">FY2025 401.73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vocus 4Q25 </t>
    </r>
    <r>
      <rPr>
        <sz val="11"/>
        <color theme="1"/>
        <rFont val="Noto Sans CJK SC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1Q26 111.77 </t>
    </r>
    <r>
      <rPr>
        <sz val="11"/>
        <color theme="1"/>
        <rFont val="Noto Sans CJK SC"/>
        <family val="2"/>
      </rPr>
      <t xml:space="preserve">億（富果同）；</t>
    </r>
    <r>
      <rPr>
        <sz val="11"/>
        <color theme="1"/>
        <rFont val="Calibri"/>
        <family val="2"/>
        <charset val="1"/>
      </rPr>
      <t xml:space="preserve">2Q26 135.75 </t>
    </r>
    <r>
      <rPr>
        <sz val="11"/>
        <color theme="1"/>
        <rFont val="Noto Sans CJK SC"/>
        <family val="2"/>
      </rPr>
      <t xml:space="preserve">億（大和、三立同）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</si>
  <si>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</si>
  <si>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</si>
  <si>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15.8%</t>
    </r>
    <r>
      <rPr>
        <sz val="11"/>
        <color theme="1"/>
        <rFont val="Noto Sans CJK SC"/>
        <family val="2"/>
      </rPr>
      <t xml:space="preserve">（三立同；富果摘要 </t>
    </r>
    <r>
      <rPr>
        <sz val="11"/>
        <color theme="1"/>
        <rFont val="Calibri"/>
        <family val="2"/>
        <charset val="1"/>
      </rPr>
      <t xml:space="preserve">16.8% </t>
    </r>
    <r>
      <rPr>
        <sz val="11"/>
        <color theme="1"/>
        <rFont val="Noto Sans CJK SC"/>
        <family val="2"/>
      </rPr>
      <t xml:space="preserve">與此不符，不採用）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</si>
  <si>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</si>
  <si>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9.08%</t>
    </r>
    <r>
      <rPr>
        <sz val="11"/>
        <color theme="1"/>
        <rFont val="Noto Sans CJK SC"/>
        <family val="2"/>
      </rPr>
      <t xml:space="preserve">（凱基、美銀 </t>
    </r>
    <r>
      <rPr>
        <sz val="11"/>
        <color theme="1"/>
        <rFont val="Calibri"/>
        <family val="2"/>
        <charset val="1"/>
      </rPr>
      <t xml:space="preserve">9.1%</t>
    </r>
    <r>
      <rPr>
        <sz val="11"/>
        <color theme="1"/>
        <rFont val="Noto Sans CJK SC"/>
        <family val="2"/>
      </rPr>
      <t xml:space="preserve">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</si>
  <si>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</si>
  <si>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</si>
  <si>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</si>
  <si>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</si>
  <si>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</si>
  <si>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19.82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vocus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1Q26 13.52 </t>
    </r>
    <r>
      <rPr>
        <sz val="11"/>
        <color theme="1"/>
        <rFont val="Noto Sans CJK SC"/>
        <family val="2"/>
      </rPr>
      <t xml:space="preserve">億（富果同）</t>
    </r>
  </si>
  <si>
    <t xml:space="preserve">營業外淨額</t>
  </si>
  <si>
    <r>
      <rPr>
        <sz val="11"/>
        <color theme="1"/>
        <rFont val="Noto Sans CJK SC"/>
        <family val="2"/>
      </rPr>
      <t xml:space="preserve">稅前利益 − 營業利益；稅前利益由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稅前利益率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營收推得（近似）</t>
    </r>
  </si>
  <si>
    <t xml:space="preserve">稅前利益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</si>
  <si>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</si>
  <si>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FY2025 19.47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表同）；</t>
    </r>
    <r>
      <rPr>
        <sz val="11"/>
        <color theme="1"/>
        <rFont val="Calibri"/>
        <family val="2"/>
        <charset val="1"/>
      </rPr>
      <t xml:space="preserve">2Q26 22.61 </t>
    </r>
    <r>
      <rPr>
        <sz val="11"/>
        <color theme="1"/>
        <rFont val="Noto Sans CJK SC"/>
        <family val="2"/>
      </rPr>
      <t xml:space="preserve">億（大和同）</t>
    </r>
  </si>
  <si>
    <t xml:space="preserve">所得稅</t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</si>
  <si>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</si>
  <si>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</si>
  <si>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</si>
  <si>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Calibri"/>
        <family val="2"/>
        <charset val="1"/>
      </rPr>
      <t xml:space="preserve">FY2025 3.01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1Q26 2.03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winvest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2Q26 3.50</t>
    </r>
    <r>
      <rPr>
        <sz val="11"/>
        <color theme="1"/>
        <rFont val="Noto Sans CJK SC"/>
        <family val="2"/>
      </rPr>
      <t xml:space="preserve">（大和、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同）</t>
    </r>
  </si>
  <si>
    <t xml:space="preserve">折舊攤提（年度）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</si>
  <si>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</si>
  <si>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</si>
  <si>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 71.0 </t>
    </r>
    <r>
      <rPr>
        <sz val="11"/>
        <color theme="1"/>
        <rFont val="Noto Sans CJK SC"/>
        <family val="2"/>
      </rPr>
      <t xml:space="preserve">億</t>
    </r>
  </si>
  <si>
    <t xml:space="preserve">資本支出（年度）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</si>
  <si>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：公司計畫約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</si>
  <si>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富果摘要稱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年實際 </t>
    </r>
    <r>
      <rPr>
        <sz val="11"/>
        <color theme="1"/>
        <rFont val="Calibri"/>
        <family val="2"/>
        <charset val="1"/>
      </rPr>
      <t xml:space="preserve">43.14 </t>
    </r>
    <r>
      <rPr>
        <sz val="11"/>
        <color theme="1"/>
        <rFont val="Noto Sans CJK SC"/>
        <family val="2"/>
      </rPr>
      <t xml:space="preserve">億（口徑可能含預付設備款；不採用）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</si>
  <si>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產品別（錨點營收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節占比）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</si>
  <si>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</si>
  <si>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</si>
  <si>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（一般電路板）</t>
    </r>
  </si>
  <si>
    <t xml:space="preserve">檢查（參考；校準未使用券商數字）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</si>
  <si>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自算 − 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 </t>
    </r>
    <r>
      <rPr>
        <sz val="11"/>
        <color theme="1"/>
        <rFont val="Calibri"/>
        <family val="2"/>
        <charset val="1"/>
      </rPr>
      <t xml:space="preserve">41.131 + 3Q26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</si>
  <si>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</si>
  <si>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營收增量（含漲價；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ft_abf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ft_oth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</si>
  <si>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17.27 − 1</t>
    </r>
  </si>
  <si>
    <r>
      <rPr>
        <sz val="11"/>
        <color theme="1"/>
        <rFont val="Calibri"/>
        <family val="2"/>
        <charset val="1"/>
      </rPr>
      <t xml:space="preserve">3Q26 EPS ÷ </t>
    </r>
    <r>
      <rPr>
        <sz val="11"/>
        <color theme="1"/>
        <rFont val="Noto Sans CJK SC"/>
        <family val="2"/>
      </rPr>
      <t xml:space="preserve">大和估 </t>
    </r>
    <r>
      <rPr>
        <sz val="11"/>
        <color theme="1"/>
        <rFont val="Calibri"/>
        <family val="2"/>
        <charset val="1"/>
      </rPr>
      <t xml:space="preserve">5.62 − 1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</si>
  <si>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營收年化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營收（漲價年度化 </t>
    </r>
    <r>
      <rPr>
        <sz val="11"/>
        <color theme="1"/>
        <rFont val="Calibri"/>
        <family val="2"/>
        <charset val="1"/>
      </rPr>
      <t xml:space="preserve">carry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</si>
  <si>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南電在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加速器載板的份額與每顆金額（口徑與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、欣興模型一致；情境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）。份額合計＝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</t>
    </r>
    <r>
      <rPr>
        <sz val="11"/>
        <color theme="1"/>
        <rFont val="Noto Sans CJK SC"/>
        <family val="2"/>
      </rPr>
      <t xml:space="preserve">）＋欣興（</t>
    </r>
    <r>
      <rPr>
        <sz val="11"/>
        <color theme="1"/>
        <rFont val="Calibri"/>
        <family val="2"/>
        <charset val="1"/>
      </rPr>
      <t xml:space="preserve">unimicron/dist</t>
    </r>
    <r>
      <rPr>
        <sz val="11"/>
        <color theme="1"/>
        <rFont val="Noto Sans CJK SC"/>
        <family val="2"/>
      </rPr>
      <t xml:space="preserve">）＋南電，其餘為三星電機、景碩、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</si>
  <si>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</si>
  <si>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</si>
  <si>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</si>
  <si>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</si>
  <si>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</si>
  <si>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</si>
  <si>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t xml:space="preserve">markets/network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</si>
  <si>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</si>
  <si>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</si>
  <si>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頁同值（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溢價）</t>
    </r>
  </si>
  <si>
    <r>
      <rPr>
        <sz val="11"/>
        <color theme="1"/>
        <rFont val="Noto Sans CJK SC"/>
        <family val="2"/>
      </rPr>
      <t xml:space="preserve">南電份額：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</si>
  <si>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Ibiden </t>
    </r>
    <r>
      <rPr>
        <sz val="11"/>
        <color theme="1"/>
        <rFont val="Noto Sans CJK SC"/>
        <family val="2"/>
      </rPr>
      <t xml:space="preserve">份額相對值）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</si>
  <si>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</si>
  <si>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欣興份額：</t>
    </r>
    <r>
      <rPr>
        <sz val="11"/>
        <color theme="1"/>
        <rFont val="Calibri"/>
        <family val="2"/>
        <charset val="1"/>
      </rPr>
      <t xml:space="preserve">NVIDIA</t>
    </r>
  </si>
  <si>
    <t xml:space="preserve">欣興模型</t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</si>
  <si>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</si>
  <si>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；其餘為三星電機等</t>
    </r>
  </si>
  <si>
    <r>
      <rPr>
        <sz val="11"/>
        <color theme="1"/>
        <rFont val="Noto Sans CJK SC"/>
        <family val="2"/>
      </rPr>
      <t xml:space="preserve">南電份額：非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</si>
  <si>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÷ v_ot</t>
    </r>
    <r>
      <rPr>
        <sz val="11"/>
        <color theme="1"/>
        <rFont val="Noto Sans CJK SC"/>
        <family val="2"/>
      </rPr>
      <t xml:space="preserve">）</t>
    </r>
  </si>
  <si>
    <t xml:space="preserve">與欣興模型同算法</t>
  </si>
  <si>
    <r>
      <rPr>
        <sz val="11"/>
        <color theme="1"/>
        <rFont val="Noto Sans CJK SC"/>
        <family val="2"/>
      </rPr>
      <t xml:space="preserve">欣興份額：非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</si>
  <si>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＋欣興＋南電（非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</si>
  <si>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；其餘為三星電機、景碩、</t>
    </r>
    <r>
      <rPr>
        <sz val="11"/>
        <color theme="1"/>
        <rFont val="Calibri"/>
        <family val="2"/>
        <charset val="1"/>
      </rPr>
      <t xml:space="preserve">AT&amp;S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</si>
  <si>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加速器的南電營收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</si>
  <si>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、欣興對照值見各自 </t>
    </r>
    <r>
      <rPr>
        <sz val="11"/>
        <color theme="1"/>
        <rFont val="Calibri"/>
        <family val="2"/>
        <charset val="1"/>
      </rPr>
      <t xml:space="preserve">dist Units </t>
    </r>
    <r>
      <rPr>
        <sz val="11"/>
        <color theme="1"/>
        <rFont val="Noto Sans CJK SC"/>
        <family val="2"/>
      </rPr>
      <t xml:space="preserve">頁</t>
    </r>
  </si>
  <si>
    <t xml:space="preserve">南電加速器載板營收</t>
  </si>
  <si>
    <t xml:space="preserve">US$M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</si>
  <si>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載板營收（含交換器等其他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</si>
  <si>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</si>
  <si>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</t>
    </r>
    <r>
      <rPr>
        <sz val="11"/>
        <color theme="1"/>
        <rFont val="Noto Sans CJK SC"/>
        <family val="2"/>
      </rPr>
      <t xml:space="preserve">即每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</si>
  <si>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37.59B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</si>
  <si>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基準，經橋接表；與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、欣興模型相同係數）</t>
    </r>
  </si>
  <si>
    <r>
      <rPr>
        <b val="true"/>
        <sz val="11"/>
        <rFont val="Noto Sans CJK SC"/>
        <family val="2"/>
      </rPr>
      <t xml:space="preserve">讀法：南電在 </t>
    </r>
    <r>
      <rPr>
        <b val="true"/>
        <sz val="11"/>
        <rFont val="Cambria"/>
        <family val="0"/>
        <charset val="1"/>
      </rPr>
      <t xml:space="preserve">GPU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加速器載板的份額小（個位數），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載板以網通交換器（</t>
    </r>
    <r>
      <rPr>
        <b val="true"/>
        <sz val="11"/>
        <rFont val="Cambria"/>
        <family val="0"/>
        <charset val="1"/>
      </rPr>
      <t xml:space="preserve">800G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1.6T </t>
    </r>
    <r>
      <rPr>
        <b val="true"/>
        <sz val="11"/>
        <rFont val="Noto Sans CJK SC"/>
        <family val="2"/>
      </rPr>
      <t xml:space="preserve">交換晶片）為主；加速器載板只占南電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載板一小部分，其餘為校準殘差（公司未揭露）。三家合計留給三星電機、景碩、</t>
    </r>
    <r>
      <rPr>
        <b val="true"/>
        <sz val="11"/>
        <rFont val="Cambria"/>
        <family val="0"/>
        <charset val="1"/>
      </rPr>
      <t xml:space="preserve">AT&amp;S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</si>
  <si>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南電損益（十億新台幣；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營收實績＋假設；三情境相同），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</si>
  <si>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</si>
  <si>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</si>
  <si>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</si>
  <si>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</si>
  <si>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</si>
  <si>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</si>
  <si>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</si>
  <si>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</si>
  <si>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</si>
  <si>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</si>
  <si>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</si>
  <si>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</si>
  <si>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</si>
  <si>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需求滿足率</t>
    </r>
  </si>
  <si>
    <t xml:space="preserve">  折舊攤提</t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</si>
  <si>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</si>
  <si>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</si>
  <si>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</si>
  <si>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</si>
  <si>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</si>
  <si>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</si>
  <si>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</si>
  <si>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</si>
  <si>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</si>
  <si>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應 </t>
    </r>
    <r>
      <rPr>
        <sz val="11"/>
        <color theme="1"/>
        <rFont val="Calibri"/>
        <family val="2"/>
        <charset val="1"/>
      </rPr>
      <t xml:space="preserve">&gt; 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</si>
  <si>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（基準）；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5%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</si>
  <si>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加速器載板（口徑與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、欣興一致；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</si>
  <si>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</si>
  <si>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markets/network 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</si>
  <si>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</si>
  <si>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</si>
  <si>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每顆載板面積與層數指數（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</si>
  <si>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</si>
  <si>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價格溢價指數（全市場；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</si>
  <si>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</si>
  <si>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南電漲價年度化（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基期；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</si>
  <si>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carry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</si>
  <si>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加速器載板金額（全市場）＝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</si>
  <si>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</si>
  <si>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金額取自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頁（權威）</t>
    </r>
  </si>
  <si>
    <r>
      <rPr>
        <sz val="11"/>
        <color theme="1"/>
        <rFont val="Noto Sans CJK SC"/>
        <family val="2"/>
      </rPr>
      <t xml:space="preserve">南電份額：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</t>
    </r>
  </si>
  <si>
    <r>
      <rPr>
        <sz val="11"/>
        <color theme="1"/>
        <rFont val="Noto Sans CJK SC"/>
        <family val="2"/>
      </rPr>
      <t xml:space="preserve">南電份額：非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</si>
  <si>
    <r>
      <rPr>
        <sz val="11"/>
        <color theme="1"/>
        <rFont val="Noto Sans CJK SC"/>
        <family val="2"/>
      </rPr>
      <t xml:space="preserve">南電加速器載板營收 ＝（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＋ 非 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v_ot × </t>
    </r>
    <r>
      <rPr>
        <sz val="11"/>
        <color theme="1"/>
        <rFont val="Noto Sans CJK SC"/>
        <family val="2"/>
      </rPr>
      <t xml:space="preserve">份額）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漲價年度化</t>
    </r>
  </si>
  <si>
    <t xml:space="preserve">南電加速器載板營收（新台幣）</t>
  </si>
  <si>
    <r>
      <rPr>
        <b val="true"/>
        <sz val="11"/>
        <rFont val="Cambria"/>
        <family val="0"/>
        <charset val="1"/>
      </rPr>
      <t xml:space="preserve">B. ABF </t>
    </r>
    <r>
      <rPr>
        <b val="true"/>
        <sz val="11"/>
        <rFont val="Noto Sans CJK SC"/>
        <family val="2"/>
      </rPr>
      <t xml:space="preserve">需求與產能（營收＝</t>
    </r>
    <r>
      <rPr>
        <b val="true"/>
        <sz val="11"/>
        <rFont val="Cambria"/>
        <family val="0"/>
        <charset val="1"/>
      </rPr>
      <t xml:space="preserve">MIN</t>
    </r>
    <r>
      <rPr>
        <b val="true"/>
        <sz val="11"/>
        <rFont val="Noto Sans CJK SC"/>
        <family val="2"/>
      </rPr>
      <t xml:space="preserve">（需求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產能））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</si>
  <si>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ABF 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</si>
  <si>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與資料中心（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交換器）約占 </t>
    </r>
    <r>
      <rPr>
        <sz val="11"/>
        <color theme="1"/>
        <rFont val="Calibri"/>
        <family val="2"/>
        <charset val="1"/>
      </rPr>
      <t xml:space="preserve">ABF 60%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</si>
  <si>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載板需求（交換器為主，另含伺服器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</si>
  <si>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＝校準殘差（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交換晶片與交換器市場成長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</si>
  <si>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、一般伺服器、車用）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</si>
  <si>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需求合計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</si>
  <si>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溢價）</t>
    </r>
  </si>
  <si>
    <r>
      <rPr>
        <sz val="11"/>
        <color theme="1"/>
        <rFont val="Calibri"/>
        <family val="2"/>
        <charset val="1"/>
      </rPr>
      <t xml:space="preserve">1H26 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80–85%</t>
    </r>
    <r>
      <rPr>
        <sz val="11"/>
        <color theme="1"/>
        <rFont val="Noto Sans CJK SC"/>
        <family val="2"/>
      </rPr>
      <t xml:space="preserve">（昆山約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），以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營收為產能基準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</si>
  <si>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產能）</t>
    </r>
  </si>
  <si>
    <r>
      <rPr>
        <sz val="11"/>
        <color theme="1"/>
        <rFont val="Noto Sans CJK SC"/>
        <family val="2"/>
      </rPr>
      <t xml:space="preserve">需求滿足率（營收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需求；</t>
    </r>
    <r>
      <rPr>
        <sz val="11"/>
        <color theme="1"/>
        <rFont val="Calibri"/>
        <family val="2"/>
        <charset val="1"/>
      </rPr>
      <t xml:space="preserve">&lt; 100% </t>
    </r>
    <r>
      <rPr>
        <sz val="11"/>
        <color theme="1"/>
        <rFont val="Noto Sans CJK SC"/>
        <family val="2"/>
      </rPr>
      <t xml:space="preserve">表示產能受限）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</si>
  <si>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載板營收（加速器＋其他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，乘滿足率）</t>
    </r>
  </si>
  <si>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載板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</si>
  <si>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其他產品與合計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</si>
  <si>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載板（情境別年增；公司特有）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</si>
  <si>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成長以漲價為主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</si>
  <si>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</si>
  <si>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</si>
  <si>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ABF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</si>
  <si>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</si>
  <si>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HPC 16%</t>
    </r>
    <r>
      <rPr>
        <sz val="11"/>
        <color theme="1"/>
        <rFont val="Noto Sans CJK SC"/>
        <family val="2"/>
      </rPr>
      <t xml:space="preserve">（應用別口徑不同）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</si>
  <si>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折舊、毛利與損益</t>
    </r>
  </si>
  <si>
    <t xml:space="preserve">資本支出</t>
  </si>
  <si>
    <r>
      <rPr>
        <sz val="11"/>
        <color theme="1"/>
        <rFont val="Noto Sans CJK SC"/>
        <family val="2"/>
      </rPr>
      <t xml:space="preserve">折舊攤提 ＝ 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／年限）＋ 前一年資本支出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</si>
  <si>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新產能前一年投入、當年開始折舊（近似）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</si>
  <si>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</si>
  <si>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漲價溢價營收（相對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價格；全數落在毛利）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</si>
  <si>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／價格指數）</t>
    </r>
  </si>
  <si>
    <r>
      <rPr>
        <sz val="11"/>
        <color theme="1"/>
        <rFont val="Noto Sans CJK SC"/>
        <family val="2"/>
      </rPr>
      <t xml:space="preserve">毛利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現金毛利增量 ＋ 其他產品現金毛利增量 ＋ 溢價 − 折舊增量</t>
    </r>
  </si>
  <si>
    <t xml:space="preserve">流通率為現金毛利口徑；折舊另計</t>
  </si>
  <si>
    <t xml:space="preserve">加權股數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</si>
  <si>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</si>
  <si>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</si>
  <si>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</si>
  <si>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起：資本支出率由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折舊率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Noto Sans CJK SC"/>
        <family val="2"/>
      </rPr>
      <t xml:space="preserve">（年限／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）（穩態更新）；折舊率維持 </t>
    </r>
    <r>
      <rPr>
        <sz val="11"/>
        <color theme="1"/>
        <rFont val="Calibri"/>
        <family val="2"/>
        <charset val="1"/>
      </rPr>
      <t xml:space="preserve">FY2029</t>
    </r>
  </si>
  <si>
    <t xml:space="preserve">股東現金流 ＝ 淨利 ＋ 折舊 − 資本支出</t>
  </si>
  <si>
    <t xml:space="preserve">不含營運資金變動</t>
  </si>
  <si>
    <t xml:space="preserve">每股股東現金流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</si>
  <si>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</si>
  <si>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</si>
  <si>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</si>
  <si>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循環位置：南電不是設備股，不套設備市場見頂年；以本模型營收最高的會計年度為見頂年（比照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</si>
  <si>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</si>
  <si>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</si>
  <si>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</si>
  <si>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</si>
  <si>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</si>
  <si>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</si>
  <si>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</si>
  <si>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</si>
  <si>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</si>
  <si>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</si>
  <si>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</si>
  <si>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</si>
  <si>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</si>
  <si>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</si>
  <si>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方法：南電模型有資本支出與折舊，改用每股（淨利＋折舊－資本支出）（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頁「每股股東現金流」；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起資本支出率收斂到穩態更新）</t>
    </r>
  </si>
  <si>
    <r>
      <rPr>
        <sz val="11"/>
        <color theme="1"/>
        <rFont val="Noto Sans CJK SC"/>
        <family val="2"/>
      </rPr>
      <t xml:space="preserve">  參考：再投資率（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</si>
  <si>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）；本模型不採用，只作對照（第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</si>
  <si>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</si>
  <si>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</si>
  <si>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</si>
  <si>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</si>
  <si>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</si>
  <si>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  參考：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）法的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</si>
  <si>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Noto Sans CJK SC"/>
        <family val="2"/>
      </rPr>
      <t xml:space="preserve">近三年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年接近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）→ 再投資率約 </t>
    </r>
    <r>
      <rPr>
        <sz val="11"/>
        <color theme="1"/>
        <rFont val="Calibri"/>
        <family val="2"/>
        <charset val="1"/>
      </rPr>
      <t xml:space="preserve">74%</t>
    </r>
    <r>
      <rPr>
        <sz val="11"/>
        <color theme="1"/>
        <rFont val="Noto Sans CJK SC"/>
        <family val="2"/>
      </rPr>
      <t xml:space="preserve">；不進目標價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</si>
  <si>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</si>
  <si>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</si>
  <si>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</si>
  <si>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</si>
  <si>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</si>
  <si>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</si>
  <si>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欣興（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）</t>
    </r>
  </si>
  <si>
    <t xml:space="preserve">3037.TW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</si>
  <si>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</si>
  <si>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（分析師共識；價格日期如左；與欣興、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模型同一組數字）</t>
    </r>
  </si>
  <si>
    <r>
      <rPr>
        <sz val="11"/>
        <color theme="1"/>
        <rFont val="Noto Sans CJK SC"/>
        <family val="2"/>
      </rPr>
      <t xml:space="preserve">景碩（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</t>
    </r>
  </si>
  <si>
    <t xml:space="preserve">3189.TW</t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</si>
  <si>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（揖斐電）</t>
    </r>
  </si>
  <si>
    <t xml:space="preserve">4062.T</t>
  </si>
  <si>
    <t xml:space="preserve">2026-10-16</t>
  </si>
  <si>
    <r>
      <rPr>
        <sz val="11"/>
        <color theme="1"/>
        <rFont val="Noto Sans CJK SC"/>
        <family val="2"/>
      </rPr>
      <t xml:space="preserve">三星電機（</t>
    </r>
    <r>
      <rPr>
        <sz val="11"/>
        <color theme="1"/>
        <rFont val="Calibri"/>
        <family val="2"/>
        <charset val="1"/>
      </rPr>
      <t xml:space="preserve">Samsung Electro-Mechanics</t>
    </r>
    <r>
      <rPr>
        <sz val="11"/>
        <color theme="1"/>
        <rFont val="Noto Sans CJK SC"/>
        <family val="2"/>
      </rPr>
      <t xml:space="preserve">）</t>
    </r>
  </si>
  <si>
    <t xml:space="preserve">009150.KS</t>
  </si>
  <si>
    <t xml:space="preserve">2026-08-28</t>
  </si>
  <si>
    <t xml:space="preserve">AT&amp;S</t>
  </si>
  <si>
    <t xml:space="preserve">ATS.VI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</si>
  <si>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</si>
  <si>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</si>
  <si>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載板同業：欣興、景碩、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（無中國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股）；三星電機價格日期較舊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</si>
  <si>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</si>
  <si>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</si>
  <si>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</si>
  <si>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</si>
  <si>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</si>
  <si>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</si>
  <si>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</si>
  <si>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</si>
  <si>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</si>
  <si>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</si>
  <si>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1,651.31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月美銀 </t>
    </r>
    <r>
      <rPr>
        <sz val="11"/>
        <color theme="1"/>
        <rFont val="Calibri"/>
        <family val="2"/>
        <charset val="1"/>
      </rPr>
      <t xml:space="preserve">2,000</t>
    </r>
    <r>
      <rPr>
        <sz val="11"/>
        <color theme="1"/>
        <rFont val="Noto Sans CJK SC"/>
        <family val="2"/>
      </rPr>
      <t xml:space="preserve">、大和 </t>
    </r>
    <r>
      <rPr>
        <sz val="11"/>
        <color theme="1"/>
        <rFont val="Calibri"/>
        <family val="2"/>
        <charset val="1"/>
      </rPr>
      <t xml:space="preserve">2,460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</si>
  <si>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</si>
  <si>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</si>
  <si>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</si>
  <si>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</si>
  <si>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＝頁面價格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</si>
  <si>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</si>
  <si>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</si>
  <si>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</si>
  <si>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</si>
  <si>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2019–2025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節兩來源平均，</t>
    </r>
    <r>
      <rPr>
        <sz val="11"/>
        <color theme="1"/>
        <rFont val="Calibri"/>
        <family val="2"/>
        <charset val="1"/>
      </rPr>
      <t xml:space="preserve">2016–2018 </t>
    </r>
    <r>
      <rPr>
        <sz val="11"/>
        <color theme="1"/>
        <rFont val="Noto Sans CJK SC"/>
        <family val="2"/>
      </rPr>
      <t xml:space="preserve">虧損不計）的分位（超出區間時記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</si>
  <si>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</si>
  <si>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：股東現金流＝每股（淨利＋折舊－資本支出），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明確期＋永續，情境價值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；南電資本支出低（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億）、折舊約 </t>
    </r>
    <r>
      <rPr>
        <sz val="11"/>
        <color theme="1"/>
        <rFont val="Calibri"/>
        <family val="2"/>
        <charset val="1"/>
      </rPr>
      <t xml:space="preserve">70 </t>
    </r>
    <r>
      <rPr>
        <sz val="11"/>
        <color theme="1"/>
        <rFont val="Noto Sans CJK SC"/>
        <family val="2"/>
      </rPr>
      <t xml:space="preserve">億，現金流高於淨利；新廠資本支出未定，若擴產加速，現金流偏高估；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溢價沿用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持平、之後回落），比券商保守。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：欣興、景碩、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、三星電機、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股）；同業同處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短缺溢價期，倍數偏高。情境對應：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），皆讀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同字母係數；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</si>
  <si>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</si>
  <si>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</si>
  <si>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</si>
  <si>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</si>
  <si>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</si>
  <si>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</si>
  <si>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</si>
  <si>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</si>
  <si>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情境差只來自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</si>
  <si>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</si>
  <si>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</si>
  <si>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</si>
  <si>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</si>
  <si>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，價格日期 </t>
    </r>
    <r>
      <rPr>
        <sz val="11"/>
        <color theme="1"/>
        <rFont val="Calibri"/>
        <family val="2"/>
        <charset val="1"/>
      </rPr>
      <t xml:space="preserve">09-07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</si>
  <si>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</si>
  <si>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</si>
  <si>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</si>
  <si>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</si>
  <si>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</si>
  <si>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</si>
  <si>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</si>
  <si>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</si>
  <si>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</si>
  <si>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</si>
  <si>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</si>
  <si>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</si>
  <si>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</si>
  <si>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</si>
  <si>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</si>
  <si>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</si>
  <si>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</si>
  <si>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</si>
  <si>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</si>
  <si>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</si>
  <si>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。所需倍數愈高，現價愈依賴「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漲價延續、交換器載板份額守住」。本版未做先驗，無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</si>
  <si>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</t>
    </r>
    <r>
      <rPr>
        <b val="true"/>
        <sz val="11"/>
        <rFont val="Cambria"/>
        <family val="0"/>
        <charset val="1"/>
      </rPr>
      <t xml:space="preserve">2016–2018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為負，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無意義，不計）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</si>
  <si>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</si>
  <si>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</si>
  <si>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stockanalysis</t>
  </si>
  <si>
    <t xml:space="preserve">自算</t>
  </si>
  <si>
    <t xml:space="preserve">2016</t>
  </si>
  <si>
    <r>
      <rPr>
        <sz val="11"/>
        <color theme="1"/>
        <rFont val="Noto Sans CJK SC"/>
        <family val="2"/>
      </rPr>
      <t xml:space="preserve">不計（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為負，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</si>
  <si>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</si>
  <si>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</si>
  <si>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</si>
  <si>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</si>
  <si>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</si>
  <si>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</si>
  <si>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</si>
  <si>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</si>
  <si>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</si>
  <si>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</si>
  <si>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</si>
  <si>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依循環位置取分位，兩個來源分別取分位再平均。南電的落後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與盈餘反向：盈餘低谷年（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P/E 96–414x</t>
    </r>
    <r>
      <rPr>
        <sz val="11"/>
        <color theme="1"/>
        <rFont val="Noto Sans CJK SC"/>
        <family val="2"/>
      </rPr>
      <t xml:space="preserve">，高峰年（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8x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2016–2018 </t>
    </r>
    <r>
      <rPr>
        <sz val="11"/>
        <color theme="1"/>
        <rFont val="Noto Sans CJK SC"/>
        <family val="2"/>
      </rPr>
      <t xml:space="preserve">年虧損不計，十年多為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載板需求前的循環，套用在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時偏誤方向不明確。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</si>
  <si>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</si>
  <si>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</si>
  <si>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</si>
  <si>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</si>
  <si>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歷年股利表；</t>
    </r>
    <r>
      <rPr>
        <sz val="11"/>
        <color theme="1"/>
        <rFont val="Calibri"/>
        <family val="2"/>
        <charset val="1"/>
      </rPr>
      <t xml:space="preserve">2016–2018 EPS </t>
    </r>
    <r>
      <rPr>
        <sz val="11"/>
        <color theme="1"/>
        <rFont val="Noto Sans CJK SC"/>
        <family val="2"/>
      </rPr>
      <t xml:space="preserve">為負不計，</t>
    </r>
    <r>
      <rPr>
        <sz val="11"/>
        <color theme="1"/>
        <rFont val="Calibri"/>
        <family val="2"/>
        <charset val="1"/>
      </rPr>
      <t xml:space="preserve">2019–2025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</si>
  <si>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</si>
  <si>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</si>
  <si>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</si>
  <si>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</si>
  <si>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</si>
  <si>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</si>
  <si>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</si>
  <si>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</si>
  <si>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</si>
  <si>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</si>
  <si>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</si>
  <si>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</si>
  <si>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</si>
  <si>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</si>
  <si>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</si>
  <si>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</si>
  <si>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</si>
  <si>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</si>
  <si>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</si>
  <si>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</si>
  <si>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</si>
  <si>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</si>
  <si>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</si>
  <si>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</si>
  <si>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券商、共識與市場口徑。只作事後對照，不為對上數字而調參數。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共識為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財報前），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月券商數字只取得美銀一家完整年度預估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</si>
  <si>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</si>
  <si>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</si>
  <si>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</si>
  <si>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</si>
  <si>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</si>
  <si>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</si>
  <si>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</si>
  <si>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</si>
  <si>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EPS </t>
    </r>
    <r>
      <rPr>
        <b val="true"/>
        <sz val="11"/>
        <rFont val="Noto Sans CJK SC"/>
        <family val="2"/>
      </rPr>
      <t xml:space="preserve">與營收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共識、券商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</si>
  <si>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18.44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</si>
  <si>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（美銀）</t>
    </r>
  </si>
  <si>
    <r>
      <rPr>
        <sz val="11"/>
        <color theme="1"/>
        <rFont val="Calibri"/>
        <family val="2"/>
        <charset val="1"/>
      </rPr>
      <t xml:space="preserve">FactSet 2026-06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13.19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財報之前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</si>
  <si>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17.27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）</t>
    </r>
  </si>
  <si>
    <t xml:space="preserve">凱基</t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</si>
  <si>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券商平均（美銀 </t>
    </r>
    <r>
      <rPr>
        <sz val="11"/>
        <color theme="1"/>
        <rFont val="Calibri"/>
        <family val="2"/>
        <charset val="1"/>
      </rPr>
      <t xml:space="preserve">43.80</t>
    </r>
    <r>
      <rPr>
        <sz val="11"/>
        <color theme="1"/>
        <rFont val="Noto Sans CJK SC"/>
        <family val="2"/>
      </rPr>
      <t xml:space="preserve">、凱基 </t>
    </r>
    <r>
      <rPr>
        <sz val="11"/>
        <color theme="1"/>
        <rFont val="Calibri"/>
        <family val="2"/>
        <charset val="1"/>
      </rPr>
      <t xml:space="preserve">38.88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</si>
  <si>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（美銀）、凱基</t>
    </r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</si>
  <si>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</si>
  <si>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32.12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</si>
  <si>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鉅亨（</t>
    </r>
    <r>
      <rPr>
        <sz val="11"/>
        <color theme="1"/>
        <rFont val="Calibri"/>
        <family val="2"/>
        <charset val="1"/>
      </rPr>
      <t xml:space="preserve">FactSet 14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</si>
  <si>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FY2028 EPS vs FactSet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59.21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</si>
  <si>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</si>
  <si>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券商平均（美銀 </t>
    </r>
    <r>
      <rPr>
        <sz val="11"/>
        <color theme="1"/>
        <rFont val="Calibri"/>
        <family val="2"/>
        <charset val="1"/>
      </rPr>
      <t xml:space="preserve">70.09</t>
    </r>
    <r>
      <rPr>
        <sz val="11"/>
        <color theme="1"/>
        <rFont val="Noto Sans CJK SC"/>
        <family val="2"/>
      </rPr>
      <t xml:space="preserve">、凱基 </t>
    </r>
    <r>
      <rPr>
        <sz val="11"/>
        <color theme="1"/>
        <rFont val="Calibri"/>
        <family val="2"/>
        <charset val="1"/>
      </rPr>
      <t xml:space="preserve">61.35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</si>
  <si>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</si>
  <si>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90.33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</si>
  <si>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</si>
  <si>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120.65</t>
    </r>
  </si>
  <si>
    <r>
      <rPr>
        <sz val="11"/>
        <color theme="1"/>
        <rFont val="Noto Sans CJK SC"/>
        <family val="2"/>
      </rPr>
      <t xml:space="preserve">模型前瞻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頁面價格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</si>
  <si>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（推導）</t>
    </r>
  </si>
  <si>
    <t xml:space="preserve">口徑不同，只作量級比較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</si>
  <si>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錨點與毛利率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</si>
  <si>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法人估 </t>
    </r>
    <r>
      <rPr>
        <sz val="11"/>
        <color theme="1"/>
        <rFont val="Calibri"/>
        <family val="2"/>
        <charset val="1"/>
      </rPr>
      <t xml:space="preserve">28.1%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</si>
  <si>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（法人）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</si>
  <si>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</si>
  <si>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大和估 </t>
    </r>
    <r>
      <rPr>
        <sz val="11"/>
        <color theme="1"/>
        <rFont val="Calibri"/>
        <family val="2"/>
        <charset val="1"/>
      </rPr>
      <t xml:space="preserve">5.62</t>
    </r>
  </si>
  <si>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（大和）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</si>
  <si>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毛利率（假設）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美銀估 </t>
    </r>
    <r>
      <rPr>
        <sz val="11"/>
        <color theme="1"/>
        <rFont val="Calibri"/>
        <family val="2"/>
        <charset val="1"/>
      </rPr>
      <t xml:space="preserve">32.5%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</si>
  <si>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（美銀）：</t>
    </r>
    <r>
      <rPr>
        <sz val="11"/>
        <color theme="1"/>
        <rFont val="Calibri"/>
        <family val="2"/>
        <charset val="1"/>
      </rPr>
      <t xml:space="preserve">32–33%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</si>
  <si>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39.9%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</si>
  <si>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37.4%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</si>
  <si>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46.6%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</si>
  <si>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42.1%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</si>
  <si>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產能、份額與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口徑</t>
    </r>
  </si>
  <si>
    <r>
      <rPr>
        <sz val="11"/>
        <color theme="1"/>
        <rFont val="Calibri"/>
        <family val="2"/>
        <charset val="1"/>
      </rPr>
      <t xml:space="preserve">FY2027 ABF </t>
    </r>
    <r>
      <rPr>
        <sz val="11"/>
        <color theme="1"/>
        <rFont val="Noto Sans CJK SC"/>
        <family val="2"/>
      </rPr>
      <t xml:space="preserve">需求滿足率（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＝產能受限）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</si>
  <si>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</si>
  <si>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29%</t>
    </r>
  </si>
  <si>
    <r>
      <rPr>
        <sz val="11"/>
        <color theme="1"/>
        <rFont val="Calibri"/>
        <family val="2"/>
        <charset val="1"/>
      </rPr>
      <t xml:space="preserve">FY2028 ABF </t>
    </r>
    <r>
      <rPr>
        <sz val="11"/>
        <color theme="1"/>
        <rFont val="Noto Sans CJK SC"/>
        <family val="2"/>
      </rPr>
      <t xml:space="preserve">需求滿足率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</si>
  <si>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載板占營收</t>
    </r>
  </si>
  <si>
    <r>
      <rPr>
        <sz val="11"/>
        <color theme="1"/>
        <rFont val="Noto Sans CJK SC"/>
        <family val="2"/>
      </rPr>
      <t xml:space="preserve">公司應用別：網通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HPC 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</si>
  <si>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</si>
  <si>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</si>
  <si>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</si>
  <si>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＋欣興＋南電（非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</si>
  <si>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加速器的南電營收（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</si>
  <si>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同期約 </t>
    </r>
    <r>
      <rPr>
        <sz val="11"/>
        <color theme="1"/>
        <rFont val="Calibri"/>
        <family val="2"/>
        <charset val="1"/>
      </rPr>
      <t xml:space="preserve">169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 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</si>
  <si>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</si>
  <si>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同期約 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Noto Sans CJK SC"/>
        <family val="2"/>
      </rPr>
      <t xml:space="preserve">（只含加速器載板）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</si>
  <si>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</si>
  <si>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2025–28 </t>
    </r>
    <r>
      <rPr>
        <sz val="11"/>
        <color theme="1"/>
        <rFont val="Noto Sans CJK SC"/>
        <family val="2"/>
      </rPr>
      <t xml:space="preserve">合計約 </t>
    </r>
    <r>
      <rPr>
        <sz val="11"/>
        <color theme="1"/>
        <rFont val="Calibri"/>
        <family val="2"/>
        <charset val="1"/>
      </rPr>
      <t xml:space="preserve">416 </t>
    </r>
    <r>
      <rPr>
        <sz val="11"/>
        <color theme="1"/>
        <rFont val="Noto Sans CJK SC"/>
        <family val="2"/>
      </rPr>
      <t xml:space="preserve">億扣除 </t>
    </r>
    <r>
      <rPr>
        <sz val="11"/>
        <color theme="1"/>
        <rFont val="Calibri"/>
        <family val="2"/>
        <charset val="1"/>
      </rPr>
      <t xml:space="preserve">2025–26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64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</si>
  <si>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US$12.8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32.5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</si>
  <si>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載板在每個案例內重新校準）：對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</si>
  <si>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</si>
  <si>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</si>
  <si>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</si>
  <si>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</si>
  <si>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</si>
  <si>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</si>
  <si>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</si>
  <si>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</si>
  <si>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</si>
  <si>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</si>
  <si>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</si>
  <si>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</si>
  <si>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起顆數與其他 </t>
    </r>
    <r>
      <rPr>
        <sz val="11"/>
        <color theme="1"/>
        <rFont val="Calibri"/>
        <family val="2"/>
        <charset val="1"/>
      </rPr>
      <t xml:space="preserve">AI 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</si>
  <si>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</si>
  <si>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</si>
  <si>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低</t>
    </r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</si>
  <si>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1.10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1.35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</si>
  <si>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高</t>
    </r>
  </si>
  <si>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1.85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</si>
  <si>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 低（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低值）</t>
    </r>
  </si>
  <si>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0.75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</si>
  <si>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 高（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高值）</t>
    </r>
  </si>
  <si>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1.00</t>
    </r>
  </si>
  <si>
    <r>
      <rPr>
        <sz val="11"/>
        <color theme="1"/>
        <rFont val="Noto Sans CJK SC"/>
        <family val="2"/>
      </rPr>
      <t xml:space="preserve">漲價年度化 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</si>
  <si>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</si>
  <si>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漲價年度化 </t>
    </r>
    <r>
      <rPr>
        <sz val="11"/>
        <color theme="1"/>
        <rFont val="Calibri"/>
        <family val="2"/>
        <charset val="1"/>
      </rPr>
      <t xml:space="preserve">22%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</si>
  <si>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</si>
  <si>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</si>
  <si>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</si>
  <si>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其他產品現金毛利率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</si>
  <si>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</si>
  <si>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其他產品現金毛利率 </t>
    </r>
    <r>
      <rPr>
        <sz val="11"/>
        <color theme="1"/>
        <rFont val="Calibri"/>
        <family val="2"/>
        <charset val="1"/>
      </rPr>
      <t xml:space="preserve">55%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</si>
  <si>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 走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</si>
  <si>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</si>
  <si>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</si>
  <si>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</si>
  <si>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</t>
    </r>
  </si>
  <si>
    <t xml:space="preserve">資本支出 低</t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</si>
  <si>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億</t>
    </r>
  </si>
  <si>
    <t xml:space="preserve">資本支出 高</t>
  </si>
  <si>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</si>
  <si>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低</t>
    </r>
  </si>
  <si>
    <t xml:space="preserve">1%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</si>
  <si>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高</t>
    </r>
  </si>
  <si>
    <t xml:space="preserve">3%→6%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</si>
  <si>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低</t>
    </r>
  </si>
  <si>
    <t xml:space="preserve">3%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</si>
  <si>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高</t>
    </r>
  </si>
  <si>
    <t xml:space="preserve">8%→10%</t>
  </si>
  <si>
    <r>
      <rPr>
        <sz val="11"/>
        <color theme="1"/>
        <rFont val="Noto Sans CJK SC"/>
        <family val="2"/>
      </rPr>
      <t xml:space="preserve">交換器載板彈性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</si>
  <si>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</si>
  <si>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交換器載板彈性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</si>
  <si>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</si>
  <si>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</si>
  <si>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24%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</si>
  <si>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21%</t>
    </r>
  </si>
  <si>
    <r>
      <rPr>
        <sz val="11"/>
        <color theme="1"/>
        <rFont val="Noto Sans CJK SC"/>
        <family val="2"/>
      </rPr>
      <t xml:space="preserve">業外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</si>
  <si>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</si>
  <si>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</si>
  <si>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年增較低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</si>
  <si>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</si>
  <si>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年增最低</t>
    </r>
  </si>
  <si>
    <r>
      <rPr>
        <sz val="11"/>
        <color theme="1"/>
        <rFont val="Noto Sans CJK SC"/>
        <family val="2"/>
      </rPr>
      <t xml:space="preserve">讀法：漲價年度化與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溢價直接決定毛利（溢價全數落在毛利）；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產能受限時，份額與部署的上修只部分轉成營收；南電加速器份額小，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份額的影響有限；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情境差只來自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</si>
  <si>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與資本支出率路徑不隨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</si>
  <si>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</si>
  <si>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</si>
  <si>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</si>
  <si>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</si>
  <si>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</si>
  <si>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</si>
  <si>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</si>
  <si>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</si>
  <si>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</si>
  <si>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</si>
  <si>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</si>
  <si>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</si>
  <si>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</si>
  <si>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</si>
  <si>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</si>
  <si>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</si>
  <si>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</si>
  <si>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產能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</si>
  <si>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產能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</si>
  <si>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溢價 低（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低值）（情境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</si>
  <si>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溢價 高（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高值）（情境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</si>
  <si>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案例區塊：漲價年度化 </t>
    </r>
    <r>
      <rPr>
        <b val="true"/>
        <sz val="11"/>
        <rFont val="Cambria"/>
        <family val="0"/>
        <charset val="1"/>
      </rPr>
      <t xml:space="preserve">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</si>
  <si>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案例區塊：漲價年度化 </t>
    </r>
    <r>
      <rPr>
        <b val="true"/>
        <sz val="11"/>
        <rFont val="Cambria"/>
        <family val="0"/>
        <charset val="1"/>
      </rPr>
      <t xml:space="preserve">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</si>
  <si>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</si>
  <si>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</si>
  <si>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案例區塊：其他產品現金毛利率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</si>
  <si>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案例區塊：其他產品現金毛利率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</si>
  <si>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年增 走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</si>
  <si>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</si>
  <si>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</si>
  <si>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</si>
  <si>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</si>
  <si>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案例區塊：南電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</si>
  <si>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案例區塊：南電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</si>
  <si>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案例區塊：南電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</si>
  <si>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案例區塊：南電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</si>
  <si>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案例區塊：交換器載板彈性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</si>
  <si>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案例區塊：交換器載板彈性 </t>
    </r>
    <r>
      <rPr>
        <b val="true"/>
        <sz val="11"/>
        <rFont val="Cambria"/>
        <family val="0"/>
        <charset val="1"/>
      </rPr>
      <t xml:space="preserve">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</si>
  <si>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</si>
  <si>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</si>
  <si>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案例區塊：業外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</si>
  <si>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來源（公司財報經資料商與媒體轉載；法說內容經媒體摘要；券商與資料商皆為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</si>
  <si>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（現價、股數、前瞻與近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、目標價、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與季損益、現金流、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</si>
  <si>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https://stockanalysis.com/quote/tpe/8046/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</si>
  <si>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歷史價格（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1,265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</si>
  <si>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https://stockanalysis.com/quote/tpe/8046/history/</t>
  </si>
  <si>
    <r>
      <rPr>
        <sz val="11"/>
        <color theme="1"/>
        <rFont val="Noto Sans CJK SC"/>
        <family val="2"/>
      </rPr>
      <t xml:space="preserve">資料商：財報狗（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</si>
  <si>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https://statementdog.com/analysis/8046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</si>
  <si>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（現價核對、</t>
    </r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）</t>
    </r>
  </si>
  <si>
    <t xml:space="preserve">https://histock.tw/stock/8046</t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</si>
  <si>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法說摘要（應用別、資本支出、擴產）</t>
    </r>
  </si>
  <si>
    <t xml:space="preserve">https://blog.fugle.tw/post/earnings-call-8046-2026-06-12</t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</si>
  <si>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vocus 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、產品別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</si>
  <si>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https://vocus.cc/article/6a12e069fd897800013a5f84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</si>
  <si>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TechNews 2026-10-03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</t>
    </r>
  </si>
  <si>
    <t xml:space="preserve">https://finance.technews.tw/2026/10/03/n-p-c-8046-202609-financial-report/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</si>
  <si>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winvest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</t>
    </r>
    <r>
      <rPr>
        <sz val="11"/>
        <color theme="1"/>
        <rFont val="Calibri"/>
        <family val="2"/>
        <charset val="1"/>
      </rPr>
      <t xml:space="preserve">1Q26 EPS</t>
    </r>
    <r>
      <rPr>
        <sz val="11"/>
        <color theme="1"/>
        <rFont val="Noto Sans CJK SC"/>
        <family val="2"/>
      </rPr>
      <t xml:space="preserve">）</t>
    </r>
  </si>
  <si>
    <t xml:space="preserve">https://winvest.tw/News/Detail/90850</t>
  </si>
  <si>
    <r>
      <rPr>
        <sz val="11"/>
        <color theme="1"/>
        <rFont val="Noto Sans CJK SC"/>
        <family val="2"/>
      </rPr>
      <t xml:space="preserve">券商（媒體）：三立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預估、產能）</t>
    </r>
  </si>
  <si>
    <t xml:space="preserve">https://www.mirrormedia.mg/external/setn_1879204</t>
  </si>
  <si>
    <r>
      <rPr>
        <sz val="11"/>
        <color theme="1"/>
        <rFont val="Noto Sans CJK SC"/>
        <family val="2"/>
      </rPr>
      <t xml:space="preserve">券商（媒體）：</t>
    </r>
    <r>
      <rPr>
        <sz val="11"/>
        <color theme="1"/>
        <rFont val="Calibri"/>
        <family val="2"/>
        <charset val="1"/>
      </rPr>
      <t xml:space="preserve">TechNews 2026-10-02 </t>
    </r>
    <r>
      <rPr>
        <sz val="11"/>
        <color theme="1"/>
        <rFont val="Noto Sans CJK SC"/>
        <family val="2"/>
      </rPr>
      <t xml:space="preserve">美銀（目標價 </t>
    </r>
    <r>
      <rPr>
        <sz val="11"/>
        <color theme="1"/>
        <rFont val="Calibri"/>
        <family val="2"/>
        <charset val="1"/>
      </rPr>
      <t xml:space="preserve">2,000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、毛利率、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漲價、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／博通）</t>
    </r>
  </si>
  <si>
    <t xml:space="preserve">https://finance.technews.tw/2026/10/02/bank-of-america-gives-nanyang-power-a-buy-rating-with-a-target-price-of-nt2000/</t>
  </si>
  <si>
    <r>
      <rPr>
        <sz val="11"/>
        <color theme="1"/>
        <rFont val="Noto Sans CJK SC"/>
        <family val="2"/>
      </rPr>
      <t xml:space="preserve">券商（媒體）：</t>
    </r>
    <r>
      <rPr>
        <sz val="11"/>
        <color theme="1"/>
        <rFont val="Calibri"/>
        <family val="2"/>
        <charset val="1"/>
      </rPr>
      <t xml:space="preserve">TechNews 2026-10-05 </t>
    </r>
    <r>
      <rPr>
        <sz val="11"/>
        <color theme="1"/>
        <rFont val="Noto Sans CJK SC"/>
        <family val="2"/>
      </rPr>
      <t xml:space="preserve">大和（目標價 </t>
    </r>
    <r>
      <rPr>
        <sz val="11"/>
        <color theme="1"/>
        <rFont val="Calibri"/>
        <family val="2"/>
        <charset val="1"/>
      </rPr>
      <t xml:space="preserve">2,460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月自結獲利、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</t>
    </r>
  </si>
  <si>
    <t xml:space="preserve">https://finance.technews.tw/2026/10/05/daiwa-securities-strongly-supports-nan-ya-powers-target-price-of-nt2460/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</si>
  <si>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、營收、毛利率、產品組合、產能、資本支出、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缺口、同業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</si>
  <si>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https://www.kgi.com.hk/zh-cn/-/media/files/kgishk/research-reports/tw-reports/pcb-sector_20260720e.pdf</t>
  </si>
  <si>
    <r>
      <rPr>
        <sz val="11"/>
        <color theme="1"/>
        <rFont val="Noto Sans CJK SC"/>
        <family val="2"/>
      </rPr>
      <t xml:space="preserve">研究文章：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南電深度分析（引述券商報告；交換器份額、折舊、單價）</t>
    </r>
  </si>
  <si>
    <t xml:space="preserve">https://brodoginvestment.substack.com/p/8046-tt</t>
  </si>
  <si>
    <r>
      <rPr>
        <sz val="11"/>
        <color theme="1"/>
        <rFont val="Noto Sans CJK SC"/>
        <family val="2"/>
      </rPr>
      <t xml:space="preserve">共識：鉅亨 </t>
    </r>
    <r>
      <rPr>
        <sz val="11"/>
        <color theme="1"/>
        <rFont val="Calibri"/>
        <family val="2"/>
        <charset val="1"/>
      </rPr>
      <t xml:space="preserve">2026-06-24 FactSet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、營收）</t>
    </r>
  </si>
  <si>
    <t xml:space="preserve">https://news.cnyes.com/news/id/6509588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</si>
  <si>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</si>
  <si>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https://www.digrin.com/stocks/detail/8046.TW/price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</si>
  <si>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歷年股利表（</t>
    </r>
    <r>
      <rPr>
        <sz val="11"/>
        <color theme="1"/>
        <rFont val="Calibri"/>
        <family val="2"/>
        <charset val="1"/>
      </rPr>
      <t xml:space="preserve">EPS 2014–2025</t>
    </r>
    <r>
      <rPr>
        <sz val="11"/>
        <color theme="1"/>
        <rFont val="Noto Sans CJK SC"/>
        <family val="2"/>
      </rPr>
      <t xml:space="preserve">）</t>
    </r>
  </si>
  <si>
    <t xml:space="preserve">https://www.wantgoo.com/stock/8046/profitability/dividend-payout-ratio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</si>
  <si>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（欣興、景碩、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；與欣興、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模型同一組）</t>
    </r>
  </si>
  <si>
    <t xml:space="preserve">https://stockanalysis.com/quote/tpe/3189/</t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</si>
  <si>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上游成品（唯讀）：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；情境係數與 </t>
    </r>
    <r>
      <rPr>
        <sz val="11"/>
        <color theme="1"/>
        <rFont val="Calibri"/>
        <family val="2"/>
        <charset val="1"/>
      </rPr>
      <t xml:space="preserve">markets/memory/market.py SCEN_UNITS </t>
    </r>
    <r>
      <rPr>
        <sz val="11"/>
        <color theme="1"/>
        <rFont val="Noto Sans CJK SC"/>
        <family val="2"/>
      </rPr>
      <t xml:space="preserve">核對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</si>
  <si>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</si>
  <si>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月底）；公司原文（公開資訊觀測站財報、法說簡報）；</t>
    </r>
    <r>
      <rPr>
        <sz val="11"/>
        <color theme="1"/>
        <rFont val="Calibri"/>
        <family val="2"/>
        <charset val="1"/>
      </rPr>
      <t xml:space="preserve">FY2016–20 </t>
    </r>
    <r>
      <rPr>
        <sz val="11"/>
        <color theme="1"/>
        <rFont val="Noto Sans CJK SC"/>
        <family val="2"/>
      </rPr>
      <t xml:space="preserve">營收（十年平均淨利率）；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季度拆分；加速器與交換器載板拆分；份額量化；折舊會計年限；新廠資本支出；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月後共識（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更新）；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（擷取失敗）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</si>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</sst>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%"/>
    <numFmt numFmtId="166" formatCode="General"/>
    <numFmt numFmtId="167" formatCode="#,##0.000"/>
    <numFmt numFmtId="168" formatCode="0.00"/>
    <numFmt numFmtId="169" formatCode="0.000"/>
    <numFmt numFmtId="170" formatCode="0.0%"/>
    <numFmt numFmtId="171" formatCode="#,##0.00"/>
    <numFmt numFmtId="172" formatCode="#,##0"/>
    <numFmt numFmtId="173" formatCode="#,##0.0"/>
    <numFmt numFmtId="174" formatCode="0.000%"/>
    <numFmt numFmtId="175" formatCode="0.0000"/>
    <numFmt numFmtId="176" formatCode="0.0"/>
    <numFmt numFmtId="177" formatCode="@"/>
    <numFmt numFmtId="17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14</v>
      </c>
    </row>
    <row r="2" customFormat="false" ht="17.15" hidden="false" customHeight="false" outlineLevel="0" collapsed="false">
      <c r="A2" s="3" t="s">
        <v>15</v>
      </c>
    </row>
    <row r="3" customFormat="false" ht="17.15" hidden="false" customHeight="false" outlineLevel="0" collapsed="false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</row>
    <row r="4" customFormat="false" ht="17.15" hidden="false" customHeight="false" outlineLevel="0" collapsed="false">
      <c r="A4" s="5" t="s">
        <v>25</v>
      </c>
    </row>
    <row r="5" customFormat="false" ht="17.15" hidden="false" customHeight="false" outlineLevel="0" collapsed="false">
      <c r="A5" s="0" t="s">
        <v>26</v>
      </c>
      <c r="B5" s="0" t="s">
        <v>27</v>
      </c>
      <c r="C5" s="3" t="s">
        <v>28</v>
      </c>
      <c r="E5" s="6" t="n">
        <v>5.4</v>
      </c>
      <c r="G5" s="7" t="s">
        <v>29</v>
      </c>
      <c r="H5" s="7" t="s">
        <v>30</v>
      </c>
      <c r="I5" s="3" t="s">
        <v>31</v>
      </c>
    </row>
    <row r="6" customFormat="false" ht="17.15" hidden="false" customHeight="false" outlineLevel="0" collapsed="false">
      <c r="A6" s="0" t="s">
        <v>32</v>
      </c>
      <c r="B6" s="0" t="s">
        <v>33</v>
      </c>
      <c r="C6" s="3" t="s">
        <v>28</v>
      </c>
      <c r="E6" s="6" t="n">
        <v>2.4</v>
      </c>
      <c r="G6" s="7" t="s">
        <v>29</v>
      </c>
      <c r="H6" s="7" t="s">
        <v>34</v>
      </c>
      <c r="I6" s="3" t="s">
        <v>31</v>
      </c>
    </row>
    <row r="7" customFormat="false" ht="17.15" hidden="false" customHeight="false" outlineLevel="0" collapsed="false">
      <c r="A7" s="0" t="s">
        <v>35</v>
      </c>
      <c r="B7" s="0" t="s">
        <v>36</v>
      </c>
      <c r="C7" s="3" t="s">
        <v>28</v>
      </c>
      <c r="E7" s="6" t="n">
        <v>0.5</v>
      </c>
      <c r="G7" s="7" t="s">
        <v>29</v>
      </c>
      <c r="H7" s="7" t="s">
        <v>37</v>
      </c>
      <c r="I7" s="3" t="s">
        <v>31</v>
      </c>
    </row>
    <row r="8" customFormat="false" ht="17.15" hidden="false" customHeight="false" outlineLevel="0" collapsed="false">
      <c r="A8" s="0" t="s">
        <v>38</v>
      </c>
      <c r="B8" s="0" t="s">
        <v>39</v>
      </c>
      <c r="C8" s="0" t="s">
        <v>40</v>
      </c>
      <c r="E8" s="6" t="n">
        <v>-0.5</v>
      </c>
      <c r="G8" s="7" t="s">
        <v>29</v>
      </c>
      <c r="H8" s="7" t="s">
        <v>41</v>
      </c>
      <c r="I8" s="3" t="s">
        <v>42</v>
      </c>
    </row>
    <row r="9" customFormat="false" ht="17.15" hidden="false" customHeight="false" outlineLevel="0" collapsed="false">
      <c r="A9" s="0" t="s">
        <v>43</v>
      </c>
      <c r="B9" s="0" t="s">
        <v>44</v>
      </c>
      <c r="C9" s="3" t="s">
        <v>28</v>
      </c>
      <c r="E9" s="6" t="n">
        <v>1.7</v>
      </c>
      <c r="G9" s="7" t="s">
        <v>29</v>
      </c>
      <c r="H9" s="7" t="s">
        <v>45</v>
      </c>
      <c r="I9" s="3" t="s">
        <v>31</v>
      </c>
    </row>
    <row r="10" customFormat="false" ht="17.15" hidden="false" customHeight="false" outlineLevel="0" collapsed="false">
      <c r="A10" s="0" t="s">
        <v>46</v>
      </c>
      <c r="B10" s="0" t="s">
        <v>47</v>
      </c>
      <c r="C10" s="3" t="s">
        <v>28</v>
      </c>
      <c r="E10" s="6" t="n">
        <v>7</v>
      </c>
      <c r="G10" s="7" t="s">
        <v>29</v>
      </c>
      <c r="H10" s="7" t="s">
        <v>48</v>
      </c>
      <c r="I10" s="3" t="s">
        <v>31</v>
      </c>
    </row>
    <row r="11" customFormat="false" ht="17.15" hidden="false" customHeight="false" outlineLevel="0" collapsed="false">
      <c r="A11" s="0" t="s">
        <v>49</v>
      </c>
      <c r="B11" s="0" t="s">
        <v>50</v>
      </c>
      <c r="C11" s="3" t="s">
        <v>28</v>
      </c>
      <c r="E11" s="6" t="n">
        <v>7</v>
      </c>
      <c r="G11" s="7" t="s">
        <v>29</v>
      </c>
      <c r="H11" s="7" t="s">
        <v>51</v>
      </c>
      <c r="I11" s="3" t="s">
        <v>31</v>
      </c>
    </row>
    <row r="12" customFormat="false" ht="17.15" hidden="false" customHeight="false" outlineLevel="0" collapsed="false">
      <c r="A12" s="0" t="s">
        <v>52</v>
      </c>
      <c r="B12" s="0" t="s">
        <v>53</v>
      </c>
      <c r="C12" s="0" t="s">
        <v>40</v>
      </c>
      <c r="E12" s="6" t="n">
        <v>0.15</v>
      </c>
      <c r="G12" s="7" t="s">
        <v>29</v>
      </c>
      <c r="H12" s="7" t="s">
        <v>54</v>
      </c>
      <c r="I12" s="3" t="s">
        <v>42</v>
      </c>
    </row>
    <row r="13" customFormat="false" ht="17.15" hidden="false" customHeight="false" outlineLevel="0" collapsed="false">
      <c r="A13" s="0" t="s">
        <v>55</v>
      </c>
      <c r="B13" s="0" t="s">
        <v>56</v>
      </c>
      <c r="C13" s="3" t="s">
        <v>28</v>
      </c>
      <c r="E13" s="6" t="n">
        <v>0</v>
      </c>
      <c r="G13" s="7" t="s">
        <v>29</v>
      </c>
      <c r="H13" s="7" t="s">
        <v>57</v>
      </c>
      <c r="I13" s="3" t="s">
        <v>31</v>
      </c>
    </row>
    <row r="14" customFormat="false" ht="17.15" hidden="false" customHeight="false" outlineLevel="0" collapsed="false">
      <c r="A14" s="0" t="s">
        <v>58</v>
      </c>
      <c r="B14" s="0" t="s">
        <v>59</v>
      </c>
      <c r="C14" s="3" t="s">
        <v>28</v>
      </c>
      <c r="E14" s="6" t="n">
        <v>0.3</v>
      </c>
      <c r="G14" s="7" t="s">
        <v>29</v>
      </c>
      <c r="H14" s="7" t="s">
        <v>60</v>
      </c>
      <c r="I14" s="3" t="s">
        <v>31</v>
      </c>
    </row>
    <row r="15" customFormat="false" ht="17.15" hidden="false" customHeight="false" outlineLevel="0" collapsed="false">
      <c r="A15" s="0" t="s">
        <v>61</v>
      </c>
      <c r="B15" s="0" t="s">
        <v>62</v>
      </c>
      <c r="C15" s="3" t="s">
        <v>28</v>
      </c>
      <c r="E15" s="6" t="n">
        <v>2</v>
      </c>
      <c r="G15" s="7" t="s">
        <v>29</v>
      </c>
      <c r="H15" s="7" t="s">
        <v>63</v>
      </c>
      <c r="I15" s="3" t="s">
        <v>31</v>
      </c>
    </row>
    <row r="16" customFormat="false" ht="17.15" hidden="false" customHeight="false" outlineLevel="0" collapsed="false">
      <c r="A16" s="0" t="s">
        <v>64</v>
      </c>
      <c r="B16" s="0" t="s">
        <v>65</v>
      </c>
      <c r="C16" s="0" t="s">
        <v>40</v>
      </c>
      <c r="E16" s="6" t="n">
        <v>0.15</v>
      </c>
      <c r="G16" s="7" t="s">
        <v>29</v>
      </c>
      <c r="H16" s="7" t="s">
        <v>66</v>
      </c>
      <c r="I16" s="3" t="s">
        <v>42</v>
      </c>
    </row>
    <row r="17" customFormat="false" ht="17.15" hidden="false" customHeight="false" outlineLevel="0" collapsed="false">
      <c r="A17" s="0" t="s">
        <v>67</v>
      </c>
      <c r="B17" s="0" t="s">
        <v>68</v>
      </c>
      <c r="C17" s="3" t="s">
        <v>28</v>
      </c>
      <c r="E17" s="6" t="n">
        <v>0.5</v>
      </c>
      <c r="G17" s="7" t="s">
        <v>29</v>
      </c>
      <c r="H17" s="7" t="s">
        <v>69</v>
      </c>
      <c r="I17" s="3" t="s">
        <v>31</v>
      </c>
    </row>
    <row r="18" customFormat="false" ht="17.15" hidden="false" customHeight="false" outlineLevel="0" collapsed="false">
      <c r="A18" s="0" t="s">
        <v>70</v>
      </c>
      <c r="B18" s="0" t="s">
        <v>71</v>
      </c>
      <c r="C18" s="3" t="s">
        <v>28</v>
      </c>
      <c r="E18" s="6" t="n">
        <v>0</v>
      </c>
      <c r="G18" s="7" t="s">
        <v>29</v>
      </c>
      <c r="H18" s="7" t="s">
        <v>72</v>
      </c>
      <c r="I18" s="3" t="s">
        <v>31</v>
      </c>
    </row>
    <row r="19" customFormat="false" ht="17.15" hidden="false" customHeight="false" outlineLevel="0" collapsed="false">
      <c r="A19" s="0" t="s">
        <v>73</v>
      </c>
      <c r="B19" s="0" t="s">
        <v>74</v>
      </c>
      <c r="C19" s="3" t="s">
        <v>28</v>
      </c>
      <c r="E19" s="6" t="n">
        <v>0</v>
      </c>
      <c r="G19" s="7" t="s">
        <v>29</v>
      </c>
      <c r="H19" s="7" t="s">
        <v>75</v>
      </c>
      <c r="I19" s="3" t="s">
        <v>31</v>
      </c>
    </row>
    <row r="20" customFormat="false" ht="17.15" hidden="false" customHeight="false" outlineLevel="0" collapsed="false">
      <c r="A20" s="0" t="s">
        <v>76</v>
      </c>
      <c r="B20" s="0" t="s">
        <v>77</v>
      </c>
      <c r="C20" s="0" t="s">
        <v>40</v>
      </c>
      <c r="E20" s="6" t="n">
        <v>0</v>
      </c>
      <c r="G20" s="7" t="s">
        <v>29</v>
      </c>
      <c r="H20" s="7" t="s">
        <v>78</v>
      </c>
      <c r="I20" s="3" t="s">
        <v>42</v>
      </c>
    </row>
    <row r="21" customFormat="false" ht="17.15" hidden="false" customHeight="false" outlineLevel="0" collapsed="false">
      <c r="A21" s="0" t="s">
        <v>79</v>
      </c>
      <c r="B21" s="0" t="s">
        <v>80</v>
      </c>
      <c r="C21" s="3" t="s">
        <v>28</v>
      </c>
      <c r="E21" s="6" t="n">
        <v>0.75</v>
      </c>
      <c r="G21" s="7" t="s">
        <v>29</v>
      </c>
      <c r="H21" s="7" t="s">
        <v>81</v>
      </c>
      <c r="I21" s="3" t="s">
        <v>31</v>
      </c>
    </row>
    <row r="22" customFormat="false" ht="17.15" hidden="false" customHeight="false" outlineLevel="0" collapsed="false">
      <c r="A22" s="0" t="s">
        <v>82</v>
      </c>
      <c r="B22" s="0" t="s">
        <v>83</v>
      </c>
      <c r="C22" s="3" t="s">
        <v>28</v>
      </c>
      <c r="E22" s="6" t="n">
        <v>1.5</v>
      </c>
      <c r="G22" s="7" t="s">
        <v>29</v>
      </c>
      <c r="H22" s="7" t="s">
        <v>84</v>
      </c>
      <c r="I22" s="3" t="s">
        <v>31</v>
      </c>
    </row>
    <row r="23" customFormat="false" ht="17.15" hidden="false" customHeight="false" outlineLevel="0" collapsed="false">
      <c r="A23" s="0" t="s">
        <v>85</v>
      </c>
      <c r="B23" s="0" t="s">
        <v>86</v>
      </c>
      <c r="C23" s="3" t="s">
        <v>28</v>
      </c>
      <c r="E23" s="6" t="n">
        <v>2</v>
      </c>
      <c r="G23" s="7" t="s">
        <v>29</v>
      </c>
      <c r="H23" s="7" t="s">
        <v>87</v>
      </c>
      <c r="I23" s="3" t="s">
        <v>31</v>
      </c>
    </row>
    <row r="24" customFormat="false" ht="17.15" hidden="false" customHeight="false" outlineLevel="0" collapsed="false">
      <c r="A24" s="0" t="s">
        <v>88</v>
      </c>
      <c r="B24" s="0" t="s">
        <v>89</v>
      </c>
      <c r="C24" s="0" t="s">
        <v>40</v>
      </c>
      <c r="E24" s="6" t="n">
        <v>0.15</v>
      </c>
      <c r="G24" s="7" t="s">
        <v>29</v>
      </c>
      <c r="H24" s="7" t="s">
        <v>90</v>
      </c>
      <c r="I24" s="3" t="s">
        <v>42</v>
      </c>
    </row>
    <row r="25" customFormat="false" ht="17.15" hidden="false" customHeight="false" outlineLevel="0" collapsed="false">
      <c r="A25" s="0" t="s">
        <v>91</v>
      </c>
      <c r="B25" s="0" t="s">
        <v>92</v>
      </c>
      <c r="C25" s="3" t="s">
        <v>28</v>
      </c>
      <c r="E25" s="6" t="n">
        <v>3.85</v>
      </c>
      <c r="G25" s="7" t="s">
        <v>29</v>
      </c>
      <c r="H25" s="7" t="s">
        <v>93</v>
      </c>
      <c r="I25" s="3" t="s">
        <v>31</v>
      </c>
    </row>
    <row r="26" customFormat="false" ht="17.15" hidden="false" customHeight="false" outlineLevel="0" collapsed="false">
      <c r="A26" s="0" t="s">
        <v>94</v>
      </c>
      <c r="B26" s="0" t="s">
        <v>95</v>
      </c>
      <c r="C26" s="3" t="s">
        <v>28</v>
      </c>
      <c r="E26" s="6" t="n">
        <v>5.5</v>
      </c>
      <c r="G26" s="7" t="s">
        <v>29</v>
      </c>
      <c r="H26" s="7" t="s">
        <v>96</v>
      </c>
      <c r="I26" s="3" t="s">
        <v>31</v>
      </c>
    </row>
    <row r="27" customFormat="false" ht="17.15" hidden="false" customHeight="false" outlineLevel="0" collapsed="false">
      <c r="A27" s="0" t="s">
        <v>97</v>
      </c>
      <c r="B27" s="0" t="s">
        <v>98</v>
      </c>
      <c r="C27" s="3" t="s">
        <v>28</v>
      </c>
      <c r="E27" s="6" t="n">
        <v>7</v>
      </c>
      <c r="G27" s="7" t="s">
        <v>29</v>
      </c>
      <c r="H27" s="7" t="s">
        <v>99</v>
      </c>
      <c r="I27" s="3" t="s">
        <v>31</v>
      </c>
    </row>
    <row r="28" customFormat="false" ht="17.15" hidden="false" customHeight="false" outlineLevel="0" collapsed="false">
      <c r="A28" s="0" t="s">
        <v>100</v>
      </c>
      <c r="B28" s="0" t="s">
        <v>101</v>
      </c>
      <c r="C28" s="0" t="s">
        <v>40</v>
      </c>
      <c r="E28" s="6" t="n">
        <v>0.15</v>
      </c>
      <c r="G28" s="7" t="s">
        <v>29</v>
      </c>
      <c r="H28" s="7" t="s">
        <v>102</v>
      </c>
      <c r="I28" s="3" t="s">
        <v>42</v>
      </c>
    </row>
    <row r="29" customFormat="false" ht="17.15" hidden="false" customHeight="false" outlineLevel="0" collapsed="false">
      <c r="A29" s="0" t="s">
        <v>103</v>
      </c>
      <c r="B29" s="0" t="s">
        <v>104</v>
      </c>
      <c r="C29" s="3" t="s">
        <v>28</v>
      </c>
      <c r="E29" s="6" t="n">
        <v>2</v>
      </c>
      <c r="G29" s="7" t="s">
        <v>29</v>
      </c>
      <c r="H29" s="7" t="s">
        <v>105</v>
      </c>
      <c r="I29" s="3" t="s">
        <v>31</v>
      </c>
    </row>
    <row r="30" customFormat="false" ht="17.15" hidden="false" customHeight="false" outlineLevel="0" collapsed="false">
      <c r="A30" s="0" t="s">
        <v>106</v>
      </c>
      <c r="B30" s="0" t="s">
        <v>107</v>
      </c>
      <c r="C30" s="3" t="s">
        <v>28</v>
      </c>
      <c r="E30" s="6" t="n">
        <v>2.5</v>
      </c>
      <c r="G30" s="7" t="s">
        <v>29</v>
      </c>
      <c r="H30" s="7" t="s">
        <v>108</v>
      </c>
      <c r="I30" s="3" t="s">
        <v>31</v>
      </c>
    </row>
    <row r="31" customFormat="false" ht="17.15" hidden="false" customHeight="false" outlineLevel="0" collapsed="false">
      <c r="A31" s="0" t="s">
        <v>109</v>
      </c>
      <c r="B31" s="0" t="s">
        <v>110</v>
      </c>
      <c r="C31" s="3" t="s">
        <v>28</v>
      </c>
      <c r="E31" s="6" t="n">
        <v>3</v>
      </c>
      <c r="G31" s="7" t="s">
        <v>29</v>
      </c>
      <c r="H31" s="7" t="s">
        <v>111</v>
      </c>
      <c r="I31" s="3" t="s">
        <v>31</v>
      </c>
    </row>
    <row r="32" customFormat="false" ht="17.15" hidden="false" customHeight="false" outlineLevel="0" collapsed="false">
      <c r="A32" s="0" t="s">
        <v>112</v>
      </c>
      <c r="B32" s="0" t="s">
        <v>113</v>
      </c>
      <c r="C32" s="0" t="s">
        <v>40</v>
      </c>
      <c r="E32" s="6" t="n">
        <v>0.15</v>
      </c>
      <c r="G32" s="7" t="s">
        <v>29</v>
      </c>
      <c r="H32" s="7" t="s">
        <v>114</v>
      </c>
      <c r="I32" s="3" t="s">
        <v>42</v>
      </c>
    </row>
    <row r="33" customFormat="false" ht="17.15" hidden="false" customHeight="false" outlineLevel="0" collapsed="false">
      <c r="A33" s="0" t="s">
        <v>115</v>
      </c>
      <c r="B33" s="3" t="s">
        <v>116</v>
      </c>
      <c r="C33" s="3" t="s">
        <v>28</v>
      </c>
      <c r="E33" s="6" t="n">
        <v>1</v>
      </c>
      <c r="G33" s="7" t="s">
        <v>29</v>
      </c>
      <c r="H33" s="7" t="s">
        <v>117</v>
      </c>
      <c r="I33" s="3" t="s">
        <v>31</v>
      </c>
    </row>
    <row r="34" customFormat="false" ht="17.15" hidden="false" customHeight="false" outlineLevel="0" collapsed="false">
      <c r="A34" s="0" t="s">
        <v>118</v>
      </c>
      <c r="B34" s="3" t="s">
        <v>119</v>
      </c>
      <c r="C34" s="3" t="s">
        <v>28</v>
      </c>
      <c r="E34" s="6" t="n">
        <v>4.5</v>
      </c>
      <c r="G34" s="7" t="s">
        <v>29</v>
      </c>
      <c r="H34" s="7" t="s">
        <v>120</v>
      </c>
      <c r="I34" s="3" t="s">
        <v>31</v>
      </c>
    </row>
    <row r="35" customFormat="false" ht="17.15" hidden="false" customHeight="false" outlineLevel="0" collapsed="false">
      <c r="A35" s="0" t="s">
        <v>121</v>
      </c>
      <c r="B35" s="3" t="s">
        <v>122</v>
      </c>
      <c r="C35" s="3" t="s">
        <v>28</v>
      </c>
      <c r="E35" s="6" t="n">
        <v>5</v>
      </c>
      <c r="G35" s="7" t="s">
        <v>29</v>
      </c>
      <c r="H35" s="7" t="s">
        <v>123</v>
      </c>
      <c r="I35" s="3" t="s">
        <v>31</v>
      </c>
    </row>
    <row r="36" customFormat="false" ht="17.15" hidden="false" customHeight="false" outlineLevel="0" collapsed="false">
      <c r="A36" s="0" t="s">
        <v>124</v>
      </c>
      <c r="B36" s="3" t="s">
        <v>125</v>
      </c>
      <c r="C36" s="0" t="s">
        <v>40</v>
      </c>
      <c r="E36" s="6" t="n">
        <v>0.15</v>
      </c>
      <c r="G36" s="7" t="s">
        <v>29</v>
      </c>
      <c r="H36" s="7" t="s">
        <v>126</v>
      </c>
      <c r="I36" s="3" t="s">
        <v>42</v>
      </c>
    </row>
    <row r="37" customFormat="false" ht="17.15" hidden="false" customHeight="false" outlineLevel="0" collapsed="false">
      <c r="A37" s="0" t="s">
        <v>127</v>
      </c>
      <c r="B37" s="0" t="s">
        <v>128</v>
      </c>
      <c r="C37" s="0" t="s">
        <v>129</v>
      </c>
      <c r="E37" s="6" t="n">
        <v>781.872916666667</v>
      </c>
      <c r="G37" s="7" t="s">
        <v>29</v>
      </c>
      <c r="H37" s="7" t="s">
        <v>130</v>
      </c>
      <c r="I37" s="7" t="s">
        <v>131</v>
      </c>
    </row>
    <row r="38" customFormat="false" ht="17.15" hidden="false" customHeight="false" outlineLevel="0" collapsed="false">
      <c r="A38" s="0" t="s">
        <v>132</v>
      </c>
      <c r="B38" s="0" t="s">
        <v>133</v>
      </c>
      <c r="C38" s="0" t="s">
        <v>129</v>
      </c>
      <c r="E38" s="6" t="n">
        <v>1565.35</v>
      </c>
      <c r="G38" s="7" t="s">
        <v>29</v>
      </c>
      <c r="H38" s="7" t="s">
        <v>130</v>
      </c>
      <c r="I38" s="3" t="s">
        <v>42</v>
      </c>
    </row>
    <row r="39" customFormat="false" ht="17.15" hidden="false" customHeight="false" outlineLevel="0" collapsed="false">
      <c r="A39" s="0" t="s">
        <v>134</v>
      </c>
      <c r="B39" s="0" t="s">
        <v>135</v>
      </c>
      <c r="C39" s="0" t="s">
        <v>129</v>
      </c>
      <c r="E39" s="6" t="n">
        <v>1984.26388888889</v>
      </c>
      <c r="G39" s="7" t="s">
        <v>29</v>
      </c>
      <c r="H39" s="7" t="s">
        <v>130</v>
      </c>
      <c r="I39" s="3" t="s">
        <v>42</v>
      </c>
    </row>
    <row r="40" customFormat="false" ht="17.15" hidden="false" customHeight="false" outlineLevel="0" collapsed="false">
      <c r="A40" s="0" t="s">
        <v>136</v>
      </c>
      <c r="B40" s="0" t="s">
        <v>137</v>
      </c>
      <c r="C40" s="0" t="s">
        <v>129</v>
      </c>
      <c r="E40" s="6" t="n">
        <v>2260.39027777778</v>
      </c>
      <c r="G40" s="7" t="s">
        <v>29</v>
      </c>
      <c r="H40" s="7" t="s">
        <v>130</v>
      </c>
      <c r="I40" s="3" t="s">
        <v>42</v>
      </c>
    </row>
    <row r="41" customFormat="false" ht="17.15" hidden="false" customHeight="false" outlineLevel="0" collapsed="false">
      <c r="A41" s="0" t="s">
        <v>138</v>
      </c>
      <c r="B41" s="3" t="s">
        <v>139</v>
      </c>
      <c r="C41" s="0" t="s">
        <v>129</v>
      </c>
      <c r="E41" s="6" t="n">
        <v>50.348</v>
      </c>
      <c r="G41" s="7" t="s">
        <v>29</v>
      </c>
      <c r="H41" s="7" t="s">
        <v>140</v>
      </c>
      <c r="I41" s="3" t="s">
        <v>141</v>
      </c>
    </row>
    <row r="42" customFormat="false" ht="17.15" hidden="false" customHeight="false" outlineLevel="0" collapsed="false">
      <c r="A42" s="0" t="s">
        <v>142</v>
      </c>
      <c r="B42" s="3" t="s">
        <v>143</v>
      </c>
      <c r="C42" s="0" t="s">
        <v>129</v>
      </c>
      <c r="E42" s="6" t="n">
        <v>98.5007</v>
      </c>
      <c r="G42" s="7" t="s">
        <v>29</v>
      </c>
      <c r="H42" s="7" t="s">
        <v>140</v>
      </c>
      <c r="I42" s="3" t="s">
        <v>42</v>
      </c>
    </row>
    <row r="43" customFormat="false" ht="17.15" hidden="false" customHeight="false" outlineLevel="0" collapsed="false">
      <c r="A43" s="0" t="s">
        <v>144</v>
      </c>
      <c r="B43" s="3" t="s">
        <v>145</v>
      </c>
      <c r="C43" s="0" t="s">
        <v>129</v>
      </c>
      <c r="E43" s="6" t="n">
        <v>113.9885</v>
      </c>
      <c r="G43" s="7" t="s">
        <v>29</v>
      </c>
      <c r="H43" s="7" t="s">
        <v>140</v>
      </c>
      <c r="I43" s="3" t="s">
        <v>42</v>
      </c>
    </row>
    <row r="44" customFormat="false" ht="17.15" hidden="false" customHeight="false" outlineLevel="0" collapsed="false">
      <c r="A44" s="0" t="s">
        <v>146</v>
      </c>
      <c r="B44" s="3" t="s">
        <v>147</v>
      </c>
      <c r="C44" s="0" t="s">
        <v>129</v>
      </c>
      <c r="E44" s="6" t="n">
        <v>129.72795</v>
      </c>
      <c r="G44" s="7" t="s">
        <v>29</v>
      </c>
      <c r="H44" s="7" t="s">
        <v>140</v>
      </c>
      <c r="I44" s="3" t="s">
        <v>42</v>
      </c>
    </row>
    <row r="45" customFormat="false" ht="17.15" hidden="false" customHeight="false" outlineLevel="0" collapsed="false">
      <c r="A45" s="0" t="s">
        <v>148</v>
      </c>
      <c r="B45" s="3" t="s">
        <v>149</v>
      </c>
      <c r="C45" s="0" t="s">
        <v>150</v>
      </c>
      <c r="E45" s="6" t="n">
        <v>1</v>
      </c>
      <c r="G45" s="7" t="s">
        <v>151</v>
      </c>
      <c r="H45" s="7" t="s">
        <v>152</v>
      </c>
      <c r="I45" s="7" t="s">
        <v>153</v>
      </c>
    </row>
    <row r="46" customFormat="false" ht="17.15" hidden="false" customHeight="false" outlineLevel="0" collapsed="false">
      <c r="A46" s="0" t="s">
        <v>154</v>
      </c>
      <c r="B46" s="3" t="s">
        <v>155</v>
      </c>
      <c r="C46" s="0" t="s">
        <v>150</v>
      </c>
      <c r="E46" s="6" t="n">
        <v>1</v>
      </c>
      <c r="G46" s="7" t="s">
        <v>151</v>
      </c>
      <c r="H46" s="7" t="s">
        <v>156</v>
      </c>
      <c r="I46" s="3" t="s">
        <v>42</v>
      </c>
    </row>
    <row r="47" customFormat="false" ht="17.15" hidden="false" customHeight="false" outlineLevel="0" collapsed="false">
      <c r="A47" s="0" t="s">
        <v>157</v>
      </c>
      <c r="B47" s="3" t="s">
        <v>158</v>
      </c>
      <c r="C47" s="0" t="s">
        <v>150</v>
      </c>
      <c r="E47" s="6" t="n">
        <v>0.8</v>
      </c>
      <c r="G47" s="7" t="s">
        <v>151</v>
      </c>
      <c r="H47" s="7" t="s">
        <v>159</v>
      </c>
      <c r="I47" s="3" t="s">
        <v>42</v>
      </c>
    </row>
    <row r="48" customFormat="false" ht="17.15" hidden="false" customHeight="false" outlineLevel="0" collapsed="false">
      <c r="A48" s="0" t="s">
        <v>160</v>
      </c>
      <c r="B48" s="3" t="s">
        <v>161</v>
      </c>
      <c r="C48" s="0" t="s">
        <v>150</v>
      </c>
      <c r="E48" s="6" t="n">
        <v>0.85</v>
      </c>
      <c r="G48" s="7" t="s">
        <v>151</v>
      </c>
      <c r="H48" s="7" t="s">
        <v>162</v>
      </c>
      <c r="I48" s="3" t="s">
        <v>42</v>
      </c>
    </row>
    <row r="49" customFormat="false" ht="17.15" hidden="false" customHeight="false" outlineLevel="0" collapsed="false">
      <c r="A49" s="0" t="s">
        <v>163</v>
      </c>
      <c r="B49" s="3" t="s">
        <v>164</v>
      </c>
      <c r="C49" s="0" t="s">
        <v>150</v>
      </c>
      <c r="E49" s="6" t="n">
        <v>0.6</v>
      </c>
      <c r="G49" s="7" t="s">
        <v>151</v>
      </c>
      <c r="H49" s="7" t="s">
        <v>165</v>
      </c>
      <c r="I49" s="3" t="s">
        <v>42</v>
      </c>
    </row>
    <row r="50" customFormat="false" ht="17.15" hidden="false" customHeight="false" outlineLevel="0" collapsed="false">
      <c r="A50" s="0" t="s">
        <v>166</v>
      </c>
      <c r="B50" s="3" t="s">
        <v>167</v>
      </c>
      <c r="C50" s="0" t="s">
        <v>150</v>
      </c>
      <c r="E50" s="6" t="n">
        <v>0.6</v>
      </c>
      <c r="G50" s="7" t="s">
        <v>151</v>
      </c>
      <c r="H50" s="7" t="s">
        <v>168</v>
      </c>
      <c r="I50" s="3" t="s">
        <v>42</v>
      </c>
    </row>
    <row r="51" customFormat="false" ht="17.15" hidden="false" customHeight="false" outlineLevel="0" collapsed="false">
      <c r="A51" s="5" t="s">
        <v>169</v>
      </c>
    </row>
    <row r="52" customFormat="false" ht="17.15" hidden="false" customHeight="false" outlineLevel="0" collapsed="false">
      <c r="A52" s="0" t="s">
        <v>170</v>
      </c>
      <c r="B52" s="0" t="s">
        <v>171</v>
      </c>
      <c r="C52" s="0" t="s">
        <v>172</v>
      </c>
      <c r="E52" s="6" t="n">
        <v>215.308596</v>
      </c>
      <c r="G52" s="7" t="s">
        <v>29</v>
      </c>
      <c r="H52" s="7" t="s">
        <v>173</v>
      </c>
      <c r="I52" s="7" t="s">
        <v>174</v>
      </c>
    </row>
    <row r="53" customFormat="false" ht="17.15" hidden="false" customHeight="false" outlineLevel="0" collapsed="false">
      <c r="A53" s="0" t="s">
        <v>175</v>
      </c>
      <c r="B53" s="3" t="s">
        <v>176</v>
      </c>
      <c r="C53" s="0" t="s">
        <v>40</v>
      </c>
      <c r="D53" s="6" t="n">
        <v>0.1</v>
      </c>
      <c r="E53" s="6" t="n">
        <v>0.18</v>
      </c>
      <c r="F53" s="6" t="n">
        <v>0.22</v>
      </c>
      <c r="G53" s="7" t="s">
        <v>177</v>
      </c>
      <c r="H53" s="7" t="s">
        <v>178</v>
      </c>
      <c r="I53" s="7" t="s">
        <v>179</v>
      </c>
    </row>
    <row r="54" customFormat="false" ht="17.15" hidden="false" customHeight="false" outlineLevel="0" collapsed="false">
      <c r="A54" s="0" t="s">
        <v>180</v>
      </c>
      <c r="B54" s="0" t="s">
        <v>181</v>
      </c>
      <c r="C54" s="0" t="s">
        <v>150</v>
      </c>
      <c r="D54" s="6" t="n">
        <v>0.95</v>
      </c>
      <c r="E54" s="6" t="n">
        <v>1</v>
      </c>
      <c r="F54" s="6" t="n">
        <v>1.05</v>
      </c>
      <c r="G54" s="7" t="s">
        <v>151</v>
      </c>
      <c r="H54" s="7" t="s">
        <v>182</v>
      </c>
      <c r="I54" s="3" t="s">
        <v>183</v>
      </c>
    </row>
    <row r="55" customFormat="false" ht="17.15" hidden="false" customHeight="false" outlineLevel="0" collapsed="false">
      <c r="A55" s="0" t="s">
        <v>184</v>
      </c>
      <c r="B55" s="0" t="s">
        <v>185</v>
      </c>
      <c r="C55" s="0" t="s">
        <v>150</v>
      </c>
      <c r="E55" s="6" t="n">
        <v>0.95</v>
      </c>
      <c r="G55" s="7" t="s">
        <v>151</v>
      </c>
      <c r="H55" s="7" t="s">
        <v>186</v>
      </c>
      <c r="I55" s="7" t="s">
        <v>187</v>
      </c>
    </row>
    <row r="56" customFormat="false" ht="17.15" hidden="false" customHeight="false" outlineLevel="0" collapsed="false">
      <c r="A56" s="0" t="s">
        <v>188</v>
      </c>
      <c r="B56" s="0" t="s">
        <v>189</v>
      </c>
      <c r="C56" s="0" t="s">
        <v>150</v>
      </c>
      <c r="D56" s="6" t="n">
        <v>0.85</v>
      </c>
      <c r="E56" s="6" t="n">
        <v>0.95</v>
      </c>
      <c r="F56" s="6" t="n">
        <v>1.05</v>
      </c>
      <c r="G56" s="7" t="s">
        <v>151</v>
      </c>
      <c r="H56" s="7" t="s">
        <v>190</v>
      </c>
      <c r="I56" s="3" t="s">
        <v>42</v>
      </c>
    </row>
    <row r="57" customFormat="false" ht="17.15" hidden="false" customHeight="false" outlineLevel="0" collapsed="false">
      <c r="A57" s="0" t="s">
        <v>191</v>
      </c>
      <c r="B57" s="0" t="s">
        <v>192</v>
      </c>
      <c r="C57" s="0" t="s">
        <v>150</v>
      </c>
      <c r="E57" s="6" t="n">
        <v>0.88</v>
      </c>
      <c r="G57" s="7" t="s">
        <v>151</v>
      </c>
      <c r="H57" s="7" t="s">
        <v>193</v>
      </c>
      <c r="I57" s="7" t="s">
        <v>187</v>
      </c>
    </row>
    <row r="58" customFormat="false" ht="17.15" hidden="false" customHeight="false" outlineLevel="0" collapsed="false">
      <c r="A58" s="0" t="s">
        <v>194</v>
      </c>
      <c r="B58" s="0" t="s">
        <v>195</v>
      </c>
      <c r="C58" s="0" t="s">
        <v>150</v>
      </c>
      <c r="D58" s="6" t="n">
        <v>0.75</v>
      </c>
      <c r="E58" s="6" t="n">
        <v>0.9</v>
      </c>
      <c r="F58" s="6" t="n">
        <v>1</v>
      </c>
      <c r="G58" s="7" t="s">
        <v>151</v>
      </c>
      <c r="H58" s="7" t="s">
        <v>196</v>
      </c>
      <c r="I58" s="3" t="s">
        <v>42</v>
      </c>
    </row>
    <row r="59" customFormat="false" ht="17.15" hidden="false" customHeight="false" outlineLevel="0" collapsed="false">
      <c r="A59" s="0" t="s">
        <v>197</v>
      </c>
      <c r="B59" s="0" t="s">
        <v>198</v>
      </c>
      <c r="C59" s="0" t="s">
        <v>150</v>
      </c>
      <c r="E59" s="6" t="n">
        <v>0.85</v>
      </c>
      <c r="G59" s="7" t="s">
        <v>151</v>
      </c>
      <c r="H59" s="7" t="s">
        <v>199</v>
      </c>
      <c r="I59" s="7" t="s">
        <v>187</v>
      </c>
    </row>
    <row r="60" customFormat="false" ht="17.15" hidden="false" customHeight="false" outlineLevel="0" collapsed="false">
      <c r="A60" s="0" t="s">
        <v>200</v>
      </c>
      <c r="B60" s="0" t="s">
        <v>201</v>
      </c>
      <c r="C60" s="0" t="s">
        <v>40</v>
      </c>
      <c r="D60" s="6" t="n">
        <v>0.7</v>
      </c>
      <c r="E60" s="6" t="n">
        <v>0.7</v>
      </c>
      <c r="F60" s="6" t="n">
        <v>0.8</v>
      </c>
      <c r="G60" s="7" t="s">
        <v>202</v>
      </c>
      <c r="H60" s="7" t="s">
        <v>203</v>
      </c>
      <c r="I60" s="7" t="s">
        <v>204</v>
      </c>
    </row>
    <row r="61" customFormat="false" ht="17.15" hidden="false" customHeight="false" outlineLevel="0" collapsed="false">
      <c r="A61" s="0" t="s">
        <v>205</v>
      </c>
      <c r="B61" s="0" t="s">
        <v>206</v>
      </c>
      <c r="C61" s="0" t="s">
        <v>150</v>
      </c>
      <c r="D61" s="6" t="n">
        <v>0.2</v>
      </c>
      <c r="E61" s="6" t="n">
        <v>0.4</v>
      </c>
      <c r="F61" s="6" t="n">
        <v>0.6</v>
      </c>
      <c r="G61" s="7" t="s">
        <v>151</v>
      </c>
      <c r="H61" s="7" t="s">
        <v>207</v>
      </c>
      <c r="I61" s="7" t="s">
        <v>208</v>
      </c>
    </row>
    <row r="62" customFormat="false" ht="17.15" hidden="false" customHeight="false" outlineLevel="0" collapsed="false">
      <c r="A62" s="0" t="s">
        <v>209</v>
      </c>
      <c r="B62" s="3" t="s">
        <v>210</v>
      </c>
      <c r="C62" s="0" t="s">
        <v>150</v>
      </c>
      <c r="D62" s="6" t="n">
        <v>0.6</v>
      </c>
      <c r="E62" s="6" t="n">
        <v>0.8</v>
      </c>
      <c r="F62" s="6" t="n">
        <v>1</v>
      </c>
      <c r="G62" s="7" t="s">
        <v>151</v>
      </c>
      <c r="H62" s="7" t="s">
        <v>211</v>
      </c>
      <c r="I62" s="3" t="s">
        <v>212</v>
      </c>
    </row>
    <row r="63" customFormat="false" ht="17.15" hidden="false" customHeight="false" outlineLevel="0" collapsed="false">
      <c r="A63" s="0" t="s">
        <v>213</v>
      </c>
      <c r="B63" s="3" t="s">
        <v>214</v>
      </c>
      <c r="C63" s="0" t="s">
        <v>40</v>
      </c>
      <c r="E63" s="6" t="n">
        <v>0.25</v>
      </c>
      <c r="G63" s="7" t="s">
        <v>151</v>
      </c>
      <c r="H63" s="7" t="s">
        <v>215</v>
      </c>
      <c r="I63" s="7" t="s">
        <v>187</v>
      </c>
    </row>
    <row r="64" customFormat="false" ht="17.15" hidden="false" customHeight="false" outlineLevel="0" collapsed="false">
      <c r="A64" s="0" t="s">
        <v>216</v>
      </c>
      <c r="B64" s="3" t="s">
        <v>217</v>
      </c>
      <c r="C64" s="0" t="s">
        <v>40</v>
      </c>
      <c r="E64" s="6" t="n">
        <v>0.3</v>
      </c>
      <c r="G64" s="7" t="s">
        <v>151</v>
      </c>
      <c r="H64" s="7" t="s">
        <v>218</v>
      </c>
      <c r="I64" s="3" t="s">
        <v>42</v>
      </c>
    </row>
    <row r="65" customFormat="false" ht="17.15" hidden="false" customHeight="false" outlineLevel="0" collapsed="false">
      <c r="A65" s="0" t="s">
        <v>219</v>
      </c>
      <c r="B65" s="3" t="s">
        <v>220</v>
      </c>
      <c r="C65" s="0" t="s">
        <v>40</v>
      </c>
      <c r="E65" s="6" t="n">
        <v>0.27</v>
      </c>
      <c r="G65" s="7" t="s">
        <v>151</v>
      </c>
      <c r="H65" s="7" t="s">
        <v>221</v>
      </c>
      <c r="I65" s="7" t="s">
        <v>187</v>
      </c>
    </row>
    <row r="66" customFormat="false" ht="17.15" hidden="false" customHeight="false" outlineLevel="0" collapsed="false">
      <c r="A66" s="0" t="s">
        <v>222</v>
      </c>
      <c r="B66" s="3" t="s">
        <v>223</v>
      </c>
      <c r="C66" s="0" t="s">
        <v>40</v>
      </c>
      <c r="E66" s="6" t="n">
        <v>0.31</v>
      </c>
      <c r="G66" s="7" t="s">
        <v>151</v>
      </c>
      <c r="H66" s="7" t="s">
        <v>224</v>
      </c>
      <c r="I66" s="3" t="s">
        <v>42</v>
      </c>
    </row>
    <row r="67" customFormat="false" ht="17.15" hidden="false" customHeight="false" outlineLevel="0" collapsed="false">
      <c r="A67" s="0" t="s">
        <v>225</v>
      </c>
      <c r="B67" s="3" t="s">
        <v>226</v>
      </c>
      <c r="C67" s="0" t="s">
        <v>40</v>
      </c>
      <c r="E67" s="6" t="n">
        <v>0.29</v>
      </c>
      <c r="G67" s="7" t="s">
        <v>151</v>
      </c>
      <c r="H67" s="7" t="s">
        <v>227</v>
      </c>
      <c r="I67" s="7" t="s">
        <v>187</v>
      </c>
    </row>
    <row r="68" customFormat="false" ht="17.15" hidden="false" customHeight="false" outlineLevel="0" collapsed="false">
      <c r="A68" s="0" t="s">
        <v>228</v>
      </c>
      <c r="B68" s="3" t="s">
        <v>229</v>
      </c>
      <c r="C68" s="0" t="s">
        <v>40</v>
      </c>
      <c r="E68" s="6" t="n">
        <v>0.32</v>
      </c>
      <c r="G68" s="7" t="s">
        <v>151</v>
      </c>
      <c r="H68" s="7" t="s">
        <v>230</v>
      </c>
      <c r="I68" s="3" t="s">
        <v>42</v>
      </c>
    </row>
    <row r="69" customFormat="false" ht="17.15" hidden="false" customHeight="false" outlineLevel="0" collapsed="false">
      <c r="A69" s="0" t="s">
        <v>231</v>
      </c>
      <c r="B69" s="3" t="s">
        <v>232</v>
      </c>
      <c r="C69" s="0" t="s">
        <v>40</v>
      </c>
      <c r="E69" s="6" t="n">
        <v>0.3</v>
      </c>
      <c r="G69" s="7" t="s">
        <v>151</v>
      </c>
      <c r="H69" s="7" t="s">
        <v>233</v>
      </c>
      <c r="I69" s="7" t="s">
        <v>187</v>
      </c>
    </row>
    <row r="70" customFormat="false" ht="17.15" hidden="false" customHeight="false" outlineLevel="0" collapsed="false">
      <c r="A70" s="0" t="s">
        <v>234</v>
      </c>
      <c r="B70" s="3" t="s">
        <v>235</v>
      </c>
      <c r="C70" s="0" t="s">
        <v>40</v>
      </c>
      <c r="E70" s="6" t="n">
        <v>0.33</v>
      </c>
      <c r="G70" s="7" t="s">
        <v>151</v>
      </c>
      <c r="H70" s="7" t="s">
        <v>236</v>
      </c>
      <c r="I70" s="3" t="s">
        <v>42</v>
      </c>
    </row>
    <row r="71" customFormat="false" ht="17.15" hidden="false" customHeight="false" outlineLevel="0" collapsed="false">
      <c r="A71" s="0" t="s">
        <v>237</v>
      </c>
      <c r="B71" s="3" t="s">
        <v>238</v>
      </c>
      <c r="C71" s="0" t="s">
        <v>40</v>
      </c>
      <c r="D71" s="6" t="n">
        <v>0.01</v>
      </c>
      <c r="E71" s="6" t="n">
        <v>0.02</v>
      </c>
      <c r="F71" s="6" t="n">
        <v>0.03</v>
      </c>
      <c r="G71" s="7" t="s">
        <v>151</v>
      </c>
      <c r="H71" s="3" t="s">
        <v>239</v>
      </c>
      <c r="I71" s="3" t="s">
        <v>240</v>
      </c>
    </row>
    <row r="72" customFormat="false" ht="17.15" hidden="false" customHeight="false" outlineLevel="0" collapsed="false">
      <c r="A72" s="0" t="s">
        <v>241</v>
      </c>
      <c r="B72" s="3" t="s">
        <v>242</v>
      </c>
      <c r="C72" s="0" t="s">
        <v>40</v>
      </c>
      <c r="D72" s="6" t="n">
        <v>0.01</v>
      </c>
      <c r="E72" s="6" t="n">
        <v>0.03</v>
      </c>
      <c r="F72" s="6" t="n">
        <v>0.05</v>
      </c>
      <c r="G72" s="7" t="s">
        <v>151</v>
      </c>
      <c r="H72" s="7" t="s">
        <v>243</v>
      </c>
      <c r="I72" s="7" t="s">
        <v>244</v>
      </c>
    </row>
    <row r="73" customFormat="false" ht="17.15" hidden="false" customHeight="false" outlineLevel="0" collapsed="false">
      <c r="A73" s="0" t="s">
        <v>245</v>
      </c>
      <c r="B73" s="3" t="s">
        <v>246</v>
      </c>
      <c r="C73" s="0" t="s">
        <v>40</v>
      </c>
      <c r="D73" s="6" t="n">
        <v>0.01</v>
      </c>
      <c r="E73" s="6" t="n">
        <v>0.04</v>
      </c>
      <c r="F73" s="6" t="n">
        <v>0.06</v>
      </c>
      <c r="G73" s="7" t="s">
        <v>151</v>
      </c>
      <c r="H73" s="7" t="s">
        <v>243</v>
      </c>
      <c r="I73" s="7" t="s">
        <v>244</v>
      </c>
    </row>
    <row r="74" customFormat="false" ht="17.15" hidden="false" customHeight="false" outlineLevel="0" collapsed="false">
      <c r="A74" s="0" t="s">
        <v>247</v>
      </c>
      <c r="B74" s="3" t="s">
        <v>248</v>
      </c>
      <c r="C74" s="0" t="s">
        <v>40</v>
      </c>
      <c r="D74" s="6" t="n">
        <v>0.01</v>
      </c>
      <c r="E74" s="6" t="n">
        <v>0.04</v>
      </c>
      <c r="F74" s="6" t="n">
        <v>0.06</v>
      </c>
      <c r="G74" s="7" t="s">
        <v>151</v>
      </c>
      <c r="H74" s="7" t="s">
        <v>243</v>
      </c>
      <c r="I74" s="7" t="s">
        <v>244</v>
      </c>
    </row>
    <row r="75" customFormat="false" ht="17.15" hidden="false" customHeight="false" outlineLevel="0" collapsed="false">
      <c r="A75" s="0" t="s">
        <v>249</v>
      </c>
      <c r="B75" s="3" t="s">
        <v>250</v>
      </c>
      <c r="C75" s="0" t="s">
        <v>40</v>
      </c>
      <c r="D75" s="6" t="n">
        <v>0.03</v>
      </c>
      <c r="E75" s="6" t="n">
        <v>0.05</v>
      </c>
      <c r="F75" s="6" t="n">
        <v>0.08</v>
      </c>
      <c r="G75" s="7" t="s">
        <v>151</v>
      </c>
      <c r="H75" s="7" t="s">
        <v>251</v>
      </c>
      <c r="I75" s="3" t="s">
        <v>252</v>
      </c>
    </row>
    <row r="76" customFormat="false" ht="17.15" hidden="false" customHeight="false" outlineLevel="0" collapsed="false">
      <c r="A76" s="0" t="s">
        <v>253</v>
      </c>
      <c r="B76" s="3" t="s">
        <v>254</v>
      </c>
      <c r="C76" s="0" t="s">
        <v>40</v>
      </c>
      <c r="D76" s="6" t="n">
        <v>0.03</v>
      </c>
      <c r="E76" s="6" t="n">
        <v>0.06</v>
      </c>
      <c r="F76" s="6" t="n">
        <v>0.09</v>
      </c>
      <c r="G76" s="7" t="s">
        <v>151</v>
      </c>
      <c r="H76" s="3" t="s">
        <v>42</v>
      </c>
      <c r="I76" s="7" t="s">
        <v>244</v>
      </c>
    </row>
    <row r="77" customFormat="false" ht="17.15" hidden="false" customHeight="false" outlineLevel="0" collapsed="false">
      <c r="A77" s="0" t="s">
        <v>255</v>
      </c>
      <c r="B77" s="3" t="s">
        <v>256</v>
      </c>
      <c r="C77" s="0" t="s">
        <v>40</v>
      </c>
      <c r="D77" s="6" t="n">
        <v>0.03</v>
      </c>
      <c r="E77" s="6" t="n">
        <v>0.07</v>
      </c>
      <c r="F77" s="6" t="n">
        <v>0.1</v>
      </c>
      <c r="G77" s="7" t="s">
        <v>151</v>
      </c>
      <c r="H77" s="3" t="s">
        <v>42</v>
      </c>
      <c r="I77" s="7" t="s">
        <v>244</v>
      </c>
    </row>
    <row r="78" customFormat="false" ht="17.15" hidden="false" customHeight="false" outlineLevel="0" collapsed="false">
      <c r="A78" s="0" t="s">
        <v>257</v>
      </c>
      <c r="B78" s="3" t="s">
        <v>258</v>
      </c>
      <c r="C78" s="0" t="s">
        <v>40</v>
      </c>
      <c r="D78" s="6" t="n">
        <v>0.03</v>
      </c>
      <c r="E78" s="6" t="n">
        <v>0.07</v>
      </c>
      <c r="F78" s="6" t="n">
        <v>0.1</v>
      </c>
      <c r="G78" s="7" t="s">
        <v>151</v>
      </c>
      <c r="H78" s="3" t="s">
        <v>42</v>
      </c>
      <c r="I78" s="7" t="s">
        <v>244</v>
      </c>
    </row>
    <row r="79" customFormat="false" ht="17.15" hidden="false" customHeight="false" outlineLevel="0" collapsed="false">
      <c r="A79" s="5" t="s">
        <v>259</v>
      </c>
    </row>
    <row r="80" customFormat="false" ht="17.15" hidden="false" customHeight="false" outlineLevel="0" collapsed="false">
      <c r="A80" s="0" t="s">
        <v>260</v>
      </c>
      <c r="B80" s="0" t="s">
        <v>261</v>
      </c>
      <c r="C80" s="0" t="s">
        <v>40</v>
      </c>
      <c r="D80" s="6" t="n">
        <v>0.53</v>
      </c>
      <c r="E80" s="6" t="n">
        <v>0.58</v>
      </c>
      <c r="F80" s="6" t="n">
        <v>0.62</v>
      </c>
      <c r="G80" s="7" t="s">
        <v>202</v>
      </c>
      <c r="H80" s="3" t="s">
        <v>262</v>
      </c>
      <c r="I80" s="7" t="s">
        <v>263</v>
      </c>
    </row>
    <row r="81" customFormat="false" ht="17.15" hidden="false" customHeight="false" outlineLevel="0" collapsed="false">
      <c r="A81" s="0" t="s">
        <v>264</v>
      </c>
      <c r="B81" s="0" t="s">
        <v>265</v>
      </c>
      <c r="C81" s="0" t="s">
        <v>40</v>
      </c>
      <c r="D81" s="6" t="n">
        <v>0.28</v>
      </c>
      <c r="E81" s="6" t="n">
        <v>0.32</v>
      </c>
      <c r="F81" s="6" t="n">
        <v>0.35</v>
      </c>
      <c r="G81" s="7" t="s">
        <v>202</v>
      </c>
      <c r="H81" s="3" t="s">
        <v>266</v>
      </c>
      <c r="I81" s="7" t="s">
        <v>267</v>
      </c>
    </row>
    <row r="82" customFormat="false" ht="17.15" hidden="false" customHeight="false" outlineLevel="0" collapsed="false">
      <c r="A82" s="0" t="s">
        <v>268</v>
      </c>
      <c r="B82" s="0" t="s">
        <v>269</v>
      </c>
      <c r="C82" s="0" t="s">
        <v>40</v>
      </c>
      <c r="D82" s="6" t="n">
        <v>0.55</v>
      </c>
      <c r="E82" s="6" t="n">
        <v>0.65</v>
      </c>
      <c r="F82" s="6" t="n">
        <v>0.75</v>
      </c>
      <c r="G82" s="7" t="s">
        <v>202</v>
      </c>
      <c r="H82" s="3" t="s">
        <v>270</v>
      </c>
      <c r="I82" s="3" t="s">
        <v>271</v>
      </c>
    </row>
    <row r="83" customFormat="false" ht="17.15" hidden="false" customHeight="false" outlineLevel="0" collapsed="false">
      <c r="A83" s="5" t="s">
        <v>272</v>
      </c>
    </row>
    <row r="84" customFormat="false" ht="17.15" hidden="false" customHeight="false" outlineLevel="0" collapsed="false">
      <c r="A84" s="0" t="s">
        <v>273</v>
      </c>
      <c r="B84" s="3" t="s">
        <v>274</v>
      </c>
      <c r="C84" s="0" t="s">
        <v>150</v>
      </c>
      <c r="D84" s="6" t="n">
        <v>0.3</v>
      </c>
      <c r="E84" s="6" t="n">
        <v>0.5</v>
      </c>
      <c r="F84" s="6" t="n">
        <v>0.8</v>
      </c>
      <c r="G84" s="7" t="s">
        <v>151</v>
      </c>
      <c r="H84" s="3" t="s">
        <v>275</v>
      </c>
      <c r="I84" s="3" t="s">
        <v>276</v>
      </c>
    </row>
    <row r="85" customFormat="false" ht="17.15" hidden="false" customHeight="false" outlineLevel="0" collapsed="false">
      <c r="A85" s="0" t="s">
        <v>277</v>
      </c>
      <c r="B85" s="3" t="s">
        <v>278</v>
      </c>
      <c r="C85" s="0" t="s">
        <v>40</v>
      </c>
      <c r="D85" s="6" t="n">
        <v>-0.02</v>
      </c>
      <c r="E85" s="6" t="n">
        <v>0.03</v>
      </c>
      <c r="F85" s="6" t="n">
        <v>0.06</v>
      </c>
      <c r="G85" s="7" t="s">
        <v>151</v>
      </c>
      <c r="H85" s="3" t="s">
        <v>279</v>
      </c>
      <c r="I85" s="7" t="s">
        <v>244</v>
      </c>
    </row>
    <row r="86" customFormat="false" ht="17.15" hidden="false" customHeight="false" outlineLevel="0" collapsed="false">
      <c r="A86" s="0" t="s">
        <v>280</v>
      </c>
      <c r="B86" s="0" t="s">
        <v>281</v>
      </c>
      <c r="C86" s="0" t="s">
        <v>150</v>
      </c>
      <c r="D86" s="6" t="n">
        <v>1.1</v>
      </c>
      <c r="E86" s="6" t="n">
        <v>1.2</v>
      </c>
      <c r="F86" s="6" t="n">
        <v>1.3</v>
      </c>
      <c r="G86" s="7" t="s">
        <v>151</v>
      </c>
      <c r="H86" s="3" t="s">
        <v>282</v>
      </c>
      <c r="I86" s="3" t="s">
        <v>283</v>
      </c>
    </row>
    <row r="87" customFormat="false" ht="17.15" hidden="false" customHeight="false" outlineLevel="0" collapsed="false">
      <c r="A87" s="0" t="s">
        <v>284</v>
      </c>
      <c r="B87" s="0" t="s">
        <v>285</v>
      </c>
      <c r="C87" s="0" t="s">
        <v>150</v>
      </c>
      <c r="D87" s="6" t="n">
        <v>1.2</v>
      </c>
      <c r="E87" s="6" t="n">
        <v>1.35</v>
      </c>
      <c r="F87" s="6" t="n">
        <v>1.5</v>
      </c>
      <c r="G87" s="7" t="s">
        <v>151</v>
      </c>
      <c r="H87" s="3" t="s">
        <v>42</v>
      </c>
      <c r="I87" s="3" t="s">
        <v>286</v>
      </c>
    </row>
    <row r="88" customFormat="false" ht="17.15" hidden="false" customHeight="false" outlineLevel="0" collapsed="false">
      <c r="A88" s="0" t="s">
        <v>287</v>
      </c>
      <c r="B88" s="0" t="s">
        <v>288</v>
      </c>
      <c r="C88" s="0" t="s">
        <v>150</v>
      </c>
      <c r="D88" s="6" t="n">
        <v>1.35</v>
      </c>
      <c r="E88" s="6" t="n">
        <v>1.6</v>
      </c>
      <c r="F88" s="6" t="n">
        <v>1.85</v>
      </c>
      <c r="G88" s="7" t="s">
        <v>151</v>
      </c>
      <c r="H88" s="3" t="s">
        <v>42</v>
      </c>
      <c r="I88" s="7" t="s">
        <v>244</v>
      </c>
    </row>
    <row r="89" customFormat="false" ht="17.15" hidden="false" customHeight="false" outlineLevel="0" collapsed="false">
      <c r="A89" s="0" t="s">
        <v>289</v>
      </c>
      <c r="B89" s="3" t="s">
        <v>290</v>
      </c>
      <c r="C89" s="0" t="s">
        <v>40</v>
      </c>
      <c r="D89" s="6" t="n">
        <v>0</v>
      </c>
      <c r="E89" s="6" t="n">
        <v>0.05</v>
      </c>
      <c r="F89" s="6" t="n">
        <v>0.08</v>
      </c>
      <c r="G89" s="7" t="s">
        <v>151</v>
      </c>
      <c r="H89" s="3" t="s">
        <v>291</v>
      </c>
      <c r="I89" s="3" t="s">
        <v>292</v>
      </c>
    </row>
    <row r="90" customFormat="false" ht="17.15" hidden="false" customHeight="false" outlineLevel="0" collapsed="false">
      <c r="A90" s="0" t="s">
        <v>293</v>
      </c>
      <c r="B90" s="3" t="s">
        <v>294</v>
      </c>
      <c r="C90" s="0" t="s">
        <v>40</v>
      </c>
      <c r="D90" s="6" t="n">
        <v>0.08</v>
      </c>
      <c r="E90" s="6" t="n">
        <v>0.15</v>
      </c>
      <c r="F90" s="6" t="n">
        <v>0.22</v>
      </c>
      <c r="G90" s="7" t="s">
        <v>151</v>
      </c>
      <c r="H90" s="7" t="s">
        <v>295</v>
      </c>
      <c r="I90" s="3" t="s">
        <v>296</v>
      </c>
    </row>
    <row r="91" customFormat="false" ht="17.15" hidden="false" customHeight="false" outlineLevel="0" collapsed="false">
      <c r="A91" s="0" t="s">
        <v>297</v>
      </c>
      <c r="B91" s="0" t="s">
        <v>298</v>
      </c>
      <c r="C91" s="0" t="s">
        <v>40</v>
      </c>
      <c r="E91" s="6" t="n">
        <v>0.3</v>
      </c>
      <c r="G91" s="7" t="s">
        <v>151</v>
      </c>
      <c r="H91" s="7" t="s">
        <v>299</v>
      </c>
      <c r="I91" s="7" t="s">
        <v>300</v>
      </c>
    </row>
    <row r="92" customFormat="false" ht="17.15" hidden="false" customHeight="false" outlineLevel="0" collapsed="false">
      <c r="A92" s="0" t="s">
        <v>301</v>
      </c>
      <c r="B92" s="0" t="s">
        <v>302</v>
      </c>
      <c r="C92" s="0" t="s">
        <v>40</v>
      </c>
      <c r="E92" s="6" t="n">
        <v>0.1</v>
      </c>
      <c r="G92" s="7" t="s">
        <v>151</v>
      </c>
      <c r="H92" s="3" t="s">
        <v>42</v>
      </c>
      <c r="I92" s="7" t="s">
        <v>244</v>
      </c>
    </row>
    <row r="93" customFormat="false" ht="17.15" hidden="false" customHeight="false" outlineLevel="0" collapsed="false">
      <c r="A93" s="0" t="s">
        <v>303</v>
      </c>
      <c r="B93" s="0" t="s">
        <v>304</v>
      </c>
      <c r="C93" s="0" t="s">
        <v>40</v>
      </c>
      <c r="E93" s="6" t="n">
        <v>0.05</v>
      </c>
      <c r="G93" s="7" t="s">
        <v>151</v>
      </c>
      <c r="H93" s="3" t="s">
        <v>42</v>
      </c>
      <c r="I93" s="7" t="s">
        <v>244</v>
      </c>
    </row>
    <row r="94" customFormat="false" ht="17.15" hidden="false" customHeight="false" outlineLevel="0" collapsed="false">
      <c r="A94" s="0" t="s">
        <v>305</v>
      </c>
      <c r="B94" s="0" t="s">
        <v>306</v>
      </c>
      <c r="C94" s="0" t="s">
        <v>40</v>
      </c>
      <c r="E94" s="6" t="n">
        <v>0.25</v>
      </c>
      <c r="G94" s="7" t="s">
        <v>151</v>
      </c>
      <c r="H94" s="3" t="s">
        <v>42</v>
      </c>
      <c r="I94" s="7" t="s">
        <v>244</v>
      </c>
    </row>
    <row r="95" customFormat="false" ht="17.15" hidden="false" customHeight="false" outlineLevel="0" collapsed="false">
      <c r="A95" s="0" t="s">
        <v>307</v>
      </c>
      <c r="B95" s="0" t="s">
        <v>308</v>
      </c>
      <c r="C95" s="0" t="s">
        <v>40</v>
      </c>
      <c r="E95" s="6" t="n">
        <v>0.05</v>
      </c>
      <c r="G95" s="7" t="s">
        <v>151</v>
      </c>
      <c r="H95" s="3" t="s">
        <v>42</v>
      </c>
      <c r="I95" s="7" t="s">
        <v>244</v>
      </c>
    </row>
    <row r="96" customFormat="false" ht="17.15" hidden="false" customHeight="false" outlineLevel="0" collapsed="false">
      <c r="A96" s="0" t="s">
        <v>309</v>
      </c>
      <c r="B96" s="0" t="s">
        <v>310</v>
      </c>
      <c r="C96" s="0" t="s">
        <v>40</v>
      </c>
      <c r="E96" s="6" t="n">
        <v>0.03</v>
      </c>
      <c r="G96" s="7" t="s">
        <v>151</v>
      </c>
      <c r="H96" s="3" t="s">
        <v>42</v>
      </c>
      <c r="I96" s="7" t="s">
        <v>244</v>
      </c>
    </row>
    <row r="97" customFormat="false" ht="17.15" hidden="false" customHeight="false" outlineLevel="0" collapsed="false">
      <c r="A97" s="0" t="s">
        <v>311</v>
      </c>
      <c r="B97" s="0" t="s">
        <v>312</v>
      </c>
      <c r="C97" s="0" t="s">
        <v>40</v>
      </c>
      <c r="E97" s="6" t="n">
        <v>0.15</v>
      </c>
      <c r="G97" s="7" t="s">
        <v>151</v>
      </c>
      <c r="H97" s="3" t="s">
        <v>42</v>
      </c>
      <c r="I97" s="7" t="s">
        <v>244</v>
      </c>
    </row>
    <row r="98" customFormat="false" ht="17.15" hidden="false" customHeight="false" outlineLevel="0" collapsed="false">
      <c r="A98" s="0" t="s">
        <v>313</v>
      </c>
      <c r="B98" s="0" t="s">
        <v>314</v>
      </c>
      <c r="C98" s="0" t="s">
        <v>40</v>
      </c>
      <c r="E98" s="6" t="n">
        <v>0</v>
      </c>
      <c r="G98" s="7" t="s">
        <v>151</v>
      </c>
      <c r="H98" s="3" t="s">
        <v>42</v>
      </c>
      <c r="I98" s="7" t="s">
        <v>244</v>
      </c>
    </row>
    <row r="99" customFormat="false" ht="17.15" hidden="false" customHeight="false" outlineLevel="0" collapsed="false">
      <c r="A99" s="0" t="s">
        <v>315</v>
      </c>
      <c r="B99" s="0" t="s">
        <v>316</v>
      </c>
      <c r="C99" s="0" t="s">
        <v>40</v>
      </c>
      <c r="E99" s="6" t="n">
        <v>0</v>
      </c>
      <c r="G99" s="7" t="s">
        <v>151</v>
      </c>
      <c r="H99" s="3" t="s">
        <v>42</v>
      </c>
      <c r="I99" s="7" t="s">
        <v>244</v>
      </c>
    </row>
    <row r="100" customFormat="false" ht="17.15" hidden="false" customHeight="false" outlineLevel="0" collapsed="false">
      <c r="A100" s="0" t="s">
        <v>317</v>
      </c>
      <c r="B100" s="0" t="s">
        <v>318</v>
      </c>
      <c r="C100" s="0" t="s">
        <v>40</v>
      </c>
      <c r="D100" s="6" t="n">
        <v>-0.05</v>
      </c>
      <c r="E100" s="6" t="n">
        <v>0</v>
      </c>
      <c r="F100" s="6" t="n">
        <v>0.03</v>
      </c>
      <c r="G100" s="7" t="s">
        <v>151</v>
      </c>
      <c r="H100" s="3" t="s">
        <v>319</v>
      </c>
      <c r="I100" s="7" t="s">
        <v>244</v>
      </c>
    </row>
    <row r="101" customFormat="false" ht="17.15" hidden="false" customHeight="false" outlineLevel="0" collapsed="false">
      <c r="A101" s="5" t="s">
        <v>320</v>
      </c>
    </row>
    <row r="102" customFormat="false" ht="17.15" hidden="false" customHeight="false" outlineLevel="0" collapsed="false">
      <c r="A102" s="0" t="s">
        <v>321</v>
      </c>
      <c r="B102" s="0" t="s">
        <v>322</v>
      </c>
      <c r="C102" s="0" t="s">
        <v>40</v>
      </c>
      <c r="D102" s="6" t="n">
        <v>0.4</v>
      </c>
      <c r="E102" s="6" t="n">
        <v>0.5</v>
      </c>
      <c r="F102" s="6" t="n">
        <v>0.6</v>
      </c>
      <c r="G102" s="7" t="s">
        <v>151</v>
      </c>
      <c r="H102" s="7" t="s">
        <v>323</v>
      </c>
      <c r="I102" s="3" t="s">
        <v>292</v>
      </c>
    </row>
    <row r="103" customFormat="false" ht="17.15" hidden="false" customHeight="false" outlineLevel="0" collapsed="false">
      <c r="A103" s="0" t="s">
        <v>324</v>
      </c>
      <c r="B103" s="3" t="s">
        <v>325</v>
      </c>
      <c r="C103" s="0" t="s">
        <v>40</v>
      </c>
      <c r="D103" s="6" t="n">
        <v>0.25</v>
      </c>
      <c r="E103" s="6" t="n">
        <v>0.4</v>
      </c>
      <c r="F103" s="6" t="n">
        <v>0.55</v>
      </c>
      <c r="G103" s="7" t="s">
        <v>151</v>
      </c>
      <c r="H103" s="7" t="s">
        <v>326</v>
      </c>
      <c r="I103" s="7" t="s">
        <v>244</v>
      </c>
    </row>
    <row r="104" customFormat="false" ht="17.15" hidden="false" customHeight="false" outlineLevel="0" collapsed="false">
      <c r="A104" s="0" t="s">
        <v>327</v>
      </c>
      <c r="B104" s="3" t="s">
        <v>328</v>
      </c>
      <c r="C104" s="0" t="s">
        <v>329</v>
      </c>
      <c r="D104" s="6" t="n">
        <v>6</v>
      </c>
      <c r="E104" s="6" t="n">
        <v>14</v>
      </c>
      <c r="F104" s="6" t="n">
        <v>20</v>
      </c>
      <c r="G104" s="7" t="s">
        <v>151</v>
      </c>
      <c r="H104" s="3" t="s">
        <v>330</v>
      </c>
      <c r="I104" s="3" t="s">
        <v>331</v>
      </c>
    </row>
    <row r="105" customFormat="false" ht="17.15" hidden="false" customHeight="false" outlineLevel="0" collapsed="false">
      <c r="A105" s="0" t="s">
        <v>332</v>
      </c>
      <c r="B105" s="3" t="s">
        <v>333</v>
      </c>
      <c r="C105" s="0" t="s">
        <v>329</v>
      </c>
      <c r="D105" s="6" t="n">
        <v>6</v>
      </c>
      <c r="E105" s="6" t="n">
        <v>18</v>
      </c>
      <c r="F105" s="6" t="n">
        <v>24</v>
      </c>
      <c r="G105" s="7" t="s">
        <v>151</v>
      </c>
      <c r="H105" s="3" t="s">
        <v>42</v>
      </c>
      <c r="I105" s="7" t="s">
        <v>244</v>
      </c>
    </row>
    <row r="106" customFormat="false" ht="17.15" hidden="false" customHeight="false" outlineLevel="0" collapsed="false">
      <c r="A106" s="0" t="s">
        <v>334</v>
      </c>
      <c r="B106" s="3" t="s">
        <v>335</v>
      </c>
      <c r="C106" s="0" t="s">
        <v>329</v>
      </c>
      <c r="D106" s="6" t="n">
        <v>6</v>
      </c>
      <c r="E106" s="6" t="n">
        <v>12</v>
      </c>
      <c r="F106" s="6" t="n">
        <v>20</v>
      </c>
      <c r="G106" s="7" t="s">
        <v>151</v>
      </c>
      <c r="H106" s="3" t="s">
        <v>42</v>
      </c>
      <c r="I106" s="7" t="s">
        <v>244</v>
      </c>
    </row>
    <row r="107" customFormat="false" ht="17.15" hidden="false" customHeight="false" outlineLevel="0" collapsed="false">
      <c r="A107" s="0" t="s">
        <v>336</v>
      </c>
      <c r="B107" s="0" t="s">
        <v>337</v>
      </c>
      <c r="C107" s="0" t="s">
        <v>329</v>
      </c>
      <c r="E107" s="6" t="n">
        <v>4</v>
      </c>
      <c r="G107" s="7" t="s">
        <v>202</v>
      </c>
      <c r="H107" s="3" t="s">
        <v>338</v>
      </c>
      <c r="I107" s="7" t="s">
        <v>339</v>
      </c>
    </row>
    <row r="108" customFormat="false" ht="17.15" hidden="false" customHeight="false" outlineLevel="0" collapsed="false">
      <c r="A108" s="0" t="s">
        <v>340</v>
      </c>
      <c r="B108" s="0" t="s">
        <v>341</v>
      </c>
      <c r="C108" s="0" t="s">
        <v>329</v>
      </c>
      <c r="E108" s="6" t="n">
        <v>7.1</v>
      </c>
      <c r="G108" s="7" t="s">
        <v>202</v>
      </c>
      <c r="H108" s="7" t="s">
        <v>342</v>
      </c>
      <c r="I108" s="3" t="s">
        <v>343</v>
      </c>
    </row>
    <row r="109" customFormat="false" ht="15" hidden="false" customHeight="false" outlineLevel="0" collapsed="false">
      <c r="A109" s="0" t="s">
        <v>344</v>
      </c>
      <c r="B109" s="3" t="s">
        <v>345</v>
      </c>
      <c r="C109" s="3" t="s">
        <v>346</v>
      </c>
      <c r="D109" s="6" t="n">
        <v>6</v>
      </c>
      <c r="E109" s="6" t="n">
        <v>8</v>
      </c>
      <c r="F109" s="6" t="n">
        <v>10</v>
      </c>
      <c r="G109" s="7" t="s">
        <v>151</v>
      </c>
      <c r="H109" s="3" t="s">
        <v>347</v>
      </c>
      <c r="I109" s="3" t="s">
        <v>348</v>
      </c>
    </row>
    <row r="110" customFormat="false" ht="17.15" hidden="false" customHeight="false" outlineLevel="0" collapsed="false">
      <c r="A110" s="0" t="s">
        <v>349</v>
      </c>
      <c r="B110" s="3" t="s">
        <v>350</v>
      </c>
      <c r="C110" s="0" t="s">
        <v>150</v>
      </c>
      <c r="D110" s="6" t="n">
        <v>0.3</v>
      </c>
      <c r="E110" s="6" t="n">
        <v>0.6</v>
      </c>
      <c r="F110" s="6" t="n">
        <v>1</v>
      </c>
      <c r="G110" s="7" t="s">
        <v>151</v>
      </c>
      <c r="H110" s="7" t="s">
        <v>351</v>
      </c>
      <c r="I110" s="7" t="s">
        <v>244</v>
      </c>
    </row>
    <row r="111" customFormat="false" ht="17.15" hidden="false" customHeight="false" outlineLevel="0" collapsed="false">
      <c r="A111" s="0" t="s">
        <v>352</v>
      </c>
      <c r="B111" s="3" t="s">
        <v>353</v>
      </c>
      <c r="C111" s="0" t="s">
        <v>329</v>
      </c>
      <c r="D111" s="6" t="n">
        <v>0</v>
      </c>
      <c r="E111" s="6" t="n">
        <v>0.6</v>
      </c>
      <c r="F111" s="6" t="n">
        <v>1.2</v>
      </c>
      <c r="G111" s="7" t="s">
        <v>151</v>
      </c>
      <c r="H111" s="7" t="s">
        <v>354</v>
      </c>
      <c r="I111" s="3" t="s">
        <v>355</v>
      </c>
    </row>
    <row r="112" customFormat="false" ht="17.15" hidden="false" customHeight="false" outlineLevel="0" collapsed="false">
      <c r="A112" s="0" t="s">
        <v>356</v>
      </c>
      <c r="B112" s="3" t="s">
        <v>357</v>
      </c>
      <c r="C112" s="0" t="s">
        <v>329</v>
      </c>
      <c r="D112" s="6" t="n">
        <v>0</v>
      </c>
      <c r="E112" s="6" t="n">
        <v>0.6</v>
      </c>
      <c r="F112" s="6" t="n">
        <v>1.2</v>
      </c>
      <c r="G112" s="7" t="s">
        <v>151</v>
      </c>
      <c r="H112" s="3" t="s">
        <v>42</v>
      </c>
      <c r="I112" s="7" t="s">
        <v>244</v>
      </c>
    </row>
    <row r="113" customFormat="false" ht="17.15" hidden="false" customHeight="false" outlineLevel="0" collapsed="false">
      <c r="A113" s="0" t="s">
        <v>358</v>
      </c>
      <c r="B113" s="3" t="s">
        <v>359</v>
      </c>
      <c r="C113" s="0" t="s">
        <v>329</v>
      </c>
      <c r="D113" s="6" t="n">
        <v>0</v>
      </c>
      <c r="E113" s="6" t="n">
        <v>0.6</v>
      </c>
      <c r="F113" s="6" t="n">
        <v>1.2</v>
      </c>
      <c r="G113" s="7" t="s">
        <v>151</v>
      </c>
      <c r="H113" s="3" t="s">
        <v>42</v>
      </c>
      <c r="I113" s="7" t="s">
        <v>244</v>
      </c>
    </row>
    <row r="114" customFormat="false" ht="17.15" hidden="false" customHeight="false" outlineLevel="0" collapsed="false">
      <c r="A114" s="0" t="s">
        <v>360</v>
      </c>
      <c r="B114" s="3" t="s">
        <v>361</v>
      </c>
      <c r="C114" s="0" t="s">
        <v>40</v>
      </c>
      <c r="D114" s="6" t="n">
        <v>0.18</v>
      </c>
      <c r="E114" s="6" t="n">
        <v>0.21</v>
      </c>
      <c r="F114" s="6" t="n">
        <v>0.24</v>
      </c>
      <c r="G114" s="7" t="s">
        <v>29</v>
      </c>
      <c r="H114" s="7" t="s">
        <v>362</v>
      </c>
      <c r="I114" s="7" t="s">
        <v>363</v>
      </c>
    </row>
    <row r="115" customFormat="false" ht="17.15" hidden="false" customHeight="false" outlineLevel="0" collapsed="false">
      <c r="A115" s="0" t="s">
        <v>364</v>
      </c>
      <c r="B115" s="3" t="s">
        <v>365</v>
      </c>
      <c r="C115" s="0" t="s">
        <v>40</v>
      </c>
      <c r="D115" s="6" t="n">
        <v>0</v>
      </c>
      <c r="E115" s="6" t="n">
        <v>0</v>
      </c>
      <c r="F115" s="6" t="n">
        <v>0.01</v>
      </c>
      <c r="G115" s="7" t="s">
        <v>151</v>
      </c>
      <c r="H115" s="3" t="s">
        <v>366</v>
      </c>
      <c r="I115" s="3" t="s">
        <v>367</v>
      </c>
    </row>
    <row r="116" customFormat="false" ht="17.15" hidden="false" customHeight="false" outlineLevel="0" collapsed="false">
      <c r="A116" s="5" t="s">
        <v>368</v>
      </c>
    </row>
    <row r="117" customFormat="false" ht="17.15" hidden="false" customHeight="false" outlineLevel="0" collapsed="false">
      <c r="A117" s="0" t="s">
        <v>369</v>
      </c>
      <c r="B117" s="0" t="s">
        <v>370</v>
      </c>
      <c r="C117" s="0" t="s">
        <v>329</v>
      </c>
      <c r="E117" s="6" t="n">
        <v>16.379</v>
      </c>
      <c r="G117" s="7" t="s">
        <v>371</v>
      </c>
      <c r="H117" s="7" t="s">
        <v>372</v>
      </c>
      <c r="I117" s="7" t="s">
        <v>373</v>
      </c>
    </row>
    <row r="118" customFormat="false" ht="17.15" hidden="false" customHeight="false" outlineLevel="0" collapsed="false">
      <c r="A118" s="0" t="s">
        <v>374</v>
      </c>
      <c r="B118" s="0" t="s">
        <v>375</v>
      </c>
      <c r="C118" s="0" t="s">
        <v>40</v>
      </c>
      <c r="D118" s="6" t="n">
        <v>0.28</v>
      </c>
      <c r="E118" s="6" t="n">
        <v>0.3</v>
      </c>
      <c r="F118" s="6" t="n">
        <v>0.315</v>
      </c>
      <c r="G118" s="7" t="s">
        <v>151</v>
      </c>
      <c r="H118" s="7" t="s">
        <v>376</v>
      </c>
      <c r="I118" s="3" t="s">
        <v>377</v>
      </c>
    </row>
    <row r="119" customFormat="false" ht="17.15" hidden="false" customHeight="false" outlineLevel="0" collapsed="false">
      <c r="A119" s="0" t="s">
        <v>378</v>
      </c>
      <c r="B119" s="0" t="s">
        <v>379</v>
      </c>
      <c r="C119" s="0" t="s">
        <v>329</v>
      </c>
      <c r="D119" s="6" t="n">
        <v>0.46</v>
      </c>
      <c r="E119" s="6" t="n">
        <v>0.5</v>
      </c>
      <c r="F119" s="6" t="n">
        <v>0.55</v>
      </c>
      <c r="G119" s="7" t="s">
        <v>151</v>
      </c>
      <c r="H119" s="7" t="s">
        <v>380</v>
      </c>
      <c r="I119" s="7" t="s">
        <v>244</v>
      </c>
    </row>
    <row r="120" customFormat="false" ht="17.15" hidden="false" customHeight="false" outlineLevel="0" collapsed="false">
      <c r="A120" s="0" t="s">
        <v>381</v>
      </c>
      <c r="B120" s="0" t="s">
        <v>382</v>
      </c>
      <c r="C120" s="0" t="s">
        <v>40</v>
      </c>
      <c r="D120" s="6" t="n">
        <v>0.03</v>
      </c>
      <c r="E120" s="6" t="n">
        <v>0.1</v>
      </c>
      <c r="F120" s="6" t="n">
        <v>0.15</v>
      </c>
      <c r="G120" s="7" t="s">
        <v>151</v>
      </c>
      <c r="H120" s="7" t="s">
        <v>383</v>
      </c>
      <c r="I120" s="7" t="s">
        <v>384</v>
      </c>
    </row>
    <row r="121" customFormat="false" ht="17.15" hidden="false" customHeight="false" outlineLevel="0" collapsed="false">
      <c r="A121" s="0" t="s">
        <v>385</v>
      </c>
      <c r="B121" s="0" t="s">
        <v>386</v>
      </c>
      <c r="C121" s="0" t="s">
        <v>40</v>
      </c>
      <c r="D121" s="6" t="n">
        <v>0.29</v>
      </c>
      <c r="E121" s="6" t="n">
        <v>0.325</v>
      </c>
      <c r="F121" s="6" t="n">
        <v>0.34</v>
      </c>
      <c r="G121" s="7" t="s">
        <v>151</v>
      </c>
      <c r="H121" s="7" t="s">
        <v>387</v>
      </c>
      <c r="I121" s="7" t="s">
        <v>244</v>
      </c>
    </row>
    <row r="122" customFormat="false" ht="17.15" hidden="false" customHeight="false" outlineLevel="0" collapsed="false">
      <c r="A122" s="0" t="s">
        <v>388</v>
      </c>
      <c r="B122" s="0" t="s">
        <v>389</v>
      </c>
      <c r="C122" s="0" t="s">
        <v>329</v>
      </c>
      <c r="D122" s="6" t="n">
        <v>0.48</v>
      </c>
      <c r="E122" s="6" t="n">
        <v>0.52</v>
      </c>
      <c r="F122" s="6" t="n">
        <v>0.58</v>
      </c>
      <c r="G122" s="7" t="s">
        <v>151</v>
      </c>
      <c r="H122" s="3" t="s">
        <v>42</v>
      </c>
      <c r="I122" s="7" t="s">
        <v>244</v>
      </c>
    </row>
    <row r="123" customFormat="false" ht="17.15" hidden="false" customHeight="false" outlineLevel="0" collapsed="false">
      <c r="A123" s="0" t="s">
        <v>390</v>
      </c>
      <c r="B123" s="0" t="s">
        <v>391</v>
      </c>
      <c r="C123" s="0" t="s">
        <v>329</v>
      </c>
      <c r="D123" s="6" t="n">
        <v>0</v>
      </c>
      <c r="E123" s="6" t="n">
        <v>0.15</v>
      </c>
      <c r="F123" s="6" t="n">
        <v>0.4</v>
      </c>
      <c r="G123" s="7" t="s">
        <v>151</v>
      </c>
      <c r="H123" s="7" t="s">
        <v>392</v>
      </c>
      <c r="I123" s="7" t="s">
        <v>393</v>
      </c>
    </row>
    <row r="124" customFormat="false" ht="17.15" hidden="false" customHeight="false" outlineLevel="0" collapsed="false">
      <c r="A124" s="0" t="s">
        <v>394</v>
      </c>
      <c r="B124" s="0" t="s">
        <v>395</v>
      </c>
      <c r="C124" s="3" t="s">
        <v>396</v>
      </c>
      <c r="E124" s="6" t="n">
        <v>0.64617</v>
      </c>
      <c r="G124" s="7" t="s">
        <v>202</v>
      </c>
      <c r="H124" s="7" t="s">
        <v>397</v>
      </c>
      <c r="I124" s="3" t="s">
        <v>398</v>
      </c>
    </row>
    <row r="125" customFormat="false" ht="17.15" hidden="false" customHeight="false" outlineLevel="0" collapsed="false">
      <c r="A125" s="5" t="s">
        <v>399</v>
      </c>
    </row>
    <row r="126" customFormat="false" ht="17.15" hidden="false" customHeight="false" outlineLevel="0" collapsed="false">
      <c r="A126" s="0" t="s">
        <v>400</v>
      </c>
      <c r="B126" s="3" t="s">
        <v>401</v>
      </c>
      <c r="C126" s="0" t="s">
        <v>402</v>
      </c>
      <c r="D126" s="6" t="n">
        <v>8.56</v>
      </c>
      <c r="E126" s="6" t="n">
        <v>13.19</v>
      </c>
      <c r="F126" s="6" t="n">
        <v>20.48</v>
      </c>
      <c r="G126" s="7" t="s">
        <v>202</v>
      </c>
      <c r="H126" s="3" t="s">
        <v>403</v>
      </c>
      <c r="I126" s="3" t="s">
        <v>404</v>
      </c>
    </row>
    <row r="127" customFormat="false" ht="17.15" hidden="false" customHeight="false" outlineLevel="0" collapsed="false">
      <c r="A127" s="0" t="s">
        <v>405</v>
      </c>
      <c r="B127" s="3" t="s">
        <v>406</v>
      </c>
      <c r="C127" s="0" t="s">
        <v>402</v>
      </c>
      <c r="D127" s="6" t="n">
        <v>21.66</v>
      </c>
      <c r="E127" s="6" t="n">
        <v>32.12</v>
      </c>
      <c r="F127" s="6" t="n">
        <v>52.88</v>
      </c>
      <c r="G127" s="7" t="s">
        <v>202</v>
      </c>
      <c r="H127" s="3" t="s">
        <v>403</v>
      </c>
      <c r="I127" s="3" t="s">
        <v>407</v>
      </c>
    </row>
    <row r="128" customFormat="false" ht="17.15" hidden="false" customHeight="false" outlineLevel="0" collapsed="false">
      <c r="A128" s="0" t="s">
        <v>408</v>
      </c>
      <c r="B128" s="3" t="s">
        <v>409</v>
      </c>
      <c r="C128" s="0" t="s">
        <v>402</v>
      </c>
      <c r="D128" s="6" t="n">
        <v>42.03</v>
      </c>
      <c r="E128" s="6" t="n">
        <v>59.21</v>
      </c>
      <c r="F128" s="6" t="n">
        <v>80.8</v>
      </c>
      <c r="G128" s="7" t="s">
        <v>202</v>
      </c>
      <c r="H128" s="3" t="s">
        <v>403</v>
      </c>
      <c r="I128" s="3" t="s">
        <v>410</v>
      </c>
    </row>
    <row r="129" customFormat="false" ht="17.15" hidden="false" customHeight="false" outlineLevel="0" collapsed="false">
      <c r="A129" s="0" t="s">
        <v>411</v>
      </c>
      <c r="B129" s="3" t="s">
        <v>412</v>
      </c>
      <c r="C129" s="0" t="s">
        <v>329</v>
      </c>
      <c r="D129" s="6" t="n">
        <v>69.31</v>
      </c>
      <c r="E129" s="6" t="n">
        <v>90.26</v>
      </c>
      <c r="F129" s="6" t="n">
        <v>127.93</v>
      </c>
      <c r="G129" s="7" t="s">
        <v>202</v>
      </c>
      <c r="H129" s="3" t="s">
        <v>403</v>
      </c>
      <c r="I129" s="3" t="s">
        <v>413</v>
      </c>
    </row>
    <row r="130" customFormat="false" ht="17.15" hidden="false" customHeight="false" outlineLevel="0" collapsed="false">
      <c r="A130" s="0" t="s">
        <v>414</v>
      </c>
      <c r="B130" s="3" t="s">
        <v>415</v>
      </c>
      <c r="C130" s="0" t="s">
        <v>329</v>
      </c>
      <c r="D130" s="6" t="n">
        <v>109.36</v>
      </c>
      <c r="E130" s="6" t="n">
        <v>133.54</v>
      </c>
      <c r="F130" s="6" t="n">
        <v>178.55</v>
      </c>
      <c r="G130" s="7" t="s">
        <v>202</v>
      </c>
      <c r="H130" s="3" t="s">
        <v>403</v>
      </c>
      <c r="I130" s="3" t="s">
        <v>416</v>
      </c>
    </row>
    <row r="131" customFormat="false" ht="17.15" hidden="false" customHeight="false" outlineLevel="0" collapsed="false">
      <c r="A131" s="0" t="s">
        <v>417</v>
      </c>
      <c r="B131" s="3" t="s">
        <v>418</v>
      </c>
      <c r="C131" s="0" t="s">
        <v>402</v>
      </c>
      <c r="D131" s="6" t="n">
        <v>38.88</v>
      </c>
      <c r="E131" s="6" t="n">
        <v>41.34</v>
      </c>
      <c r="F131" s="6" t="n">
        <v>43.8</v>
      </c>
      <c r="G131" s="7" t="s">
        <v>202</v>
      </c>
      <c r="H131" s="7" t="s">
        <v>419</v>
      </c>
      <c r="I131" s="3" t="s">
        <v>266</v>
      </c>
    </row>
    <row r="132" customFormat="false" ht="17.15" hidden="false" customHeight="false" outlineLevel="0" collapsed="false">
      <c r="A132" s="0" t="s">
        <v>420</v>
      </c>
      <c r="B132" s="3" t="s">
        <v>421</v>
      </c>
      <c r="C132" s="0" t="s">
        <v>402</v>
      </c>
      <c r="D132" s="6" t="n">
        <v>61.35</v>
      </c>
      <c r="E132" s="6" t="n">
        <v>65.72</v>
      </c>
      <c r="F132" s="6" t="n">
        <v>70.09</v>
      </c>
      <c r="G132" s="7" t="s">
        <v>202</v>
      </c>
      <c r="H132" s="7" t="s">
        <v>419</v>
      </c>
      <c r="I132" s="3" t="s">
        <v>266</v>
      </c>
    </row>
    <row r="133" customFormat="false" ht="17.15" hidden="false" customHeight="false" outlineLevel="0" collapsed="false">
      <c r="A133" s="5" t="s">
        <v>422</v>
      </c>
    </row>
    <row r="134" customFormat="false" ht="17.15" hidden="false" customHeight="false" outlineLevel="0" collapsed="false">
      <c r="A134" s="0" t="s">
        <v>423</v>
      </c>
      <c r="B134" s="3" t="s">
        <v>424</v>
      </c>
      <c r="C134" s="0" t="s">
        <v>402</v>
      </c>
      <c r="E134" s="6" t="n">
        <v>1265</v>
      </c>
      <c r="G134" s="7" t="s">
        <v>202</v>
      </c>
      <c r="H134" s="7" t="s">
        <v>425</v>
      </c>
      <c r="I134" s="3" t="s">
        <v>426</v>
      </c>
    </row>
    <row r="135" customFormat="false" ht="17.15" hidden="false" customHeight="false" outlineLevel="0" collapsed="false">
      <c r="A135" s="0" t="s">
        <v>427</v>
      </c>
      <c r="B135" s="3" t="s">
        <v>428</v>
      </c>
      <c r="C135" s="0" t="s">
        <v>150</v>
      </c>
      <c r="E135" s="6" t="n">
        <v>33.73</v>
      </c>
      <c r="G135" s="7" t="s">
        <v>202</v>
      </c>
      <c r="H135" s="7" t="s">
        <v>429</v>
      </c>
      <c r="I135" s="3" t="s">
        <v>430</v>
      </c>
    </row>
    <row r="136" customFormat="false" ht="17.15" hidden="false" customHeight="false" outlineLevel="0" collapsed="false">
      <c r="A136" s="0" t="s">
        <v>431</v>
      </c>
      <c r="B136" s="3" t="s">
        <v>432</v>
      </c>
      <c r="C136" s="0" t="s">
        <v>150</v>
      </c>
      <c r="E136" s="6" t="n">
        <v>148.7</v>
      </c>
      <c r="G136" s="7" t="s">
        <v>202</v>
      </c>
      <c r="H136" s="3" t="s">
        <v>433</v>
      </c>
      <c r="I136" s="7" t="s">
        <v>434</v>
      </c>
    </row>
    <row r="137" customFormat="false" ht="17.15" hidden="false" customHeight="false" outlineLevel="0" collapsed="false">
      <c r="A137" s="0" t="s">
        <v>435</v>
      </c>
      <c r="B137" s="3" t="s">
        <v>436</v>
      </c>
      <c r="C137" s="0" t="s">
        <v>402</v>
      </c>
      <c r="E137" s="0" t="n">
        <f aca="false">1050/fpe</f>
        <v>31.1295582567447</v>
      </c>
      <c r="G137" s="0" t="s">
        <v>29</v>
      </c>
      <c r="H137" s="0" t="s">
        <v>437</v>
      </c>
      <c r="I137" s="3" t="s">
        <v>438</v>
      </c>
    </row>
    <row r="138" customFormat="false" ht="17.15" hidden="false" customHeight="false" outlineLevel="0" collapsed="false">
      <c r="A138" s="0" t="s">
        <v>439</v>
      </c>
      <c r="B138" s="3" t="s">
        <v>440</v>
      </c>
      <c r="C138" s="0" t="s">
        <v>402</v>
      </c>
      <c r="E138" s="6" t="n">
        <v>1651.31</v>
      </c>
      <c r="G138" s="7" t="s">
        <v>202</v>
      </c>
      <c r="H138" s="7" t="s">
        <v>441</v>
      </c>
      <c r="I138" s="7" t="s">
        <v>442</v>
      </c>
    </row>
    <row r="139" customFormat="false" ht="17.15" hidden="false" customHeight="false" outlineLevel="0" collapsed="false">
      <c r="A139" s="0" t="s">
        <v>443</v>
      </c>
      <c r="B139" s="3" t="s">
        <v>444</v>
      </c>
      <c r="C139" s="0" t="s">
        <v>445</v>
      </c>
      <c r="E139" s="6" t="n">
        <v>32.5</v>
      </c>
      <c r="G139" s="7" t="s">
        <v>202</v>
      </c>
      <c r="H139" s="3" t="s">
        <v>446</v>
      </c>
      <c r="I139" s="7" t="s">
        <v>244</v>
      </c>
    </row>
    <row r="140" customFormat="false" ht="17.15" hidden="false" customHeight="false" outlineLevel="0" collapsed="false">
      <c r="A140" s="0" t="s">
        <v>447</v>
      </c>
      <c r="B140" s="3" t="s">
        <v>448</v>
      </c>
      <c r="C140" s="0" t="s">
        <v>40</v>
      </c>
      <c r="E140" s="0" t="n">
        <f aca="false">AVERAGE(10.582/52.228,19.416/64.647,5.817/42.253,0.204/32.283,1.947/40.173)</f>
        <v>0.139081117846042</v>
      </c>
      <c r="G140" s="0" t="s">
        <v>29</v>
      </c>
      <c r="H140" s="0" t="s">
        <v>449</v>
      </c>
      <c r="I140" s="3" t="s">
        <v>450</v>
      </c>
    </row>
    <row r="141" customFormat="false" ht="17.15" hidden="false" customHeight="false" outlineLevel="0" collapsed="false">
      <c r="A141" s="5" t="s">
        <v>451</v>
      </c>
    </row>
    <row r="142" customFormat="false" ht="17.15" hidden="false" customHeight="false" outlineLevel="0" collapsed="false">
      <c r="A142" s="8" t="s">
        <v>452</v>
      </c>
      <c r="B142" s="9" t="s">
        <v>453</v>
      </c>
      <c r="C142" s="8" t="s">
        <v>40</v>
      </c>
      <c r="D142" s="8"/>
      <c r="E142" s="10" t="n">
        <v>0.3</v>
      </c>
      <c r="F142" s="8"/>
      <c r="G142" s="8" t="s">
        <v>151</v>
      </c>
      <c r="H142" s="8" t="s">
        <v>454</v>
      </c>
      <c r="I142" s="9" t="s">
        <v>455</v>
      </c>
    </row>
    <row r="143" customFormat="false" ht="17.15" hidden="false" customHeight="false" outlineLevel="0" collapsed="false">
      <c r="A143" s="8" t="s">
        <v>456</v>
      </c>
      <c r="B143" s="9" t="s">
        <v>457</v>
      </c>
      <c r="C143" s="8" t="s">
        <v>40</v>
      </c>
      <c r="D143" s="8"/>
      <c r="E143" s="10" t="n">
        <v>0.5</v>
      </c>
      <c r="F143" s="8"/>
      <c r="G143" s="8" t="s">
        <v>151</v>
      </c>
      <c r="H143" s="8" t="s">
        <v>454</v>
      </c>
      <c r="I143" s="9" t="s">
        <v>455</v>
      </c>
    </row>
    <row r="144" customFormat="false" ht="17.15" hidden="false" customHeight="false" outlineLevel="0" collapsed="false">
      <c r="A144" s="8" t="s">
        <v>458</v>
      </c>
      <c r="B144" s="9" t="s">
        <v>459</v>
      </c>
      <c r="C144" s="8" t="s">
        <v>40</v>
      </c>
      <c r="D144" s="8"/>
      <c r="E144" s="10" t="n">
        <v>0.2</v>
      </c>
      <c r="F144" s="8"/>
      <c r="G144" s="8" t="s">
        <v>151</v>
      </c>
      <c r="H144" s="8" t="s">
        <v>454</v>
      </c>
      <c r="I144" s="9" t="s">
        <v>455</v>
      </c>
    </row>
    <row r="145" customFormat="false" ht="17.15" hidden="false" customHeight="false" outlineLevel="0" collapsed="false">
      <c r="A145" s="8" t="s">
        <v>460</v>
      </c>
      <c r="B145" s="9" t="s">
        <v>461</v>
      </c>
      <c r="C145" s="8" t="s">
        <v>40</v>
      </c>
      <c r="D145" s="8"/>
      <c r="E145" s="10" t="n">
        <v>0.1</v>
      </c>
      <c r="F145" s="8"/>
      <c r="G145" s="8" t="s">
        <v>151</v>
      </c>
      <c r="H145" s="8" t="s">
        <v>462</v>
      </c>
      <c r="I145" s="8" t="s">
        <v>244</v>
      </c>
    </row>
    <row r="146" customFormat="false" ht="17.15" hidden="false" customHeight="false" outlineLevel="0" collapsed="false">
      <c r="A146" s="8" t="s">
        <v>463</v>
      </c>
      <c r="B146" s="9" t="s">
        <v>464</v>
      </c>
      <c r="C146" s="8" t="s">
        <v>40</v>
      </c>
      <c r="D146" s="8"/>
      <c r="E146" s="10" t="n">
        <v>0.04</v>
      </c>
      <c r="F146" s="8"/>
      <c r="G146" s="8" t="s">
        <v>151</v>
      </c>
      <c r="H146" s="8" t="s">
        <v>465</v>
      </c>
      <c r="I146" s="9" t="s">
        <v>466</v>
      </c>
    </row>
    <row r="147" customFormat="false" ht="17.15" hidden="false" customHeight="false" outlineLevel="0" collapsed="false">
      <c r="A147" s="8" t="s">
        <v>467</v>
      </c>
      <c r="B147" s="8" t="s">
        <v>468</v>
      </c>
      <c r="C147" s="8" t="s">
        <v>40</v>
      </c>
      <c r="D147" s="8"/>
      <c r="E147" s="8" t="n">
        <f aca="false">AVERAGE(0.1145,0.0044,0.0425)</f>
        <v>0.0538</v>
      </c>
      <c r="F147" s="8"/>
      <c r="G147" s="8" t="s">
        <v>29</v>
      </c>
      <c r="H147" s="8" t="s">
        <v>469</v>
      </c>
      <c r="I147" s="9" t="s">
        <v>470</v>
      </c>
    </row>
    <row r="148" customFormat="false" ht="17.15" hidden="false" customHeight="false" outlineLevel="0" collapsed="false">
      <c r="A148" s="8" t="s">
        <v>471</v>
      </c>
      <c r="B148" s="9" t="s">
        <v>472</v>
      </c>
      <c r="C148" s="8" t="s">
        <v>40</v>
      </c>
      <c r="D148" s="8"/>
      <c r="E148" s="10" t="n">
        <v>0.5</v>
      </c>
      <c r="F148" s="8"/>
      <c r="G148" s="8" t="s">
        <v>151</v>
      </c>
      <c r="H148" s="8" t="s">
        <v>473</v>
      </c>
      <c r="I148" s="8" t="s">
        <v>244</v>
      </c>
    </row>
    <row r="149" customFormat="false" ht="17.15" hidden="false" customHeight="false" outlineLevel="0" collapsed="false">
      <c r="A149" s="8" t="s">
        <v>474</v>
      </c>
      <c r="B149" s="9" t="s">
        <v>475</v>
      </c>
      <c r="C149" s="8" t="s">
        <v>40</v>
      </c>
      <c r="D149" s="8"/>
      <c r="E149" s="8" t="n">
        <f aca="false">tp_g+0.02</f>
        <v>0.06</v>
      </c>
      <c r="F149" s="8"/>
      <c r="G149" s="8" t="s">
        <v>151</v>
      </c>
      <c r="H149" s="9" t="s">
        <v>476</v>
      </c>
      <c r="I149" s="8" t="s">
        <v>477</v>
      </c>
    </row>
    <row r="150" customFormat="false" ht="17.15" hidden="false" customHeight="false" outlineLevel="0" collapsed="false">
      <c r="A150" s="8" t="s">
        <v>478</v>
      </c>
      <c r="B150" s="9" t="s">
        <v>479</v>
      </c>
      <c r="C150" s="8" t="s">
        <v>40</v>
      </c>
      <c r="D150" s="8"/>
      <c r="E150" s="8" t="n">
        <f aca="false">tp_g</f>
        <v>0.04</v>
      </c>
      <c r="F150" s="8"/>
      <c r="G150" s="8" t="s">
        <v>151</v>
      </c>
      <c r="H150" s="9" t="s">
        <v>42</v>
      </c>
      <c r="I150" s="8" t="s">
        <v>244</v>
      </c>
    </row>
    <row r="151" customFormat="false" ht="17.15" hidden="false" customHeight="false" outlineLevel="0" collapsed="false">
      <c r="A151" s="8" t="s">
        <v>480</v>
      </c>
      <c r="B151" s="9" t="s">
        <v>481</v>
      </c>
      <c r="C151" s="8" t="s">
        <v>40</v>
      </c>
      <c r="D151" s="8"/>
      <c r="E151" s="8" t="n">
        <f aca="false">tp_g-0.02</f>
        <v>0.02</v>
      </c>
      <c r="F151" s="8"/>
      <c r="G151" s="8" t="s">
        <v>151</v>
      </c>
      <c r="H151" s="9" t="s">
        <v>42</v>
      </c>
      <c r="I151" s="8" t="s">
        <v>244</v>
      </c>
    </row>
    <row r="152" customFormat="false" ht="17.15" hidden="false" customHeight="false" outlineLevel="0" collapsed="false">
      <c r="A152" s="8" t="s">
        <v>482</v>
      </c>
      <c r="B152" s="9" t="s">
        <v>483</v>
      </c>
      <c r="C152" s="8" t="s">
        <v>40</v>
      </c>
      <c r="D152" s="8"/>
      <c r="E152" s="11" t="n">
        <f aca="false">PL!G14</f>
        <v>0.252096237734386</v>
      </c>
      <c r="F152" s="8"/>
      <c r="G152" s="8" t="s">
        <v>29</v>
      </c>
      <c r="H152" s="8" t="s">
        <v>484</v>
      </c>
      <c r="I152" s="8" t="s">
        <v>244</v>
      </c>
    </row>
    <row r="153" customFormat="false" ht="17.15" hidden="false" customHeight="false" outlineLevel="0" collapsed="false">
      <c r="A153" s="8" t="s">
        <v>485</v>
      </c>
      <c r="B153" s="9" t="s">
        <v>486</v>
      </c>
      <c r="C153" s="8" t="s">
        <v>40</v>
      </c>
      <c r="D153" s="8"/>
      <c r="E153" s="12" t="n">
        <f aca="false">(PL!G28+PL!G28*0.8)/2</f>
        <v>0.214351394311888</v>
      </c>
      <c r="F153" s="8"/>
      <c r="G153" s="8" t="s">
        <v>151</v>
      </c>
      <c r="H153" s="9" t="s">
        <v>487</v>
      </c>
      <c r="I153" s="9" t="s">
        <v>488</v>
      </c>
    </row>
    <row r="154" customFormat="false" ht="17.15" hidden="false" customHeight="false" outlineLevel="0" collapsed="false">
      <c r="A154" s="8" t="s">
        <v>489</v>
      </c>
      <c r="B154" s="9" t="s">
        <v>490</v>
      </c>
      <c r="C154" s="8" t="s">
        <v>40</v>
      </c>
      <c r="D154" s="8"/>
      <c r="E154" s="12" t="n">
        <f aca="false">PL!G42*0.8</f>
        <v>0.1657135604408</v>
      </c>
      <c r="F154" s="8"/>
      <c r="G154" s="8" t="s">
        <v>151</v>
      </c>
      <c r="H154" s="9" t="s">
        <v>491</v>
      </c>
      <c r="I154" s="8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7" min="2" style="0" width="14"/>
    <col collapsed="false" customWidth="true" hidden="false" outlineLevel="0" max="8" min="8" style="0" width="26"/>
    <col collapsed="false" customWidth="true" hidden="false" outlineLevel="0" max="9" min="9" style="0" width="60"/>
    <col collapsed="false" customWidth="true" hidden="false" outlineLevel="0" max="10" min="10" style="0" width="64"/>
  </cols>
  <sheetData>
    <row r="1" customFormat="false" ht="17.15" hidden="false" customHeight="false" outlineLevel="0" collapsed="false">
      <c r="A1" s="0" t="s">
        <v>492</v>
      </c>
    </row>
    <row r="2" customFormat="false" ht="17.15" hidden="false" customHeight="false" outlineLevel="0" collapsed="false">
      <c r="A2" s="0" t="s">
        <v>493</v>
      </c>
    </row>
    <row r="3" customFormat="false" ht="17.15" hidden="false" customHeight="false" outlineLevel="0" collapsed="false">
      <c r="A3" s="4" t="s">
        <v>17</v>
      </c>
      <c r="B3" s="13" t="s">
        <v>494</v>
      </c>
      <c r="C3" s="13" t="s">
        <v>495</v>
      </c>
      <c r="D3" s="13" t="s">
        <v>496</v>
      </c>
      <c r="E3" s="13" t="s">
        <v>497</v>
      </c>
      <c r="F3" s="13" t="s">
        <v>498</v>
      </c>
      <c r="G3" s="13" t="s">
        <v>499</v>
      </c>
      <c r="H3" s="4" t="s">
        <v>22</v>
      </c>
      <c r="I3" s="4" t="s">
        <v>500</v>
      </c>
      <c r="J3" s="4" t="s">
        <v>24</v>
      </c>
    </row>
    <row r="4" customFormat="false" ht="17.15" hidden="false" customHeight="false" outlineLevel="0" collapsed="false">
      <c r="A4" s="3" t="s">
        <v>501</v>
      </c>
      <c r="B4" s="14" t="n">
        <v>40.173</v>
      </c>
      <c r="C4" s="14" t="n">
        <v>11.177</v>
      </c>
      <c r="D4" s="14" t="n">
        <v>13.575</v>
      </c>
      <c r="E4" s="15" t="n">
        <f aca="false">q3_rev</f>
        <v>16.379</v>
      </c>
      <c r="F4" s="15" t="n">
        <f aca="false">E4*(1+q4_g)</f>
        <v>18.0169</v>
      </c>
      <c r="G4" s="15" t="n">
        <f aca="false">SUM(C4:F4)</f>
        <v>59.1479</v>
      </c>
      <c r="H4" s="7" t="s">
        <v>502</v>
      </c>
      <c r="I4" s="7" t="s">
        <v>503</v>
      </c>
      <c r="J4" s="7" t="s">
        <v>504</v>
      </c>
    </row>
    <row r="5" customFormat="false" ht="17.15" hidden="false" customHeight="false" outlineLevel="0" collapsed="false">
      <c r="A5" s="3" t="s">
        <v>505</v>
      </c>
      <c r="B5" s="14" t="n">
        <v>3.647</v>
      </c>
      <c r="C5" s="14" t="n">
        <v>1.771</v>
      </c>
      <c r="D5" s="14" t="n">
        <v>3.36</v>
      </c>
      <c r="E5" s="15" t="n">
        <f aca="false">E4*q3_gm</f>
        <v>4.9137</v>
      </c>
      <c r="F5" s="15" t="n">
        <f aca="false">F4*q4_gm</f>
        <v>5.8554925</v>
      </c>
      <c r="G5" s="15" t="n">
        <f aca="false">SUM(C5:F5)</f>
        <v>15.9001925</v>
      </c>
      <c r="H5" s="7" t="s">
        <v>506</v>
      </c>
      <c r="I5" s="7" t="s">
        <v>503</v>
      </c>
      <c r="J5" s="7" t="s">
        <v>507</v>
      </c>
    </row>
    <row r="6" customFormat="false" ht="17.15" hidden="false" customHeight="false" outlineLevel="0" collapsed="false">
      <c r="A6" s="3" t="s">
        <v>508</v>
      </c>
      <c r="B6" s="16" t="n">
        <f aca="false">B5/B4</f>
        <v>0.0907823662659</v>
      </c>
      <c r="C6" s="16" t="n">
        <f aca="false">C5/C4</f>
        <v>0.158450389192091</v>
      </c>
      <c r="D6" s="16" t="n">
        <f aca="false">D5/D4</f>
        <v>0.247513812154696</v>
      </c>
      <c r="E6" s="16" t="n">
        <f aca="false">E5/E4</f>
        <v>0.3</v>
      </c>
      <c r="F6" s="16" t="n">
        <f aca="false">F5/F4</f>
        <v>0.325</v>
      </c>
      <c r="G6" s="16" t="n">
        <f aca="false">G5/G4</f>
        <v>0.268820913337583</v>
      </c>
      <c r="H6" s="7" t="s">
        <v>29</v>
      </c>
      <c r="I6" s="7" t="s">
        <v>244</v>
      </c>
      <c r="J6" s="7" t="s">
        <v>509</v>
      </c>
    </row>
    <row r="7" customFormat="false" ht="17.15" hidden="false" customHeight="false" outlineLevel="0" collapsed="false">
      <c r="A7" s="3" t="s">
        <v>510</v>
      </c>
      <c r="B7" s="15" t="n">
        <f aca="false">B5-B8</f>
        <v>1.665</v>
      </c>
      <c r="C7" s="15" t="n">
        <f aca="false">C5-C8</f>
        <v>0.419</v>
      </c>
      <c r="D7" s="15" t="n">
        <f aca="false">D5-D8</f>
        <v>0.461</v>
      </c>
      <c r="E7" s="15" t="n">
        <f aca="false">q3_opx</f>
        <v>0.5</v>
      </c>
      <c r="F7" s="15" t="n">
        <f aca="false">q4_opx</f>
        <v>0.52</v>
      </c>
      <c r="G7" s="15" t="n">
        <f aca="false">SUM(C7:F7)</f>
        <v>1.9</v>
      </c>
      <c r="H7" s="7" t="s">
        <v>511</v>
      </c>
      <c r="I7" s="3" t="s">
        <v>512</v>
      </c>
      <c r="J7" s="7" t="s">
        <v>244</v>
      </c>
    </row>
    <row r="8" customFormat="false" ht="17.15" hidden="false" customHeight="false" outlineLevel="0" collapsed="false">
      <c r="A8" s="3" t="s">
        <v>513</v>
      </c>
      <c r="B8" s="14" t="n">
        <v>1.982</v>
      </c>
      <c r="C8" s="14" t="n">
        <v>1.352</v>
      </c>
      <c r="D8" s="14" t="n">
        <v>2.899</v>
      </c>
      <c r="E8" s="15" t="n">
        <f aca="false">E5-E7</f>
        <v>4.4137</v>
      </c>
      <c r="F8" s="15" t="n">
        <f aca="false">F5-F7</f>
        <v>5.3354925</v>
      </c>
      <c r="G8" s="15" t="n">
        <f aca="false">SUM(C8:F8)</f>
        <v>14.0001925</v>
      </c>
      <c r="H8" s="7" t="s">
        <v>514</v>
      </c>
      <c r="I8" s="7" t="s">
        <v>503</v>
      </c>
      <c r="J8" s="7" t="s">
        <v>515</v>
      </c>
    </row>
    <row r="9" customFormat="false" ht="17.15" hidden="false" customHeight="false" outlineLevel="0" collapsed="false">
      <c r="A9" s="3" t="s">
        <v>516</v>
      </c>
      <c r="B9" s="14" t="n">
        <v>0.364</v>
      </c>
      <c r="C9" s="14" t="n">
        <v>0.246</v>
      </c>
      <c r="D9" s="14" t="n">
        <v>0.077</v>
      </c>
      <c r="E9" s="15" t="n">
        <f aca="false">q_nonop</f>
        <v>0.15</v>
      </c>
      <c r="F9" s="15" t="n">
        <f aca="false">q_nonop</f>
        <v>0.15</v>
      </c>
      <c r="G9" s="15" t="n">
        <f aca="false">SUM(C9:F9)</f>
        <v>0.623</v>
      </c>
      <c r="H9" s="7" t="s">
        <v>511</v>
      </c>
      <c r="I9" s="7" t="s">
        <v>503</v>
      </c>
      <c r="J9" s="3" t="s">
        <v>517</v>
      </c>
    </row>
    <row r="10" customFormat="false" ht="15" hidden="false" customHeight="false" outlineLevel="0" collapsed="false">
      <c r="A10" s="3" t="s">
        <v>518</v>
      </c>
      <c r="B10" s="15" t="n">
        <f aca="false">B8+B9</f>
        <v>2.346</v>
      </c>
      <c r="C10" s="15" t="n">
        <f aca="false">C8+C9</f>
        <v>1.598</v>
      </c>
      <c r="D10" s="15" t="n">
        <f aca="false">D8+D9</f>
        <v>2.976</v>
      </c>
      <c r="E10" s="15" t="n">
        <f aca="false">E8+E9</f>
        <v>4.5637</v>
      </c>
      <c r="F10" s="15" t="n">
        <f aca="false">F8+F9</f>
        <v>5.4854925</v>
      </c>
      <c r="G10" s="15" t="n">
        <f aca="false">SUM(C10:F10)</f>
        <v>14.6231925</v>
      </c>
      <c r="H10" s="7" t="s">
        <v>29</v>
      </c>
      <c r="I10" s="7" t="s">
        <v>244</v>
      </c>
    </row>
    <row r="11" customFormat="false" ht="17.15" hidden="false" customHeight="false" outlineLevel="0" collapsed="false">
      <c r="A11" s="3" t="s">
        <v>519</v>
      </c>
      <c r="B11" s="14" t="n">
        <v>1.947</v>
      </c>
      <c r="C11" s="14" t="n">
        <v>1.309</v>
      </c>
      <c r="D11" s="14" t="n">
        <v>2.262</v>
      </c>
      <c r="E11" s="15" t="n">
        <f aca="false">E10*(1-tax)</f>
        <v>3.605323</v>
      </c>
      <c r="F11" s="15" t="n">
        <f aca="false">F10*(1-tax)</f>
        <v>4.333539075</v>
      </c>
      <c r="G11" s="15" t="n">
        <f aca="false">SUM(C11:F11)</f>
        <v>11.509862075</v>
      </c>
      <c r="H11" s="7" t="s">
        <v>514</v>
      </c>
      <c r="I11" s="7" t="s">
        <v>503</v>
      </c>
      <c r="J11" s="7" t="s">
        <v>520</v>
      </c>
    </row>
    <row r="12" customFormat="false" ht="15" hidden="false" customHeight="false" outlineLevel="0" collapsed="false">
      <c r="A12" s="3" t="s">
        <v>521</v>
      </c>
      <c r="B12" s="15" t="n">
        <f aca="false">B10-B11</f>
        <v>0.399</v>
      </c>
      <c r="C12" s="15" t="n">
        <f aca="false">C10-C11</f>
        <v>0.289</v>
      </c>
      <c r="D12" s="15" t="n">
        <f aca="false">D10-D11</f>
        <v>0.714</v>
      </c>
      <c r="E12" s="15" t="n">
        <f aca="false">E10-E11</f>
        <v>0.958377</v>
      </c>
      <c r="F12" s="15" t="n">
        <f aca="false">F10-F11</f>
        <v>1.151953425</v>
      </c>
      <c r="G12" s="15" t="n">
        <f aca="false">SUM(C12:F12)</f>
        <v>3.113330425</v>
      </c>
      <c r="H12" s="7" t="s">
        <v>29</v>
      </c>
      <c r="I12" s="7" t="s">
        <v>244</v>
      </c>
      <c r="J12" s="7" t="s">
        <v>244</v>
      </c>
    </row>
    <row r="13" customFormat="false" ht="17.15" hidden="false" customHeight="false" outlineLevel="0" collapsed="false">
      <c r="A13" s="3" t="s">
        <v>522</v>
      </c>
      <c r="B13" s="15" t="n">
        <f aca="false">B11/B14</f>
        <v>0.646843853820598</v>
      </c>
      <c r="C13" s="15" t="n">
        <f aca="false">C11/C14</f>
        <v>0.644827586206897</v>
      </c>
      <c r="D13" s="15" t="n">
        <f aca="false">D11/D14</f>
        <v>0.646285714285714</v>
      </c>
      <c r="E13" s="15" t="n">
        <f aca="false">q_sh</f>
        <v>0.64617</v>
      </c>
      <c r="F13" s="15" t="n">
        <f aca="false">q_sh</f>
        <v>0.64617</v>
      </c>
      <c r="G13" s="15" t="n">
        <f aca="false">AVERAGE(C13:F13)</f>
        <v>0.645863325123153</v>
      </c>
      <c r="H13" s="7" t="s">
        <v>29</v>
      </c>
      <c r="I13" s="3" t="s">
        <v>523</v>
      </c>
      <c r="J13" s="7" t="s">
        <v>244</v>
      </c>
    </row>
    <row r="14" customFormat="false" ht="17.15" hidden="false" customHeight="false" outlineLevel="0" collapsed="false">
      <c r="A14" s="0" t="s">
        <v>524</v>
      </c>
      <c r="B14" s="17" t="n">
        <v>3.01</v>
      </c>
      <c r="C14" s="17" t="n">
        <v>2.03</v>
      </c>
      <c r="D14" s="17" t="n">
        <v>3.5</v>
      </c>
      <c r="E14" s="18" t="n">
        <f aca="false">E11/E13</f>
        <v>5.57952705944256</v>
      </c>
      <c r="F14" s="18" t="n">
        <f aca="false">F11/F13</f>
        <v>6.70649995357259</v>
      </c>
      <c r="G14" s="18" t="n">
        <f aca="false">G11/G13</f>
        <v>17.820894339844</v>
      </c>
      <c r="H14" s="7" t="s">
        <v>514</v>
      </c>
      <c r="I14" s="7" t="s">
        <v>503</v>
      </c>
      <c r="J14" s="7" t="s">
        <v>525</v>
      </c>
    </row>
    <row r="15" customFormat="false" ht="17.15" hidden="false" customHeight="false" outlineLevel="0" collapsed="false">
      <c r="A15" s="3" t="s">
        <v>526</v>
      </c>
      <c r="B15" s="14" t="n">
        <v>6.894</v>
      </c>
      <c r="G15" s="15" t="n">
        <f aca="false">da26</f>
        <v>7.1</v>
      </c>
      <c r="H15" s="7" t="s">
        <v>527</v>
      </c>
      <c r="I15" s="7" t="s">
        <v>528</v>
      </c>
      <c r="J15" s="7" t="s">
        <v>529</v>
      </c>
    </row>
    <row r="16" customFormat="false" ht="17.15" hidden="false" customHeight="false" outlineLevel="0" collapsed="false">
      <c r="A16" s="3" t="s">
        <v>530</v>
      </c>
      <c r="B16" s="14" t="n">
        <v>2.422</v>
      </c>
      <c r="G16" s="15" t="n">
        <f aca="false">capex26</f>
        <v>4</v>
      </c>
      <c r="H16" s="7" t="s">
        <v>527</v>
      </c>
      <c r="I16" s="7" t="s">
        <v>531</v>
      </c>
      <c r="J16" s="3" t="s">
        <v>532</v>
      </c>
    </row>
    <row r="18" customFormat="false" ht="17.15" hidden="false" customHeight="false" outlineLevel="0" collapsed="false">
      <c r="A18" s="5" t="s">
        <v>533</v>
      </c>
    </row>
    <row r="19" customFormat="false" ht="17.15" hidden="false" customHeight="false" outlineLevel="0" collapsed="false">
      <c r="A19" s="0" t="s">
        <v>534</v>
      </c>
      <c r="G19" s="15" t="n">
        <f aca="false">G4*mx_abf</f>
        <v>34.305782</v>
      </c>
      <c r="H19" s="7" t="s">
        <v>29</v>
      </c>
    </row>
    <row r="20" customFormat="false" ht="17.15" hidden="false" customHeight="false" outlineLevel="0" collapsed="false">
      <c r="A20" s="0" t="s">
        <v>535</v>
      </c>
      <c r="G20" s="15" t="n">
        <f aca="false">G4*mx_bt</f>
        <v>18.927328</v>
      </c>
      <c r="H20" s="7" t="s">
        <v>29</v>
      </c>
    </row>
    <row r="21" customFormat="false" ht="17.15" hidden="false" customHeight="false" outlineLevel="0" collapsed="false">
      <c r="A21" s="0" t="s">
        <v>536</v>
      </c>
      <c r="G21" s="15" t="n">
        <f aca="false">G4*(1-mx_abf-mx_bt)</f>
        <v>5.91479</v>
      </c>
      <c r="H21" s="7" t="s">
        <v>29</v>
      </c>
    </row>
    <row r="23" customFormat="false" ht="15" hidden="false" customHeight="false" outlineLevel="0" collapsed="false">
      <c r="A23" s="1" t="s">
        <v>537</v>
      </c>
    </row>
    <row r="24" customFormat="false" ht="17.15" hidden="false" customHeight="false" outlineLevel="0" collapsed="false">
      <c r="A24" s="0" t="s">
        <v>538</v>
      </c>
      <c r="B24" s="19" t="n">
        <f aca="false">C4+D4-(41.131-q3_rev)</f>
        <v>0</v>
      </c>
    </row>
    <row r="25" customFormat="false" ht="17.15" hidden="false" customHeight="false" outlineLevel="0" collapsed="false">
      <c r="A25" s="0" t="s">
        <v>539</v>
      </c>
      <c r="B25" s="20" t="n">
        <f aca="false">G4/B4-1</f>
        <v>0.472329674159261</v>
      </c>
    </row>
    <row r="26" customFormat="false" ht="17.15" hidden="false" customHeight="false" outlineLevel="0" collapsed="false">
      <c r="A26" s="0" t="s">
        <v>540</v>
      </c>
      <c r="B26" s="20" t="n">
        <f aca="false">((G5+G15)-(B5+B15))/(G4-B4)</f>
        <v>0.656614395859794</v>
      </c>
    </row>
    <row r="27" customFormat="false" ht="17.15" hidden="false" customHeight="false" outlineLevel="0" collapsed="false">
      <c r="A27" s="0" t="s">
        <v>541</v>
      </c>
      <c r="B27" s="20" t="n">
        <f aca="false">G14/17.27-1</f>
        <v>0.0318989195045729</v>
      </c>
    </row>
    <row r="28" customFormat="false" ht="17.15" hidden="false" customHeight="false" outlineLevel="0" collapsed="false">
      <c r="A28" s="0" t="s">
        <v>542</v>
      </c>
      <c r="B28" s="20" t="n">
        <f aca="false">E14/5.62-1</f>
        <v>-0.00720159084651917</v>
      </c>
    </row>
    <row r="29" customFormat="false" ht="17.15" hidden="false" customHeight="false" outlineLevel="0" collapsed="false">
      <c r="A29" s="0" t="s">
        <v>543</v>
      </c>
      <c r="B29" s="18" t="n">
        <f aca="false">F4*4/G4</f>
        <v>1.21843040919458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6" min="3" style="0" width="13"/>
    <col collapsed="false" customWidth="true" hidden="false" outlineLevel="0" max="7" min="7" style="0" width="66"/>
  </cols>
  <sheetData>
    <row r="1" customFormat="false" ht="17.15" hidden="false" customHeight="false" outlineLevel="0" collapsed="false">
      <c r="A1" s="0" t="s">
        <v>544</v>
      </c>
    </row>
    <row r="3" customFormat="false" ht="15" hidden="false" customHeight="false" outlineLevel="0" collapsed="false">
      <c r="A3" s="4" t="s">
        <v>17</v>
      </c>
      <c r="B3" s="4" t="s">
        <v>18</v>
      </c>
      <c r="C3" s="13" t="s">
        <v>545</v>
      </c>
      <c r="D3" s="13" t="s">
        <v>546</v>
      </c>
      <c r="E3" s="13" t="s">
        <v>547</v>
      </c>
      <c r="F3" s="13" t="s">
        <v>548</v>
      </c>
      <c r="G3" s="4" t="s">
        <v>549</v>
      </c>
    </row>
    <row r="4" customFormat="false" ht="17.15" hidden="false" customHeight="false" outlineLevel="0" collapsed="false">
      <c r="A4" s="0" t="s">
        <v>550</v>
      </c>
      <c r="B4" s="3" t="s">
        <v>28</v>
      </c>
      <c r="C4" s="21" t="n">
        <f aca="false">PL!D63</f>
        <v>7.6</v>
      </c>
      <c r="D4" s="21" t="n">
        <f aca="false">PL!E63</f>
        <v>9.7</v>
      </c>
      <c r="E4" s="21" t="n">
        <f aca="false">PL!F63</f>
        <v>9.5</v>
      </c>
      <c r="F4" s="21" t="n">
        <f aca="false">PL!G63</f>
        <v>10.6</v>
      </c>
      <c r="G4" s="7" t="s">
        <v>551</v>
      </c>
    </row>
    <row r="5" customFormat="false" ht="17.15" hidden="false" customHeight="false" outlineLevel="0" collapsed="false">
      <c r="A5" s="3" t="s">
        <v>552</v>
      </c>
      <c r="B5" s="3" t="s">
        <v>28</v>
      </c>
      <c r="C5" s="21" t="n">
        <f aca="false">PL!D64</f>
        <v>7.6</v>
      </c>
      <c r="D5" s="21" t="n">
        <f aca="false">PL!E64</f>
        <v>14</v>
      </c>
      <c r="E5" s="21" t="n">
        <f aca="false">PL!F64</f>
        <v>17</v>
      </c>
      <c r="F5" s="21" t="n">
        <f aca="false">PL!G64</f>
        <v>19.55</v>
      </c>
    </row>
    <row r="6" customFormat="false" ht="17.15" hidden="false" customHeight="false" outlineLevel="0" collapsed="false">
      <c r="A6" s="3" t="s">
        <v>553</v>
      </c>
      <c r="B6" s="0" t="s">
        <v>172</v>
      </c>
      <c r="C6" s="22" t="n">
        <f aca="false">PL!D68</f>
        <v>215.308596</v>
      </c>
      <c r="D6" s="22" t="n">
        <f aca="false">PL!E68</f>
        <v>254.06414328</v>
      </c>
      <c r="E6" s="22" t="n">
        <f aca="false">PL!F68</f>
        <v>284.80590461688</v>
      </c>
      <c r="F6" s="22" t="n">
        <f aca="false">PL!G68</f>
        <v>318.383021792765</v>
      </c>
      <c r="G6" s="7" t="s">
        <v>554</v>
      </c>
    </row>
    <row r="7" customFormat="false" ht="17.15" hidden="false" customHeight="false" outlineLevel="0" collapsed="false">
      <c r="A7" s="3" t="s">
        <v>555</v>
      </c>
      <c r="B7" s="0" t="s">
        <v>40</v>
      </c>
      <c r="C7" s="20" t="n">
        <f aca="false">PL!D69</f>
        <v>0.02</v>
      </c>
      <c r="D7" s="20" t="n">
        <f aca="false">PL!E69</f>
        <v>0.03</v>
      </c>
      <c r="E7" s="20" t="n">
        <f aca="false">PL!F69</f>
        <v>0.04</v>
      </c>
      <c r="F7" s="20" t="n">
        <f aca="false">PL!G69</f>
        <v>0.04</v>
      </c>
      <c r="G7" s="7" t="s">
        <v>151</v>
      </c>
    </row>
    <row r="8" customFormat="false" ht="17.15" hidden="false" customHeight="false" outlineLevel="0" collapsed="false">
      <c r="A8" s="0" t="s">
        <v>556</v>
      </c>
      <c r="B8" s="0" t="s">
        <v>40</v>
      </c>
      <c r="C8" s="20" t="n">
        <f aca="false">ib_sh26*1</f>
        <v>0.7</v>
      </c>
      <c r="D8" s="20" t="n">
        <f aca="false">ib_sh26*ibrel_27</f>
        <v>0.665</v>
      </c>
      <c r="E8" s="20" t="n">
        <f aca="false">ib_sh26*ibrel_28</f>
        <v>0.616</v>
      </c>
      <c r="F8" s="20" t="n">
        <f aca="false">ib_sh26*ibrel_29</f>
        <v>0.595</v>
      </c>
      <c r="G8" s="7" t="s">
        <v>557</v>
      </c>
    </row>
    <row r="9" customFormat="false" ht="17.15" hidden="false" customHeight="false" outlineLevel="0" collapsed="false">
      <c r="A9" s="3" t="s">
        <v>558</v>
      </c>
      <c r="B9" s="0" t="s">
        <v>40</v>
      </c>
      <c r="C9" s="20" t="n">
        <f aca="false">un_nv_26</f>
        <v>0.25</v>
      </c>
      <c r="D9" s="20" t="n">
        <f aca="false">un_nv_27</f>
        <v>0.27</v>
      </c>
      <c r="E9" s="20" t="n">
        <f aca="false">un_nv_28</f>
        <v>0.29</v>
      </c>
      <c r="F9" s="20" t="n">
        <f aca="false">un_nv_29</f>
        <v>0.3</v>
      </c>
      <c r="G9" s="3" t="s">
        <v>559</v>
      </c>
    </row>
    <row r="10" customFormat="false" ht="17.15" hidden="false" customHeight="false" outlineLevel="0" collapsed="false">
      <c r="A10" s="3" t="s">
        <v>560</v>
      </c>
      <c r="B10" s="0" t="s">
        <v>40</v>
      </c>
      <c r="C10" s="20" t="n">
        <f aca="false">C7+C8+C9</f>
        <v>0.97</v>
      </c>
      <c r="D10" s="20" t="n">
        <f aca="false">D7+D8+D9</f>
        <v>0.965</v>
      </c>
      <c r="E10" s="20" t="n">
        <f aca="false">E7+E8+E9</f>
        <v>0.946</v>
      </c>
      <c r="F10" s="20" t="n">
        <f aca="false">F7+F8+F9</f>
        <v>0.935</v>
      </c>
      <c r="G10" s="3" t="s">
        <v>561</v>
      </c>
    </row>
    <row r="11" customFormat="false" ht="17.15" hidden="false" customHeight="false" outlineLevel="0" collapsed="false">
      <c r="A11" s="3" t="s">
        <v>562</v>
      </c>
      <c r="B11" s="0" t="s">
        <v>40</v>
      </c>
      <c r="C11" s="20" t="n">
        <f aca="false">PL!D70</f>
        <v>0.05</v>
      </c>
      <c r="D11" s="20" t="n">
        <f aca="false">PL!E70</f>
        <v>0.06</v>
      </c>
      <c r="E11" s="20" t="n">
        <f aca="false">PL!F70</f>
        <v>0.07</v>
      </c>
      <c r="F11" s="20" t="n">
        <f aca="false">PL!G70</f>
        <v>0.07</v>
      </c>
      <c r="G11" s="7" t="s">
        <v>151</v>
      </c>
    </row>
    <row r="12" customFormat="false" ht="17.15" hidden="false" customHeight="false" outlineLevel="0" collapsed="false">
      <c r="A12" s="0" t="s">
        <v>563</v>
      </c>
      <c r="B12" s="0" t="s">
        <v>40</v>
      </c>
      <c r="C12" s="20" t="n">
        <f aca="false">ib_w_ot*1/v_ot</f>
        <v>0.5</v>
      </c>
      <c r="D12" s="20" t="n">
        <f aca="false">ib_w_ot*ibrel_27/v_ot</f>
        <v>0.475</v>
      </c>
      <c r="E12" s="20" t="n">
        <f aca="false">ib_w_ot*ibrel_28/v_ot</f>
        <v>0.44</v>
      </c>
      <c r="F12" s="20" t="n">
        <f aca="false">ib_w_ot*ibrel_29/v_ot</f>
        <v>0.425</v>
      </c>
      <c r="G12" s="3" t="s">
        <v>564</v>
      </c>
    </row>
    <row r="13" customFormat="false" ht="17.15" hidden="false" customHeight="false" outlineLevel="0" collapsed="false">
      <c r="A13" s="3" t="s">
        <v>565</v>
      </c>
      <c r="B13" s="0" t="s">
        <v>40</v>
      </c>
      <c r="C13" s="20" t="n">
        <f aca="false">un_ot_26</f>
        <v>0.3</v>
      </c>
      <c r="D13" s="20" t="n">
        <f aca="false">un_ot_27</f>
        <v>0.31</v>
      </c>
      <c r="E13" s="20" t="n">
        <f aca="false">un_ot_28</f>
        <v>0.32</v>
      </c>
      <c r="F13" s="20" t="n">
        <f aca="false">un_ot_29</f>
        <v>0.33</v>
      </c>
      <c r="G13" s="3" t="s">
        <v>559</v>
      </c>
    </row>
    <row r="14" customFormat="false" ht="17.15" hidden="false" customHeight="false" outlineLevel="0" collapsed="false">
      <c r="A14" s="3" t="s">
        <v>566</v>
      </c>
      <c r="B14" s="0" t="s">
        <v>40</v>
      </c>
      <c r="C14" s="20" t="n">
        <f aca="false">C11+C12+C13</f>
        <v>0.85</v>
      </c>
      <c r="D14" s="20" t="n">
        <f aca="false">D11+D12+D13</f>
        <v>0.845</v>
      </c>
      <c r="E14" s="20" t="n">
        <f aca="false">E11+E12+E13</f>
        <v>0.83</v>
      </c>
      <c r="F14" s="20" t="n">
        <f aca="false">F11+F12+F13</f>
        <v>0.825</v>
      </c>
      <c r="G14" s="3" t="s">
        <v>567</v>
      </c>
    </row>
    <row r="15" customFormat="false" ht="17.15" hidden="false" customHeight="false" outlineLevel="0" collapsed="false">
      <c r="A15" s="3" t="s">
        <v>568</v>
      </c>
      <c r="B15" s="0" t="s">
        <v>172</v>
      </c>
      <c r="C15" s="23" t="n">
        <f aca="false">PL!D68*PL!D69*PL!D67</f>
        <v>4.30617192</v>
      </c>
      <c r="D15" s="23" t="n">
        <f aca="false">PL!E68*PL!E69*PL!E67</f>
        <v>8.76521294316</v>
      </c>
      <c r="E15" s="23" t="n">
        <f aca="false">PL!F68*PL!F69*PL!F67</f>
        <v>13.1010716123765</v>
      </c>
      <c r="F15" s="23" t="n">
        <f aca="false">PL!G68*PL!G69*PL!G67</f>
        <v>14.6456190024672</v>
      </c>
      <c r="G15" s="7" t="s">
        <v>569</v>
      </c>
    </row>
    <row r="16" customFormat="false" ht="15" hidden="false" customHeight="false" outlineLevel="0" collapsed="false">
      <c r="A16" s="3" t="s">
        <v>570</v>
      </c>
      <c r="B16" s="0" t="s">
        <v>571</v>
      </c>
      <c r="C16" s="22" t="n">
        <f aca="false">PL!D71</f>
        <v>98.180719776</v>
      </c>
      <c r="D16" s="22" t="n">
        <f aca="false">PL!E71</f>
        <v>281.363335475436</v>
      </c>
      <c r="E16" s="22" t="n">
        <f aca="false">PL!F71</f>
        <v>436.265684692137</v>
      </c>
      <c r="F16" s="22" t="n">
        <f aca="false">PL!G71</f>
        <v>556.094153523679</v>
      </c>
    </row>
    <row r="17" customFormat="false" ht="17.15" hidden="false" customHeight="false" outlineLevel="0" collapsed="false">
      <c r="A17" s="3" t="s">
        <v>572</v>
      </c>
      <c r="B17" s="0" t="s">
        <v>329</v>
      </c>
      <c r="C17" s="23" t="n">
        <f aca="false">PL!D81</f>
        <v>22.2987583</v>
      </c>
      <c r="D17" s="23" t="n">
        <f aca="false">PL!E81</f>
        <v>37.9425770258123</v>
      </c>
      <c r="E17" s="23" t="n">
        <f aca="false">PL!F81</f>
        <v>43.6003286502309</v>
      </c>
      <c r="F17" s="23" t="n">
        <f aca="false">PL!G81</f>
        <v>49.818301278457</v>
      </c>
    </row>
    <row r="18" customFormat="false" ht="17.15" hidden="false" customHeight="false" outlineLevel="0" collapsed="false">
      <c r="A18" s="3" t="s">
        <v>573</v>
      </c>
      <c r="B18" s="0" t="s">
        <v>40</v>
      </c>
      <c r="C18" s="24" t="n">
        <f aca="false">PL!D81/fx/itc_26</f>
        <v>0.000877528336606279</v>
      </c>
      <c r="D18" s="24" t="n">
        <f aca="false">PL!E81/fx/itc_27</f>
        <v>0.000745816532076872</v>
      </c>
      <c r="E18" s="24" t="n">
        <f aca="false">PL!F81/fx/itc_28</f>
        <v>0.000676093830747721</v>
      </c>
      <c r="F18" s="24" t="n">
        <f aca="false">PL!G81/fx/itc_29</f>
        <v>0.000678144311465936</v>
      </c>
      <c r="G18" s="7" t="s">
        <v>574</v>
      </c>
    </row>
    <row r="19" customFormat="false" ht="17.15" hidden="false" customHeight="false" outlineLevel="0" collapsed="false">
      <c r="A19" s="3" t="s">
        <v>575</v>
      </c>
      <c r="B19" s="0" t="s">
        <v>571</v>
      </c>
      <c r="C19" s="22" t="n">
        <f aca="false">PL!D81/fx/itc_26*37.59*1000</f>
        <v>32.98629017303</v>
      </c>
      <c r="D19" s="22" t="n">
        <f aca="false">PL!E81/fx/itc_27*37.59*1000</f>
        <v>28.0352434407696</v>
      </c>
      <c r="E19" s="22" t="n">
        <f aca="false">PL!F81/fx/itc_28*37.59*1000</f>
        <v>25.4143670978068</v>
      </c>
      <c r="F19" s="22" t="n">
        <f aca="false">PL!G81/fx/itc_29*37.59*1000</f>
        <v>25.4914446680045</v>
      </c>
      <c r="G19" s="7" t="s">
        <v>576</v>
      </c>
    </row>
    <row r="21" customFormat="false" ht="17.15" hidden="false" customHeight="false" outlineLevel="0" collapsed="false">
      <c r="A21" s="1" t="s">
        <v>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578</v>
      </c>
    </row>
    <row r="2" customFormat="false" ht="17.15" hidden="false" customHeight="false" outlineLevel="0" collapsed="false">
      <c r="A2" s="3" t="s">
        <v>579</v>
      </c>
    </row>
    <row r="3" customFormat="false" ht="17.15" hidden="false" customHeight="false" outlineLevel="0" collapsed="false">
      <c r="A3" s="4" t="s">
        <v>580</v>
      </c>
      <c r="B3" s="4" t="s">
        <v>18</v>
      </c>
      <c r="C3" s="13" t="s">
        <v>494</v>
      </c>
      <c r="D3" s="13" t="s">
        <v>581</v>
      </c>
      <c r="E3" s="13" t="s">
        <v>582</v>
      </c>
      <c r="F3" s="13" t="s">
        <v>583</v>
      </c>
      <c r="G3" s="13" t="s">
        <v>584</v>
      </c>
      <c r="H3" s="13" t="s">
        <v>585</v>
      </c>
      <c r="I3" s="13" t="s">
        <v>586</v>
      </c>
      <c r="J3" s="13" t="s">
        <v>587</v>
      </c>
      <c r="K3" s="4" t="s">
        <v>549</v>
      </c>
    </row>
    <row r="4" customFormat="false" ht="17.15" hidden="false" customHeight="false" outlineLevel="0" collapsed="false">
      <c r="A4" s="1" t="s">
        <v>588</v>
      </c>
    </row>
    <row r="5" customFormat="false" ht="15" hidden="false" customHeight="false" outlineLevel="0" collapsed="false">
      <c r="A5" s="3" t="s">
        <v>501</v>
      </c>
      <c r="B5" s="0" t="s">
        <v>329</v>
      </c>
      <c r="C5" s="23" t="n">
        <f aca="false">C86</f>
        <v>40.173</v>
      </c>
      <c r="D5" s="23" t="n">
        <f aca="false">D86</f>
        <v>59.1479</v>
      </c>
      <c r="E5" s="23" t="n">
        <f aca="false">E86</f>
        <v>80.229394518</v>
      </c>
      <c r="F5" s="23" t="n">
        <f aca="false">F86</f>
        <v>88.7637751405431</v>
      </c>
      <c r="G5" s="23" t="n">
        <f aca="false">G86</f>
        <v>97.2728732570869</v>
      </c>
      <c r="H5" s="25" t="n">
        <f aca="false">H86</f>
        <v>105.434863846709</v>
      </c>
      <c r="I5" s="25" t="n">
        <f aca="false">I86</f>
        <v>113.021333979572</v>
      </c>
      <c r="J5" s="25" t="n">
        <f aca="false">J86</f>
        <v>119.802614018346</v>
      </c>
    </row>
    <row r="6" customFormat="false" ht="15" hidden="false" customHeight="false" outlineLevel="0" collapsed="false">
      <c r="A6" s="3" t="s">
        <v>589</v>
      </c>
      <c r="B6" s="0" t="s">
        <v>40</v>
      </c>
      <c r="D6" s="20" t="n">
        <f aca="false">D87</f>
        <v>0.472329674159261</v>
      </c>
      <c r="E6" s="20" t="n">
        <f aca="false">E87</f>
        <v>0.35642</v>
      </c>
      <c r="F6" s="20" t="n">
        <f aca="false">F87</f>
        <v>0.106374735517023</v>
      </c>
      <c r="G6" s="20" t="n">
        <f aca="false">G87</f>
        <v>0.0958622828183122</v>
      </c>
      <c r="H6" s="26" t="n">
        <f aca="false">H87</f>
        <v>0.0839081885455415</v>
      </c>
      <c r="I6" s="26" t="n">
        <f aca="false">I87</f>
        <v>0.0719540942727707</v>
      </c>
      <c r="J6" s="26" t="n">
        <f aca="false">J87</f>
        <v>0.06</v>
      </c>
    </row>
    <row r="7" customFormat="false" ht="17.15" hidden="false" customHeight="false" outlineLevel="0" collapsed="false">
      <c r="A7" s="0" t="s">
        <v>590</v>
      </c>
      <c r="B7" s="0" t="s">
        <v>329</v>
      </c>
      <c r="D7" s="23" t="n">
        <f aca="false">D79</f>
        <v>34.305782</v>
      </c>
      <c r="E7" s="23" t="n">
        <f aca="false">E79</f>
        <v>49.709078118</v>
      </c>
      <c r="F7" s="23" t="n">
        <f aca="false">F79</f>
        <v>55.7829061005431</v>
      </c>
      <c r="G7" s="23" t="n">
        <f aca="false">G79</f>
        <v>62.9387002650869</v>
      </c>
    </row>
    <row r="8" customFormat="false" ht="17.15" hidden="false" customHeight="false" outlineLevel="0" collapsed="false">
      <c r="A8" s="0" t="s">
        <v>591</v>
      </c>
      <c r="B8" s="0" t="s">
        <v>329</v>
      </c>
      <c r="D8" s="23" t="n">
        <f aca="false">D81</f>
        <v>22.2987583</v>
      </c>
      <c r="E8" s="23" t="n">
        <f aca="false">E81</f>
        <v>37.9425770258123</v>
      </c>
      <c r="F8" s="23" t="n">
        <f aca="false">F81</f>
        <v>43.6003286502309</v>
      </c>
      <c r="G8" s="23" t="n">
        <f aca="false">G81</f>
        <v>49.818301278457</v>
      </c>
    </row>
    <row r="9" customFormat="false" ht="17.15" hidden="false" customHeight="false" outlineLevel="0" collapsed="false">
      <c r="A9" s="0" t="s">
        <v>592</v>
      </c>
      <c r="B9" s="0" t="s">
        <v>40</v>
      </c>
      <c r="D9" s="20" t="n">
        <f aca="false">D80</f>
        <v>1</v>
      </c>
      <c r="E9" s="20" t="n">
        <f aca="false">E80</f>
        <v>0.951425411789885</v>
      </c>
      <c r="F9" s="20" t="n">
        <f aca="false">F80</f>
        <v>0.956377529876066</v>
      </c>
      <c r="G9" s="20" t="n">
        <f aca="false">G80</f>
        <v>1</v>
      </c>
    </row>
    <row r="10" customFormat="false" ht="15" hidden="false" customHeight="false" outlineLevel="0" collapsed="false">
      <c r="A10" s="3" t="s">
        <v>508</v>
      </c>
      <c r="B10" s="0" t="s">
        <v>40</v>
      </c>
      <c r="C10" s="16" t="n">
        <f aca="false">C96</f>
        <v>0.0907823662659</v>
      </c>
      <c r="D10" s="16" t="n">
        <f aca="false">D96</f>
        <v>0.268820913337583</v>
      </c>
      <c r="E10" s="16" t="n">
        <f aca="false">E96</f>
        <v>0.358162192107044</v>
      </c>
      <c r="F10" s="16" t="n">
        <f aca="false">F96</f>
        <v>0.351681729628383</v>
      </c>
      <c r="G10" s="16" t="n">
        <f aca="false">G96</f>
        <v>0.339614767592466</v>
      </c>
    </row>
    <row r="11" customFormat="false" ht="15" hidden="false" customHeight="false" outlineLevel="0" collapsed="false">
      <c r="A11" s="3" t="s">
        <v>593</v>
      </c>
      <c r="B11" s="0" t="s">
        <v>329</v>
      </c>
      <c r="C11" s="23" t="n">
        <f aca="false">C92</f>
        <v>6.894</v>
      </c>
      <c r="D11" s="23" t="n">
        <f aca="false">D92</f>
        <v>7.1</v>
      </c>
      <c r="E11" s="23" t="n">
        <f aca="false">E92</f>
        <v>6.7125</v>
      </c>
      <c r="F11" s="23" t="n">
        <f aca="false">F92</f>
        <v>7.6234375</v>
      </c>
      <c r="G11" s="23" t="n">
        <f aca="false">G92</f>
        <v>8.9205078125</v>
      </c>
      <c r="H11" s="25" t="n">
        <f aca="false">H92</f>
        <v>9.66901146395322</v>
      </c>
      <c r="I11" s="25" t="n">
        <f aca="false">I92</f>
        <v>10.364736426355</v>
      </c>
      <c r="J11" s="25" t="n">
        <f aca="false">J92</f>
        <v>10.9866206119363</v>
      </c>
    </row>
    <row r="12" customFormat="false" ht="15" hidden="false" customHeight="false" outlineLevel="0" collapsed="false">
      <c r="A12" s="3" t="s">
        <v>594</v>
      </c>
      <c r="B12" s="0" t="s">
        <v>40</v>
      </c>
      <c r="C12" s="16" t="n">
        <f aca="false">C99</f>
        <v>0.0493366191222961</v>
      </c>
      <c r="D12" s="16" t="n">
        <f aca="false">D99</f>
        <v>0.236698048451424</v>
      </c>
      <c r="E12" s="16" t="n">
        <f aca="false">E99</f>
        <v>0.329415635887147</v>
      </c>
      <c r="F12" s="16" t="n">
        <f aca="false">F99</f>
        <v>0.324040732751717</v>
      </c>
      <c r="G12" s="16" t="n">
        <f aca="false">G99</f>
        <v>0.312940946647126</v>
      </c>
    </row>
    <row r="13" customFormat="false" ht="15" hidden="false" customHeight="false" outlineLevel="0" collapsed="false">
      <c r="A13" s="3" t="s">
        <v>519</v>
      </c>
      <c r="B13" s="0" t="s">
        <v>329</v>
      </c>
      <c r="C13" s="23" t="n">
        <f aca="false">C103</f>
        <v>1.947</v>
      </c>
      <c r="D13" s="23" t="n">
        <f aca="false">D103</f>
        <v>11.509862075</v>
      </c>
      <c r="E13" s="23" t="n">
        <f aca="false">E103</f>
        <v>21.3527654394703</v>
      </c>
      <c r="F13" s="23" t="n">
        <f aca="false">F103</f>
        <v>23.1968322032967</v>
      </c>
      <c r="G13" s="23" t="n">
        <f aca="false">G103</f>
        <v>24.5221253817253</v>
      </c>
      <c r="H13" s="25" t="n">
        <f aca="false">H103</f>
        <v>26.5797325017926</v>
      </c>
      <c r="I13" s="25" t="n">
        <f aca="false">I103</f>
        <v>28.4922530799716</v>
      </c>
      <c r="J13" s="25" t="n">
        <f aca="false">J103</f>
        <v>30.2017882647699</v>
      </c>
    </row>
    <row r="14" customFormat="false" ht="15" hidden="false" customHeight="false" outlineLevel="0" collapsed="false">
      <c r="A14" s="3" t="s">
        <v>595</v>
      </c>
      <c r="B14" s="0" t="s">
        <v>40</v>
      </c>
      <c r="C14" s="16" t="n">
        <f aca="false">C107</f>
        <v>0.0484653872003585</v>
      </c>
      <c r="D14" s="16" t="n">
        <f aca="false">D107</f>
        <v>0.194594602259759</v>
      </c>
      <c r="E14" s="16" t="n">
        <f aca="false">E107</f>
        <v>0.266146411396383</v>
      </c>
      <c r="F14" s="16" t="n">
        <f aca="false">F107</f>
        <v>0.261332195105135</v>
      </c>
      <c r="G14" s="16" t="n">
        <f aca="false">G107</f>
        <v>0.252096237734386</v>
      </c>
      <c r="H14" s="27" t="n">
        <f aca="false">H107</f>
        <v>0.252096237734386</v>
      </c>
      <c r="I14" s="27" t="n">
        <f aca="false">I107</f>
        <v>0.252096237734386</v>
      </c>
      <c r="J14" s="27" t="n">
        <f aca="false">J107</f>
        <v>0.252096237734386</v>
      </c>
    </row>
    <row r="15" customFormat="false" ht="15" hidden="false" customHeight="false" outlineLevel="0" collapsed="false">
      <c r="A15" s="0" t="s">
        <v>596</v>
      </c>
      <c r="B15" s="0" t="s">
        <v>402</v>
      </c>
      <c r="C15" s="18" t="n">
        <f aca="false">C105</f>
        <v>3.01</v>
      </c>
      <c r="D15" s="18" t="n">
        <f aca="false">D105</f>
        <v>17.820894339844</v>
      </c>
      <c r="E15" s="18" t="n">
        <f aca="false">E105</f>
        <v>33.0451203854564</v>
      </c>
      <c r="F15" s="18" t="n">
        <f aca="false">F105</f>
        <v>35.8989618881977</v>
      </c>
      <c r="G15" s="18" t="n">
        <f aca="false">G105</f>
        <v>37.9499595798712</v>
      </c>
      <c r="H15" s="28" t="n">
        <f aca="false">H105</f>
        <v>41.1342719435947</v>
      </c>
      <c r="I15" s="28" t="n">
        <f aca="false">I105</f>
        <v>44.0940512248659</v>
      </c>
      <c r="J15" s="28" t="n">
        <f aca="false">J105</f>
        <v>46.7396942983578</v>
      </c>
    </row>
    <row r="16" customFormat="false" ht="17.15" hidden="false" customHeight="false" outlineLevel="0" collapsed="false">
      <c r="A16" s="0" t="s">
        <v>597</v>
      </c>
      <c r="B16" s="0" t="s">
        <v>40</v>
      </c>
      <c r="D16" s="20" t="n">
        <f aca="false">D106</f>
        <v>4.92056290360265</v>
      </c>
      <c r="E16" s="20" t="n">
        <f aca="false">E106</f>
        <v>0.85429079794127</v>
      </c>
      <c r="F16" s="20" t="n">
        <f aca="false">F106</f>
        <v>0.0863619641705826</v>
      </c>
      <c r="G16" s="20" t="n">
        <f aca="false">G106</f>
        <v>0.0571325070084472</v>
      </c>
      <c r="H16" s="26" t="n">
        <f aca="false">H106</f>
        <v>0.0839081885455415</v>
      </c>
      <c r="I16" s="26" t="n">
        <f aca="false">I106</f>
        <v>0.0719540942727708</v>
      </c>
      <c r="J16" s="26" t="n">
        <f aca="false">J106</f>
        <v>0.0600000000000001</v>
      </c>
    </row>
    <row r="18" customFormat="false" ht="17.15" hidden="false" customHeight="false" outlineLevel="0" collapsed="false">
      <c r="A18" s="1" t="s">
        <v>598</v>
      </c>
    </row>
    <row r="19" customFormat="false" ht="15" hidden="false" customHeight="false" outlineLevel="0" collapsed="false">
      <c r="A19" s="3" t="s">
        <v>501</v>
      </c>
      <c r="B19" s="0" t="s">
        <v>329</v>
      </c>
      <c r="C19" s="23" t="n">
        <f aca="false">C139</f>
        <v>40.173</v>
      </c>
      <c r="D19" s="23" t="n">
        <f aca="false">D139</f>
        <v>59.1479</v>
      </c>
      <c r="E19" s="23" t="n">
        <f aca="false">E139</f>
        <v>79.283028118</v>
      </c>
      <c r="F19" s="23" t="n">
        <f aca="false">F139</f>
        <v>79.9663874161419</v>
      </c>
      <c r="G19" s="23" t="n">
        <f aca="false">G139</f>
        <v>86.9681266133184</v>
      </c>
      <c r="H19" s="25" t="n">
        <f aca="false">H139</f>
        <v>93.2042357528009</v>
      </c>
      <c r="I19" s="25" t="n">
        <f aca="false">I139</f>
        <v>98.4099572780922</v>
      </c>
      <c r="J19" s="25" t="n">
        <f aca="false">J139</f>
        <v>102.346355569216</v>
      </c>
    </row>
    <row r="20" customFormat="false" ht="15" hidden="false" customHeight="false" outlineLevel="0" collapsed="false">
      <c r="A20" s="3" t="s">
        <v>589</v>
      </c>
      <c r="B20" s="0" t="s">
        <v>40</v>
      </c>
      <c r="D20" s="20" t="n">
        <f aca="false">D140</f>
        <v>0.472329674159261</v>
      </c>
      <c r="E20" s="20" t="n">
        <f aca="false">E140</f>
        <v>0.34042</v>
      </c>
      <c r="F20" s="20" t="n">
        <f aca="false">F140</f>
        <v>0.00861923811896848</v>
      </c>
      <c r="G20" s="20" t="n">
        <f aca="false">G140</f>
        <v>0.0875585283194009</v>
      </c>
      <c r="H20" s="26" t="n">
        <f aca="false">H140</f>
        <v>0.0717056855462673</v>
      </c>
      <c r="I20" s="26" t="n">
        <f aca="false">I140</f>
        <v>0.0558528427731336</v>
      </c>
      <c r="J20" s="26" t="n">
        <f aca="false">J140</f>
        <v>0.04</v>
      </c>
    </row>
    <row r="21" customFormat="false" ht="17.15" hidden="false" customHeight="false" outlineLevel="0" collapsed="false">
      <c r="A21" s="0" t="s">
        <v>590</v>
      </c>
      <c r="B21" s="0" t="s">
        <v>329</v>
      </c>
      <c r="D21" s="23" t="n">
        <f aca="false">D132</f>
        <v>34.305782</v>
      </c>
      <c r="E21" s="23" t="n">
        <f aca="false">E132</f>
        <v>49.709078118</v>
      </c>
      <c r="F21" s="23" t="n">
        <f aca="false">F132</f>
        <v>49.2094794161419</v>
      </c>
      <c r="G21" s="23" t="n">
        <f aca="false">G132</f>
        <v>55.4659550733184</v>
      </c>
    </row>
    <row r="22" customFormat="false" ht="17.15" hidden="false" customHeight="false" outlineLevel="0" collapsed="false">
      <c r="A22" s="0" t="s">
        <v>591</v>
      </c>
      <c r="B22" s="0" t="s">
        <v>329</v>
      </c>
      <c r="D22" s="23" t="n">
        <f aca="false">D134</f>
        <v>22.2987583</v>
      </c>
      <c r="E22" s="23" t="n">
        <f aca="false">E134</f>
        <v>37.9425770258123</v>
      </c>
      <c r="F22" s="23" t="n">
        <f aca="false">F134</f>
        <v>36.4712279728119</v>
      </c>
      <c r="G22" s="23" t="n">
        <f aca="false">G134</f>
        <v>42.3455560866885</v>
      </c>
    </row>
    <row r="23" customFormat="false" ht="17.15" hidden="false" customHeight="false" outlineLevel="0" collapsed="false">
      <c r="A23" s="0" t="s">
        <v>592</v>
      </c>
      <c r="B23" s="0" t="s">
        <v>40</v>
      </c>
      <c r="D23" s="20" t="n">
        <f aca="false">D133</f>
        <v>1</v>
      </c>
      <c r="E23" s="20" t="n">
        <f aca="false">E133</f>
        <v>0.951425411789885</v>
      </c>
      <c r="F23" s="20" t="n">
        <f aca="false">F133</f>
        <v>1</v>
      </c>
      <c r="G23" s="20" t="n">
        <f aca="false">G133</f>
        <v>1</v>
      </c>
    </row>
    <row r="24" customFormat="false" ht="15" hidden="false" customHeight="false" outlineLevel="0" collapsed="false">
      <c r="A24" s="3" t="s">
        <v>508</v>
      </c>
      <c r="B24" s="0" t="s">
        <v>40</v>
      </c>
      <c r="C24" s="16" t="n">
        <f aca="false">C149</f>
        <v>0.0907823662659</v>
      </c>
      <c r="D24" s="16" t="n">
        <f aca="false">D149</f>
        <v>0.268820913337583</v>
      </c>
      <c r="E24" s="16" t="n">
        <f aca="false">E149</f>
        <v>0.357662792720071</v>
      </c>
      <c r="F24" s="16" t="n">
        <f aca="false">F149</f>
        <v>0.334371690935215</v>
      </c>
      <c r="G24" s="16" t="n">
        <f aca="false">G149</f>
        <v>0.322414445330442</v>
      </c>
    </row>
    <row r="25" customFormat="false" ht="15" hidden="false" customHeight="false" outlineLevel="0" collapsed="false">
      <c r="A25" s="3" t="s">
        <v>593</v>
      </c>
      <c r="B25" s="0" t="s">
        <v>329</v>
      </c>
      <c r="C25" s="23" t="n">
        <f aca="false">C145</f>
        <v>6.894</v>
      </c>
      <c r="D25" s="23" t="n">
        <f aca="false">D145</f>
        <v>7.1</v>
      </c>
      <c r="E25" s="23" t="n">
        <f aca="false">E145</f>
        <v>6.7125</v>
      </c>
      <c r="F25" s="23" t="n">
        <f aca="false">F145</f>
        <v>7.6234375</v>
      </c>
      <c r="G25" s="23" t="n">
        <f aca="false">G145</f>
        <v>8.9205078125</v>
      </c>
      <c r="H25" s="25" t="n">
        <f aca="false">H145</f>
        <v>9.56015894061614</v>
      </c>
      <c r="I25" s="25" t="n">
        <f aca="false">I145</f>
        <v>10.0941209948125</v>
      </c>
      <c r="J25" s="25" t="n">
        <f aca="false">J145</f>
        <v>10.497885834605</v>
      </c>
    </row>
    <row r="26" customFormat="false" ht="15" hidden="false" customHeight="false" outlineLevel="0" collapsed="false">
      <c r="A26" s="3" t="s">
        <v>594</v>
      </c>
      <c r="B26" s="0" t="s">
        <v>40</v>
      </c>
      <c r="C26" s="16" t="n">
        <f aca="false">C152</f>
        <v>0.0493366191222961</v>
      </c>
      <c r="D26" s="16" t="n">
        <f aca="false">D152</f>
        <v>0.236698048451424</v>
      </c>
      <c r="E26" s="16" t="n">
        <f aca="false">E152</f>
        <v>0.328803163436051</v>
      </c>
      <c r="F26" s="16" t="n">
        <f aca="false">F152</f>
        <v>0.305610710579323</v>
      </c>
      <c r="G26" s="16" t="n">
        <f aca="false">G152</f>
        <v>0.294579675030344</v>
      </c>
    </row>
    <row r="27" customFormat="false" ht="15" hidden="false" customHeight="false" outlineLevel="0" collapsed="false">
      <c r="A27" s="3" t="s">
        <v>519</v>
      </c>
      <c r="B27" s="0" t="s">
        <v>329</v>
      </c>
      <c r="C27" s="23" t="n">
        <f aca="false">C156</f>
        <v>1.947</v>
      </c>
      <c r="D27" s="23" t="n">
        <f aca="false">D156</f>
        <v>11.509862075</v>
      </c>
      <c r="E27" s="23" t="n">
        <f aca="false">E156</f>
        <v>21.0681232570703</v>
      </c>
      <c r="F27" s="23" t="n">
        <f aca="false">F156</f>
        <v>19.7804817397598</v>
      </c>
      <c r="G27" s="23" t="n">
        <f aca="false">G156</f>
        <v>20.7130435558418</v>
      </c>
      <c r="H27" s="25" t="n">
        <f aca="false">H156</f>
        <v>21.4583436589711</v>
      </c>
      <c r="I27" s="25" t="n">
        <f aca="false">I156</f>
        <v>21.8755823551299</v>
      </c>
      <c r="J27" s="25" t="n">
        <f aca="false">J156</f>
        <v>21.9380840190017</v>
      </c>
    </row>
    <row r="28" customFormat="false" ht="15" hidden="false" customHeight="false" outlineLevel="0" collapsed="false">
      <c r="A28" s="3" t="s">
        <v>595</v>
      </c>
      <c r="B28" s="0" t="s">
        <v>40</v>
      </c>
      <c r="C28" s="16" t="n">
        <f aca="false">C160</f>
        <v>0.0484653872003585</v>
      </c>
      <c r="D28" s="16" t="n">
        <f aca="false">D160</f>
        <v>0.194594602259759</v>
      </c>
      <c r="E28" s="16" t="n">
        <f aca="false">E160</f>
        <v>0.265733080044746</v>
      </c>
      <c r="F28" s="16" t="n">
        <f aca="false">F160</f>
        <v>0.24735995183605</v>
      </c>
      <c r="G28" s="16" t="n">
        <f aca="false">G160</f>
        <v>0.238168215902098</v>
      </c>
      <c r="H28" s="27" t="n">
        <f aca="false">H160</f>
        <v>0.230229275372028</v>
      </c>
      <c r="I28" s="27" t="n">
        <f aca="false">I160</f>
        <v>0.222290334841958</v>
      </c>
      <c r="J28" s="27" t="n">
        <f aca="false">J160</f>
        <v>0.214351394311888</v>
      </c>
    </row>
    <row r="29" customFormat="false" ht="15" hidden="false" customHeight="false" outlineLevel="0" collapsed="false">
      <c r="A29" s="0" t="s">
        <v>596</v>
      </c>
      <c r="B29" s="0" t="s">
        <v>402</v>
      </c>
      <c r="C29" s="18" t="n">
        <f aca="false">C158</f>
        <v>3.01</v>
      </c>
      <c r="D29" s="18" t="n">
        <f aca="false">D158</f>
        <v>17.820894339844</v>
      </c>
      <c r="E29" s="18" t="n">
        <f aca="false">E158</f>
        <v>32.6046137348845</v>
      </c>
      <c r="F29" s="18" t="n">
        <f aca="false">F158</f>
        <v>30.6118850144076</v>
      </c>
      <c r="G29" s="18" t="n">
        <f aca="false">G158</f>
        <v>32.0550993636997</v>
      </c>
      <c r="H29" s="28" t="n">
        <f aca="false">H158</f>
        <v>33.2085111641999</v>
      </c>
      <c r="I29" s="28" t="n">
        <f aca="false">I158</f>
        <v>33.8542215750189</v>
      </c>
      <c r="J29" s="28" t="n">
        <f aca="false">J158</f>
        <v>33.9509479223761</v>
      </c>
    </row>
    <row r="30" customFormat="false" ht="17.15" hidden="false" customHeight="false" outlineLevel="0" collapsed="false">
      <c r="A30" s="0" t="s">
        <v>597</v>
      </c>
      <c r="B30" s="0" t="s">
        <v>40</v>
      </c>
      <c r="D30" s="20" t="n">
        <f aca="false">D159</f>
        <v>4.92056290360265</v>
      </c>
      <c r="E30" s="20" t="n">
        <f aca="false">E159</f>
        <v>0.829572248907121</v>
      </c>
      <c r="F30" s="20" t="n">
        <f aca="false">F159</f>
        <v>-0.0611179981054287</v>
      </c>
      <c r="G30" s="20" t="n">
        <f aca="false">G159</f>
        <v>0.0471455563292758</v>
      </c>
      <c r="H30" s="26" t="n">
        <f aca="false">H159</f>
        <v>0.0359821626947252</v>
      </c>
      <c r="I30" s="26" t="n">
        <f aca="false">I159</f>
        <v>0.0194441240568188</v>
      </c>
      <c r="J30" s="26" t="n">
        <f aca="false">J159</f>
        <v>0.00285714285714289</v>
      </c>
    </row>
    <row r="32" customFormat="false" ht="17.15" hidden="false" customHeight="false" outlineLevel="0" collapsed="false">
      <c r="A32" s="1" t="s">
        <v>599</v>
      </c>
    </row>
    <row r="33" customFormat="false" ht="15" hidden="false" customHeight="false" outlineLevel="0" collapsed="false">
      <c r="A33" s="3" t="s">
        <v>501</v>
      </c>
      <c r="B33" s="0" t="s">
        <v>329</v>
      </c>
      <c r="C33" s="23" t="n">
        <f aca="false">C192</f>
        <v>40.173</v>
      </c>
      <c r="D33" s="23" t="n">
        <f aca="false">D192</f>
        <v>59.1479</v>
      </c>
      <c r="E33" s="23" t="n">
        <f aca="false">E192</f>
        <v>77.390295318</v>
      </c>
      <c r="F33" s="23" t="n">
        <f aca="false">F192</f>
        <v>67.7728896229389</v>
      </c>
      <c r="G33" s="23" t="n">
        <f aca="false">G192</f>
        <v>70.6925969537041</v>
      </c>
      <c r="H33" s="25" t="n">
        <f aca="false">H192</f>
        <v>73.194207953584</v>
      </c>
      <c r="I33" s="25" t="n">
        <f aca="false">I192</f>
        <v>75.2212180008739</v>
      </c>
      <c r="J33" s="25" t="n">
        <f aca="false">J192</f>
        <v>76.7256423608914</v>
      </c>
    </row>
    <row r="34" customFormat="false" ht="15" hidden="false" customHeight="false" outlineLevel="0" collapsed="false">
      <c r="A34" s="3" t="s">
        <v>589</v>
      </c>
      <c r="B34" s="0" t="s">
        <v>40</v>
      </c>
      <c r="D34" s="20" t="n">
        <f aca="false">D193</f>
        <v>0.472329674159261</v>
      </c>
      <c r="E34" s="20" t="n">
        <f aca="false">E193</f>
        <v>0.30842</v>
      </c>
      <c r="F34" s="20" t="n">
        <f aca="false">F193</f>
        <v>-0.124271469123392</v>
      </c>
      <c r="G34" s="20" t="n">
        <f aca="false">G193</f>
        <v>0.0430807561402393</v>
      </c>
      <c r="H34" s="26" t="n">
        <f aca="false">H193</f>
        <v>0.0353871707601595</v>
      </c>
      <c r="I34" s="26" t="n">
        <f aca="false">I193</f>
        <v>0.0276935853800798</v>
      </c>
      <c r="J34" s="26" t="n">
        <f aca="false">J193</f>
        <v>0.02</v>
      </c>
    </row>
    <row r="35" customFormat="false" ht="17.15" hidden="false" customHeight="false" outlineLevel="0" collapsed="false">
      <c r="A35" s="0" t="s">
        <v>590</v>
      </c>
      <c r="B35" s="0" t="s">
        <v>329</v>
      </c>
      <c r="D35" s="23" t="n">
        <f aca="false">D185</f>
        <v>34.305782</v>
      </c>
      <c r="E35" s="23" t="n">
        <f aca="false">E185</f>
        <v>49.709078118</v>
      </c>
      <c r="F35" s="23" t="n">
        <f aca="false">F185</f>
        <v>40.0916724229389</v>
      </c>
      <c r="G35" s="23" t="n">
        <f aca="false">G185</f>
        <v>43.0113797537041</v>
      </c>
    </row>
    <row r="36" customFormat="false" ht="17.15" hidden="false" customHeight="false" outlineLevel="0" collapsed="false">
      <c r="A36" s="0" t="s">
        <v>591</v>
      </c>
      <c r="B36" s="0" t="s">
        <v>329</v>
      </c>
      <c r="D36" s="23" t="n">
        <f aca="false">D187</f>
        <v>22.2987583</v>
      </c>
      <c r="E36" s="23" t="n">
        <f aca="false">E187</f>
        <v>37.9425770258123</v>
      </c>
      <c r="F36" s="23" t="n">
        <f aca="false">F187</f>
        <v>27.3534209796089</v>
      </c>
      <c r="G36" s="23" t="n">
        <f aca="false">G187</f>
        <v>29.8909807670742</v>
      </c>
    </row>
    <row r="37" customFormat="false" ht="17.15" hidden="false" customHeight="false" outlineLevel="0" collapsed="false">
      <c r="A37" s="0" t="s">
        <v>592</v>
      </c>
      <c r="B37" s="0" t="s">
        <v>40</v>
      </c>
      <c r="D37" s="20" t="n">
        <f aca="false">D186</f>
        <v>1</v>
      </c>
      <c r="E37" s="20" t="n">
        <f aca="false">E186</f>
        <v>0.951425411789885</v>
      </c>
      <c r="F37" s="20" t="n">
        <f aca="false">F186</f>
        <v>1</v>
      </c>
      <c r="G37" s="20" t="n">
        <f aca="false">G186</f>
        <v>1</v>
      </c>
    </row>
    <row r="38" customFormat="false" ht="15" hidden="false" customHeight="false" outlineLevel="0" collapsed="false">
      <c r="A38" s="3" t="s">
        <v>508</v>
      </c>
      <c r="B38" s="0" t="s">
        <v>40</v>
      </c>
      <c r="C38" s="16" t="n">
        <f aca="false">C202</f>
        <v>0.0907823662659</v>
      </c>
      <c r="D38" s="16" t="n">
        <f aca="false">D202</f>
        <v>0.268820913337583</v>
      </c>
      <c r="E38" s="16" t="n">
        <f aca="false">E202</f>
        <v>0.356627352545694</v>
      </c>
      <c r="F38" s="16" t="n">
        <f aca="false">F202</f>
        <v>0.303415161409808</v>
      </c>
      <c r="G38" s="16" t="n">
        <f aca="false">G202</f>
        <v>0.283955140507091</v>
      </c>
    </row>
    <row r="39" customFormat="false" ht="15" hidden="false" customHeight="false" outlineLevel="0" collapsed="false">
      <c r="A39" s="3" t="s">
        <v>593</v>
      </c>
      <c r="B39" s="0" t="s">
        <v>329</v>
      </c>
      <c r="C39" s="23" t="n">
        <f aca="false">C198</f>
        <v>6.894</v>
      </c>
      <c r="D39" s="23" t="n">
        <f aca="false">D198</f>
        <v>7.1</v>
      </c>
      <c r="E39" s="23" t="n">
        <f aca="false">E198</f>
        <v>6.7125</v>
      </c>
      <c r="F39" s="23" t="n">
        <f aca="false">F198</f>
        <v>7.6234375</v>
      </c>
      <c r="G39" s="23" t="n">
        <f aca="false">G198</f>
        <v>8.9205078125</v>
      </c>
      <c r="H39" s="25" t="n">
        <f aca="false">H198</f>
        <v>9.23617934572827</v>
      </c>
      <c r="I39" s="25" t="n">
        <f aca="false">I198</f>
        <v>9.49196226702493</v>
      </c>
      <c r="J39" s="25" t="n">
        <f aca="false">J198</f>
        <v>9.68180151236543</v>
      </c>
    </row>
    <row r="40" customFormat="false" ht="15" hidden="false" customHeight="false" outlineLevel="0" collapsed="false">
      <c r="A40" s="3" t="s">
        <v>594</v>
      </c>
      <c r="B40" s="0" t="s">
        <v>40</v>
      </c>
      <c r="C40" s="16" t="n">
        <f aca="false">C205</f>
        <v>0.0493366191222961</v>
      </c>
      <c r="D40" s="16" t="n">
        <f aca="false">D205</f>
        <v>0.236698048451424</v>
      </c>
      <c r="E40" s="16" t="n">
        <f aca="false">E205</f>
        <v>0.327533280856885</v>
      </c>
      <c r="F40" s="16" t="n">
        <f aca="false">F205</f>
        <v>0.272669635918104</v>
      </c>
      <c r="G40" s="16" t="n">
        <f aca="false">G205</f>
        <v>0.253717549028478</v>
      </c>
    </row>
    <row r="41" customFormat="false" ht="15" hidden="false" customHeight="false" outlineLevel="0" collapsed="false">
      <c r="A41" s="3" t="s">
        <v>519</v>
      </c>
      <c r="B41" s="0" t="s">
        <v>329</v>
      </c>
      <c r="C41" s="23" t="n">
        <f aca="false">C209</f>
        <v>1.947</v>
      </c>
      <c r="D41" s="23" t="n">
        <f aca="false">D209</f>
        <v>11.509862075</v>
      </c>
      <c r="E41" s="23" t="n">
        <f aca="false">E209</f>
        <v>20.4988388922703</v>
      </c>
      <c r="F41" s="23" t="n">
        <f aca="false">F209</f>
        <v>15.0728912194977</v>
      </c>
      <c r="G41" s="23" t="n">
        <f aca="false">G209</f>
        <v>14.643402422506</v>
      </c>
      <c r="H41" s="25" t="n">
        <f aca="false">H209</f>
        <v>14.1508182709049</v>
      </c>
      <c r="I41" s="25" t="n">
        <f aca="false">I209</f>
        <v>13.5039405102533</v>
      </c>
      <c r="J41" s="25" t="n">
        <f aca="false">J209</f>
        <v>12.7144793727308</v>
      </c>
    </row>
    <row r="42" customFormat="false" ht="15" hidden="false" customHeight="false" outlineLevel="0" collapsed="false">
      <c r="A42" s="3" t="s">
        <v>595</v>
      </c>
      <c r="B42" s="0" t="s">
        <v>40</v>
      </c>
      <c r="C42" s="16" t="n">
        <f aca="false">C213</f>
        <v>0.0484653872003585</v>
      </c>
      <c r="D42" s="16" t="n">
        <f aca="false">D213</f>
        <v>0.194594602259759</v>
      </c>
      <c r="E42" s="16" t="n">
        <f aca="false">E213</f>
        <v>0.26487609083335</v>
      </c>
      <c r="F42" s="16" t="n">
        <f aca="false">F213</f>
        <v>0.222402959403932</v>
      </c>
      <c r="G42" s="16" t="n">
        <f aca="false">G213</f>
        <v>0.207141950551</v>
      </c>
      <c r="H42" s="27" t="n">
        <f aca="false">H213</f>
        <v>0.193332487180933</v>
      </c>
      <c r="I42" s="27" t="n">
        <f aca="false">I213</f>
        <v>0.179523023810867</v>
      </c>
      <c r="J42" s="27" t="n">
        <f aca="false">J213</f>
        <v>0.1657135604408</v>
      </c>
    </row>
    <row r="43" customFormat="false" ht="15" hidden="false" customHeight="false" outlineLevel="0" collapsed="false">
      <c r="A43" s="0" t="s">
        <v>596</v>
      </c>
      <c r="B43" s="0" t="s">
        <v>402</v>
      </c>
      <c r="C43" s="18" t="n">
        <f aca="false">C211</f>
        <v>3.01</v>
      </c>
      <c r="D43" s="18" t="n">
        <f aca="false">D211</f>
        <v>17.820894339844</v>
      </c>
      <c r="E43" s="18" t="n">
        <f aca="false">E211</f>
        <v>31.7236004337409</v>
      </c>
      <c r="F43" s="18" t="n">
        <f aca="false">F211</f>
        <v>23.3265103912247</v>
      </c>
      <c r="G43" s="18" t="n">
        <f aca="false">G211</f>
        <v>22.661841964972</v>
      </c>
      <c r="H43" s="28" t="n">
        <f aca="false">H211</f>
        <v>21.8995284072378</v>
      </c>
      <c r="I43" s="28" t="n">
        <f aca="false">I211</f>
        <v>20.8984330907552</v>
      </c>
      <c r="J43" s="28" t="n">
        <f aca="false">J211</f>
        <v>19.6766785408341</v>
      </c>
    </row>
    <row r="44" customFormat="false" ht="17.15" hidden="false" customHeight="false" outlineLevel="0" collapsed="false">
      <c r="A44" s="0" t="s">
        <v>597</v>
      </c>
      <c r="B44" s="0" t="s">
        <v>40</v>
      </c>
      <c r="D44" s="20" t="n">
        <f aca="false">D212</f>
        <v>4.92056290360265</v>
      </c>
      <c r="E44" s="20" t="n">
        <f aca="false">E212</f>
        <v>0.780135150838822</v>
      </c>
      <c r="F44" s="20" t="n">
        <f aca="false">F212</f>
        <v>-0.264695366468717</v>
      </c>
      <c r="G44" s="20" t="n">
        <f aca="false">G212</f>
        <v>-0.0284941217140959</v>
      </c>
      <c r="H44" s="26" t="n">
        <f aca="false">H212</f>
        <v>-0.033638640623851</v>
      </c>
      <c r="I44" s="26" t="n">
        <f aca="false">I212</f>
        <v>-0.0457130992899258</v>
      </c>
      <c r="J44" s="26" t="n">
        <f aca="false">J212</f>
        <v>-0.0584615384615385</v>
      </c>
    </row>
    <row r="46" customFormat="false" ht="17.15" hidden="false" customHeight="false" outlineLevel="0" collapsed="false">
      <c r="A46" s="1" t="s">
        <v>600</v>
      </c>
    </row>
    <row r="47" customFormat="false" ht="17.15" hidden="false" customHeight="false" outlineLevel="0" collapsed="false">
      <c r="A47" s="3" t="s">
        <v>601</v>
      </c>
      <c r="D47" s="29" t="n">
        <f aca="false">ABS(D86-a26_rev)+ABS(D139-a26_rev)+ABS(D192-a26_rev)</f>
        <v>0</v>
      </c>
    </row>
    <row r="48" customFormat="false" ht="17.15" hidden="false" customHeight="false" outlineLevel="0" collapsed="false">
      <c r="A48" s="3" t="s">
        <v>602</v>
      </c>
      <c r="D48" s="29" t="n">
        <f aca="false">ABS(D105-a26_eps)+ABS(D158-a26_eps)+ABS(D211-a26_eps)</f>
        <v>0</v>
      </c>
    </row>
    <row r="49" customFormat="false" ht="17.15" hidden="false" customHeight="false" outlineLevel="0" collapsed="false">
      <c r="A49" s="3" t="s">
        <v>603</v>
      </c>
      <c r="D49" s="29" t="n">
        <f aca="false">IF(D75&gt;0,0,1)</f>
        <v>0</v>
      </c>
    </row>
    <row r="60" customFormat="false" ht="17.15" hidden="false" customHeight="false" outlineLevel="0" collapsed="false">
      <c r="A60" s="1" t="s">
        <v>604</v>
      </c>
    </row>
    <row r="61" customFormat="false" ht="17.15" hidden="false" customHeight="false" outlineLevel="0" collapsed="false">
      <c r="A61" s="4" t="s">
        <v>17</v>
      </c>
      <c r="B61" s="4" t="s">
        <v>18</v>
      </c>
      <c r="C61" s="13" t="s">
        <v>494</v>
      </c>
      <c r="D61" s="13" t="s">
        <v>581</v>
      </c>
      <c r="E61" s="13" t="s">
        <v>582</v>
      </c>
      <c r="F61" s="13" t="s">
        <v>583</v>
      </c>
      <c r="G61" s="13" t="s">
        <v>584</v>
      </c>
      <c r="H61" s="13" t="s">
        <v>585</v>
      </c>
      <c r="I61" s="13" t="s">
        <v>586</v>
      </c>
      <c r="J61" s="13" t="s">
        <v>587</v>
      </c>
      <c r="K61" s="4" t="s">
        <v>549</v>
      </c>
    </row>
    <row r="62" customFormat="false" ht="17.15" hidden="false" customHeight="false" outlineLevel="0" collapsed="false">
      <c r="A62" s="5" t="s">
        <v>605</v>
      </c>
    </row>
    <row r="63" customFormat="false" ht="17.15" hidden="false" customHeight="false" outlineLevel="0" collapsed="false">
      <c r="A63" s="0" t="s">
        <v>606</v>
      </c>
      <c r="B63" s="3" t="s">
        <v>28</v>
      </c>
      <c r="D63" s="21" t="n">
        <f aca="false">(u_bw_26+u_rb_26+u_ru_26+u_hp_26)*1</f>
        <v>7.6</v>
      </c>
      <c r="E63" s="21" t="n">
        <f aca="false">(u_bw_27+u_rb_27+u_ru_27+u_hp_27)*1*1</f>
        <v>9.7</v>
      </c>
      <c r="F63" s="21" t="n">
        <f aca="false">(u_bw_28+u_rb_28+u_ru_28+u_hp_28)*um28_A*1</f>
        <v>9.5</v>
      </c>
      <c r="G63" s="21" t="n">
        <f aca="false">(u_bw_28*(1+g29_bw)+u_rb_28*(1+g29_rb)+u_ru_28*(1+g29_ru)+u_hp_28*(1+g29_hp))*um29_A*1</f>
        <v>10.6</v>
      </c>
      <c r="K63" s="7" t="s">
        <v>607</v>
      </c>
    </row>
    <row r="64" customFormat="false" ht="17.15" hidden="false" customHeight="false" outlineLevel="0" collapsed="false">
      <c r="A64" s="3" t="s">
        <v>608</v>
      </c>
      <c r="B64" s="3" t="s">
        <v>28</v>
      </c>
      <c r="D64" s="21" t="n">
        <f aca="false">(u_amd_26+u_tpu_26+u_trn_26+u_oth_26)*1</f>
        <v>7.6</v>
      </c>
      <c r="E64" s="21" t="n">
        <f aca="false">(u_amd_27+u_tpu_27+u_trn_27+u_oth_27)*1*1</f>
        <v>14</v>
      </c>
      <c r="F64" s="21" t="n">
        <f aca="false">(u_amd_28+u_tpu_28+u_trn_28+u_oth_28)*um28_A*1</f>
        <v>17</v>
      </c>
      <c r="G64" s="21" t="n">
        <f aca="false">(u_amd_28*(1+g29_amd)+u_tpu_28*(1+g29_tpu)+u_trn_28*(1+g29_trn)+u_oth_28*(1+g29_oth))*um29_A*1</f>
        <v>19.55</v>
      </c>
      <c r="K64" s="7" t="s">
        <v>609</v>
      </c>
    </row>
    <row r="65" customFormat="false" ht="17.15" hidden="false" customHeight="false" outlineLevel="0" collapsed="false">
      <c r="A65" s="3" t="s">
        <v>610</v>
      </c>
      <c r="B65" s="0" t="s">
        <v>150</v>
      </c>
      <c r="D65" s="19" t="n">
        <f aca="false">1</f>
        <v>1</v>
      </c>
      <c r="E65" s="19" t="n">
        <f aca="false">D65*(1+g_asp)</f>
        <v>1.18</v>
      </c>
      <c r="F65" s="19" t="n">
        <f aca="false">E65*(1+g_asp)</f>
        <v>1.3924</v>
      </c>
      <c r="G65" s="19" t="n">
        <f aca="false">F65*(1+g_asp)</f>
        <v>1.643032</v>
      </c>
      <c r="K65" s="7" t="s">
        <v>611</v>
      </c>
    </row>
    <row r="66" customFormat="false" ht="17.15" hidden="false" customHeight="false" outlineLevel="0" collapsed="false">
      <c r="A66" s="0" t="s">
        <v>612</v>
      </c>
      <c r="B66" s="0" t="s">
        <v>150</v>
      </c>
      <c r="D66" s="18" t="n">
        <f aca="false">1</f>
        <v>1</v>
      </c>
      <c r="E66" s="18" t="n">
        <f aca="false">ibpp_27</f>
        <v>1</v>
      </c>
      <c r="F66" s="18" t="n">
        <f aca="false">ibpp_28</f>
        <v>0.95</v>
      </c>
      <c r="G66" s="18" t="n">
        <f aca="false">ibpp_29</f>
        <v>0.9</v>
      </c>
      <c r="K66" s="7" t="s">
        <v>613</v>
      </c>
    </row>
    <row r="67" customFormat="false" ht="17.15" hidden="false" customHeight="false" outlineLevel="0" collapsed="false">
      <c r="A67" s="3" t="s">
        <v>614</v>
      </c>
      <c r="B67" s="0" t="s">
        <v>150</v>
      </c>
      <c r="D67" s="18" t="n">
        <f aca="false">1</f>
        <v>1</v>
      </c>
      <c r="E67" s="18" t="n">
        <f aca="false">1+carry</f>
        <v>1.15</v>
      </c>
      <c r="F67" s="18" t="n">
        <f aca="false">1+carry</f>
        <v>1.15</v>
      </c>
      <c r="G67" s="18" t="n">
        <f aca="false">1+carry</f>
        <v>1.15</v>
      </c>
      <c r="K67" s="7" t="s">
        <v>615</v>
      </c>
    </row>
    <row r="68" customFormat="false" ht="17.15" hidden="false" customHeight="false" outlineLevel="0" collapsed="false">
      <c r="A68" s="3" t="s">
        <v>616</v>
      </c>
      <c r="B68" s="0" t="s">
        <v>617</v>
      </c>
      <c r="D68" s="23" t="n">
        <f aca="false">v26*D65*D66</f>
        <v>215.308596</v>
      </c>
      <c r="E68" s="23" t="n">
        <f aca="false">v26*E65*E66</f>
        <v>254.06414328</v>
      </c>
      <c r="F68" s="23" t="n">
        <f aca="false">v26*F65*F66</f>
        <v>284.80590461688</v>
      </c>
      <c r="G68" s="23" t="n">
        <f aca="false">v26*G65*G66</f>
        <v>318.383021792765</v>
      </c>
      <c r="K68" s="7" t="s">
        <v>618</v>
      </c>
    </row>
    <row r="69" customFormat="false" ht="17.15" hidden="false" customHeight="false" outlineLevel="0" collapsed="false">
      <c r="A69" s="3" t="s">
        <v>619</v>
      </c>
      <c r="B69" s="0" t="s">
        <v>40</v>
      </c>
      <c r="D69" s="20" t="n">
        <f aca="false">sh_nv_26</f>
        <v>0.02</v>
      </c>
      <c r="E69" s="20" t="n">
        <f aca="false">sh_nv_27</f>
        <v>0.03</v>
      </c>
      <c r="F69" s="20" t="n">
        <f aca="false">sh_nv_28</f>
        <v>0.04</v>
      </c>
      <c r="G69" s="20" t="n">
        <f aca="false">sh_nv_29</f>
        <v>0.04</v>
      </c>
    </row>
    <row r="70" customFormat="false" ht="17.15" hidden="false" customHeight="false" outlineLevel="0" collapsed="false">
      <c r="A70" s="3" t="s">
        <v>620</v>
      </c>
      <c r="B70" s="0" t="s">
        <v>40</v>
      </c>
      <c r="D70" s="20" t="n">
        <f aca="false">sh_ot_26</f>
        <v>0.05</v>
      </c>
      <c r="E70" s="20" t="n">
        <f aca="false">sh_ot_27</f>
        <v>0.06</v>
      </c>
      <c r="F70" s="20" t="n">
        <f aca="false">sh_ot_28</f>
        <v>0.07</v>
      </c>
      <c r="G70" s="20" t="n">
        <f aca="false">sh_ot_29</f>
        <v>0.07</v>
      </c>
    </row>
    <row r="71" customFormat="false" ht="17.15" hidden="false" customHeight="false" outlineLevel="0" collapsed="false">
      <c r="A71" s="3" t="s">
        <v>621</v>
      </c>
      <c r="B71" s="0" t="s">
        <v>571</v>
      </c>
      <c r="D71" s="22" t="n">
        <f aca="false">(D63*D68*D69+D64*D68*v_ot*D70)*D67</f>
        <v>98.180719776</v>
      </c>
      <c r="E71" s="22" t="n">
        <f aca="false">(E63*E68*E69+E64*E68*v_ot*E70)*E67</f>
        <v>281.363335475436</v>
      </c>
      <c r="F71" s="22" t="n">
        <f aca="false">(F63*F68*F69+F64*F68*v_ot*F70)*F67</f>
        <v>436.265684692137</v>
      </c>
      <c r="G71" s="22" t="n">
        <f aca="false">(G63*G68*G69+G64*G68*v_ot*G70)*G67</f>
        <v>556.094153523679</v>
      </c>
    </row>
    <row r="72" customFormat="false" ht="15" hidden="false" customHeight="false" outlineLevel="0" collapsed="false">
      <c r="A72" s="3" t="s">
        <v>622</v>
      </c>
      <c r="B72" s="0" t="s">
        <v>329</v>
      </c>
      <c r="D72" s="21" t="n">
        <f aca="false">D71*fx/1000</f>
        <v>3.19087339272</v>
      </c>
      <c r="E72" s="21" t="n">
        <f aca="false">E71*fx/1000</f>
        <v>9.14430840295167</v>
      </c>
      <c r="F72" s="21" t="n">
        <f aca="false">F71*fx/1000</f>
        <v>14.1786347524944</v>
      </c>
      <c r="G72" s="21" t="n">
        <f aca="false">G71*fx/1000</f>
        <v>18.0730599895196</v>
      </c>
    </row>
    <row r="73" customFormat="false" ht="17.15" hidden="false" customHeight="false" outlineLevel="0" collapsed="false">
      <c r="A73" s="5" t="s">
        <v>623</v>
      </c>
    </row>
    <row r="74" customFormat="false" ht="17.15" hidden="false" customHeight="false" outlineLevel="0" collapsed="false">
      <c r="A74" s="0" t="s">
        <v>624</v>
      </c>
      <c r="B74" s="0" t="s">
        <v>329</v>
      </c>
      <c r="D74" s="21" t="n">
        <f aca="false">a26_abf*ai_abf</f>
        <v>22.2987583</v>
      </c>
      <c r="K74" s="3" t="s">
        <v>625</v>
      </c>
    </row>
    <row r="75" customFormat="false" ht="17.15" hidden="false" customHeight="false" outlineLevel="0" collapsed="false">
      <c r="A75" s="3" t="s">
        <v>626</v>
      </c>
      <c r="B75" s="0" t="s">
        <v>329</v>
      </c>
      <c r="D75" s="21" t="n">
        <f aca="false">D74-D72</f>
        <v>19.10788490728</v>
      </c>
      <c r="E75" s="21" t="n">
        <f aca="false">$D75*(swm_27/swm_26)^el_o*1*1*E66*E67</f>
        <v>30.7354094978265</v>
      </c>
      <c r="F75" s="21" t="n">
        <f aca="false">$D75*(swm_28/swm_26)^el_o*um28_A*1*F66*F67</f>
        <v>31.4104002135205</v>
      </c>
      <c r="G75" s="21" t="n">
        <f aca="false">$D75*(swm_29/swm_26)^el_o*um29_A*1*G66*G67</f>
        <v>31.7452412889375</v>
      </c>
      <c r="K75" s="7" t="s">
        <v>627</v>
      </c>
    </row>
    <row r="76" customFormat="false" ht="17.15" hidden="false" customHeight="false" outlineLevel="0" collapsed="false">
      <c r="A76" s="3" t="s">
        <v>628</v>
      </c>
      <c r="B76" s="0" t="s">
        <v>329</v>
      </c>
      <c r="D76" s="21" t="n">
        <f aca="false">a26_abf-D74</f>
        <v>12.0070237</v>
      </c>
      <c r="E76" s="21" t="n">
        <f aca="false">D76*(1+g_nai)</f>
        <v>12.367234411</v>
      </c>
      <c r="F76" s="21" t="n">
        <f aca="false">E76*(1+g_nai)</f>
        <v>12.73825144333</v>
      </c>
      <c r="G76" s="21" t="n">
        <f aca="false">F76*(1+g_nai)</f>
        <v>13.1203989866299</v>
      </c>
    </row>
    <row r="77" customFormat="false" ht="17.15" hidden="false" customHeight="false" outlineLevel="0" collapsed="false">
      <c r="A77" s="0" t="s">
        <v>629</v>
      </c>
      <c r="B77" s="0" t="s">
        <v>329</v>
      </c>
      <c r="D77" s="21" t="n">
        <f aca="false">D72+D75+D76</f>
        <v>34.305782</v>
      </c>
      <c r="E77" s="21" t="n">
        <f aca="false">E72+E75+E76</f>
        <v>52.2469523117781</v>
      </c>
      <c r="F77" s="21" t="n">
        <f aca="false">F72+F75+F76</f>
        <v>58.3272864093449</v>
      </c>
      <c r="G77" s="21" t="n">
        <f aca="false">G72+G75+G76</f>
        <v>62.9387002650869</v>
      </c>
    </row>
    <row r="78" customFormat="false" ht="17.15" hidden="false" customHeight="false" outlineLevel="0" collapsed="false">
      <c r="A78" s="0" t="s">
        <v>630</v>
      </c>
      <c r="B78" s="0" t="s">
        <v>329</v>
      </c>
      <c r="D78" s="21" t="n">
        <f aca="false">a26_abf</f>
        <v>34.305782</v>
      </c>
      <c r="E78" s="21" t="n">
        <f aca="false">$D77*cap_27*(1+g_mix)^1*E66*E67</f>
        <v>49.709078118</v>
      </c>
      <c r="F78" s="21" t="n">
        <f aca="false">$D77*cap_28*(1+g_mix)^2*F66*F67</f>
        <v>55.7829061005431</v>
      </c>
      <c r="G78" s="21" t="n">
        <f aca="false">$D77*cap_29*(1+g_mix)^3*G66*G67</f>
        <v>65.765110350114</v>
      </c>
      <c r="K78" s="7" t="s">
        <v>631</v>
      </c>
    </row>
    <row r="79" customFormat="false" ht="17.15" hidden="false" customHeight="false" outlineLevel="0" collapsed="false">
      <c r="A79" s="0" t="s">
        <v>632</v>
      </c>
      <c r="B79" s="0" t="s">
        <v>329</v>
      </c>
      <c r="D79" s="21" t="n">
        <f aca="false">a26_abf</f>
        <v>34.305782</v>
      </c>
      <c r="E79" s="21" t="n">
        <f aca="false">MIN(E77,E78)</f>
        <v>49.709078118</v>
      </c>
      <c r="F79" s="21" t="n">
        <f aca="false">MIN(F77,F78)</f>
        <v>55.7829061005431</v>
      </c>
      <c r="G79" s="21" t="n">
        <f aca="false">MIN(G77,G78)</f>
        <v>62.9387002650869</v>
      </c>
    </row>
    <row r="80" customFormat="false" ht="17.15" hidden="false" customHeight="false" outlineLevel="0" collapsed="false">
      <c r="A80" s="3" t="s">
        <v>633</v>
      </c>
      <c r="B80" s="0" t="s">
        <v>40</v>
      </c>
      <c r="D80" s="20" t="n">
        <f aca="false">D79/D77</f>
        <v>1</v>
      </c>
      <c r="E80" s="20" t="n">
        <f aca="false">E79/E77</f>
        <v>0.951425411789885</v>
      </c>
      <c r="F80" s="20" t="n">
        <f aca="false">F79/F77</f>
        <v>0.956377529876066</v>
      </c>
      <c r="G80" s="20" t="n">
        <f aca="false">G79/G77</f>
        <v>1</v>
      </c>
    </row>
    <row r="81" customFormat="false" ht="17.15" hidden="false" customHeight="false" outlineLevel="0" collapsed="false">
      <c r="A81" s="0" t="s">
        <v>634</v>
      </c>
      <c r="B81" s="0" t="s">
        <v>329</v>
      </c>
      <c r="D81" s="21" t="n">
        <f aca="false">(D72+D75)*D80</f>
        <v>22.2987583</v>
      </c>
      <c r="E81" s="21" t="n">
        <f aca="false">(E72+E75)*E80</f>
        <v>37.9425770258123</v>
      </c>
      <c r="F81" s="21" t="n">
        <f aca="false">(F72+F75)*F80</f>
        <v>43.6003286502309</v>
      </c>
      <c r="G81" s="21" t="n">
        <f aca="false">(G72+G75)*G80</f>
        <v>49.818301278457</v>
      </c>
    </row>
    <row r="82" customFormat="false" ht="17.15" hidden="false" customHeight="false" outlineLevel="0" collapsed="false">
      <c r="A82" s="3" t="s">
        <v>635</v>
      </c>
      <c r="B82" s="0" t="s">
        <v>40</v>
      </c>
      <c r="D82" s="20" t="n">
        <f aca="false">D72/(D72+D75)</f>
        <v>0.14309646078903</v>
      </c>
      <c r="E82" s="20" t="n">
        <f aca="false">E72/(E72+E75)</f>
        <v>0.229297218844501</v>
      </c>
      <c r="F82" s="20" t="n">
        <f aca="false">F72/(F72+F75)</f>
        <v>0.311009758444419</v>
      </c>
      <c r="G82" s="20" t="n">
        <f aca="false">G72/(G72+G75)</f>
        <v>0.362779531331288</v>
      </c>
    </row>
    <row r="83" customFormat="false" ht="17.15" hidden="false" customHeight="false" outlineLevel="0" collapsed="false">
      <c r="A83" s="5" t="s">
        <v>636</v>
      </c>
    </row>
    <row r="84" customFormat="false" ht="17.15" hidden="false" customHeight="false" outlineLevel="0" collapsed="false">
      <c r="A84" s="0" t="s">
        <v>637</v>
      </c>
      <c r="B84" s="0" t="s">
        <v>329</v>
      </c>
      <c r="D84" s="21" t="n">
        <f aca="false">a26_bt</f>
        <v>18.927328</v>
      </c>
      <c r="E84" s="21" t="n">
        <f aca="false">D84*(1+g_bt27_A)</f>
        <v>24.6055264</v>
      </c>
      <c r="F84" s="21" t="n">
        <f aca="false">E84*(1+g_bt28_A)</f>
        <v>27.06607904</v>
      </c>
      <c r="G84" s="21" t="n">
        <f aca="false">F84*(1+g_bt29_A)</f>
        <v>28.419382992</v>
      </c>
      <c r="K84" s="7" t="s">
        <v>638</v>
      </c>
    </row>
    <row r="85" customFormat="false" ht="17.15" hidden="false" customHeight="false" outlineLevel="0" collapsed="false">
      <c r="A85" s="0" t="s">
        <v>536</v>
      </c>
      <c r="B85" s="0" t="s">
        <v>329</v>
      </c>
      <c r="D85" s="21" t="n">
        <f aca="false">a26_pcb</f>
        <v>5.91479</v>
      </c>
      <c r="E85" s="21" t="n">
        <f aca="false">D85*(1+g_pcb)</f>
        <v>5.91479</v>
      </c>
      <c r="F85" s="21" t="n">
        <f aca="false">E85*(1+g_pcb)</f>
        <v>5.91479</v>
      </c>
      <c r="G85" s="21" t="n">
        <f aca="false">F85*(1+g_pcb)</f>
        <v>5.91479</v>
      </c>
    </row>
    <row r="86" customFormat="false" ht="17.15" hidden="false" customHeight="false" outlineLevel="0" collapsed="false">
      <c r="A86" s="3" t="s">
        <v>501</v>
      </c>
      <c r="B86" s="0" t="s">
        <v>329</v>
      </c>
      <c r="C86" s="23" t="n">
        <f aca="false">a25_rev</f>
        <v>40.173</v>
      </c>
      <c r="D86" s="23" t="n">
        <f aca="false">D79+D84+D85</f>
        <v>59.1479</v>
      </c>
      <c r="E86" s="23" t="n">
        <f aca="false">E79+E84+E85</f>
        <v>80.229394518</v>
      </c>
      <c r="F86" s="23" t="n">
        <f aca="false">F79+F84+F85</f>
        <v>88.7637751405431</v>
      </c>
      <c r="G86" s="23" t="n">
        <f aca="false">G79+G84+G85</f>
        <v>97.2728732570869</v>
      </c>
      <c r="H86" s="25" t="n">
        <f aca="false">G86*(1+H87)</f>
        <v>105.434863846709</v>
      </c>
      <c r="I86" s="25" t="n">
        <f aca="false">H86*(1+I87)</f>
        <v>113.021333979572</v>
      </c>
      <c r="J86" s="25" t="n">
        <f aca="false">I86*(1+J87)</f>
        <v>119.802614018346</v>
      </c>
      <c r="K86" s="7" t="s">
        <v>639</v>
      </c>
    </row>
    <row r="87" customFormat="false" ht="15" hidden="false" customHeight="false" outlineLevel="0" collapsed="false">
      <c r="A87" s="3" t="s">
        <v>640</v>
      </c>
      <c r="B87" s="0" t="s">
        <v>40</v>
      </c>
      <c r="D87" s="20" t="n">
        <f aca="false">D86/C86-1</f>
        <v>0.472329674159261</v>
      </c>
      <c r="E87" s="20" t="n">
        <f aca="false">E86/D86-1</f>
        <v>0.35642</v>
      </c>
      <c r="F87" s="20" t="n">
        <f aca="false">F86/E86-1</f>
        <v>0.106374735517023</v>
      </c>
      <c r="G87" s="20" t="n">
        <f aca="false">G86/F86-1</f>
        <v>0.0958622828183122</v>
      </c>
      <c r="H87" s="26" t="n">
        <f aca="false">$G87+(fade_gA-$G87)*1/3</f>
        <v>0.0839081885455415</v>
      </c>
      <c r="I87" s="26" t="n">
        <f aca="false">$G87+(fade_gA-$G87)*2/3</f>
        <v>0.0719540942727707</v>
      </c>
      <c r="J87" s="26" t="n">
        <f aca="false">$G87+(fade_gA-$G87)*3/3</f>
        <v>0.06</v>
      </c>
    </row>
    <row r="88" customFormat="false" ht="17.15" hidden="false" customHeight="false" outlineLevel="0" collapsed="false">
      <c r="A88" s="0" t="s">
        <v>641</v>
      </c>
      <c r="B88" s="0" t="s">
        <v>40</v>
      </c>
      <c r="D88" s="20" t="n">
        <f aca="false">D79/D86</f>
        <v>0.58</v>
      </c>
      <c r="E88" s="20" t="n">
        <f aca="false">E79/E86</f>
        <v>0.619586853629407</v>
      </c>
      <c r="F88" s="20" t="n">
        <f aca="false">F79/F86</f>
        <v>0.62844224473576</v>
      </c>
      <c r="G88" s="20" t="n">
        <f aca="false">G79/G86</f>
        <v>0.647032396161912</v>
      </c>
    </row>
    <row r="89" customFormat="false" ht="17.15" hidden="false" customHeight="false" outlineLevel="0" collapsed="false">
      <c r="A89" s="0" t="s">
        <v>642</v>
      </c>
      <c r="B89" s="0" t="s">
        <v>40</v>
      </c>
      <c r="D89" s="20" t="n">
        <f aca="false">D81/D86</f>
        <v>0.377</v>
      </c>
      <c r="E89" s="20" t="n">
        <f aca="false">E81/E86</f>
        <v>0.472926129553422</v>
      </c>
      <c r="F89" s="20" t="n">
        <f aca="false">F81/F86</f>
        <v>0.491195068947855</v>
      </c>
      <c r="G89" s="20" t="n">
        <f aca="false">G81/G86</f>
        <v>0.512149992185282</v>
      </c>
      <c r="K89" s="3" t="s">
        <v>643</v>
      </c>
    </row>
    <row r="90" customFormat="false" ht="17.15" hidden="false" customHeight="false" outlineLevel="0" collapsed="false">
      <c r="A90" s="5" t="s">
        <v>644</v>
      </c>
    </row>
    <row r="91" customFormat="false" ht="15" hidden="false" customHeight="false" outlineLevel="0" collapsed="false">
      <c r="A91" s="3" t="s">
        <v>645</v>
      </c>
      <c r="B91" s="0" t="s">
        <v>329</v>
      </c>
      <c r="C91" s="23" t="n">
        <f aca="false">a25_cx</f>
        <v>2.422</v>
      </c>
      <c r="D91" s="23" t="n">
        <f aca="false">capex26</f>
        <v>4</v>
      </c>
      <c r="E91" s="23" t="n">
        <f aca="false">cx27</f>
        <v>14</v>
      </c>
      <c r="F91" s="23" t="n">
        <f aca="false">cx28</f>
        <v>18</v>
      </c>
      <c r="G91" s="23" t="n">
        <f aca="false">cx29</f>
        <v>12</v>
      </c>
      <c r="H91" s="25" t="n">
        <f aca="false">H86*H108</f>
        <v>12.4417241176456</v>
      </c>
      <c r="I91" s="25" t="n">
        <f aca="false">I86*I108</f>
        <v>12.7311163691189</v>
      </c>
      <c r="J91" s="25" t="n">
        <f aca="false">J86*J108</f>
        <v>12.8527921683461</v>
      </c>
    </row>
    <row r="92" customFormat="false" ht="17.15" hidden="false" customHeight="false" outlineLevel="0" collapsed="false">
      <c r="A92" s="3" t="s">
        <v>646</v>
      </c>
      <c r="B92" s="0" t="s">
        <v>329</v>
      </c>
      <c r="C92" s="23" t="n">
        <f aca="false">a25_da</f>
        <v>6.894</v>
      </c>
      <c r="D92" s="23" t="n">
        <f aca="false">da26</f>
        <v>7.1</v>
      </c>
      <c r="E92" s="23" t="n">
        <f aca="false">D92*(1-1/life)+D91/life</f>
        <v>6.7125</v>
      </c>
      <c r="F92" s="23" t="n">
        <f aca="false">E92*(1-1/life)+E91/life</f>
        <v>7.6234375</v>
      </c>
      <c r="G92" s="23" t="n">
        <f aca="false">F92*(1-1/life)+F91/life</f>
        <v>8.9205078125</v>
      </c>
      <c r="H92" s="25" t="n">
        <f aca="false">H86*H93</f>
        <v>9.66901146395322</v>
      </c>
      <c r="I92" s="25" t="n">
        <f aca="false">I86*I93</f>
        <v>10.364736426355</v>
      </c>
      <c r="J92" s="25" t="n">
        <f aca="false">J86*J93</f>
        <v>10.9866206119363</v>
      </c>
      <c r="K92" s="3" t="s">
        <v>647</v>
      </c>
    </row>
    <row r="93" customFormat="false" ht="17.15" hidden="false" customHeight="false" outlineLevel="0" collapsed="false">
      <c r="A93" s="3" t="s">
        <v>648</v>
      </c>
      <c r="B93" s="0" t="s">
        <v>40</v>
      </c>
      <c r="C93" s="20" t="n">
        <f aca="false">C92/C86</f>
        <v>0.171607796281084</v>
      </c>
      <c r="D93" s="20" t="n">
        <f aca="false">D92/D86</f>
        <v>0.120038074048276</v>
      </c>
      <c r="E93" s="20" t="n">
        <f aca="false">E92/E86</f>
        <v>0.0836663424961285</v>
      </c>
      <c r="F93" s="20" t="n">
        <f aca="false">F92/F86</f>
        <v>0.0858845569369883</v>
      </c>
      <c r="G93" s="20" t="n">
        <f aca="false">G92/G86</f>
        <v>0.0917060174517882</v>
      </c>
      <c r="H93" s="26" t="n">
        <f aca="false">$G93</f>
        <v>0.0917060174517882</v>
      </c>
      <c r="I93" s="26" t="n">
        <f aca="false">$G93</f>
        <v>0.0917060174517882</v>
      </c>
      <c r="J93" s="26" t="n">
        <f aca="false">$G93</f>
        <v>0.0917060174517882</v>
      </c>
    </row>
    <row r="94" customFormat="false" ht="17.15" hidden="false" customHeight="false" outlineLevel="0" collapsed="false">
      <c r="A94" s="3" t="s">
        <v>649</v>
      </c>
      <c r="B94" s="0" t="s">
        <v>329</v>
      </c>
      <c r="E94" s="21" t="n">
        <f aca="false">E81*(1-1/(E66*E67))</f>
        <v>4.94903178597551</v>
      </c>
      <c r="F94" s="21" t="n">
        <f aca="false">F81*(1-1/(F66*F67))</f>
        <v>3.69156100699895</v>
      </c>
      <c r="G94" s="21" t="n">
        <f aca="false">G81*(1-1/(G66*G67))</f>
        <v>1.68467685482705</v>
      </c>
      <c r="K94" s="7" t="s">
        <v>650</v>
      </c>
    </row>
    <row r="95" customFormat="false" ht="17.15" hidden="false" customHeight="false" outlineLevel="0" collapsed="false">
      <c r="A95" s="3" t="s">
        <v>651</v>
      </c>
      <c r="B95" s="0" t="s">
        <v>329</v>
      </c>
      <c r="C95" s="21" t="n">
        <f aca="false">a25_gp</f>
        <v>3.647</v>
      </c>
      <c r="D95" s="21" t="n">
        <f aca="false">a26_gp</f>
        <v>15.9001925</v>
      </c>
      <c r="E95" s="21" t="n">
        <f aca="false">$D95+ft_abf*(E79-E94-$D79)+ft_oth*((E86-E79)-($D86-$D79))+E94-(E92-$D92)</f>
        <v>28.7351358119878</v>
      </c>
      <c r="F95" s="21" t="n">
        <f aca="false">$D95+ft_abf*(F79-F94-$D79)+ft_oth*((F86-F79)-($D86-$D79))+F94-(F92-$D92)</f>
        <v>31.216597969771</v>
      </c>
      <c r="G95" s="21" t="n">
        <f aca="false">$D95+ft_abf*(G79-G94-$D79)+ft_oth*((G86-G79)-($D86-$D79))+G94-(G92-$D92)</f>
        <v>33.035304244257</v>
      </c>
      <c r="K95" s="3" t="s">
        <v>652</v>
      </c>
    </row>
    <row r="96" customFormat="false" ht="15" hidden="false" customHeight="false" outlineLevel="0" collapsed="false">
      <c r="A96" s="3" t="s">
        <v>508</v>
      </c>
      <c r="B96" s="0" t="s">
        <v>40</v>
      </c>
      <c r="C96" s="16" t="n">
        <f aca="false">C95/C86</f>
        <v>0.0907823662659</v>
      </c>
      <c r="D96" s="16" t="n">
        <f aca="false">D95/D86</f>
        <v>0.268820913337583</v>
      </c>
      <c r="E96" s="16" t="n">
        <f aca="false">E95/E86</f>
        <v>0.358162192107044</v>
      </c>
      <c r="F96" s="16" t="n">
        <f aca="false">F95/F86</f>
        <v>0.351681729628383</v>
      </c>
      <c r="G96" s="16" t="n">
        <f aca="false">G95/G86</f>
        <v>0.339614767592466</v>
      </c>
    </row>
    <row r="97" customFormat="false" ht="15" hidden="false" customHeight="false" outlineLevel="0" collapsed="false">
      <c r="A97" s="3" t="s">
        <v>510</v>
      </c>
      <c r="B97" s="0" t="s">
        <v>329</v>
      </c>
      <c r="C97" s="21" t="n">
        <f aca="false">a25_opx</f>
        <v>1.665</v>
      </c>
      <c r="D97" s="21" t="n">
        <f aca="false">a26_opx</f>
        <v>1.9</v>
      </c>
      <c r="E97" s="21" t="n">
        <f aca="false">D97*(1+phi*E87)</f>
        <v>2.3063188</v>
      </c>
      <c r="F97" s="21" t="n">
        <f aca="false">E97*(1+phi*F87)</f>
        <v>2.45351923142076</v>
      </c>
      <c r="G97" s="21" t="n">
        <f aca="false">F97*(1+phi*G87)</f>
        <v>2.59463920409834</v>
      </c>
    </row>
    <row r="98" customFormat="false" ht="15" hidden="false" customHeight="false" outlineLevel="0" collapsed="false">
      <c r="A98" s="3" t="s">
        <v>513</v>
      </c>
      <c r="B98" s="0" t="s">
        <v>329</v>
      </c>
      <c r="C98" s="21" t="n">
        <f aca="false">C95-C97</f>
        <v>1.982</v>
      </c>
      <c r="D98" s="21" t="n">
        <f aca="false">D95-D97</f>
        <v>14.0001925</v>
      </c>
      <c r="E98" s="21" t="n">
        <f aca="false">E95-E97</f>
        <v>26.4288170119878</v>
      </c>
      <c r="F98" s="21" t="n">
        <f aca="false">F95-F97</f>
        <v>28.7630787383503</v>
      </c>
      <c r="G98" s="21" t="n">
        <f aca="false">G95-G97</f>
        <v>30.4406650401587</v>
      </c>
    </row>
    <row r="99" customFormat="false" ht="15" hidden="false" customHeight="false" outlineLevel="0" collapsed="false">
      <c r="A99" s="3" t="s">
        <v>594</v>
      </c>
      <c r="B99" s="0" t="s">
        <v>40</v>
      </c>
      <c r="C99" s="16" t="n">
        <f aca="false">C98/C86</f>
        <v>0.0493366191222961</v>
      </c>
      <c r="D99" s="16" t="n">
        <f aca="false">D98/D86</f>
        <v>0.236698048451424</v>
      </c>
      <c r="E99" s="16" t="n">
        <f aca="false">E98/E86</f>
        <v>0.329415635887147</v>
      </c>
      <c r="F99" s="16" t="n">
        <f aca="false">F98/F86</f>
        <v>0.324040732751717</v>
      </c>
      <c r="G99" s="16" t="n">
        <f aca="false">G98/G86</f>
        <v>0.312940946647126</v>
      </c>
    </row>
    <row r="100" customFormat="false" ht="15" hidden="false" customHeight="false" outlineLevel="0" collapsed="false">
      <c r="A100" s="3" t="s">
        <v>516</v>
      </c>
      <c r="B100" s="0" t="s">
        <v>329</v>
      </c>
      <c r="C100" s="21" t="n">
        <f aca="false">a25_nonop</f>
        <v>0.364</v>
      </c>
      <c r="D100" s="21" t="n">
        <f aca="false">a26_nonop</f>
        <v>0.623</v>
      </c>
      <c r="E100" s="21" t="n">
        <f aca="false">nonop27</f>
        <v>0.6</v>
      </c>
      <c r="F100" s="21" t="n">
        <f aca="false">nonop28</f>
        <v>0.6</v>
      </c>
      <c r="G100" s="21" t="n">
        <f aca="false">nonop29</f>
        <v>0.6</v>
      </c>
    </row>
    <row r="101" customFormat="false" ht="15" hidden="false" customHeight="false" outlineLevel="0" collapsed="false">
      <c r="A101" s="3" t="s">
        <v>518</v>
      </c>
      <c r="B101" s="0" t="s">
        <v>329</v>
      </c>
      <c r="C101" s="21" t="n">
        <f aca="false">C98+C100</f>
        <v>2.346</v>
      </c>
      <c r="D101" s="21" t="n">
        <f aca="false">D98+D100</f>
        <v>14.6231925</v>
      </c>
      <c r="E101" s="21" t="n">
        <f aca="false">E98+E100</f>
        <v>27.0288170119878</v>
      </c>
      <c r="F101" s="21" t="n">
        <f aca="false">F98+F100</f>
        <v>29.3630787383503</v>
      </c>
      <c r="G101" s="21" t="n">
        <f aca="false">G98+G100</f>
        <v>31.0406650401587</v>
      </c>
    </row>
    <row r="102" customFormat="false" ht="15" hidden="false" customHeight="false" outlineLevel="0" collapsed="false">
      <c r="A102" s="3" t="s">
        <v>521</v>
      </c>
      <c r="B102" s="0" t="s">
        <v>329</v>
      </c>
      <c r="E102" s="21" t="n">
        <f aca="false">E101*tax</f>
        <v>5.67605157251743</v>
      </c>
      <c r="F102" s="21" t="n">
        <f aca="false">F101*tax</f>
        <v>6.16624653505356</v>
      </c>
      <c r="G102" s="21" t="n">
        <f aca="false">G101*tax</f>
        <v>6.51853965843332</v>
      </c>
    </row>
    <row r="103" customFormat="false" ht="15" hidden="false" customHeight="false" outlineLevel="0" collapsed="false">
      <c r="A103" s="3" t="s">
        <v>519</v>
      </c>
      <c r="B103" s="0" t="s">
        <v>329</v>
      </c>
      <c r="C103" s="21" t="n">
        <f aca="false">a25_ni</f>
        <v>1.947</v>
      </c>
      <c r="D103" s="21" t="n">
        <f aca="false">a26_ni</f>
        <v>11.509862075</v>
      </c>
      <c r="E103" s="21" t="n">
        <f aca="false">E101-E102</f>
        <v>21.3527654394703</v>
      </c>
      <c r="F103" s="21" t="n">
        <f aca="false">F101-F102</f>
        <v>23.1968322032967</v>
      </c>
      <c r="G103" s="21" t="n">
        <f aca="false">G101-G102</f>
        <v>24.5221253817253</v>
      </c>
      <c r="H103" s="30" t="n">
        <f aca="false">H86*H107</f>
        <v>26.5797325017926</v>
      </c>
      <c r="I103" s="30" t="n">
        <f aca="false">I86*I107</f>
        <v>28.4922530799716</v>
      </c>
      <c r="J103" s="30" t="n">
        <f aca="false">J86*J107</f>
        <v>30.2017882647699</v>
      </c>
    </row>
    <row r="104" customFormat="false" ht="15" hidden="false" customHeight="false" outlineLevel="0" collapsed="false">
      <c r="A104" s="3" t="s">
        <v>653</v>
      </c>
      <c r="B104" s="3" t="s">
        <v>396</v>
      </c>
      <c r="C104" s="29" t="n">
        <f aca="false">a25_sh</f>
        <v>0.646843853820598</v>
      </c>
      <c r="D104" s="29" t="n">
        <f aca="false">a26_sh</f>
        <v>0.645863325123153</v>
      </c>
      <c r="E104" s="29" t="n">
        <f aca="false">a26_shend*(1+sh_g)</f>
        <v>0.64617</v>
      </c>
      <c r="F104" s="29" t="n">
        <f aca="false">E104*(1+sh_g)</f>
        <v>0.64617</v>
      </c>
      <c r="G104" s="29" t="n">
        <f aca="false">F104*(1+sh_g)</f>
        <v>0.64617</v>
      </c>
      <c r="H104" s="31" t="n">
        <f aca="false">G104*(1+sh_g)</f>
        <v>0.64617</v>
      </c>
      <c r="I104" s="31" t="n">
        <f aca="false">H104*(1+sh_g)</f>
        <v>0.64617</v>
      </c>
      <c r="J104" s="31" t="n">
        <f aca="false">I104*(1+sh_g)</f>
        <v>0.64617</v>
      </c>
    </row>
    <row r="105" customFormat="false" ht="17.15" hidden="false" customHeight="false" outlineLevel="0" collapsed="false">
      <c r="A105" s="0" t="s">
        <v>524</v>
      </c>
      <c r="B105" s="0" t="s">
        <v>402</v>
      </c>
      <c r="C105" s="18" t="n">
        <f aca="false">C103/C104</f>
        <v>3.01</v>
      </c>
      <c r="D105" s="18" t="n">
        <f aca="false">D103/D104</f>
        <v>17.820894339844</v>
      </c>
      <c r="E105" s="18" t="n">
        <f aca="false">E103/E104</f>
        <v>33.0451203854564</v>
      </c>
      <c r="F105" s="18" t="n">
        <f aca="false">F103/F104</f>
        <v>35.8989618881977</v>
      </c>
      <c r="G105" s="18" t="n">
        <f aca="false">G103/G104</f>
        <v>37.9499595798712</v>
      </c>
      <c r="H105" s="28" t="n">
        <f aca="false">H103/H104</f>
        <v>41.1342719435947</v>
      </c>
      <c r="I105" s="28" t="n">
        <f aca="false">I103/I104</f>
        <v>44.0940512248659</v>
      </c>
      <c r="J105" s="28" t="n">
        <f aca="false">J103/J104</f>
        <v>46.7396942983578</v>
      </c>
    </row>
    <row r="106" customFormat="false" ht="17.15" hidden="false" customHeight="false" outlineLevel="0" collapsed="false">
      <c r="A106" s="0" t="s">
        <v>654</v>
      </c>
      <c r="B106" s="0" t="s">
        <v>40</v>
      </c>
      <c r="D106" s="20" t="n">
        <f aca="false">D105/C105-1</f>
        <v>4.92056290360265</v>
      </c>
      <c r="E106" s="20" t="n">
        <f aca="false">E105/D105-1</f>
        <v>0.85429079794127</v>
      </c>
      <c r="F106" s="20" t="n">
        <f aca="false">F105/E105-1</f>
        <v>0.0863619641705826</v>
      </c>
      <c r="G106" s="20" t="n">
        <f aca="false">G105/F105-1</f>
        <v>0.0571325070084472</v>
      </c>
      <c r="H106" s="26" t="n">
        <f aca="false">H105/G105-1</f>
        <v>0.0839081885455415</v>
      </c>
      <c r="I106" s="26" t="n">
        <f aca="false">I105/H105-1</f>
        <v>0.0719540942727708</v>
      </c>
      <c r="J106" s="26" t="n">
        <f aca="false">J105/I105-1</f>
        <v>0.0600000000000001</v>
      </c>
    </row>
    <row r="107" customFormat="false" ht="17.15" hidden="false" customHeight="false" outlineLevel="0" collapsed="false">
      <c r="A107" s="3" t="s">
        <v>655</v>
      </c>
      <c r="B107" s="0" t="s">
        <v>40</v>
      </c>
      <c r="C107" s="16" t="n">
        <f aca="false">C103/C86</f>
        <v>0.0484653872003585</v>
      </c>
      <c r="D107" s="16" t="n">
        <f aca="false">D103/D86</f>
        <v>0.194594602259759</v>
      </c>
      <c r="E107" s="16" t="n">
        <f aca="false">E103/E86</f>
        <v>0.266146411396383</v>
      </c>
      <c r="F107" s="16" t="n">
        <f aca="false">F103/F86</f>
        <v>0.261332195105135</v>
      </c>
      <c r="G107" s="16" t="n">
        <f aca="false">G103/G86</f>
        <v>0.252096237734386</v>
      </c>
      <c r="H107" s="27" t="n">
        <f aca="false">$G107+(fade_mA-$G107)*1/3</f>
        <v>0.252096237734386</v>
      </c>
      <c r="I107" s="27" t="n">
        <f aca="false">$G107+(fade_mA-$G107)*2/3</f>
        <v>0.252096237734386</v>
      </c>
      <c r="J107" s="27" t="n">
        <f aca="false">$G107+(fade_mA-$G107)*3/3</f>
        <v>0.252096237734386</v>
      </c>
    </row>
    <row r="108" customFormat="false" ht="17.15" hidden="false" customHeight="false" outlineLevel="0" collapsed="false">
      <c r="A108" s="3" t="s">
        <v>656</v>
      </c>
      <c r="B108" s="0" t="s">
        <v>40</v>
      </c>
      <c r="C108" s="20" t="n">
        <f aca="false">C91/C86</f>
        <v>0.0602892489980833</v>
      </c>
      <c r="D108" s="20" t="n">
        <f aca="false">D91/D86</f>
        <v>0.0676270839708595</v>
      </c>
      <c r="E108" s="20" t="n">
        <f aca="false">E91/E86</f>
        <v>0.174499634256357</v>
      </c>
      <c r="F108" s="20" t="n">
        <f aca="false">F91/F86</f>
        <v>0.202785426504223</v>
      </c>
      <c r="G108" s="20" t="n">
        <f aca="false">G91/G86</f>
        <v>0.123364300839399</v>
      </c>
      <c r="H108" s="26" t="n">
        <f aca="false">$G108+($G93*(1+tp_g)^(life/2)-$G108)*1/3</f>
        <v>0.118003890399427</v>
      </c>
      <c r="I108" s="26" t="n">
        <f aca="false">$G108+($G93*(1+tp_g)^(life/2)-$G108)*2/3</f>
        <v>0.112643479959456</v>
      </c>
      <c r="J108" s="26" t="n">
        <f aca="false">$G108+($G93*(1+tp_g)^(life/2)-$G108)*3/3</f>
        <v>0.107283069519484</v>
      </c>
      <c r="K108" s="7" t="s">
        <v>657</v>
      </c>
    </row>
    <row r="109" customFormat="false" ht="15" hidden="false" customHeight="false" outlineLevel="0" collapsed="false">
      <c r="A109" s="3" t="s">
        <v>658</v>
      </c>
      <c r="B109" s="0" t="s">
        <v>329</v>
      </c>
      <c r="E109" s="21" t="n">
        <f aca="false">E103+E92-E91</f>
        <v>14.0652654394703</v>
      </c>
      <c r="F109" s="21" t="n">
        <f aca="false">F103+F92-F91</f>
        <v>12.8202697032967</v>
      </c>
      <c r="G109" s="21" t="n">
        <f aca="false">G103+G92-G91</f>
        <v>21.4426331942253</v>
      </c>
      <c r="H109" s="30" t="n">
        <f aca="false">H103+H92-H91</f>
        <v>23.8070198481002</v>
      </c>
      <c r="I109" s="30" t="n">
        <f aca="false">I103+I92-I91</f>
        <v>26.1258731372077</v>
      </c>
      <c r="J109" s="30" t="n">
        <f aca="false">J103+J92-J91</f>
        <v>28.33561670836</v>
      </c>
      <c r="K109" s="3" t="s">
        <v>659</v>
      </c>
    </row>
    <row r="110" customFormat="false" ht="15" hidden="false" customHeight="false" outlineLevel="0" collapsed="false">
      <c r="A110" s="3" t="s">
        <v>660</v>
      </c>
      <c r="B110" s="0" t="s">
        <v>402</v>
      </c>
      <c r="E110" s="18" t="n">
        <f aca="false">E109/E104</f>
        <v>21.767128525729</v>
      </c>
      <c r="F110" s="18" t="n">
        <f aca="false">F109/F104</f>
        <v>19.8403975784959</v>
      </c>
      <c r="G110" s="18" t="n">
        <f aca="false">G109/G104</f>
        <v>33.1841979575427</v>
      </c>
      <c r="H110" s="28" t="n">
        <f aca="false">H109/H104</f>
        <v>36.843276302057</v>
      </c>
      <c r="I110" s="28" t="n">
        <f aca="false">I109/I104</f>
        <v>40.4318881056189</v>
      </c>
      <c r="J110" s="28" t="n">
        <f aca="false">J109/J104</f>
        <v>43.8516438527942</v>
      </c>
    </row>
    <row r="113" customFormat="false" ht="17.15" hidden="false" customHeight="false" outlineLevel="0" collapsed="false">
      <c r="A113" s="1" t="s">
        <v>661</v>
      </c>
    </row>
    <row r="114" customFormat="false" ht="17.15" hidden="false" customHeight="false" outlineLevel="0" collapsed="false">
      <c r="A114" s="4" t="s">
        <v>17</v>
      </c>
      <c r="B114" s="4" t="s">
        <v>18</v>
      </c>
      <c r="C114" s="13" t="s">
        <v>494</v>
      </c>
      <c r="D114" s="13" t="s">
        <v>581</v>
      </c>
      <c r="E114" s="13" t="s">
        <v>582</v>
      </c>
      <c r="F114" s="13" t="s">
        <v>583</v>
      </c>
      <c r="G114" s="13" t="s">
        <v>584</v>
      </c>
      <c r="H114" s="13" t="s">
        <v>585</v>
      </c>
      <c r="I114" s="13" t="s">
        <v>586</v>
      </c>
      <c r="J114" s="13" t="s">
        <v>587</v>
      </c>
      <c r="K114" s="4" t="s">
        <v>549</v>
      </c>
    </row>
    <row r="115" customFormat="false" ht="17.15" hidden="false" customHeight="false" outlineLevel="0" collapsed="false">
      <c r="A115" s="5" t="s">
        <v>605</v>
      </c>
    </row>
    <row r="116" customFormat="false" ht="17.15" hidden="false" customHeight="false" outlineLevel="0" collapsed="false">
      <c r="A116" s="0" t="s">
        <v>606</v>
      </c>
      <c r="B116" s="3" t="s">
        <v>28</v>
      </c>
      <c r="D116" s="21" t="n">
        <f aca="false">(u_bw_26+u_rb_26+u_ru_26+u_hp_26)*1</f>
        <v>7.6</v>
      </c>
      <c r="E116" s="21" t="n">
        <f aca="false">(u_bw_27+u_rb_27+u_ru_27+u_hp_27)*1*1</f>
        <v>9.7</v>
      </c>
      <c r="F116" s="21" t="n">
        <f aca="false">(u_bw_28+u_rb_28+u_ru_28+u_hp_28)*um28_B*1</f>
        <v>7.6</v>
      </c>
      <c r="G116" s="21" t="n">
        <f aca="false">(u_bw_28*(1+g29_bw)+u_rb_28*(1+g29_rb)+u_ru_28*(1+g29_ru)+u_hp_28*(1+g29_hp))*um29_B*1</f>
        <v>9.01</v>
      </c>
      <c r="K116" s="7" t="s">
        <v>607</v>
      </c>
    </row>
    <row r="117" customFormat="false" ht="17.15" hidden="false" customHeight="false" outlineLevel="0" collapsed="false">
      <c r="A117" s="3" t="s">
        <v>608</v>
      </c>
      <c r="B117" s="3" t="s">
        <v>28</v>
      </c>
      <c r="D117" s="21" t="n">
        <f aca="false">(u_amd_26+u_tpu_26+u_trn_26+u_oth_26)*1</f>
        <v>7.6</v>
      </c>
      <c r="E117" s="21" t="n">
        <f aca="false">(u_amd_27+u_tpu_27+u_trn_27+u_oth_27)*1*1</f>
        <v>14</v>
      </c>
      <c r="F117" s="21" t="n">
        <f aca="false">(u_amd_28+u_tpu_28+u_trn_28+u_oth_28)*um28_B*1</f>
        <v>13.6</v>
      </c>
      <c r="G117" s="21" t="n">
        <f aca="false">(u_amd_28*(1+g29_amd)+u_tpu_28*(1+g29_tpu)+u_trn_28*(1+g29_trn)+u_oth_28*(1+g29_oth))*um29_B*1</f>
        <v>16.6175</v>
      </c>
      <c r="K117" s="7" t="s">
        <v>609</v>
      </c>
    </row>
    <row r="118" customFormat="false" ht="17.15" hidden="false" customHeight="false" outlineLevel="0" collapsed="false">
      <c r="A118" s="3" t="s">
        <v>610</v>
      </c>
      <c r="B118" s="0" t="s">
        <v>150</v>
      </c>
      <c r="D118" s="19" t="n">
        <f aca="false">1</f>
        <v>1</v>
      </c>
      <c r="E118" s="19" t="n">
        <f aca="false">D118*(1+g_asp)</f>
        <v>1.18</v>
      </c>
      <c r="F118" s="19" t="n">
        <f aca="false">E118*(1+g_asp)</f>
        <v>1.3924</v>
      </c>
      <c r="G118" s="19" t="n">
        <f aca="false">F118*(1+g_asp)</f>
        <v>1.643032</v>
      </c>
      <c r="K118" s="7" t="s">
        <v>611</v>
      </c>
    </row>
    <row r="119" customFormat="false" ht="17.15" hidden="false" customHeight="false" outlineLevel="0" collapsed="false">
      <c r="A119" s="0" t="s">
        <v>612</v>
      </c>
      <c r="B119" s="0" t="s">
        <v>150</v>
      </c>
      <c r="D119" s="18" t="n">
        <f aca="false">1</f>
        <v>1</v>
      </c>
      <c r="E119" s="18" t="n">
        <f aca="false">ibpp_27</f>
        <v>1</v>
      </c>
      <c r="F119" s="18" t="n">
        <f aca="false">ibpp_28</f>
        <v>0.95</v>
      </c>
      <c r="G119" s="18" t="n">
        <f aca="false">ibpp_29</f>
        <v>0.9</v>
      </c>
      <c r="K119" s="7" t="s">
        <v>613</v>
      </c>
    </row>
    <row r="120" customFormat="false" ht="17.15" hidden="false" customHeight="false" outlineLevel="0" collapsed="false">
      <c r="A120" s="3" t="s">
        <v>614</v>
      </c>
      <c r="B120" s="0" t="s">
        <v>150</v>
      </c>
      <c r="D120" s="18" t="n">
        <f aca="false">1</f>
        <v>1</v>
      </c>
      <c r="E120" s="18" t="n">
        <f aca="false">1+carry</f>
        <v>1.15</v>
      </c>
      <c r="F120" s="18" t="n">
        <f aca="false">1+carry</f>
        <v>1.15</v>
      </c>
      <c r="G120" s="18" t="n">
        <f aca="false">1+carry</f>
        <v>1.15</v>
      </c>
      <c r="K120" s="7" t="s">
        <v>615</v>
      </c>
    </row>
    <row r="121" customFormat="false" ht="17.15" hidden="false" customHeight="false" outlineLevel="0" collapsed="false">
      <c r="A121" s="3" t="s">
        <v>616</v>
      </c>
      <c r="B121" s="0" t="s">
        <v>617</v>
      </c>
      <c r="D121" s="23" t="n">
        <f aca="false">v26*D118*D119</f>
        <v>215.308596</v>
      </c>
      <c r="E121" s="23" t="n">
        <f aca="false">v26*E118*E119</f>
        <v>254.06414328</v>
      </c>
      <c r="F121" s="23" t="n">
        <f aca="false">v26*F118*F119</f>
        <v>284.80590461688</v>
      </c>
      <c r="G121" s="23" t="n">
        <f aca="false">v26*G118*G119</f>
        <v>318.383021792765</v>
      </c>
      <c r="K121" s="7" t="s">
        <v>618</v>
      </c>
    </row>
    <row r="122" customFormat="false" ht="17.15" hidden="false" customHeight="false" outlineLevel="0" collapsed="false">
      <c r="A122" s="3" t="s">
        <v>619</v>
      </c>
      <c r="B122" s="0" t="s">
        <v>40</v>
      </c>
      <c r="D122" s="20" t="n">
        <f aca="false">sh_nv_26</f>
        <v>0.02</v>
      </c>
      <c r="E122" s="20" t="n">
        <f aca="false">sh_nv_27</f>
        <v>0.03</v>
      </c>
      <c r="F122" s="20" t="n">
        <f aca="false">sh_nv_28</f>
        <v>0.04</v>
      </c>
      <c r="G122" s="20" t="n">
        <f aca="false">sh_nv_29</f>
        <v>0.04</v>
      </c>
    </row>
    <row r="123" customFormat="false" ht="17.15" hidden="false" customHeight="false" outlineLevel="0" collapsed="false">
      <c r="A123" s="3" t="s">
        <v>620</v>
      </c>
      <c r="B123" s="0" t="s">
        <v>40</v>
      </c>
      <c r="D123" s="20" t="n">
        <f aca="false">sh_ot_26</f>
        <v>0.05</v>
      </c>
      <c r="E123" s="20" t="n">
        <f aca="false">sh_ot_27</f>
        <v>0.06</v>
      </c>
      <c r="F123" s="20" t="n">
        <f aca="false">sh_ot_28</f>
        <v>0.07</v>
      </c>
      <c r="G123" s="20" t="n">
        <f aca="false">sh_ot_29</f>
        <v>0.07</v>
      </c>
    </row>
    <row r="124" customFormat="false" ht="17.15" hidden="false" customHeight="false" outlineLevel="0" collapsed="false">
      <c r="A124" s="3" t="s">
        <v>621</v>
      </c>
      <c r="B124" s="0" t="s">
        <v>571</v>
      </c>
      <c r="D124" s="22" t="n">
        <f aca="false">(D116*D121*D122+D117*D121*v_ot*D123)*D120</f>
        <v>98.180719776</v>
      </c>
      <c r="E124" s="22" t="n">
        <f aca="false">(E116*E121*E122+E117*E121*v_ot*E123)*E120</f>
        <v>281.363335475436</v>
      </c>
      <c r="F124" s="22" t="n">
        <f aca="false">(F116*F121*F122+F117*F121*v_ot*F123)*F120</f>
        <v>349.012547753709</v>
      </c>
      <c r="G124" s="22" t="n">
        <f aca="false">(G116*G121*G122+G117*G121*v_ot*G123)*G120</f>
        <v>472.680030495127</v>
      </c>
    </row>
    <row r="125" customFormat="false" ht="15" hidden="false" customHeight="false" outlineLevel="0" collapsed="false">
      <c r="A125" s="3" t="s">
        <v>622</v>
      </c>
      <c r="B125" s="0" t="s">
        <v>329</v>
      </c>
      <c r="D125" s="21" t="n">
        <f aca="false">D124*fx/1000</f>
        <v>3.19087339272</v>
      </c>
      <c r="E125" s="21" t="n">
        <f aca="false">E124*fx/1000</f>
        <v>9.14430840295167</v>
      </c>
      <c r="F125" s="21" t="n">
        <f aca="false">F124*fx/1000</f>
        <v>11.3429078019956</v>
      </c>
      <c r="G125" s="21" t="n">
        <f aca="false">G124*fx/1000</f>
        <v>15.3621009910916</v>
      </c>
    </row>
    <row r="126" customFormat="false" ht="17.15" hidden="false" customHeight="false" outlineLevel="0" collapsed="false">
      <c r="A126" s="5" t="s">
        <v>623</v>
      </c>
    </row>
    <row r="127" customFormat="false" ht="17.15" hidden="false" customHeight="false" outlineLevel="0" collapsed="false">
      <c r="A127" s="0" t="s">
        <v>624</v>
      </c>
      <c r="B127" s="0" t="s">
        <v>329</v>
      </c>
      <c r="D127" s="21" t="n">
        <f aca="false">a26_abf*ai_abf</f>
        <v>22.2987583</v>
      </c>
      <c r="K127" s="3" t="s">
        <v>625</v>
      </c>
    </row>
    <row r="128" customFormat="false" ht="17.15" hidden="false" customHeight="false" outlineLevel="0" collapsed="false">
      <c r="A128" s="3" t="s">
        <v>626</v>
      </c>
      <c r="B128" s="0" t="s">
        <v>329</v>
      </c>
      <c r="D128" s="21" t="n">
        <f aca="false">D127-D125</f>
        <v>19.10788490728</v>
      </c>
      <c r="E128" s="21" t="n">
        <f aca="false">$D128*(swm_27/swm_26)^el_o*1*1*E119*E120</f>
        <v>30.7354094978265</v>
      </c>
      <c r="F128" s="21" t="n">
        <f aca="false">$D128*(swm_28/swm_26)^el_o*um28_B*1*F119*F120</f>
        <v>25.1283201708164</v>
      </c>
      <c r="G128" s="21" t="n">
        <f aca="false">$D128*(swm_29/swm_26)^el_o*um29_B*1*G119*G120</f>
        <v>26.9834550955968</v>
      </c>
      <c r="K128" s="7" t="s">
        <v>627</v>
      </c>
    </row>
    <row r="129" customFormat="false" ht="17.15" hidden="false" customHeight="false" outlineLevel="0" collapsed="false">
      <c r="A129" s="3" t="s">
        <v>628</v>
      </c>
      <c r="B129" s="0" t="s">
        <v>329</v>
      </c>
      <c r="D129" s="21" t="n">
        <f aca="false">a26_abf-D127</f>
        <v>12.0070237</v>
      </c>
      <c r="E129" s="21" t="n">
        <f aca="false">D129*(1+g_nai)</f>
        <v>12.367234411</v>
      </c>
      <c r="F129" s="21" t="n">
        <f aca="false">E129*(1+g_nai)</f>
        <v>12.73825144333</v>
      </c>
      <c r="G129" s="21" t="n">
        <f aca="false">F129*(1+g_nai)</f>
        <v>13.1203989866299</v>
      </c>
    </row>
    <row r="130" customFormat="false" ht="17.15" hidden="false" customHeight="false" outlineLevel="0" collapsed="false">
      <c r="A130" s="0" t="s">
        <v>629</v>
      </c>
      <c r="B130" s="0" t="s">
        <v>329</v>
      </c>
      <c r="D130" s="21" t="n">
        <f aca="false">D125+D128+D129</f>
        <v>34.305782</v>
      </c>
      <c r="E130" s="21" t="n">
        <f aca="false">E125+E128+E129</f>
        <v>52.2469523117781</v>
      </c>
      <c r="F130" s="21" t="n">
        <f aca="false">F125+F128+F129</f>
        <v>49.2094794161419</v>
      </c>
      <c r="G130" s="21" t="n">
        <f aca="false">G125+G128+G129</f>
        <v>55.4659550733184</v>
      </c>
    </row>
    <row r="131" customFormat="false" ht="17.15" hidden="false" customHeight="false" outlineLevel="0" collapsed="false">
      <c r="A131" s="0" t="s">
        <v>630</v>
      </c>
      <c r="B131" s="0" t="s">
        <v>329</v>
      </c>
      <c r="D131" s="21" t="n">
        <f aca="false">a26_abf</f>
        <v>34.305782</v>
      </c>
      <c r="E131" s="21" t="n">
        <f aca="false">$D130*cap_27*(1+g_mix)^1*E119*E120</f>
        <v>49.709078118</v>
      </c>
      <c r="F131" s="21" t="n">
        <f aca="false">$D130*cap_28*(1+g_mix)^2*F119*F120</f>
        <v>55.7829061005431</v>
      </c>
      <c r="G131" s="21" t="n">
        <f aca="false">$D130*cap_29*(1+g_mix)^3*G119*G120</f>
        <v>65.765110350114</v>
      </c>
      <c r="K131" s="7" t="s">
        <v>631</v>
      </c>
    </row>
    <row r="132" customFormat="false" ht="17.15" hidden="false" customHeight="false" outlineLevel="0" collapsed="false">
      <c r="A132" s="0" t="s">
        <v>632</v>
      </c>
      <c r="B132" s="0" t="s">
        <v>329</v>
      </c>
      <c r="D132" s="21" t="n">
        <f aca="false">a26_abf</f>
        <v>34.305782</v>
      </c>
      <c r="E132" s="21" t="n">
        <f aca="false">MIN(E130,E131)</f>
        <v>49.709078118</v>
      </c>
      <c r="F132" s="21" t="n">
        <f aca="false">MIN(F130,F131)</f>
        <v>49.2094794161419</v>
      </c>
      <c r="G132" s="21" t="n">
        <f aca="false">MIN(G130,G131)</f>
        <v>55.4659550733184</v>
      </c>
    </row>
    <row r="133" customFormat="false" ht="17.15" hidden="false" customHeight="false" outlineLevel="0" collapsed="false">
      <c r="A133" s="3" t="s">
        <v>633</v>
      </c>
      <c r="B133" s="0" t="s">
        <v>40</v>
      </c>
      <c r="D133" s="20" t="n">
        <f aca="false">D132/D130</f>
        <v>1</v>
      </c>
      <c r="E133" s="20" t="n">
        <f aca="false">E132/E130</f>
        <v>0.951425411789885</v>
      </c>
      <c r="F133" s="20" t="n">
        <f aca="false">F132/F130</f>
        <v>1</v>
      </c>
      <c r="G133" s="20" t="n">
        <f aca="false">G132/G130</f>
        <v>1</v>
      </c>
    </row>
    <row r="134" customFormat="false" ht="17.15" hidden="false" customHeight="false" outlineLevel="0" collapsed="false">
      <c r="A134" s="0" t="s">
        <v>634</v>
      </c>
      <c r="B134" s="0" t="s">
        <v>329</v>
      </c>
      <c r="D134" s="21" t="n">
        <f aca="false">(D125+D128)*D133</f>
        <v>22.2987583</v>
      </c>
      <c r="E134" s="21" t="n">
        <f aca="false">(E125+E128)*E133</f>
        <v>37.9425770258123</v>
      </c>
      <c r="F134" s="21" t="n">
        <f aca="false">(F125+F128)*F133</f>
        <v>36.4712279728119</v>
      </c>
      <c r="G134" s="21" t="n">
        <f aca="false">(G125+G128)*G133</f>
        <v>42.3455560866885</v>
      </c>
    </row>
    <row r="135" customFormat="false" ht="17.15" hidden="false" customHeight="false" outlineLevel="0" collapsed="false">
      <c r="A135" s="3" t="s">
        <v>635</v>
      </c>
      <c r="B135" s="0" t="s">
        <v>40</v>
      </c>
      <c r="D135" s="20" t="n">
        <f aca="false">D125/(D125+D128)</f>
        <v>0.14309646078903</v>
      </c>
      <c r="E135" s="20" t="n">
        <f aca="false">E125/(E125+E128)</f>
        <v>0.229297218844501</v>
      </c>
      <c r="F135" s="20" t="n">
        <f aca="false">F125/(F125+F128)</f>
        <v>0.311009758444419</v>
      </c>
      <c r="G135" s="20" t="n">
        <f aca="false">G125/(G125+G128)</f>
        <v>0.362779531331288</v>
      </c>
    </row>
    <row r="136" customFormat="false" ht="17.15" hidden="false" customHeight="false" outlineLevel="0" collapsed="false">
      <c r="A136" s="5" t="s">
        <v>636</v>
      </c>
    </row>
    <row r="137" customFormat="false" ht="17.15" hidden="false" customHeight="false" outlineLevel="0" collapsed="false">
      <c r="A137" s="0" t="s">
        <v>637</v>
      </c>
      <c r="B137" s="0" t="s">
        <v>329</v>
      </c>
      <c r="D137" s="21" t="n">
        <f aca="false">a26_bt</f>
        <v>18.927328</v>
      </c>
      <c r="E137" s="21" t="n">
        <f aca="false">D137*(1+g_bt27_B)</f>
        <v>23.65916</v>
      </c>
      <c r="F137" s="21" t="n">
        <f aca="false">E137*(1+g_bt28_B)</f>
        <v>24.842118</v>
      </c>
      <c r="G137" s="21" t="n">
        <f aca="false">F137*(1+g_bt29_B)</f>
        <v>25.58738154</v>
      </c>
      <c r="K137" s="7" t="s">
        <v>638</v>
      </c>
    </row>
    <row r="138" customFormat="false" ht="17.15" hidden="false" customHeight="false" outlineLevel="0" collapsed="false">
      <c r="A138" s="0" t="s">
        <v>536</v>
      </c>
      <c r="B138" s="0" t="s">
        <v>329</v>
      </c>
      <c r="D138" s="21" t="n">
        <f aca="false">a26_pcb</f>
        <v>5.91479</v>
      </c>
      <c r="E138" s="21" t="n">
        <f aca="false">D138*(1+g_pcb)</f>
        <v>5.91479</v>
      </c>
      <c r="F138" s="21" t="n">
        <f aca="false">E138*(1+g_pcb)</f>
        <v>5.91479</v>
      </c>
      <c r="G138" s="21" t="n">
        <f aca="false">F138*(1+g_pcb)</f>
        <v>5.91479</v>
      </c>
    </row>
    <row r="139" customFormat="false" ht="17.15" hidden="false" customHeight="false" outlineLevel="0" collapsed="false">
      <c r="A139" s="3" t="s">
        <v>501</v>
      </c>
      <c r="B139" s="0" t="s">
        <v>329</v>
      </c>
      <c r="C139" s="23" t="n">
        <f aca="false">a25_rev</f>
        <v>40.173</v>
      </c>
      <c r="D139" s="23" t="n">
        <f aca="false">D132+D137+D138</f>
        <v>59.1479</v>
      </c>
      <c r="E139" s="23" t="n">
        <f aca="false">E132+E137+E138</f>
        <v>79.283028118</v>
      </c>
      <c r="F139" s="23" t="n">
        <f aca="false">F132+F137+F138</f>
        <v>79.9663874161419</v>
      </c>
      <c r="G139" s="23" t="n">
        <f aca="false">G132+G137+G138</f>
        <v>86.9681266133184</v>
      </c>
      <c r="H139" s="25" t="n">
        <f aca="false">G139*(1+H140)</f>
        <v>93.2042357528009</v>
      </c>
      <c r="I139" s="25" t="n">
        <f aca="false">H139*(1+I140)</f>
        <v>98.4099572780922</v>
      </c>
      <c r="J139" s="25" t="n">
        <f aca="false">I139*(1+J140)</f>
        <v>102.346355569216</v>
      </c>
      <c r="K139" s="7" t="s">
        <v>639</v>
      </c>
    </row>
    <row r="140" customFormat="false" ht="15" hidden="false" customHeight="false" outlineLevel="0" collapsed="false">
      <c r="A140" s="3" t="s">
        <v>640</v>
      </c>
      <c r="B140" s="0" t="s">
        <v>40</v>
      </c>
      <c r="D140" s="20" t="n">
        <f aca="false">D139/C139-1</f>
        <v>0.472329674159261</v>
      </c>
      <c r="E140" s="20" t="n">
        <f aca="false">E139/D139-1</f>
        <v>0.34042</v>
      </c>
      <c r="F140" s="20" t="n">
        <f aca="false">F139/E139-1</f>
        <v>0.00861923811896848</v>
      </c>
      <c r="G140" s="20" t="n">
        <f aca="false">G139/F139-1</f>
        <v>0.0875585283194009</v>
      </c>
      <c r="H140" s="26" t="n">
        <f aca="false">$G140+(fade_gB-$G140)*1/3</f>
        <v>0.0717056855462673</v>
      </c>
      <c r="I140" s="26" t="n">
        <f aca="false">$G140+(fade_gB-$G140)*2/3</f>
        <v>0.0558528427731336</v>
      </c>
      <c r="J140" s="26" t="n">
        <f aca="false">$G140+(fade_gB-$G140)*3/3</f>
        <v>0.04</v>
      </c>
    </row>
    <row r="141" customFormat="false" ht="17.15" hidden="false" customHeight="false" outlineLevel="0" collapsed="false">
      <c r="A141" s="0" t="s">
        <v>641</v>
      </c>
      <c r="B141" s="0" t="s">
        <v>40</v>
      </c>
      <c r="D141" s="20" t="n">
        <f aca="false">D132/D139</f>
        <v>0.58</v>
      </c>
      <c r="E141" s="20" t="n">
        <f aca="false">E132/E139</f>
        <v>0.626982587547187</v>
      </c>
      <c r="F141" s="20" t="n">
        <f aca="false">F132/F139</f>
        <v>0.615377047859593</v>
      </c>
      <c r="G141" s="20" t="n">
        <f aca="false">G132/G139</f>
        <v>0.637773368626573</v>
      </c>
    </row>
    <row r="142" customFormat="false" ht="17.15" hidden="false" customHeight="false" outlineLevel="0" collapsed="false">
      <c r="A142" s="0" t="s">
        <v>642</v>
      </c>
      <c r="B142" s="0" t="s">
        <v>40</v>
      </c>
      <c r="D142" s="20" t="n">
        <f aca="false">D134/D139</f>
        <v>0.377</v>
      </c>
      <c r="E142" s="20" t="n">
        <f aca="false">E134/E139</f>
        <v>0.478571239349497</v>
      </c>
      <c r="F142" s="20" t="n">
        <f aca="false">F134/F139</f>
        <v>0.456081975830884</v>
      </c>
      <c r="G142" s="20" t="n">
        <f aca="false">G134/G139</f>
        <v>0.486908914054999</v>
      </c>
      <c r="K142" s="3" t="s">
        <v>643</v>
      </c>
    </row>
    <row r="143" customFormat="false" ht="17.15" hidden="false" customHeight="false" outlineLevel="0" collapsed="false">
      <c r="A143" s="5" t="s">
        <v>644</v>
      </c>
    </row>
    <row r="144" customFormat="false" ht="15" hidden="false" customHeight="false" outlineLevel="0" collapsed="false">
      <c r="A144" s="3" t="s">
        <v>645</v>
      </c>
      <c r="B144" s="0" t="s">
        <v>329</v>
      </c>
      <c r="C144" s="23" t="n">
        <f aca="false">a25_cx</f>
        <v>2.422</v>
      </c>
      <c r="D144" s="23" t="n">
        <f aca="false">capex26</f>
        <v>4</v>
      </c>
      <c r="E144" s="23" t="n">
        <f aca="false">cx27</f>
        <v>14</v>
      </c>
      <c r="F144" s="23" t="n">
        <f aca="false">cx28</f>
        <v>18</v>
      </c>
      <c r="G144" s="23" t="n">
        <f aca="false">cx29</f>
        <v>12</v>
      </c>
      <c r="H144" s="25" t="n">
        <f aca="false">H139*H161</f>
        <v>12.3016567415836</v>
      </c>
      <c r="I144" s="25" t="n">
        <f aca="false">I139*I161</f>
        <v>12.3987165464387</v>
      </c>
      <c r="J144" s="25" t="n">
        <f aca="false">J139*J161</f>
        <v>12.2810416055155</v>
      </c>
    </row>
    <row r="145" customFormat="false" ht="17.15" hidden="false" customHeight="false" outlineLevel="0" collapsed="false">
      <c r="A145" s="3" t="s">
        <v>646</v>
      </c>
      <c r="B145" s="0" t="s">
        <v>329</v>
      </c>
      <c r="C145" s="23" t="n">
        <f aca="false">a25_da</f>
        <v>6.894</v>
      </c>
      <c r="D145" s="23" t="n">
        <f aca="false">da26</f>
        <v>7.1</v>
      </c>
      <c r="E145" s="23" t="n">
        <f aca="false">D145*(1-1/life)+D144/life</f>
        <v>6.7125</v>
      </c>
      <c r="F145" s="23" t="n">
        <f aca="false">E145*(1-1/life)+E144/life</f>
        <v>7.6234375</v>
      </c>
      <c r="G145" s="23" t="n">
        <f aca="false">F145*(1-1/life)+F144/life</f>
        <v>8.9205078125</v>
      </c>
      <c r="H145" s="25" t="n">
        <f aca="false">H139*H146</f>
        <v>9.56015894061614</v>
      </c>
      <c r="I145" s="25" t="n">
        <f aca="false">I139*I146</f>
        <v>10.0941209948125</v>
      </c>
      <c r="J145" s="25" t="n">
        <f aca="false">J139*J146</f>
        <v>10.497885834605</v>
      </c>
      <c r="K145" s="3" t="s">
        <v>647</v>
      </c>
    </row>
    <row r="146" customFormat="false" ht="17.15" hidden="false" customHeight="false" outlineLevel="0" collapsed="false">
      <c r="A146" s="3" t="s">
        <v>648</v>
      </c>
      <c r="B146" s="0" t="s">
        <v>40</v>
      </c>
      <c r="C146" s="20" t="n">
        <f aca="false">C145/C139</f>
        <v>0.171607796281084</v>
      </c>
      <c r="D146" s="20" t="n">
        <f aca="false">D145/D139</f>
        <v>0.120038074048276</v>
      </c>
      <c r="E146" s="20" t="n">
        <f aca="false">E145/E139</f>
        <v>0.084665030578922</v>
      </c>
      <c r="F146" s="20" t="n">
        <f aca="false">F145/F139</f>
        <v>0.0953330236156341</v>
      </c>
      <c r="G146" s="20" t="n">
        <f aca="false">G145/G139</f>
        <v>0.102572150969317</v>
      </c>
      <c r="H146" s="26" t="n">
        <f aca="false">$G146</f>
        <v>0.102572150969317</v>
      </c>
      <c r="I146" s="26" t="n">
        <f aca="false">$G146</f>
        <v>0.102572150969317</v>
      </c>
      <c r="J146" s="26" t="n">
        <f aca="false">$G146</f>
        <v>0.102572150969317</v>
      </c>
    </row>
    <row r="147" customFormat="false" ht="17.15" hidden="false" customHeight="false" outlineLevel="0" collapsed="false">
      <c r="A147" s="3" t="s">
        <v>649</v>
      </c>
      <c r="B147" s="0" t="s">
        <v>329</v>
      </c>
      <c r="E147" s="21" t="n">
        <f aca="false">E134*(1-1/(E119*E120))</f>
        <v>4.94903178597551</v>
      </c>
      <c r="F147" s="21" t="n">
        <f aca="false">F134*(1-1/(F119*F120))</f>
        <v>3.08795294048979</v>
      </c>
      <c r="G147" s="21" t="n">
        <f aca="false">G134*(1-1/(G119*G120))</f>
        <v>1.43197532660299</v>
      </c>
      <c r="K147" s="7" t="s">
        <v>650</v>
      </c>
    </row>
    <row r="148" customFormat="false" ht="17.15" hidden="false" customHeight="false" outlineLevel="0" collapsed="false">
      <c r="A148" s="3" t="s">
        <v>651</v>
      </c>
      <c r="B148" s="0" t="s">
        <v>329</v>
      </c>
      <c r="C148" s="21" t="n">
        <f aca="false">a25_gp</f>
        <v>3.647</v>
      </c>
      <c r="D148" s="21" t="n">
        <f aca="false">a26_gp</f>
        <v>15.9001925</v>
      </c>
      <c r="E148" s="21" t="n">
        <f aca="false">$D148+ft_abf*(E132-E147-$D132)+ft_oth*((E139-E132)-($D139-$D132))+E147-(E145-$D145)</f>
        <v>28.3565892519878</v>
      </c>
      <c r="F148" s="21" t="n">
        <f aca="false">$D148+ft_abf*(F132-F147-$D132)+ft_oth*((F139-F132)-($D139-$D132))+F147-(F145-$D145)</f>
        <v>26.7384961783159</v>
      </c>
      <c r="G148" s="21" t="n">
        <f aca="false">$D148+ft_abf*(G132-G147-$D132)+ft_oth*((G139-G132)-($D139-$D132))+G147-(G145-$D145)</f>
        <v>28.0397803034607</v>
      </c>
      <c r="K148" s="3" t="s">
        <v>652</v>
      </c>
    </row>
    <row r="149" customFormat="false" ht="15" hidden="false" customHeight="false" outlineLevel="0" collapsed="false">
      <c r="A149" s="3" t="s">
        <v>508</v>
      </c>
      <c r="B149" s="0" t="s">
        <v>40</v>
      </c>
      <c r="C149" s="16" t="n">
        <f aca="false">C148/C139</f>
        <v>0.0907823662659</v>
      </c>
      <c r="D149" s="16" t="n">
        <f aca="false">D148/D139</f>
        <v>0.268820913337583</v>
      </c>
      <c r="E149" s="16" t="n">
        <f aca="false">E148/E139</f>
        <v>0.357662792720071</v>
      </c>
      <c r="F149" s="16" t="n">
        <f aca="false">F148/F139</f>
        <v>0.334371690935215</v>
      </c>
      <c r="G149" s="16" t="n">
        <f aca="false">G148/G139</f>
        <v>0.322414445330442</v>
      </c>
    </row>
    <row r="150" customFormat="false" ht="15" hidden="false" customHeight="false" outlineLevel="0" collapsed="false">
      <c r="A150" s="3" t="s">
        <v>510</v>
      </c>
      <c r="B150" s="0" t="s">
        <v>329</v>
      </c>
      <c r="C150" s="21" t="n">
        <f aca="false">a25_opx</f>
        <v>1.665</v>
      </c>
      <c r="D150" s="21" t="n">
        <f aca="false">a26_opx</f>
        <v>1.9</v>
      </c>
      <c r="E150" s="21" t="n">
        <f aca="false">D150*(1+phi*E140)</f>
        <v>2.2880788</v>
      </c>
      <c r="F150" s="21" t="n">
        <f aca="false">E150*(1+phi*F140)</f>
        <v>2.2999116976073</v>
      </c>
      <c r="G150" s="21" t="n">
        <f aca="false">F150*(1+phi*G140)</f>
        <v>2.42073782771154</v>
      </c>
    </row>
    <row r="151" customFormat="false" ht="15" hidden="false" customHeight="false" outlineLevel="0" collapsed="false">
      <c r="A151" s="3" t="s">
        <v>513</v>
      </c>
      <c r="B151" s="0" t="s">
        <v>329</v>
      </c>
      <c r="C151" s="21" t="n">
        <f aca="false">C148-C150</f>
        <v>1.982</v>
      </c>
      <c r="D151" s="21" t="n">
        <f aca="false">D148-D150</f>
        <v>14.0001925</v>
      </c>
      <c r="E151" s="21" t="n">
        <f aca="false">E148-E150</f>
        <v>26.0685104519878</v>
      </c>
      <c r="F151" s="21" t="n">
        <f aca="false">F148-F150</f>
        <v>24.4385844807086</v>
      </c>
      <c r="G151" s="21" t="n">
        <f aca="false">G148-G150</f>
        <v>25.6190424757491</v>
      </c>
    </row>
    <row r="152" customFormat="false" ht="15" hidden="false" customHeight="false" outlineLevel="0" collapsed="false">
      <c r="A152" s="3" t="s">
        <v>594</v>
      </c>
      <c r="B152" s="0" t="s">
        <v>40</v>
      </c>
      <c r="C152" s="16" t="n">
        <f aca="false">C151/C139</f>
        <v>0.0493366191222961</v>
      </c>
      <c r="D152" s="16" t="n">
        <f aca="false">D151/D139</f>
        <v>0.236698048451424</v>
      </c>
      <c r="E152" s="16" t="n">
        <f aca="false">E151/E139</f>
        <v>0.328803163436051</v>
      </c>
      <c r="F152" s="16" t="n">
        <f aca="false">F151/F139</f>
        <v>0.305610710579323</v>
      </c>
      <c r="G152" s="16" t="n">
        <f aca="false">G151/G139</f>
        <v>0.294579675030344</v>
      </c>
    </row>
    <row r="153" customFormat="false" ht="15" hidden="false" customHeight="false" outlineLevel="0" collapsed="false">
      <c r="A153" s="3" t="s">
        <v>516</v>
      </c>
      <c r="B153" s="0" t="s">
        <v>329</v>
      </c>
      <c r="C153" s="21" t="n">
        <f aca="false">a25_nonop</f>
        <v>0.364</v>
      </c>
      <c r="D153" s="21" t="n">
        <f aca="false">a26_nonop</f>
        <v>0.623</v>
      </c>
      <c r="E153" s="21" t="n">
        <f aca="false">nonop27</f>
        <v>0.6</v>
      </c>
      <c r="F153" s="21" t="n">
        <f aca="false">nonop28</f>
        <v>0.6</v>
      </c>
      <c r="G153" s="21" t="n">
        <f aca="false">nonop29</f>
        <v>0.6</v>
      </c>
    </row>
    <row r="154" customFormat="false" ht="15" hidden="false" customHeight="false" outlineLevel="0" collapsed="false">
      <c r="A154" s="3" t="s">
        <v>518</v>
      </c>
      <c r="B154" s="0" t="s">
        <v>329</v>
      </c>
      <c r="C154" s="21" t="n">
        <f aca="false">C151+C153</f>
        <v>2.346</v>
      </c>
      <c r="D154" s="21" t="n">
        <f aca="false">D151+D153</f>
        <v>14.6231925</v>
      </c>
      <c r="E154" s="21" t="n">
        <f aca="false">E151+E153</f>
        <v>26.6685104519878</v>
      </c>
      <c r="F154" s="21" t="n">
        <f aca="false">F151+F153</f>
        <v>25.0385844807086</v>
      </c>
      <c r="G154" s="21" t="n">
        <f aca="false">G151+G153</f>
        <v>26.2190424757491</v>
      </c>
    </row>
    <row r="155" customFormat="false" ht="15" hidden="false" customHeight="false" outlineLevel="0" collapsed="false">
      <c r="A155" s="3" t="s">
        <v>521</v>
      </c>
      <c r="B155" s="0" t="s">
        <v>329</v>
      </c>
      <c r="E155" s="21" t="n">
        <f aca="false">E154*tax</f>
        <v>5.60038719491743</v>
      </c>
      <c r="F155" s="21" t="n">
        <f aca="false">F154*tax</f>
        <v>5.2581027409488</v>
      </c>
      <c r="G155" s="21" t="n">
        <f aca="false">G154*tax</f>
        <v>5.50599891990732</v>
      </c>
    </row>
    <row r="156" customFormat="false" ht="15" hidden="false" customHeight="false" outlineLevel="0" collapsed="false">
      <c r="A156" s="3" t="s">
        <v>519</v>
      </c>
      <c r="B156" s="0" t="s">
        <v>329</v>
      </c>
      <c r="C156" s="21" t="n">
        <f aca="false">a25_ni</f>
        <v>1.947</v>
      </c>
      <c r="D156" s="21" t="n">
        <f aca="false">a26_ni</f>
        <v>11.509862075</v>
      </c>
      <c r="E156" s="21" t="n">
        <f aca="false">E154-E155</f>
        <v>21.0681232570703</v>
      </c>
      <c r="F156" s="21" t="n">
        <f aca="false">F154-F155</f>
        <v>19.7804817397598</v>
      </c>
      <c r="G156" s="21" t="n">
        <f aca="false">G154-G155</f>
        <v>20.7130435558418</v>
      </c>
      <c r="H156" s="30" t="n">
        <f aca="false">H139*H160</f>
        <v>21.4583436589711</v>
      </c>
      <c r="I156" s="30" t="n">
        <f aca="false">I139*I160</f>
        <v>21.8755823551299</v>
      </c>
      <c r="J156" s="30" t="n">
        <f aca="false">J139*J160</f>
        <v>21.9380840190017</v>
      </c>
    </row>
    <row r="157" customFormat="false" ht="15" hidden="false" customHeight="false" outlineLevel="0" collapsed="false">
      <c r="A157" s="3" t="s">
        <v>653</v>
      </c>
      <c r="B157" s="3" t="s">
        <v>396</v>
      </c>
      <c r="C157" s="29" t="n">
        <f aca="false">a25_sh</f>
        <v>0.646843853820598</v>
      </c>
      <c r="D157" s="29" t="n">
        <f aca="false">a26_sh</f>
        <v>0.645863325123153</v>
      </c>
      <c r="E157" s="29" t="n">
        <f aca="false">a26_shend*(1+sh_g)</f>
        <v>0.64617</v>
      </c>
      <c r="F157" s="29" t="n">
        <f aca="false">E157*(1+sh_g)</f>
        <v>0.64617</v>
      </c>
      <c r="G157" s="29" t="n">
        <f aca="false">F157*(1+sh_g)</f>
        <v>0.64617</v>
      </c>
      <c r="H157" s="31" t="n">
        <f aca="false">G157*(1+sh_g)</f>
        <v>0.64617</v>
      </c>
      <c r="I157" s="31" t="n">
        <f aca="false">H157*(1+sh_g)</f>
        <v>0.64617</v>
      </c>
      <c r="J157" s="31" t="n">
        <f aca="false">I157*(1+sh_g)</f>
        <v>0.64617</v>
      </c>
    </row>
    <row r="158" customFormat="false" ht="17.15" hidden="false" customHeight="false" outlineLevel="0" collapsed="false">
      <c r="A158" s="0" t="s">
        <v>524</v>
      </c>
      <c r="B158" s="0" t="s">
        <v>402</v>
      </c>
      <c r="C158" s="18" t="n">
        <f aca="false">C156/C157</f>
        <v>3.01</v>
      </c>
      <c r="D158" s="18" t="n">
        <f aca="false">D156/D157</f>
        <v>17.820894339844</v>
      </c>
      <c r="E158" s="18" t="n">
        <f aca="false">E156/E157</f>
        <v>32.6046137348845</v>
      </c>
      <c r="F158" s="18" t="n">
        <f aca="false">F156/F157</f>
        <v>30.6118850144076</v>
      </c>
      <c r="G158" s="18" t="n">
        <f aca="false">G156/G157</f>
        <v>32.0550993636997</v>
      </c>
      <c r="H158" s="28" t="n">
        <f aca="false">H156/H157</f>
        <v>33.2085111641999</v>
      </c>
      <c r="I158" s="28" t="n">
        <f aca="false">I156/I157</f>
        <v>33.8542215750189</v>
      </c>
      <c r="J158" s="28" t="n">
        <f aca="false">J156/J157</f>
        <v>33.9509479223761</v>
      </c>
    </row>
    <row r="159" customFormat="false" ht="17.15" hidden="false" customHeight="false" outlineLevel="0" collapsed="false">
      <c r="A159" s="0" t="s">
        <v>654</v>
      </c>
      <c r="B159" s="0" t="s">
        <v>40</v>
      </c>
      <c r="D159" s="20" t="n">
        <f aca="false">D158/C158-1</f>
        <v>4.92056290360265</v>
      </c>
      <c r="E159" s="20" t="n">
        <f aca="false">E158/D158-1</f>
        <v>0.829572248907121</v>
      </c>
      <c r="F159" s="20" t="n">
        <f aca="false">F158/E158-1</f>
        <v>-0.0611179981054287</v>
      </c>
      <c r="G159" s="20" t="n">
        <f aca="false">G158/F158-1</f>
        <v>0.0471455563292758</v>
      </c>
      <c r="H159" s="26" t="n">
        <f aca="false">H158/G158-1</f>
        <v>0.0359821626947252</v>
      </c>
      <c r="I159" s="26" t="n">
        <f aca="false">I158/H158-1</f>
        <v>0.0194441240568188</v>
      </c>
      <c r="J159" s="26" t="n">
        <f aca="false">J158/I158-1</f>
        <v>0.00285714285714289</v>
      </c>
    </row>
    <row r="160" customFormat="false" ht="17.15" hidden="false" customHeight="false" outlineLevel="0" collapsed="false">
      <c r="A160" s="3" t="s">
        <v>655</v>
      </c>
      <c r="B160" s="0" t="s">
        <v>40</v>
      </c>
      <c r="C160" s="16" t="n">
        <f aca="false">C156/C139</f>
        <v>0.0484653872003585</v>
      </c>
      <c r="D160" s="16" t="n">
        <f aca="false">D156/D139</f>
        <v>0.194594602259759</v>
      </c>
      <c r="E160" s="16" t="n">
        <f aca="false">E156/E139</f>
        <v>0.265733080044746</v>
      </c>
      <c r="F160" s="16" t="n">
        <f aca="false">F156/F139</f>
        <v>0.24735995183605</v>
      </c>
      <c r="G160" s="16" t="n">
        <f aca="false">G156/G139</f>
        <v>0.238168215902098</v>
      </c>
      <c r="H160" s="27" t="n">
        <f aca="false">$G160+(fade_mB-$G160)*1/3</f>
        <v>0.230229275372028</v>
      </c>
      <c r="I160" s="27" t="n">
        <f aca="false">$G160+(fade_mB-$G160)*2/3</f>
        <v>0.222290334841958</v>
      </c>
      <c r="J160" s="27" t="n">
        <f aca="false">$G160+(fade_mB-$G160)*3/3</f>
        <v>0.214351394311888</v>
      </c>
    </row>
    <row r="161" customFormat="false" ht="17.15" hidden="false" customHeight="false" outlineLevel="0" collapsed="false">
      <c r="A161" s="3" t="s">
        <v>656</v>
      </c>
      <c r="B161" s="0" t="s">
        <v>40</v>
      </c>
      <c r="C161" s="20" t="n">
        <f aca="false">C144/C139</f>
        <v>0.0602892489980833</v>
      </c>
      <c r="D161" s="20" t="n">
        <f aca="false">D144/D139</f>
        <v>0.0676270839708595</v>
      </c>
      <c r="E161" s="20" t="n">
        <f aca="false">E144/E139</f>
        <v>0.176582559121774</v>
      </c>
      <c r="F161" s="20" t="n">
        <f aca="false">F144/F139</f>
        <v>0.225094575128531</v>
      </c>
      <c r="G161" s="20" t="n">
        <f aca="false">G144/G139</f>
        <v>0.137981585522187</v>
      </c>
      <c r="H161" s="26" t="n">
        <f aca="false">$G161+($G146*(1+tp_g)^(life/2)-$G161)*1/3</f>
        <v>0.131986026624481</v>
      </c>
      <c r="I161" s="26" t="n">
        <f aca="false">$G161+($G146*(1+tp_g)^(life/2)-$G161)*2/3</f>
        <v>0.125990467726775</v>
      </c>
      <c r="J161" s="26" t="n">
        <f aca="false">$G161+($G146*(1+tp_g)^(life/2)-$G161)*3/3</f>
        <v>0.119994908829068</v>
      </c>
      <c r="K161" s="7" t="s">
        <v>657</v>
      </c>
    </row>
    <row r="162" customFormat="false" ht="15" hidden="false" customHeight="false" outlineLevel="0" collapsed="false">
      <c r="A162" s="3" t="s">
        <v>658</v>
      </c>
      <c r="B162" s="0" t="s">
        <v>329</v>
      </c>
      <c r="E162" s="21" t="n">
        <f aca="false">E156+E145-E144</f>
        <v>13.7806232570703</v>
      </c>
      <c r="F162" s="21" t="n">
        <f aca="false">F156+F145-F144</f>
        <v>9.40391923975977</v>
      </c>
      <c r="G162" s="21" t="n">
        <f aca="false">G156+G145-G144</f>
        <v>17.6335513683418</v>
      </c>
      <c r="H162" s="30" t="n">
        <f aca="false">H156+H145-H144</f>
        <v>18.7168458580036</v>
      </c>
      <c r="I162" s="30" t="n">
        <f aca="false">I156+I145-I144</f>
        <v>19.5709868035037</v>
      </c>
      <c r="J162" s="30" t="n">
        <f aca="false">J156+J145-J144</f>
        <v>20.1549282480913</v>
      </c>
      <c r="K162" s="3" t="s">
        <v>659</v>
      </c>
    </row>
    <row r="163" customFormat="false" ht="15" hidden="false" customHeight="false" outlineLevel="0" collapsed="false">
      <c r="A163" s="3" t="s">
        <v>660</v>
      </c>
      <c r="B163" s="0" t="s">
        <v>402</v>
      </c>
      <c r="E163" s="18" t="n">
        <f aca="false">E162/E157</f>
        <v>21.3266218751572</v>
      </c>
      <c r="F163" s="18" t="n">
        <f aca="false">F162/F157</f>
        <v>14.5533207047058</v>
      </c>
      <c r="G163" s="18" t="n">
        <f aca="false">G162/G157</f>
        <v>27.2893377413712</v>
      </c>
      <c r="H163" s="28" t="n">
        <f aca="false">H162/H157</f>
        <v>28.9658230156207</v>
      </c>
      <c r="I163" s="28" t="n">
        <f aca="false">I162/I157</f>
        <v>30.2876747659343</v>
      </c>
      <c r="J163" s="28" t="n">
        <f aca="false">J162/J157</f>
        <v>31.1913710758644</v>
      </c>
    </row>
    <row r="166" customFormat="false" ht="17.15" hidden="false" customHeight="false" outlineLevel="0" collapsed="false">
      <c r="A166" s="1" t="s">
        <v>662</v>
      </c>
    </row>
    <row r="167" customFormat="false" ht="17.15" hidden="false" customHeight="false" outlineLevel="0" collapsed="false">
      <c r="A167" s="4" t="s">
        <v>17</v>
      </c>
      <c r="B167" s="4" t="s">
        <v>18</v>
      </c>
      <c r="C167" s="13" t="s">
        <v>494</v>
      </c>
      <c r="D167" s="13" t="s">
        <v>581</v>
      </c>
      <c r="E167" s="13" t="s">
        <v>582</v>
      </c>
      <c r="F167" s="13" t="s">
        <v>583</v>
      </c>
      <c r="G167" s="13" t="s">
        <v>584</v>
      </c>
      <c r="H167" s="13" t="s">
        <v>585</v>
      </c>
      <c r="I167" s="13" t="s">
        <v>586</v>
      </c>
      <c r="J167" s="13" t="s">
        <v>587</v>
      </c>
      <c r="K167" s="4" t="s">
        <v>549</v>
      </c>
    </row>
    <row r="168" customFormat="false" ht="17.15" hidden="false" customHeight="false" outlineLevel="0" collapsed="false">
      <c r="A168" s="5" t="s">
        <v>605</v>
      </c>
    </row>
    <row r="169" customFormat="false" ht="17.15" hidden="false" customHeight="false" outlineLevel="0" collapsed="false">
      <c r="A169" s="0" t="s">
        <v>606</v>
      </c>
      <c r="B169" s="3" t="s">
        <v>28</v>
      </c>
      <c r="D169" s="21" t="n">
        <f aca="false">(u_bw_26+u_rb_26+u_ru_26+u_hp_26)*1</f>
        <v>7.6</v>
      </c>
      <c r="E169" s="21" t="n">
        <f aca="false">(u_bw_27+u_rb_27+u_ru_27+u_hp_27)*1*1</f>
        <v>9.7</v>
      </c>
      <c r="F169" s="21" t="n">
        <f aca="false">(u_bw_28+u_rb_28+u_ru_28+u_hp_28)*um28_C*1</f>
        <v>5.7</v>
      </c>
      <c r="G169" s="21" t="n">
        <f aca="false">(u_bw_28*(1+g29_bw)+u_rb_28*(1+g29_rb)+u_ru_28*(1+g29_ru)+u_hp_28*(1+g29_hp))*um29_C*1</f>
        <v>6.36</v>
      </c>
      <c r="K169" s="7" t="s">
        <v>607</v>
      </c>
    </row>
    <row r="170" customFormat="false" ht="17.15" hidden="false" customHeight="false" outlineLevel="0" collapsed="false">
      <c r="A170" s="3" t="s">
        <v>608</v>
      </c>
      <c r="B170" s="3" t="s">
        <v>28</v>
      </c>
      <c r="D170" s="21" t="n">
        <f aca="false">(u_amd_26+u_tpu_26+u_trn_26+u_oth_26)*1</f>
        <v>7.6</v>
      </c>
      <c r="E170" s="21" t="n">
        <f aca="false">(u_amd_27+u_tpu_27+u_trn_27+u_oth_27)*1*1</f>
        <v>14</v>
      </c>
      <c r="F170" s="21" t="n">
        <f aca="false">(u_amd_28+u_tpu_28+u_trn_28+u_oth_28)*um28_C*1</f>
        <v>10.2</v>
      </c>
      <c r="G170" s="21" t="n">
        <f aca="false">(u_amd_28*(1+g29_amd)+u_tpu_28*(1+g29_tpu)+u_trn_28*(1+g29_trn)+u_oth_28*(1+g29_oth))*um29_C*1</f>
        <v>11.73</v>
      </c>
      <c r="K170" s="7" t="s">
        <v>609</v>
      </c>
    </row>
    <row r="171" customFormat="false" ht="17.15" hidden="false" customHeight="false" outlineLevel="0" collapsed="false">
      <c r="A171" s="3" t="s">
        <v>610</v>
      </c>
      <c r="B171" s="0" t="s">
        <v>150</v>
      </c>
      <c r="D171" s="19" t="n">
        <f aca="false">1</f>
        <v>1</v>
      </c>
      <c r="E171" s="19" t="n">
        <f aca="false">D171*(1+g_asp)</f>
        <v>1.18</v>
      </c>
      <c r="F171" s="19" t="n">
        <f aca="false">E171*(1+g_asp)</f>
        <v>1.3924</v>
      </c>
      <c r="G171" s="19" t="n">
        <f aca="false">F171*(1+g_asp)</f>
        <v>1.643032</v>
      </c>
      <c r="K171" s="7" t="s">
        <v>611</v>
      </c>
    </row>
    <row r="172" customFormat="false" ht="17.15" hidden="false" customHeight="false" outlineLevel="0" collapsed="false">
      <c r="A172" s="0" t="s">
        <v>612</v>
      </c>
      <c r="B172" s="0" t="s">
        <v>150</v>
      </c>
      <c r="D172" s="18" t="n">
        <f aca="false">1</f>
        <v>1</v>
      </c>
      <c r="E172" s="18" t="n">
        <f aca="false">ibpp_27</f>
        <v>1</v>
      </c>
      <c r="F172" s="18" t="n">
        <f aca="false">ibpp_28</f>
        <v>0.95</v>
      </c>
      <c r="G172" s="18" t="n">
        <f aca="false">ibpp_29</f>
        <v>0.9</v>
      </c>
      <c r="K172" s="7" t="s">
        <v>613</v>
      </c>
    </row>
    <row r="173" customFormat="false" ht="17.15" hidden="false" customHeight="false" outlineLevel="0" collapsed="false">
      <c r="A173" s="3" t="s">
        <v>614</v>
      </c>
      <c r="B173" s="0" t="s">
        <v>150</v>
      </c>
      <c r="D173" s="18" t="n">
        <f aca="false">1</f>
        <v>1</v>
      </c>
      <c r="E173" s="18" t="n">
        <f aca="false">1+carry</f>
        <v>1.15</v>
      </c>
      <c r="F173" s="18" t="n">
        <f aca="false">1+carry</f>
        <v>1.15</v>
      </c>
      <c r="G173" s="18" t="n">
        <f aca="false">1+carry</f>
        <v>1.15</v>
      </c>
      <c r="K173" s="7" t="s">
        <v>615</v>
      </c>
    </row>
    <row r="174" customFormat="false" ht="17.15" hidden="false" customHeight="false" outlineLevel="0" collapsed="false">
      <c r="A174" s="3" t="s">
        <v>616</v>
      </c>
      <c r="B174" s="0" t="s">
        <v>617</v>
      </c>
      <c r="D174" s="23" t="n">
        <f aca="false">v26*D171*D172</f>
        <v>215.308596</v>
      </c>
      <c r="E174" s="23" t="n">
        <f aca="false">v26*E171*E172</f>
        <v>254.06414328</v>
      </c>
      <c r="F174" s="23" t="n">
        <f aca="false">v26*F171*F172</f>
        <v>284.80590461688</v>
      </c>
      <c r="G174" s="23" t="n">
        <f aca="false">v26*G171*G172</f>
        <v>318.383021792765</v>
      </c>
      <c r="K174" s="7" t="s">
        <v>618</v>
      </c>
    </row>
    <row r="175" customFormat="false" ht="17.15" hidden="false" customHeight="false" outlineLevel="0" collapsed="false">
      <c r="A175" s="3" t="s">
        <v>619</v>
      </c>
      <c r="B175" s="0" t="s">
        <v>40</v>
      </c>
      <c r="D175" s="20" t="n">
        <f aca="false">sh_nv_26</f>
        <v>0.02</v>
      </c>
      <c r="E175" s="20" t="n">
        <f aca="false">sh_nv_27</f>
        <v>0.03</v>
      </c>
      <c r="F175" s="20" t="n">
        <f aca="false">sh_nv_28</f>
        <v>0.04</v>
      </c>
      <c r="G175" s="20" t="n">
        <f aca="false">sh_nv_29</f>
        <v>0.04</v>
      </c>
    </row>
    <row r="176" customFormat="false" ht="17.15" hidden="false" customHeight="false" outlineLevel="0" collapsed="false">
      <c r="A176" s="3" t="s">
        <v>620</v>
      </c>
      <c r="B176" s="0" t="s">
        <v>40</v>
      </c>
      <c r="D176" s="20" t="n">
        <f aca="false">sh_ot_26</f>
        <v>0.05</v>
      </c>
      <c r="E176" s="20" t="n">
        <f aca="false">sh_ot_27</f>
        <v>0.06</v>
      </c>
      <c r="F176" s="20" t="n">
        <f aca="false">sh_ot_28</f>
        <v>0.07</v>
      </c>
      <c r="G176" s="20" t="n">
        <f aca="false">sh_ot_29</f>
        <v>0.07</v>
      </c>
    </row>
    <row r="177" customFormat="false" ht="17.15" hidden="false" customHeight="false" outlineLevel="0" collapsed="false">
      <c r="A177" s="3" t="s">
        <v>621</v>
      </c>
      <c r="B177" s="0" t="s">
        <v>571</v>
      </c>
      <c r="D177" s="22" t="n">
        <f aca="false">(D169*D174*D175+D170*D174*v_ot*D176)*D173</f>
        <v>98.180719776</v>
      </c>
      <c r="E177" s="22" t="n">
        <f aca="false">(E169*E174*E175+E170*E174*v_ot*E176)*E173</f>
        <v>281.363335475436</v>
      </c>
      <c r="F177" s="22" t="n">
        <f aca="false">(F169*F174*F175+F170*F174*v_ot*F176)*F173</f>
        <v>261.759410815282</v>
      </c>
      <c r="G177" s="22" t="n">
        <f aca="false">(G169*G174*G175+G170*G174*v_ot*G176)*G173</f>
        <v>333.656492114207</v>
      </c>
    </row>
    <row r="178" customFormat="false" ht="15" hidden="false" customHeight="false" outlineLevel="0" collapsed="false">
      <c r="A178" s="3" t="s">
        <v>622</v>
      </c>
      <c r="B178" s="0" t="s">
        <v>329</v>
      </c>
      <c r="D178" s="21" t="n">
        <f aca="false">D177*fx/1000</f>
        <v>3.19087339272</v>
      </c>
      <c r="E178" s="21" t="n">
        <f aca="false">E177*fx/1000</f>
        <v>9.14430840295167</v>
      </c>
      <c r="F178" s="21" t="n">
        <f aca="false">F177*fx/1000</f>
        <v>8.50718085149667</v>
      </c>
      <c r="G178" s="21" t="n">
        <f aca="false">G177*fx/1000</f>
        <v>10.8438359937117</v>
      </c>
    </row>
    <row r="179" customFormat="false" ht="17.15" hidden="false" customHeight="false" outlineLevel="0" collapsed="false">
      <c r="A179" s="5" t="s">
        <v>623</v>
      </c>
    </row>
    <row r="180" customFormat="false" ht="17.15" hidden="false" customHeight="false" outlineLevel="0" collapsed="false">
      <c r="A180" s="0" t="s">
        <v>624</v>
      </c>
      <c r="B180" s="0" t="s">
        <v>329</v>
      </c>
      <c r="D180" s="21" t="n">
        <f aca="false">a26_abf*ai_abf</f>
        <v>22.2987583</v>
      </c>
      <c r="K180" s="3" t="s">
        <v>625</v>
      </c>
    </row>
    <row r="181" customFormat="false" ht="17.15" hidden="false" customHeight="false" outlineLevel="0" collapsed="false">
      <c r="A181" s="3" t="s">
        <v>626</v>
      </c>
      <c r="B181" s="0" t="s">
        <v>329</v>
      </c>
      <c r="D181" s="21" t="n">
        <f aca="false">D180-D178</f>
        <v>19.10788490728</v>
      </c>
      <c r="E181" s="21" t="n">
        <f aca="false">$D181*(swm_27/swm_26)^el_o*1*1*E172*E173</f>
        <v>30.7354094978265</v>
      </c>
      <c r="F181" s="21" t="n">
        <f aca="false">$D181*(swm_28/swm_26)^el_o*um28_C*1*F172*F173</f>
        <v>18.8462401281123</v>
      </c>
      <c r="G181" s="21" t="n">
        <f aca="false">$D181*(swm_29/swm_26)^el_o*um29_C*1*G172*G173</f>
        <v>19.0471447733625</v>
      </c>
      <c r="K181" s="7" t="s">
        <v>627</v>
      </c>
    </row>
    <row r="182" customFormat="false" ht="17.15" hidden="false" customHeight="false" outlineLevel="0" collapsed="false">
      <c r="A182" s="3" t="s">
        <v>628</v>
      </c>
      <c r="B182" s="0" t="s">
        <v>329</v>
      </c>
      <c r="D182" s="21" t="n">
        <f aca="false">a26_abf-D180</f>
        <v>12.0070237</v>
      </c>
      <c r="E182" s="21" t="n">
        <f aca="false">D182*(1+g_nai)</f>
        <v>12.367234411</v>
      </c>
      <c r="F182" s="21" t="n">
        <f aca="false">E182*(1+g_nai)</f>
        <v>12.73825144333</v>
      </c>
      <c r="G182" s="21" t="n">
        <f aca="false">F182*(1+g_nai)</f>
        <v>13.1203989866299</v>
      </c>
    </row>
    <row r="183" customFormat="false" ht="17.15" hidden="false" customHeight="false" outlineLevel="0" collapsed="false">
      <c r="A183" s="0" t="s">
        <v>629</v>
      </c>
      <c r="B183" s="0" t="s">
        <v>329</v>
      </c>
      <c r="D183" s="21" t="n">
        <f aca="false">D178+D181+D182</f>
        <v>34.305782</v>
      </c>
      <c r="E183" s="21" t="n">
        <f aca="false">E178+E181+E182</f>
        <v>52.2469523117781</v>
      </c>
      <c r="F183" s="21" t="n">
        <f aca="false">F178+F181+F182</f>
        <v>40.0916724229389</v>
      </c>
      <c r="G183" s="21" t="n">
        <f aca="false">G178+G181+G182</f>
        <v>43.0113797537041</v>
      </c>
    </row>
    <row r="184" customFormat="false" ht="17.15" hidden="false" customHeight="false" outlineLevel="0" collapsed="false">
      <c r="A184" s="0" t="s">
        <v>630</v>
      </c>
      <c r="B184" s="0" t="s">
        <v>329</v>
      </c>
      <c r="D184" s="21" t="n">
        <f aca="false">a26_abf</f>
        <v>34.305782</v>
      </c>
      <c r="E184" s="21" t="n">
        <f aca="false">$D183*cap_27*(1+g_mix)^1*E172*E173</f>
        <v>49.709078118</v>
      </c>
      <c r="F184" s="21" t="n">
        <f aca="false">$D183*cap_28*(1+g_mix)^2*F172*F173</f>
        <v>55.7829061005431</v>
      </c>
      <c r="G184" s="21" t="n">
        <f aca="false">$D183*cap_29*(1+g_mix)^3*G172*G173</f>
        <v>65.765110350114</v>
      </c>
      <c r="K184" s="7" t="s">
        <v>631</v>
      </c>
    </row>
    <row r="185" customFormat="false" ht="17.15" hidden="false" customHeight="false" outlineLevel="0" collapsed="false">
      <c r="A185" s="0" t="s">
        <v>632</v>
      </c>
      <c r="B185" s="0" t="s">
        <v>329</v>
      </c>
      <c r="D185" s="21" t="n">
        <f aca="false">a26_abf</f>
        <v>34.305782</v>
      </c>
      <c r="E185" s="21" t="n">
        <f aca="false">MIN(E183,E184)</f>
        <v>49.709078118</v>
      </c>
      <c r="F185" s="21" t="n">
        <f aca="false">MIN(F183,F184)</f>
        <v>40.0916724229389</v>
      </c>
      <c r="G185" s="21" t="n">
        <f aca="false">MIN(G183,G184)</f>
        <v>43.0113797537041</v>
      </c>
    </row>
    <row r="186" customFormat="false" ht="17.15" hidden="false" customHeight="false" outlineLevel="0" collapsed="false">
      <c r="A186" s="3" t="s">
        <v>633</v>
      </c>
      <c r="B186" s="0" t="s">
        <v>40</v>
      </c>
      <c r="D186" s="20" t="n">
        <f aca="false">D185/D183</f>
        <v>1</v>
      </c>
      <c r="E186" s="20" t="n">
        <f aca="false">E185/E183</f>
        <v>0.951425411789885</v>
      </c>
      <c r="F186" s="20" t="n">
        <f aca="false">F185/F183</f>
        <v>1</v>
      </c>
      <c r="G186" s="20" t="n">
        <f aca="false">G185/G183</f>
        <v>1</v>
      </c>
    </row>
    <row r="187" customFormat="false" ht="17.15" hidden="false" customHeight="false" outlineLevel="0" collapsed="false">
      <c r="A187" s="0" t="s">
        <v>634</v>
      </c>
      <c r="B187" s="0" t="s">
        <v>329</v>
      </c>
      <c r="D187" s="21" t="n">
        <f aca="false">(D178+D181)*D186</f>
        <v>22.2987583</v>
      </c>
      <c r="E187" s="21" t="n">
        <f aca="false">(E178+E181)*E186</f>
        <v>37.9425770258123</v>
      </c>
      <c r="F187" s="21" t="n">
        <f aca="false">(F178+F181)*F186</f>
        <v>27.3534209796089</v>
      </c>
      <c r="G187" s="21" t="n">
        <f aca="false">(G178+G181)*G186</f>
        <v>29.8909807670742</v>
      </c>
    </row>
    <row r="188" customFormat="false" ht="17.15" hidden="false" customHeight="false" outlineLevel="0" collapsed="false">
      <c r="A188" s="3" t="s">
        <v>635</v>
      </c>
      <c r="B188" s="0" t="s">
        <v>40</v>
      </c>
      <c r="D188" s="20" t="n">
        <f aca="false">D178/(D178+D181)</f>
        <v>0.14309646078903</v>
      </c>
      <c r="E188" s="20" t="n">
        <f aca="false">E178/(E178+E181)</f>
        <v>0.229297218844501</v>
      </c>
      <c r="F188" s="20" t="n">
        <f aca="false">F178/(F178+F181)</f>
        <v>0.311009758444419</v>
      </c>
      <c r="G188" s="20" t="n">
        <f aca="false">G178/(G178+G181)</f>
        <v>0.362779531331288</v>
      </c>
    </row>
    <row r="189" customFormat="false" ht="17.15" hidden="false" customHeight="false" outlineLevel="0" collapsed="false">
      <c r="A189" s="5" t="s">
        <v>636</v>
      </c>
    </row>
    <row r="190" customFormat="false" ht="17.15" hidden="false" customHeight="false" outlineLevel="0" collapsed="false">
      <c r="A190" s="0" t="s">
        <v>637</v>
      </c>
      <c r="B190" s="0" t="s">
        <v>329</v>
      </c>
      <c r="D190" s="21" t="n">
        <f aca="false">a26_bt</f>
        <v>18.927328</v>
      </c>
      <c r="E190" s="21" t="n">
        <f aca="false">D190*(1+g_bt27_C)</f>
        <v>21.7664272</v>
      </c>
      <c r="F190" s="21" t="n">
        <f aca="false">E190*(1+g_bt28_C)</f>
        <v>21.7664272</v>
      </c>
      <c r="G190" s="21" t="n">
        <f aca="false">F190*(1+g_bt29_C)</f>
        <v>21.7664272</v>
      </c>
      <c r="K190" s="7" t="s">
        <v>638</v>
      </c>
    </row>
    <row r="191" customFormat="false" ht="17.15" hidden="false" customHeight="false" outlineLevel="0" collapsed="false">
      <c r="A191" s="0" t="s">
        <v>536</v>
      </c>
      <c r="B191" s="0" t="s">
        <v>329</v>
      </c>
      <c r="D191" s="21" t="n">
        <f aca="false">a26_pcb</f>
        <v>5.91479</v>
      </c>
      <c r="E191" s="21" t="n">
        <f aca="false">D191*(1+g_pcb)</f>
        <v>5.91479</v>
      </c>
      <c r="F191" s="21" t="n">
        <f aca="false">E191*(1+g_pcb)</f>
        <v>5.91479</v>
      </c>
      <c r="G191" s="21" t="n">
        <f aca="false">F191*(1+g_pcb)</f>
        <v>5.91479</v>
      </c>
    </row>
    <row r="192" customFormat="false" ht="17.15" hidden="false" customHeight="false" outlineLevel="0" collapsed="false">
      <c r="A192" s="3" t="s">
        <v>501</v>
      </c>
      <c r="B192" s="0" t="s">
        <v>329</v>
      </c>
      <c r="C192" s="23" t="n">
        <f aca="false">a25_rev</f>
        <v>40.173</v>
      </c>
      <c r="D192" s="23" t="n">
        <f aca="false">D185+D190+D191</f>
        <v>59.1479</v>
      </c>
      <c r="E192" s="23" t="n">
        <f aca="false">E185+E190+E191</f>
        <v>77.390295318</v>
      </c>
      <c r="F192" s="23" t="n">
        <f aca="false">F185+F190+F191</f>
        <v>67.7728896229389</v>
      </c>
      <c r="G192" s="23" t="n">
        <f aca="false">G185+G190+G191</f>
        <v>70.6925969537041</v>
      </c>
      <c r="H192" s="25" t="n">
        <f aca="false">G192*(1+H193)</f>
        <v>73.194207953584</v>
      </c>
      <c r="I192" s="25" t="n">
        <f aca="false">H192*(1+I193)</f>
        <v>75.2212180008739</v>
      </c>
      <c r="J192" s="25" t="n">
        <f aca="false">I192*(1+J193)</f>
        <v>76.7256423608914</v>
      </c>
      <c r="K192" s="7" t="s">
        <v>639</v>
      </c>
    </row>
    <row r="193" customFormat="false" ht="15" hidden="false" customHeight="false" outlineLevel="0" collapsed="false">
      <c r="A193" s="3" t="s">
        <v>640</v>
      </c>
      <c r="B193" s="0" t="s">
        <v>40</v>
      </c>
      <c r="D193" s="20" t="n">
        <f aca="false">D192/C192-1</f>
        <v>0.472329674159261</v>
      </c>
      <c r="E193" s="20" t="n">
        <f aca="false">E192/D192-1</f>
        <v>0.30842</v>
      </c>
      <c r="F193" s="20" t="n">
        <f aca="false">F192/E192-1</f>
        <v>-0.124271469123392</v>
      </c>
      <c r="G193" s="20" t="n">
        <f aca="false">G192/F192-1</f>
        <v>0.0430807561402393</v>
      </c>
      <c r="H193" s="26" t="n">
        <f aca="false">$G193+(fade_gC-$G193)*1/3</f>
        <v>0.0353871707601595</v>
      </c>
      <c r="I193" s="26" t="n">
        <f aca="false">$G193+(fade_gC-$G193)*2/3</f>
        <v>0.0276935853800798</v>
      </c>
      <c r="J193" s="26" t="n">
        <f aca="false">$G193+(fade_gC-$G193)*3/3</f>
        <v>0.02</v>
      </c>
    </row>
    <row r="194" customFormat="false" ht="17.15" hidden="false" customHeight="false" outlineLevel="0" collapsed="false">
      <c r="A194" s="0" t="s">
        <v>641</v>
      </c>
      <c r="B194" s="0" t="s">
        <v>40</v>
      </c>
      <c r="D194" s="20" t="n">
        <f aca="false">D185/D192</f>
        <v>0.58</v>
      </c>
      <c r="E194" s="20" t="n">
        <f aca="false">E185/E192</f>
        <v>0.642316687302243</v>
      </c>
      <c r="F194" s="20" t="n">
        <f aca="false">F185/F192</f>
        <v>0.591559141804236</v>
      </c>
      <c r="G194" s="20" t="n">
        <f aca="false">G185/G192</f>
        <v>0.608428344793612</v>
      </c>
    </row>
    <row r="195" customFormat="false" ht="17.15" hidden="false" customHeight="false" outlineLevel="0" collapsed="false">
      <c r="A195" s="0" t="s">
        <v>642</v>
      </c>
      <c r="B195" s="0" t="s">
        <v>40</v>
      </c>
      <c r="D195" s="20" t="n">
        <f aca="false">D187/D192</f>
        <v>0.377</v>
      </c>
      <c r="E195" s="20" t="n">
        <f aca="false">E187/E192</f>
        <v>0.490275645930858</v>
      </c>
      <c r="F195" s="20" t="n">
        <f aca="false">F187/F192</f>
        <v>0.403604171694498</v>
      </c>
      <c r="G195" s="20" t="n">
        <f aca="false">G187/G192</f>
        <v>0.42283042433212</v>
      </c>
      <c r="K195" s="3" t="s">
        <v>643</v>
      </c>
    </row>
    <row r="196" customFormat="false" ht="17.15" hidden="false" customHeight="false" outlineLevel="0" collapsed="false">
      <c r="A196" s="5" t="s">
        <v>644</v>
      </c>
    </row>
    <row r="197" customFormat="false" ht="15" hidden="false" customHeight="false" outlineLevel="0" collapsed="false">
      <c r="A197" s="3" t="s">
        <v>645</v>
      </c>
      <c r="B197" s="0" t="s">
        <v>329</v>
      </c>
      <c r="C197" s="23" t="n">
        <f aca="false">a25_cx</f>
        <v>2.422</v>
      </c>
      <c r="D197" s="23" t="n">
        <f aca="false">capex26</f>
        <v>4</v>
      </c>
      <c r="E197" s="23" t="n">
        <f aca="false">cx27</f>
        <v>14</v>
      </c>
      <c r="F197" s="23" t="n">
        <f aca="false">cx28</f>
        <v>18</v>
      </c>
      <c r="G197" s="23" t="n">
        <f aca="false">cx29</f>
        <v>12</v>
      </c>
      <c r="H197" s="25" t="n">
        <f aca="false">H192*H214</f>
        <v>11.8847718558464</v>
      </c>
      <c r="I197" s="25" t="n">
        <f aca="false">I192*I214</f>
        <v>11.6590785546176</v>
      </c>
      <c r="J197" s="25" t="n">
        <f aca="false">J192*J214</f>
        <v>11.3263383754616</v>
      </c>
    </row>
    <row r="198" customFormat="false" ht="17.15" hidden="false" customHeight="false" outlineLevel="0" collapsed="false">
      <c r="A198" s="3" t="s">
        <v>646</v>
      </c>
      <c r="B198" s="0" t="s">
        <v>329</v>
      </c>
      <c r="C198" s="23" t="n">
        <f aca="false">a25_da</f>
        <v>6.894</v>
      </c>
      <c r="D198" s="23" t="n">
        <f aca="false">da26</f>
        <v>7.1</v>
      </c>
      <c r="E198" s="23" t="n">
        <f aca="false">D198*(1-1/life)+D197/life</f>
        <v>6.7125</v>
      </c>
      <c r="F198" s="23" t="n">
        <f aca="false">E198*(1-1/life)+E197/life</f>
        <v>7.6234375</v>
      </c>
      <c r="G198" s="23" t="n">
        <f aca="false">F198*(1-1/life)+F197/life</f>
        <v>8.9205078125</v>
      </c>
      <c r="H198" s="25" t="n">
        <f aca="false">H192*H199</f>
        <v>9.23617934572827</v>
      </c>
      <c r="I198" s="25" t="n">
        <f aca="false">I192*I199</f>
        <v>9.49196226702493</v>
      </c>
      <c r="J198" s="25" t="n">
        <f aca="false">J192*J199</f>
        <v>9.68180151236543</v>
      </c>
      <c r="K198" s="3" t="s">
        <v>647</v>
      </c>
    </row>
    <row r="199" customFormat="false" ht="17.15" hidden="false" customHeight="false" outlineLevel="0" collapsed="false">
      <c r="A199" s="3" t="s">
        <v>648</v>
      </c>
      <c r="B199" s="0" t="s">
        <v>40</v>
      </c>
      <c r="C199" s="20" t="n">
        <f aca="false">C198/C192</f>
        <v>0.171607796281084</v>
      </c>
      <c r="D199" s="20" t="n">
        <f aca="false">D198/D192</f>
        <v>0.120038074048276</v>
      </c>
      <c r="E199" s="20" t="n">
        <f aca="false">E198/E192</f>
        <v>0.0867356814238536</v>
      </c>
      <c r="F199" s="20" t="n">
        <f aca="false">F198/F192</f>
        <v>0.11248505917947</v>
      </c>
      <c r="G199" s="20" t="n">
        <f aca="false">G198/G192</f>
        <v>0.126187298202412</v>
      </c>
      <c r="H199" s="26" t="n">
        <f aca="false">$G199</f>
        <v>0.126187298202412</v>
      </c>
      <c r="I199" s="26" t="n">
        <f aca="false">$G199</f>
        <v>0.126187298202412</v>
      </c>
      <c r="J199" s="26" t="n">
        <f aca="false">$G199</f>
        <v>0.126187298202412</v>
      </c>
    </row>
    <row r="200" customFormat="false" ht="17.15" hidden="false" customHeight="false" outlineLevel="0" collapsed="false">
      <c r="A200" s="3" t="s">
        <v>649</v>
      </c>
      <c r="B200" s="0" t="s">
        <v>329</v>
      </c>
      <c r="E200" s="21" t="n">
        <f aca="false">E187*(1-1/(E172*E173))</f>
        <v>4.94903178597551</v>
      </c>
      <c r="F200" s="21" t="n">
        <f aca="false">F187*(1-1/(F172*F173))</f>
        <v>2.31596470536734</v>
      </c>
      <c r="G200" s="21" t="n">
        <f aca="false">G187*(1-1/(G172*G173))</f>
        <v>1.01080611289623</v>
      </c>
      <c r="K200" s="7" t="s">
        <v>650</v>
      </c>
    </row>
    <row r="201" customFormat="false" ht="17.15" hidden="false" customHeight="false" outlineLevel="0" collapsed="false">
      <c r="A201" s="3" t="s">
        <v>651</v>
      </c>
      <c r="B201" s="0" t="s">
        <v>329</v>
      </c>
      <c r="C201" s="21" t="n">
        <f aca="false">a25_gp</f>
        <v>3.647</v>
      </c>
      <c r="D201" s="21" t="n">
        <f aca="false">a26_gp</f>
        <v>15.9001925</v>
      </c>
      <c r="E201" s="21" t="n">
        <f aca="false">$D201+ft_abf*(E185-E200-$D185)+ft_oth*((E192-E185)-($D192-$D185))+E200-(E198-$D198)</f>
        <v>27.5994961319878</v>
      </c>
      <c r="F201" s="21" t="n">
        <f aca="false">$D201+ft_abf*(F185-F200-$D185)+ft_oth*((F192-F185)-($D192-$D185))+F200-(F198-$D198)</f>
        <v>20.5633222441531</v>
      </c>
      <c r="G201" s="21" t="n">
        <f aca="false">$D201+ft_abf*(G185-G200-$D185)+ft_oth*((G192-G185)-($D192-$D185))+G200-(G198-$D198)</f>
        <v>20.0735263008002</v>
      </c>
      <c r="K201" s="3" t="s">
        <v>652</v>
      </c>
    </row>
    <row r="202" customFormat="false" ht="15" hidden="false" customHeight="false" outlineLevel="0" collapsed="false">
      <c r="A202" s="3" t="s">
        <v>508</v>
      </c>
      <c r="B202" s="0" t="s">
        <v>40</v>
      </c>
      <c r="C202" s="16" t="n">
        <f aca="false">C201/C192</f>
        <v>0.0907823662659</v>
      </c>
      <c r="D202" s="16" t="n">
        <f aca="false">D201/D192</f>
        <v>0.268820913337583</v>
      </c>
      <c r="E202" s="16" t="n">
        <f aca="false">E201/E192</f>
        <v>0.356627352545694</v>
      </c>
      <c r="F202" s="16" t="n">
        <f aca="false">F201/F192</f>
        <v>0.303415161409808</v>
      </c>
      <c r="G202" s="16" t="n">
        <f aca="false">G201/G192</f>
        <v>0.283955140507091</v>
      </c>
    </row>
    <row r="203" customFormat="false" ht="15" hidden="false" customHeight="false" outlineLevel="0" collapsed="false">
      <c r="A203" s="3" t="s">
        <v>510</v>
      </c>
      <c r="B203" s="0" t="s">
        <v>329</v>
      </c>
      <c r="C203" s="21" t="n">
        <f aca="false">a25_opx</f>
        <v>1.665</v>
      </c>
      <c r="D203" s="21" t="n">
        <f aca="false">a26_opx</f>
        <v>1.9</v>
      </c>
      <c r="E203" s="21" t="n">
        <f aca="false">D203*(1+phi*E193)</f>
        <v>2.2515988</v>
      </c>
      <c r="F203" s="21" t="n">
        <f aca="false">E203*(1+phi*F193)</f>
        <v>2.08371310554852</v>
      </c>
      <c r="G203" s="21" t="n">
        <f aca="false">F203*(1+phi*G193)</f>
        <v>2.13757386724833</v>
      </c>
    </row>
    <row r="204" customFormat="false" ht="15" hidden="false" customHeight="false" outlineLevel="0" collapsed="false">
      <c r="A204" s="3" t="s">
        <v>513</v>
      </c>
      <c r="B204" s="0" t="s">
        <v>329</v>
      </c>
      <c r="C204" s="21" t="n">
        <f aca="false">C201-C203</f>
        <v>1.982</v>
      </c>
      <c r="D204" s="21" t="n">
        <f aca="false">D201-D203</f>
        <v>14.0001925</v>
      </c>
      <c r="E204" s="21" t="n">
        <f aca="false">E201-E203</f>
        <v>25.3478973319878</v>
      </c>
      <c r="F204" s="21" t="n">
        <f aca="false">F201-F203</f>
        <v>18.4796091386046</v>
      </c>
      <c r="G204" s="21" t="n">
        <f aca="false">G201-G203</f>
        <v>17.9359524335518</v>
      </c>
    </row>
    <row r="205" customFormat="false" ht="15" hidden="false" customHeight="false" outlineLevel="0" collapsed="false">
      <c r="A205" s="3" t="s">
        <v>594</v>
      </c>
      <c r="B205" s="0" t="s">
        <v>40</v>
      </c>
      <c r="C205" s="16" t="n">
        <f aca="false">C204/C192</f>
        <v>0.0493366191222961</v>
      </c>
      <c r="D205" s="16" t="n">
        <f aca="false">D204/D192</f>
        <v>0.236698048451424</v>
      </c>
      <c r="E205" s="16" t="n">
        <f aca="false">E204/E192</f>
        <v>0.327533280856885</v>
      </c>
      <c r="F205" s="16" t="n">
        <f aca="false">F204/F192</f>
        <v>0.272669635918104</v>
      </c>
      <c r="G205" s="16" t="n">
        <f aca="false">G204/G192</f>
        <v>0.253717549028478</v>
      </c>
    </row>
    <row r="206" customFormat="false" ht="15" hidden="false" customHeight="false" outlineLevel="0" collapsed="false">
      <c r="A206" s="3" t="s">
        <v>516</v>
      </c>
      <c r="B206" s="0" t="s">
        <v>329</v>
      </c>
      <c r="C206" s="21" t="n">
        <f aca="false">a25_nonop</f>
        <v>0.364</v>
      </c>
      <c r="D206" s="21" t="n">
        <f aca="false">a26_nonop</f>
        <v>0.623</v>
      </c>
      <c r="E206" s="21" t="n">
        <f aca="false">nonop27</f>
        <v>0.6</v>
      </c>
      <c r="F206" s="21" t="n">
        <f aca="false">nonop28</f>
        <v>0.6</v>
      </c>
      <c r="G206" s="21" t="n">
        <f aca="false">nonop29</f>
        <v>0.6</v>
      </c>
    </row>
    <row r="207" customFormat="false" ht="15" hidden="false" customHeight="false" outlineLevel="0" collapsed="false">
      <c r="A207" s="3" t="s">
        <v>518</v>
      </c>
      <c r="B207" s="0" t="s">
        <v>329</v>
      </c>
      <c r="C207" s="21" t="n">
        <f aca="false">C204+C206</f>
        <v>2.346</v>
      </c>
      <c r="D207" s="21" t="n">
        <f aca="false">D204+D206</f>
        <v>14.6231925</v>
      </c>
      <c r="E207" s="21" t="n">
        <f aca="false">E204+E206</f>
        <v>25.9478973319878</v>
      </c>
      <c r="F207" s="21" t="n">
        <f aca="false">F204+F206</f>
        <v>19.0796091386046</v>
      </c>
      <c r="G207" s="21" t="n">
        <f aca="false">G204+G206</f>
        <v>18.5359524335518</v>
      </c>
    </row>
    <row r="208" customFormat="false" ht="15" hidden="false" customHeight="false" outlineLevel="0" collapsed="false">
      <c r="A208" s="3" t="s">
        <v>521</v>
      </c>
      <c r="B208" s="0" t="s">
        <v>329</v>
      </c>
      <c r="E208" s="21" t="n">
        <f aca="false">E207*tax</f>
        <v>5.44905843971743</v>
      </c>
      <c r="F208" s="21" t="n">
        <f aca="false">F207*tax</f>
        <v>4.00671791910697</v>
      </c>
      <c r="G208" s="21" t="n">
        <f aca="false">G207*tax</f>
        <v>3.89255001104589</v>
      </c>
    </row>
    <row r="209" customFormat="false" ht="15" hidden="false" customHeight="false" outlineLevel="0" collapsed="false">
      <c r="A209" s="3" t="s">
        <v>519</v>
      </c>
      <c r="B209" s="0" t="s">
        <v>329</v>
      </c>
      <c r="C209" s="21" t="n">
        <f aca="false">a25_ni</f>
        <v>1.947</v>
      </c>
      <c r="D209" s="21" t="n">
        <f aca="false">a26_ni</f>
        <v>11.509862075</v>
      </c>
      <c r="E209" s="21" t="n">
        <f aca="false">E207-E208</f>
        <v>20.4988388922703</v>
      </c>
      <c r="F209" s="21" t="n">
        <f aca="false">F207-F208</f>
        <v>15.0728912194977</v>
      </c>
      <c r="G209" s="21" t="n">
        <f aca="false">G207-G208</f>
        <v>14.643402422506</v>
      </c>
      <c r="H209" s="30" t="n">
        <f aca="false">H192*H213</f>
        <v>14.1508182709049</v>
      </c>
      <c r="I209" s="30" t="n">
        <f aca="false">I192*I213</f>
        <v>13.5039405102533</v>
      </c>
      <c r="J209" s="30" t="n">
        <f aca="false">J192*J213</f>
        <v>12.7144793727308</v>
      </c>
    </row>
    <row r="210" customFormat="false" ht="15" hidden="false" customHeight="false" outlineLevel="0" collapsed="false">
      <c r="A210" s="3" t="s">
        <v>653</v>
      </c>
      <c r="B210" s="3" t="s">
        <v>396</v>
      </c>
      <c r="C210" s="29" t="n">
        <f aca="false">a25_sh</f>
        <v>0.646843853820598</v>
      </c>
      <c r="D210" s="29" t="n">
        <f aca="false">a26_sh</f>
        <v>0.645863325123153</v>
      </c>
      <c r="E210" s="29" t="n">
        <f aca="false">a26_shend*(1+sh_g)</f>
        <v>0.64617</v>
      </c>
      <c r="F210" s="29" t="n">
        <f aca="false">E210*(1+sh_g)</f>
        <v>0.64617</v>
      </c>
      <c r="G210" s="29" t="n">
        <f aca="false">F210*(1+sh_g)</f>
        <v>0.64617</v>
      </c>
      <c r="H210" s="31" t="n">
        <f aca="false">G210*(1+sh_g)</f>
        <v>0.64617</v>
      </c>
      <c r="I210" s="31" t="n">
        <f aca="false">H210*(1+sh_g)</f>
        <v>0.64617</v>
      </c>
      <c r="J210" s="31" t="n">
        <f aca="false">I210*(1+sh_g)</f>
        <v>0.64617</v>
      </c>
    </row>
    <row r="211" customFormat="false" ht="17.15" hidden="false" customHeight="false" outlineLevel="0" collapsed="false">
      <c r="A211" s="0" t="s">
        <v>524</v>
      </c>
      <c r="B211" s="0" t="s">
        <v>402</v>
      </c>
      <c r="C211" s="18" t="n">
        <f aca="false">C209/C210</f>
        <v>3.01</v>
      </c>
      <c r="D211" s="18" t="n">
        <f aca="false">D209/D210</f>
        <v>17.820894339844</v>
      </c>
      <c r="E211" s="18" t="n">
        <f aca="false">E209/E210</f>
        <v>31.7236004337409</v>
      </c>
      <c r="F211" s="18" t="n">
        <f aca="false">F209/F210</f>
        <v>23.3265103912247</v>
      </c>
      <c r="G211" s="18" t="n">
        <f aca="false">G209/G210</f>
        <v>22.661841964972</v>
      </c>
      <c r="H211" s="28" t="n">
        <f aca="false">H209/H210</f>
        <v>21.8995284072378</v>
      </c>
      <c r="I211" s="28" t="n">
        <f aca="false">I209/I210</f>
        <v>20.8984330907552</v>
      </c>
      <c r="J211" s="28" t="n">
        <f aca="false">J209/J210</f>
        <v>19.6766785408341</v>
      </c>
    </row>
    <row r="212" customFormat="false" ht="17.15" hidden="false" customHeight="false" outlineLevel="0" collapsed="false">
      <c r="A212" s="0" t="s">
        <v>654</v>
      </c>
      <c r="B212" s="0" t="s">
        <v>40</v>
      </c>
      <c r="D212" s="20" t="n">
        <f aca="false">D211/C211-1</f>
        <v>4.92056290360265</v>
      </c>
      <c r="E212" s="20" t="n">
        <f aca="false">E211/D211-1</f>
        <v>0.780135150838822</v>
      </c>
      <c r="F212" s="20" t="n">
        <f aca="false">F211/E211-1</f>
        <v>-0.264695366468717</v>
      </c>
      <c r="G212" s="20" t="n">
        <f aca="false">G211/F211-1</f>
        <v>-0.0284941217140959</v>
      </c>
      <c r="H212" s="26" t="n">
        <f aca="false">H211/G211-1</f>
        <v>-0.033638640623851</v>
      </c>
      <c r="I212" s="26" t="n">
        <f aca="false">I211/H211-1</f>
        <v>-0.0457130992899258</v>
      </c>
      <c r="J212" s="26" t="n">
        <f aca="false">J211/I211-1</f>
        <v>-0.0584615384615385</v>
      </c>
    </row>
    <row r="213" customFormat="false" ht="17.15" hidden="false" customHeight="false" outlineLevel="0" collapsed="false">
      <c r="A213" s="3" t="s">
        <v>655</v>
      </c>
      <c r="B213" s="0" t="s">
        <v>40</v>
      </c>
      <c r="C213" s="16" t="n">
        <f aca="false">C209/C192</f>
        <v>0.0484653872003585</v>
      </c>
      <c r="D213" s="16" t="n">
        <f aca="false">D209/D192</f>
        <v>0.194594602259759</v>
      </c>
      <c r="E213" s="16" t="n">
        <f aca="false">E209/E192</f>
        <v>0.26487609083335</v>
      </c>
      <c r="F213" s="16" t="n">
        <f aca="false">F209/F192</f>
        <v>0.222402959403932</v>
      </c>
      <c r="G213" s="16" t="n">
        <f aca="false">G209/G192</f>
        <v>0.207141950551</v>
      </c>
      <c r="H213" s="27" t="n">
        <f aca="false">$G213+(fade_mC-$G213)*1/3</f>
        <v>0.193332487180933</v>
      </c>
      <c r="I213" s="27" t="n">
        <f aca="false">$G213+(fade_mC-$G213)*2/3</f>
        <v>0.179523023810867</v>
      </c>
      <c r="J213" s="27" t="n">
        <f aca="false">$G213+(fade_mC-$G213)*3/3</f>
        <v>0.1657135604408</v>
      </c>
    </row>
    <row r="214" customFormat="false" ht="17.15" hidden="false" customHeight="false" outlineLevel="0" collapsed="false">
      <c r="A214" s="3" t="s">
        <v>656</v>
      </c>
      <c r="B214" s="0" t="s">
        <v>40</v>
      </c>
      <c r="C214" s="20" t="n">
        <f aca="false">C197/C192</f>
        <v>0.0602892489980833</v>
      </c>
      <c r="D214" s="20" t="n">
        <f aca="false">D197/D192</f>
        <v>0.0676270839708595</v>
      </c>
      <c r="E214" s="20" t="n">
        <f aca="false">E197/E192</f>
        <v>0.180901234999471</v>
      </c>
      <c r="F214" s="20" t="n">
        <f aca="false">F197/F192</f>
        <v>0.265592925137835</v>
      </c>
      <c r="G214" s="20" t="n">
        <f aca="false">G197/G192</f>
        <v>0.169749033379813</v>
      </c>
      <c r="H214" s="26" t="n">
        <f aca="false">$G214+($G199*(1+tp_g)^(life/2)-$G214)*1/3</f>
        <v>0.162373119241664</v>
      </c>
      <c r="I214" s="26" t="n">
        <f aca="false">$G214+($G199*(1+tp_g)^(life/2)-$G214)*2/3</f>
        <v>0.154997205103514</v>
      </c>
      <c r="J214" s="26" t="n">
        <f aca="false">$G214+($G199*(1+tp_g)^(life/2)-$G214)*3/3</f>
        <v>0.147621290965365</v>
      </c>
      <c r="K214" s="7" t="s">
        <v>657</v>
      </c>
    </row>
    <row r="215" customFormat="false" ht="15" hidden="false" customHeight="false" outlineLevel="0" collapsed="false">
      <c r="A215" s="3" t="s">
        <v>658</v>
      </c>
      <c r="B215" s="0" t="s">
        <v>329</v>
      </c>
      <c r="E215" s="21" t="n">
        <f aca="false">E209+E198-E197</f>
        <v>13.2113388922703</v>
      </c>
      <c r="F215" s="21" t="n">
        <f aca="false">F209+F198-F197</f>
        <v>4.69632871949765</v>
      </c>
      <c r="G215" s="21" t="n">
        <f aca="false">G209+G198-G197</f>
        <v>11.563910235006</v>
      </c>
      <c r="H215" s="30" t="n">
        <f aca="false">H209+H198-H197</f>
        <v>11.5022257607867</v>
      </c>
      <c r="I215" s="30" t="n">
        <f aca="false">I209+I198-I197</f>
        <v>11.3368242226606</v>
      </c>
      <c r="J215" s="30" t="n">
        <f aca="false">J209+J198-J197</f>
        <v>11.0699425096346</v>
      </c>
      <c r="K215" s="3" t="s">
        <v>659</v>
      </c>
    </row>
    <row r="216" customFormat="false" ht="15" hidden="false" customHeight="false" outlineLevel="0" collapsed="false">
      <c r="A216" s="3" t="s">
        <v>660</v>
      </c>
      <c r="B216" s="0" t="s">
        <v>402</v>
      </c>
      <c r="E216" s="18" t="n">
        <f aca="false">E215/E210</f>
        <v>20.4456085740135</v>
      </c>
      <c r="F216" s="18" t="n">
        <f aca="false">F215/F210</f>
        <v>7.2679460815229</v>
      </c>
      <c r="G216" s="18" t="n">
        <f aca="false">G215/G210</f>
        <v>17.8960803426435</v>
      </c>
      <c r="H216" s="28" t="n">
        <f aca="false">H215/H210</f>
        <v>17.8006186619414</v>
      </c>
      <c r="I216" s="28" t="n">
        <f aca="false">I215/I210</f>
        <v>17.5446464903363</v>
      </c>
      <c r="J216" s="28" t="n">
        <f aca="false">J215/J210</f>
        <v>17.1316255933184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663</v>
      </c>
    </row>
    <row r="2" customFormat="false" ht="17.15" hidden="false" customHeight="false" outlineLevel="0" collapsed="false">
      <c r="A2" s="3" t="s">
        <v>664</v>
      </c>
    </row>
    <row r="4" customFormat="false" ht="17.15" hidden="false" customHeight="false" outlineLevel="0" collapsed="false">
      <c r="A4" s="5" t="s">
        <v>665</v>
      </c>
    </row>
    <row r="5" customFormat="false" ht="17.15" hidden="false" customHeight="false" outlineLevel="0" collapsed="false">
      <c r="A5" s="5" t="s">
        <v>666</v>
      </c>
    </row>
    <row r="6" customFormat="false" ht="17.15" hidden="false" customHeight="false" outlineLevel="0" collapsed="false">
      <c r="A6" s="4" t="s">
        <v>17</v>
      </c>
      <c r="B6" s="13" t="s">
        <v>667</v>
      </c>
      <c r="C6" s="13" t="s">
        <v>668</v>
      </c>
      <c r="D6" s="13" t="s">
        <v>669</v>
      </c>
      <c r="E6" s="4" t="s">
        <v>549</v>
      </c>
    </row>
    <row r="7" customFormat="false" ht="17.15" hidden="false" customHeight="false" outlineLevel="0" collapsed="false">
      <c r="A7" s="3" t="s">
        <v>670</v>
      </c>
      <c r="E7" s="0" t="s">
        <v>671</v>
      </c>
    </row>
    <row r="8" customFormat="false" ht="15" hidden="false" customHeight="false" outlineLevel="0" collapsed="false">
      <c r="A8" s="0" t="s">
        <v>672</v>
      </c>
      <c r="B8" s="18" t="n">
        <f aca="false">PL!E15</f>
        <v>33.0451203854564</v>
      </c>
      <c r="C8" s="18" t="n">
        <f aca="false">PL!E29</f>
        <v>32.6046137348845</v>
      </c>
      <c r="D8" s="18" t="n">
        <f aca="false">PL!E43</f>
        <v>31.7236004337409</v>
      </c>
    </row>
    <row r="9" customFormat="false" ht="15" hidden="false" customHeight="false" outlineLevel="0" collapsed="false">
      <c r="A9" s="0" t="s">
        <v>673</v>
      </c>
      <c r="B9" s="18" t="n">
        <f aca="false">PL!F15</f>
        <v>35.8989618881977</v>
      </c>
      <c r="C9" s="18" t="n">
        <f aca="false">PL!F29</f>
        <v>30.6118850144076</v>
      </c>
      <c r="D9" s="18" t="n">
        <f aca="false">PL!F43</f>
        <v>23.3265103912247</v>
      </c>
    </row>
    <row r="10" customFormat="false" ht="15" hidden="false" customHeight="false" outlineLevel="0" collapsed="false">
      <c r="A10" s="0" t="s">
        <v>674</v>
      </c>
      <c r="B10" s="18" t="n">
        <f aca="false">PL!G15</f>
        <v>37.9499595798712</v>
      </c>
      <c r="C10" s="18" t="n">
        <f aca="false">PL!G29</f>
        <v>32.0550993636997</v>
      </c>
      <c r="D10" s="18" t="n">
        <f aca="false">PL!G43</f>
        <v>22.661841964972</v>
      </c>
    </row>
    <row r="11" customFormat="false" ht="15" hidden="false" customHeight="false" outlineLevel="0" collapsed="false">
      <c r="A11" s="0" t="s">
        <v>675</v>
      </c>
      <c r="B11" s="18" t="n">
        <f aca="false">PL!H15</f>
        <v>41.1342719435947</v>
      </c>
      <c r="C11" s="18" t="n">
        <f aca="false">PL!H29</f>
        <v>33.2085111641999</v>
      </c>
      <c r="D11" s="18" t="n">
        <f aca="false">PL!H43</f>
        <v>21.8995284072378</v>
      </c>
    </row>
    <row r="12" customFormat="false" ht="15" hidden="false" customHeight="false" outlineLevel="0" collapsed="false">
      <c r="A12" s="0" t="s">
        <v>676</v>
      </c>
      <c r="B12" s="18" t="n">
        <f aca="false">PL!I15</f>
        <v>44.0940512248659</v>
      </c>
      <c r="C12" s="18" t="n">
        <f aca="false">PL!I29</f>
        <v>33.8542215750189</v>
      </c>
      <c r="D12" s="18" t="n">
        <f aca="false">PL!I43</f>
        <v>20.8984330907552</v>
      </c>
    </row>
    <row r="13" customFormat="false" ht="15" hidden="false" customHeight="false" outlineLevel="0" collapsed="false">
      <c r="A13" s="0" t="s">
        <v>677</v>
      </c>
      <c r="B13" s="18" t="n">
        <f aca="false">PL!J15</f>
        <v>46.7396942983578</v>
      </c>
      <c r="C13" s="18" t="n">
        <f aca="false">PL!J29</f>
        <v>33.9509479223761</v>
      </c>
      <c r="D13" s="18" t="n">
        <f aca="false">PL!J43</f>
        <v>19.6766785408341</v>
      </c>
    </row>
    <row r="14" customFormat="false" ht="17.15" hidden="false" customHeight="false" outlineLevel="0" collapsed="false">
      <c r="A14" s="3" t="s">
        <v>678</v>
      </c>
      <c r="E14" s="3" t="s">
        <v>679</v>
      </c>
    </row>
    <row r="15" customFormat="false" ht="17.15" hidden="false" customHeight="false" outlineLevel="0" collapsed="false">
      <c r="A15" s="3" t="s">
        <v>680</v>
      </c>
      <c r="B15" s="20" t="n">
        <f aca="false">MIN(tp_g/tp_roe,0.8)</f>
        <v>0.743494423791822</v>
      </c>
      <c r="E15" s="7" t="s">
        <v>681</v>
      </c>
    </row>
    <row r="16" customFormat="false" ht="15" hidden="false" customHeight="false" outlineLevel="0" collapsed="false">
      <c r="A16" s="0" t="s">
        <v>672</v>
      </c>
      <c r="B16" s="18" t="n">
        <f aca="false">PL!E110</f>
        <v>21.767128525729</v>
      </c>
      <c r="C16" s="18" t="n">
        <f aca="false">PL!E163</f>
        <v>21.3266218751572</v>
      </c>
      <c r="D16" s="18" t="n">
        <f aca="false">PL!E216</f>
        <v>20.4456085740135</v>
      </c>
    </row>
    <row r="17" customFormat="false" ht="15" hidden="false" customHeight="false" outlineLevel="0" collapsed="false">
      <c r="A17" s="0" t="s">
        <v>673</v>
      </c>
      <c r="B17" s="18" t="n">
        <f aca="false">PL!F110</f>
        <v>19.8403975784959</v>
      </c>
      <c r="C17" s="18" t="n">
        <f aca="false">PL!F163</f>
        <v>14.5533207047058</v>
      </c>
      <c r="D17" s="18" t="n">
        <f aca="false">PL!F216</f>
        <v>7.2679460815229</v>
      </c>
    </row>
    <row r="18" customFormat="false" ht="15" hidden="false" customHeight="false" outlineLevel="0" collapsed="false">
      <c r="A18" s="0" t="s">
        <v>674</v>
      </c>
      <c r="B18" s="18" t="n">
        <f aca="false">PL!G110</f>
        <v>33.1841979575427</v>
      </c>
      <c r="C18" s="18" t="n">
        <f aca="false">PL!G163</f>
        <v>27.2893377413712</v>
      </c>
      <c r="D18" s="18" t="n">
        <f aca="false">PL!G216</f>
        <v>17.8960803426435</v>
      </c>
    </row>
    <row r="19" customFormat="false" ht="15" hidden="false" customHeight="false" outlineLevel="0" collapsed="false">
      <c r="A19" s="0" t="s">
        <v>675</v>
      </c>
      <c r="B19" s="18" t="n">
        <f aca="false">PL!H110</f>
        <v>36.843276302057</v>
      </c>
      <c r="C19" s="18" t="n">
        <f aca="false">PL!H163</f>
        <v>28.9658230156207</v>
      </c>
      <c r="D19" s="18" t="n">
        <f aca="false">PL!H216</f>
        <v>17.8006186619414</v>
      </c>
    </row>
    <row r="20" customFormat="false" ht="15" hidden="false" customHeight="false" outlineLevel="0" collapsed="false">
      <c r="A20" s="0" t="s">
        <v>676</v>
      </c>
      <c r="B20" s="18" t="n">
        <f aca="false">PL!I110</f>
        <v>40.4318881056189</v>
      </c>
      <c r="C20" s="18" t="n">
        <f aca="false">PL!I163</f>
        <v>30.2876747659343</v>
      </c>
      <c r="D20" s="18" t="n">
        <f aca="false">PL!I216</f>
        <v>17.5446464903363</v>
      </c>
    </row>
    <row r="21" customFormat="false" ht="15" hidden="false" customHeight="false" outlineLevel="0" collapsed="false">
      <c r="A21" s="0" t="s">
        <v>677</v>
      </c>
      <c r="B21" s="18" t="n">
        <f aca="false">PL!J110</f>
        <v>43.8516438527942</v>
      </c>
      <c r="C21" s="18" t="n">
        <f aca="false">PL!J163</f>
        <v>31.1913710758644</v>
      </c>
      <c r="D21" s="18" t="n">
        <f aca="false">PL!J216</f>
        <v>17.1316255933184</v>
      </c>
    </row>
    <row r="22" customFormat="false" ht="17.15" hidden="false" customHeight="false" outlineLevel="0" collapsed="false">
      <c r="A22" s="0" t="s">
        <v>682</v>
      </c>
      <c r="B22" s="18" t="n">
        <f aca="false">MAX(0,SUMPRODUCT(B16:B21,1/(1+tp_r)^{1;2;3;4;5;6})+B21*(1+tp_g)/(tp_r-tp_g)/(1+tp_r)^6)</f>
        <v>565.193587433738</v>
      </c>
      <c r="C22" s="18" t="n">
        <f aca="false">MAX(0,SUMPRODUCT(C16:C21,1/(1+tp_r)^{1;2;3;4;5;6})+C21*(1+tp_g)/(tp_r-tp_g)/(1+tp_r)^6)</f>
        <v>413.298359087058</v>
      </c>
      <c r="D22" s="18" t="n">
        <f aca="false">MAX(0,SUMPRODUCT(D16:D21,1/(1+tp_r)^{1;2;3;4;5;6})+D21*(1+tp_g)/(tp_r-tp_g)/(1+tp_r)^6)</f>
        <v>238.380841598478</v>
      </c>
      <c r="E22" s="7" t="s">
        <v>683</v>
      </c>
    </row>
    <row r="23" customFormat="false" ht="17.15" hidden="false" customHeight="false" outlineLevel="0" collapsed="false">
      <c r="A23" s="0" t="s">
        <v>684</v>
      </c>
      <c r="B23" s="18" t="n">
        <f aca="false">B22*(1+tp_r)</f>
        <v>621.712946177112</v>
      </c>
      <c r="C23" s="18" t="n">
        <f aca="false">C22*(1+tp_r)</f>
        <v>454.628194995764</v>
      </c>
      <c r="D23" s="18" t="n">
        <f aca="false">D22*(1+tp_r)</f>
        <v>262.218925758325</v>
      </c>
    </row>
    <row r="24" customFormat="false" ht="17.15" hidden="false" customHeight="false" outlineLevel="0" collapsed="false">
      <c r="A24" s="0" t="s">
        <v>685</v>
      </c>
      <c r="B24" s="32" t="n">
        <f aca="false">tp_wA*B23+tp_wB*C23+tp_wC*D23</f>
        <v>466.271766502681</v>
      </c>
      <c r="E24" s="7" t="s">
        <v>686</v>
      </c>
    </row>
    <row r="25" customFormat="false" ht="17.15" hidden="false" customHeight="false" outlineLevel="0" collapsed="false">
      <c r="A25" s="3" t="s">
        <v>687</v>
      </c>
      <c r="B25" s="18" t="n">
        <f aca="false">(tp_wA*MAX(0,SUMPRODUCT(B8:B13,1/(1+tp_r)^{1;2;3;4;5;6})+B13*(1+tp_g)/(tp_r-tp_g)/(1+tp_r)^6)+tp_wB*MAX(0,SUMPRODUCT(C8:C13,1/(1+tp_r)^{1;2;3;4;5;6})+C13*(1+tp_g)/(tp_r-tp_g)/(1+tp_r)^6)+tp_wC*MAX(0,SUMPRODUCT(D8:D13,1/(1+tp_r)^{1;2;3;4;5;6})+D13*(1+tp_g)/(tp_r-tp_g)/(1+tp_r)^6))*(1-B15)*(1+tp_r)</f>
        <v>136.731488648003</v>
      </c>
      <c r="E25" s="3" t="s">
        <v>688</v>
      </c>
    </row>
    <row r="26" customFormat="false" ht="17.15" hidden="false" customHeight="false" outlineLevel="0" collapsed="false">
      <c r="A26" s="5" t="s">
        <v>689</v>
      </c>
    </row>
    <row r="27" customFormat="false" ht="17.15" hidden="false" customHeight="false" outlineLevel="0" collapsed="false">
      <c r="A27" s="4" t="s">
        <v>690</v>
      </c>
      <c r="B27" s="4" t="s">
        <v>691</v>
      </c>
      <c r="C27" s="4" t="s">
        <v>692</v>
      </c>
      <c r="D27" s="4" t="s">
        <v>693</v>
      </c>
      <c r="E27" s="4" t="s">
        <v>694</v>
      </c>
      <c r="F27" s="4" t="s">
        <v>22</v>
      </c>
    </row>
    <row r="28" customFormat="false" ht="17.15" hidden="false" customHeight="false" outlineLevel="0" collapsed="false">
      <c r="A28" s="3" t="s">
        <v>695</v>
      </c>
      <c r="B28" s="0" t="s">
        <v>696</v>
      </c>
      <c r="C28" s="33" t="n">
        <v>42.28</v>
      </c>
      <c r="D28" s="7" t="s">
        <v>697</v>
      </c>
      <c r="E28" s="7" t="s">
        <v>698</v>
      </c>
      <c r="F28" s="7" t="s">
        <v>202</v>
      </c>
    </row>
    <row r="29" customFormat="false" ht="17.15" hidden="false" customHeight="false" outlineLevel="0" collapsed="false">
      <c r="A29" s="3" t="s">
        <v>699</v>
      </c>
      <c r="B29" s="0" t="s">
        <v>700</v>
      </c>
      <c r="C29" s="33" t="n">
        <v>44.7</v>
      </c>
      <c r="D29" s="7" t="s">
        <v>697</v>
      </c>
      <c r="E29" s="7" t="s">
        <v>698</v>
      </c>
      <c r="F29" s="7" t="s">
        <v>202</v>
      </c>
    </row>
    <row r="30" customFormat="false" ht="17.15" hidden="false" customHeight="false" outlineLevel="0" collapsed="false">
      <c r="A30" s="0" t="s">
        <v>701</v>
      </c>
      <c r="B30" s="0" t="s">
        <v>702</v>
      </c>
      <c r="C30" s="33" t="n">
        <v>53.97</v>
      </c>
      <c r="D30" s="7" t="s">
        <v>703</v>
      </c>
      <c r="E30" s="7" t="s">
        <v>698</v>
      </c>
      <c r="F30" s="7" t="s">
        <v>202</v>
      </c>
    </row>
    <row r="31" customFormat="false" ht="17.15" hidden="false" customHeight="false" outlineLevel="0" collapsed="false">
      <c r="A31" s="3" t="s">
        <v>704</v>
      </c>
      <c r="B31" s="0" t="s">
        <v>705</v>
      </c>
      <c r="C31" s="33" t="n">
        <v>43.4</v>
      </c>
      <c r="D31" s="7" t="s">
        <v>706</v>
      </c>
      <c r="E31" s="7" t="s">
        <v>698</v>
      </c>
      <c r="F31" s="7" t="s">
        <v>202</v>
      </c>
    </row>
    <row r="32" customFormat="false" ht="17.15" hidden="false" customHeight="false" outlineLevel="0" collapsed="false">
      <c r="A32" s="0" t="s">
        <v>707</v>
      </c>
      <c r="B32" s="0" t="s">
        <v>708</v>
      </c>
      <c r="C32" s="33" t="n">
        <v>14.91</v>
      </c>
      <c r="D32" s="7" t="s">
        <v>709</v>
      </c>
      <c r="E32" s="7" t="s">
        <v>698</v>
      </c>
      <c r="F32" s="7" t="s">
        <v>202</v>
      </c>
    </row>
    <row r="33" customFormat="false" ht="17.15" hidden="false" customHeight="false" outlineLevel="0" collapsed="false">
      <c r="A33" s="3" t="s">
        <v>710</v>
      </c>
      <c r="B33" s="34" t="n">
        <f aca="false">MEDIAN(C28:C32)</f>
        <v>43.4</v>
      </c>
      <c r="E33" s="7" t="s">
        <v>711</v>
      </c>
    </row>
    <row r="34" customFormat="false" ht="17.15" hidden="false" customHeight="false" outlineLevel="0" collapsed="false">
      <c r="A34" s="0" t="s">
        <v>712</v>
      </c>
      <c r="B34" s="18" t="n">
        <f aca="false">tp_wA*(2/12*B8+10/12*B9)+tp_wB*(2/12*C8+10/12*C9)+tp_wC*(2/12*D8+10/12*D9)</f>
        <v>31.0442048048946</v>
      </c>
      <c r="E34" s="3" t="s">
        <v>713</v>
      </c>
    </row>
    <row r="35" customFormat="false" ht="17.15" hidden="false" customHeight="false" outlineLevel="0" collapsed="false">
      <c r="A35" s="0" t="s">
        <v>714</v>
      </c>
      <c r="B35" s="32" t="n">
        <f aca="false">B33*B34</f>
        <v>1347.31848853243</v>
      </c>
      <c r="E35" s="3" t="s">
        <v>715</v>
      </c>
    </row>
    <row r="37" customFormat="false" ht="17.15" hidden="false" customHeight="false" outlineLevel="0" collapsed="false">
      <c r="A37" s="5" t="s">
        <v>716</v>
      </c>
    </row>
    <row r="38" customFormat="false" ht="15" hidden="false" customHeight="false" outlineLevel="0" collapsed="false">
      <c r="A38" s="4" t="s">
        <v>17</v>
      </c>
      <c r="B38" s="4" t="s">
        <v>717</v>
      </c>
      <c r="C38" s="4"/>
      <c r="D38" s="4"/>
      <c r="E38" s="4" t="s">
        <v>549</v>
      </c>
    </row>
    <row r="39" customFormat="false" ht="17.15" hidden="false" customHeight="false" outlineLevel="0" collapsed="false">
      <c r="A39" s="3" t="s">
        <v>718</v>
      </c>
      <c r="B39" s="32" t="n">
        <f aca="false">tp_w_dcf*B24+(1-tp_w_dcf)*B35</f>
        <v>906.795127517553</v>
      </c>
      <c r="E39" s="7" t="s">
        <v>719</v>
      </c>
    </row>
    <row r="40" customFormat="false" ht="17.15" hidden="false" customHeight="false" outlineLevel="0" collapsed="false">
      <c r="A40" s="0" t="s">
        <v>720</v>
      </c>
      <c r="B40" s="18" t="n">
        <f aca="false">B35</f>
        <v>1347.31848853243</v>
      </c>
    </row>
    <row r="41" customFormat="false" ht="17.15" hidden="false" customHeight="false" outlineLevel="0" collapsed="false">
      <c r="A41" s="3" t="s">
        <v>721</v>
      </c>
      <c r="B41" s="18" t="n">
        <f aca="false">cons_tp</f>
        <v>1651.31</v>
      </c>
      <c r="E41" s="7" t="s">
        <v>722</v>
      </c>
    </row>
    <row r="42" customFormat="false" ht="17.15" hidden="false" customHeight="false" outlineLevel="0" collapsed="false">
      <c r="A42" s="3" t="s">
        <v>723</v>
      </c>
      <c r="B42" s="20" t="n">
        <f aca="false">B39/px-1</f>
        <v>-0.283165907100749</v>
      </c>
      <c r="E42" s="3" t="s">
        <v>724</v>
      </c>
    </row>
    <row r="43" customFormat="false" ht="17.15" hidden="false" customHeight="false" outlineLevel="0" collapsed="false">
      <c r="A43" s="3" t="s">
        <v>725</v>
      </c>
      <c r="B43" s="20" t="n">
        <f aca="false">B40/px-1</f>
        <v>0.065073903978202</v>
      </c>
    </row>
    <row r="44" customFormat="false" ht="17.15" hidden="false" customHeight="false" outlineLevel="0" collapsed="false">
      <c r="A44" s="3" t="s">
        <v>726</v>
      </c>
      <c r="B44" s="20" t="n">
        <f aca="false">B34/cons_feps-1</f>
        <v>-0.00274187802943349</v>
      </c>
      <c r="E44" s="3" t="s">
        <v>727</v>
      </c>
    </row>
    <row r="45" customFormat="false" ht="17.15" hidden="false" customHeight="false" outlineLevel="0" collapsed="false">
      <c r="A45" s="3" t="s">
        <v>728</v>
      </c>
      <c r="B45" s="20" t="n">
        <f aca="false">(cons_tp/cons_feps)/B33-1</f>
        <v>0.222266541584376</v>
      </c>
      <c r="E45" s="0" t="str">
        <f aca="false">"共識目標價隱含 "&amp;TEXT(cons_tp/cons_feps,"0.0")&amp;"x，同業中位數 "&amp;TEXT(B33,"0.0")&amp;"x"</f>
        <v>共識目標價隱含 53.0x，同業中位數 43.4x</v>
      </c>
    </row>
    <row r="46" customFormat="false" ht="17.15" hidden="false" customHeight="false" outlineLevel="0" collapsed="false">
      <c r="A46" s="3" t="s">
        <v>729</v>
      </c>
      <c r="B46" s="35" t="str">
        <f aca="false">TEXT(D23,"#,##0")&amp;"～"&amp;TEXT(B23,"#,##0")</f>
        <v>262～622</v>
      </c>
      <c r="E46" s="7" t="s">
        <v>730</v>
      </c>
    </row>
    <row r="47" customFormat="false" ht="17.15" hidden="false" customHeight="false" outlineLevel="0" collapsed="false">
      <c r="A47" s="3" t="s">
        <v>731</v>
      </c>
      <c r="B47" s="36" t="n">
        <f aca="false">IF(px/B9&gt;=MAX($B$86:$B$95),1,IF(px/B9&lt;=MIN($B$86:$B$95),0,PERCENTRANK($B$86:$B$95,px/B9)))</f>
        <v>0.501</v>
      </c>
      <c r="C47" s="36" t="n">
        <f aca="false">IF(px/C9&gt;=MAX($B$86:$B$95),1,IF(px/C9&lt;=MIN($B$86:$B$95),0,PERCENTRANK($B$86:$B$95,px/C9)))</f>
        <v>0.524</v>
      </c>
      <c r="D47" s="36" t="n">
        <f aca="false">IF(px/D9&gt;=MAX($B$86:$B$95),1,IF(px/D9&lt;=MIN($B$86:$B$95),0,PERCENTRANK($B$86:$B$95,px/D9)))</f>
        <v>0.571</v>
      </c>
      <c r="E47" s="3" t="s">
        <v>732</v>
      </c>
    </row>
    <row r="48" customFormat="false" ht="17.15" hidden="false" customHeight="false" outlineLevel="0" collapsed="false">
      <c r="A48" s="3" t="s">
        <v>733</v>
      </c>
      <c r="B48" s="0" t="s">
        <v>734</v>
      </c>
    </row>
    <row r="51" customFormat="false" ht="17.15" hidden="false" customHeight="false" outlineLevel="0" collapsed="false">
      <c r="A51" s="5" t="s">
        <v>735</v>
      </c>
    </row>
    <row r="52" customFormat="false" ht="15" hidden="false" customHeight="false" outlineLevel="0" collapsed="false">
      <c r="A52" s="4" t="s">
        <v>17</v>
      </c>
      <c r="B52" s="13" t="s">
        <v>736</v>
      </c>
      <c r="C52" s="13" t="s">
        <v>737</v>
      </c>
      <c r="D52" s="13" t="s">
        <v>738</v>
      </c>
      <c r="E52" s="4" t="s">
        <v>549</v>
      </c>
    </row>
    <row r="53" customFormat="false" ht="17.15" hidden="false" customHeight="false" outlineLevel="0" collapsed="false">
      <c r="A53" s="3" t="s">
        <v>739</v>
      </c>
      <c r="B53" s="22" t="n">
        <f aca="false">px</f>
        <v>1265</v>
      </c>
    </row>
    <row r="54" customFormat="false" ht="17.15" hidden="false" customHeight="false" outlineLevel="0" collapsed="false">
      <c r="A54" s="3" t="s">
        <v>740</v>
      </c>
      <c r="B54" s="34" t="n">
        <f aca="false">px/PL!D15</f>
        <v>70.9840918124806</v>
      </c>
      <c r="C54" s="34" t="n">
        <f aca="false">px/PL!D29</f>
        <v>70.9840918124806</v>
      </c>
      <c r="D54" s="34" t="n">
        <f aca="false">px/PL!D43</f>
        <v>70.9840918124806</v>
      </c>
      <c r="E54" s="7" t="s">
        <v>741</v>
      </c>
    </row>
    <row r="55" customFormat="false" ht="17.15" hidden="false" customHeight="false" outlineLevel="0" collapsed="false">
      <c r="A55" s="3" t="s">
        <v>742</v>
      </c>
      <c r="B55" s="34" t="n">
        <f aca="false">px/PL!E15</f>
        <v>38.2809923294074</v>
      </c>
      <c r="C55" s="34" t="n">
        <f aca="false">px/PL!E29</f>
        <v>38.798190044084</v>
      </c>
      <c r="D55" s="34" t="n">
        <f aca="false">px/PL!E43</f>
        <v>39.8756756075695</v>
      </c>
      <c r="E55" s="7" t="s">
        <v>743</v>
      </c>
    </row>
    <row r="56" customFormat="false" ht="17.15" hidden="false" customHeight="false" outlineLevel="0" collapsed="false">
      <c r="A56" s="3" t="s">
        <v>744</v>
      </c>
      <c r="B56" s="34" t="n">
        <f aca="false">px/PL!F15</f>
        <v>35.2377877649962</v>
      </c>
      <c r="C56" s="34" t="n">
        <f aca="false">px/PL!F29</f>
        <v>41.3238191442514</v>
      </c>
      <c r="D56" s="34" t="n">
        <f aca="false">px/PL!F43</f>
        <v>54.2301432483398</v>
      </c>
    </row>
    <row r="57" customFormat="false" ht="17.15" hidden="false" customHeight="false" outlineLevel="0" collapsed="false">
      <c r="A57" s="3" t="s">
        <v>745</v>
      </c>
      <c r="B57" s="34" t="n">
        <f aca="false">px/PL!G15</f>
        <v>33.333368836339</v>
      </c>
      <c r="C57" s="34" t="n">
        <f aca="false">px/PL!G29</f>
        <v>39.463299915162</v>
      </c>
      <c r="D57" s="34" t="n">
        <f aca="false">px/PL!G43</f>
        <v>55.8207052169584</v>
      </c>
    </row>
    <row r="58" customFormat="false" ht="17.15" hidden="false" customHeight="false" outlineLevel="0" collapsed="false">
      <c r="A58" s="3" t="s">
        <v>746</v>
      </c>
      <c r="B58" s="18" t="n">
        <f aca="false">0.2*PL!D29+0.8*PL!E29</f>
        <v>29.6478698558764</v>
      </c>
    </row>
    <row r="59" customFormat="false" ht="17.15" hidden="false" customHeight="false" outlineLevel="0" collapsed="false">
      <c r="A59" s="3" t="s">
        <v>747</v>
      </c>
      <c r="B59" s="34" t="n">
        <f aca="false">px/B58</f>
        <v>42.6674835713119</v>
      </c>
    </row>
    <row r="60" customFormat="false" ht="17.15" hidden="false" customHeight="false" outlineLevel="0" collapsed="false">
      <c r="A60" s="3" t="s">
        <v>432</v>
      </c>
      <c r="B60" s="34" t="n">
        <f aca="false">pe_ttm</f>
        <v>148.7</v>
      </c>
    </row>
    <row r="61" customFormat="false" ht="17.15" hidden="false" customHeight="false" outlineLevel="0" collapsed="false">
      <c r="A61" s="3" t="s">
        <v>748</v>
      </c>
      <c r="B61" s="34" t="n">
        <f aca="false">fpe</f>
        <v>33.73</v>
      </c>
    </row>
    <row r="63" customFormat="false" ht="17.15" hidden="false" customHeight="false" outlineLevel="0" collapsed="false">
      <c r="A63" s="5" t="s">
        <v>749</v>
      </c>
    </row>
    <row r="64" customFormat="false" ht="17.15" hidden="false" customHeight="false" outlineLevel="0" collapsed="false">
      <c r="A64" s="4" t="s">
        <v>750</v>
      </c>
      <c r="B64" s="4" t="s">
        <v>751</v>
      </c>
      <c r="C64" s="13" t="s">
        <v>752</v>
      </c>
      <c r="D64" s="4" t="s">
        <v>753</v>
      </c>
      <c r="E64" s="4" t="s">
        <v>754</v>
      </c>
      <c r="F64" s="4" t="s">
        <v>549</v>
      </c>
    </row>
    <row r="65" customFormat="false" ht="17.15" hidden="false" customHeight="false" outlineLevel="0" collapsed="false">
      <c r="A65" s="0" t="s">
        <v>736</v>
      </c>
      <c r="B65" s="0" t="n">
        <f aca="false">INDEX({2026,2027,2028,2029},MATCH(MAX(PL!D86:G86),PL!D86:G86,0))</f>
        <v>2029</v>
      </c>
      <c r="C65" s="0" t="str">
        <f aca="false">IF(B65=2029,"中段",IF(2027&lt;B65,"中段",IF(2027=B65,"見頂","谷底")))</f>
        <v>中段</v>
      </c>
      <c r="D65" s="34" t="n">
        <f aca="false">IF(C65="見頂",pe_peak,IF(C65="谷底",pe_trough,pe_mid))</f>
        <v>34.93</v>
      </c>
      <c r="E65" s="0" t="str">
        <f aca="false">IF(B65=2029,"是：營收到觀測期末仍在增加","否")</f>
        <v>是：營收到觀測期末仍在增加</v>
      </c>
      <c r="F65" s="7" t="s">
        <v>755</v>
      </c>
    </row>
    <row r="66" customFormat="false" ht="15" hidden="false" customHeight="false" outlineLevel="0" collapsed="false">
      <c r="A66" s="0" t="s">
        <v>737</v>
      </c>
      <c r="B66" s="0" t="n">
        <f aca="false">INDEX({2026,2027,2028,2029},MATCH(MAX(PL!D139:G139),PL!D139:G139,0))</f>
        <v>2029</v>
      </c>
      <c r="C66" s="0" t="str">
        <f aca="false">IF(B66=2029,"中段",IF(2027&lt;B66,"中段",IF(2027=B66,"見頂","谷底")))</f>
        <v>中段</v>
      </c>
      <c r="D66" s="34" t="n">
        <f aca="false">IF(C66="見頂",pe_peak,IF(C66="谷底",pe_trough,pe_mid))</f>
        <v>34.93</v>
      </c>
      <c r="E66" s="0" t="str">
        <f aca="false">IF(B66=2029,"是：營收到觀測期末仍在增加","否")</f>
        <v>是：營收到觀測期末仍在增加</v>
      </c>
      <c r="F66" s="3" t="s">
        <v>42</v>
      </c>
    </row>
    <row r="67" customFormat="false" ht="15" hidden="false" customHeight="false" outlineLevel="0" collapsed="false">
      <c r="A67" s="0" t="s">
        <v>738</v>
      </c>
      <c r="B67" s="0" t="n">
        <f aca="false">INDEX({2026,2027,2028,2029},MATCH(MAX(PL!D192:G192),PL!D192:G192,0))</f>
        <v>2027</v>
      </c>
      <c r="C67" s="0" t="str">
        <f aca="false">IF(B67=2029,"中段",IF(2027&lt;B67,"中段",IF(2027=B67,"見頂","谷底")))</f>
        <v>見頂</v>
      </c>
      <c r="D67" s="34" t="n">
        <f aca="false">IF(C67="見頂",pe_peak,IF(C67="谷底",pe_trough,pe_mid))</f>
        <v>28.98</v>
      </c>
      <c r="E67" s="0" t="str">
        <f aca="false">IF(B67=2029,"是：營收到觀測期末仍在增加","否")</f>
        <v>否</v>
      </c>
      <c r="F67" s="3" t="s">
        <v>42</v>
      </c>
    </row>
    <row r="69" customFormat="false" ht="17.15" hidden="false" customHeight="false" outlineLevel="0" collapsed="false">
      <c r="A69" s="5" t="s">
        <v>756</v>
      </c>
    </row>
    <row r="70" customFormat="false" ht="17.15" hidden="false" customHeight="false" outlineLevel="0" collapsed="false">
      <c r="A70" s="4" t="s">
        <v>750</v>
      </c>
      <c r="B70" s="13" t="s">
        <v>757</v>
      </c>
      <c r="C70" s="4" t="s">
        <v>758</v>
      </c>
      <c r="D70" s="4" t="s">
        <v>759</v>
      </c>
      <c r="E70" s="4" t="s">
        <v>760</v>
      </c>
      <c r="F70" s="4" t="s">
        <v>761</v>
      </c>
      <c r="G70" s="4" t="s">
        <v>762</v>
      </c>
    </row>
    <row r="71" customFormat="false" ht="15" hidden="false" customHeight="false" outlineLevel="0" collapsed="false">
      <c r="A71" s="8" t="s">
        <v>736</v>
      </c>
      <c r="B71" s="32" t="n">
        <f aca="false">PL!E15</f>
        <v>33.0451203854564</v>
      </c>
      <c r="C71" s="32" t="n">
        <f aca="false">B71</f>
        <v>33.0451203854564</v>
      </c>
      <c r="D71" s="37" t="n">
        <f aca="false">D65</f>
        <v>34.93</v>
      </c>
      <c r="E71" s="38" t="n">
        <f aca="false">C71*D71</f>
        <v>1154.26605506399</v>
      </c>
      <c r="F71" s="39" t="n">
        <f aca="false">E71/px-1</f>
        <v>-0.0875367153644345</v>
      </c>
      <c r="G71" s="37" t="n">
        <f aca="false">px/C71</f>
        <v>38.2809923294074</v>
      </c>
    </row>
    <row r="72" customFormat="false" ht="15" hidden="false" customHeight="false" outlineLevel="0" collapsed="false">
      <c r="A72" s="8" t="s">
        <v>737</v>
      </c>
      <c r="B72" s="32" t="n">
        <f aca="false">PL!E29</f>
        <v>32.6046137348845</v>
      </c>
      <c r="C72" s="32" t="n">
        <f aca="false">B72</f>
        <v>32.6046137348845</v>
      </c>
      <c r="D72" s="37" t="n">
        <f aca="false">D66</f>
        <v>34.93</v>
      </c>
      <c r="E72" s="38" t="n">
        <f aca="false">C72*D72</f>
        <v>1138.87915775952</v>
      </c>
      <c r="F72" s="39" t="n">
        <f aca="false">E72/px-1</f>
        <v>-0.0997002705458371</v>
      </c>
      <c r="G72" s="37" t="n">
        <f aca="false">px/C72</f>
        <v>38.798190044084</v>
      </c>
    </row>
    <row r="73" customFormat="false" ht="15" hidden="false" customHeight="false" outlineLevel="0" collapsed="false">
      <c r="A73" s="8" t="s">
        <v>738</v>
      </c>
      <c r="B73" s="32" t="n">
        <f aca="false">PL!E43</f>
        <v>31.7236004337409</v>
      </c>
      <c r="C73" s="32" t="n">
        <f aca="false">B73</f>
        <v>31.7236004337409</v>
      </c>
      <c r="D73" s="37" t="n">
        <f aca="false">D67</f>
        <v>28.98</v>
      </c>
      <c r="E73" s="38" t="n">
        <f aca="false">C73*D73</f>
        <v>919.34994056981</v>
      </c>
      <c r="F73" s="39" t="n">
        <f aca="false">E73/px-1</f>
        <v>-0.273241153699755</v>
      </c>
      <c r="G73" s="37" t="n">
        <f aca="false">px/C73</f>
        <v>39.8756756075695</v>
      </c>
    </row>
    <row r="75" customFormat="false" ht="17.15" hidden="false" customHeight="false" outlineLevel="0" collapsed="false">
      <c r="A75" s="5" t="s">
        <v>763</v>
      </c>
    </row>
    <row r="76" customFormat="false" ht="17.15" hidden="false" customHeight="false" outlineLevel="0" collapsed="false">
      <c r="A76" s="13" t="s">
        <v>764</v>
      </c>
      <c r="B76" s="4" t="s">
        <v>765</v>
      </c>
      <c r="C76" s="4" t="s">
        <v>766</v>
      </c>
      <c r="D76" s="4" t="s">
        <v>767</v>
      </c>
      <c r="E76" s="4" t="s">
        <v>768</v>
      </c>
    </row>
    <row r="77" customFormat="false" ht="15" hidden="false" customHeight="false" outlineLevel="0" collapsed="false">
      <c r="A77" s="17" t="n">
        <v>0.75</v>
      </c>
      <c r="B77" s="34" t="n">
        <f aca="false">px*A77/PL!F15</f>
        <v>26.4283408237472</v>
      </c>
      <c r="C77" s="34" t="n">
        <f aca="false">px*A77/PL!F29</f>
        <v>30.9928643581886</v>
      </c>
      <c r="D77" s="34" t="n">
        <f aca="false">px*A77/PL!F43</f>
        <v>40.6726074362548</v>
      </c>
      <c r="E77" s="34" t="n">
        <f aca="false">pe_mid</f>
        <v>34.93</v>
      </c>
    </row>
    <row r="78" customFormat="false" ht="15" hidden="false" customHeight="false" outlineLevel="0" collapsed="false">
      <c r="A78" s="17" t="n">
        <v>1</v>
      </c>
      <c r="B78" s="34" t="n">
        <f aca="false">px*A78/PL!F15</f>
        <v>35.2377877649962</v>
      </c>
      <c r="C78" s="34" t="n">
        <f aca="false">px*A78/PL!F29</f>
        <v>41.3238191442514</v>
      </c>
      <c r="D78" s="34" t="n">
        <f aca="false">px*A78/PL!F43</f>
        <v>54.2301432483398</v>
      </c>
      <c r="E78" s="34" t="n">
        <f aca="false">pe_mid</f>
        <v>34.93</v>
      </c>
    </row>
    <row r="79" customFormat="false" ht="15" hidden="false" customHeight="false" outlineLevel="0" collapsed="false">
      <c r="A79" s="17" t="n">
        <v>1.1</v>
      </c>
      <c r="B79" s="34" t="n">
        <f aca="false">px*A79/PL!F15</f>
        <v>38.7615665414959</v>
      </c>
      <c r="C79" s="34" t="n">
        <f aca="false">px*A79/PL!F29</f>
        <v>45.4562010586766</v>
      </c>
      <c r="D79" s="34" t="n">
        <f aca="false">px*A79/PL!F43</f>
        <v>59.6531575731737</v>
      </c>
      <c r="E79" s="34" t="n">
        <f aca="false">pe_mid</f>
        <v>34.93</v>
      </c>
    </row>
    <row r="80" customFormat="false" ht="15" hidden="false" customHeight="false" outlineLevel="0" collapsed="false">
      <c r="A80" s="17" t="n">
        <v>1.21</v>
      </c>
      <c r="B80" s="34" t="n">
        <f aca="false">px*A80/PL!F15</f>
        <v>42.6377231956455</v>
      </c>
      <c r="C80" s="34" t="n">
        <f aca="false">px*A80/PL!F29</f>
        <v>50.0018211645442</v>
      </c>
      <c r="D80" s="34" t="n">
        <f aca="false">px*A80/PL!F43</f>
        <v>65.6184733304911</v>
      </c>
      <c r="E80" s="34" t="n">
        <f aca="false">pe_mid</f>
        <v>34.93</v>
      </c>
    </row>
    <row r="81" customFormat="false" ht="15" hidden="false" customHeight="false" outlineLevel="0" collapsed="false">
      <c r="A81" s="17" t="n">
        <v>1.5</v>
      </c>
      <c r="B81" s="34" t="n">
        <f aca="false">px*A81/PL!F15</f>
        <v>52.8566816474944</v>
      </c>
      <c r="C81" s="34" t="n">
        <f aca="false">px*A81/PL!F29</f>
        <v>61.9857287163771</v>
      </c>
      <c r="D81" s="34" t="n">
        <f aca="false">px*A81/PL!F43</f>
        <v>81.3452148725096</v>
      </c>
      <c r="E81" s="34" t="n">
        <f aca="false">pe_mid</f>
        <v>34.93</v>
      </c>
    </row>
    <row r="82" customFormat="false" ht="17.15" hidden="false" customHeight="false" outlineLevel="0" collapsed="false">
      <c r="A82" s="3" t="s">
        <v>769</v>
      </c>
    </row>
    <row r="84" customFormat="false" ht="17.15" hidden="false" customHeight="false" outlineLevel="0" collapsed="false">
      <c r="A84" s="5" t="s">
        <v>770</v>
      </c>
    </row>
    <row r="85" customFormat="false" ht="17.15" hidden="false" customHeight="false" outlineLevel="0" collapsed="false">
      <c r="A85" s="4" t="s">
        <v>771</v>
      </c>
      <c r="B85" s="4" t="s">
        <v>772</v>
      </c>
      <c r="C85" s="13" t="s">
        <v>773</v>
      </c>
      <c r="D85" s="4" t="s">
        <v>774</v>
      </c>
    </row>
    <row r="86" customFormat="false" ht="17.15" hidden="false" customHeight="false" outlineLevel="0" collapsed="false">
      <c r="A86" s="0" t="s">
        <v>775</v>
      </c>
      <c r="E86" s="3" t="s">
        <v>776</v>
      </c>
    </row>
    <row r="87" customFormat="false" ht="17.15" hidden="false" customHeight="false" outlineLevel="0" collapsed="false">
      <c r="A87" s="0" t="s">
        <v>777</v>
      </c>
      <c r="E87" s="3" t="s">
        <v>776</v>
      </c>
    </row>
    <row r="88" customFormat="false" ht="17.15" hidden="false" customHeight="false" outlineLevel="0" collapsed="false">
      <c r="A88" s="0" t="s">
        <v>778</v>
      </c>
      <c r="E88" s="3" t="s">
        <v>776</v>
      </c>
    </row>
    <row r="89" customFormat="false" ht="15" hidden="false" customHeight="false" outlineLevel="0" collapsed="false">
      <c r="A89" s="0" t="s">
        <v>779</v>
      </c>
      <c r="B89" s="18" t="n">
        <f aca="false">AVERAGE(C89:D89)</f>
        <v>95.7291666666667</v>
      </c>
      <c r="C89" s="18" t="str">
        <f aca="false">IF(ISNUMBER(B108),B108,"")</f>
        <v/>
      </c>
      <c r="D89" s="18" t="n">
        <f aca="false">IF(ISNUMBER(C108),C108,"")</f>
        <v>95.7291666666667</v>
      </c>
    </row>
    <row r="90" customFormat="false" ht="15" hidden="false" customHeight="false" outlineLevel="0" collapsed="false">
      <c r="A90" s="0" t="s">
        <v>780</v>
      </c>
      <c r="B90" s="18" t="n">
        <f aca="false">AVERAGE(C90:D90)</f>
        <v>32.0987654320988</v>
      </c>
      <c r="C90" s="18" t="str">
        <f aca="false">IF(ISNUMBER(B109),B109,"")</f>
        <v/>
      </c>
      <c r="D90" s="18" t="n">
        <f aca="false">IF(ISNUMBER(C109),C109,"")</f>
        <v>32.0987654320988</v>
      </c>
    </row>
    <row r="91" customFormat="false" ht="15" hidden="false" customHeight="false" outlineLevel="0" collapsed="false">
      <c r="A91" s="0" t="s">
        <v>781</v>
      </c>
      <c r="B91" s="18" t="n">
        <f aca="false">AVERAGE(C91:D91)</f>
        <v>34.9253174603175</v>
      </c>
      <c r="C91" s="18" t="n">
        <f aca="false">IF(ISNUMBER(B110),B110,"")</f>
        <v>34.93</v>
      </c>
      <c r="D91" s="18" t="n">
        <f aca="false">IF(ISNUMBER(C110),C110,"")</f>
        <v>34.9206349206349</v>
      </c>
    </row>
    <row r="92" customFormat="false" ht="15" hidden="false" customHeight="false" outlineLevel="0" collapsed="false">
      <c r="A92" s="0" t="s">
        <v>782</v>
      </c>
      <c r="B92" s="18" t="n">
        <f aca="false">AVERAGE(C92:D92)</f>
        <v>7.55703826955075</v>
      </c>
      <c r="C92" s="18" t="n">
        <f aca="false">IF(ISNUMBER(B111),B111,"")</f>
        <v>7.56</v>
      </c>
      <c r="D92" s="18" t="n">
        <f aca="false">IF(ISNUMBER(C111),C111,"")</f>
        <v>7.5540765391015</v>
      </c>
    </row>
    <row r="93" customFormat="false" ht="15" hidden="false" customHeight="false" outlineLevel="0" collapsed="false">
      <c r="A93" s="0" t="s">
        <v>783</v>
      </c>
      <c r="B93" s="18" t="n">
        <f aca="false">AVERAGE(C93:D93)</f>
        <v>27.9422222222222</v>
      </c>
      <c r="C93" s="18" t="n">
        <f aca="false">IF(ISNUMBER(B112),B112,"")</f>
        <v>27.94</v>
      </c>
      <c r="D93" s="18" t="n">
        <f aca="false">IF(ISNUMBER(C112),C112,"")</f>
        <v>27.9444444444444</v>
      </c>
    </row>
    <row r="94" customFormat="false" ht="15" hidden="false" customHeight="false" outlineLevel="0" collapsed="false">
      <c r="A94" s="0" t="s">
        <v>784</v>
      </c>
      <c r="B94" s="18" t="n">
        <f aca="false">AVERAGE(C94:D94)</f>
        <v>410.86125</v>
      </c>
      <c r="C94" s="18" t="n">
        <f aca="false">IF(ISNUMBER(B113),B113,"")</f>
        <v>413.91</v>
      </c>
      <c r="D94" s="18" t="n">
        <f aca="false">IF(ISNUMBER(C113),C113,"")</f>
        <v>407.8125</v>
      </c>
    </row>
    <row r="95" customFormat="false" ht="15" hidden="false" customHeight="false" outlineLevel="0" collapsed="false">
      <c r="A95" s="0" t="s">
        <v>785</v>
      </c>
      <c r="B95" s="18" t="n">
        <f aca="false">AVERAGE(C95:D95)</f>
        <v>80.0282225913621</v>
      </c>
      <c r="C95" s="18" t="n">
        <f aca="false">IF(ISNUMBER(B114),B114,"")</f>
        <v>79.99</v>
      </c>
      <c r="D95" s="18" t="n">
        <f aca="false">IF(ISNUMBER(C114),C114,"")</f>
        <v>80.0664451827243</v>
      </c>
    </row>
    <row r="96" customFormat="false" ht="15" hidden="false" customHeight="false" outlineLevel="0" collapsed="false">
      <c r="A96" s="3" t="s">
        <v>786</v>
      </c>
      <c r="B96" s="0" t="n">
        <f aca="false">COUNT($B$86:$B$95)</f>
        <v>7</v>
      </c>
    </row>
    <row r="100" customFormat="false" ht="17.15" hidden="false" customHeight="false" outlineLevel="0" collapsed="false">
      <c r="A100" s="5" t="s">
        <v>787</v>
      </c>
    </row>
    <row r="101" customFormat="false" ht="17.15" hidden="false" customHeight="false" outlineLevel="0" collapsed="false">
      <c r="A101" s="3" t="s">
        <v>788</v>
      </c>
    </row>
    <row r="103" customFormat="false" ht="17.15" hidden="false" customHeight="false" outlineLevel="0" collapsed="false">
      <c r="A103" s="5" t="s">
        <v>789</v>
      </c>
    </row>
    <row r="104" customFormat="false" ht="17.15" hidden="false" customHeight="false" outlineLevel="0" collapsed="false">
      <c r="A104" s="4" t="s">
        <v>771</v>
      </c>
      <c r="B104" s="13" t="s">
        <v>790</v>
      </c>
      <c r="C104" s="4" t="s">
        <v>791</v>
      </c>
      <c r="D104" s="4" t="s">
        <v>792</v>
      </c>
    </row>
    <row r="105" customFormat="false" ht="17.15" hidden="false" customHeight="false" outlineLevel="0" collapsed="false">
      <c r="A105" s="0" t="s">
        <v>775</v>
      </c>
      <c r="D105" s="0" t="s">
        <v>793</v>
      </c>
    </row>
    <row r="106" customFormat="false" ht="15" hidden="false" customHeight="false" outlineLevel="0" collapsed="false">
      <c r="A106" s="0" t="s">
        <v>777</v>
      </c>
    </row>
    <row r="107" customFormat="false" ht="15" hidden="false" customHeight="false" outlineLevel="0" collapsed="false">
      <c r="A107" s="0" t="s">
        <v>778</v>
      </c>
    </row>
    <row r="108" customFormat="false" ht="15" hidden="false" customHeight="false" outlineLevel="0" collapsed="false">
      <c r="A108" s="0" t="s">
        <v>779</v>
      </c>
      <c r="C108" s="18" t="n">
        <f aca="false">45.95/0.48</f>
        <v>95.7291666666667</v>
      </c>
    </row>
    <row r="109" customFormat="false" ht="15" hidden="false" customHeight="false" outlineLevel="0" collapsed="false">
      <c r="A109" s="0" t="s">
        <v>780</v>
      </c>
      <c r="C109" s="18" t="n">
        <f aca="false">182/5.67</f>
        <v>32.0987654320988</v>
      </c>
    </row>
    <row r="110" customFormat="false" ht="15" hidden="false" customHeight="false" outlineLevel="0" collapsed="false">
      <c r="A110" s="0" t="s">
        <v>781</v>
      </c>
      <c r="B110" s="17" t="n">
        <v>34.93</v>
      </c>
      <c r="C110" s="18" t="n">
        <f aca="false">572/16.38</f>
        <v>34.9206349206349</v>
      </c>
    </row>
    <row r="111" customFormat="false" ht="15" hidden="false" customHeight="false" outlineLevel="0" collapsed="false">
      <c r="A111" s="0" t="s">
        <v>782</v>
      </c>
      <c r="B111" s="17" t="n">
        <v>7.56</v>
      </c>
      <c r="C111" s="18" t="n">
        <f aca="false">227/30.05</f>
        <v>7.5540765391015</v>
      </c>
    </row>
    <row r="112" customFormat="false" ht="15" hidden="false" customHeight="false" outlineLevel="0" collapsed="false">
      <c r="A112" s="0" t="s">
        <v>783</v>
      </c>
      <c r="B112" s="17" t="n">
        <v>27.94</v>
      </c>
      <c r="C112" s="18" t="n">
        <f aca="false">251.5/9</f>
        <v>27.9444444444444</v>
      </c>
    </row>
    <row r="113" customFormat="false" ht="15" hidden="false" customHeight="false" outlineLevel="0" collapsed="false">
      <c r="A113" s="0" t="s">
        <v>784</v>
      </c>
      <c r="B113" s="17" t="n">
        <v>413.91</v>
      </c>
      <c r="C113" s="18" t="n">
        <f aca="false">130.5/0.32</f>
        <v>407.8125</v>
      </c>
    </row>
    <row r="114" customFormat="false" ht="15" hidden="false" customHeight="false" outlineLevel="0" collapsed="false">
      <c r="A114" s="0" t="s">
        <v>785</v>
      </c>
      <c r="B114" s="17" t="n">
        <v>79.99</v>
      </c>
      <c r="C114" s="18" t="n">
        <f aca="false">241/3.01</f>
        <v>80.0664451827243</v>
      </c>
    </row>
    <row r="115" customFormat="false" ht="17.15" hidden="false" customHeight="false" outlineLevel="0" collapsed="false">
      <c r="A115" s="0" t="s">
        <v>794</v>
      </c>
      <c r="B115" s="18" t="n">
        <f aca="false">PERCENTILE(B105:B114,0.25)</f>
        <v>27.94</v>
      </c>
      <c r="C115" s="18" t="n">
        <f aca="false">PERCENTILE(C105:C114,0.25)</f>
        <v>30.0216049382716</v>
      </c>
    </row>
    <row r="116" customFormat="false" ht="15" hidden="false" customHeight="false" outlineLevel="0" collapsed="false">
      <c r="A116" s="3" t="s">
        <v>795</v>
      </c>
      <c r="B116" s="18" t="n">
        <f aca="false">MEDIAN(B105:B114)</f>
        <v>34.93</v>
      </c>
      <c r="C116" s="18" t="n">
        <f aca="false">MEDIAN(C105:C114)</f>
        <v>34.9206349206349</v>
      </c>
    </row>
    <row r="117" customFormat="false" ht="17.15" hidden="false" customHeight="false" outlineLevel="0" collapsed="false">
      <c r="A117" s="0" t="s">
        <v>796</v>
      </c>
      <c r="B117" s="18" t="n">
        <f aca="false">PERCENTILE(B105:B114,0.75)</f>
        <v>79.99</v>
      </c>
      <c r="C117" s="18" t="n">
        <f aca="false">PERCENTILE(C105:C114,0.75)</f>
        <v>87.8978059246955</v>
      </c>
    </row>
    <row r="118" customFormat="false" ht="15" hidden="false" customHeight="false" outlineLevel="0" collapsed="false">
      <c r="A118" s="3" t="s">
        <v>797</v>
      </c>
      <c r="B118" s="18" t="n">
        <f aca="false">MIN(B105:B114)</f>
        <v>7.56</v>
      </c>
      <c r="C118" s="18" t="n">
        <f aca="false">MIN(C105:C114)</f>
        <v>7.5540765391015</v>
      </c>
    </row>
    <row r="119" customFormat="false" ht="15" hidden="false" customHeight="false" outlineLevel="0" collapsed="false">
      <c r="A119" s="3" t="s">
        <v>798</v>
      </c>
      <c r="B119" s="18" t="n">
        <f aca="false">MAX(B105:B114)</f>
        <v>413.91</v>
      </c>
      <c r="C119" s="18" t="n">
        <f aca="false">MAX(C105:C114)</f>
        <v>407.8125</v>
      </c>
    </row>
    <row r="120" customFormat="false" ht="17.15" hidden="false" customHeight="false" outlineLevel="0" collapsed="false">
      <c r="A120" s="1" t="s">
        <v>799</v>
      </c>
      <c r="B120" s="18" t="n">
        <f aca="false">ROUND(AVERAGE(B115,C115),2)</f>
        <v>28.98</v>
      </c>
    </row>
    <row r="121" customFormat="false" ht="17.15" hidden="false" customHeight="false" outlineLevel="0" collapsed="false">
      <c r="A121" s="1" t="s">
        <v>800</v>
      </c>
      <c r="B121" s="18" t="n">
        <f aca="false">ROUND(AVERAGE(B116,C116),2)</f>
        <v>34.93</v>
      </c>
    </row>
    <row r="122" customFormat="false" ht="17.15" hidden="false" customHeight="false" outlineLevel="0" collapsed="false">
      <c r="A122" s="1" t="s">
        <v>801</v>
      </c>
      <c r="B122" s="18" t="n">
        <f aca="false">ROUND(AVERAGE(B117,C117),2)</f>
        <v>83.94</v>
      </c>
    </row>
    <row r="123" customFormat="false" ht="17.15" hidden="false" customHeight="false" outlineLevel="0" collapsed="false">
      <c r="A123" s="1" t="s">
        <v>802</v>
      </c>
      <c r="B123" s="18" t="n">
        <f aca="false">ROUND(MIN(B118,C118),2)</f>
        <v>7.55</v>
      </c>
    </row>
    <row r="124" customFormat="false" ht="17.15" hidden="false" customHeight="false" outlineLevel="0" collapsed="false">
      <c r="A124" s="1" t="s">
        <v>803</v>
      </c>
      <c r="B124" s="18" t="n">
        <f aca="false">ROUND(MAX(B119,C119),2)</f>
        <v>413.91</v>
      </c>
    </row>
    <row r="126" customFormat="false" ht="17.15" hidden="false" customHeight="false" outlineLevel="0" collapsed="false">
      <c r="A126" s="5" t="s">
        <v>804</v>
      </c>
    </row>
    <row r="127" customFormat="false" ht="17.15" hidden="false" customHeight="false" outlineLevel="0" collapsed="false">
      <c r="A127" s="4" t="s">
        <v>805</v>
      </c>
      <c r="B127" s="4" t="s">
        <v>806</v>
      </c>
      <c r="C127" s="4" t="s">
        <v>807</v>
      </c>
      <c r="D127" s="4" t="s">
        <v>20</v>
      </c>
      <c r="E127" s="4" t="s">
        <v>808</v>
      </c>
      <c r="F127" s="4" t="s">
        <v>760</v>
      </c>
      <c r="G127" s="4" t="s">
        <v>809</v>
      </c>
      <c r="H127" s="4" t="s">
        <v>810</v>
      </c>
    </row>
    <row r="128" customFormat="false" ht="17.15" hidden="false" customHeight="false" outlineLevel="0" collapsed="false">
      <c r="A128" s="3" t="s">
        <v>811</v>
      </c>
      <c r="B128" s="0" t="s">
        <v>812</v>
      </c>
      <c r="C128" s="18" t="n">
        <f aca="false">B120</f>
        <v>28.98</v>
      </c>
      <c r="D128" s="7" t="s">
        <v>813</v>
      </c>
      <c r="E128" s="18" t="n">
        <f aca="false">C72</f>
        <v>32.6046137348845</v>
      </c>
      <c r="F128" s="23" t="n">
        <f aca="false">C128*E128</f>
        <v>944.881706036953</v>
      </c>
      <c r="G128" s="20" t="n">
        <f aca="false">F128/px-1</f>
        <v>-0.253057939891737</v>
      </c>
      <c r="H128" s="18" t="n">
        <f aca="false">px/E128</f>
        <v>38.798190044084</v>
      </c>
    </row>
    <row r="129" customFormat="false" ht="17.15" hidden="false" customHeight="false" outlineLevel="0" collapsed="false">
      <c r="A129" s="3" t="s">
        <v>814</v>
      </c>
      <c r="B129" s="3" t="s">
        <v>815</v>
      </c>
      <c r="C129" s="18" t="n">
        <f aca="false">B121</f>
        <v>34.93</v>
      </c>
      <c r="D129" s="7" t="s">
        <v>813</v>
      </c>
      <c r="E129" s="18" t="n">
        <f aca="false">C72</f>
        <v>32.6046137348845</v>
      </c>
      <c r="F129" s="23" t="n">
        <f aca="false">C129*E129</f>
        <v>1138.87915775952</v>
      </c>
      <c r="G129" s="20" t="n">
        <f aca="false">F129/px-1</f>
        <v>-0.0997002705458371</v>
      </c>
      <c r="H129" s="18" t="n">
        <f aca="false">px/E129</f>
        <v>38.798190044084</v>
      </c>
    </row>
    <row r="130" customFormat="false" ht="17.15" hidden="false" customHeight="false" outlineLevel="0" collapsed="false">
      <c r="A130" s="3" t="s">
        <v>816</v>
      </c>
      <c r="B130" s="0" t="s">
        <v>817</v>
      </c>
      <c r="C130" s="18" t="n">
        <f aca="false">B122</f>
        <v>83.94</v>
      </c>
      <c r="D130" s="7" t="s">
        <v>813</v>
      </c>
      <c r="E130" s="18" t="n">
        <f aca="false">C72</f>
        <v>32.6046137348845</v>
      </c>
      <c r="F130" s="23" t="n">
        <f aca="false">C130*E130</f>
        <v>2736.83127690621</v>
      </c>
      <c r="G130" s="20" t="n">
        <f aca="false">F130/px-1</f>
        <v>1.16350298569661</v>
      </c>
      <c r="H130" s="18" t="n">
        <f aca="false">px/E130</f>
        <v>38.798190044084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818</v>
      </c>
    </row>
    <row r="3" customFormat="false" ht="17.15" hidden="false" customHeight="false" outlineLevel="0" collapsed="false">
      <c r="A3" s="4" t="s">
        <v>17</v>
      </c>
      <c r="B3" s="4" t="s">
        <v>819</v>
      </c>
      <c r="C3" s="4" t="s">
        <v>820</v>
      </c>
      <c r="D3" s="4" t="s">
        <v>821</v>
      </c>
      <c r="E3" s="4" t="s">
        <v>822</v>
      </c>
      <c r="F3" s="4" t="s">
        <v>823</v>
      </c>
      <c r="G3" s="4" t="s">
        <v>824</v>
      </c>
      <c r="H3" s="4" t="s">
        <v>825</v>
      </c>
      <c r="I3" s="4" t="s">
        <v>826</v>
      </c>
      <c r="J3" s="4" t="s">
        <v>549</v>
      </c>
    </row>
    <row r="4" customFormat="false" ht="17.15" hidden="false" customHeight="false" outlineLevel="0" collapsed="false">
      <c r="A4" s="5" t="s">
        <v>827</v>
      </c>
    </row>
    <row r="5" customFormat="false" ht="17.15" hidden="false" customHeight="false" outlineLevel="0" collapsed="false">
      <c r="A5" s="0" t="s">
        <v>828</v>
      </c>
      <c r="B5" s="21" t="n">
        <v>18.44</v>
      </c>
      <c r="C5" s="21" t="n">
        <f aca="false">PL!D105</f>
        <v>17.820894339844</v>
      </c>
      <c r="D5" s="20" t="n">
        <f aca="false">C5/B5-1</f>
        <v>-0.0335740596613897</v>
      </c>
      <c r="E5" s="21" t="n">
        <f aca="false">PL!D158</f>
        <v>17.820894339844</v>
      </c>
      <c r="F5" s="20" t="n">
        <f aca="false">E5/B5-1</f>
        <v>-0.0335740596613897</v>
      </c>
      <c r="G5" s="21" t="n">
        <f aca="false">PL!D211</f>
        <v>17.820894339844</v>
      </c>
      <c r="H5" s="20" t="n">
        <f aca="false">G5/B5-1</f>
        <v>-0.0335740596613897</v>
      </c>
      <c r="I5" s="7" t="s">
        <v>829</v>
      </c>
      <c r="J5" s="7" t="s">
        <v>830</v>
      </c>
    </row>
    <row r="6" customFormat="false" ht="17.15" hidden="false" customHeight="false" outlineLevel="0" collapsed="false">
      <c r="A6" s="0" t="s">
        <v>831</v>
      </c>
      <c r="B6" s="21" t="n">
        <v>17.27</v>
      </c>
      <c r="C6" s="21" t="n">
        <f aca="false">PL!D105</f>
        <v>17.820894339844</v>
      </c>
      <c r="D6" s="20" t="n">
        <f aca="false">C6/B6-1</f>
        <v>0.0318989195045729</v>
      </c>
      <c r="E6" s="21" t="n">
        <f aca="false">PL!D158</f>
        <v>17.820894339844</v>
      </c>
      <c r="F6" s="20" t="n">
        <f aca="false">E6/B6-1</f>
        <v>0.0318989195045729</v>
      </c>
      <c r="G6" s="21" t="n">
        <f aca="false">PL!D211</f>
        <v>17.820894339844</v>
      </c>
      <c r="H6" s="20" t="n">
        <f aca="false">G6/B6-1</f>
        <v>0.0318989195045729</v>
      </c>
      <c r="I6" s="3" t="s">
        <v>832</v>
      </c>
    </row>
    <row r="7" customFormat="false" ht="17.15" hidden="false" customHeight="false" outlineLevel="0" collapsed="false">
      <c r="A7" s="0" t="s">
        <v>833</v>
      </c>
      <c r="B7" s="21" t="n">
        <f aca="false">bk_eps27</f>
        <v>41.34</v>
      </c>
      <c r="C7" s="21" t="n">
        <f aca="false">PL!E105</f>
        <v>33.0451203854564</v>
      </c>
      <c r="D7" s="20" t="n">
        <f aca="false">C7/B7-1</f>
        <v>-0.200650208382769</v>
      </c>
      <c r="E7" s="21" t="n">
        <f aca="false">PL!E158</f>
        <v>32.6046137348845</v>
      </c>
      <c r="F7" s="20" t="n">
        <f aca="false">E7/B7-1</f>
        <v>-0.211305908686877</v>
      </c>
      <c r="G7" s="21" t="n">
        <f aca="false">PL!E211</f>
        <v>31.7236004337409</v>
      </c>
      <c r="H7" s="20" t="n">
        <f aca="false">G7/B7-1</f>
        <v>-0.232617309295093</v>
      </c>
      <c r="I7" s="7" t="s">
        <v>834</v>
      </c>
      <c r="J7" s="3" t="s">
        <v>835</v>
      </c>
    </row>
    <row r="8" customFormat="false" ht="17.15" hidden="false" customHeight="false" outlineLevel="0" collapsed="false">
      <c r="A8" s="0" t="s">
        <v>836</v>
      </c>
      <c r="B8" s="21" t="n">
        <f aca="false">cons_eps27</f>
        <v>32.12</v>
      </c>
      <c r="C8" s="21" t="n">
        <f aca="false">PL!E105</f>
        <v>33.0451203854564</v>
      </c>
      <c r="D8" s="20" t="n">
        <f aca="false">C8/B8-1</f>
        <v>0.0288020045285291</v>
      </c>
      <c r="E8" s="21" t="n">
        <f aca="false">PL!E158</f>
        <v>32.6046137348845</v>
      </c>
      <c r="F8" s="20" t="n">
        <f aca="false">E8/B8-1</f>
        <v>0.0150876007124694</v>
      </c>
      <c r="G8" s="21" t="n">
        <f aca="false">PL!E211</f>
        <v>31.7236004337409</v>
      </c>
      <c r="H8" s="20" t="n">
        <f aca="false">G8/B8-1</f>
        <v>-0.0123412069196496</v>
      </c>
      <c r="I8" s="3" t="s">
        <v>837</v>
      </c>
    </row>
    <row r="9" customFormat="false" ht="17.15" hidden="false" customHeight="false" outlineLevel="0" collapsed="false">
      <c r="A9" s="0" t="s">
        <v>838</v>
      </c>
      <c r="B9" s="21" t="n">
        <f aca="false">cons_eps28</f>
        <v>59.21</v>
      </c>
      <c r="C9" s="21" t="n">
        <f aca="false">PL!F105</f>
        <v>35.8989618881977</v>
      </c>
      <c r="D9" s="20" t="n">
        <f aca="false">C9/B9-1</f>
        <v>-0.393701032119613</v>
      </c>
      <c r="E9" s="21" t="n">
        <f aca="false">PL!F158</f>
        <v>30.6118850144076</v>
      </c>
      <c r="F9" s="20" t="n">
        <f aca="false">E9/B9-1</f>
        <v>-0.48299467970938</v>
      </c>
      <c r="G9" s="21" t="n">
        <f aca="false">PL!F211</f>
        <v>23.3265103912247</v>
      </c>
      <c r="H9" s="20" t="n">
        <f aca="false">G9/B9-1</f>
        <v>-0.606037655949592</v>
      </c>
      <c r="I9" s="3" t="s">
        <v>839</v>
      </c>
    </row>
    <row r="10" customFormat="false" ht="17.15" hidden="false" customHeight="false" outlineLevel="0" collapsed="false">
      <c r="A10" s="0" t="s">
        <v>840</v>
      </c>
      <c r="B10" s="21" t="n">
        <f aca="false">bk_eps28</f>
        <v>65.72</v>
      </c>
      <c r="C10" s="21" t="n">
        <f aca="false">PL!F105</f>
        <v>35.8989618881977</v>
      </c>
      <c r="D10" s="20" t="n">
        <f aca="false">C10/B10-1</f>
        <v>-0.453758948749274</v>
      </c>
      <c r="E10" s="21" t="n">
        <f aca="false">PL!F158</f>
        <v>30.6118850144076</v>
      </c>
      <c r="F10" s="20" t="n">
        <f aca="false">E10/B10-1</f>
        <v>-0.534207470870243</v>
      </c>
      <c r="G10" s="21" t="n">
        <f aca="false">PL!F211</f>
        <v>23.3265103912247</v>
      </c>
      <c r="H10" s="20" t="n">
        <f aca="false">G10/B10-1</f>
        <v>-0.645062227765906</v>
      </c>
      <c r="I10" s="7" t="s">
        <v>834</v>
      </c>
    </row>
    <row r="11" customFormat="false" ht="17.15" hidden="false" customHeight="false" outlineLevel="0" collapsed="false">
      <c r="A11" s="0" t="s">
        <v>841</v>
      </c>
      <c r="B11" s="23" t="n">
        <f aca="false">cons_rev27</f>
        <v>90.26</v>
      </c>
      <c r="C11" s="23" t="n">
        <f aca="false">PL!E86</f>
        <v>80.229394518</v>
      </c>
      <c r="D11" s="20" t="n">
        <f aca="false">C11/B11-1</f>
        <v>-0.111130129426102</v>
      </c>
      <c r="E11" s="23" t="n">
        <f aca="false">PL!E139</f>
        <v>79.283028118</v>
      </c>
      <c r="F11" s="20" t="n">
        <f aca="false">E11/B11-1</f>
        <v>-0.121615021958786</v>
      </c>
      <c r="G11" s="23" t="n">
        <f aca="false">PL!E192</f>
        <v>77.390295318</v>
      </c>
      <c r="H11" s="20" t="n">
        <f aca="false">G11/B11-1</f>
        <v>-0.142584807024153</v>
      </c>
      <c r="I11" s="3" t="s">
        <v>839</v>
      </c>
      <c r="J11" s="3" t="s">
        <v>842</v>
      </c>
    </row>
    <row r="12" customFormat="false" ht="17.15" hidden="false" customHeight="false" outlineLevel="0" collapsed="false">
      <c r="A12" s="0" t="s">
        <v>843</v>
      </c>
      <c r="B12" s="23" t="n">
        <f aca="false">cons_rev28</f>
        <v>133.54</v>
      </c>
      <c r="C12" s="23" t="n">
        <f aca="false">PL!F86</f>
        <v>88.7637751405431</v>
      </c>
      <c r="D12" s="20" t="n">
        <f aca="false">C12/B12-1</f>
        <v>-0.335301968394914</v>
      </c>
      <c r="E12" s="23" t="n">
        <f aca="false">PL!F139</f>
        <v>79.9663874161419</v>
      </c>
      <c r="F12" s="20" t="n">
        <f aca="false">E12/B12-1</f>
        <v>-0.401180264968235</v>
      </c>
      <c r="G12" s="23" t="n">
        <f aca="false">PL!F192</f>
        <v>67.7728896229389</v>
      </c>
      <c r="H12" s="20" t="n">
        <f aca="false">G12/B12-1</f>
        <v>-0.492489968376974</v>
      </c>
      <c r="I12" s="3" t="s">
        <v>839</v>
      </c>
      <c r="J12" s="3" t="s">
        <v>844</v>
      </c>
    </row>
    <row r="13" customFormat="false" ht="17.15" hidden="false" customHeight="false" outlineLevel="0" collapsed="false">
      <c r="A13" s="3" t="s">
        <v>845</v>
      </c>
      <c r="B13" s="21" t="n">
        <f aca="false">cons_feps</f>
        <v>31.1295582567447</v>
      </c>
      <c r="C13" s="21" t="n">
        <f aca="false">0.2*PL!D105+0.8*PL!E105</f>
        <v>30.0002751763339</v>
      </c>
      <c r="D13" s="20" t="n">
        <f aca="false">C13/B13-1</f>
        <v>-0.0362768745735795</v>
      </c>
      <c r="E13" s="21" t="n">
        <f aca="false">0.2*PL!D158+0.8*PL!E158</f>
        <v>29.6478698558764</v>
      </c>
      <c r="F13" s="20" t="n">
        <f aca="false">E13/B13-1</f>
        <v>-0.0475974759631321</v>
      </c>
      <c r="G13" s="21" t="n">
        <f aca="false">0.2*PL!D211+0.8*PL!E211</f>
        <v>28.9430592149615</v>
      </c>
      <c r="H13" s="20" t="n">
        <f aca="false">G13/B13-1</f>
        <v>-0.0702386787422376</v>
      </c>
      <c r="I13" s="7" t="s">
        <v>846</v>
      </c>
      <c r="J13" s="3" t="s">
        <v>847</v>
      </c>
    </row>
    <row r="14" customFormat="false" ht="17.15" hidden="false" customHeight="false" outlineLevel="0" collapsed="false">
      <c r="A14" s="5" t="s">
        <v>848</v>
      </c>
    </row>
    <row r="15" customFormat="false" ht="17.15" hidden="false" customHeight="false" outlineLevel="0" collapsed="false">
      <c r="A15" s="0" t="s">
        <v>849</v>
      </c>
      <c r="B15" s="20" t="n">
        <v>0.281</v>
      </c>
      <c r="C15" s="20" t="n">
        <f aca="false">Q!E6</f>
        <v>0.3</v>
      </c>
      <c r="D15" s="20" t="n">
        <f aca="false">C15-B15</f>
        <v>0.019</v>
      </c>
      <c r="E15" s="20" t="n">
        <f aca="false">Q!E6</f>
        <v>0.3</v>
      </c>
      <c r="F15" s="20" t="n">
        <f aca="false">E15-B15</f>
        <v>0.019</v>
      </c>
      <c r="G15" s="20" t="n">
        <f aca="false">Q!E6</f>
        <v>0.3</v>
      </c>
      <c r="H15" s="20" t="n">
        <f aca="false">G15-B15</f>
        <v>0.019</v>
      </c>
      <c r="I15" s="3" t="s">
        <v>850</v>
      </c>
      <c r="J15" s="7" t="s">
        <v>851</v>
      </c>
    </row>
    <row r="16" customFormat="false" ht="17.15" hidden="false" customHeight="false" outlineLevel="0" collapsed="false">
      <c r="A16" s="0" t="s">
        <v>852</v>
      </c>
      <c r="B16" s="18" t="n">
        <v>5.62</v>
      </c>
      <c r="C16" s="18" t="n">
        <f aca="false">Q!E14</f>
        <v>5.57952705944256</v>
      </c>
      <c r="D16" s="20" t="n">
        <f aca="false">C16/B16-1</f>
        <v>-0.00720159084651917</v>
      </c>
      <c r="E16" s="18" t="n">
        <f aca="false">Q!E14</f>
        <v>5.57952705944256</v>
      </c>
      <c r="F16" s="20" t="n">
        <f aca="false">E16/B16-1</f>
        <v>-0.00720159084651917</v>
      </c>
      <c r="G16" s="18" t="n">
        <f aca="false">Q!E14</f>
        <v>5.57952705944256</v>
      </c>
      <c r="H16" s="20" t="n">
        <f aca="false">G16/B16-1</f>
        <v>-0.00720159084651917</v>
      </c>
      <c r="I16" s="7" t="s">
        <v>853</v>
      </c>
    </row>
    <row r="17" customFormat="false" ht="17.15" hidden="false" customHeight="false" outlineLevel="0" collapsed="false">
      <c r="A17" s="0" t="s">
        <v>854</v>
      </c>
      <c r="B17" s="20" t="n">
        <v>0.325</v>
      </c>
      <c r="C17" s="20" t="n">
        <f aca="false">Q!F6</f>
        <v>0.325</v>
      </c>
      <c r="D17" s="20" t="n">
        <f aca="false">C17-B17</f>
        <v>0</v>
      </c>
      <c r="E17" s="20" t="n">
        <f aca="false">Q!F6</f>
        <v>0.325</v>
      </c>
      <c r="F17" s="20" t="n">
        <f aca="false">E17-B17</f>
        <v>0</v>
      </c>
      <c r="G17" s="20" t="n">
        <f aca="false">Q!F6</f>
        <v>0.325</v>
      </c>
      <c r="H17" s="20" t="n">
        <f aca="false">G17-B17</f>
        <v>0</v>
      </c>
      <c r="I17" s="7" t="s">
        <v>855</v>
      </c>
    </row>
    <row r="18" customFormat="false" ht="17.15" hidden="false" customHeight="false" outlineLevel="0" collapsed="false">
      <c r="A18" s="0" t="s">
        <v>856</v>
      </c>
      <c r="B18" s="20" t="n">
        <v>0.399</v>
      </c>
      <c r="C18" s="20" t="n">
        <f aca="false">PL!E96</f>
        <v>0.358162192107044</v>
      </c>
      <c r="D18" s="20" t="n">
        <f aca="false">C18-B18</f>
        <v>-0.0408378078929558</v>
      </c>
      <c r="E18" s="20" t="n">
        <f aca="false">PL!E149</f>
        <v>0.357662792720071</v>
      </c>
      <c r="F18" s="20" t="n">
        <f aca="false">E18-B18</f>
        <v>-0.0413372072799295</v>
      </c>
      <c r="G18" s="20" t="n">
        <f aca="false">PL!E202</f>
        <v>0.356627352545694</v>
      </c>
      <c r="H18" s="20" t="n">
        <f aca="false">G18-B18</f>
        <v>-0.042372647454306</v>
      </c>
      <c r="I18" s="7" t="s">
        <v>829</v>
      </c>
      <c r="J18" s="3" t="s">
        <v>857</v>
      </c>
    </row>
    <row r="19" customFormat="false" ht="17.15" hidden="false" customHeight="false" outlineLevel="0" collapsed="false">
      <c r="A19" s="0" t="s">
        <v>858</v>
      </c>
      <c r="B19" s="20" t="n">
        <v>0.466</v>
      </c>
      <c r="C19" s="20" t="n">
        <f aca="false">PL!F96</f>
        <v>0.351681729628383</v>
      </c>
      <c r="D19" s="20" t="n">
        <f aca="false">C19-B19</f>
        <v>-0.114318270371617</v>
      </c>
      <c r="E19" s="20" t="n">
        <f aca="false">PL!F149</f>
        <v>0.334371690935215</v>
      </c>
      <c r="F19" s="20" t="n">
        <f aca="false">E19-B19</f>
        <v>-0.131628309064785</v>
      </c>
      <c r="G19" s="20" t="n">
        <f aca="false">PL!F202</f>
        <v>0.303415161409808</v>
      </c>
      <c r="H19" s="20" t="n">
        <f aca="false">G19-B19</f>
        <v>-0.162584838590192</v>
      </c>
      <c r="I19" s="7" t="s">
        <v>829</v>
      </c>
      <c r="J19" s="3" t="s">
        <v>859</v>
      </c>
    </row>
    <row r="20" customFormat="false" ht="17.15" hidden="false" customHeight="false" outlineLevel="0" collapsed="false">
      <c r="A20" s="5" t="s">
        <v>860</v>
      </c>
    </row>
    <row r="21" customFormat="false" ht="17.15" hidden="false" customHeight="false" outlineLevel="0" collapsed="false">
      <c r="A21" s="0" t="s">
        <v>861</v>
      </c>
      <c r="C21" s="20" t="n">
        <f aca="false">PL!E80</f>
        <v>0.951425411789885</v>
      </c>
      <c r="E21" s="20" t="n">
        <f aca="false">PL!E133</f>
        <v>0.951425411789885</v>
      </c>
      <c r="G21" s="20" t="n">
        <f aca="false">PL!E186</f>
        <v>0.951425411789885</v>
      </c>
      <c r="I21" s="7" t="s">
        <v>862</v>
      </c>
      <c r="J21" s="3" t="s">
        <v>863</v>
      </c>
    </row>
    <row r="22" customFormat="false" ht="17.15" hidden="false" customHeight="false" outlineLevel="0" collapsed="false">
      <c r="A22" s="0" t="s">
        <v>864</v>
      </c>
      <c r="C22" s="20" t="n">
        <f aca="false">PL!F80</f>
        <v>0.956377529876066</v>
      </c>
      <c r="E22" s="20" t="n">
        <f aca="false">PL!F133</f>
        <v>1</v>
      </c>
      <c r="G22" s="20" t="n">
        <f aca="false">PL!F186</f>
        <v>1</v>
      </c>
      <c r="I22" s="7" t="s">
        <v>862</v>
      </c>
    </row>
    <row r="23" customFormat="false" ht="17.15" hidden="false" customHeight="false" outlineLevel="0" collapsed="false">
      <c r="A23" s="0" t="s">
        <v>865</v>
      </c>
      <c r="C23" s="20" t="n">
        <f aca="false">PL!D89</f>
        <v>0.377</v>
      </c>
      <c r="E23" s="20" t="n">
        <f aca="false">PL!D142</f>
        <v>0.377</v>
      </c>
      <c r="G23" s="20" t="n">
        <f aca="false">PL!D195</f>
        <v>0.377</v>
      </c>
      <c r="I23" s="7" t="s">
        <v>862</v>
      </c>
      <c r="J23" s="3" t="s">
        <v>866</v>
      </c>
    </row>
    <row r="24" customFormat="false" ht="17.15" hidden="false" customHeight="false" outlineLevel="0" collapsed="false">
      <c r="A24" s="0" t="s">
        <v>867</v>
      </c>
      <c r="C24" s="20" t="n">
        <f aca="false">Units!D10</f>
        <v>0.965</v>
      </c>
      <c r="E24" s="20" t="n">
        <f aca="false">Units!D10</f>
        <v>0.965</v>
      </c>
      <c r="G24" s="20" t="n">
        <f aca="false">Units!D10</f>
        <v>0.965</v>
      </c>
      <c r="I24" s="7" t="s">
        <v>868</v>
      </c>
      <c r="J24" s="3" t="s">
        <v>869</v>
      </c>
    </row>
    <row r="25" customFormat="false" ht="17.15" hidden="false" customHeight="false" outlineLevel="0" collapsed="false">
      <c r="A25" s="0" t="s">
        <v>870</v>
      </c>
      <c r="C25" s="20" t="n">
        <f aca="false">Units!D14</f>
        <v>0.845</v>
      </c>
      <c r="E25" s="20" t="n">
        <f aca="false">Units!D14</f>
        <v>0.845</v>
      </c>
      <c r="G25" s="20" t="n">
        <f aca="false">Units!D14</f>
        <v>0.845</v>
      </c>
      <c r="I25" s="7" t="s">
        <v>868</v>
      </c>
      <c r="J25" s="3" t="s">
        <v>869</v>
      </c>
    </row>
    <row r="26" customFormat="false" ht="17.15" hidden="false" customHeight="false" outlineLevel="0" collapsed="false">
      <c r="A26" s="0" t="s">
        <v>871</v>
      </c>
      <c r="C26" s="23" t="n">
        <f aca="false">Units!D15</f>
        <v>8.76521294316</v>
      </c>
      <c r="E26" s="23" t="n">
        <f aca="false">Units!D15</f>
        <v>8.76521294316</v>
      </c>
      <c r="G26" s="23" t="n">
        <f aca="false">Units!D15</f>
        <v>8.76521294316</v>
      </c>
      <c r="I26" s="7" t="s">
        <v>868</v>
      </c>
      <c r="J26" s="7" t="s">
        <v>872</v>
      </c>
    </row>
    <row r="27" customFormat="false" ht="17.15" hidden="false" customHeight="false" outlineLevel="0" collapsed="false">
      <c r="A27" s="0" t="s">
        <v>873</v>
      </c>
      <c r="C27" s="22" t="n">
        <f aca="false">Units!D19</f>
        <v>28.0352434407696</v>
      </c>
      <c r="E27" s="22" t="n">
        <f aca="false">Units!D19</f>
        <v>28.0352434407696</v>
      </c>
      <c r="G27" s="22" t="n">
        <f aca="false">Units!D19</f>
        <v>28.0352434407696</v>
      </c>
      <c r="I27" s="7" t="s">
        <v>868</v>
      </c>
      <c r="J27" s="7" t="s">
        <v>874</v>
      </c>
    </row>
    <row r="28" customFormat="false" ht="17.15" hidden="false" customHeight="false" outlineLevel="0" collapsed="false">
      <c r="A28" s="5" t="s">
        <v>875</v>
      </c>
    </row>
    <row r="29" customFormat="false" ht="17.15" hidden="false" customHeight="false" outlineLevel="0" collapsed="false">
      <c r="A29" s="0" t="s">
        <v>876</v>
      </c>
      <c r="B29" s="23" t="n">
        <v>35.2</v>
      </c>
      <c r="C29" s="23" t="n">
        <f aca="false">PL!E91+PL!F91</f>
        <v>32</v>
      </c>
      <c r="D29" s="20" t="n">
        <f aca="false">C29/B29-1</f>
        <v>-0.0909090909090909</v>
      </c>
      <c r="E29" s="23" t="n">
        <f aca="false">PL!E144+PL!F144</f>
        <v>32</v>
      </c>
      <c r="F29" s="20" t="n">
        <f aca="false">E29/B29-1</f>
        <v>-0.0909090909090909</v>
      </c>
      <c r="G29" s="23" t="n">
        <f aca="false">PL!E197+PL!F197</f>
        <v>32</v>
      </c>
      <c r="H29" s="20" t="n">
        <f aca="false">G29/B29-1</f>
        <v>-0.0909090909090909</v>
      </c>
      <c r="I29" s="3" t="s">
        <v>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878</v>
      </c>
    </row>
    <row r="3" customFormat="false" ht="17.15" hidden="false" customHeight="false" outlineLevel="0" collapsed="false">
      <c r="A3" s="4" t="s">
        <v>879</v>
      </c>
      <c r="B3" s="4" t="s">
        <v>880</v>
      </c>
      <c r="C3" s="13" t="s">
        <v>881</v>
      </c>
      <c r="D3" s="13" t="s">
        <v>882</v>
      </c>
      <c r="E3" s="13" t="s">
        <v>757</v>
      </c>
      <c r="F3" s="13" t="s">
        <v>883</v>
      </c>
      <c r="G3" s="13" t="s">
        <v>884</v>
      </c>
      <c r="H3" s="13" t="s">
        <v>885</v>
      </c>
      <c r="I3" s="13" t="s">
        <v>886</v>
      </c>
      <c r="J3" s="13" t="s">
        <v>887</v>
      </c>
    </row>
    <row r="4" customFormat="false" ht="17.15" hidden="false" customHeight="false" outlineLevel="0" collapsed="false">
      <c r="A4" s="3" t="s">
        <v>888</v>
      </c>
      <c r="B4" s="0" t="s">
        <v>889</v>
      </c>
      <c r="C4" s="23" t="n">
        <f aca="false">PL!E86</f>
        <v>80.229394518</v>
      </c>
      <c r="D4" s="16" t="n">
        <f aca="false">PL!E96</f>
        <v>0.358162192107044</v>
      </c>
      <c r="E4" s="18" t="n">
        <f aca="false">PL!E105</f>
        <v>33.0451203854564</v>
      </c>
      <c r="F4" s="20" t="n">
        <f aca="false">E4/E$4-1</f>
        <v>0</v>
      </c>
      <c r="G4" s="23" t="n">
        <f aca="false">PL!F86</f>
        <v>88.7637751405431</v>
      </c>
      <c r="H4" s="16" t="n">
        <f aca="false">PL!F96</f>
        <v>0.351681729628383</v>
      </c>
      <c r="I4" s="18" t="n">
        <f aca="false">PL!F105</f>
        <v>35.8989618881977</v>
      </c>
      <c r="J4" s="20" t="n">
        <f aca="false">I4/I$4-1</f>
        <v>0</v>
      </c>
    </row>
    <row r="5" customFormat="false" ht="17.15" hidden="false" customHeight="false" outlineLevel="0" collapsed="false">
      <c r="A5" s="0" t="s">
        <v>890</v>
      </c>
      <c r="B5" s="0" t="s">
        <v>891</v>
      </c>
      <c r="C5" s="23" t="n">
        <f aca="false">E76</f>
        <v>74.7913251316225</v>
      </c>
      <c r="D5" s="16" t="n">
        <f aca="false">E86</f>
        <v>0.342583396064627</v>
      </c>
      <c r="E5" s="18" t="n">
        <f aca="false">E95</f>
        <v>29.3675035249434</v>
      </c>
      <c r="F5" s="20" t="n">
        <f aca="false">E5/E$4-1</f>
        <v>-0.111290769033829</v>
      </c>
      <c r="G5" s="23" t="n">
        <f aca="false">F76</f>
        <v>82.1903484561419</v>
      </c>
      <c r="H5" s="16" t="n">
        <f aca="false">F86</f>
        <v>0.336147505312727</v>
      </c>
      <c r="I5" s="18" t="n">
        <f aca="false">F95</f>
        <v>31.6600266743548</v>
      </c>
      <c r="J5" s="20" t="n">
        <f aca="false">I5/I$4-1</f>
        <v>-0.118079604280605</v>
      </c>
    </row>
    <row r="6" customFormat="false" ht="17.15" hidden="false" customHeight="false" outlineLevel="0" collapsed="false">
      <c r="A6" s="0" t="s">
        <v>892</v>
      </c>
      <c r="B6" s="0" t="s">
        <v>893</v>
      </c>
      <c r="C6" s="23" t="n">
        <f aca="false">E129</f>
        <v>80.229394518</v>
      </c>
      <c r="D6" s="16" t="n">
        <f aca="false">E139</f>
        <v>0.35942896186224</v>
      </c>
      <c r="E6" s="18" t="n">
        <f aca="false">E148</f>
        <v>33.1693747065451</v>
      </c>
      <c r="F6" s="20" t="n">
        <f aca="false">E6/E$4-1</f>
        <v>0.00376014127469859</v>
      </c>
      <c r="G6" s="23" t="n">
        <f aca="false">F129</f>
        <v>88.7637751405431</v>
      </c>
      <c r="H6" s="16" t="n">
        <f aca="false">F139</f>
        <v>0.352467207115823</v>
      </c>
      <c r="I6" s="18" t="n">
        <f aca="false">F148</f>
        <v>35.9842031376952</v>
      </c>
      <c r="J6" s="20" t="n">
        <f aca="false">I6/I$4-1</f>
        <v>0.00237447672617752</v>
      </c>
    </row>
    <row r="7" customFormat="false" ht="17.15" hidden="false" customHeight="false" outlineLevel="0" collapsed="false">
      <c r="A7" s="0" t="s">
        <v>894</v>
      </c>
      <c r="B7" s="3" t="s">
        <v>895</v>
      </c>
      <c r="C7" s="23" t="n">
        <f aca="false">E182</f>
        <v>76.0869713415</v>
      </c>
      <c r="D7" s="16" t="n">
        <f aca="false">E192</f>
        <v>0.347729895138539</v>
      </c>
      <c r="E7" s="18" t="n">
        <f aca="false">E201</f>
        <v>30.3583827415868</v>
      </c>
      <c r="F7" s="20" t="n">
        <f aca="false">E7/E$4-1</f>
        <v>-0.0813051250087754</v>
      </c>
      <c r="G7" s="23" t="n">
        <f aca="false">F182</f>
        <v>82.565674462705</v>
      </c>
      <c r="H7" s="16" t="n">
        <f aca="false">F192</f>
        <v>0.33806374246781</v>
      </c>
      <c r="I7" s="18" t="n">
        <f aca="false">F201</f>
        <v>31.997870638576</v>
      </c>
      <c r="J7" s="20" t="n">
        <f aca="false">I7/I$4-1</f>
        <v>-0.10866863676368</v>
      </c>
    </row>
    <row r="8" customFormat="false" ht="17.15" hidden="false" customHeight="false" outlineLevel="0" collapsed="false">
      <c r="A8" s="0" t="s">
        <v>896</v>
      </c>
      <c r="B8" s="0" t="s">
        <v>897</v>
      </c>
      <c r="C8" s="23" t="n">
        <f aca="false">E235</f>
        <v>82.7672687117781</v>
      </c>
      <c r="D8" s="16" t="n">
        <f aca="false">E245</f>
        <v>0.364037724722496</v>
      </c>
      <c r="E8" s="18" t="n">
        <f aca="false">E254</f>
        <v>34.6911622892654</v>
      </c>
      <c r="F8" s="20" t="n">
        <f aca="false">E8/E$4-1</f>
        <v>0.0498119505878243</v>
      </c>
      <c r="G8" s="23" t="n">
        <f aca="false">F235</f>
        <v>91.3081554493449</v>
      </c>
      <c r="H8" s="16" t="n">
        <f aca="false">F245</f>
        <v>0.356736789262478</v>
      </c>
      <c r="I8" s="18" t="n">
        <f aca="false">F254</f>
        <v>37.499137333349</v>
      </c>
      <c r="J8" s="20" t="n">
        <f aca="false">I8/I$4-1</f>
        <v>0.0445744211248995</v>
      </c>
    </row>
    <row r="9" customFormat="false" ht="17.15" hidden="false" customHeight="false" outlineLevel="0" collapsed="false">
      <c r="A9" s="0" t="s">
        <v>898</v>
      </c>
      <c r="B9" s="0" t="s">
        <v>899</v>
      </c>
      <c r="C9" s="23" t="n">
        <f aca="false">E288</f>
        <v>77.7439406121</v>
      </c>
      <c r="D9" s="16" t="n">
        <f aca="false">E298</f>
        <v>0.341185016131939</v>
      </c>
      <c r="E9" s="18" t="n">
        <f aca="false">E307</f>
        <v>30.4016832873716</v>
      </c>
      <c r="F9" s="20" t="n">
        <f aca="false">E9/E$4-1</f>
        <v>-0.0799947788735613</v>
      </c>
      <c r="G9" s="23" t="n">
        <f aca="false">F288</f>
        <v>82.8918902878544</v>
      </c>
      <c r="H9" s="16" t="n">
        <f aca="false">F298</f>
        <v>0.313627158760825</v>
      </c>
      <c r="I9" s="18" t="n">
        <f aca="false">F307</f>
        <v>29.6465557808587</v>
      </c>
      <c r="J9" s="20" t="n">
        <f aca="false">I9/I$4-1</f>
        <v>-0.174166766348599</v>
      </c>
    </row>
    <row r="10" customFormat="false" ht="17.15" hidden="false" customHeight="false" outlineLevel="0" collapsed="false">
      <c r="A10" s="0" t="s">
        <v>900</v>
      </c>
      <c r="B10" s="0" t="s">
        <v>901</v>
      </c>
      <c r="C10" s="23" t="n">
        <f aca="false">E341</f>
        <v>82.7148484239</v>
      </c>
      <c r="D10" s="16" t="n">
        <f aca="false">E351</f>
        <v>0.374363875948026</v>
      </c>
      <c r="E10" s="18" t="n">
        <f aca="false">E360</f>
        <v>35.7133115532994</v>
      </c>
      <c r="F10" s="20" t="n">
        <f aca="false">E10/E$4-1</f>
        <v>0.0807438779680578</v>
      </c>
      <c r="G10" s="23" t="n">
        <f aca="false">F341</f>
        <v>94.6356599932319</v>
      </c>
      <c r="H10" s="16" t="n">
        <f aca="false">F351</f>
        <v>0.386062125569653</v>
      </c>
      <c r="I10" s="18" t="n">
        <f aca="false">F360</f>
        <v>42.2739895188912</v>
      </c>
      <c r="J10" s="20" t="n">
        <f aca="false">I10/I$4-1</f>
        <v>0.177582506439813</v>
      </c>
    </row>
    <row r="11" customFormat="false" ht="17.15" hidden="false" customHeight="false" outlineLevel="0" collapsed="false">
      <c r="A11" s="3" t="s">
        <v>902</v>
      </c>
      <c r="B11" s="3" t="s">
        <v>903</v>
      </c>
      <c r="C11" s="23" t="n">
        <f aca="false">E394</f>
        <v>77.2036245456</v>
      </c>
      <c r="D11" s="16" t="n">
        <f aca="false">E404</f>
        <v>0.337387463112977</v>
      </c>
      <c r="E11" s="18" t="n">
        <f aca="false">E413</f>
        <v>29.8305893405261</v>
      </c>
      <c r="F11" s="20" t="n">
        <f aca="false">E11/E$4-1</f>
        <v>-0.0972770263032547</v>
      </c>
      <c r="G11" s="23" t="n">
        <f aca="false">F394</f>
        <v>85.3682938996405</v>
      </c>
      <c r="H11" s="16" t="n">
        <f aca="false">F404</f>
        <v>0.330153599026078</v>
      </c>
      <c r="I11" s="18" t="n">
        <f aca="false">F413</f>
        <v>32.2690078854963</v>
      </c>
      <c r="J11" s="20" t="n">
        <f aca="false">I11/I$4-1</f>
        <v>-0.101115848809401</v>
      </c>
    </row>
    <row r="12" customFormat="false" ht="17.15" hidden="false" customHeight="false" outlineLevel="0" collapsed="false">
      <c r="A12" s="3" t="s">
        <v>904</v>
      </c>
      <c r="C12" s="23" t="n">
        <f aca="false">E447</f>
        <v>83.2551644904</v>
      </c>
      <c r="D12" s="16" t="n">
        <f aca="false">E457</f>
        <v>0.377787554523992</v>
      </c>
      <c r="E12" s="18" t="n">
        <f aca="false">E466</f>
        <v>36.2963638050568</v>
      </c>
      <c r="F12" s="20" t="n">
        <f aca="false">E12/E$4-1</f>
        <v>0.0983880034836042</v>
      </c>
      <c r="G12" s="23" t="n">
        <f aca="false">F447</f>
        <v>92.1592563814458</v>
      </c>
      <c r="H12" s="16" t="n">
        <f aca="false">F457</f>
        <v>0.371981803995524</v>
      </c>
      <c r="I12" s="18" t="n">
        <f aca="false">F466</f>
        <v>39.5693108488803</v>
      </c>
      <c r="J12" s="20" t="n">
        <f aca="false">I12/I$4-1</f>
        <v>0.102241089090916</v>
      </c>
    </row>
    <row r="13" customFormat="false" ht="17.15" hidden="false" customHeight="false" outlineLevel="0" collapsed="false">
      <c r="A13" s="0" t="s">
        <v>905</v>
      </c>
      <c r="B13" s="3" t="s">
        <v>906</v>
      </c>
      <c r="C13" s="23" t="n">
        <f aca="false">E500</f>
        <v>80.229394518</v>
      </c>
      <c r="D13" s="16" t="n">
        <f aca="false">E510</f>
        <v>0.345131725661633</v>
      </c>
      <c r="E13" s="18" t="n">
        <f aca="false">E519</f>
        <v>31.7669940684965</v>
      </c>
      <c r="F13" s="20" t="n">
        <f aca="false">E13/E$4-1</f>
        <v>-0.0386782163917414</v>
      </c>
      <c r="G13" s="23" t="n">
        <f aca="false">F500</f>
        <v>88.7637751405431</v>
      </c>
      <c r="H13" s="16" t="n">
        <f aca="false">F510</f>
        <v>0.331644768530926</v>
      </c>
      <c r="I13" s="18" t="n">
        <f aca="false">F519</f>
        <v>33.7245194281795</v>
      </c>
      <c r="J13" s="20" t="n">
        <f aca="false">I13/I$4-1</f>
        <v>-0.0605711793781178</v>
      </c>
    </row>
    <row r="14" customFormat="false" ht="17.15" hidden="false" customHeight="false" outlineLevel="0" collapsed="false">
      <c r="A14" s="0" t="s">
        <v>907</v>
      </c>
      <c r="C14" s="23" t="n">
        <f aca="false">E553</f>
        <v>80.229394518</v>
      </c>
      <c r="D14" s="16" t="n">
        <f aca="false">E563</f>
        <v>0.371192658552455</v>
      </c>
      <c r="E14" s="18" t="n">
        <f aca="false">E572</f>
        <v>34.3232467024162</v>
      </c>
      <c r="F14" s="20" t="n">
        <f aca="false">E14/E$4-1</f>
        <v>0.0386782163917416</v>
      </c>
      <c r="G14" s="23" t="n">
        <f aca="false">F553</f>
        <v>88.7637751405431</v>
      </c>
      <c r="H14" s="16" t="n">
        <f aca="false">F563</f>
        <v>0.371718690725839</v>
      </c>
      <c r="I14" s="18" t="n">
        <f aca="false">F572</f>
        <v>38.073404348216</v>
      </c>
      <c r="J14" s="20" t="n">
        <f aca="false">I14/I$4-1</f>
        <v>0.0605711793781181</v>
      </c>
    </row>
    <row r="15" customFormat="false" ht="17.15" hidden="false" customHeight="false" outlineLevel="0" collapsed="false">
      <c r="A15" s="3" t="s">
        <v>908</v>
      </c>
      <c r="B15" s="3" t="s">
        <v>909</v>
      </c>
      <c r="C15" s="23" t="n">
        <f aca="false">E606</f>
        <v>80.229394518</v>
      </c>
      <c r="D15" s="16" t="n">
        <f aca="false">E616</f>
        <v>0.347546011278097</v>
      </c>
      <c r="E15" s="18" t="n">
        <f aca="false">E625</f>
        <v>32.0038053903312</v>
      </c>
      <c r="F15" s="20" t="n">
        <f aca="false">E15/E$4-1</f>
        <v>-0.0315119141034638</v>
      </c>
      <c r="G15" s="23" t="n">
        <f aca="false">F606</f>
        <v>88.7637751405431</v>
      </c>
      <c r="H15" s="16" t="n">
        <f aca="false">F616</f>
        <v>0.337928228787899</v>
      </c>
      <c r="I15" s="18" t="n">
        <f aca="false">F625</f>
        <v>34.4064103951851</v>
      </c>
      <c r="J15" s="20" t="n">
        <f aca="false">I15/I$4-1</f>
        <v>-0.0415764527581887</v>
      </c>
    </row>
    <row r="16" customFormat="false" ht="17.15" hidden="false" customHeight="false" outlineLevel="0" collapsed="false">
      <c r="A16" s="3" t="s">
        <v>910</v>
      </c>
      <c r="C16" s="23" t="n">
        <f aca="false">E659</f>
        <v>80.229394518</v>
      </c>
      <c r="D16" s="16" t="n">
        <f aca="false">E669</f>
        <v>0.368778372935991</v>
      </c>
      <c r="E16" s="18" t="n">
        <f aca="false">E678</f>
        <v>34.0864353805815</v>
      </c>
      <c r="F16" s="20" t="n">
        <f aca="false">E16/E$4-1</f>
        <v>0.0315119141034637</v>
      </c>
      <c r="G16" s="23" t="n">
        <f aca="false">F659</f>
        <v>88.7637751405431</v>
      </c>
      <c r="H16" s="16" t="n">
        <f aca="false">F669</f>
        <v>0.365435230468867</v>
      </c>
      <c r="I16" s="18" t="n">
        <f aca="false">F678</f>
        <v>37.3915133812104</v>
      </c>
      <c r="J16" s="20" t="n">
        <f aca="false">I16/I$4-1</f>
        <v>0.0415764527581892</v>
      </c>
    </row>
    <row r="17" customFormat="false" ht="17.15" hidden="false" customHeight="false" outlineLevel="0" collapsed="false">
      <c r="A17" s="0" t="s">
        <v>911</v>
      </c>
      <c r="B17" s="0" t="s">
        <v>912</v>
      </c>
      <c r="C17" s="23" t="n">
        <f aca="false">E712</f>
        <v>77.390295318</v>
      </c>
      <c r="D17" s="16" t="n">
        <f aca="false">E722</f>
        <v>0.356627352545694</v>
      </c>
      <c r="E17" s="18" t="n">
        <f aca="false">E731</f>
        <v>31.7236004337409</v>
      </c>
      <c r="F17" s="20" t="n">
        <f aca="false">E17/E$4-1</f>
        <v>-0.0399913795531857</v>
      </c>
      <c r="G17" s="23" t="n">
        <f aca="false">F712</f>
        <v>83.4641233005431</v>
      </c>
      <c r="H17" s="16" t="n">
        <f aca="false">F722</f>
        <v>0.348613704705165</v>
      </c>
      <c r="I17" s="18" t="n">
        <f aca="false">F731</f>
        <v>33.4244822436198</v>
      </c>
      <c r="J17" s="20" t="n">
        <f aca="false">I17/I$4-1</f>
        <v>-0.0689290028019287</v>
      </c>
    </row>
    <row r="18" customFormat="false" ht="17.15" hidden="false" customHeight="false" outlineLevel="0" collapsed="false">
      <c r="A18" s="3" t="s">
        <v>913</v>
      </c>
      <c r="B18" s="3" t="s">
        <v>914</v>
      </c>
      <c r="C18" s="23" t="n">
        <f aca="false">E765</f>
        <v>80.229394518</v>
      </c>
      <c r="D18" s="16" t="n">
        <f aca="false">E775</f>
        <v>0.359772158970719</v>
      </c>
      <c r="E18" s="18" t="n">
        <f aca="false">E784</f>
        <v>33.2030380644985</v>
      </c>
      <c r="F18" s="20" t="n">
        <f aca="false">E18/E$4-1</f>
        <v>0.00477885016607926</v>
      </c>
      <c r="G18" s="23" t="n">
        <f aca="false">F765</f>
        <v>88.7637751405431</v>
      </c>
      <c r="H18" s="16" t="n">
        <f aca="false">F775</f>
        <v>0.349473543415774</v>
      </c>
      <c r="I18" s="18" t="n">
        <f aca="false">F784</f>
        <v>35.6593260553502</v>
      </c>
      <c r="J18" s="20" t="n">
        <f aca="false">I18/I$4-1</f>
        <v>-0.00667528586464072</v>
      </c>
    </row>
    <row r="19" customFormat="false" ht="17.15" hidden="false" customHeight="false" outlineLevel="0" collapsed="false">
      <c r="A19" s="3" t="s">
        <v>915</v>
      </c>
      <c r="C19" s="23" t="n">
        <f aca="false">E818</f>
        <v>80.229394518</v>
      </c>
      <c r="D19" s="16" t="n">
        <f aca="false">E828</f>
        <v>0.357196211988839</v>
      </c>
      <c r="E19" s="18" t="n">
        <f aca="false">E837</f>
        <v>32.9503697780311</v>
      </c>
      <c r="F19" s="20" t="n">
        <f aca="false">E19/E$4-1</f>
        <v>-0.00286731009964758</v>
      </c>
      <c r="G19" s="23" t="n">
        <f aca="false">F818</f>
        <v>88.7637751405431</v>
      </c>
      <c r="H19" s="16" t="n">
        <f aca="false">F828</f>
        <v>0.35294843442797</v>
      </c>
      <c r="I19" s="18" t="n">
        <f aca="false">F837</f>
        <v>36.0364266807446</v>
      </c>
      <c r="J19" s="20" t="n">
        <f aca="false">I19/I$4-1</f>
        <v>0.00382921358492117</v>
      </c>
    </row>
    <row r="20" customFormat="false" ht="17.15" hidden="false" customHeight="false" outlineLevel="0" collapsed="false">
      <c r="A20" s="3" t="s">
        <v>916</v>
      </c>
      <c r="B20" s="3" t="s">
        <v>917</v>
      </c>
      <c r="C20" s="23" t="n">
        <f aca="false">E871</f>
        <v>80.229394518</v>
      </c>
      <c r="D20" s="16" t="n">
        <f aca="false">E881</f>
        <v>0.358162192107044</v>
      </c>
      <c r="E20" s="18" t="n">
        <f aca="false">E890</f>
        <v>33.0451203854564</v>
      </c>
      <c r="F20" s="20" t="n">
        <f aca="false">E20/E$4-1</f>
        <v>0</v>
      </c>
      <c r="G20" s="23" t="n">
        <f aca="false">F871</f>
        <v>88.7637751405431</v>
      </c>
      <c r="H20" s="16" t="n">
        <f aca="false">F881</f>
        <v>0.362947586656395</v>
      </c>
      <c r="I20" s="18" t="n">
        <f aca="false">F890</f>
        <v>37.1215503711047</v>
      </c>
      <c r="J20" s="20" t="n">
        <f aca="false">I20/I$4-1</f>
        <v>0.0340563742961304</v>
      </c>
    </row>
    <row r="21" customFormat="false" ht="17.15" hidden="false" customHeight="false" outlineLevel="0" collapsed="false">
      <c r="A21" s="3" t="s">
        <v>918</v>
      </c>
      <c r="B21" s="0" t="s">
        <v>919</v>
      </c>
      <c r="C21" s="23" t="n">
        <f aca="false">E924</f>
        <v>80.229394518</v>
      </c>
      <c r="D21" s="16" t="n">
        <f aca="false">E934</f>
        <v>0.358162192107044</v>
      </c>
      <c r="E21" s="18" t="n">
        <f aca="false">E943</f>
        <v>33.0451203854564</v>
      </c>
      <c r="F21" s="20" t="n">
        <f aca="false">E21/E$4-1</f>
        <v>0</v>
      </c>
      <c r="G21" s="23" t="n">
        <f aca="false">F924</f>
        <v>88.7637751405431</v>
      </c>
      <c r="H21" s="16" t="n">
        <f aca="false">F934</f>
        <v>0.343232336857373</v>
      </c>
      <c r="I21" s="18" t="n">
        <f aca="false">F943</f>
        <v>34.9820205260175</v>
      </c>
      <c r="J21" s="20" t="n">
        <f aca="false">I21/I$4-1</f>
        <v>-0.0255422807220976</v>
      </c>
    </row>
    <row r="22" customFormat="false" ht="17.15" hidden="false" customHeight="false" outlineLevel="0" collapsed="false">
      <c r="A22" s="3" t="s">
        <v>920</v>
      </c>
      <c r="B22" s="0" t="s">
        <v>921</v>
      </c>
      <c r="C22" s="23" t="n">
        <f aca="false">E977</f>
        <v>80.229394518</v>
      </c>
      <c r="D22" s="16" t="n">
        <f aca="false">E987</f>
        <v>0.357978075522505</v>
      </c>
      <c r="E22" s="18" t="n">
        <f aca="false">E996</f>
        <v>33.0270608437604</v>
      </c>
      <c r="F22" s="20" t="n">
        <f aca="false">E22/E$4-1</f>
        <v>-0.000546511602479316</v>
      </c>
      <c r="G22" s="23" t="n">
        <f aca="false">F977</f>
        <v>88.7637751405431</v>
      </c>
      <c r="H22" s="16" t="n">
        <f aca="false">F987</f>
        <v>0.35145834174345</v>
      </c>
      <c r="I22" s="18" t="n">
        <f aca="false">F996</f>
        <v>35.8747194843876</v>
      </c>
      <c r="J22" s="20" t="n">
        <f aca="false">I22/I$4-1</f>
        <v>-0.000675295399505282</v>
      </c>
    </row>
    <row r="23" customFormat="false" ht="17.15" hidden="false" customHeight="false" outlineLevel="0" collapsed="false">
      <c r="A23" s="3" t="s">
        <v>922</v>
      </c>
      <c r="B23" s="0" t="s">
        <v>923</v>
      </c>
      <c r="C23" s="23" t="n">
        <f aca="false">E1030</f>
        <v>80.229394518</v>
      </c>
      <c r="D23" s="16" t="n">
        <f aca="false">E1040</f>
        <v>0.358339483220588</v>
      </c>
      <c r="E23" s="18" t="n">
        <f aca="false">E1049</f>
        <v>33.0625104335358</v>
      </c>
      <c r="F23" s="20" t="n">
        <f aca="false">E23/E$4-1</f>
        <v>0.00052625161829134</v>
      </c>
      <c r="G23" s="23" t="n">
        <f aca="false">F1030</f>
        <v>88.7637751405431</v>
      </c>
      <c r="H23" s="16" t="n">
        <f aca="false">F1040</f>
        <v>0.351793904582968</v>
      </c>
      <c r="I23" s="18" t="n">
        <f aca="false">F1049</f>
        <v>35.9111352902927</v>
      </c>
      <c r="J23" s="20" t="n">
        <f aca="false">I23/I$4-1</f>
        <v>0.00033910178608787</v>
      </c>
    </row>
    <row r="24" customFormat="false" ht="17.15" hidden="false" customHeight="false" outlineLevel="0" collapsed="false">
      <c r="A24" s="3" t="s">
        <v>924</v>
      </c>
      <c r="B24" s="0" t="s">
        <v>925</v>
      </c>
      <c r="C24" s="23" t="n">
        <f aca="false">E1083</f>
        <v>80.229394518</v>
      </c>
      <c r="D24" s="16" t="n">
        <f aca="false">E1093</f>
        <v>0.357816616742205</v>
      </c>
      <c r="E24" s="18" t="n">
        <f aca="false">E1102</f>
        <v>33.011223750202</v>
      </c>
      <c r="F24" s="20" t="n">
        <f aca="false">E24/E$4-1</f>
        <v>-0.00102576824835032</v>
      </c>
      <c r="G24" s="23" t="n">
        <f aca="false">F1083</f>
        <v>86.9162287646737</v>
      </c>
      <c r="H24" s="16" t="n">
        <f aca="false">F1093</f>
        <v>0.347358451337199</v>
      </c>
      <c r="I24" s="18" t="n">
        <f aca="false">F1102</f>
        <v>34.684142964212</v>
      </c>
      <c r="J24" s="20" t="n">
        <f aca="false">I24/I$4-1</f>
        <v>-0.0338399457836437</v>
      </c>
    </row>
    <row r="25" customFormat="false" ht="17.15" hidden="false" customHeight="false" outlineLevel="0" collapsed="false">
      <c r="A25" s="3" t="s">
        <v>926</v>
      </c>
      <c r="B25" s="0" t="s">
        <v>927</v>
      </c>
      <c r="C25" s="23" t="n">
        <f aca="false">E1136</f>
        <v>80.229394518</v>
      </c>
      <c r="D25" s="16" t="n">
        <f aca="false">E1146</f>
        <v>0.358365997424367</v>
      </c>
      <c r="E25" s="18" t="n">
        <f aca="false">E1155</f>
        <v>33.0651111463932</v>
      </c>
      <c r="F25" s="20" t="n">
        <f aca="false">E25/E$4-1</f>
        <v>0.000604953490974891</v>
      </c>
      <c r="G25" s="23" t="n">
        <f aca="false">F1136</f>
        <v>88.7637751405431</v>
      </c>
      <c r="H25" s="16" t="n">
        <f aca="false">F1146</f>
        <v>0.351897064627918</v>
      </c>
      <c r="I25" s="18" t="n">
        <f aca="false">F1155</f>
        <v>35.922330380248</v>
      </c>
      <c r="J25" s="20" t="n">
        <f aca="false">I25/I$4-1</f>
        <v>0.000650951749609163</v>
      </c>
    </row>
    <row r="26" customFormat="false" ht="17.15" hidden="false" customHeight="false" outlineLevel="0" collapsed="false">
      <c r="A26" s="3" t="s">
        <v>928</v>
      </c>
      <c r="B26" s="3" t="s">
        <v>929</v>
      </c>
      <c r="C26" s="23" t="n">
        <f aca="false">E1189</f>
        <v>78.9068042723607</v>
      </c>
      <c r="D26" s="16" t="n">
        <f aca="false">E1199</f>
        <v>0.35419513946087</v>
      </c>
      <c r="E26" s="18" t="n">
        <f aca="false">E1208</f>
        <v>32.1144395302941</v>
      </c>
      <c r="F26" s="20" t="n">
        <f aca="false">E26/E$4-1</f>
        <v>-0.0281639420376218</v>
      </c>
      <c r="G26" s="23" t="n">
        <f aca="false">F1189</f>
        <v>86.5723424151314</v>
      </c>
      <c r="H26" s="16" t="n">
        <f aca="false">F1199</f>
        <v>0.346583960768271</v>
      </c>
      <c r="I26" s="18" t="n">
        <f aca="false">F1208</f>
        <v>34.4657630453113</v>
      </c>
      <c r="J26" s="20" t="n">
        <f aca="false">I26/I$4-1</f>
        <v>-0.0399231277870916</v>
      </c>
    </row>
    <row r="27" customFormat="false" ht="17.15" hidden="false" customHeight="false" outlineLevel="0" collapsed="false">
      <c r="A27" s="3" t="s">
        <v>930</v>
      </c>
      <c r="C27" s="23" t="n">
        <f aca="false">E1242</f>
        <v>80.229394518</v>
      </c>
      <c r="D27" s="16" t="n">
        <f aca="false">E1252</f>
        <v>0.359271567159912</v>
      </c>
      <c r="E27" s="18" t="n">
        <f aca="false">E1261</f>
        <v>33.1539362483719</v>
      </c>
      <c r="F27" s="20" t="n">
        <f aca="false">E27/E$4-1</f>
        <v>0.00329294799493152</v>
      </c>
      <c r="G27" s="23" t="n">
        <f aca="false">F1242</f>
        <v>88.7637751405431</v>
      </c>
      <c r="H27" s="16" t="n">
        <f aca="false">F1252</f>
        <v>0.352437837276124</v>
      </c>
      <c r="I27" s="18" t="n">
        <f aca="false">F1261</f>
        <v>35.9810158766043</v>
      </c>
      <c r="J27" s="20" t="n">
        <f aca="false">I27/I$4-1</f>
        <v>0.00228569251284028</v>
      </c>
    </row>
    <row r="28" customFormat="false" ht="17.15" hidden="false" customHeight="false" outlineLevel="0" collapsed="false">
      <c r="A28" s="3" t="s">
        <v>931</v>
      </c>
      <c r="B28" s="3" t="s">
        <v>932</v>
      </c>
      <c r="C28" s="23" t="n">
        <f aca="false">E1295</f>
        <v>80.229394518</v>
      </c>
      <c r="D28" s="16" t="n">
        <f aca="false">E1305</f>
        <v>0.358162192107044</v>
      </c>
      <c r="E28" s="18" t="n">
        <f aca="false">E1314</f>
        <v>32.7139465952773</v>
      </c>
      <c r="F28" s="20" t="n">
        <f aca="false">E28/E$4-1</f>
        <v>-0.0100218666573478</v>
      </c>
      <c r="G28" s="23" t="n">
        <f aca="false">F1295</f>
        <v>88.7637751405431</v>
      </c>
      <c r="H28" s="16" t="n">
        <f aca="false">F1305</f>
        <v>0.351681729628383</v>
      </c>
      <c r="I28" s="18" t="n">
        <f aca="false">F1314</f>
        <v>35.4125825389222</v>
      </c>
      <c r="J28" s="20" t="n">
        <f aca="false">I28/I$4-1</f>
        <v>-0.0135485630696021</v>
      </c>
    </row>
    <row r="29" customFormat="false" ht="17.15" hidden="false" customHeight="false" outlineLevel="0" collapsed="false">
      <c r="A29" s="3" t="s">
        <v>933</v>
      </c>
      <c r="B29" s="3" t="s">
        <v>934</v>
      </c>
      <c r="C29" s="23" t="n">
        <f aca="false">E1348</f>
        <v>80.229394518</v>
      </c>
      <c r="D29" s="16" t="n">
        <f aca="false">E1358</f>
        <v>0.358162192107044</v>
      </c>
      <c r="E29" s="18" t="n">
        <f aca="false">E1367</f>
        <v>31.7902423961352</v>
      </c>
      <c r="F29" s="20" t="n">
        <f aca="false">E29/E$4-1</f>
        <v>-0.0379746835443037</v>
      </c>
      <c r="G29" s="23" t="n">
        <f aca="false">F1348</f>
        <v>88.7637751405431</v>
      </c>
      <c r="H29" s="16" t="n">
        <f aca="false">F1358</f>
        <v>0.351681729628383</v>
      </c>
      <c r="I29" s="18" t="n">
        <f aca="false">F1367</f>
        <v>34.5357101709244</v>
      </c>
      <c r="J29" s="20" t="n">
        <f aca="false">I29/I$4-1</f>
        <v>-0.0379746835443038</v>
      </c>
    </row>
    <row r="30" customFormat="false" ht="17.15" hidden="false" customHeight="false" outlineLevel="0" collapsed="false">
      <c r="A30" s="3" t="s">
        <v>935</v>
      </c>
      <c r="B30" s="3" t="s">
        <v>936</v>
      </c>
      <c r="C30" s="23" t="n">
        <f aca="false">E1401</f>
        <v>80.229394518</v>
      </c>
      <c r="D30" s="16" t="n">
        <f aca="false">E1411</f>
        <v>0.358162192107044</v>
      </c>
      <c r="E30" s="18" t="n">
        <f aca="false">E1420</f>
        <v>32.3115672957122</v>
      </c>
      <c r="F30" s="20" t="n">
        <f aca="false">E30/E$4-1</f>
        <v>-0.0221985298037235</v>
      </c>
      <c r="G30" s="23" t="n">
        <f aca="false">F1401</f>
        <v>88.7637751405431</v>
      </c>
      <c r="H30" s="16" t="n">
        <f aca="false">F1411</f>
        <v>0.351681729628383</v>
      </c>
      <c r="I30" s="18" t="n">
        <f aca="false">F1420</f>
        <v>35.1654087984535</v>
      </c>
      <c r="J30" s="20" t="n">
        <f aca="false">I30/I$4-1</f>
        <v>-0.0204338245776781</v>
      </c>
    </row>
    <row r="31" customFormat="false" ht="17.15" hidden="false" customHeight="false" outlineLevel="0" collapsed="false">
      <c r="A31" s="3" t="s">
        <v>937</v>
      </c>
      <c r="B31" s="0" t="s">
        <v>938</v>
      </c>
      <c r="C31" s="23" t="n">
        <f aca="false">PL!E139</f>
        <v>79.283028118</v>
      </c>
      <c r="D31" s="16" t="n">
        <f aca="false">PL!E149</f>
        <v>0.357662792720071</v>
      </c>
      <c r="E31" s="18" t="n">
        <f aca="false">PL!E158</f>
        <v>32.6046137348845</v>
      </c>
      <c r="F31" s="20" t="n">
        <f aca="false">E31/E$4-1</f>
        <v>-0.013330459851062</v>
      </c>
      <c r="G31" s="23" t="n">
        <f aca="false">PL!F139</f>
        <v>79.9663874161419</v>
      </c>
      <c r="H31" s="16" t="n">
        <f aca="false">PL!F149</f>
        <v>0.334371690935215</v>
      </c>
      <c r="I31" s="18" t="n">
        <f aca="false">PL!F158</f>
        <v>30.6118850144076</v>
      </c>
      <c r="J31" s="20" t="n">
        <f aca="false">I31/I$4-1</f>
        <v>-0.147276595079712</v>
      </c>
    </row>
    <row r="32" customFormat="false" ht="17.15" hidden="false" customHeight="false" outlineLevel="0" collapsed="false">
      <c r="A32" s="3" t="s">
        <v>939</v>
      </c>
      <c r="B32" s="0" t="s">
        <v>940</v>
      </c>
      <c r="C32" s="23" t="n">
        <f aca="false">PL!E192</f>
        <v>77.390295318</v>
      </c>
      <c r="D32" s="16" t="n">
        <f aca="false">PL!E202</f>
        <v>0.356627352545694</v>
      </c>
      <c r="E32" s="18" t="n">
        <f aca="false">PL!E211</f>
        <v>31.7236004337409</v>
      </c>
      <c r="F32" s="20" t="n">
        <f aca="false">E32/E$4-1</f>
        <v>-0.0399913795531857</v>
      </c>
      <c r="G32" s="23" t="n">
        <f aca="false">PL!F192</f>
        <v>67.7728896229389</v>
      </c>
      <c r="H32" s="16" t="n">
        <f aca="false">PL!F202</f>
        <v>0.303415161409808</v>
      </c>
      <c r="I32" s="18" t="n">
        <f aca="false">PL!F211</f>
        <v>23.3265103912247</v>
      </c>
      <c r="J32" s="20" t="n">
        <f aca="false">I32/I$4-1</f>
        <v>-0.350217689751815</v>
      </c>
    </row>
    <row r="34" customFormat="false" ht="17.15" hidden="false" customHeight="false" outlineLevel="0" collapsed="false">
      <c r="A34" s="3" t="s">
        <v>941</v>
      </c>
    </row>
    <row r="36" customFormat="false" ht="17.15" hidden="false" customHeight="false" outlineLevel="0" collapsed="false">
      <c r="A36" s="1" t="s">
        <v>942</v>
      </c>
    </row>
    <row r="37" customFormat="false" ht="17.15" hidden="false" customHeight="false" outlineLevel="0" collapsed="false">
      <c r="A37" s="4" t="s">
        <v>879</v>
      </c>
      <c r="B37" s="4" t="s">
        <v>880</v>
      </c>
      <c r="C37" s="13" t="s">
        <v>943</v>
      </c>
      <c r="D37" s="13" t="s">
        <v>944</v>
      </c>
      <c r="E37" s="4" t="s">
        <v>945</v>
      </c>
      <c r="F37" s="4" t="s">
        <v>946</v>
      </c>
    </row>
    <row r="38" customFormat="false" ht="17.15" hidden="false" customHeight="false" outlineLevel="0" collapsed="false">
      <c r="A38" s="3" t="s">
        <v>20</v>
      </c>
      <c r="B38" s="0" t="s">
        <v>947</v>
      </c>
      <c r="C38" s="23" t="n">
        <f aca="false">(tp_wA*MAX(0,SUMPRODUCT(Val!B16:B21,1/(1+tp_r)^{1;2;3;4;5;6})+Val!B21*(1+tp_g)/(tp_r-tp_g)/(1+tp_r)^6)+tp_wB*MAX(0,SUMPRODUCT(Val!C16:C21,1/(1+tp_r)^{1;2;3;4;5;6})+Val!C21*(1+tp_g)/(tp_r-tp_g)/(1+tp_r)^6)+tp_wC*MAX(0,SUMPRODUCT(Val!D16:D21,1/(1+tp_r)^{1;2;3;4;5;6})+Val!D21*(1+tp_g)/(tp_r-tp_g)/(1+tp_r)^6))*(1+tp_r)</f>
        <v>466.27176650268</v>
      </c>
      <c r="D38" s="23" t="n">
        <f aca="false">Val!B35</f>
        <v>1347.31848853243</v>
      </c>
      <c r="E38" s="23" t="n">
        <f aca="false">tp_w_dcf*C38+(1-tp_w_dcf)*D38</f>
        <v>906.795127517553</v>
      </c>
      <c r="F38" s="20" t="n">
        <f aca="false">E38/E$38-1</f>
        <v>0</v>
      </c>
    </row>
    <row r="39" customFormat="false" ht="17.15" hidden="false" customHeight="false" outlineLevel="0" collapsed="false">
      <c r="A39" s="3" t="s">
        <v>948</v>
      </c>
      <c r="B39" s="0" t="s">
        <v>949</v>
      </c>
      <c r="C39" s="23" t="n">
        <f aca="false">(tp_wA*MAX(0,SUMPRODUCT(Val!B16:B21,1/(1+(tp_r+0.01))^{1;2;3;4;5;6})+Val!B21*(1+tp_g)/((tp_r+0.01)-tp_g)/(1+(tp_r+0.01))^6)+tp_wB*MAX(0,SUMPRODUCT(Val!C16:C21,1/(1+(tp_r+0.01))^{1;2;3;4;5;6})+Val!C21*(1+tp_g)/((tp_r+0.01)-tp_g)/(1+(tp_r+0.01))^6)+tp_wC*MAX(0,SUMPRODUCT(Val!D16:D21,1/(1+(tp_r+0.01))^{1;2;3;4;5;6})+Val!D21*(1+tp_g)/((tp_r+0.01)-tp_g)/(1+(tp_r+0.01))^6))*(1+(tp_r+0.01))</f>
        <v>400.925716771794</v>
      </c>
      <c r="D39" s="23" t="n">
        <f aca="false">Val!B35</f>
        <v>1347.31848853243</v>
      </c>
      <c r="E39" s="23" t="n">
        <f aca="false">tp_w_dcf*C39+(1-tp_w_dcf)*D39</f>
        <v>874.12210265211</v>
      </c>
      <c r="F39" s="20" t="n">
        <f aca="false">E39/E$38-1</f>
        <v>-0.0360313193950318</v>
      </c>
    </row>
    <row r="40" customFormat="false" ht="17.15" hidden="false" customHeight="false" outlineLevel="0" collapsed="false">
      <c r="A40" s="3" t="s">
        <v>950</v>
      </c>
      <c r="B40" s="0" t="s">
        <v>951</v>
      </c>
      <c r="C40" s="23" t="n">
        <f aca="false">(tp_wA*MAX(0,SUMPRODUCT(Val!B16:B21,1/(1+(tp_r-0.01))^{1;2;3;4;5;6})+Val!B21*(1+tp_g)/((tp_r-0.01)-tp_g)/(1+(tp_r-0.01))^6)+tp_wB*MAX(0,SUMPRODUCT(Val!C16:C21,1/(1+(tp_r-0.01))^{1;2;3;4;5;6})+Val!C21*(1+tp_g)/((tp_r-0.01)-tp_g)/(1+(tp_r-0.01))^6)+tp_wC*MAX(0,SUMPRODUCT(Val!D16:D21,1/(1+(tp_r-0.01))^{1;2;3;4;5;6})+Val!D21*(1+tp_g)/((tp_r-0.01)-tp_g)/(1+(tp_r-0.01))^6))*(1+(tp_r-0.01))</f>
        <v>557.810320347915</v>
      </c>
      <c r="D40" s="23" t="n">
        <f aca="false">Val!B35</f>
        <v>1347.31848853243</v>
      </c>
      <c r="E40" s="23" t="n">
        <f aca="false">tp_w_dcf*C40+(1-tp_w_dcf)*D40</f>
        <v>952.56440444017</v>
      </c>
      <c r="F40" s="20" t="n">
        <f aca="false">E40/E$38-1</f>
        <v>0.0504736687854903</v>
      </c>
    </row>
    <row r="41" customFormat="false" ht="17.15" hidden="false" customHeight="false" outlineLevel="0" collapsed="false">
      <c r="A41" s="3" t="s">
        <v>952</v>
      </c>
      <c r="B41" s="0" t="s">
        <v>953</v>
      </c>
      <c r="C41" s="23" t="n">
        <f aca="false">(tp_wA*MAX(0,SUMPRODUCT(Val!B16:B21,1/(1+tp_r)^{1;2;3;4;5;6})+Val!B21*(1+(tp_g+0.01))/(tp_r-(tp_g+0.01))/(1+tp_r)^6)+tp_wB*MAX(0,SUMPRODUCT(Val!C16:C21,1/(1+tp_r)^{1;2;3;4;5;6})+Val!C21*(1+(tp_g+0.01))/(tp_r-(tp_g+0.01))/(1+tp_r)^6)+tp_wC*MAX(0,SUMPRODUCT(Val!D16:D21,1/(1+tp_r)^{1;2;3;4;5;6})+Val!D21*(1+(tp_g+0.01))/(tp_r-(tp_g+0.01))/(1+tp_r)^6))*(1+tp_r)</f>
        <v>539.530660049192</v>
      </c>
      <c r="D41" s="23" t="n">
        <f aca="false">Val!B35</f>
        <v>1347.31848853243</v>
      </c>
      <c r="E41" s="23" t="n">
        <f aca="false">tp_w_dcf*C41+(1-tp_w_dcf)*D41</f>
        <v>943.424574290809</v>
      </c>
      <c r="F41" s="20" t="n">
        <f aca="false">E41/E$38-1</f>
        <v>0.0403944018463494</v>
      </c>
    </row>
    <row r="42" customFormat="false" ht="17.15" hidden="false" customHeight="false" outlineLevel="0" collapsed="false">
      <c r="A42" s="3" t="s">
        <v>954</v>
      </c>
      <c r="B42" s="0" t="s">
        <v>955</v>
      </c>
      <c r="C42" s="23" t="n">
        <f aca="false">(tp_wA*MAX(0,SUMPRODUCT(Val!B16:B21,1/(1+tp_r)^{1;2;3;4;5;6})+Val!B21*(1+(tp_g-0.01))/(tp_r-(tp_g-0.01))/(1+tp_r)^6)+tp_wB*MAX(0,SUMPRODUCT(Val!C16:C21,1/(1+tp_r)^{1;2;3;4;5;6})+Val!C21*(1+(tp_g-0.01))/(tp_r-(tp_g-0.01))/(1+tp_r)^6)+tp_wC*MAX(0,SUMPRODUCT(Val!D16:D21,1/(1+tp_r)^{1;2;3;4;5;6})+Val!D21*(1+(tp_g-0.01))/(tp_r-(tp_g-0.01))/(1+tp_r)^6))*(1+tp_r)</f>
        <v>413.94398539803</v>
      </c>
      <c r="D42" s="23" t="n">
        <f aca="false">Val!B35</f>
        <v>1347.31848853243</v>
      </c>
      <c r="E42" s="23" t="n">
        <f aca="false">tp_w_dcf*C42+(1-tp_w_dcf)*D42</f>
        <v>880.631236965228</v>
      </c>
      <c r="F42" s="20" t="n">
        <f aca="false">E42/E$38-1</f>
        <v>-0.0288531441759639</v>
      </c>
    </row>
    <row r="43" customFormat="false" ht="17.15" hidden="false" customHeight="false" outlineLevel="0" collapsed="false">
      <c r="A43" s="0" t="s">
        <v>956</v>
      </c>
      <c r="C43" s="23" t="n">
        <f aca="false">(tp_wA*MAX(0,SUMPRODUCT(Val!B16:B21,1/(1+tp_r)^{1;2;3;4;5;6})+Val!B21*(1+tp_g)/(tp_r-tp_g)/(1+tp_r)^6)+tp_wB*MAX(0,SUMPRODUCT(Val!C16:C21,1/(1+tp_r)^{1;2;3;4;5;6})+Val!C21*(1+tp_g)/(tp_r-tp_g)/(1+tp_r)^6)+tp_wC*MAX(0,SUMPRODUCT(Val!D16:D21,1/(1+tp_r)^{1;2;3;4;5;6})+Val!D21*(1+tp_g)/(tp_r-tp_g)/(1+tp_r)^6))*(1+tp_r)</f>
        <v>466.27176650268</v>
      </c>
      <c r="D43" s="23" t="n">
        <f aca="false">Val!B35</f>
        <v>1347.31848853243</v>
      </c>
      <c r="E43" s="23" t="n">
        <f aca="false">0.3*C43+(1-0.3)*D43</f>
        <v>1083.0044719235</v>
      </c>
      <c r="F43" s="20" t="n">
        <f aca="false">E43/E$38-1</f>
        <v>0.194321009298253</v>
      </c>
    </row>
    <row r="44" customFormat="false" ht="17.15" hidden="false" customHeight="false" outlineLevel="0" collapsed="false">
      <c r="A44" s="0" t="s">
        <v>957</v>
      </c>
      <c r="C44" s="23" t="n">
        <f aca="false">(tp_wA*MAX(0,SUMPRODUCT(Val!B16:B21,1/(1+tp_r)^{1;2;3;4;5;6})+Val!B21*(1+tp_g)/(tp_r-tp_g)/(1+tp_r)^6)+tp_wB*MAX(0,SUMPRODUCT(Val!C16:C21,1/(1+tp_r)^{1;2;3;4;5;6})+Val!C21*(1+tp_g)/(tp_r-tp_g)/(1+tp_r)^6)+tp_wC*MAX(0,SUMPRODUCT(Val!D16:D21,1/(1+tp_r)^{1;2;3;4;5;6})+Val!D21*(1+tp_g)/(tp_r-tp_g)/(1+tp_r)^6))*(1+tp_r)</f>
        <v>466.27176650268</v>
      </c>
      <c r="D44" s="23" t="n">
        <f aca="false">Val!B35</f>
        <v>1347.31848853243</v>
      </c>
      <c r="E44" s="23" t="n">
        <f aca="false">0.7*C44+(1-0.7)*D44</f>
        <v>730.585783111604</v>
      </c>
      <c r="F44" s="20" t="n">
        <f aca="false">E44/E$38-1</f>
        <v>-0.194321009298253</v>
      </c>
    </row>
    <row r="50" customFormat="false" ht="17.15" hidden="false" customHeight="false" outlineLevel="0" collapsed="false">
      <c r="A50" s="1" t="s">
        <v>958</v>
      </c>
    </row>
    <row r="51" customFormat="false" ht="17.15" hidden="false" customHeight="false" outlineLevel="0" collapsed="false">
      <c r="A51" s="4" t="s">
        <v>17</v>
      </c>
      <c r="B51" s="4" t="s">
        <v>18</v>
      </c>
      <c r="C51" s="13" t="s">
        <v>494</v>
      </c>
      <c r="D51" s="13" t="s">
        <v>581</v>
      </c>
      <c r="E51" s="13" t="s">
        <v>582</v>
      </c>
      <c r="F51" s="13" t="s">
        <v>583</v>
      </c>
      <c r="G51" s="13" t="s">
        <v>584</v>
      </c>
      <c r="H51" s="13" t="s">
        <v>585</v>
      </c>
      <c r="I51" s="13" t="s">
        <v>586</v>
      </c>
      <c r="J51" s="13" t="s">
        <v>587</v>
      </c>
      <c r="K51" s="4" t="s">
        <v>549</v>
      </c>
    </row>
    <row r="52" customFormat="false" ht="17.15" hidden="false" customHeight="false" outlineLevel="0" collapsed="false">
      <c r="A52" s="5" t="s">
        <v>605</v>
      </c>
    </row>
    <row r="53" customFormat="false" ht="17.15" hidden="false" customHeight="false" outlineLevel="0" collapsed="false">
      <c r="A53" s="0" t="s">
        <v>606</v>
      </c>
      <c r="B53" s="3" t="s">
        <v>28</v>
      </c>
      <c r="D53" s="21" t="n">
        <f aca="false">(u_bw_26+u_rb_26+u_ru_26+u_hp_26)*1</f>
        <v>7.6</v>
      </c>
      <c r="E53" s="21" t="n">
        <f aca="false">(u_bw_27+u_rb_27+u_ru_27+u_hp_27)*1*0.8</f>
        <v>7.76</v>
      </c>
      <c r="F53" s="21" t="n">
        <f aca="false">(u_bw_28+u_rb_28+u_ru_28+u_hp_28)*um28_A*0.8</f>
        <v>7.6</v>
      </c>
      <c r="G53" s="21" t="n">
        <f aca="false">(u_bw_28*(1+g29_bw)+u_rb_28*(1+g29_rb)+u_ru_28*(1+g29_ru)+u_hp_28*(1+g29_hp))*um29_A*0.8</f>
        <v>8.48</v>
      </c>
      <c r="K53" s="7" t="s">
        <v>607</v>
      </c>
    </row>
    <row r="54" customFormat="false" ht="17.15" hidden="false" customHeight="false" outlineLevel="0" collapsed="false">
      <c r="A54" s="3" t="s">
        <v>608</v>
      </c>
      <c r="B54" s="3" t="s">
        <v>28</v>
      </c>
      <c r="D54" s="21" t="n">
        <f aca="false">(u_amd_26+u_tpu_26+u_trn_26+u_oth_26)*1</f>
        <v>7.6</v>
      </c>
      <c r="E54" s="21" t="n">
        <f aca="false">(u_amd_27+u_tpu_27+u_trn_27+u_oth_27)*1*0.8</f>
        <v>11.2</v>
      </c>
      <c r="F54" s="21" t="n">
        <f aca="false">(u_amd_28+u_tpu_28+u_trn_28+u_oth_28)*um28_A*0.8</f>
        <v>13.6</v>
      </c>
      <c r="G54" s="21" t="n">
        <f aca="false">(u_amd_28*(1+g29_amd)+u_tpu_28*(1+g29_tpu)+u_trn_28*(1+g29_trn)+u_oth_28*(1+g29_oth))*um29_A*0.8</f>
        <v>15.64</v>
      </c>
      <c r="K54" s="7" t="s">
        <v>609</v>
      </c>
    </row>
    <row r="55" customFormat="false" ht="17.15" hidden="false" customHeight="false" outlineLevel="0" collapsed="false">
      <c r="A55" s="3" t="s">
        <v>610</v>
      </c>
      <c r="B55" s="0" t="s">
        <v>150</v>
      </c>
      <c r="D55" s="19" t="n">
        <f aca="false">1</f>
        <v>1</v>
      </c>
      <c r="E55" s="19" t="n">
        <f aca="false">D55*(1+g_asp)</f>
        <v>1.18</v>
      </c>
      <c r="F55" s="19" t="n">
        <f aca="false">E55*(1+g_asp)</f>
        <v>1.3924</v>
      </c>
      <c r="G55" s="19" t="n">
        <f aca="false">F55*(1+g_asp)</f>
        <v>1.643032</v>
      </c>
      <c r="K55" s="7" t="s">
        <v>611</v>
      </c>
    </row>
    <row r="56" customFormat="false" ht="17.15" hidden="false" customHeight="false" outlineLevel="0" collapsed="false">
      <c r="A56" s="0" t="s">
        <v>612</v>
      </c>
      <c r="B56" s="0" t="s">
        <v>150</v>
      </c>
      <c r="D56" s="18" t="n">
        <f aca="false">1</f>
        <v>1</v>
      </c>
      <c r="E56" s="18" t="n">
        <f aca="false">ibpp_27</f>
        <v>1</v>
      </c>
      <c r="F56" s="18" t="n">
        <f aca="false">ibpp_28</f>
        <v>0.95</v>
      </c>
      <c r="G56" s="18" t="n">
        <f aca="false">ibpp_29</f>
        <v>0.9</v>
      </c>
      <c r="K56" s="7" t="s">
        <v>613</v>
      </c>
    </row>
    <row r="57" customFormat="false" ht="17.15" hidden="false" customHeight="false" outlineLevel="0" collapsed="false">
      <c r="A57" s="3" t="s">
        <v>614</v>
      </c>
      <c r="B57" s="0" t="s">
        <v>150</v>
      </c>
      <c r="D57" s="18" t="n">
        <f aca="false">1</f>
        <v>1</v>
      </c>
      <c r="E57" s="18" t="n">
        <f aca="false">1+carry</f>
        <v>1.15</v>
      </c>
      <c r="F57" s="18" t="n">
        <f aca="false">1+carry</f>
        <v>1.15</v>
      </c>
      <c r="G57" s="18" t="n">
        <f aca="false">1+carry</f>
        <v>1.15</v>
      </c>
      <c r="K57" s="7" t="s">
        <v>615</v>
      </c>
    </row>
    <row r="58" customFormat="false" ht="17.15" hidden="false" customHeight="false" outlineLevel="0" collapsed="false">
      <c r="A58" s="3" t="s">
        <v>616</v>
      </c>
      <c r="B58" s="0" t="s">
        <v>617</v>
      </c>
      <c r="D58" s="23" t="n">
        <f aca="false">v26*D55*D56</f>
        <v>215.308596</v>
      </c>
      <c r="E58" s="23" t="n">
        <f aca="false">v26*E55*E56</f>
        <v>254.06414328</v>
      </c>
      <c r="F58" s="23" t="n">
        <f aca="false">v26*F55*F56</f>
        <v>284.80590461688</v>
      </c>
      <c r="G58" s="23" t="n">
        <f aca="false">v26*G55*G56</f>
        <v>318.383021792765</v>
      </c>
      <c r="K58" s="7" t="s">
        <v>618</v>
      </c>
    </row>
    <row r="59" customFormat="false" ht="17.15" hidden="false" customHeight="false" outlineLevel="0" collapsed="false">
      <c r="A59" s="3" t="s">
        <v>619</v>
      </c>
      <c r="B59" s="0" t="s">
        <v>40</v>
      </c>
      <c r="D59" s="20" t="n">
        <f aca="false">sh_nv_26</f>
        <v>0.02</v>
      </c>
      <c r="E59" s="20" t="n">
        <f aca="false">sh_nv_27</f>
        <v>0.03</v>
      </c>
      <c r="F59" s="20" t="n">
        <f aca="false">sh_nv_28</f>
        <v>0.04</v>
      </c>
      <c r="G59" s="20" t="n">
        <f aca="false">sh_nv_29</f>
        <v>0.04</v>
      </c>
    </row>
    <row r="60" customFormat="false" ht="17.15" hidden="false" customHeight="false" outlineLevel="0" collapsed="false">
      <c r="A60" s="3" t="s">
        <v>620</v>
      </c>
      <c r="B60" s="0" t="s">
        <v>40</v>
      </c>
      <c r="D60" s="20" t="n">
        <f aca="false">sh_ot_26</f>
        <v>0.05</v>
      </c>
      <c r="E60" s="20" t="n">
        <f aca="false">sh_ot_27</f>
        <v>0.06</v>
      </c>
      <c r="F60" s="20" t="n">
        <f aca="false">sh_ot_28</f>
        <v>0.07</v>
      </c>
      <c r="G60" s="20" t="n">
        <f aca="false">sh_ot_29</f>
        <v>0.07</v>
      </c>
    </row>
    <row r="61" customFormat="false" ht="17.15" hidden="false" customHeight="false" outlineLevel="0" collapsed="false">
      <c r="A61" s="3" t="s">
        <v>621</v>
      </c>
      <c r="B61" s="0" t="s">
        <v>571</v>
      </c>
      <c r="D61" s="22" t="n">
        <f aca="false">(D53*D58*D59+D54*D58*v_ot*D60)*D57</f>
        <v>98.180719776</v>
      </c>
      <c r="E61" s="22" t="n">
        <f aca="false">(E53*E58*E59+E54*E58*v_ot*E60)*E57</f>
        <v>225.090668380349</v>
      </c>
      <c r="F61" s="22" t="n">
        <f aca="false">(F53*F58*F59+F54*F58*v_ot*F60)*F57</f>
        <v>349.012547753709</v>
      </c>
      <c r="G61" s="22" t="n">
        <f aca="false">(G53*G58*G59+G54*G58*v_ot*G60)*G57</f>
        <v>444.875322818943</v>
      </c>
    </row>
    <row r="62" customFormat="false" ht="15" hidden="false" customHeight="false" outlineLevel="0" collapsed="false">
      <c r="A62" s="3" t="s">
        <v>622</v>
      </c>
      <c r="B62" s="0" t="s">
        <v>329</v>
      </c>
      <c r="D62" s="21" t="n">
        <f aca="false">D61*fx/1000</f>
        <v>3.19087339272</v>
      </c>
      <c r="E62" s="21" t="n">
        <f aca="false">E61*fx/1000</f>
        <v>7.31544672236134</v>
      </c>
      <c r="F62" s="21" t="n">
        <f aca="false">F61*fx/1000</f>
        <v>11.3429078019956</v>
      </c>
      <c r="G62" s="21" t="n">
        <f aca="false">G61*fx/1000</f>
        <v>14.4584479916157</v>
      </c>
    </row>
    <row r="63" customFormat="false" ht="17.15" hidden="false" customHeight="false" outlineLevel="0" collapsed="false">
      <c r="A63" s="5" t="s">
        <v>623</v>
      </c>
    </row>
    <row r="64" customFormat="false" ht="17.15" hidden="false" customHeight="false" outlineLevel="0" collapsed="false">
      <c r="A64" s="0" t="s">
        <v>624</v>
      </c>
      <c r="B64" s="0" t="s">
        <v>329</v>
      </c>
      <c r="D64" s="21" t="n">
        <f aca="false">a26_abf*ai_abf</f>
        <v>22.2987583</v>
      </c>
      <c r="K64" s="3" t="s">
        <v>625</v>
      </c>
    </row>
    <row r="65" customFormat="false" ht="17.15" hidden="false" customHeight="false" outlineLevel="0" collapsed="false">
      <c r="A65" s="3" t="s">
        <v>626</v>
      </c>
      <c r="B65" s="0" t="s">
        <v>329</v>
      </c>
      <c r="D65" s="21" t="n">
        <f aca="false">D64-D62</f>
        <v>19.10788490728</v>
      </c>
      <c r="E65" s="21" t="n">
        <f aca="false">$D65*(swm_27/swm_26)^el_o*1*0.8*E56*E57</f>
        <v>24.5883275982612</v>
      </c>
      <c r="F65" s="21" t="n">
        <f aca="false">$D65*(swm_28/swm_26)^el_o*um28_A*0.8*F56*F57</f>
        <v>25.1283201708164</v>
      </c>
      <c r="G65" s="21" t="n">
        <f aca="false">$D65*(swm_29/swm_26)^el_o*um29_A*0.8*G56*G57</f>
        <v>25.39619303115</v>
      </c>
      <c r="K65" s="7" t="s">
        <v>627</v>
      </c>
    </row>
    <row r="66" customFormat="false" ht="17.15" hidden="false" customHeight="false" outlineLevel="0" collapsed="false">
      <c r="A66" s="3" t="s">
        <v>628</v>
      </c>
      <c r="B66" s="0" t="s">
        <v>329</v>
      </c>
      <c r="D66" s="21" t="n">
        <f aca="false">a26_abf-D64</f>
        <v>12.0070237</v>
      </c>
      <c r="E66" s="21" t="n">
        <f aca="false">D66*(1+g_nai)</f>
        <v>12.367234411</v>
      </c>
      <c r="F66" s="21" t="n">
        <f aca="false">E66*(1+g_nai)</f>
        <v>12.73825144333</v>
      </c>
      <c r="G66" s="21" t="n">
        <f aca="false">F66*(1+g_nai)</f>
        <v>13.1203989866299</v>
      </c>
    </row>
    <row r="67" customFormat="false" ht="17.15" hidden="false" customHeight="false" outlineLevel="0" collapsed="false">
      <c r="A67" s="0" t="s">
        <v>629</v>
      </c>
      <c r="B67" s="0" t="s">
        <v>329</v>
      </c>
      <c r="D67" s="21" t="n">
        <f aca="false">D62+D65+D66</f>
        <v>34.305782</v>
      </c>
      <c r="E67" s="21" t="n">
        <f aca="false">E62+E65+E66</f>
        <v>44.2710087316225</v>
      </c>
      <c r="F67" s="21" t="n">
        <f aca="false">F62+F65+F66</f>
        <v>49.2094794161419</v>
      </c>
      <c r="G67" s="21" t="n">
        <f aca="false">G62+G65+G66</f>
        <v>52.9750400093955</v>
      </c>
    </row>
    <row r="68" customFormat="false" ht="17.15" hidden="false" customHeight="false" outlineLevel="0" collapsed="false">
      <c r="A68" s="0" t="s">
        <v>630</v>
      </c>
      <c r="B68" s="0" t="s">
        <v>329</v>
      </c>
      <c r="D68" s="21" t="n">
        <f aca="false">a26_abf</f>
        <v>34.305782</v>
      </c>
      <c r="E68" s="21" t="n">
        <f aca="false">$D67*cap_27*(1+g_mix)^1*E56*E57</f>
        <v>49.709078118</v>
      </c>
      <c r="F68" s="21" t="n">
        <f aca="false">$D67*cap_28*(1+g_mix)^2*F56*F57</f>
        <v>55.7829061005431</v>
      </c>
      <c r="G68" s="21" t="n">
        <f aca="false">$D67*cap_29*(1+g_mix)^3*G56*G57</f>
        <v>65.765110350114</v>
      </c>
      <c r="K68" s="7" t="s">
        <v>631</v>
      </c>
    </row>
    <row r="69" customFormat="false" ht="17.15" hidden="false" customHeight="false" outlineLevel="0" collapsed="false">
      <c r="A69" s="0" t="s">
        <v>632</v>
      </c>
      <c r="B69" s="0" t="s">
        <v>329</v>
      </c>
      <c r="D69" s="21" t="n">
        <f aca="false">a26_abf</f>
        <v>34.305782</v>
      </c>
      <c r="E69" s="21" t="n">
        <f aca="false">MIN(E67,E68)</f>
        <v>44.2710087316225</v>
      </c>
      <c r="F69" s="21" t="n">
        <f aca="false">MIN(F67,F68)</f>
        <v>49.2094794161419</v>
      </c>
      <c r="G69" s="21" t="n">
        <f aca="false">MIN(G67,G68)</f>
        <v>52.9750400093955</v>
      </c>
    </row>
    <row r="70" customFormat="false" ht="17.15" hidden="false" customHeight="false" outlineLevel="0" collapsed="false">
      <c r="A70" s="3" t="s">
        <v>633</v>
      </c>
      <c r="B70" s="0" t="s">
        <v>40</v>
      </c>
      <c r="D70" s="20" t="n">
        <f aca="false">D69/D67</f>
        <v>1</v>
      </c>
      <c r="E70" s="20" t="n">
        <f aca="false">E69/E67</f>
        <v>1</v>
      </c>
      <c r="F70" s="20" t="n">
        <f aca="false">F69/F67</f>
        <v>1</v>
      </c>
      <c r="G70" s="20" t="n">
        <f aca="false">G69/G67</f>
        <v>1</v>
      </c>
    </row>
    <row r="71" customFormat="false" ht="17.15" hidden="false" customHeight="false" outlineLevel="0" collapsed="false">
      <c r="A71" s="0" t="s">
        <v>634</v>
      </c>
      <c r="B71" s="0" t="s">
        <v>329</v>
      </c>
      <c r="D71" s="21" t="n">
        <f aca="false">(D62+D65)*D70</f>
        <v>22.2987583</v>
      </c>
      <c r="E71" s="21" t="n">
        <f aca="false">(E62+E65)*E70</f>
        <v>31.9037743206225</v>
      </c>
      <c r="F71" s="21" t="n">
        <f aca="false">(F62+F65)*F70</f>
        <v>36.4712279728119</v>
      </c>
      <c r="G71" s="21" t="n">
        <f aca="false">(G62+G65)*G70</f>
        <v>39.8546410227656</v>
      </c>
    </row>
    <row r="72" customFormat="false" ht="17.15" hidden="false" customHeight="false" outlineLevel="0" collapsed="false">
      <c r="A72" s="3" t="s">
        <v>635</v>
      </c>
      <c r="B72" s="0" t="s">
        <v>40</v>
      </c>
      <c r="D72" s="20" t="n">
        <f aca="false">D62/(D62+D65)</f>
        <v>0.14309646078903</v>
      </c>
      <c r="E72" s="20" t="n">
        <f aca="false">E62/(E62+E65)</f>
        <v>0.229297218844501</v>
      </c>
      <c r="F72" s="20" t="n">
        <f aca="false">F62/(F62+F65)</f>
        <v>0.311009758444419</v>
      </c>
      <c r="G72" s="20" t="n">
        <f aca="false">G62/(G62+G65)</f>
        <v>0.362779531331288</v>
      </c>
    </row>
    <row r="73" customFormat="false" ht="17.15" hidden="false" customHeight="false" outlineLevel="0" collapsed="false">
      <c r="A73" s="5" t="s">
        <v>636</v>
      </c>
    </row>
    <row r="74" customFormat="false" ht="17.15" hidden="false" customHeight="false" outlineLevel="0" collapsed="false">
      <c r="A74" s="0" t="s">
        <v>637</v>
      </c>
      <c r="B74" s="0" t="s">
        <v>329</v>
      </c>
      <c r="D74" s="21" t="n">
        <f aca="false">a26_bt</f>
        <v>18.927328</v>
      </c>
      <c r="E74" s="21" t="n">
        <f aca="false">D74*(1+g_bt27_A)</f>
        <v>24.6055264</v>
      </c>
      <c r="F74" s="21" t="n">
        <f aca="false">E74*(1+g_bt28_A)</f>
        <v>27.06607904</v>
      </c>
      <c r="G74" s="21" t="n">
        <f aca="false">F74*(1+g_bt29_A)</f>
        <v>28.419382992</v>
      </c>
      <c r="K74" s="7" t="s">
        <v>638</v>
      </c>
    </row>
    <row r="75" customFormat="false" ht="17.15" hidden="false" customHeight="false" outlineLevel="0" collapsed="false">
      <c r="A75" s="0" t="s">
        <v>536</v>
      </c>
      <c r="B75" s="0" t="s">
        <v>329</v>
      </c>
      <c r="D75" s="21" t="n">
        <f aca="false">a26_pcb</f>
        <v>5.91479</v>
      </c>
      <c r="E75" s="21" t="n">
        <f aca="false">D75*(1+g_pcb)</f>
        <v>5.91479</v>
      </c>
      <c r="F75" s="21" t="n">
        <f aca="false">E75*(1+g_pcb)</f>
        <v>5.91479</v>
      </c>
      <c r="G75" s="21" t="n">
        <f aca="false">F75*(1+g_pcb)</f>
        <v>5.91479</v>
      </c>
    </row>
    <row r="76" customFormat="false" ht="17.15" hidden="false" customHeight="false" outlineLevel="0" collapsed="false">
      <c r="A76" s="3" t="s">
        <v>501</v>
      </c>
      <c r="B76" s="0" t="s">
        <v>329</v>
      </c>
      <c r="C76" s="23" t="n">
        <f aca="false">a25_rev</f>
        <v>40.173</v>
      </c>
      <c r="D76" s="23" t="n">
        <f aca="false">D69+D74+D75</f>
        <v>59.1479</v>
      </c>
      <c r="E76" s="23" t="n">
        <f aca="false">E69+E74+E75</f>
        <v>74.7913251316225</v>
      </c>
      <c r="F76" s="23" t="n">
        <f aca="false">F69+F74+F75</f>
        <v>82.1903484561419</v>
      </c>
      <c r="G76" s="23" t="n">
        <f aca="false">G69+G74+G75</f>
        <v>87.3092130013955</v>
      </c>
      <c r="H76" s="25" t="n">
        <f aca="false">G76*(1+H77)</f>
        <v>92.6805109420589</v>
      </c>
      <c r="I76" s="25" t="n">
        <f aca="false">H76*(1+I77)</f>
        <v>98.311797446738</v>
      </c>
      <c r="J76" s="25" t="n">
        <f aca="false">I76*(1+J77)</f>
        <v>104.210505293542</v>
      </c>
      <c r="K76" s="7" t="s">
        <v>639</v>
      </c>
    </row>
    <row r="77" customFormat="false" ht="15" hidden="false" customHeight="false" outlineLevel="0" collapsed="false">
      <c r="A77" s="3" t="s">
        <v>640</v>
      </c>
      <c r="B77" s="0" t="s">
        <v>40</v>
      </c>
      <c r="D77" s="20" t="n">
        <f aca="false">D76/C76-1</f>
        <v>0.472329674159261</v>
      </c>
      <c r="E77" s="20" t="n">
        <f aca="false">E76/D76-1</f>
        <v>0.264479806242022</v>
      </c>
      <c r="F77" s="20" t="n">
        <f aca="false">F76/E76-1</f>
        <v>0.0989288973219575</v>
      </c>
      <c r="G77" s="20" t="n">
        <f aca="false">G76/F76-1</f>
        <v>0.0622806040052877</v>
      </c>
      <c r="H77" s="26" t="n">
        <f aca="false">$G77+(fade_gA-$G77)*1/3</f>
        <v>0.0615204026701918</v>
      </c>
      <c r="I77" s="26" t="n">
        <f aca="false">$G77+(fade_gA-$G77)*2/3</f>
        <v>0.0607602013350959</v>
      </c>
      <c r="J77" s="26" t="n">
        <f aca="false">$G77+(fade_gA-$G77)*3/3</f>
        <v>0.06</v>
      </c>
    </row>
    <row r="78" customFormat="false" ht="17.15" hidden="false" customHeight="false" outlineLevel="0" collapsed="false">
      <c r="A78" s="0" t="s">
        <v>641</v>
      </c>
      <c r="B78" s="0" t="s">
        <v>40</v>
      </c>
      <c r="D78" s="20" t="n">
        <f aca="false">D69/D76</f>
        <v>0.58</v>
      </c>
      <c r="E78" s="20" t="n">
        <f aca="false">E69/E76</f>
        <v>0.591927053755387</v>
      </c>
      <c r="F78" s="20" t="n">
        <f aca="false">F69/F76</f>
        <v>0.598725766960349</v>
      </c>
      <c r="G78" s="20" t="n">
        <f aca="false">G69/G76</f>
        <v>0.606752004608595</v>
      </c>
    </row>
    <row r="79" customFormat="false" ht="17.15" hidden="false" customHeight="false" outlineLevel="0" collapsed="false">
      <c r="A79" s="0" t="s">
        <v>642</v>
      </c>
      <c r="B79" s="0" t="s">
        <v>40</v>
      </c>
      <c r="D79" s="20" t="n">
        <f aca="false">D71/D76</f>
        <v>0.377</v>
      </c>
      <c r="E79" s="20" t="n">
        <f aca="false">E71/E76</f>
        <v>0.426570518231576</v>
      </c>
      <c r="F79" s="20" t="n">
        <f aca="false">F71/F76</f>
        <v>0.443741006795628</v>
      </c>
      <c r="G79" s="20" t="n">
        <f aca="false">G71/G76</f>
        <v>0.456476924401192</v>
      </c>
      <c r="K79" s="3" t="s">
        <v>643</v>
      </c>
    </row>
    <row r="80" customFormat="false" ht="17.15" hidden="false" customHeight="false" outlineLevel="0" collapsed="false">
      <c r="A80" s="5" t="s">
        <v>644</v>
      </c>
    </row>
    <row r="81" customFormat="false" ht="15" hidden="false" customHeight="false" outlineLevel="0" collapsed="false">
      <c r="A81" s="3" t="s">
        <v>645</v>
      </c>
      <c r="B81" s="0" t="s">
        <v>329</v>
      </c>
      <c r="C81" s="23" t="n">
        <f aca="false">a25_cx</f>
        <v>2.422</v>
      </c>
      <c r="D81" s="23" t="n">
        <f aca="false">capex26</f>
        <v>4</v>
      </c>
      <c r="E81" s="23" t="n">
        <f aca="false">cx27</f>
        <v>14</v>
      </c>
      <c r="F81" s="23" t="n">
        <f aca="false">cx28</f>
        <v>18</v>
      </c>
      <c r="G81" s="23" t="n">
        <f aca="false">cx29</f>
        <v>12</v>
      </c>
      <c r="H81" s="25" t="n">
        <f aca="false">H76*H98</f>
        <v>12.1847441829892</v>
      </c>
      <c r="I81" s="25" t="n">
        <f aca="false">I76*I98</f>
        <v>12.3379602328355</v>
      </c>
      <c r="J81" s="25" t="n">
        <f aca="false">J76*J98</f>
        <v>12.4558784992812</v>
      </c>
    </row>
    <row r="82" customFormat="false" ht="17.15" hidden="false" customHeight="false" outlineLevel="0" collapsed="false">
      <c r="A82" s="3" t="s">
        <v>646</v>
      </c>
      <c r="B82" s="0" t="s">
        <v>329</v>
      </c>
      <c r="C82" s="23" t="n">
        <f aca="false">a25_da</f>
        <v>6.894</v>
      </c>
      <c r="D82" s="23" t="n">
        <f aca="false">da26</f>
        <v>7.1</v>
      </c>
      <c r="E82" s="23" t="n">
        <f aca="false">D82*(1-1/life)+D81/life</f>
        <v>6.7125</v>
      </c>
      <c r="F82" s="23" t="n">
        <f aca="false">E82*(1-1/life)+E81/life</f>
        <v>7.6234375</v>
      </c>
      <c r="G82" s="23" t="n">
        <f aca="false">F82*(1-1/life)+F81/life</f>
        <v>8.9205078125</v>
      </c>
      <c r="H82" s="25" t="n">
        <f aca="false">H76*H83</f>
        <v>9.46930104514759</v>
      </c>
      <c r="I82" s="25" t="n">
        <f aca="false">I76*I83</f>
        <v>10.0446576831534</v>
      </c>
      <c r="J82" s="25" t="n">
        <f aca="false">J76*J83</f>
        <v>10.6473371441426</v>
      </c>
      <c r="K82" s="3" t="s">
        <v>647</v>
      </c>
    </row>
    <row r="83" customFormat="false" ht="17.15" hidden="false" customHeight="false" outlineLevel="0" collapsed="false">
      <c r="A83" s="3" t="s">
        <v>648</v>
      </c>
      <c r="B83" s="0" t="s">
        <v>40</v>
      </c>
      <c r="C83" s="20" t="n">
        <f aca="false">C82/C76</f>
        <v>0.171607796281084</v>
      </c>
      <c r="D83" s="20" t="n">
        <f aca="false">D82/D76</f>
        <v>0.120038074048276</v>
      </c>
      <c r="E83" s="20" t="n">
        <f aca="false">E82/E76</f>
        <v>0.0897497134619144</v>
      </c>
      <c r="F83" s="20" t="n">
        <f aca="false">F82/F76</f>
        <v>0.0927534393417006</v>
      </c>
      <c r="G83" s="20" t="n">
        <f aca="false">G82/G76</f>
        <v>0.102171437650657</v>
      </c>
      <c r="H83" s="26" t="n">
        <f aca="false">$G83</f>
        <v>0.102171437650657</v>
      </c>
      <c r="I83" s="26" t="n">
        <f aca="false">$G83</f>
        <v>0.102171437650657</v>
      </c>
      <c r="J83" s="26" t="n">
        <f aca="false">$G83</f>
        <v>0.102171437650657</v>
      </c>
    </row>
    <row r="84" customFormat="false" ht="17.15" hidden="false" customHeight="false" outlineLevel="0" collapsed="false">
      <c r="A84" s="3" t="s">
        <v>649</v>
      </c>
      <c r="B84" s="0" t="s">
        <v>329</v>
      </c>
      <c r="E84" s="21" t="n">
        <f aca="false">E71*(1-1/(E56*E57))</f>
        <v>4.16136186790728</v>
      </c>
      <c r="F84" s="21" t="n">
        <f aca="false">F71*(1-1/(F56*F57))</f>
        <v>3.08795294048979</v>
      </c>
      <c r="G84" s="21" t="n">
        <f aca="false">G71*(1-1/(G56*G57))</f>
        <v>1.34774148386164</v>
      </c>
      <c r="K84" s="7" t="s">
        <v>650</v>
      </c>
    </row>
    <row r="85" customFormat="false" ht="17.15" hidden="false" customHeight="false" outlineLevel="0" collapsed="false">
      <c r="A85" s="3" t="s">
        <v>651</v>
      </c>
      <c r="B85" s="0" t="s">
        <v>329</v>
      </c>
      <c r="C85" s="21" t="n">
        <f aca="false">a25_gp</f>
        <v>3.647</v>
      </c>
      <c r="D85" s="21" t="n">
        <f aca="false">a26_gp</f>
        <v>15.9001925</v>
      </c>
      <c r="E85" s="21" t="n">
        <f aca="false">$D85+ft_abf*(E69-E84-$D69)+ft_oth*((E76-E69)-($D76-$D69))+E84-(E82-$D82)</f>
        <v>25.6222661597649</v>
      </c>
      <c r="F85" s="21" t="n">
        <f aca="false">$D85+ft_abf*(F69-F84-$D69)+ft_oth*((F76-F69)-($D76-$D69))+F84-(F82-$D82)</f>
        <v>27.6280805943159</v>
      </c>
      <c r="G85" s="21" t="n">
        <f aca="false">$D85+ft_abf*(G69-G84-$D69)+ft_oth*((G76-G69)-($D76-$D69))+G84-(G82-$D82)</f>
        <v>27.8850064309286</v>
      </c>
      <c r="K85" s="3" t="s">
        <v>652</v>
      </c>
    </row>
    <row r="86" customFormat="false" ht="15" hidden="false" customHeight="false" outlineLevel="0" collapsed="false">
      <c r="A86" s="3" t="s">
        <v>508</v>
      </c>
      <c r="B86" s="0" t="s">
        <v>40</v>
      </c>
      <c r="C86" s="16" t="n">
        <f aca="false">C85/C76</f>
        <v>0.0907823662659</v>
      </c>
      <c r="D86" s="16" t="n">
        <f aca="false">D85/D76</f>
        <v>0.268820913337583</v>
      </c>
      <c r="E86" s="16" t="n">
        <f aca="false">E85/E76</f>
        <v>0.342583396064627</v>
      </c>
      <c r="F86" s="16" t="n">
        <f aca="false">F85/F76</f>
        <v>0.336147505312727</v>
      </c>
      <c r="G86" s="16" t="n">
        <f aca="false">G85/G76</f>
        <v>0.319382175973604</v>
      </c>
    </row>
    <row r="87" customFormat="false" ht="15" hidden="false" customHeight="false" outlineLevel="0" collapsed="false">
      <c r="A87" s="3" t="s">
        <v>510</v>
      </c>
      <c r="B87" s="0" t="s">
        <v>329</v>
      </c>
      <c r="C87" s="21" t="n">
        <f aca="false">a25_opx</f>
        <v>1.665</v>
      </c>
      <c r="D87" s="21" t="n">
        <f aca="false">a26_opx</f>
        <v>1.9</v>
      </c>
      <c r="E87" s="21" t="n">
        <f aca="false">D87*(1+phi*E77)</f>
        <v>2.20150697911591</v>
      </c>
      <c r="F87" s="21" t="n">
        <f aca="false">E87*(1+phi*F77)</f>
        <v>2.33218257385022</v>
      </c>
      <c r="G87" s="21" t="n">
        <f aca="false">F87*(1+phi*G77)</f>
        <v>2.41933241746022</v>
      </c>
    </row>
    <row r="88" customFormat="false" ht="15" hidden="false" customHeight="false" outlineLevel="0" collapsed="false">
      <c r="A88" s="3" t="s">
        <v>513</v>
      </c>
      <c r="B88" s="0" t="s">
        <v>329</v>
      </c>
      <c r="C88" s="21" t="n">
        <f aca="false">C85-C87</f>
        <v>1.982</v>
      </c>
      <c r="D88" s="21" t="n">
        <f aca="false">D85-D87</f>
        <v>14.0001925</v>
      </c>
      <c r="E88" s="21" t="n">
        <f aca="false">E85-E87</f>
        <v>23.420759180649</v>
      </c>
      <c r="F88" s="21" t="n">
        <f aca="false">F85-F87</f>
        <v>25.2958980204656</v>
      </c>
      <c r="G88" s="21" t="n">
        <f aca="false">G85-G87</f>
        <v>25.4656740134684</v>
      </c>
    </row>
    <row r="89" customFormat="false" ht="15" hidden="false" customHeight="false" outlineLevel="0" collapsed="false">
      <c r="A89" s="3" t="s">
        <v>594</v>
      </c>
      <c r="B89" s="0" t="s">
        <v>40</v>
      </c>
      <c r="C89" s="16" t="n">
        <f aca="false">C88/C76</f>
        <v>0.0493366191222961</v>
      </c>
      <c r="D89" s="16" t="n">
        <f aca="false">D88/D76</f>
        <v>0.236698048451424</v>
      </c>
      <c r="E89" s="16" t="n">
        <f aca="false">E88/E76</f>
        <v>0.313148070841527</v>
      </c>
      <c r="F89" s="16" t="n">
        <f aca="false">F88/F76</f>
        <v>0.307772122829774</v>
      </c>
      <c r="G89" s="16" t="n">
        <f aca="false">G88/G76</f>
        <v>0.291672243260987</v>
      </c>
    </row>
    <row r="90" customFormat="false" ht="15" hidden="false" customHeight="false" outlineLevel="0" collapsed="false">
      <c r="A90" s="3" t="s">
        <v>516</v>
      </c>
      <c r="B90" s="0" t="s">
        <v>329</v>
      </c>
      <c r="C90" s="21" t="n">
        <f aca="false">a25_nonop</f>
        <v>0.364</v>
      </c>
      <c r="D90" s="21" t="n">
        <f aca="false">a26_nonop</f>
        <v>0.623</v>
      </c>
      <c r="E90" s="21" t="n">
        <f aca="false">nonop27</f>
        <v>0.6</v>
      </c>
      <c r="F90" s="21" t="n">
        <f aca="false">nonop28</f>
        <v>0.6</v>
      </c>
      <c r="G90" s="21" t="n">
        <f aca="false">nonop29</f>
        <v>0.6</v>
      </c>
    </row>
    <row r="91" customFormat="false" ht="15" hidden="false" customHeight="false" outlineLevel="0" collapsed="false">
      <c r="A91" s="3" t="s">
        <v>518</v>
      </c>
      <c r="B91" s="0" t="s">
        <v>329</v>
      </c>
      <c r="C91" s="21" t="n">
        <f aca="false">C88+C90</f>
        <v>2.346</v>
      </c>
      <c r="D91" s="21" t="n">
        <f aca="false">D88+D90</f>
        <v>14.6231925</v>
      </c>
      <c r="E91" s="21" t="n">
        <f aca="false">E88+E90</f>
        <v>24.020759180649</v>
      </c>
      <c r="F91" s="21" t="n">
        <f aca="false">F88+F90</f>
        <v>25.8958980204656</v>
      </c>
      <c r="G91" s="21" t="n">
        <f aca="false">G88+G90</f>
        <v>26.0656740134684</v>
      </c>
    </row>
    <row r="92" customFormat="false" ht="15" hidden="false" customHeight="false" outlineLevel="0" collapsed="false">
      <c r="A92" s="3" t="s">
        <v>521</v>
      </c>
      <c r="B92" s="0" t="s">
        <v>329</v>
      </c>
      <c r="E92" s="21" t="n">
        <f aca="false">E91*tax</f>
        <v>5.04435942793629</v>
      </c>
      <c r="F92" s="21" t="n">
        <f aca="false">F91*tax</f>
        <v>5.43813858429779</v>
      </c>
      <c r="G92" s="21" t="n">
        <f aca="false">G91*tax</f>
        <v>5.47379154282836</v>
      </c>
    </row>
    <row r="93" customFormat="false" ht="15" hidden="false" customHeight="false" outlineLevel="0" collapsed="false">
      <c r="A93" s="3" t="s">
        <v>519</v>
      </c>
      <c r="B93" s="0" t="s">
        <v>329</v>
      </c>
      <c r="C93" s="21" t="n">
        <f aca="false">a25_ni</f>
        <v>1.947</v>
      </c>
      <c r="D93" s="21" t="n">
        <f aca="false">a26_ni</f>
        <v>11.509862075</v>
      </c>
      <c r="E93" s="21" t="n">
        <f aca="false">E91-E92</f>
        <v>18.9763997527127</v>
      </c>
      <c r="F93" s="21" t="n">
        <f aca="false">F91-F92</f>
        <v>20.4577594361679</v>
      </c>
      <c r="G93" s="21" t="n">
        <f aca="false">G91-G92</f>
        <v>20.59188247064</v>
      </c>
      <c r="H93" s="30" t="n">
        <f aca="false">H76*H97</f>
        <v>22.3606049545786</v>
      </c>
      <c r="I93" s="30" t="n">
        <f aca="false">I76*I97</f>
        <v>24.2516370374105</v>
      </c>
      <c r="J93" s="30" t="n">
        <f aca="false">J76*J97</f>
        <v>26.2710763169013</v>
      </c>
    </row>
    <row r="94" customFormat="false" ht="15" hidden="false" customHeight="false" outlineLevel="0" collapsed="false">
      <c r="A94" s="3" t="s">
        <v>653</v>
      </c>
      <c r="B94" s="3" t="s">
        <v>396</v>
      </c>
      <c r="C94" s="29" t="n">
        <f aca="false">a25_sh</f>
        <v>0.646843853820598</v>
      </c>
      <c r="D94" s="29" t="n">
        <f aca="false">a26_sh</f>
        <v>0.645863325123153</v>
      </c>
      <c r="E94" s="29" t="n">
        <f aca="false">a26_shend*(1+sh_g)</f>
        <v>0.64617</v>
      </c>
      <c r="F94" s="29" t="n">
        <f aca="false">E94*(1+sh_g)</f>
        <v>0.64617</v>
      </c>
      <c r="G94" s="29" t="n">
        <f aca="false">F94*(1+sh_g)</f>
        <v>0.64617</v>
      </c>
      <c r="H94" s="31" t="n">
        <f aca="false">G94*(1+sh_g)</f>
        <v>0.64617</v>
      </c>
      <c r="I94" s="31" t="n">
        <f aca="false">H94*(1+sh_g)</f>
        <v>0.64617</v>
      </c>
      <c r="J94" s="31" t="n">
        <f aca="false">I94*(1+sh_g)</f>
        <v>0.64617</v>
      </c>
    </row>
    <row r="95" customFormat="false" ht="17.15" hidden="false" customHeight="false" outlineLevel="0" collapsed="false">
      <c r="A95" s="0" t="s">
        <v>524</v>
      </c>
      <c r="B95" s="0" t="s">
        <v>402</v>
      </c>
      <c r="C95" s="18" t="n">
        <f aca="false">C93/C94</f>
        <v>3.01</v>
      </c>
      <c r="D95" s="18" t="n">
        <f aca="false">D93/D94</f>
        <v>17.820894339844</v>
      </c>
      <c r="E95" s="18" t="n">
        <f aca="false">E93/E94</f>
        <v>29.3675035249434</v>
      </c>
      <c r="F95" s="18" t="n">
        <f aca="false">F93/F94</f>
        <v>31.6600266743548</v>
      </c>
      <c r="G95" s="18" t="n">
        <f aca="false">G93/G94</f>
        <v>31.867592848074</v>
      </c>
      <c r="H95" s="28" t="n">
        <f aca="false">H93/H94</f>
        <v>34.6048330231651</v>
      </c>
      <c r="I95" s="28" t="n">
        <f aca="false">I93/I94</f>
        <v>37.5313571311117</v>
      </c>
      <c r="J95" s="28" t="n">
        <f aca="false">J93/J94</f>
        <v>40.6566016944477</v>
      </c>
    </row>
    <row r="96" customFormat="false" ht="17.15" hidden="false" customHeight="false" outlineLevel="0" collapsed="false">
      <c r="A96" s="0" t="s">
        <v>654</v>
      </c>
      <c r="B96" s="0" t="s">
        <v>40</v>
      </c>
      <c r="D96" s="20" t="n">
        <f aca="false">D95/C95-1</f>
        <v>4.92056290360265</v>
      </c>
      <c r="E96" s="20" t="n">
        <f aca="false">E95/D95-1</f>
        <v>0.647925349026034</v>
      </c>
      <c r="F96" s="20" t="n">
        <f aca="false">F95/E95-1</f>
        <v>0.078063262934972</v>
      </c>
      <c r="G96" s="20" t="n">
        <f aca="false">G95/F95-1</f>
        <v>0.00655609598356244</v>
      </c>
      <c r="H96" s="26" t="n">
        <f aca="false">H95/G95-1</f>
        <v>0.0858941617630351</v>
      </c>
      <c r="I96" s="26" t="n">
        <f aca="false">I95/H95-1</f>
        <v>0.0845698086734763</v>
      </c>
      <c r="J96" s="26" t="n">
        <f aca="false">J95/I95-1</f>
        <v>0.0832702252790458</v>
      </c>
    </row>
    <row r="97" customFormat="false" ht="17.15" hidden="false" customHeight="false" outlineLevel="0" collapsed="false">
      <c r="A97" s="3" t="s">
        <v>655</v>
      </c>
      <c r="B97" s="0" t="s">
        <v>40</v>
      </c>
      <c r="C97" s="16" t="n">
        <f aca="false">C93/C76</f>
        <v>0.0484653872003585</v>
      </c>
      <c r="D97" s="16" t="n">
        <f aca="false">D93/D76</f>
        <v>0.194594602259759</v>
      </c>
      <c r="E97" s="16" t="n">
        <f aca="false">E93/E76</f>
        <v>0.25372460936234</v>
      </c>
      <c r="F97" s="16" t="n">
        <f aca="false">F93/F76</f>
        <v>0.248907077539456</v>
      </c>
      <c r="G97" s="16" t="n">
        <f aca="false">G93/G76</f>
        <v>0.235850052506038</v>
      </c>
      <c r="H97" s="27" t="n">
        <f aca="false">$G97+(fade_mA-$G97)*1/3</f>
        <v>0.241265447582154</v>
      </c>
      <c r="I97" s="27" t="n">
        <f aca="false">$G97+(fade_mA-$G97)*2/3</f>
        <v>0.24668084265827</v>
      </c>
      <c r="J97" s="27" t="n">
        <f aca="false">$G97+(fade_mA-$G97)*3/3</f>
        <v>0.252096237734386</v>
      </c>
    </row>
    <row r="98" customFormat="false" ht="17.15" hidden="false" customHeight="false" outlineLevel="0" collapsed="false">
      <c r="A98" s="3" t="s">
        <v>656</v>
      </c>
      <c r="B98" s="0" t="s">
        <v>40</v>
      </c>
      <c r="C98" s="20" t="n">
        <f aca="false">C81/C76</f>
        <v>0.0602892489980833</v>
      </c>
      <c r="D98" s="20" t="n">
        <f aca="false">D81/D76</f>
        <v>0.0676270839708595</v>
      </c>
      <c r="E98" s="20" t="n">
        <f aca="false">E81/E76</f>
        <v>0.187187484315352</v>
      </c>
      <c r="F98" s="20" t="n">
        <f aca="false">F81/F76</f>
        <v>0.219003816605122</v>
      </c>
      <c r="G98" s="20" t="n">
        <f aca="false">G81/G76</f>
        <v>0.137442539996417</v>
      </c>
      <c r="H98" s="26" t="n">
        <f aca="false">$G98+($G83*(1+tp_g)^(life/2)-$G98)*1/3</f>
        <v>0.131470403638654</v>
      </c>
      <c r="I98" s="26" t="n">
        <f aca="false">$G98+($G83*(1+tp_g)^(life/2)-$G98)*2/3</f>
        <v>0.12549826728089</v>
      </c>
      <c r="J98" s="26" t="n">
        <f aca="false">$G98+($G83*(1+tp_g)^(life/2)-$G98)*3/3</f>
        <v>0.119526130923127</v>
      </c>
      <c r="K98" s="7" t="s">
        <v>657</v>
      </c>
    </row>
    <row r="99" customFormat="false" ht="15" hidden="false" customHeight="false" outlineLevel="0" collapsed="false">
      <c r="A99" s="3" t="s">
        <v>658</v>
      </c>
      <c r="B99" s="0" t="s">
        <v>329</v>
      </c>
      <c r="E99" s="21" t="n">
        <f aca="false">E93+E82-E81</f>
        <v>11.6888997527127</v>
      </c>
      <c r="F99" s="21" t="n">
        <f aca="false">F93+F82-F81</f>
        <v>10.0811969361679</v>
      </c>
      <c r="G99" s="21" t="n">
        <f aca="false">G93+G82-G81</f>
        <v>17.51239028314</v>
      </c>
      <c r="H99" s="30" t="n">
        <f aca="false">H93+H82-H81</f>
        <v>19.645161816737</v>
      </c>
      <c r="I99" s="30" t="n">
        <f aca="false">I93+I82-I81</f>
        <v>21.9583344877284</v>
      </c>
      <c r="J99" s="30" t="n">
        <f aca="false">J93+J82-J81</f>
        <v>24.4625349617627</v>
      </c>
      <c r="K99" s="3" t="s">
        <v>659</v>
      </c>
    </row>
    <row r="100" customFormat="false" ht="15" hidden="false" customHeight="false" outlineLevel="0" collapsed="false">
      <c r="A100" s="3" t="s">
        <v>660</v>
      </c>
      <c r="B100" s="0" t="s">
        <v>402</v>
      </c>
      <c r="E100" s="18" t="n">
        <f aca="false">E99/E94</f>
        <v>18.0895116652161</v>
      </c>
      <c r="F100" s="18" t="n">
        <f aca="false">F99/F94</f>
        <v>15.601462364653</v>
      </c>
      <c r="G100" s="18" t="n">
        <f aca="false">G99/G94</f>
        <v>27.1018312257455</v>
      </c>
      <c r="H100" s="28" t="n">
        <f aca="false">H99/H94</f>
        <v>30.4024665594766</v>
      </c>
      <c r="I100" s="28" t="n">
        <f aca="false">I99/I94</f>
        <v>33.9822871500199</v>
      </c>
      <c r="J100" s="28" t="n">
        <f aca="false">J99/J94</f>
        <v>37.8577386164054</v>
      </c>
    </row>
    <row r="103" customFormat="false" ht="17.15" hidden="false" customHeight="false" outlineLevel="0" collapsed="false">
      <c r="A103" s="1" t="s">
        <v>959</v>
      </c>
    </row>
    <row r="104" customFormat="false" ht="17.15" hidden="false" customHeight="false" outlineLevel="0" collapsed="false">
      <c r="A104" s="4" t="s">
        <v>17</v>
      </c>
      <c r="B104" s="4" t="s">
        <v>18</v>
      </c>
      <c r="C104" s="13" t="s">
        <v>494</v>
      </c>
      <c r="D104" s="13" t="s">
        <v>581</v>
      </c>
      <c r="E104" s="13" t="s">
        <v>582</v>
      </c>
      <c r="F104" s="13" t="s">
        <v>583</v>
      </c>
      <c r="G104" s="13" t="s">
        <v>584</v>
      </c>
      <c r="H104" s="13" t="s">
        <v>585</v>
      </c>
      <c r="I104" s="13" t="s">
        <v>586</v>
      </c>
      <c r="J104" s="13" t="s">
        <v>587</v>
      </c>
      <c r="K104" s="4" t="s">
        <v>549</v>
      </c>
    </row>
    <row r="105" customFormat="false" ht="17.15" hidden="false" customHeight="false" outlineLevel="0" collapsed="false">
      <c r="A105" s="5" t="s">
        <v>605</v>
      </c>
    </row>
    <row r="106" customFormat="false" ht="17.15" hidden="false" customHeight="false" outlineLevel="0" collapsed="false">
      <c r="A106" s="0" t="s">
        <v>606</v>
      </c>
      <c r="B106" s="3" t="s">
        <v>28</v>
      </c>
      <c r="D106" s="21" t="n">
        <f aca="false">(u_bw_26+u_rb_26+u_ru_26+u_hp_26)*1</f>
        <v>7.6</v>
      </c>
      <c r="E106" s="21" t="n">
        <f aca="false">(u_bw_27+u_rb_27+u_ru_27+u_hp_27)*1*1.2</f>
        <v>11.64</v>
      </c>
      <c r="F106" s="21" t="n">
        <f aca="false">(u_bw_28+u_rb_28+u_ru_28+u_hp_28)*um28_A*1.2</f>
        <v>11.4</v>
      </c>
      <c r="G106" s="21" t="n">
        <f aca="false">(u_bw_28*(1+g29_bw)+u_rb_28*(1+g29_rb)+u_ru_28*(1+g29_ru)+u_hp_28*(1+g29_hp))*um29_A*1.2</f>
        <v>12.72</v>
      </c>
      <c r="K106" s="7" t="s">
        <v>607</v>
      </c>
    </row>
    <row r="107" customFormat="false" ht="17.15" hidden="false" customHeight="false" outlineLevel="0" collapsed="false">
      <c r="A107" s="3" t="s">
        <v>608</v>
      </c>
      <c r="B107" s="3" t="s">
        <v>28</v>
      </c>
      <c r="D107" s="21" t="n">
        <f aca="false">(u_amd_26+u_tpu_26+u_trn_26+u_oth_26)*1</f>
        <v>7.6</v>
      </c>
      <c r="E107" s="21" t="n">
        <f aca="false">(u_amd_27+u_tpu_27+u_trn_27+u_oth_27)*1*1.2</f>
        <v>16.8</v>
      </c>
      <c r="F107" s="21" t="n">
        <f aca="false">(u_amd_28+u_tpu_28+u_trn_28+u_oth_28)*um28_A*1.2</f>
        <v>20.4</v>
      </c>
      <c r="G107" s="21" t="n">
        <f aca="false">(u_amd_28*(1+g29_amd)+u_tpu_28*(1+g29_tpu)+u_trn_28*(1+g29_trn)+u_oth_28*(1+g29_oth))*um29_A*1.2</f>
        <v>23.46</v>
      </c>
      <c r="K107" s="7" t="s">
        <v>609</v>
      </c>
    </row>
    <row r="108" customFormat="false" ht="17.15" hidden="false" customHeight="false" outlineLevel="0" collapsed="false">
      <c r="A108" s="3" t="s">
        <v>610</v>
      </c>
      <c r="B108" s="0" t="s">
        <v>150</v>
      </c>
      <c r="D108" s="19" t="n">
        <f aca="false">1</f>
        <v>1</v>
      </c>
      <c r="E108" s="19" t="n">
        <f aca="false">D108*(1+g_asp)</f>
        <v>1.18</v>
      </c>
      <c r="F108" s="19" t="n">
        <f aca="false">E108*(1+g_asp)</f>
        <v>1.3924</v>
      </c>
      <c r="G108" s="19" t="n">
        <f aca="false">F108*(1+g_asp)</f>
        <v>1.643032</v>
      </c>
      <c r="K108" s="7" t="s">
        <v>611</v>
      </c>
    </row>
    <row r="109" customFormat="false" ht="17.15" hidden="false" customHeight="false" outlineLevel="0" collapsed="false">
      <c r="A109" s="0" t="s">
        <v>612</v>
      </c>
      <c r="B109" s="0" t="s">
        <v>150</v>
      </c>
      <c r="D109" s="18" t="n">
        <f aca="false">1</f>
        <v>1</v>
      </c>
      <c r="E109" s="18" t="n">
        <f aca="false">ibpp_27</f>
        <v>1</v>
      </c>
      <c r="F109" s="18" t="n">
        <f aca="false">ibpp_28</f>
        <v>0.95</v>
      </c>
      <c r="G109" s="18" t="n">
        <f aca="false">ibpp_29</f>
        <v>0.9</v>
      </c>
      <c r="K109" s="7" t="s">
        <v>613</v>
      </c>
    </row>
    <row r="110" customFormat="false" ht="17.15" hidden="false" customHeight="false" outlineLevel="0" collapsed="false">
      <c r="A110" s="3" t="s">
        <v>614</v>
      </c>
      <c r="B110" s="0" t="s">
        <v>150</v>
      </c>
      <c r="D110" s="18" t="n">
        <f aca="false">1</f>
        <v>1</v>
      </c>
      <c r="E110" s="18" t="n">
        <f aca="false">1+carry</f>
        <v>1.15</v>
      </c>
      <c r="F110" s="18" t="n">
        <f aca="false">1+carry</f>
        <v>1.15</v>
      </c>
      <c r="G110" s="18" t="n">
        <f aca="false">1+carry</f>
        <v>1.15</v>
      </c>
      <c r="K110" s="7" t="s">
        <v>615</v>
      </c>
    </row>
    <row r="111" customFormat="false" ht="17.15" hidden="false" customHeight="false" outlineLevel="0" collapsed="false">
      <c r="A111" s="3" t="s">
        <v>616</v>
      </c>
      <c r="B111" s="0" t="s">
        <v>617</v>
      </c>
      <c r="D111" s="23" t="n">
        <f aca="false">v26*D108*D109</f>
        <v>215.308596</v>
      </c>
      <c r="E111" s="23" t="n">
        <f aca="false">v26*E108*E109</f>
        <v>254.06414328</v>
      </c>
      <c r="F111" s="23" t="n">
        <f aca="false">v26*F108*F109</f>
        <v>284.80590461688</v>
      </c>
      <c r="G111" s="23" t="n">
        <f aca="false">v26*G108*G109</f>
        <v>318.383021792765</v>
      </c>
      <c r="K111" s="7" t="s">
        <v>618</v>
      </c>
    </row>
    <row r="112" customFormat="false" ht="17.15" hidden="false" customHeight="false" outlineLevel="0" collapsed="false">
      <c r="A112" s="3" t="s">
        <v>619</v>
      </c>
      <c r="B112" s="0" t="s">
        <v>40</v>
      </c>
      <c r="D112" s="20" t="n">
        <f aca="false">sh_nv_26</f>
        <v>0.02</v>
      </c>
      <c r="E112" s="20" t="n">
        <f aca="false">sh_nv_27</f>
        <v>0.03</v>
      </c>
      <c r="F112" s="20" t="n">
        <f aca="false">sh_nv_28</f>
        <v>0.04</v>
      </c>
      <c r="G112" s="20" t="n">
        <f aca="false">sh_nv_29</f>
        <v>0.04</v>
      </c>
    </row>
    <row r="113" customFormat="false" ht="17.15" hidden="false" customHeight="false" outlineLevel="0" collapsed="false">
      <c r="A113" s="3" t="s">
        <v>620</v>
      </c>
      <c r="B113" s="0" t="s">
        <v>40</v>
      </c>
      <c r="D113" s="20" t="n">
        <f aca="false">sh_ot_26</f>
        <v>0.05</v>
      </c>
      <c r="E113" s="20" t="n">
        <f aca="false">sh_ot_27</f>
        <v>0.06</v>
      </c>
      <c r="F113" s="20" t="n">
        <f aca="false">sh_ot_28</f>
        <v>0.07</v>
      </c>
      <c r="G113" s="20" t="n">
        <f aca="false">sh_ot_29</f>
        <v>0.07</v>
      </c>
    </row>
    <row r="114" customFormat="false" ht="17.15" hidden="false" customHeight="false" outlineLevel="0" collapsed="false">
      <c r="A114" s="3" t="s">
        <v>621</v>
      </c>
      <c r="B114" s="0" t="s">
        <v>571</v>
      </c>
      <c r="D114" s="22" t="n">
        <f aca="false">(D106*D111*D112+D107*D111*v_ot*D113)*D110</f>
        <v>98.180719776</v>
      </c>
      <c r="E114" s="22" t="n">
        <f aca="false">(E106*E111*E112+E107*E111*v_ot*E113)*E110</f>
        <v>337.636002570523</v>
      </c>
      <c r="F114" s="22" t="n">
        <f aca="false">(F106*F111*F112+F107*F111*v_ot*F113)*F110</f>
        <v>523.518821630564</v>
      </c>
      <c r="G114" s="22" t="n">
        <f aca="false">(G106*G111*G112+G107*G111*v_ot*G113)*G110</f>
        <v>667.312984228415</v>
      </c>
    </row>
    <row r="115" customFormat="false" ht="15" hidden="false" customHeight="false" outlineLevel="0" collapsed="false">
      <c r="A115" s="3" t="s">
        <v>622</v>
      </c>
      <c r="B115" s="0" t="s">
        <v>329</v>
      </c>
      <c r="D115" s="21" t="n">
        <f aca="false">D114*fx/1000</f>
        <v>3.19087339272</v>
      </c>
      <c r="E115" s="21" t="n">
        <f aca="false">E114*fx/1000</f>
        <v>10.973170083542</v>
      </c>
      <c r="F115" s="21" t="n">
        <f aca="false">F114*fx/1000</f>
        <v>17.0143617029933</v>
      </c>
      <c r="G115" s="21" t="n">
        <f aca="false">G114*fx/1000</f>
        <v>21.6876719874235</v>
      </c>
    </row>
    <row r="116" customFormat="false" ht="17.15" hidden="false" customHeight="false" outlineLevel="0" collapsed="false">
      <c r="A116" s="5" t="s">
        <v>623</v>
      </c>
    </row>
    <row r="117" customFormat="false" ht="17.15" hidden="false" customHeight="false" outlineLevel="0" collapsed="false">
      <c r="A117" s="0" t="s">
        <v>624</v>
      </c>
      <c r="B117" s="0" t="s">
        <v>329</v>
      </c>
      <c r="D117" s="21" t="n">
        <f aca="false">a26_abf*ai_abf</f>
        <v>22.2987583</v>
      </c>
      <c r="K117" s="3" t="s">
        <v>625</v>
      </c>
    </row>
    <row r="118" customFormat="false" ht="17.15" hidden="false" customHeight="false" outlineLevel="0" collapsed="false">
      <c r="A118" s="3" t="s">
        <v>626</v>
      </c>
      <c r="B118" s="0" t="s">
        <v>329</v>
      </c>
      <c r="D118" s="21" t="n">
        <f aca="false">D117-D115</f>
        <v>19.10788490728</v>
      </c>
      <c r="E118" s="21" t="n">
        <f aca="false">$D118*(swm_27/swm_26)^el_o*1*1.2*E109*E110</f>
        <v>36.8824913973918</v>
      </c>
      <c r="F118" s="21" t="n">
        <f aca="false">$D118*(swm_28/swm_26)^el_o*um28_A*1.2*F109*F110</f>
        <v>37.6924802562245</v>
      </c>
      <c r="G118" s="21" t="n">
        <f aca="false">$D118*(swm_29/swm_26)^el_o*um29_A*1.2*G109*G110</f>
        <v>38.094289546725</v>
      </c>
      <c r="K118" s="7" t="s">
        <v>627</v>
      </c>
    </row>
    <row r="119" customFormat="false" ht="17.15" hidden="false" customHeight="false" outlineLevel="0" collapsed="false">
      <c r="A119" s="3" t="s">
        <v>628</v>
      </c>
      <c r="B119" s="0" t="s">
        <v>329</v>
      </c>
      <c r="D119" s="21" t="n">
        <f aca="false">a26_abf-D117</f>
        <v>12.0070237</v>
      </c>
      <c r="E119" s="21" t="n">
        <f aca="false">D119*(1+g_nai)</f>
        <v>12.367234411</v>
      </c>
      <c r="F119" s="21" t="n">
        <f aca="false">E119*(1+g_nai)</f>
        <v>12.73825144333</v>
      </c>
      <c r="G119" s="21" t="n">
        <f aca="false">F119*(1+g_nai)</f>
        <v>13.1203989866299</v>
      </c>
    </row>
    <row r="120" customFormat="false" ht="17.15" hidden="false" customHeight="false" outlineLevel="0" collapsed="false">
      <c r="A120" s="0" t="s">
        <v>629</v>
      </c>
      <c r="B120" s="0" t="s">
        <v>329</v>
      </c>
      <c r="D120" s="21" t="n">
        <f aca="false">D115+D118+D119</f>
        <v>34.305782</v>
      </c>
      <c r="E120" s="21" t="n">
        <f aca="false">E115+E118+E119</f>
        <v>60.2228958919338</v>
      </c>
      <c r="F120" s="21" t="n">
        <f aca="false">F115+F118+F119</f>
        <v>67.4450934025479</v>
      </c>
      <c r="G120" s="21" t="n">
        <f aca="false">G115+G118+G119</f>
        <v>72.9023605207783</v>
      </c>
    </row>
    <row r="121" customFormat="false" ht="17.15" hidden="false" customHeight="false" outlineLevel="0" collapsed="false">
      <c r="A121" s="0" t="s">
        <v>630</v>
      </c>
      <c r="B121" s="0" t="s">
        <v>329</v>
      </c>
      <c r="D121" s="21" t="n">
        <f aca="false">a26_abf</f>
        <v>34.305782</v>
      </c>
      <c r="E121" s="21" t="n">
        <f aca="false">$D120*cap_27*(1+g_mix)^1*E109*E110</f>
        <v>49.709078118</v>
      </c>
      <c r="F121" s="21" t="n">
        <f aca="false">$D120*cap_28*(1+g_mix)^2*F109*F110</f>
        <v>55.7829061005431</v>
      </c>
      <c r="G121" s="21" t="n">
        <f aca="false">$D120*cap_29*(1+g_mix)^3*G109*G110</f>
        <v>65.765110350114</v>
      </c>
      <c r="K121" s="7" t="s">
        <v>631</v>
      </c>
    </row>
    <row r="122" customFormat="false" ht="17.15" hidden="false" customHeight="false" outlineLevel="0" collapsed="false">
      <c r="A122" s="0" t="s">
        <v>632</v>
      </c>
      <c r="B122" s="0" t="s">
        <v>329</v>
      </c>
      <c r="D122" s="21" t="n">
        <f aca="false">a26_abf</f>
        <v>34.305782</v>
      </c>
      <c r="E122" s="21" t="n">
        <f aca="false">MIN(E120,E121)</f>
        <v>49.709078118</v>
      </c>
      <c r="F122" s="21" t="n">
        <f aca="false">MIN(F120,F121)</f>
        <v>55.7829061005431</v>
      </c>
      <c r="G122" s="21" t="n">
        <f aca="false">MIN(G120,G121)</f>
        <v>65.765110350114</v>
      </c>
    </row>
    <row r="123" customFormat="false" ht="17.15" hidden="false" customHeight="false" outlineLevel="0" collapsed="false">
      <c r="A123" s="3" t="s">
        <v>633</v>
      </c>
      <c r="B123" s="0" t="s">
        <v>40</v>
      </c>
      <c r="D123" s="20" t="n">
        <f aca="false">D122/D120</f>
        <v>1</v>
      </c>
      <c r="E123" s="20" t="n">
        <f aca="false">E122/E120</f>
        <v>0.825418262967624</v>
      </c>
      <c r="F123" s="20" t="n">
        <f aca="false">F122/F120</f>
        <v>0.827086201328262</v>
      </c>
      <c r="G123" s="20" t="n">
        <f aca="false">G122/G120</f>
        <v>0.902098503811408</v>
      </c>
    </row>
    <row r="124" customFormat="false" ht="17.15" hidden="false" customHeight="false" outlineLevel="0" collapsed="false">
      <c r="A124" s="0" t="s">
        <v>634</v>
      </c>
      <c r="B124" s="0" t="s">
        <v>329</v>
      </c>
      <c r="D124" s="21" t="n">
        <f aca="false">(D115+D118)*D123</f>
        <v>22.2987583</v>
      </c>
      <c r="E124" s="21" t="n">
        <f aca="false">(E115+E118)*E123</f>
        <v>39.500936972759</v>
      </c>
      <c r="F124" s="21" t="n">
        <f aca="false">(F115+F118)*F123</f>
        <v>45.2472741027151</v>
      </c>
      <c r="G124" s="21" t="n">
        <f aca="false">(G115+G118)*G123</f>
        <v>53.9292180548665</v>
      </c>
    </row>
    <row r="125" customFormat="false" ht="17.15" hidden="false" customHeight="false" outlineLevel="0" collapsed="false">
      <c r="A125" s="3" t="s">
        <v>635</v>
      </c>
      <c r="B125" s="0" t="s">
        <v>40</v>
      </c>
      <c r="D125" s="20" t="n">
        <f aca="false">D115/(D115+D118)</f>
        <v>0.14309646078903</v>
      </c>
      <c r="E125" s="20" t="n">
        <f aca="false">E115/(E115+E118)</f>
        <v>0.2292972188445</v>
      </c>
      <c r="F125" s="20" t="n">
        <f aca="false">F115/(F115+F118)</f>
        <v>0.311009758444419</v>
      </c>
      <c r="G125" s="20" t="n">
        <f aca="false">G115/(G115+G118)</f>
        <v>0.362779531331288</v>
      </c>
    </row>
    <row r="126" customFormat="false" ht="17.15" hidden="false" customHeight="false" outlineLevel="0" collapsed="false">
      <c r="A126" s="5" t="s">
        <v>636</v>
      </c>
    </row>
    <row r="127" customFormat="false" ht="17.15" hidden="false" customHeight="false" outlineLevel="0" collapsed="false">
      <c r="A127" s="0" t="s">
        <v>637</v>
      </c>
      <c r="B127" s="0" t="s">
        <v>329</v>
      </c>
      <c r="D127" s="21" t="n">
        <f aca="false">a26_bt</f>
        <v>18.927328</v>
      </c>
      <c r="E127" s="21" t="n">
        <f aca="false">D127*(1+g_bt27_A)</f>
        <v>24.6055264</v>
      </c>
      <c r="F127" s="21" t="n">
        <f aca="false">E127*(1+g_bt28_A)</f>
        <v>27.06607904</v>
      </c>
      <c r="G127" s="21" t="n">
        <f aca="false">F127*(1+g_bt29_A)</f>
        <v>28.419382992</v>
      </c>
      <c r="K127" s="7" t="s">
        <v>638</v>
      </c>
    </row>
    <row r="128" customFormat="false" ht="17.15" hidden="false" customHeight="false" outlineLevel="0" collapsed="false">
      <c r="A128" s="0" t="s">
        <v>536</v>
      </c>
      <c r="B128" s="0" t="s">
        <v>329</v>
      </c>
      <c r="D128" s="21" t="n">
        <f aca="false">a26_pcb</f>
        <v>5.91479</v>
      </c>
      <c r="E128" s="21" t="n">
        <f aca="false">D128*(1+g_pcb)</f>
        <v>5.91479</v>
      </c>
      <c r="F128" s="21" t="n">
        <f aca="false">E128*(1+g_pcb)</f>
        <v>5.91479</v>
      </c>
      <c r="G128" s="21" t="n">
        <f aca="false">F128*(1+g_pcb)</f>
        <v>5.91479</v>
      </c>
    </row>
    <row r="129" customFormat="false" ht="17.15" hidden="false" customHeight="false" outlineLevel="0" collapsed="false">
      <c r="A129" s="3" t="s">
        <v>501</v>
      </c>
      <c r="B129" s="0" t="s">
        <v>329</v>
      </c>
      <c r="C129" s="23" t="n">
        <f aca="false">a25_rev</f>
        <v>40.173</v>
      </c>
      <c r="D129" s="23" t="n">
        <f aca="false">D122+D127+D128</f>
        <v>59.1479</v>
      </c>
      <c r="E129" s="23" t="n">
        <f aca="false">E122+E127+E128</f>
        <v>80.229394518</v>
      </c>
      <c r="F129" s="23" t="n">
        <f aca="false">F122+F127+F128</f>
        <v>88.7637751405431</v>
      </c>
      <c r="G129" s="23" t="n">
        <f aca="false">G122+G127+G128</f>
        <v>100.099283342114</v>
      </c>
      <c r="H129" s="25" t="n">
        <f aca="false">G129*(1+H130)</f>
        <v>110.623335925701</v>
      </c>
      <c r="I129" s="25" t="n">
        <f aca="false">H129*(1+I130)</f>
        <v>119.757291444787</v>
      </c>
      <c r="J129" s="25" t="n">
        <f aca="false">I129*(1+J130)</f>
        <v>126.942728931474</v>
      </c>
      <c r="K129" s="7" t="s">
        <v>639</v>
      </c>
    </row>
    <row r="130" customFormat="false" ht="15" hidden="false" customHeight="false" outlineLevel="0" collapsed="false">
      <c r="A130" s="3" t="s">
        <v>640</v>
      </c>
      <c r="B130" s="0" t="s">
        <v>40</v>
      </c>
      <c r="D130" s="20" t="n">
        <f aca="false">D129/C129-1</f>
        <v>0.472329674159261</v>
      </c>
      <c r="E130" s="20" t="n">
        <f aca="false">E129/D129-1</f>
        <v>0.35642</v>
      </c>
      <c r="F130" s="20" t="n">
        <f aca="false">F129/E129-1</f>
        <v>0.106374735517023</v>
      </c>
      <c r="G130" s="20" t="n">
        <f aca="false">G129/F129-1</f>
        <v>0.127704214738759</v>
      </c>
      <c r="H130" s="26" t="n">
        <f aca="false">$G130+(fade_gA-$G130)*1/3</f>
        <v>0.105136143159173</v>
      </c>
      <c r="I130" s="26" t="n">
        <f aca="false">$G130+(fade_gA-$G130)*2/3</f>
        <v>0.0825680715795865</v>
      </c>
      <c r="J130" s="26" t="n">
        <f aca="false">$G130+(fade_gA-$G130)*3/3</f>
        <v>0.06</v>
      </c>
    </row>
    <row r="131" customFormat="false" ht="17.15" hidden="false" customHeight="false" outlineLevel="0" collapsed="false">
      <c r="A131" s="0" t="s">
        <v>641</v>
      </c>
      <c r="B131" s="0" t="s">
        <v>40</v>
      </c>
      <c r="D131" s="20" t="n">
        <f aca="false">D122/D129</f>
        <v>0.58</v>
      </c>
      <c r="E131" s="20" t="n">
        <f aca="false">E122/E129</f>
        <v>0.619586853629407</v>
      </c>
      <c r="F131" s="20" t="n">
        <f aca="false">F122/F129</f>
        <v>0.62844224473576</v>
      </c>
      <c r="G131" s="20" t="n">
        <f aca="false">G122/G129</f>
        <v>0.656998813121823</v>
      </c>
    </row>
    <row r="132" customFormat="false" ht="17.15" hidden="false" customHeight="false" outlineLevel="0" collapsed="false">
      <c r="A132" s="0" t="s">
        <v>642</v>
      </c>
      <c r="B132" s="0" t="s">
        <v>40</v>
      </c>
      <c r="D132" s="20" t="n">
        <f aca="false">D124/D129</f>
        <v>0.377</v>
      </c>
      <c r="E132" s="20" t="n">
        <f aca="false">E124/E129</f>
        <v>0.492349932466419</v>
      </c>
      <c r="F132" s="20" t="n">
        <f aca="false">F124/F129</f>
        <v>0.509749320948476</v>
      </c>
      <c r="G132" s="20" t="n">
        <f aca="false">G124/G129</f>
        <v>0.538757284310918</v>
      </c>
      <c r="K132" s="3" t="s">
        <v>643</v>
      </c>
    </row>
    <row r="133" customFormat="false" ht="17.15" hidden="false" customHeight="false" outlineLevel="0" collapsed="false">
      <c r="A133" s="5" t="s">
        <v>644</v>
      </c>
    </row>
    <row r="134" customFormat="false" ht="15" hidden="false" customHeight="false" outlineLevel="0" collapsed="false">
      <c r="A134" s="3" t="s">
        <v>645</v>
      </c>
      <c r="B134" s="0" t="s">
        <v>329</v>
      </c>
      <c r="C134" s="23" t="n">
        <f aca="false">a25_cx</f>
        <v>2.422</v>
      </c>
      <c r="D134" s="23" t="n">
        <f aca="false">capex26</f>
        <v>4</v>
      </c>
      <c r="E134" s="23" t="n">
        <f aca="false">cx27</f>
        <v>14</v>
      </c>
      <c r="F134" s="23" t="n">
        <f aca="false">cx28</f>
        <v>18</v>
      </c>
      <c r="G134" s="23" t="n">
        <f aca="false">cx29</f>
        <v>12</v>
      </c>
      <c r="H134" s="25" t="n">
        <f aca="false">H129*H151</f>
        <v>12.6853908393069</v>
      </c>
      <c r="I134" s="25" t="n">
        <f aca="false">I129*I151</f>
        <v>13.1089769562909</v>
      </c>
      <c r="J134" s="25" t="n">
        <f aca="false">J129*J151</f>
        <v>13.2342641033063</v>
      </c>
    </row>
    <row r="135" customFormat="false" ht="17.15" hidden="false" customHeight="false" outlineLevel="0" collapsed="false">
      <c r="A135" s="3" t="s">
        <v>646</v>
      </c>
      <c r="B135" s="0" t="s">
        <v>329</v>
      </c>
      <c r="C135" s="23" t="n">
        <f aca="false">a25_da</f>
        <v>6.894</v>
      </c>
      <c r="D135" s="23" t="n">
        <f aca="false">da26</f>
        <v>7.1</v>
      </c>
      <c r="E135" s="23" t="n">
        <f aca="false">D135*(1-1/life)+D134/life</f>
        <v>6.7125</v>
      </c>
      <c r="F135" s="23" t="n">
        <f aca="false">E135*(1-1/life)+E134/life</f>
        <v>7.6234375</v>
      </c>
      <c r="G135" s="23" t="n">
        <f aca="false">F135*(1-1/life)+F134/life</f>
        <v>8.9205078125</v>
      </c>
      <c r="H135" s="25" t="n">
        <f aca="false">H129*H136</f>
        <v>9.85837559892752</v>
      </c>
      <c r="I135" s="25" t="n">
        <f aca="false">I129*I136</f>
        <v>10.6723626610382</v>
      </c>
      <c r="J135" s="25" t="n">
        <f aca="false">J129*J136</f>
        <v>11.3127044207005</v>
      </c>
      <c r="K135" s="3" t="s">
        <v>647</v>
      </c>
    </row>
    <row r="136" customFormat="false" ht="17.15" hidden="false" customHeight="false" outlineLevel="0" collapsed="false">
      <c r="A136" s="3" t="s">
        <v>648</v>
      </c>
      <c r="B136" s="0" t="s">
        <v>40</v>
      </c>
      <c r="C136" s="20" t="n">
        <f aca="false">C135/C129</f>
        <v>0.171607796281084</v>
      </c>
      <c r="D136" s="20" t="n">
        <f aca="false">D135/D129</f>
        <v>0.120038074048276</v>
      </c>
      <c r="E136" s="20" t="n">
        <f aca="false">E135/E129</f>
        <v>0.0836663424961285</v>
      </c>
      <c r="F136" s="20" t="n">
        <f aca="false">F135/F129</f>
        <v>0.0858845569369883</v>
      </c>
      <c r="G136" s="20" t="n">
        <f aca="false">G135/G129</f>
        <v>0.089116600185957</v>
      </c>
      <c r="H136" s="26" t="n">
        <f aca="false">$G136</f>
        <v>0.089116600185957</v>
      </c>
      <c r="I136" s="26" t="n">
        <f aca="false">$G136</f>
        <v>0.089116600185957</v>
      </c>
      <c r="J136" s="26" t="n">
        <f aca="false">$G136</f>
        <v>0.089116600185957</v>
      </c>
    </row>
    <row r="137" customFormat="false" ht="17.15" hidden="false" customHeight="false" outlineLevel="0" collapsed="false">
      <c r="A137" s="3" t="s">
        <v>649</v>
      </c>
      <c r="B137" s="0" t="s">
        <v>329</v>
      </c>
      <c r="E137" s="21" t="n">
        <f aca="false">E124*(1-1/(E109*E110))</f>
        <v>5.1522961268816</v>
      </c>
      <c r="F137" s="21" t="n">
        <f aca="false">F124*(1-1/(F109*F110))</f>
        <v>3.8310049011452</v>
      </c>
      <c r="G137" s="21" t="n">
        <f aca="false">G124*(1-1/(G109*G110))</f>
        <v>1.82369336417422</v>
      </c>
      <c r="K137" s="7" t="s">
        <v>650</v>
      </c>
    </row>
    <row r="138" customFormat="false" ht="17.15" hidden="false" customHeight="false" outlineLevel="0" collapsed="false">
      <c r="A138" s="3" t="s">
        <v>651</v>
      </c>
      <c r="B138" s="0" t="s">
        <v>329</v>
      </c>
      <c r="C138" s="21" t="n">
        <f aca="false">a25_gp</f>
        <v>3.647</v>
      </c>
      <c r="D138" s="21" t="n">
        <f aca="false">a26_gp</f>
        <v>15.9001925</v>
      </c>
      <c r="E138" s="21" t="n">
        <f aca="false">$D138+ft_abf*(E122-E137-$D122)+ft_oth*((E129-E122)-($D129-$D122))+E137-(E135-$D135)</f>
        <v>28.8367679824408</v>
      </c>
      <c r="F138" s="21" t="n">
        <f aca="false">$D138+ft_abf*(F122-F137-$D122)+ft_oth*((F129-F122)-($D129-$D122))+F137-(F135-$D135)</f>
        <v>31.2863199168442</v>
      </c>
      <c r="G138" s="21" t="n">
        <f aca="false">$D138+ft_abf*(G122-G137-$D122)+ft_oth*((G129-G122)-($D129-$D122))+G137-(G135-$D135)</f>
        <v>34.5180175414441</v>
      </c>
      <c r="K138" s="3" t="s">
        <v>652</v>
      </c>
    </row>
    <row r="139" customFormat="false" ht="15" hidden="false" customHeight="false" outlineLevel="0" collapsed="false">
      <c r="A139" s="3" t="s">
        <v>508</v>
      </c>
      <c r="B139" s="0" t="s">
        <v>40</v>
      </c>
      <c r="C139" s="16" t="n">
        <f aca="false">C138/C129</f>
        <v>0.0907823662659</v>
      </c>
      <c r="D139" s="16" t="n">
        <f aca="false">D138/D129</f>
        <v>0.268820913337583</v>
      </c>
      <c r="E139" s="16" t="n">
        <f aca="false">E138/E129</f>
        <v>0.35942896186224</v>
      </c>
      <c r="F139" s="16" t="n">
        <f aca="false">F138/F129</f>
        <v>0.352467207115823</v>
      </c>
      <c r="G139" s="16" t="n">
        <f aca="false">G138/G129</f>
        <v>0.34483780891288</v>
      </c>
    </row>
    <row r="140" customFormat="false" ht="15" hidden="false" customHeight="false" outlineLevel="0" collapsed="false">
      <c r="A140" s="3" t="s">
        <v>510</v>
      </c>
      <c r="B140" s="0" t="s">
        <v>329</v>
      </c>
      <c r="C140" s="21" t="n">
        <f aca="false">a25_opx</f>
        <v>1.665</v>
      </c>
      <c r="D140" s="21" t="n">
        <f aca="false">a26_opx</f>
        <v>1.9</v>
      </c>
      <c r="E140" s="21" t="n">
        <f aca="false">D140*(1+phi*E130)</f>
        <v>2.3063188</v>
      </c>
      <c r="F140" s="21" t="n">
        <f aca="false">E140*(1+phi*F130)</f>
        <v>2.45351923142076</v>
      </c>
      <c r="G140" s="21" t="n">
        <f aca="false">F140*(1+phi*G130)</f>
        <v>2.64151407949778</v>
      </c>
    </row>
    <row r="141" customFormat="false" ht="15" hidden="false" customHeight="false" outlineLevel="0" collapsed="false">
      <c r="A141" s="3" t="s">
        <v>513</v>
      </c>
      <c r="B141" s="0" t="s">
        <v>329</v>
      </c>
      <c r="C141" s="21" t="n">
        <f aca="false">C138-C140</f>
        <v>1.982</v>
      </c>
      <c r="D141" s="21" t="n">
        <f aca="false">D138-D140</f>
        <v>14.0001925</v>
      </c>
      <c r="E141" s="21" t="n">
        <f aca="false">E138-E140</f>
        <v>26.5304491824408</v>
      </c>
      <c r="F141" s="21" t="n">
        <f aca="false">F138-F140</f>
        <v>28.8328006854234</v>
      </c>
      <c r="G141" s="21" t="n">
        <f aca="false">G138-G140</f>
        <v>31.8765034619463</v>
      </c>
    </row>
    <row r="142" customFormat="false" ht="15" hidden="false" customHeight="false" outlineLevel="0" collapsed="false">
      <c r="A142" s="3" t="s">
        <v>594</v>
      </c>
      <c r="B142" s="0" t="s">
        <v>40</v>
      </c>
      <c r="C142" s="16" t="n">
        <f aca="false">C141/C129</f>
        <v>0.0493366191222961</v>
      </c>
      <c r="D142" s="16" t="n">
        <f aca="false">D141/D129</f>
        <v>0.236698048451424</v>
      </c>
      <c r="E142" s="16" t="n">
        <f aca="false">E141/E129</f>
        <v>0.330682405642342</v>
      </c>
      <c r="F142" s="16" t="n">
        <f aca="false">F141/F129</f>
        <v>0.324826210239158</v>
      </c>
      <c r="G142" s="16" t="n">
        <f aca="false">G141/G129</f>
        <v>0.318448867940448</v>
      </c>
    </row>
    <row r="143" customFormat="false" ht="15" hidden="false" customHeight="false" outlineLevel="0" collapsed="false">
      <c r="A143" s="3" t="s">
        <v>516</v>
      </c>
      <c r="B143" s="0" t="s">
        <v>329</v>
      </c>
      <c r="C143" s="21" t="n">
        <f aca="false">a25_nonop</f>
        <v>0.364</v>
      </c>
      <c r="D143" s="21" t="n">
        <f aca="false">a26_nonop</f>
        <v>0.623</v>
      </c>
      <c r="E143" s="21" t="n">
        <f aca="false">nonop27</f>
        <v>0.6</v>
      </c>
      <c r="F143" s="21" t="n">
        <f aca="false">nonop28</f>
        <v>0.6</v>
      </c>
      <c r="G143" s="21" t="n">
        <f aca="false">nonop29</f>
        <v>0.6</v>
      </c>
    </row>
    <row r="144" customFormat="false" ht="15" hidden="false" customHeight="false" outlineLevel="0" collapsed="false">
      <c r="A144" s="3" t="s">
        <v>518</v>
      </c>
      <c r="B144" s="0" t="s">
        <v>329</v>
      </c>
      <c r="C144" s="21" t="n">
        <f aca="false">C141+C143</f>
        <v>2.346</v>
      </c>
      <c r="D144" s="21" t="n">
        <f aca="false">D141+D143</f>
        <v>14.6231925</v>
      </c>
      <c r="E144" s="21" t="n">
        <f aca="false">E141+E143</f>
        <v>27.1304491824408</v>
      </c>
      <c r="F144" s="21" t="n">
        <f aca="false">F141+F143</f>
        <v>29.4328006854234</v>
      </c>
      <c r="G144" s="21" t="n">
        <f aca="false">G141+G143</f>
        <v>32.4765034619463</v>
      </c>
    </row>
    <row r="145" customFormat="false" ht="15" hidden="false" customHeight="false" outlineLevel="0" collapsed="false">
      <c r="A145" s="3" t="s">
        <v>521</v>
      </c>
      <c r="B145" s="0" t="s">
        <v>329</v>
      </c>
      <c r="E145" s="21" t="n">
        <f aca="false">E144*tax</f>
        <v>5.69739432831257</v>
      </c>
      <c r="F145" s="21" t="n">
        <f aca="false">F144*tax</f>
        <v>6.18088814393892</v>
      </c>
      <c r="G145" s="21" t="n">
        <f aca="false">G144*tax</f>
        <v>6.82006572700873</v>
      </c>
    </row>
    <row r="146" customFormat="false" ht="15" hidden="false" customHeight="false" outlineLevel="0" collapsed="false">
      <c r="A146" s="3" t="s">
        <v>519</v>
      </c>
      <c r="B146" s="0" t="s">
        <v>329</v>
      </c>
      <c r="C146" s="21" t="n">
        <f aca="false">a25_ni</f>
        <v>1.947</v>
      </c>
      <c r="D146" s="21" t="n">
        <f aca="false">a26_ni</f>
        <v>11.509862075</v>
      </c>
      <c r="E146" s="21" t="n">
        <f aca="false">E144-E145</f>
        <v>21.4330548541282</v>
      </c>
      <c r="F146" s="21" t="n">
        <f aca="false">F144-F145</f>
        <v>23.2519125414845</v>
      </c>
      <c r="G146" s="21" t="n">
        <f aca="false">G144-G145</f>
        <v>25.6564377349376</v>
      </c>
      <c r="H146" s="30" t="n">
        <f aca="false">H129*H150</f>
        <v>28.1984800278937</v>
      </c>
      <c r="I146" s="30" t="n">
        <f aca="false">I129*I150</f>
        <v>30.3585683798818</v>
      </c>
      <c r="J146" s="30" t="n">
        <f aca="false">J129*J150</f>
        <v>32.0017843713606</v>
      </c>
    </row>
    <row r="147" customFormat="false" ht="15" hidden="false" customHeight="false" outlineLevel="0" collapsed="false">
      <c r="A147" s="3" t="s">
        <v>653</v>
      </c>
      <c r="B147" s="3" t="s">
        <v>396</v>
      </c>
      <c r="C147" s="29" t="n">
        <f aca="false">a25_sh</f>
        <v>0.646843853820598</v>
      </c>
      <c r="D147" s="29" t="n">
        <f aca="false">a26_sh</f>
        <v>0.645863325123153</v>
      </c>
      <c r="E147" s="29" t="n">
        <f aca="false">a26_shend*(1+sh_g)</f>
        <v>0.64617</v>
      </c>
      <c r="F147" s="29" t="n">
        <f aca="false">E147*(1+sh_g)</f>
        <v>0.64617</v>
      </c>
      <c r="G147" s="29" t="n">
        <f aca="false">F147*(1+sh_g)</f>
        <v>0.64617</v>
      </c>
      <c r="H147" s="31" t="n">
        <f aca="false">G147*(1+sh_g)</f>
        <v>0.64617</v>
      </c>
      <c r="I147" s="31" t="n">
        <f aca="false">H147*(1+sh_g)</f>
        <v>0.64617</v>
      </c>
      <c r="J147" s="31" t="n">
        <f aca="false">I147*(1+sh_g)</f>
        <v>0.64617</v>
      </c>
    </row>
    <row r="148" customFormat="false" ht="17.15" hidden="false" customHeight="false" outlineLevel="0" collapsed="false">
      <c r="A148" s="0" t="s">
        <v>524</v>
      </c>
      <c r="B148" s="0" t="s">
        <v>402</v>
      </c>
      <c r="C148" s="18" t="n">
        <f aca="false">C146/C147</f>
        <v>3.01</v>
      </c>
      <c r="D148" s="18" t="n">
        <f aca="false">D146/D147</f>
        <v>17.820894339844</v>
      </c>
      <c r="E148" s="18" t="n">
        <f aca="false">E146/E147</f>
        <v>33.1693747065451</v>
      </c>
      <c r="F148" s="18" t="n">
        <f aca="false">F146/F147</f>
        <v>35.9842031376952</v>
      </c>
      <c r="G148" s="18" t="n">
        <f aca="false">G146/G147</f>
        <v>39.7053990976641</v>
      </c>
      <c r="H148" s="28" t="n">
        <f aca="false">H146/H147</f>
        <v>43.6394138197281</v>
      </c>
      <c r="I148" s="28" t="n">
        <f aca="false">I146/I147</f>
        <v>46.9823241250472</v>
      </c>
      <c r="J148" s="28" t="n">
        <f aca="false">J146/J147</f>
        <v>49.5253329175923</v>
      </c>
    </row>
    <row r="149" customFormat="false" ht="17.15" hidden="false" customHeight="false" outlineLevel="0" collapsed="false">
      <c r="A149" s="0" t="s">
        <v>654</v>
      </c>
      <c r="B149" s="0" t="s">
        <v>40</v>
      </c>
      <c r="D149" s="20" t="n">
        <f aca="false">D148/C148-1</f>
        <v>4.92056290360265</v>
      </c>
      <c r="E149" s="20" t="n">
        <f aca="false">E148/D148-1</f>
        <v>0.861263193305903</v>
      </c>
      <c r="F149" s="20" t="n">
        <f aca="false">F148/E148-1</f>
        <v>0.0848622699720252</v>
      </c>
      <c r="G149" s="20" t="n">
        <f aca="false">G148/F148-1</f>
        <v>0.103411931778219</v>
      </c>
      <c r="H149" s="26" t="n">
        <f aca="false">H148/G148-1</f>
        <v>0.0990800951877471</v>
      </c>
      <c r="I149" s="26" t="n">
        <f aca="false">I148/H148-1</f>
        <v>0.076603006610686</v>
      </c>
      <c r="J149" s="26" t="n">
        <f aca="false">J148/I148-1</f>
        <v>0.0541269262409547</v>
      </c>
    </row>
    <row r="150" customFormat="false" ht="17.15" hidden="false" customHeight="false" outlineLevel="0" collapsed="false">
      <c r="A150" s="3" t="s">
        <v>655</v>
      </c>
      <c r="B150" s="0" t="s">
        <v>40</v>
      </c>
      <c r="C150" s="16" t="n">
        <f aca="false">C146/C129</f>
        <v>0.0484653872003585</v>
      </c>
      <c r="D150" s="16" t="n">
        <f aca="false">D146/D129</f>
        <v>0.194594602259759</v>
      </c>
      <c r="E150" s="16" t="n">
        <f aca="false">E146/E129</f>
        <v>0.267147159502987</v>
      </c>
      <c r="F150" s="16" t="n">
        <f aca="false">F146/F129</f>
        <v>0.261952722320213</v>
      </c>
      <c r="G150" s="16" t="n">
        <f aca="false">G146/G129</f>
        <v>0.256309904310208</v>
      </c>
      <c r="H150" s="27" t="n">
        <f aca="false">$G150+(fade_mA-$G150)*1/3</f>
        <v>0.254905348784934</v>
      </c>
      <c r="I150" s="27" t="n">
        <f aca="false">$G150+(fade_mA-$G150)*2/3</f>
        <v>0.25350079325966</v>
      </c>
      <c r="J150" s="27" t="n">
        <f aca="false">$G150+(fade_mA-$G150)*3/3</f>
        <v>0.252096237734386</v>
      </c>
    </row>
    <row r="151" customFormat="false" ht="17.15" hidden="false" customHeight="false" outlineLevel="0" collapsed="false">
      <c r="A151" s="3" t="s">
        <v>656</v>
      </c>
      <c r="B151" s="0" t="s">
        <v>40</v>
      </c>
      <c r="C151" s="20" t="n">
        <f aca="false">C134/C129</f>
        <v>0.0602892489980833</v>
      </c>
      <c r="D151" s="20" t="n">
        <f aca="false">D134/D129</f>
        <v>0.0676270839708595</v>
      </c>
      <c r="E151" s="20" t="n">
        <f aca="false">E134/E129</f>
        <v>0.174499634256357</v>
      </c>
      <c r="F151" s="20" t="n">
        <f aca="false">F134/F129</f>
        <v>0.202785426504223</v>
      </c>
      <c r="G151" s="20" t="n">
        <f aca="false">G134/G129</f>
        <v>0.119880978158325</v>
      </c>
      <c r="H151" s="26" t="n">
        <f aca="false">$G151+($G136*(1+tp_g)^(life/2)-$G151)*1/3</f>
        <v>0.11467192462743</v>
      </c>
      <c r="I151" s="26" t="n">
        <f aca="false">$G151+($G136*(1+tp_g)^(life/2)-$G151)*2/3</f>
        <v>0.109462871096535</v>
      </c>
      <c r="J151" s="26" t="n">
        <f aca="false">$G151+($G136*(1+tp_g)^(life/2)-$G151)*3/3</f>
        <v>0.104253817565639</v>
      </c>
      <c r="K151" s="7" t="s">
        <v>657</v>
      </c>
    </row>
    <row r="152" customFormat="false" ht="15" hidden="false" customHeight="false" outlineLevel="0" collapsed="false">
      <c r="A152" s="3" t="s">
        <v>658</v>
      </c>
      <c r="B152" s="0" t="s">
        <v>329</v>
      </c>
      <c r="E152" s="21" t="n">
        <f aca="false">E146+E135-E134</f>
        <v>14.1455548541282</v>
      </c>
      <c r="F152" s="21" t="n">
        <f aca="false">F146+F135-F134</f>
        <v>12.8753500414845</v>
      </c>
      <c r="G152" s="21" t="n">
        <f aca="false">G146+G135-G134</f>
        <v>22.5769455474376</v>
      </c>
      <c r="H152" s="30" t="n">
        <f aca="false">H146+H135-H134</f>
        <v>25.3714647875144</v>
      </c>
      <c r="I152" s="30" t="n">
        <f aca="false">I146+I135-I134</f>
        <v>27.9219540846291</v>
      </c>
      <c r="J152" s="30" t="n">
        <f aca="false">J146+J135-J134</f>
        <v>30.0802246887548</v>
      </c>
      <c r="K152" s="3" t="s">
        <v>659</v>
      </c>
    </row>
    <row r="153" customFormat="false" ht="15" hidden="false" customHeight="false" outlineLevel="0" collapsed="false">
      <c r="A153" s="3" t="s">
        <v>660</v>
      </c>
      <c r="B153" s="0" t="s">
        <v>402</v>
      </c>
      <c r="E153" s="18" t="n">
        <f aca="false">E152/E147</f>
        <v>21.8913828468178</v>
      </c>
      <c r="F153" s="18" t="n">
        <f aca="false">F152/F147</f>
        <v>19.9256388279934</v>
      </c>
      <c r="G153" s="18" t="n">
        <f aca="false">G152/G147</f>
        <v>34.9396374753356</v>
      </c>
      <c r="H153" s="28" t="n">
        <f aca="false">H152/H147</f>
        <v>39.2643805616391</v>
      </c>
      <c r="I153" s="28" t="n">
        <f aca="false">I152/I147</f>
        <v>43.211467701424</v>
      </c>
      <c r="J153" s="28" t="n">
        <f aca="false">J152/J147</f>
        <v>46.5515648958552</v>
      </c>
    </row>
    <row r="156" customFormat="false" ht="17.15" hidden="false" customHeight="false" outlineLevel="0" collapsed="false">
      <c r="A156" s="1" t="s">
        <v>960</v>
      </c>
    </row>
    <row r="157" customFormat="false" ht="17.15" hidden="false" customHeight="false" outlineLevel="0" collapsed="false">
      <c r="A157" s="4" t="s">
        <v>17</v>
      </c>
      <c r="B157" s="4" t="s">
        <v>18</v>
      </c>
      <c r="C157" s="13" t="s">
        <v>494</v>
      </c>
      <c r="D157" s="13" t="s">
        <v>581</v>
      </c>
      <c r="E157" s="13" t="s">
        <v>582</v>
      </c>
      <c r="F157" s="13" t="s">
        <v>583</v>
      </c>
      <c r="G157" s="13" t="s">
        <v>584</v>
      </c>
      <c r="H157" s="13" t="s">
        <v>585</v>
      </c>
      <c r="I157" s="13" t="s">
        <v>586</v>
      </c>
      <c r="J157" s="13" t="s">
        <v>587</v>
      </c>
      <c r="K157" s="4" t="s">
        <v>549</v>
      </c>
    </row>
    <row r="158" customFormat="false" ht="17.15" hidden="false" customHeight="false" outlineLevel="0" collapsed="false">
      <c r="A158" s="5" t="s">
        <v>605</v>
      </c>
    </row>
    <row r="159" customFormat="false" ht="17.15" hidden="false" customHeight="false" outlineLevel="0" collapsed="false">
      <c r="A159" s="0" t="s">
        <v>606</v>
      </c>
      <c r="B159" s="3" t="s">
        <v>28</v>
      </c>
      <c r="D159" s="21" t="n">
        <f aca="false">(u_bw_26+u_rb_26+u_ru_26+u_hp_26)*1</f>
        <v>7.6</v>
      </c>
      <c r="E159" s="21" t="n">
        <f aca="false">(u_bw_27+u_rb_27+u_ru_27+u_hp_27)*1*1</f>
        <v>9.7</v>
      </c>
      <c r="F159" s="21" t="n">
        <f aca="false">(u_bw_28+u_rb_28+u_ru_28+u_hp_28)*um28_A*1</f>
        <v>9.5</v>
      </c>
      <c r="G159" s="21" t="n">
        <f aca="false">(u_bw_28*(1+g29_bw)+u_rb_28*(1+g29_rb)+u_ru_28*(1+g29_ru)+u_hp_28*(1+g29_hp))*um29_A*1</f>
        <v>10.6</v>
      </c>
      <c r="K159" s="7" t="s">
        <v>607</v>
      </c>
    </row>
    <row r="160" customFormat="false" ht="17.15" hidden="false" customHeight="false" outlineLevel="0" collapsed="false">
      <c r="A160" s="3" t="s">
        <v>608</v>
      </c>
      <c r="B160" s="3" t="s">
        <v>28</v>
      </c>
      <c r="D160" s="21" t="n">
        <f aca="false">(u_amd_26+u_tpu_26+u_trn_26+u_oth_26)*1</f>
        <v>7.6</v>
      </c>
      <c r="E160" s="21" t="n">
        <f aca="false">(u_amd_27+u_tpu_27+u_trn_27+u_oth_27)*1*1</f>
        <v>14</v>
      </c>
      <c r="F160" s="21" t="n">
        <f aca="false">(u_amd_28+u_tpu_28+u_trn_28+u_oth_28)*um28_A*1</f>
        <v>17</v>
      </c>
      <c r="G160" s="21" t="n">
        <f aca="false">(u_amd_28*(1+g29_amd)+u_tpu_28*(1+g29_tpu)+u_trn_28*(1+g29_trn)+u_oth_28*(1+g29_oth))*um29_A*1</f>
        <v>19.55</v>
      </c>
      <c r="K160" s="7" t="s">
        <v>609</v>
      </c>
    </row>
    <row r="161" customFormat="false" ht="17.15" hidden="false" customHeight="false" outlineLevel="0" collapsed="false">
      <c r="A161" s="3" t="s">
        <v>610</v>
      </c>
      <c r="B161" s="0" t="s">
        <v>150</v>
      </c>
      <c r="D161" s="19" t="n">
        <f aca="false">1</f>
        <v>1</v>
      </c>
      <c r="E161" s="19" t="n">
        <f aca="false">D161*(1+g_asp)</f>
        <v>1.18</v>
      </c>
      <c r="F161" s="19" t="n">
        <f aca="false">E161*(1+g_asp)</f>
        <v>1.3924</v>
      </c>
      <c r="G161" s="19" t="n">
        <f aca="false">F161*(1+g_asp)</f>
        <v>1.643032</v>
      </c>
      <c r="K161" s="7" t="s">
        <v>611</v>
      </c>
    </row>
    <row r="162" customFormat="false" ht="17.15" hidden="false" customHeight="false" outlineLevel="0" collapsed="false">
      <c r="A162" s="0" t="s">
        <v>612</v>
      </c>
      <c r="B162" s="0" t="s">
        <v>150</v>
      </c>
      <c r="D162" s="18" t="n">
        <f aca="false">1</f>
        <v>1</v>
      </c>
      <c r="E162" s="18" t="n">
        <f aca="false">ibpp_27</f>
        <v>1</v>
      </c>
      <c r="F162" s="18" t="n">
        <f aca="false">ibpp_28</f>
        <v>0.95</v>
      </c>
      <c r="G162" s="18" t="n">
        <f aca="false">ibpp_29</f>
        <v>0.9</v>
      </c>
      <c r="K162" s="7" t="s">
        <v>613</v>
      </c>
    </row>
    <row r="163" customFormat="false" ht="17.15" hidden="false" customHeight="false" outlineLevel="0" collapsed="false">
      <c r="A163" s="3" t="s">
        <v>614</v>
      </c>
      <c r="B163" s="0" t="s">
        <v>150</v>
      </c>
      <c r="D163" s="18" t="n">
        <f aca="false">1</f>
        <v>1</v>
      </c>
      <c r="E163" s="18" t="n">
        <f aca="false">1+carry</f>
        <v>1.15</v>
      </c>
      <c r="F163" s="18" t="n">
        <f aca="false">1+carry</f>
        <v>1.15</v>
      </c>
      <c r="G163" s="18" t="n">
        <f aca="false">1+carry</f>
        <v>1.15</v>
      </c>
      <c r="K163" s="7" t="s">
        <v>615</v>
      </c>
    </row>
    <row r="164" customFormat="false" ht="17.15" hidden="false" customHeight="false" outlineLevel="0" collapsed="false">
      <c r="A164" s="3" t="s">
        <v>616</v>
      </c>
      <c r="B164" s="0" t="s">
        <v>617</v>
      </c>
      <c r="D164" s="23" t="n">
        <f aca="false">v26*D161*D162</f>
        <v>215.308596</v>
      </c>
      <c r="E164" s="23" t="n">
        <f aca="false">v26*E161*E162</f>
        <v>254.06414328</v>
      </c>
      <c r="F164" s="23" t="n">
        <f aca="false">v26*F161*F162</f>
        <v>284.80590461688</v>
      </c>
      <c r="G164" s="23" t="n">
        <f aca="false">v26*G161*G162</f>
        <v>318.383021792765</v>
      </c>
      <c r="K164" s="7" t="s">
        <v>618</v>
      </c>
    </row>
    <row r="165" customFormat="false" ht="17.15" hidden="false" customHeight="false" outlineLevel="0" collapsed="false">
      <c r="A165" s="3" t="s">
        <v>619</v>
      </c>
      <c r="B165" s="0" t="s">
        <v>40</v>
      </c>
      <c r="D165" s="20" t="n">
        <f aca="false">sh_nv_26</f>
        <v>0.02</v>
      </c>
      <c r="E165" s="20" t="n">
        <f aca="false">sh_nv_27</f>
        <v>0.03</v>
      </c>
      <c r="F165" s="20" t="n">
        <f aca="false">sh_nv_28</f>
        <v>0.04</v>
      </c>
      <c r="G165" s="20" t="n">
        <f aca="false">sh_nv_29</f>
        <v>0.04</v>
      </c>
    </row>
    <row r="166" customFormat="false" ht="17.15" hidden="false" customHeight="false" outlineLevel="0" collapsed="false">
      <c r="A166" s="3" t="s">
        <v>620</v>
      </c>
      <c r="B166" s="0" t="s">
        <v>40</v>
      </c>
      <c r="D166" s="20" t="n">
        <f aca="false">sh_ot_26</f>
        <v>0.05</v>
      </c>
      <c r="E166" s="20" t="n">
        <f aca="false">sh_ot_27</f>
        <v>0.06</v>
      </c>
      <c r="F166" s="20" t="n">
        <f aca="false">sh_ot_28</f>
        <v>0.07</v>
      </c>
      <c r="G166" s="20" t="n">
        <f aca="false">sh_ot_29</f>
        <v>0.07</v>
      </c>
    </row>
    <row r="167" customFormat="false" ht="17.15" hidden="false" customHeight="false" outlineLevel="0" collapsed="false">
      <c r="A167" s="3" t="s">
        <v>621</v>
      </c>
      <c r="B167" s="0" t="s">
        <v>571</v>
      </c>
      <c r="D167" s="22" t="n">
        <f aca="false">(D159*D164*D165+D160*D164*v_ot*D166)*D163</f>
        <v>98.180719776</v>
      </c>
      <c r="E167" s="22" t="n">
        <f aca="false">(E159*E164*E165+E160*E164*v_ot*E166)*E163</f>
        <v>281.363335475436</v>
      </c>
      <c r="F167" s="22" t="n">
        <f aca="false">(F159*F164*F165+F160*F164*v_ot*F166)*F163</f>
        <v>436.265684692137</v>
      </c>
      <c r="G167" s="22" t="n">
        <f aca="false">(G159*G164*G165+G160*G164*v_ot*G166)*G163</f>
        <v>556.094153523679</v>
      </c>
    </row>
    <row r="168" customFormat="false" ht="15" hidden="false" customHeight="false" outlineLevel="0" collapsed="false">
      <c r="A168" s="3" t="s">
        <v>622</v>
      </c>
      <c r="B168" s="0" t="s">
        <v>329</v>
      </c>
      <c r="D168" s="21" t="n">
        <f aca="false">D167*fx/1000</f>
        <v>3.19087339272</v>
      </c>
      <c r="E168" s="21" t="n">
        <f aca="false">E167*fx/1000</f>
        <v>9.14430840295167</v>
      </c>
      <c r="F168" s="21" t="n">
        <f aca="false">F167*fx/1000</f>
        <v>14.1786347524944</v>
      </c>
      <c r="G168" s="21" t="n">
        <f aca="false">G167*fx/1000</f>
        <v>18.0730599895196</v>
      </c>
    </row>
    <row r="169" customFormat="false" ht="17.15" hidden="false" customHeight="false" outlineLevel="0" collapsed="false">
      <c r="A169" s="5" t="s">
        <v>623</v>
      </c>
    </row>
    <row r="170" customFormat="false" ht="17.15" hidden="false" customHeight="false" outlineLevel="0" collapsed="false">
      <c r="A170" s="0" t="s">
        <v>624</v>
      </c>
      <c r="B170" s="0" t="s">
        <v>329</v>
      </c>
      <c r="D170" s="21" t="n">
        <f aca="false">a26_abf*ai_abf</f>
        <v>22.2987583</v>
      </c>
      <c r="K170" s="3" t="s">
        <v>625</v>
      </c>
    </row>
    <row r="171" customFormat="false" ht="17.15" hidden="false" customHeight="false" outlineLevel="0" collapsed="false">
      <c r="A171" s="3" t="s">
        <v>626</v>
      </c>
      <c r="B171" s="0" t="s">
        <v>329</v>
      </c>
      <c r="D171" s="21" t="n">
        <f aca="false">D170-D168</f>
        <v>19.10788490728</v>
      </c>
      <c r="E171" s="21" t="n">
        <f aca="false">$D171*(swm_27/swm_26)^el_o*1*1*E162*E163</f>
        <v>30.7354094978265</v>
      </c>
      <c r="F171" s="21" t="n">
        <f aca="false">$D171*(swm_28/swm_26)^el_o*um28_A*1*F162*F163</f>
        <v>31.4104002135205</v>
      </c>
      <c r="G171" s="21" t="n">
        <f aca="false">$D171*(swm_29/swm_26)^el_o*um29_A*1*G162*G163</f>
        <v>31.7452412889375</v>
      </c>
      <c r="K171" s="7" t="s">
        <v>627</v>
      </c>
    </row>
    <row r="172" customFormat="false" ht="17.15" hidden="false" customHeight="false" outlineLevel="0" collapsed="false">
      <c r="A172" s="3" t="s">
        <v>628</v>
      </c>
      <c r="B172" s="0" t="s">
        <v>329</v>
      </c>
      <c r="D172" s="21" t="n">
        <f aca="false">a26_abf-D170</f>
        <v>12.0070237</v>
      </c>
      <c r="E172" s="21" t="n">
        <f aca="false">D172*(1+g_nai)</f>
        <v>12.367234411</v>
      </c>
      <c r="F172" s="21" t="n">
        <f aca="false">E172*(1+g_nai)</f>
        <v>12.73825144333</v>
      </c>
      <c r="G172" s="21" t="n">
        <f aca="false">F172*(1+g_nai)</f>
        <v>13.1203989866299</v>
      </c>
    </row>
    <row r="173" customFormat="false" ht="17.15" hidden="false" customHeight="false" outlineLevel="0" collapsed="false">
      <c r="A173" s="0" t="s">
        <v>629</v>
      </c>
      <c r="B173" s="0" t="s">
        <v>329</v>
      </c>
      <c r="D173" s="21" t="n">
        <f aca="false">D168+D171+D172</f>
        <v>34.305782</v>
      </c>
      <c r="E173" s="21" t="n">
        <f aca="false">E168+E171+E172</f>
        <v>52.2469523117781</v>
      </c>
      <c r="F173" s="21" t="n">
        <f aca="false">F168+F171+F172</f>
        <v>58.3272864093449</v>
      </c>
      <c r="G173" s="21" t="n">
        <f aca="false">G168+G171+G172</f>
        <v>62.9387002650869</v>
      </c>
    </row>
    <row r="174" customFormat="false" ht="17.15" hidden="false" customHeight="false" outlineLevel="0" collapsed="false">
      <c r="A174" s="0" t="s">
        <v>630</v>
      </c>
      <c r="B174" s="0" t="s">
        <v>329</v>
      </c>
      <c r="D174" s="21" t="n">
        <f aca="false">a26_abf</f>
        <v>34.305782</v>
      </c>
      <c r="E174" s="21" t="n">
        <f aca="false">$D173*cap_27_lo*(1+g_mix)^1*E162*E163</f>
        <v>45.5666549415</v>
      </c>
      <c r="F174" s="21" t="n">
        <f aca="false">$D173*cap_28_lo*(1+g_mix)^2*F162*F163</f>
        <v>49.584805422705</v>
      </c>
      <c r="G174" s="21" t="n">
        <f aca="false">$D173*cap_29_lo*(1+g_mix)^3*G162*G163</f>
        <v>55.4893118579087</v>
      </c>
      <c r="K174" s="7" t="s">
        <v>631</v>
      </c>
    </row>
    <row r="175" customFormat="false" ht="17.15" hidden="false" customHeight="false" outlineLevel="0" collapsed="false">
      <c r="A175" s="0" t="s">
        <v>632</v>
      </c>
      <c r="B175" s="0" t="s">
        <v>329</v>
      </c>
      <c r="D175" s="21" t="n">
        <f aca="false">a26_abf</f>
        <v>34.305782</v>
      </c>
      <c r="E175" s="21" t="n">
        <f aca="false">MIN(E173,E174)</f>
        <v>45.5666549415</v>
      </c>
      <c r="F175" s="21" t="n">
        <f aca="false">MIN(F173,F174)</f>
        <v>49.584805422705</v>
      </c>
      <c r="G175" s="21" t="n">
        <f aca="false">MIN(G173,G174)</f>
        <v>55.4893118579087</v>
      </c>
    </row>
    <row r="176" customFormat="false" ht="17.15" hidden="false" customHeight="false" outlineLevel="0" collapsed="false">
      <c r="A176" s="3" t="s">
        <v>633</v>
      </c>
      <c r="B176" s="0" t="s">
        <v>40</v>
      </c>
      <c r="D176" s="20" t="n">
        <f aca="false">D175/D173</f>
        <v>1</v>
      </c>
      <c r="E176" s="20" t="n">
        <f aca="false">E175/E173</f>
        <v>0.872139960807395</v>
      </c>
      <c r="F176" s="20" t="n">
        <f aca="false">F175/F173</f>
        <v>0.850113359889837</v>
      </c>
      <c r="G176" s="20" t="n">
        <f aca="false">G175/G173</f>
        <v>0.881640574466859</v>
      </c>
    </row>
    <row r="177" customFormat="false" ht="17.15" hidden="false" customHeight="false" outlineLevel="0" collapsed="false">
      <c r="A177" s="0" t="s">
        <v>634</v>
      </c>
      <c r="B177" s="0" t="s">
        <v>329</v>
      </c>
      <c r="D177" s="21" t="n">
        <f aca="false">(D168+D171)*D176</f>
        <v>22.2987583</v>
      </c>
      <c r="E177" s="21" t="n">
        <f aca="false">(E168+E171)*E176</f>
        <v>34.7806956069946</v>
      </c>
      <c r="F177" s="21" t="n">
        <f aca="false">(F168+F171)*F176</f>
        <v>38.7558476890942</v>
      </c>
      <c r="G177" s="21" t="n">
        <f aca="false">(G168+G171)*G176</f>
        <v>43.9218357581019</v>
      </c>
    </row>
    <row r="178" customFormat="false" ht="17.15" hidden="false" customHeight="false" outlineLevel="0" collapsed="false">
      <c r="A178" s="3" t="s">
        <v>635</v>
      </c>
      <c r="B178" s="0" t="s">
        <v>40</v>
      </c>
      <c r="D178" s="20" t="n">
        <f aca="false">D168/(D168+D171)</f>
        <v>0.14309646078903</v>
      </c>
      <c r="E178" s="20" t="n">
        <f aca="false">E168/(E168+E171)</f>
        <v>0.229297218844501</v>
      </c>
      <c r="F178" s="20" t="n">
        <f aca="false">F168/(F168+F171)</f>
        <v>0.311009758444419</v>
      </c>
      <c r="G178" s="20" t="n">
        <f aca="false">G168/(G168+G171)</f>
        <v>0.362779531331288</v>
      </c>
    </row>
    <row r="179" customFormat="false" ht="17.15" hidden="false" customHeight="false" outlineLevel="0" collapsed="false">
      <c r="A179" s="5" t="s">
        <v>636</v>
      </c>
    </row>
    <row r="180" customFormat="false" ht="17.15" hidden="false" customHeight="false" outlineLevel="0" collapsed="false">
      <c r="A180" s="0" t="s">
        <v>637</v>
      </c>
      <c r="B180" s="0" t="s">
        <v>329</v>
      </c>
      <c r="D180" s="21" t="n">
        <f aca="false">a26_bt</f>
        <v>18.927328</v>
      </c>
      <c r="E180" s="21" t="n">
        <f aca="false">D180*(1+g_bt27_A)</f>
        <v>24.6055264</v>
      </c>
      <c r="F180" s="21" t="n">
        <f aca="false">E180*(1+g_bt28_A)</f>
        <v>27.06607904</v>
      </c>
      <c r="G180" s="21" t="n">
        <f aca="false">F180*(1+g_bt29_A)</f>
        <v>28.419382992</v>
      </c>
      <c r="K180" s="7" t="s">
        <v>638</v>
      </c>
    </row>
    <row r="181" customFormat="false" ht="17.15" hidden="false" customHeight="false" outlineLevel="0" collapsed="false">
      <c r="A181" s="0" t="s">
        <v>536</v>
      </c>
      <c r="B181" s="0" t="s">
        <v>329</v>
      </c>
      <c r="D181" s="21" t="n">
        <f aca="false">a26_pcb</f>
        <v>5.91479</v>
      </c>
      <c r="E181" s="21" t="n">
        <f aca="false">D181*(1+g_pcb)</f>
        <v>5.91479</v>
      </c>
      <c r="F181" s="21" t="n">
        <f aca="false">E181*(1+g_pcb)</f>
        <v>5.91479</v>
      </c>
      <c r="G181" s="21" t="n">
        <f aca="false">F181*(1+g_pcb)</f>
        <v>5.91479</v>
      </c>
    </row>
    <row r="182" customFormat="false" ht="17.15" hidden="false" customHeight="false" outlineLevel="0" collapsed="false">
      <c r="A182" s="3" t="s">
        <v>501</v>
      </c>
      <c r="B182" s="0" t="s">
        <v>329</v>
      </c>
      <c r="C182" s="23" t="n">
        <f aca="false">a25_rev</f>
        <v>40.173</v>
      </c>
      <c r="D182" s="23" t="n">
        <f aca="false">D175+D180+D181</f>
        <v>59.1479</v>
      </c>
      <c r="E182" s="23" t="n">
        <f aca="false">E175+E180+E181</f>
        <v>76.0869713415</v>
      </c>
      <c r="F182" s="23" t="n">
        <f aca="false">F175+F180+F181</f>
        <v>82.565674462705</v>
      </c>
      <c r="G182" s="23" t="n">
        <f aca="false">G175+G180+G181</f>
        <v>89.8234848499087</v>
      </c>
      <c r="H182" s="25" t="n">
        <f aca="false">G182*(1+H183)</f>
        <v>96.8838193478739</v>
      </c>
      <c r="I182" s="25" t="n">
        <f aca="false">H182*(1+I183)</f>
        <v>103.597980520843</v>
      </c>
      <c r="J182" s="25" t="n">
        <f aca="false">I182*(1+J183)</f>
        <v>109.813859352094</v>
      </c>
      <c r="K182" s="7" t="s">
        <v>639</v>
      </c>
    </row>
    <row r="183" customFormat="false" ht="15" hidden="false" customHeight="false" outlineLevel="0" collapsed="false">
      <c r="A183" s="3" t="s">
        <v>640</v>
      </c>
      <c r="B183" s="0" t="s">
        <v>40</v>
      </c>
      <c r="D183" s="20" t="n">
        <f aca="false">D182/C182-1</f>
        <v>0.472329674159261</v>
      </c>
      <c r="E183" s="20" t="n">
        <f aca="false">E182/D182-1</f>
        <v>0.286385</v>
      </c>
      <c r="F183" s="20" t="n">
        <f aca="false">F182/E182-1</f>
        <v>0.0851486530082364</v>
      </c>
      <c r="G183" s="20" t="n">
        <f aca="false">G182/F182-1</f>
        <v>0.0879034833111192</v>
      </c>
      <c r="H183" s="26" t="n">
        <f aca="false">$G183+(fade_gA-$G183)*1/3</f>
        <v>0.0786023222074128</v>
      </c>
      <c r="I183" s="26" t="n">
        <f aca="false">$G183+(fade_gA-$G183)*2/3</f>
        <v>0.0693011611037064</v>
      </c>
      <c r="J183" s="26" t="n">
        <f aca="false">$G183+(fade_gA-$G183)*3/3</f>
        <v>0.06</v>
      </c>
    </row>
    <row r="184" customFormat="false" ht="17.15" hidden="false" customHeight="false" outlineLevel="0" collapsed="false">
      <c r="A184" s="0" t="s">
        <v>641</v>
      </c>
      <c r="B184" s="0" t="s">
        <v>40</v>
      </c>
      <c r="D184" s="20" t="n">
        <f aca="false">D175/D182</f>
        <v>0.58</v>
      </c>
      <c r="E184" s="20" t="n">
        <f aca="false">E175/E182</f>
        <v>0.598875919728542</v>
      </c>
      <c r="F184" s="20" t="n">
        <f aca="false">F175/F182</f>
        <v>0.600549874331887</v>
      </c>
      <c r="G184" s="20" t="n">
        <f aca="false">G175/G182</f>
        <v>0.617759508558692</v>
      </c>
    </row>
    <row r="185" customFormat="false" ht="17.15" hidden="false" customHeight="false" outlineLevel="0" collapsed="false">
      <c r="A185" s="0" t="s">
        <v>642</v>
      </c>
      <c r="B185" s="0" t="s">
        <v>40</v>
      </c>
      <c r="D185" s="20" t="n">
        <f aca="false">D177/D182</f>
        <v>0.377</v>
      </c>
      <c r="E185" s="20" t="n">
        <f aca="false">E177/E182</f>
        <v>0.457117624657301</v>
      </c>
      <c r="F185" s="20" t="n">
        <f aca="false">F177/F182</f>
        <v>0.469394187612435</v>
      </c>
      <c r="G185" s="20" t="n">
        <f aca="false">G177/G182</f>
        <v>0.488979422603047</v>
      </c>
      <c r="K185" s="3" t="s">
        <v>643</v>
      </c>
    </row>
    <row r="186" customFormat="false" ht="17.15" hidden="false" customHeight="false" outlineLevel="0" collapsed="false">
      <c r="A186" s="5" t="s">
        <v>644</v>
      </c>
    </row>
    <row r="187" customFormat="false" ht="15" hidden="false" customHeight="false" outlineLevel="0" collapsed="false">
      <c r="A187" s="3" t="s">
        <v>645</v>
      </c>
      <c r="B187" s="0" t="s">
        <v>329</v>
      </c>
      <c r="C187" s="23" t="n">
        <f aca="false">a25_cx</f>
        <v>2.422</v>
      </c>
      <c r="D187" s="23" t="n">
        <f aca="false">capex26</f>
        <v>4</v>
      </c>
      <c r="E187" s="23" t="n">
        <f aca="false">cx27</f>
        <v>14</v>
      </c>
      <c r="F187" s="23" t="n">
        <f aca="false">cx28</f>
        <v>18</v>
      </c>
      <c r="G187" s="23" t="n">
        <f aca="false">cx29</f>
        <v>12</v>
      </c>
      <c r="H187" s="25" t="n">
        <f aca="false">H182*H204</f>
        <v>12.3808203198132</v>
      </c>
      <c r="I187" s="25" t="n">
        <f aca="false">I182*I204</f>
        <v>12.6374425007187</v>
      </c>
      <c r="J187" s="25" t="n">
        <f aca="false">J182*J204</f>
        <v>12.7582230255275</v>
      </c>
    </row>
    <row r="188" customFormat="false" ht="17.15" hidden="false" customHeight="false" outlineLevel="0" collapsed="false">
      <c r="A188" s="3" t="s">
        <v>646</v>
      </c>
      <c r="B188" s="0" t="s">
        <v>329</v>
      </c>
      <c r="C188" s="23" t="n">
        <f aca="false">a25_da</f>
        <v>6.894</v>
      </c>
      <c r="D188" s="23" t="n">
        <f aca="false">da26</f>
        <v>7.1</v>
      </c>
      <c r="E188" s="23" t="n">
        <f aca="false">D188*(1-1/life)+D187/life</f>
        <v>6.7125</v>
      </c>
      <c r="F188" s="23" t="n">
        <f aca="false">E188*(1-1/life)+E187/life</f>
        <v>7.6234375</v>
      </c>
      <c r="G188" s="23" t="n">
        <f aca="false">F188*(1-1/life)+F187/life</f>
        <v>8.9205078125</v>
      </c>
      <c r="H188" s="25" t="n">
        <f aca="false">H182*H189</f>
        <v>9.62168044183187</v>
      </c>
      <c r="I188" s="25" t="n">
        <f aca="false">I182*I189</f>
        <v>10.2884740682196</v>
      </c>
      <c r="J188" s="25" t="n">
        <f aca="false">J182*J189</f>
        <v>10.9057825123128</v>
      </c>
      <c r="K188" s="3" t="s">
        <v>647</v>
      </c>
    </row>
    <row r="189" customFormat="false" ht="17.15" hidden="false" customHeight="false" outlineLevel="0" collapsed="false">
      <c r="A189" s="3" t="s">
        <v>648</v>
      </c>
      <c r="B189" s="0" t="s">
        <v>40</v>
      </c>
      <c r="C189" s="20" t="n">
        <f aca="false">C188/C182</f>
        <v>0.171607796281084</v>
      </c>
      <c r="D189" s="20" t="n">
        <f aca="false">D188/D182</f>
        <v>0.120038074048276</v>
      </c>
      <c r="E189" s="20" t="n">
        <f aca="false">E188/E182</f>
        <v>0.0882214113881914</v>
      </c>
      <c r="F189" s="20" t="n">
        <f aca="false">F188/F182</f>
        <v>0.092331801921433</v>
      </c>
      <c r="G189" s="20" t="n">
        <f aca="false">G188/G182</f>
        <v>0.0993115311369381</v>
      </c>
      <c r="H189" s="26" t="n">
        <f aca="false">$G189</f>
        <v>0.0993115311369381</v>
      </c>
      <c r="I189" s="26" t="n">
        <f aca="false">$G189</f>
        <v>0.0993115311369381</v>
      </c>
      <c r="J189" s="26" t="n">
        <f aca="false">$G189</f>
        <v>0.0993115311369381</v>
      </c>
    </row>
    <row r="190" customFormat="false" ht="17.15" hidden="false" customHeight="false" outlineLevel="0" collapsed="false">
      <c r="A190" s="3" t="s">
        <v>649</v>
      </c>
      <c r="B190" s="0" t="s">
        <v>329</v>
      </c>
      <c r="E190" s="21" t="n">
        <f aca="false">E177*(1-1/(E162*E163))</f>
        <v>4.53661247047755</v>
      </c>
      <c r="F190" s="21" t="n">
        <f aca="false">F177*(1-1/(F162*F163))</f>
        <v>3.28138756177685</v>
      </c>
      <c r="G190" s="21" t="n">
        <f aca="false">G177*(1-1/(G162*G163))</f>
        <v>1.48527947008074</v>
      </c>
      <c r="K190" s="7" t="s">
        <v>650</v>
      </c>
    </row>
    <row r="191" customFormat="false" ht="17.15" hidden="false" customHeight="false" outlineLevel="0" collapsed="false">
      <c r="A191" s="3" t="s">
        <v>651</v>
      </c>
      <c r="B191" s="0" t="s">
        <v>329</v>
      </c>
      <c r="C191" s="21" t="n">
        <f aca="false">a25_gp</f>
        <v>3.647</v>
      </c>
      <c r="D191" s="21" t="n">
        <f aca="false">a26_gp</f>
        <v>15.9001925</v>
      </c>
      <c r="E191" s="21" t="n">
        <f aca="false">$D191+ft_abf*(E175-E190-$D175)+ft_oth*((E182-E175)-($D182-$D175))+E190-(E188-$D188)</f>
        <v>26.4577145659888</v>
      </c>
      <c r="F191" s="21" t="n">
        <f aca="false">$D191+ft_abf*(F175-F190-$D175)+ft_oth*((F182-F175)-($D182-$D175))+F190-(F188-$D188)</f>
        <v>27.9124609082409</v>
      </c>
      <c r="G191" s="21" t="n">
        <f aca="false">$D191+ft_abf*(G175-G190-$D175)+ft_oth*((G182-G175)-($D182-$D175))+G190-(G188-$D188)</f>
        <v>29.2109113482947</v>
      </c>
      <c r="K191" s="3" t="s">
        <v>652</v>
      </c>
    </row>
    <row r="192" customFormat="false" ht="15" hidden="false" customHeight="false" outlineLevel="0" collapsed="false">
      <c r="A192" s="3" t="s">
        <v>508</v>
      </c>
      <c r="B192" s="0" t="s">
        <v>40</v>
      </c>
      <c r="C192" s="16" t="n">
        <f aca="false">C191/C182</f>
        <v>0.0907823662659</v>
      </c>
      <c r="D192" s="16" t="n">
        <f aca="false">D191/D182</f>
        <v>0.268820913337583</v>
      </c>
      <c r="E192" s="16" t="n">
        <f aca="false">E191/E182</f>
        <v>0.347729895138539</v>
      </c>
      <c r="F192" s="16" t="n">
        <f aca="false">F191/F182</f>
        <v>0.33806374246781</v>
      </c>
      <c r="G192" s="16" t="n">
        <f aca="false">G191/G182</f>
        <v>0.325203496581155</v>
      </c>
    </row>
    <row r="193" customFormat="false" ht="15" hidden="false" customHeight="false" outlineLevel="0" collapsed="false">
      <c r="A193" s="3" t="s">
        <v>510</v>
      </c>
      <c r="B193" s="0" t="s">
        <v>329</v>
      </c>
      <c r="C193" s="21" t="n">
        <f aca="false">a25_opx</f>
        <v>1.665</v>
      </c>
      <c r="D193" s="21" t="n">
        <f aca="false">a26_opx</f>
        <v>1.9</v>
      </c>
      <c r="E193" s="21" t="n">
        <f aca="false">D193*(1+phi*E183)</f>
        <v>2.2264789</v>
      </c>
      <c r="F193" s="21" t="n">
        <f aca="false">E193*(1+phi*F183)</f>
        <v>2.34022790757176</v>
      </c>
      <c r="G193" s="21" t="n">
        <f aca="false">F193*(1+phi*G183)</f>
        <v>2.46365641846222</v>
      </c>
    </row>
    <row r="194" customFormat="false" ht="15" hidden="false" customHeight="false" outlineLevel="0" collapsed="false">
      <c r="A194" s="3" t="s">
        <v>513</v>
      </c>
      <c r="B194" s="0" t="s">
        <v>329</v>
      </c>
      <c r="C194" s="21" t="n">
        <f aca="false">C191-C193</f>
        <v>1.982</v>
      </c>
      <c r="D194" s="21" t="n">
        <f aca="false">D191-D193</f>
        <v>14.0001925</v>
      </c>
      <c r="E194" s="21" t="n">
        <f aca="false">E191-E193</f>
        <v>24.2312356659888</v>
      </c>
      <c r="F194" s="21" t="n">
        <f aca="false">F191-F193</f>
        <v>25.5722330006692</v>
      </c>
      <c r="G194" s="21" t="n">
        <f aca="false">G191-G193</f>
        <v>26.7472549298325</v>
      </c>
    </row>
    <row r="195" customFormat="false" ht="15" hidden="false" customHeight="false" outlineLevel="0" collapsed="false">
      <c r="A195" s="3" t="s">
        <v>594</v>
      </c>
      <c r="B195" s="0" t="s">
        <v>40</v>
      </c>
      <c r="C195" s="16" t="n">
        <f aca="false">C194/C182</f>
        <v>0.0493366191222961</v>
      </c>
      <c r="D195" s="16" t="n">
        <f aca="false">D194/D182</f>
        <v>0.236698048451424</v>
      </c>
      <c r="E195" s="16" t="n">
        <f aca="false">E194/E182</f>
        <v>0.318467606723786</v>
      </c>
      <c r="F195" s="16" t="n">
        <f aca="false">F194/F182</f>
        <v>0.309719906814546</v>
      </c>
      <c r="G195" s="16" t="n">
        <f aca="false">G194/G182</f>
        <v>0.297775742886463</v>
      </c>
    </row>
    <row r="196" customFormat="false" ht="15" hidden="false" customHeight="false" outlineLevel="0" collapsed="false">
      <c r="A196" s="3" t="s">
        <v>516</v>
      </c>
      <c r="B196" s="0" t="s">
        <v>329</v>
      </c>
      <c r="C196" s="21" t="n">
        <f aca="false">a25_nonop</f>
        <v>0.364</v>
      </c>
      <c r="D196" s="21" t="n">
        <f aca="false">a26_nonop</f>
        <v>0.623</v>
      </c>
      <c r="E196" s="21" t="n">
        <f aca="false">nonop27</f>
        <v>0.6</v>
      </c>
      <c r="F196" s="21" t="n">
        <f aca="false">nonop28</f>
        <v>0.6</v>
      </c>
      <c r="G196" s="21" t="n">
        <f aca="false">nonop29</f>
        <v>0.6</v>
      </c>
    </row>
    <row r="197" customFormat="false" ht="15" hidden="false" customHeight="false" outlineLevel="0" collapsed="false">
      <c r="A197" s="3" t="s">
        <v>518</v>
      </c>
      <c r="B197" s="0" t="s">
        <v>329</v>
      </c>
      <c r="C197" s="21" t="n">
        <f aca="false">C194+C196</f>
        <v>2.346</v>
      </c>
      <c r="D197" s="21" t="n">
        <f aca="false">D194+D196</f>
        <v>14.6231925</v>
      </c>
      <c r="E197" s="21" t="n">
        <f aca="false">E194+E196</f>
        <v>24.8312356659888</v>
      </c>
      <c r="F197" s="21" t="n">
        <f aca="false">F194+F196</f>
        <v>26.1722330006692</v>
      </c>
      <c r="G197" s="21" t="n">
        <f aca="false">G194+G196</f>
        <v>27.3472549298325</v>
      </c>
    </row>
    <row r="198" customFormat="false" ht="15" hidden="false" customHeight="false" outlineLevel="0" collapsed="false">
      <c r="A198" s="3" t="s">
        <v>521</v>
      </c>
      <c r="B198" s="0" t="s">
        <v>329</v>
      </c>
      <c r="E198" s="21" t="n">
        <f aca="false">E197*tax</f>
        <v>5.21455948985764</v>
      </c>
      <c r="F198" s="21" t="n">
        <f aca="false">F197*tax</f>
        <v>5.49616893014053</v>
      </c>
      <c r="G198" s="21" t="n">
        <f aca="false">G197*tax</f>
        <v>5.74292353526482</v>
      </c>
    </row>
    <row r="199" customFormat="false" ht="15" hidden="false" customHeight="false" outlineLevel="0" collapsed="false">
      <c r="A199" s="3" t="s">
        <v>519</v>
      </c>
      <c r="B199" s="0" t="s">
        <v>329</v>
      </c>
      <c r="C199" s="21" t="n">
        <f aca="false">a25_ni</f>
        <v>1.947</v>
      </c>
      <c r="D199" s="21" t="n">
        <f aca="false">a26_ni</f>
        <v>11.509862075</v>
      </c>
      <c r="E199" s="21" t="n">
        <f aca="false">E197-E198</f>
        <v>19.6166761761311</v>
      </c>
      <c r="F199" s="21" t="n">
        <f aca="false">F197-F198</f>
        <v>20.6760640705286</v>
      </c>
      <c r="G199" s="21" t="n">
        <f aca="false">G197-G198</f>
        <v>21.6043313945677</v>
      </c>
      <c r="H199" s="30" t="n">
        <f aca="false">H182*H203</f>
        <v>23.6763367929251</v>
      </c>
      <c r="I199" s="30" t="n">
        <f aca="false">I182*I203</f>
        <v>25.716897774771</v>
      </c>
      <c r="J199" s="30" t="n">
        <f aca="false">J182*J203</f>
        <v>27.6836607937558</v>
      </c>
    </row>
    <row r="200" customFormat="false" ht="15" hidden="false" customHeight="false" outlineLevel="0" collapsed="false">
      <c r="A200" s="3" t="s">
        <v>653</v>
      </c>
      <c r="B200" s="3" t="s">
        <v>396</v>
      </c>
      <c r="C200" s="29" t="n">
        <f aca="false">a25_sh</f>
        <v>0.646843853820598</v>
      </c>
      <c r="D200" s="29" t="n">
        <f aca="false">a26_sh</f>
        <v>0.645863325123153</v>
      </c>
      <c r="E200" s="29" t="n">
        <f aca="false">a26_shend*(1+sh_g)</f>
        <v>0.64617</v>
      </c>
      <c r="F200" s="29" t="n">
        <f aca="false">E200*(1+sh_g)</f>
        <v>0.64617</v>
      </c>
      <c r="G200" s="29" t="n">
        <f aca="false">F200*(1+sh_g)</f>
        <v>0.64617</v>
      </c>
      <c r="H200" s="31" t="n">
        <f aca="false">G200*(1+sh_g)</f>
        <v>0.64617</v>
      </c>
      <c r="I200" s="31" t="n">
        <f aca="false">H200*(1+sh_g)</f>
        <v>0.64617</v>
      </c>
      <c r="J200" s="31" t="n">
        <f aca="false">I200*(1+sh_g)</f>
        <v>0.64617</v>
      </c>
    </row>
    <row r="201" customFormat="false" ht="17.15" hidden="false" customHeight="false" outlineLevel="0" collapsed="false">
      <c r="A201" s="0" t="s">
        <v>524</v>
      </c>
      <c r="B201" s="0" t="s">
        <v>402</v>
      </c>
      <c r="C201" s="18" t="n">
        <f aca="false">C199/C200</f>
        <v>3.01</v>
      </c>
      <c r="D201" s="18" t="n">
        <f aca="false">D199/D200</f>
        <v>17.820894339844</v>
      </c>
      <c r="E201" s="18" t="n">
        <f aca="false">E199/E200</f>
        <v>30.3583827415868</v>
      </c>
      <c r="F201" s="18" t="n">
        <f aca="false">F199/F200</f>
        <v>31.997870638576</v>
      </c>
      <c r="G201" s="18" t="n">
        <f aca="false">G199/G200</f>
        <v>33.4344389163342</v>
      </c>
      <c r="H201" s="28" t="n">
        <f aca="false">H199/H200</f>
        <v>36.6410337727302</v>
      </c>
      <c r="I201" s="28" t="n">
        <f aca="false">I199/I200</f>
        <v>39.7989658677608</v>
      </c>
      <c r="J201" s="28" t="n">
        <f aca="false">J199/J200</f>
        <v>42.8426896849991</v>
      </c>
    </row>
    <row r="202" customFormat="false" ht="17.15" hidden="false" customHeight="false" outlineLevel="0" collapsed="false">
      <c r="A202" s="0" t="s">
        <v>654</v>
      </c>
      <c r="B202" s="0" t="s">
        <v>40</v>
      </c>
      <c r="D202" s="20" t="n">
        <f aca="false">D201/C201-1</f>
        <v>4.92056290360265</v>
      </c>
      <c r="E202" s="20" t="n">
        <f aca="false">E201/D201-1</f>
        <v>0.703527452812033</v>
      </c>
      <c r="F202" s="20" t="n">
        <f aca="false">F201/E201-1</f>
        <v>0.0540044544185592</v>
      </c>
      <c r="G202" s="20" t="n">
        <f aca="false">G201/F201-1</f>
        <v>0.0448957461571307</v>
      </c>
      <c r="H202" s="26" t="n">
        <f aca="false">H201/G201-1</f>
        <v>0.0959069438676741</v>
      </c>
      <c r="I202" s="26" t="n">
        <f aca="false">I201/H201-1</f>
        <v>0.0861856713600917</v>
      </c>
      <c r="J202" s="26" t="n">
        <f aca="false">J201/I201-1</f>
        <v>0.0764774599257576</v>
      </c>
    </row>
    <row r="203" customFormat="false" ht="17.15" hidden="false" customHeight="false" outlineLevel="0" collapsed="false">
      <c r="A203" s="3" t="s">
        <v>655</v>
      </c>
      <c r="B203" s="0" t="s">
        <v>40</v>
      </c>
      <c r="C203" s="16" t="n">
        <f aca="false">C199/C182</f>
        <v>0.0484653872003585</v>
      </c>
      <c r="D203" s="16" t="n">
        <f aca="false">D199/D182</f>
        <v>0.194594602259759</v>
      </c>
      <c r="E203" s="16" t="n">
        <f aca="false">E199/E182</f>
        <v>0.257819122384119</v>
      </c>
      <c r="F203" s="16" t="n">
        <f aca="false">F199/F182</f>
        <v>0.250419610874348</v>
      </c>
      <c r="G203" s="16" t="n">
        <f aca="false">G199/G182</f>
        <v>0.240519853250713</v>
      </c>
      <c r="H203" s="27" t="n">
        <f aca="false">$G203+(fade_mA-$G203)*1/3</f>
        <v>0.244378648078604</v>
      </c>
      <c r="I203" s="27" t="n">
        <f aca="false">$G203+(fade_mA-$G203)*2/3</f>
        <v>0.248237442906495</v>
      </c>
      <c r="J203" s="27" t="n">
        <f aca="false">$G203+(fade_mA-$G203)*3/3</f>
        <v>0.252096237734386</v>
      </c>
    </row>
    <row r="204" customFormat="false" ht="17.15" hidden="false" customHeight="false" outlineLevel="0" collapsed="false">
      <c r="A204" s="3" t="s">
        <v>656</v>
      </c>
      <c r="B204" s="0" t="s">
        <v>40</v>
      </c>
      <c r="C204" s="20" t="n">
        <f aca="false">C187/C182</f>
        <v>0.0602892489980833</v>
      </c>
      <c r="D204" s="20" t="n">
        <f aca="false">D187/D182</f>
        <v>0.0676270839708595</v>
      </c>
      <c r="E204" s="20" t="n">
        <f aca="false">E187/E182</f>
        <v>0.183999964161591</v>
      </c>
      <c r="F204" s="20" t="n">
        <f aca="false">F187/F182</f>
        <v>0.218008271804654</v>
      </c>
      <c r="G204" s="20" t="n">
        <f aca="false">G187/G182</f>
        <v>0.133595351149552</v>
      </c>
      <c r="H204" s="26" t="n">
        <f aca="false">$G204+($G189*(1+tp_g)^(life/2)-$G204)*1/3</f>
        <v>0.127790382368786</v>
      </c>
      <c r="I204" s="26" t="n">
        <f aca="false">$G204+($G189*(1+tp_g)^(life/2)-$G204)*2/3</f>
        <v>0.12198541358802</v>
      </c>
      <c r="J204" s="26" t="n">
        <f aca="false">$G204+($G189*(1+tp_g)^(life/2)-$G204)*3/3</f>
        <v>0.116180444807254</v>
      </c>
      <c r="K204" s="7" t="s">
        <v>657</v>
      </c>
    </row>
    <row r="205" customFormat="false" ht="15" hidden="false" customHeight="false" outlineLevel="0" collapsed="false">
      <c r="A205" s="3" t="s">
        <v>658</v>
      </c>
      <c r="B205" s="0" t="s">
        <v>329</v>
      </c>
      <c r="E205" s="21" t="n">
        <f aca="false">E199+E188-E187</f>
        <v>12.3291761761311</v>
      </c>
      <c r="F205" s="21" t="n">
        <f aca="false">F199+F188-F187</f>
        <v>10.2995015705286</v>
      </c>
      <c r="G205" s="21" t="n">
        <f aca="false">G199+G188-G187</f>
        <v>18.5248392070677</v>
      </c>
      <c r="H205" s="30" t="n">
        <f aca="false">H199+H188-H187</f>
        <v>20.9171969149438</v>
      </c>
      <c r="I205" s="30" t="n">
        <f aca="false">I199+I188-I187</f>
        <v>23.3679293422719</v>
      </c>
      <c r="J205" s="30" t="n">
        <f aca="false">J199+J188-J187</f>
        <v>25.8312202805412</v>
      </c>
      <c r="K205" s="3" t="s">
        <v>659</v>
      </c>
    </row>
    <row r="206" customFormat="false" ht="15" hidden="false" customHeight="false" outlineLevel="0" collapsed="false">
      <c r="A206" s="3" t="s">
        <v>660</v>
      </c>
      <c r="B206" s="0" t="s">
        <v>402</v>
      </c>
      <c r="E206" s="18" t="n">
        <f aca="false">E205/E200</f>
        <v>19.0803908818595</v>
      </c>
      <c r="F206" s="18" t="n">
        <f aca="false">F205/F200</f>
        <v>15.9393063288742</v>
      </c>
      <c r="G206" s="18" t="n">
        <f aca="false">G205/G200</f>
        <v>28.6686772940057</v>
      </c>
      <c r="H206" s="28" t="n">
        <f aca="false">H205/H200</f>
        <v>32.3710430922881</v>
      </c>
      <c r="I206" s="28" t="n">
        <f aca="false">I205/I200</f>
        <v>36.1637484598046</v>
      </c>
      <c r="J206" s="28" t="n">
        <f aca="false">J205/J200</f>
        <v>39.9758891321807</v>
      </c>
    </row>
    <row r="209" customFormat="false" ht="17.15" hidden="false" customHeight="false" outlineLevel="0" collapsed="false">
      <c r="A209" s="1" t="s">
        <v>961</v>
      </c>
    </row>
    <row r="210" customFormat="false" ht="17.15" hidden="false" customHeight="false" outlineLevel="0" collapsed="false">
      <c r="A210" s="4" t="s">
        <v>17</v>
      </c>
      <c r="B210" s="4" t="s">
        <v>18</v>
      </c>
      <c r="C210" s="13" t="s">
        <v>494</v>
      </c>
      <c r="D210" s="13" t="s">
        <v>581</v>
      </c>
      <c r="E210" s="13" t="s">
        <v>582</v>
      </c>
      <c r="F210" s="13" t="s">
        <v>583</v>
      </c>
      <c r="G210" s="13" t="s">
        <v>584</v>
      </c>
      <c r="H210" s="13" t="s">
        <v>585</v>
      </c>
      <c r="I210" s="13" t="s">
        <v>586</v>
      </c>
      <c r="J210" s="13" t="s">
        <v>587</v>
      </c>
      <c r="K210" s="4" t="s">
        <v>549</v>
      </c>
    </row>
    <row r="211" customFormat="false" ht="17.15" hidden="false" customHeight="false" outlineLevel="0" collapsed="false">
      <c r="A211" s="5" t="s">
        <v>605</v>
      </c>
    </row>
    <row r="212" customFormat="false" ht="17.15" hidden="false" customHeight="false" outlineLevel="0" collapsed="false">
      <c r="A212" s="0" t="s">
        <v>606</v>
      </c>
      <c r="B212" s="3" t="s">
        <v>28</v>
      </c>
      <c r="D212" s="21" t="n">
        <f aca="false">(u_bw_26+u_rb_26+u_ru_26+u_hp_26)*1</f>
        <v>7.6</v>
      </c>
      <c r="E212" s="21" t="n">
        <f aca="false">(u_bw_27+u_rb_27+u_ru_27+u_hp_27)*1*1</f>
        <v>9.7</v>
      </c>
      <c r="F212" s="21" t="n">
        <f aca="false">(u_bw_28+u_rb_28+u_ru_28+u_hp_28)*um28_A*1</f>
        <v>9.5</v>
      </c>
      <c r="G212" s="21" t="n">
        <f aca="false">(u_bw_28*(1+g29_bw)+u_rb_28*(1+g29_rb)+u_ru_28*(1+g29_ru)+u_hp_28*(1+g29_hp))*um29_A*1</f>
        <v>10.6</v>
      </c>
      <c r="K212" s="7" t="s">
        <v>607</v>
      </c>
    </row>
    <row r="213" customFormat="false" ht="17.15" hidden="false" customHeight="false" outlineLevel="0" collapsed="false">
      <c r="A213" s="3" t="s">
        <v>608</v>
      </c>
      <c r="B213" s="3" t="s">
        <v>28</v>
      </c>
      <c r="D213" s="21" t="n">
        <f aca="false">(u_amd_26+u_tpu_26+u_trn_26+u_oth_26)*1</f>
        <v>7.6</v>
      </c>
      <c r="E213" s="21" t="n">
        <f aca="false">(u_amd_27+u_tpu_27+u_trn_27+u_oth_27)*1*1</f>
        <v>14</v>
      </c>
      <c r="F213" s="21" t="n">
        <f aca="false">(u_amd_28+u_tpu_28+u_trn_28+u_oth_28)*um28_A*1</f>
        <v>17</v>
      </c>
      <c r="G213" s="21" t="n">
        <f aca="false">(u_amd_28*(1+g29_amd)+u_tpu_28*(1+g29_tpu)+u_trn_28*(1+g29_trn)+u_oth_28*(1+g29_oth))*um29_A*1</f>
        <v>19.55</v>
      </c>
      <c r="K213" s="7" t="s">
        <v>609</v>
      </c>
    </row>
    <row r="214" customFormat="false" ht="17.15" hidden="false" customHeight="false" outlineLevel="0" collapsed="false">
      <c r="A214" s="3" t="s">
        <v>610</v>
      </c>
      <c r="B214" s="0" t="s">
        <v>150</v>
      </c>
      <c r="D214" s="19" t="n">
        <f aca="false">1</f>
        <v>1</v>
      </c>
      <c r="E214" s="19" t="n">
        <f aca="false">D214*(1+g_asp)</f>
        <v>1.18</v>
      </c>
      <c r="F214" s="19" t="n">
        <f aca="false">E214*(1+g_asp)</f>
        <v>1.3924</v>
      </c>
      <c r="G214" s="19" t="n">
        <f aca="false">F214*(1+g_asp)</f>
        <v>1.643032</v>
      </c>
      <c r="K214" s="7" t="s">
        <v>611</v>
      </c>
    </row>
    <row r="215" customFormat="false" ht="17.15" hidden="false" customHeight="false" outlineLevel="0" collapsed="false">
      <c r="A215" s="0" t="s">
        <v>612</v>
      </c>
      <c r="B215" s="0" t="s">
        <v>150</v>
      </c>
      <c r="D215" s="18" t="n">
        <f aca="false">1</f>
        <v>1</v>
      </c>
      <c r="E215" s="18" t="n">
        <f aca="false">ibpp_27</f>
        <v>1</v>
      </c>
      <c r="F215" s="18" t="n">
        <f aca="false">ibpp_28</f>
        <v>0.95</v>
      </c>
      <c r="G215" s="18" t="n">
        <f aca="false">ibpp_29</f>
        <v>0.9</v>
      </c>
      <c r="K215" s="7" t="s">
        <v>613</v>
      </c>
    </row>
    <row r="216" customFormat="false" ht="17.15" hidden="false" customHeight="false" outlineLevel="0" collapsed="false">
      <c r="A216" s="3" t="s">
        <v>614</v>
      </c>
      <c r="B216" s="0" t="s">
        <v>150</v>
      </c>
      <c r="D216" s="18" t="n">
        <f aca="false">1</f>
        <v>1</v>
      </c>
      <c r="E216" s="18" t="n">
        <f aca="false">1+carry</f>
        <v>1.15</v>
      </c>
      <c r="F216" s="18" t="n">
        <f aca="false">1+carry</f>
        <v>1.15</v>
      </c>
      <c r="G216" s="18" t="n">
        <f aca="false">1+carry</f>
        <v>1.15</v>
      </c>
      <c r="K216" s="7" t="s">
        <v>615</v>
      </c>
    </row>
    <row r="217" customFormat="false" ht="17.15" hidden="false" customHeight="false" outlineLevel="0" collapsed="false">
      <c r="A217" s="3" t="s">
        <v>616</v>
      </c>
      <c r="B217" s="0" t="s">
        <v>617</v>
      </c>
      <c r="D217" s="23" t="n">
        <f aca="false">v26*D214*D215</f>
        <v>215.308596</v>
      </c>
      <c r="E217" s="23" t="n">
        <f aca="false">v26*E214*E215</f>
        <v>254.06414328</v>
      </c>
      <c r="F217" s="23" t="n">
        <f aca="false">v26*F214*F215</f>
        <v>284.80590461688</v>
      </c>
      <c r="G217" s="23" t="n">
        <f aca="false">v26*G214*G215</f>
        <v>318.383021792765</v>
      </c>
      <c r="K217" s="7" t="s">
        <v>618</v>
      </c>
    </row>
    <row r="218" customFormat="false" ht="17.15" hidden="false" customHeight="false" outlineLevel="0" collapsed="false">
      <c r="A218" s="3" t="s">
        <v>619</v>
      </c>
      <c r="B218" s="0" t="s">
        <v>40</v>
      </c>
      <c r="D218" s="20" t="n">
        <f aca="false">sh_nv_26</f>
        <v>0.02</v>
      </c>
      <c r="E218" s="20" t="n">
        <f aca="false">sh_nv_27</f>
        <v>0.03</v>
      </c>
      <c r="F218" s="20" t="n">
        <f aca="false">sh_nv_28</f>
        <v>0.04</v>
      </c>
      <c r="G218" s="20" t="n">
        <f aca="false">sh_nv_29</f>
        <v>0.04</v>
      </c>
    </row>
    <row r="219" customFormat="false" ht="17.15" hidden="false" customHeight="false" outlineLevel="0" collapsed="false">
      <c r="A219" s="3" t="s">
        <v>620</v>
      </c>
      <c r="B219" s="0" t="s">
        <v>40</v>
      </c>
      <c r="D219" s="20" t="n">
        <f aca="false">sh_ot_26</f>
        <v>0.05</v>
      </c>
      <c r="E219" s="20" t="n">
        <f aca="false">sh_ot_27</f>
        <v>0.06</v>
      </c>
      <c r="F219" s="20" t="n">
        <f aca="false">sh_ot_28</f>
        <v>0.07</v>
      </c>
      <c r="G219" s="20" t="n">
        <f aca="false">sh_ot_29</f>
        <v>0.07</v>
      </c>
    </row>
    <row r="220" customFormat="false" ht="17.15" hidden="false" customHeight="false" outlineLevel="0" collapsed="false">
      <c r="A220" s="3" t="s">
        <v>621</v>
      </c>
      <c r="B220" s="0" t="s">
        <v>571</v>
      </c>
      <c r="D220" s="22" t="n">
        <f aca="false">(D212*D217*D218+D213*D217*v_ot*D219)*D216</f>
        <v>98.180719776</v>
      </c>
      <c r="E220" s="22" t="n">
        <f aca="false">(E212*E217*E218+E213*E217*v_ot*E219)*E216</f>
        <v>281.363335475436</v>
      </c>
      <c r="F220" s="22" t="n">
        <f aca="false">(F212*F217*F218+F213*F217*v_ot*F219)*F216</f>
        <v>436.265684692137</v>
      </c>
      <c r="G220" s="22" t="n">
        <f aca="false">(G212*G217*G218+G213*G217*v_ot*G219)*G216</f>
        <v>556.094153523679</v>
      </c>
    </row>
    <row r="221" customFormat="false" ht="15" hidden="false" customHeight="false" outlineLevel="0" collapsed="false">
      <c r="A221" s="3" t="s">
        <v>622</v>
      </c>
      <c r="B221" s="0" t="s">
        <v>329</v>
      </c>
      <c r="D221" s="21" t="n">
        <f aca="false">D220*fx/1000</f>
        <v>3.19087339272</v>
      </c>
      <c r="E221" s="21" t="n">
        <f aca="false">E220*fx/1000</f>
        <v>9.14430840295167</v>
      </c>
      <c r="F221" s="21" t="n">
        <f aca="false">F220*fx/1000</f>
        <v>14.1786347524944</v>
      </c>
      <c r="G221" s="21" t="n">
        <f aca="false">G220*fx/1000</f>
        <v>18.0730599895196</v>
      </c>
    </row>
    <row r="222" customFormat="false" ht="17.15" hidden="false" customHeight="false" outlineLevel="0" collapsed="false">
      <c r="A222" s="5" t="s">
        <v>623</v>
      </c>
    </row>
    <row r="223" customFormat="false" ht="17.15" hidden="false" customHeight="false" outlineLevel="0" collapsed="false">
      <c r="A223" s="0" t="s">
        <v>624</v>
      </c>
      <c r="B223" s="0" t="s">
        <v>329</v>
      </c>
      <c r="D223" s="21" t="n">
        <f aca="false">a26_abf*ai_abf</f>
        <v>22.2987583</v>
      </c>
      <c r="K223" s="3" t="s">
        <v>625</v>
      </c>
    </row>
    <row r="224" customFormat="false" ht="17.15" hidden="false" customHeight="false" outlineLevel="0" collapsed="false">
      <c r="A224" s="3" t="s">
        <v>626</v>
      </c>
      <c r="B224" s="0" t="s">
        <v>329</v>
      </c>
      <c r="D224" s="21" t="n">
        <f aca="false">D223-D221</f>
        <v>19.10788490728</v>
      </c>
      <c r="E224" s="21" t="n">
        <f aca="false">$D224*(swm_27/swm_26)^el_o*1*1*E215*E216</f>
        <v>30.7354094978265</v>
      </c>
      <c r="F224" s="21" t="n">
        <f aca="false">$D224*(swm_28/swm_26)^el_o*um28_A*1*F215*F216</f>
        <v>31.4104002135205</v>
      </c>
      <c r="G224" s="21" t="n">
        <f aca="false">$D224*(swm_29/swm_26)^el_o*um29_A*1*G215*G216</f>
        <v>31.7452412889375</v>
      </c>
      <c r="K224" s="7" t="s">
        <v>627</v>
      </c>
    </row>
    <row r="225" customFormat="false" ht="17.15" hidden="false" customHeight="false" outlineLevel="0" collapsed="false">
      <c r="A225" s="3" t="s">
        <v>628</v>
      </c>
      <c r="B225" s="0" t="s">
        <v>329</v>
      </c>
      <c r="D225" s="21" t="n">
        <f aca="false">a26_abf-D223</f>
        <v>12.0070237</v>
      </c>
      <c r="E225" s="21" t="n">
        <f aca="false">D225*(1+g_nai)</f>
        <v>12.367234411</v>
      </c>
      <c r="F225" s="21" t="n">
        <f aca="false">E225*(1+g_nai)</f>
        <v>12.73825144333</v>
      </c>
      <c r="G225" s="21" t="n">
        <f aca="false">F225*(1+g_nai)</f>
        <v>13.1203989866299</v>
      </c>
    </row>
    <row r="226" customFormat="false" ht="17.15" hidden="false" customHeight="false" outlineLevel="0" collapsed="false">
      <c r="A226" s="0" t="s">
        <v>629</v>
      </c>
      <c r="B226" s="0" t="s">
        <v>329</v>
      </c>
      <c r="D226" s="21" t="n">
        <f aca="false">D221+D224+D225</f>
        <v>34.305782</v>
      </c>
      <c r="E226" s="21" t="n">
        <f aca="false">E221+E224+E225</f>
        <v>52.2469523117781</v>
      </c>
      <c r="F226" s="21" t="n">
        <f aca="false">F221+F224+F225</f>
        <v>58.3272864093449</v>
      </c>
      <c r="G226" s="21" t="n">
        <f aca="false">G221+G224+G225</f>
        <v>62.9387002650869</v>
      </c>
    </row>
    <row r="227" customFormat="false" ht="17.15" hidden="false" customHeight="false" outlineLevel="0" collapsed="false">
      <c r="A227" s="0" t="s">
        <v>630</v>
      </c>
      <c r="B227" s="0" t="s">
        <v>329</v>
      </c>
      <c r="D227" s="21" t="n">
        <f aca="false">a26_abf</f>
        <v>34.305782</v>
      </c>
      <c r="E227" s="21" t="n">
        <f aca="false">$D226*cap_27_hi*(1+g_mix)^1*E215*E216</f>
        <v>53.8515012945</v>
      </c>
      <c r="F227" s="21" t="n">
        <f aca="false">$D226*cap_28_hi*(1+g_mix)^2*F215*F216</f>
        <v>61.9810067783813</v>
      </c>
      <c r="G227" s="21" t="n">
        <f aca="false">$D226*cap_29_hi*(1+g_mix)^3*G215*G216</f>
        <v>76.0409088423193</v>
      </c>
      <c r="K227" s="7" t="s">
        <v>631</v>
      </c>
    </row>
    <row r="228" customFormat="false" ht="17.15" hidden="false" customHeight="false" outlineLevel="0" collapsed="false">
      <c r="A228" s="0" t="s">
        <v>632</v>
      </c>
      <c r="B228" s="0" t="s">
        <v>329</v>
      </c>
      <c r="D228" s="21" t="n">
        <f aca="false">a26_abf</f>
        <v>34.305782</v>
      </c>
      <c r="E228" s="21" t="n">
        <f aca="false">MIN(E226,E227)</f>
        <v>52.2469523117781</v>
      </c>
      <c r="F228" s="21" t="n">
        <f aca="false">MIN(F226,F227)</f>
        <v>58.3272864093449</v>
      </c>
      <c r="G228" s="21" t="n">
        <f aca="false">MIN(G226,G227)</f>
        <v>62.9387002650869</v>
      </c>
    </row>
    <row r="229" customFormat="false" ht="17.15" hidden="false" customHeight="false" outlineLevel="0" collapsed="false">
      <c r="A229" s="3" t="s">
        <v>633</v>
      </c>
      <c r="B229" s="0" t="s">
        <v>40</v>
      </c>
      <c r="D229" s="20" t="n">
        <f aca="false">D228/D226</f>
        <v>1</v>
      </c>
      <c r="E229" s="20" t="n">
        <f aca="false">E228/E226</f>
        <v>1</v>
      </c>
      <c r="F229" s="20" t="n">
        <f aca="false">F228/F226</f>
        <v>1</v>
      </c>
      <c r="G229" s="20" t="n">
        <f aca="false">G228/G226</f>
        <v>1</v>
      </c>
    </row>
    <row r="230" customFormat="false" ht="17.15" hidden="false" customHeight="false" outlineLevel="0" collapsed="false">
      <c r="A230" s="0" t="s">
        <v>634</v>
      </c>
      <c r="B230" s="0" t="s">
        <v>329</v>
      </c>
      <c r="D230" s="21" t="n">
        <f aca="false">(D221+D224)*D229</f>
        <v>22.2987583</v>
      </c>
      <c r="E230" s="21" t="n">
        <f aca="false">(E221+E224)*E229</f>
        <v>39.8797179007781</v>
      </c>
      <c r="F230" s="21" t="n">
        <f aca="false">(F221+F224)*F229</f>
        <v>45.5890349660149</v>
      </c>
      <c r="G230" s="21" t="n">
        <f aca="false">(G221+G224)*G229</f>
        <v>49.818301278457</v>
      </c>
    </row>
    <row r="231" customFormat="false" ht="17.15" hidden="false" customHeight="false" outlineLevel="0" collapsed="false">
      <c r="A231" s="3" t="s">
        <v>635</v>
      </c>
      <c r="B231" s="0" t="s">
        <v>40</v>
      </c>
      <c r="D231" s="20" t="n">
        <f aca="false">D221/(D221+D224)</f>
        <v>0.14309646078903</v>
      </c>
      <c r="E231" s="20" t="n">
        <f aca="false">E221/(E221+E224)</f>
        <v>0.229297218844501</v>
      </c>
      <c r="F231" s="20" t="n">
        <f aca="false">F221/(F221+F224)</f>
        <v>0.311009758444419</v>
      </c>
      <c r="G231" s="20" t="n">
        <f aca="false">G221/(G221+G224)</f>
        <v>0.362779531331288</v>
      </c>
    </row>
    <row r="232" customFormat="false" ht="17.15" hidden="false" customHeight="false" outlineLevel="0" collapsed="false">
      <c r="A232" s="5" t="s">
        <v>636</v>
      </c>
    </row>
    <row r="233" customFormat="false" ht="17.15" hidden="false" customHeight="false" outlineLevel="0" collapsed="false">
      <c r="A233" s="0" t="s">
        <v>637</v>
      </c>
      <c r="B233" s="0" t="s">
        <v>329</v>
      </c>
      <c r="D233" s="21" t="n">
        <f aca="false">a26_bt</f>
        <v>18.927328</v>
      </c>
      <c r="E233" s="21" t="n">
        <f aca="false">D233*(1+g_bt27_A)</f>
        <v>24.6055264</v>
      </c>
      <c r="F233" s="21" t="n">
        <f aca="false">E233*(1+g_bt28_A)</f>
        <v>27.06607904</v>
      </c>
      <c r="G233" s="21" t="n">
        <f aca="false">F233*(1+g_bt29_A)</f>
        <v>28.419382992</v>
      </c>
      <c r="K233" s="7" t="s">
        <v>638</v>
      </c>
    </row>
    <row r="234" customFormat="false" ht="17.15" hidden="false" customHeight="false" outlineLevel="0" collapsed="false">
      <c r="A234" s="0" t="s">
        <v>536</v>
      </c>
      <c r="B234" s="0" t="s">
        <v>329</v>
      </c>
      <c r="D234" s="21" t="n">
        <f aca="false">a26_pcb</f>
        <v>5.91479</v>
      </c>
      <c r="E234" s="21" t="n">
        <f aca="false">D234*(1+g_pcb)</f>
        <v>5.91479</v>
      </c>
      <c r="F234" s="21" t="n">
        <f aca="false">E234*(1+g_pcb)</f>
        <v>5.91479</v>
      </c>
      <c r="G234" s="21" t="n">
        <f aca="false">F234*(1+g_pcb)</f>
        <v>5.91479</v>
      </c>
    </row>
    <row r="235" customFormat="false" ht="17.15" hidden="false" customHeight="false" outlineLevel="0" collapsed="false">
      <c r="A235" s="3" t="s">
        <v>501</v>
      </c>
      <c r="B235" s="0" t="s">
        <v>329</v>
      </c>
      <c r="C235" s="23" t="n">
        <f aca="false">a25_rev</f>
        <v>40.173</v>
      </c>
      <c r="D235" s="23" t="n">
        <f aca="false">D228+D233+D234</f>
        <v>59.1479</v>
      </c>
      <c r="E235" s="23" t="n">
        <f aca="false">E228+E233+E234</f>
        <v>82.7672687117781</v>
      </c>
      <c r="F235" s="23" t="n">
        <f aca="false">F228+F233+F234</f>
        <v>91.3081554493449</v>
      </c>
      <c r="G235" s="23" t="n">
        <f aca="false">G228+G233+G234</f>
        <v>97.2728732570869</v>
      </c>
      <c r="H235" s="25" t="n">
        <f aca="false">G235*(1+H236)</f>
        <v>103.454573267935</v>
      </c>
      <c r="I235" s="25" t="n">
        <f aca="false">H235*(1+I236)</f>
        <v>109.845484272528</v>
      </c>
      <c r="J235" s="25" t="n">
        <f aca="false">I235*(1+J236)</f>
        <v>116.43621332888</v>
      </c>
      <c r="K235" s="7" t="s">
        <v>639</v>
      </c>
    </row>
    <row r="236" customFormat="false" ht="15" hidden="false" customHeight="false" outlineLevel="0" collapsed="false">
      <c r="A236" s="3" t="s">
        <v>640</v>
      </c>
      <c r="B236" s="0" t="s">
        <v>40</v>
      </c>
      <c r="D236" s="20" t="n">
        <f aca="false">D235/C235-1</f>
        <v>0.472329674159261</v>
      </c>
      <c r="E236" s="20" t="n">
        <f aca="false">E235/D235-1</f>
        <v>0.399327257802528</v>
      </c>
      <c r="F236" s="20" t="n">
        <f aca="false">F235/E235-1</f>
        <v>0.103191598206639</v>
      </c>
      <c r="G236" s="20" t="n">
        <f aca="false">G235/F235-1</f>
        <v>0.0653251374796535</v>
      </c>
      <c r="H236" s="26" t="n">
        <f aca="false">$G236+(fade_gA-$G236)*1/3</f>
        <v>0.0635500916531023</v>
      </c>
      <c r="I236" s="26" t="n">
        <f aca="false">$G236+(fade_gA-$G236)*2/3</f>
        <v>0.0617750458265512</v>
      </c>
      <c r="J236" s="26" t="n">
        <f aca="false">$G236+(fade_gA-$G236)*3/3</f>
        <v>0.06</v>
      </c>
    </row>
    <row r="237" customFormat="false" ht="17.15" hidden="false" customHeight="false" outlineLevel="0" collapsed="false">
      <c r="A237" s="0" t="s">
        <v>641</v>
      </c>
      <c r="B237" s="0" t="s">
        <v>40</v>
      </c>
      <c r="D237" s="20" t="n">
        <f aca="false">D228/D235</f>
        <v>0.58</v>
      </c>
      <c r="E237" s="20" t="n">
        <f aca="false">E228/E235</f>
        <v>0.631251376600557</v>
      </c>
      <c r="F237" s="20" t="n">
        <f aca="false">F228/F235</f>
        <v>0.638796021256865</v>
      </c>
      <c r="G237" s="20" t="n">
        <f aca="false">G228/G235</f>
        <v>0.647032396161912</v>
      </c>
    </row>
    <row r="238" customFormat="false" ht="17.15" hidden="false" customHeight="false" outlineLevel="0" collapsed="false">
      <c r="A238" s="0" t="s">
        <v>642</v>
      </c>
      <c r="B238" s="0" t="s">
        <v>40</v>
      </c>
      <c r="D238" s="20" t="n">
        <f aca="false">D230/D235</f>
        <v>0.377</v>
      </c>
      <c r="E238" s="20" t="n">
        <f aca="false">E230/E235</f>
        <v>0.48182957492112</v>
      </c>
      <c r="F238" s="20" t="n">
        <f aca="false">F230/F235</f>
        <v>0.499287656635517</v>
      </c>
      <c r="G238" s="20" t="n">
        <f aca="false">G230/G235</f>
        <v>0.512149992185282</v>
      </c>
      <c r="K238" s="3" t="s">
        <v>643</v>
      </c>
    </row>
    <row r="239" customFormat="false" ht="17.15" hidden="false" customHeight="false" outlineLevel="0" collapsed="false">
      <c r="A239" s="5" t="s">
        <v>644</v>
      </c>
    </row>
    <row r="240" customFormat="false" ht="15" hidden="false" customHeight="false" outlineLevel="0" collapsed="false">
      <c r="A240" s="3" t="s">
        <v>645</v>
      </c>
      <c r="B240" s="0" t="s">
        <v>329</v>
      </c>
      <c r="C240" s="23" t="n">
        <f aca="false">a25_cx</f>
        <v>2.422</v>
      </c>
      <c r="D240" s="23" t="n">
        <f aca="false">capex26</f>
        <v>4</v>
      </c>
      <c r="E240" s="23" t="n">
        <f aca="false">cx27</f>
        <v>14</v>
      </c>
      <c r="F240" s="23" t="n">
        <f aca="false">cx28</f>
        <v>18</v>
      </c>
      <c r="G240" s="23" t="n">
        <f aca="false">cx29</f>
        <v>12</v>
      </c>
      <c r="H240" s="25" t="n">
        <f aca="false">H235*H257</f>
        <v>12.208042125229</v>
      </c>
      <c r="I240" s="25" t="n">
        <f aca="false">I235*I257</f>
        <v>12.3733776062892</v>
      </c>
      <c r="J240" s="25" t="n">
        <f aca="false">J235*J257</f>
        <v>12.4916343691477</v>
      </c>
    </row>
    <row r="241" customFormat="false" ht="17.15" hidden="false" customHeight="false" outlineLevel="0" collapsed="false">
      <c r="A241" s="3" t="s">
        <v>646</v>
      </c>
      <c r="B241" s="0" t="s">
        <v>329</v>
      </c>
      <c r="C241" s="23" t="n">
        <f aca="false">a25_da</f>
        <v>6.894</v>
      </c>
      <c r="D241" s="23" t="n">
        <f aca="false">da26</f>
        <v>7.1</v>
      </c>
      <c r="E241" s="23" t="n">
        <f aca="false">D241*(1-1/life)+D240/life</f>
        <v>6.7125</v>
      </c>
      <c r="F241" s="23" t="n">
        <f aca="false">E241*(1-1/life)+E240/life</f>
        <v>7.6234375</v>
      </c>
      <c r="G241" s="23" t="n">
        <f aca="false">F241*(1-1/life)+F240/life</f>
        <v>8.9205078125</v>
      </c>
      <c r="H241" s="25" t="n">
        <f aca="false">H235*H242</f>
        <v>9.48740690157659</v>
      </c>
      <c r="I241" s="25" t="n">
        <f aca="false">I235*I242</f>
        <v>10.0734918976966</v>
      </c>
      <c r="J241" s="25" t="n">
        <f aca="false">J235*J242</f>
        <v>10.6779014115584</v>
      </c>
      <c r="K241" s="3" t="s">
        <v>647</v>
      </c>
    </row>
    <row r="242" customFormat="false" ht="17.15" hidden="false" customHeight="false" outlineLevel="0" collapsed="false">
      <c r="A242" s="3" t="s">
        <v>648</v>
      </c>
      <c r="B242" s="0" t="s">
        <v>40</v>
      </c>
      <c r="C242" s="20" t="n">
        <f aca="false">C241/C235</f>
        <v>0.171607796281084</v>
      </c>
      <c r="D242" s="20" t="n">
        <f aca="false">D241/D235</f>
        <v>0.120038074048276</v>
      </c>
      <c r="E242" s="20" t="n">
        <f aca="false">E241/E235</f>
        <v>0.0811009002045851</v>
      </c>
      <c r="F242" s="20" t="n">
        <f aca="false">F241/F235</f>
        <v>0.0834913098669402</v>
      </c>
      <c r="G242" s="20" t="n">
        <f aca="false">G241/G235</f>
        <v>0.0917060174517882</v>
      </c>
      <c r="H242" s="26" t="n">
        <f aca="false">$G242</f>
        <v>0.0917060174517882</v>
      </c>
      <c r="I242" s="26" t="n">
        <f aca="false">$G242</f>
        <v>0.0917060174517882</v>
      </c>
      <c r="J242" s="26" t="n">
        <f aca="false">$G242</f>
        <v>0.0917060174517882</v>
      </c>
    </row>
    <row r="243" customFormat="false" ht="17.15" hidden="false" customHeight="false" outlineLevel="0" collapsed="false">
      <c r="A243" s="3" t="s">
        <v>649</v>
      </c>
      <c r="B243" s="0" t="s">
        <v>329</v>
      </c>
      <c r="E243" s="21" t="n">
        <f aca="false">E230*(1-1/(E215*E216))</f>
        <v>5.2017023348841</v>
      </c>
      <c r="F243" s="21" t="n">
        <f aca="false">F230*(1-1/(F215*F216))</f>
        <v>3.85994117561224</v>
      </c>
      <c r="G243" s="21" t="n">
        <f aca="false">G230*(1-1/(G215*G216))</f>
        <v>1.68467685482705</v>
      </c>
      <c r="K243" s="7" t="s">
        <v>650</v>
      </c>
    </row>
    <row r="244" customFormat="false" ht="17.15" hidden="false" customHeight="false" outlineLevel="0" collapsed="false">
      <c r="A244" s="3" t="s">
        <v>651</v>
      </c>
      <c r="B244" s="0" t="s">
        <v>329</v>
      </c>
      <c r="C244" s="21" t="n">
        <f aca="false">a25_gp</f>
        <v>3.647</v>
      </c>
      <c r="D244" s="21" t="n">
        <f aca="false">a26_gp</f>
        <v>15.9001925</v>
      </c>
      <c r="E244" s="21" t="n">
        <f aca="false">$D244+ft_abf*(E228-E243-$D228)+ft_oth*((E235-E228)-($D235-$D228))+E243-(E241-$D241)</f>
        <v>30.1304081833311</v>
      </c>
      <c r="F244" s="21" t="n">
        <f aca="false">$D244+ft_abf*(F228-F243-$D228)+ft_oth*((F235-F228)-($D235-$D228))+F243-(F241-$D241)</f>
        <v>32.5729782084786</v>
      </c>
      <c r="G244" s="21" t="n">
        <f aca="false">$D244+ft_abf*(G228-G243-$D228)+ft_oth*((G235-G228)-($D235-$D228))+G243-(G241-$D241)</f>
        <v>33.035304244257</v>
      </c>
      <c r="K244" s="3" t="s">
        <v>652</v>
      </c>
    </row>
    <row r="245" customFormat="false" ht="15" hidden="false" customHeight="false" outlineLevel="0" collapsed="false">
      <c r="A245" s="3" t="s">
        <v>508</v>
      </c>
      <c r="B245" s="0" t="s">
        <v>40</v>
      </c>
      <c r="C245" s="16" t="n">
        <f aca="false">C244/C235</f>
        <v>0.0907823662659</v>
      </c>
      <c r="D245" s="16" t="n">
        <f aca="false">D244/D235</f>
        <v>0.268820913337583</v>
      </c>
      <c r="E245" s="16" t="n">
        <f aca="false">E244/E235</f>
        <v>0.364037724722496</v>
      </c>
      <c r="F245" s="16" t="n">
        <f aca="false">F244/F235</f>
        <v>0.356736789262478</v>
      </c>
      <c r="G245" s="16" t="n">
        <f aca="false">G244/G235</f>
        <v>0.339614767592466</v>
      </c>
    </row>
    <row r="246" customFormat="false" ht="15" hidden="false" customHeight="false" outlineLevel="0" collapsed="false">
      <c r="A246" s="3" t="s">
        <v>510</v>
      </c>
      <c r="B246" s="0" t="s">
        <v>329</v>
      </c>
      <c r="C246" s="21" t="n">
        <f aca="false">a25_opx</f>
        <v>1.665</v>
      </c>
      <c r="D246" s="21" t="n">
        <f aca="false">a26_opx</f>
        <v>1.9</v>
      </c>
      <c r="E246" s="21" t="n">
        <f aca="false">D246*(1+phi*E236)</f>
        <v>2.35523307389488</v>
      </c>
      <c r="F246" s="21" t="n">
        <f aca="false">E246*(1+phi*F236)</f>
        <v>2.50105723292149</v>
      </c>
      <c r="G246" s="21" t="n">
        <f aca="false">F246*(1+phi*G236)</f>
        <v>2.59908637747254</v>
      </c>
    </row>
    <row r="247" customFormat="false" ht="15" hidden="false" customHeight="false" outlineLevel="0" collapsed="false">
      <c r="A247" s="3" t="s">
        <v>513</v>
      </c>
      <c r="B247" s="0" t="s">
        <v>329</v>
      </c>
      <c r="C247" s="21" t="n">
        <f aca="false">C244-C246</f>
        <v>1.982</v>
      </c>
      <c r="D247" s="21" t="n">
        <f aca="false">D244-D246</f>
        <v>14.0001925</v>
      </c>
      <c r="E247" s="21" t="n">
        <f aca="false">E244-E246</f>
        <v>27.7751751094362</v>
      </c>
      <c r="F247" s="21" t="n">
        <f aca="false">F244-F246</f>
        <v>30.0719209755571</v>
      </c>
      <c r="G247" s="21" t="n">
        <f aca="false">G244-G246</f>
        <v>30.4362178667845</v>
      </c>
    </row>
    <row r="248" customFormat="false" ht="15" hidden="false" customHeight="false" outlineLevel="0" collapsed="false">
      <c r="A248" s="3" t="s">
        <v>594</v>
      </c>
      <c r="B248" s="0" t="s">
        <v>40</v>
      </c>
      <c r="C248" s="16" t="n">
        <f aca="false">C247/C235</f>
        <v>0.0493366191222961</v>
      </c>
      <c r="D248" s="16" t="n">
        <f aca="false">D247/D235</f>
        <v>0.236698048451424</v>
      </c>
      <c r="E248" s="16" t="n">
        <f aca="false">E247/E235</f>
        <v>0.335581631987377</v>
      </c>
      <c r="F248" s="16" t="n">
        <f aca="false">F247/F235</f>
        <v>0.329345399954335</v>
      </c>
      <c r="G248" s="16" t="n">
        <f aca="false">G247/G235</f>
        <v>0.312895228110957</v>
      </c>
    </row>
    <row r="249" customFormat="false" ht="15" hidden="false" customHeight="false" outlineLevel="0" collapsed="false">
      <c r="A249" s="3" t="s">
        <v>516</v>
      </c>
      <c r="B249" s="0" t="s">
        <v>329</v>
      </c>
      <c r="C249" s="21" t="n">
        <f aca="false">a25_nonop</f>
        <v>0.364</v>
      </c>
      <c r="D249" s="21" t="n">
        <f aca="false">a26_nonop</f>
        <v>0.623</v>
      </c>
      <c r="E249" s="21" t="n">
        <f aca="false">nonop27</f>
        <v>0.6</v>
      </c>
      <c r="F249" s="21" t="n">
        <f aca="false">nonop28</f>
        <v>0.6</v>
      </c>
      <c r="G249" s="21" t="n">
        <f aca="false">nonop29</f>
        <v>0.6</v>
      </c>
    </row>
    <row r="250" customFormat="false" ht="15" hidden="false" customHeight="false" outlineLevel="0" collapsed="false">
      <c r="A250" s="3" t="s">
        <v>518</v>
      </c>
      <c r="B250" s="0" t="s">
        <v>329</v>
      </c>
      <c r="C250" s="21" t="n">
        <f aca="false">C247+C249</f>
        <v>2.346</v>
      </c>
      <c r="D250" s="21" t="n">
        <f aca="false">D247+D249</f>
        <v>14.6231925</v>
      </c>
      <c r="E250" s="21" t="n">
        <f aca="false">E247+E249</f>
        <v>28.3751751094362</v>
      </c>
      <c r="F250" s="21" t="n">
        <f aca="false">F247+F249</f>
        <v>30.6719209755571</v>
      </c>
      <c r="G250" s="21" t="n">
        <f aca="false">G247+G249</f>
        <v>31.0362178667845</v>
      </c>
    </row>
    <row r="251" customFormat="false" ht="15" hidden="false" customHeight="false" outlineLevel="0" collapsed="false">
      <c r="A251" s="3" t="s">
        <v>521</v>
      </c>
      <c r="B251" s="0" t="s">
        <v>329</v>
      </c>
      <c r="E251" s="21" t="n">
        <f aca="false">E250*tax</f>
        <v>5.95878677298161</v>
      </c>
      <c r="F251" s="21" t="n">
        <f aca="false">F250*tax</f>
        <v>6.44110340486699</v>
      </c>
      <c r="G251" s="21" t="n">
        <f aca="false">G250*tax</f>
        <v>6.51760575202474</v>
      </c>
    </row>
    <row r="252" customFormat="false" ht="15" hidden="false" customHeight="false" outlineLevel="0" collapsed="false">
      <c r="A252" s="3" t="s">
        <v>519</v>
      </c>
      <c r="B252" s="0" t="s">
        <v>329</v>
      </c>
      <c r="C252" s="21" t="n">
        <f aca="false">a25_ni</f>
        <v>1.947</v>
      </c>
      <c r="D252" s="21" t="n">
        <f aca="false">a26_ni</f>
        <v>11.509862075</v>
      </c>
      <c r="E252" s="21" t="n">
        <f aca="false">E250-E251</f>
        <v>22.4163883364546</v>
      </c>
      <c r="F252" s="21" t="n">
        <f aca="false">F250-F251</f>
        <v>24.2308175706901</v>
      </c>
      <c r="G252" s="21" t="n">
        <f aca="false">G250-G251</f>
        <v>24.5186121147597</v>
      </c>
      <c r="H252" s="30" t="n">
        <f aca="false">H235*H256</f>
        <v>26.0780176736607</v>
      </c>
      <c r="I252" s="30" t="n">
        <f aca="false">I235*I256</f>
        <v>27.6903108638664</v>
      </c>
      <c r="J252" s="30" t="n">
        <f aca="false">J235*J256</f>
        <v>29.353131316249</v>
      </c>
    </row>
    <row r="253" customFormat="false" ht="15" hidden="false" customHeight="false" outlineLevel="0" collapsed="false">
      <c r="A253" s="3" t="s">
        <v>653</v>
      </c>
      <c r="B253" s="3" t="s">
        <v>396</v>
      </c>
      <c r="C253" s="29" t="n">
        <f aca="false">a25_sh</f>
        <v>0.646843853820598</v>
      </c>
      <c r="D253" s="29" t="n">
        <f aca="false">a26_sh</f>
        <v>0.645863325123153</v>
      </c>
      <c r="E253" s="29" t="n">
        <f aca="false">a26_shend*(1+sh_g)</f>
        <v>0.64617</v>
      </c>
      <c r="F253" s="29" t="n">
        <f aca="false">E253*(1+sh_g)</f>
        <v>0.64617</v>
      </c>
      <c r="G253" s="29" t="n">
        <f aca="false">F253*(1+sh_g)</f>
        <v>0.64617</v>
      </c>
      <c r="H253" s="31" t="n">
        <f aca="false">G253*(1+sh_g)</f>
        <v>0.64617</v>
      </c>
      <c r="I253" s="31" t="n">
        <f aca="false">H253*(1+sh_g)</f>
        <v>0.64617</v>
      </c>
      <c r="J253" s="31" t="n">
        <f aca="false">I253*(1+sh_g)</f>
        <v>0.64617</v>
      </c>
    </row>
    <row r="254" customFormat="false" ht="17.15" hidden="false" customHeight="false" outlineLevel="0" collapsed="false">
      <c r="A254" s="0" t="s">
        <v>524</v>
      </c>
      <c r="B254" s="0" t="s">
        <v>402</v>
      </c>
      <c r="C254" s="18" t="n">
        <f aca="false">C252/C253</f>
        <v>3.01</v>
      </c>
      <c r="D254" s="18" t="n">
        <f aca="false">D252/D253</f>
        <v>17.820894339844</v>
      </c>
      <c r="E254" s="18" t="n">
        <f aca="false">E252/E253</f>
        <v>34.6911622892654</v>
      </c>
      <c r="F254" s="18" t="n">
        <f aca="false">F252/F253</f>
        <v>37.499137333349</v>
      </c>
      <c r="G254" s="18" t="n">
        <f aca="false">G252/G253</f>
        <v>37.9445225169224</v>
      </c>
      <c r="H254" s="28" t="n">
        <f aca="false">H252/H253</f>
        <v>40.3578279302052</v>
      </c>
      <c r="I254" s="28" t="n">
        <f aca="false">I252/I253</f>
        <v>42.8529812028821</v>
      </c>
      <c r="J254" s="28" t="n">
        <f aca="false">J252/J253</f>
        <v>45.4263294740533</v>
      </c>
    </row>
    <row r="255" customFormat="false" ht="17.15" hidden="false" customHeight="false" outlineLevel="0" collapsed="false">
      <c r="A255" s="0" t="s">
        <v>654</v>
      </c>
      <c r="B255" s="0" t="s">
        <v>40</v>
      </c>
      <c r="D255" s="20" t="n">
        <f aca="false">D254/C254-1</f>
        <v>4.92056290360265</v>
      </c>
      <c r="E255" s="20" t="n">
        <f aca="false">E254/D254-1</f>
        <v>0.946656639543778</v>
      </c>
      <c r="F255" s="20" t="n">
        <f aca="false">F254/E254-1</f>
        <v>0.0809420860756931</v>
      </c>
      <c r="G255" s="20" t="n">
        <f aca="false">G254/F254-1</f>
        <v>0.0118772114572703</v>
      </c>
      <c r="H255" s="26" t="n">
        <f aca="false">H254/G254-1</f>
        <v>0.0636008902788674</v>
      </c>
      <c r="I255" s="26" t="n">
        <f aca="false">I254/H254-1</f>
        <v>0.0618257572481873</v>
      </c>
      <c r="J255" s="26" t="n">
        <f aca="false">J254/I254-1</f>
        <v>0.060050624225837</v>
      </c>
    </row>
    <row r="256" customFormat="false" ht="17.15" hidden="false" customHeight="false" outlineLevel="0" collapsed="false">
      <c r="A256" s="3" t="s">
        <v>655</v>
      </c>
      <c r="B256" s="0" t="s">
        <v>40</v>
      </c>
      <c r="C256" s="16" t="n">
        <f aca="false">C252/C235</f>
        <v>0.0484653872003585</v>
      </c>
      <c r="D256" s="16" t="n">
        <f aca="false">D252/D235</f>
        <v>0.194594602259759</v>
      </c>
      <c r="E256" s="16" t="n">
        <f aca="false">E252/E235</f>
        <v>0.270836390826374</v>
      </c>
      <c r="F256" s="16" t="n">
        <f aca="false">F252/F235</f>
        <v>0.265374078048621</v>
      </c>
      <c r="G256" s="16" t="n">
        <f aca="false">G252/G235</f>
        <v>0.252060120090813</v>
      </c>
      <c r="H256" s="27" t="n">
        <f aca="false">$G256+(fade_mA-$G256)*1/3</f>
        <v>0.252072159305337</v>
      </c>
      <c r="I256" s="27" t="n">
        <f aca="false">$G256+(fade_mA-$G256)*2/3</f>
        <v>0.252084198519861</v>
      </c>
      <c r="J256" s="27" t="n">
        <f aca="false">$G256+(fade_mA-$G256)*3/3</f>
        <v>0.252096237734386</v>
      </c>
    </row>
    <row r="257" customFormat="false" ht="17.15" hidden="false" customHeight="false" outlineLevel="0" collapsed="false">
      <c r="A257" s="3" t="s">
        <v>656</v>
      </c>
      <c r="B257" s="0" t="s">
        <v>40</v>
      </c>
      <c r="C257" s="20" t="n">
        <f aca="false">C240/C235</f>
        <v>0.0602892489980833</v>
      </c>
      <c r="D257" s="20" t="n">
        <f aca="false">D240/D235</f>
        <v>0.0676270839708595</v>
      </c>
      <c r="E257" s="20" t="n">
        <f aca="false">E240/E235</f>
        <v>0.169148991115708</v>
      </c>
      <c r="F257" s="20" t="n">
        <f aca="false">F240/F235</f>
        <v>0.197134636127721</v>
      </c>
      <c r="G257" s="20" t="n">
        <f aca="false">G240/G235</f>
        <v>0.123364300839399</v>
      </c>
      <c r="H257" s="26" t="n">
        <f aca="false">$G257+($G242*(1+tp_g)^(life/2)-$G257)*1/3</f>
        <v>0.118003890399427</v>
      </c>
      <c r="I257" s="26" t="n">
        <f aca="false">$G257+($G242*(1+tp_g)^(life/2)-$G257)*2/3</f>
        <v>0.112643479959456</v>
      </c>
      <c r="J257" s="26" t="n">
        <f aca="false">$G257+($G242*(1+tp_g)^(life/2)-$G257)*3/3</f>
        <v>0.107283069519484</v>
      </c>
      <c r="K257" s="7" t="s">
        <v>657</v>
      </c>
    </row>
    <row r="258" customFormat="false" ht="15" hidden="false" customHeight="false" outlineLevel="0" collapsed="false">
      <c r="A258" s="3" t="s">
        <v>658</v>
      </c>
      <c r="B258" s="0" t="s">
        <v>329</v>
      </c>
      <c r="E258" s="21" t="n">
        <f aca="false">E252+E241-E240</f>
        <v>15.1288883364546</v>
      </c>
      <c r="F258" s="21" t="n">
        <f aca="false">F252+F241-F240</f>
        <v>13.8542550706901</v>
      </c>
      <c r="G258" s="21" t="n">
        <f aca="false">G252+G241-G240</f>
        <v>21.4391199272597</v>
      </c>
      <c r="H258" s="30" t="n">
        <f aca="false">H252+H241-H240</f>
        <v>23.3573824500083</v>
      </c>
      <c r="I258" s="30" t="n">
        <f aca="false">I252+I241-I240</f>
        <v>25.3904251552737</v>
      </c>
      <c r="J258" s="30" t="n">
        <f aca="false">J252+J241-J240</f>
        <v>27.5393983586597</v>
      </c>
      <c r="K258" s="3" t="s">
        <v>659</v>
      </c>
    </row>
    <row r="259" customFormat="false" ht="15" hidden="false" customHeight="false" outlineLevel="0" collapsed="false">
      <c r="A259" s="3" t="s">
        <v>660</v>
      </c>
      <c r="B259" s="0" t="s">
        <v>402</v>
      </c>
      <c r="E259" s="18" t="n">
        <f aca="false">E258/E253</f>
        <v>23.4131704295381</v>
      </c>
      <c r="F259" s="18" t="n">
        <f aca="false">F258/F253</f>
        <v>21.4405730236472</v>
      </c>
      <c r="G259" s="18" t="n">
        <f aca="false">G258/G253</f>
        <v>33.1787608945939</v>
      </c>
      <c r="H259" s="28" t="n">
        <f aca="false">H258/H253</f>
        <v>36.1474262964983</v>
      </c>
      <c r="I259" s="28" t="n">
        <f aca="false">I258/I253</f>
        <v>39.2937232543661</v>
      </c>
      <c r="J259" s="28" t="n">
        <f aca="false">J258/J253</f>
        <v>42.6194319740312</v>
      </c>
    </row>
    <row r="262" customFormat="false" ht="17.15" hidden="false" customHeight="false" outlineLevel="0" collapsed="false">
      <c r="A262" s="1" t="s">
        <v>962</v>
      </c>
    </row>
    <row r="263" customFormat="false" ht="17.15" hidden="false" customHeight="false" outlineLevel="0" collapsed="false">
      <c r="A263" s="4" t="s">
        <v>17</v>
      </c>
      <c r="B263" s="4" t="s">
        <v>18</v>
      </c>
      <c r="C263" s="13" t="s">
        <v>494</v>
      </c>
      <c r="D263" s="13" t="s">
        <v>581</v>
      </c>
      <c r="E263" s="13" t="s">
        <v>582</v>
      </c>
      <c r="F263" s="13" t="s">
        <v>583</v>
      </c>
      <c r="G263" s="13" t="s">
        <v>584</v>
      </c>
      <c r="H263" s="13" t="s">
        <v>585</v>
      </c>
      <c r="I263" s="13" t="s">
        <v>586</v>
      </c>
      <c r="J263" s="13" t="s">
        <v>587</v>
      </c>
      <c r="K263" s="4" t="s">
        <v>549</v>
      </c>
    </row>
    <row r="264" customFormat="false" ht="17.15" hidden="false" customHeight="false" outlineLevel="0" collapsed="false">
      <c r="A264" s="5" t="s">
        <v>605</v>
      </c>
    </row>
    <row r="265" customFormat="false" ht="17.15" hidden="false" customHeight="false" outlineLevel="0" collapsed="false">
      <c r="A265" s="0" t="s">
        <v>606</v>
      </c>
      <c r="B265" s="3" t="s">
        <v>28</v>
      </c>
      <c r="D265" s="21" t="n">
        <f aca="false">(u_bw_26+u_rb_26+u_ru_26+u_hp_26)*1</f>
        <v>7.6</v>
      </c>
      <c r="E265" s="21" t="n">
        <f aca="false">(u_bw_27+u_rb_27+u_ru_27+u_hp_27)*1*1</f>
        <v>9.7</v>
      </c>
      <c r="F265" s="21" t="n">
        <f aca="false">(u_bw_28+u_rb_28+u_ru_28+u_hp_28)*um28_A*1</f>
        <v>9.5</v>
      </c>
      <c r="G265" s="21" t="n">
        <f aca="false">(u_bw_28*(1+g29_bw)+u_rb_28*(1+g29_rb)+u_ru_28*(1+g29_ru)+u_hp_28*(1+g29_hp))*um29_A*1</f>
        <v>10.6</v>
      </c>
      <c r="K265" s="7" t="s">
        <v>607</v>
      </c>
    </row>
    <row r="266" customFormat="false" ht="17.15" hidden="false" customHeight="false" outlineLevel="0" collapsed="false">
      <c r="A266" s="3" t="s">
        <v>608</v>
      </c>
      <c r="B266" s="3" t="s">
        <v>28</v>
      </c>
      <c r="D266" s="21" t="n">
        <f aca="false">(u_amd_26+u_tpu_26+u_trn_26+u_oth_26)*1</f>
        <v>7.6</v>
      </c>
      <c r="E266" s="21" t="n">
        <f aca="false">(u_amd_27+u_tpu_27+u_trn_27+u_oth_27)*1*1</f>
        <v>14</v>
      </c>
      <c r="F266" s="21" t="n">
        <f aca="false">(u_amd_28+u_tpu_28+u_trn_28+u_oth_28)*um28_A*1</f>
        <v>17</v>
      </c>
      <c r="G266" s="21" t="n">
        <f aca="false">(u_amd_28*(1+g29_amd)+u_tpu_28*(1+g29_tpu)+u_trn_28*(1+g29_trn)+u_oth_28*(1+g29_oth))*um29_A*1</f>
        <v>19.55</v>
      </c>
      <c r="K266" s="7" t="s">
        <v>609</v>
      </c>
    </row>
    <row r="267" customFormat="false" ht="17.15" hidden="false" customHeight="false" outlineLevel="0" collapsed="false">
      <c r="A267" s="3" t="s">
        <v>610</v>
      </c>
      <c r="B267" s="0" t="s">
        <v>150</v>
      </c>
      <c r="D267" s="19" t="n">
        <f aca="false">1</f>
        <v>1</v>
      </c>
      <c r="E267" s="19" t="n">
        <f aca="false">D267*(1+g_asp)</f>
        <v>1.18</v>
      </c>
      <c r="F267" s="19" t="n">
        <f aca="false">E267*(1+g_asp)</f>
        <v>1.3924</v>
      </c>
      <c r="G267" s="19" t="n">
        <f aca="false">F267*(1+g_asp)</f>
        <v>1.643032</v>
      </c>
      <c r="K267" s="7" t="s">
        <v>611</v>
      </c>
    </row>
    <row r="268" customFormat="false" ht="17.15" hidden="false" customHeight="false" outlineLevel="0" collapsed="false">
      <c r="A268" s="0" t="s">
        <v>612</v>
      </c>
      <c r="B268" s="0" t="s">
        <v>150</v>
      </c>
      <c r="D268" s="18" t="n">
        <f aca="false">1</f>
        <v>1</v>
      </c>
      <c r="E268" s="18" t="n">
        <f aca="false">ibpp_27_lo</f>
        <v>0.95</v>
      </c>
      <c r="F268" s="18" t="n">
        <f aca="false">ibpp_28_lo</f>
        <v>0.85</v>
      </c>
      <c r="G268" s="18" t="n">
        <f aca="false">ibpp_29_lo</f>
        <v>0.75</v>
      </c>
      <c r="K268" s="7" t="s">
        <v>613</v>
      </c>
    </row>
    <row r="269" customFormat="false" ht="17.15" hidden="false" customHeight="false" outlineLevel="0" collapsed="false">
      <c r="A269" s="3" t="s">
        <v>614</v>
      </c>
      <c r="B269" s="0" t="s">
        <v>150</v>
      </c>
      <c r="D269" s="18" t="n">
        <f aca="false">1</f>
        <v>1</v>
      </c>
      <c r="E269" s="18" t="n">
        <f aca="false">1+carry</f>
        <v>1.15</v>
      </c>
      <c r="F269" s="18" t="n">
        <f aca="false">1+carry</f>
        <v>1.15</v>
      </c>
      <c r="G269" s="18" t="n">
        <f aca="false">1+carry</f>
        <v>1.15</v>
      </c>
      <c r="K269" s="7" t="s">
        <v>615</v>
      </c>
    </row>
    <row r="270" customFormat="false" ht="17.15" hidden="false" customHeight="false" outlineLevel="0" collapsed="false">
      <c r="A270" s="3" t="s">
        <v>616</v>
      </c>
      <c r="B270" s="0" t="s">
        <v>617</v>
      </c>
      <c r="D270" s="23" t="n">
        <f aca="false">v26*D267*D268</f>
        <v>215.308596</v>
      </c>
      <c r="E270" s="23" t="n">
        <f aca="false">v26*E267*E268</f>
        <v>241.360936116</v>
      </c>
      <c r="F270" s="23" t="n">
        <f aca="false">v26*F267*F268</f>
        <v>254.82633570984</v>
      </c>
      <c r="G270" s="23" t="n">
        <f aca="false">v26*G267*G268</f>
        <v>265.319184827304</v>
      </c>
      <c r="K270" s="7" t="s">
        <v>618</v>
      </c>
    </row>
    <row r="271" customFormat="false" ht="17.15" hidden="false" customHeight="false" outlineLevel="0" collapsed="false">
      <c r="A271" s="3" t="s">
        <v>619</v>
      </c>
      <c r="B271" s="0" t="s">
        <v>40</v>
      </c>
      <c r="D271" s="20" t="n">
        <f aca="false">sh_nv_26</f>
        <v>0.02</v>
      </c>
      <c r="E271" s="20" t="n">
        <f aca="false">sh_nv_27</f>
        <v>0.03</v>
      </c>
      <c r="F271" s="20" t="n">
        <f aca="false">sh_nv_28</f>
        <v>0.04</v>
      </c>
      <c r="G271" s="20" t="n">
        <f aca="false">sh_nv_29</f>
        <v>0.04</v>
      </c>
    </row>
    <row r="272" customFormat="false" ht="17.15" hidden="false" customHeight="false" outlineLevel="0" collapsed="false">
      <c r="A272" s="3" t="s">
        <v>620</v>
      </c>
      <c r="B272" s="0" t="s">
        <v>40</v>
      </c>
      <c r="D272" s="20" t="n">
        <f aca="false">sh_ot_26</f>
        <v>0.05</v>
      </c>
      <c r="E272" s="20" t="n">
        <f aca="false">sh_ot_27</f>
        <v>0.06</v>
      </c>
      <c r="F272" s="20" t="n">
        <f aca="false">sh_ot_28</f>
        <v>0.07</v>
      </c>
      <c r="G272" s="20" t="n">
        <f aca="false">sh_ot_29</f>
        <v>0.07</v>
      </c>
    </row>
    <row r="273" customFormat="false" ht="17.15" hidden="false" customHeight="false" outlineLevel="0" collapsed="false">
      <c r="A273" s="3" t="s">
        <v>621</v>
      </c>
      <c r="B273" s="0" t="s">
        <v>571</v>
      </c>
      <c r="D273" s="22" t="n">
        <f aca="false">(D265*D270*D271+D266*D270*v_ot*D272)*D269</f>
        <v>98.180719776</v>
      </c>
      <c r="E273" s="22" t="n">
        <f aca="false">(E265*E270*E271+E266*E270*v_ot*E272)*E269</f>
        <v>267.295168701664</v>
      </c>
      <c r="F273" s="22" t="n">
        <f aca="false">(F265*F270*F271+F266*F270*v_ot*F272)*F269</f>
        <v>390.342981040333</v>
      </c>
      <c r="G273" s="22" t="n">
        <f aca="false">(G265*G270*G271+G266*G270*v_ot*G272)*G269</f>
        <v>463.411794603066</v>
      </c>
    </row>
    <row r="274" customFormat="false" ht="15" hidden="false" customHeight="false" outlineLevel="0" collapsed="false">
      <c r="A274" s="3" t="s">
        <v>622</v>
      </c>
      <c r="B274" s="0" t="s">
        <v>329</v>
      </c>
      <c r="D274" s="21" t="n">
        <f aca="false">D273*fx/1000</f>
        <v>3.19087339272</v>
      </c>
      <c r="E274" s="21" t="n">
        <f aca="false">E273*fx/1000</f>
        <v>8.68709298280409</v>
      </c>
      <c r="F274" s="21" t="n">
        <f aca="false">F273*fx/1000</f>
        <v>12.6861468838108</v>
      </c>
      <c r="G274" s="21" t="n">
        <f aca="false">G273*fx/1000</f>
        <v>15.0608833245996</v>
      </c>
    </row>
    <row r="275" customFormat="false" ht="17.15" hidden="false" customHeight="false" outlineLevel="0" collapsed="false">
      <c r="A275" s="5" t="s">
        <v>623</v>
      </c>
    </row>
    <row r="276" customFormat="false" ht="17.15" hidden="false" customHeight="false" outlineLevel="0" collapsed="false">
      <c r="A276" s="0" t="s">
        <v>624</v>
      </c>
      <c r="B276" s="0" t="s">
        <v>329</v>
      </c>
      <c r="D276" s="21" t="n">
        <f aca="false">a26_abf*ai_abf</f>
        <v>22.2987583</v>
      </c>
      <c r="K276" s="3" t="s">
        <v>625</v>
      </c>
    </row>
    <row r="277" customFormat="false" ht="17.15" hidden="false" customHeight="false" outlineLevel="0" collapsed="false">
      <c r="A277" s="3" t="s">
        <v>626</v>
      </c>
      <c r="B277" s="0" t="s">
        <v>329</v>
      </c>
      <c r="D277" s="21" t="n">
        <f aca="false">D276-D274</f>
        <v>19.10788490728</v>
      </c>
      <c r="E277" s="21" t="n">
        <f aca="false">$D277*(swm_27/swm_26)^el_o*1*1*E268*E269</f>
        <v>29.1986390229351</v>
      </c>
      <c r="F277" s="21" t="n">
        <f aca="false">$D277*(swm_28/swm_26)^el_o*um28_A*1*F268*F269</f>
        <v>28.1040422963078</v>
      </c>
      <c r="G277" s="21" t="n">
        <f aca="false">$D277*(swm_29/swm_26)^el_o*um29_A*1*G268*G269</f>
        <v>26.4543677407812</v>
      </c>
      <c r="K277" s="7" t="s">
        <v>627</v>
      </c>
    </row>
    <row r="278" customFormat="false" ht="17.15" hidden="false" customHeight="false" outlineLevel="0" collapsed="false">
      <c r="A278" s="3" t="s">
        <v>628</v>
      </c>
      <c r="B278" s="0" t="s">
        <v>329</v>
      </c>
      <c r="D278" s="21" t="n">
        <f aca="false">a26_abf-D276</f>
        <v>12.0070237</v>
      </c>
      <c r="E278" s="21" t="n">
        <f aca="false">D278*(1+g_nai)</f>
        <v>12.367234411</v>
      </c>
      <c r="F278" s="21" t="n">
        <f aca="false">E278*(1+g_nai)</f>
        <v>12.73825144333</v>
      </c>
      <c r="G278" s="21" t="n">
        <f aca="false">F278*(1+g_nai)</f>
        <v>13.1203989866299</v>
      </c>
    </row>
    <row r="279" customFormat="false" ht="17.15" hidden="false" customHeight="false" outlineLevel="0" collapsed="false">
      <c r="A279" s="0" t="s">
        <v>629</v>
      </c>
      <c r="B279" s="0" t="s">
        <v>329</v>
      </c>
      <c r="D279" s="21" t="n">
        <f aca="false">D274+D277+D278</f>
        <v>34.305782</v>
      </c>
      <c r="E279" s="21" t="n">
        <f aca="false">E274+E277+E278</f>
        <v>50.2529664167392</v>
      </c>
      <c r="F279" s="21" t="n">
        <f aca="false">F274+F277+F278</f>
        <v>53.5284406234486</v>
      </c>
      <c r="G279" s="21" t="n">
        <f aca="false">G274+G277+G278</f>
        <v>54.6356500520108</v>
      </c>
    </row>
    <row r="280" customFormat="false" ht="17.15" hidden="false" customHeight="false" outlineLevel="0" collapsed="false">
      <c r="A280" s="0" t="s">
        <v>630</v>
      </c>
      <c r="B280" s="0" t="s">
        <v>329</v>
      </c>
      <c r="D280" s="21" t="n">
        <f aca="false">a26_abf</f>
        <v>34.305782</v>
      </c>
      <c r="E280" s="21" t="n">
        <f aca="false">$D279*cap_27*(1+g_mix)^1*E268*E269</f>
        <v>47.2236242121</v>
      </c>
      <c r="F280" s="21" t="n">
        <f aca="false">$D279*cap_28*(1+g_mix)^2*F268*F269</f>
        <v>49.9110212478544</v>
      </c>
      <c r="G280" s="21" t="n">
        <f aca="false">$D279*cap_29*(1+g_mix)^3*G268*G269</f>
        <v>54.804258625095</v>
      </c>
      <c r="K280" s="7" t="s">
        <v>631</v>
      </c>
    </row>
    <row r="281" customFormat="false" ht="17.15" hidden="false" customHeight="false" outlineLevel="0" collapsed="false">
      <c r="A281" s="0" t="s">
        <v>632</v>
      </c>
      <c r="B281" s="0" t="s">
        <v>329</v>
      </c>
      <c r="D281" s="21" t="n">
        <f aca="false">a26_abf</f>
        <v>34.305782</v>
      </c>
      <c r="E281" s="21" t="n">
        <f aca="false">MIN(E279,E280)</f>
        <v>47.2236242121</v>
      </c>
      <c r="F281" s="21" t="n">
        <f aca="false">MIN(F279,F280)</f>
        <v>49.9110212478544</v>
      </c>
      <c r="G281" s="21" t="n">
        <f aca="false">MIN(G279,G280)</f>
        <v>54.6356500520108</v>
      </c>
    </row>
    <row r="282" customFormat="false" ht="17.15" hidden="false" customHeight="false" outlineLevel="0" collapsed="false">
      <c r="A282" s="3" t="s">
        <v>633</v>
      </c>
      <c r="B282" s="0" t="s">
        <v>40</v>
      </c>
      <c r="D282" s="20" t="n">
        <f aca="false">D281/D279</f>
        <v>1</v>
      </c>
      <c r="E282" s="20" t="n">
        <f aca="false">E281/E279</f>
        <v>0.939718141621384</v>
      </c>
      <c r="F282" s="20" t="n">
        <f aca="false">F281/F279</f>
        <v>0.932420609801781</v>
      </c>
      <c r="G282" s="20" t="n">
        <f aca="false">G281/G279</f>
        <v>1</v>
      </c>
    </row>
    <row r="283" customFormat="false" ht="17.15" hidden="false" customHeight="false" outlineLevel="0" collapsed="false">
      <c r="A283" s="0" t="s">
        <v>634</v>
      </c>
      <c r="B283" s="0" t="s">
        <v>329</v>
      </c>
      <c r="D283" s="21" t="n">
        <f aca="false">(D274+D277)*D282</f>
        <v>22.2987583</v>
      </c>
      <c r="E283" s="21" t="n">
        <f aca="false">(E274+E277)*E282</f>
        <v>35.6019096743991</v>
      </c>
      <c r="F283" s="21" t="n">
        <f aca="false">(F274+F277)*F282</f>
        <v>38.0336130692562</v>
      </c>
      <c r="G283" s="21" t="n">
        <f aca="false">(G274+G277)*G282</f>
        <v>41.5152510653809</v>
      </c>
    </row>
    <row r="284" customFormat="false" ht="17.15" hidden="false" customHeight="false" outlineLevel="0" collapsed="false">
      <c r="A284" s="3" t="s">
        <v>635</v>
      </c>
      <c r="B284" s="0" t="s">
        <v>40</v>
      </c>
      <c r="D284" s="20" t="n">
        <f aca="false">D274/(D274+D277)</f>
        <v>0.14309646078903</v>
      </c>
      <c r="E284" s="20" t="n">
        <f aca="false">E274/(E274+E277)</f>
        <v>0.229297218844501</v>
      </c>
      <c r="F284" s="20" t="n">
        <f aca="false">F274/(F274+F277)</f>
        <v>0.311009758444419</v>
      </c>
      <c r="G284" s="20" t="n">
        <f aca="false">G274/(G274+G277)</f>
        <v>0.362779531331288</v>
      </c>
    </row>
    <row r="285" customFormat="false" ht="17.15" hidden="false" customHeight="false" outlineLevel="0" collapsed="false">
      <c r="A285" s="5" t="s">
        <v>636</v>
      </c>
    </row>
    <row r="286" customFormat="false" ht="17.15" hidden="false" customHeight="false" outlineLevel="0" collapsed="false">
      <c r="A286" s="0" t="s">
        <v>637</v>
      </c>
      <c r="B286" s="0" t="s">
        <v>329</v>
      </c>
      <c r="D286" s="21" t="n">
        <f aca="false">a26_bt</f>
        <v>18.927328</v>
      </c>
      <c r="E286" s="21" t="n">
        <f aca="false">D286*(1+g_bt27_A)</f>
        <v>24.6055264</v>
      </c>
      <c r="F286" s="21" t="n">
        <f aca="false">E286*(1+g_bt28_A)</f>
        <v>27.06607904</v>
      </c>
      <c r="G286" s="21" t="n">
        <f aca="false">F286*(1+g_bt29_A)</f>
        <v>28.419382992</v>
      </c>
      <c r="K286" s="7" t="s">
        <v>638</v>
      </c>
    </row>
    <row r="287" customFormat="false" ht="17.15" hidden="false" customHeight="false" outlineLevel="0" collapsed="false">
      <c r="A287" s="0" t="s">
        <v>536</v>
      </c>
      <c r="B287" s="0" t="s">
        <v>329</v>
      </c>
      <c r="D287" s="21" t="n">
        <f aca="false">a26_pcb</f>
        <v>5.91479</v>
      </c>
      <c r="E287" s="21" t="n">
        <f aca="false">D287*(1+g_pcb)</f>
        <v>5.91479</v>
      </c>
      <c r="F287" s="21" t="n">
        <f aca="false">E287*(1+g_pcb)</f>
        <v>5.91479</v>
      </c>
      <c r="G287" s="21" t="n">
        <f aca="false">F287*(1+g_pcb)</f>
        <v>5.91479</v>
      </c>
    </row>
    <row r="288" customFormat="false" ht="17.15" hidden="false" customHeight="false" outlineLevel="0" collapsed="false">
      <c r="A288" s="3" t="s">
        <v>501</v>
      </c>
      <c r="B288" s="0" t="s">
        <v>329</v>
      </c>
      <c r="C288" s="23" t="n">
        <f aca="false">a25_rev</f>
        <v>40.173</v>
      </c>
      <c r="D288" s="23" t="n">
        <f aca="false">D281+D286+D287</f>
        <v>59.1479</v>
      </c>
      <c r="E288" s="23" t="n">
        <f aca="false">E281+E286+E287</f>
        <v>77.7439406121</v>
      </c>
      <c r="F288" s="23" t="n">
        <f aca="false">F281+F286+F287</f>
        <v>82.8918902878544</v>
      </c>
      <c r="G288" s="23" t="n">
        <f aca="false">G281+G286+G287</f>
        <v>88.9698230440108</v>
      </c>
      <c r="H288" s="25" t="n">
        <f aca="false">G288*(1+H289)</f>
        <v>95.0982786622327</v>
      </c>
      <c r="I288" s="25" t="n">
        <f aca="false">H288*(1+I289)</f>
        <v>101.226526220247</v>
      </c>
      <c r="J288" s="25" t="n">
        <f aca="false">I288*(1+J289)</f>
        <v>107.300117793462</v>
      </c>
      <c r="K288" s="7" t="s">
        <v>639</v>
      </c>
    </row>
    <row r="289" customFormat="false" ht="15" hidden="false" customHeight="false" outlineLevel="0" collapsed="false">
      <c r="A289" s="3" t="s">
        <v>640</v>
      </c>
      <c r="B289" s="0" t="s">
        <v>40</v>
      </c>
      <c r="D289" s="20" t="n">
        <f aca="false">D288/C288-1</f>
        <v>0.472329674159261</v>
      </c>
      <c r="E289" s="20" t="n">
        <f aca="false">E288/D288-1</f>
        <v>0.314399</v>
      </c>
      <c r="F289" s="20" t="n">
        <f aca="false">F288/E288-1</f>
        <v>0.0662167319436489</v>
      </c>
      <c r="G289" s="20" t="n">
        <f aca="false">G288/F288-1</f>
        <v>0.0733236114540261</v>
      </c>
      <c r="H289" s="26" t="n">
        <f aca="false">$G289+(fade_gA-$G289)*1/3</f>
        <v>0.0688824076360174</v>
      </c>
      <c r="I289" s="26" t="n">
        <f aca="false">$G289+(fade_gA-$G289)*2/3</f>
        <v>0.0644412038180087</v>
      </c>
      <c r="J289" s="26" t="n">
        <f aca="false">$G289+(fade_gA-$G289)*3/3</f>
        <v>0.06</v>
      </c>
    </row>
    <row r="290" customFormat="false" ht="17.15" hidden="false" customHeight="false" outlineLevel="0" collapsed="false">
      <c r="A290" s="0" t="s">
        <v>641</v>
      </c>
      <c r="B290" s="0" t="s">
        <v>40</v>
      </c>
      <c r="D290" s="20" t="n">
        <f aca="false">D281/D288</f>
        <v>0.58</v>
      </c>
      <c r="E290" s="20" t="n">
        <f aca="false">E281/E288</f>
        <v>0.607425142593687</v>
      </c>
      <c r="F290" s="20" t="n">
        <f aca="false">F281/F288</f>
        <v>0.602121885199275</v>
      </c>
      <c r="G290" s="20" t="n">
        <f aca="false">G281/G288</f>
        <v>0.614091926708499</v>
      </c>
    </row>
    <row r="291" customFormat="false" ht="17.15" hidden="false" customHeight="false" outlineLevel="0" collapsed="false">
      <c r="A291" s="0" t="s">
        <v>642</v>
      </c>
      <c r="B291" s="0" t="s">
        <v>40</v>
      </c>
      <c r="D291" s="20" t="n">
        <f aca="false">D283/D288</f>
        <v>0.377</v>
      </c>
      <c r="E291" s="20" t="n">
        <f aca="false">E283/E288</f>
        <v>0.457938064292795</v>
      </c>
      <c r="F291" s="20" t="n">
        <f aca="false">F283/F288</f>
        <v>0.458833945482228</v>
      </c>
      <c r="G291" s="20" t="n">
        <f aca="false">G283/G288</f>
        <v>0.466621711103601</v>
      </c>
      <c r="K291" s="3" t="s">
        <v>643</v>
      </c>
    </row>
    <row r="292" customFormat="false" ht="17.15" hidden="false" customHeight="false" outlineLevel="0" collapsed="false">
      <c r="A292" s="5" t="s">
        <v>644</v>
      </c>
    </row>
    <row r="293" customFormat="false" ht="15" hidden="false" customHeight="false" outlineLevel="0" collapsed="false">
      <c r="A293" s="3" t="s">
        <v>645</v>
      </c>
      <c r="B293" s="0" t="s">
        <v>329</v>
      </c>
      <c r="C293" s="23" t="n">
        <f aca="false">a25_cx</f>
        <v>2.422</v>
      </c>
      <c r="D293" s="23" t="n">
        <f aca="false">capex26</f>
        <v>4</v>
      </c>
      <c r="E293" s="23" t="n">
        <f aca="false">cx27</f>
        <v>14</v>
      </c>
      <c r="F293" s="23" t="n">
        <f aca="false">cx28</f>
        <v>18</v>
      </c>
      <c r="G293" s="23" t="n">
        <f aca="false">cx29</f>
        <v>12</v>
      </c>
      <c r="H293" s="25" t="n">
        <f aca="false">H288*H310</f>
        <v>12.2692495273583</v>
      </c>
      <c r="I293" s="25" t="n">
        <f aca="false">I288*I310</f>
        <v>12.4666397530018</v>
      </c>
      <c r="J293" s="25" t="n">
        <f aca="false">J288*J310</f>
        <v>12.5857878553085</v>
      </c>
    </row>
    <row r="294" customFormat="false" ht="17.15" hidden="false" customHeight="false" outlineLevel="0" collapsed="false">
      <c r="A294" s="3" t="s">
        <v>646</v>
      </c>
      <c r="B294" s="0" t="s">
        <v>329</v>
      </c>
      <c r="C294" s="23" t="n">
        <f aca="false">a25_da</f>
        <v>6.894</v>
      </c>
      <c r="D294" s="23" t="n">
        <f aca="false">da26</f>
        <v>7.1</v>
      </c>
      <c r="E294" s="23" t="n">
        <f aca="false">D294*(1-1/life)+D293/life</f>
        <v>6.7125</v>
      </c>
      <c r="F294" s="23" t="n">
        <f aca="false">E294*(1-1/life)+E293/life</f>
        <v>7.6234375</v>
      </c>
      <c r="G294" s="23" t="n">
        <f aca="false">F294*(1-1/life)+F293/life</f>
        <v>8.9205078125</v>
      </c>
      <c r="H294" s="25" t="n">
        <f aca="false">H288*H295</f>
        <v>9.5349738679609</v>
      </c>
      <c r="I294" s="25" t="n">
        <f aca="false">I288*I295</f>
        <v>10.1494190623856</v>
      </c>
      <c r="J294" s="25" t="n">
        <f aca="false">J288*J295</f>
        <v>10.7583842061287</v>
      </c>
      <c r="K294" s="3" t="s">
        <v>647</v>
      </c>
    </row>
    <row r="295" customFormat="false" ht="17.15" hidden="false" customHeight="false" outlineLevel="0" collapsed="false">
      <c r="A295" s="3" t="s">
        <v>648</v>
      </c>
      <c r="B295" s="0" t="s">
        <v>40</v>
      </c>
      <c r="C295" s="20" t="n">
        <f aca="false">C294/C288</f>
        <v>0.171607796281084</v>
      </c>
      <c r="D295" s="20" t="n">
        <f aca="false">D294/D288</f>
        <v>0.120038074048276</v>
      </c>
      <c r="E295" s="20" t="n">
        <f aca="false">E294/E288</f>
        <v>0.0863411340761813</v>
      </c>
      <c r="F295" s="20" t="n">
        <f aca="false">F294/F288</f>
        <v>0.0919684359172711</v>
      </c>
      <c r="G295" s="20" t="n">
        <f aca="false">G294/G288</f>
        <v>0.100264421208158</v>
      </c>
      <c r="H295" s="26" t="n">
        <f aca="false">$G295</f>
        <v>0.100264421208158</v>
      </c>
      <c r="I295" s="26" t="n">
        <f aca="false">$G295</f>
        <v>0.100264421208158</v>
      </c>
      <c r="J295" s="26" t="n">
        <f aca="false">$G295</f>
        <v>0.100264421208158</v>
      </c>
    </row>
    <row r="296" customFormat="false" ht="17.15" hidden="false" customHeight="false" outlineLevel="0" collapsed="false">
      <c r="A296" s="3" t="s">
        <v>649</v>
      </c>
      <c r="B296" s="0" t="s">
        <v>329</v>
      </c>
      <c r="E296" s="21" t="n">
        <f aca="false">E283*(1-1/(E268*E269))</f>
        <v>3.01434933169969</v>
      </c>
      <c r="F296" s="21" t="n">
        <f aca="false">F283*(1-1/(F268*F269))</f>
        <v>-0.875454009266769</v>
      </c>
      <c r="G296" s="21" t="n">
        <f aca="false">G283*(1-1/(G268*G269))</f>
        <v>-6.61837335824912</v>
      </c>
      <c r="K296" s="7" t="s">
        <v>650</v>
      </c>
    </row>
    <row r="297" customFormat="false" ht="17.15" hidden="false" customHeight="false" outlineLevel="0" collapsed="false">
      <c r="A297" s="3" t="s">
        <v>651</v>
      </c>
      <c r="B297" s="0" t="s">
        <v>329</v>
      </c>
      <c r="C297" s="21" t="n">
        <f aca="false">a25_gp</f>
        <v>3.647</v>
      </c>
      <c r="D297" s="21" t="n">
        <f aca="false">a26_gp</f>
        <v>15.9001925</v>
      </c>
      <c r="E297" s="21" t="n">
        <f aca="false">$D297+ft_abf*(E281-E296-$D281)+ft_oth*((E288-E281)-($D288-$D281))+E296-(E294-$D294)</f>
        <v>26.5250676318998</v>
      </c>
      <c r="F297" s="21" t="n">
        <f aca="false">$D297+ft_abf*(F281-F296-$D281)+ft_oth*((F288-F281)-($D288-$D281))+F296-(F294-$D294)</f>
        <v>25.9971480352938</v>
      </c>
      <c r="G297" s="21" t="n">
        <f aca="false">$D297+ft_abf*(G281-G296-$D281)+ft_oth*((G288-G281)-($D288-$D281))+G296-(G294-$D294)</f>
        <v>24.7322540311808</v>
      </c>
      <c r="K297" s="3" t="s">
        <v>652</v>
      </c>
    </row>
    <row r="298" customFormat="false" ht="15" hidden="false" customHeight="false" outlineLevel="0" collapsed="false">
      <c r="A298" s="3" t="s">
        <v>508</v>
      </c>
      <c r="B298" s="0" t="s">
        <v>40</v>
      </c>
      <c r="C298" s="16" t="n">
        <f aca="false">C297/C288</f>
        <v>0.0907823662659</v>
      </c>
      <c r="D298" s="16" t="n">
        <f aca="false">D297/D288</f>
        <v>0.268820913337583</v>
      </c>
      <c r="E298" s="16" t="n">
        <f aca="false">E297/E288</f>
        <v>0.341185016131939</v>
      </c>
      <c r="F298" s="16" t="n">
        <f aca="false">F297/F288</f>
        <v>0.313627158760825</v>
      </c>
      <c r="G298" s="16" t="n">
        <f aca="false">G297/G288</f>
        <v>0.277984750165756</v>
      </c>
    </row>
    <row r="299" customFormat="false" ht="15" hidden="false" customHeight="false" outlineLevel="0" collapsed="false">
      <c r="A299" s="3" t="s">
        <v>510</v>
      </c>
      <c r="B299" s="0" t="s">
        <v>329</v>
      </c>
      <c r="C299" s="21" t="n">
        <f aca="false">a25_opx</f>
        <v>1.665</v>
      </c>
      <c r="D299" s="21" t="n">
        <f aca="false">a26_opx</f>
        <v>1.9</v>
      </c>
      <c r="E299" s="21" t="n">
        <f aca="false">D299*(1+phi*E289)</f>
        <v>2.25841486</v>
      </c>
      <c r="F299" s="21" t="n">
        <f aca="false">E299*(1+phi*F289)</f>
        <v>2.3481417708413</v>
      </c>
      <c r="G299" s="21" t="n">
        <f aca="false">F299*(1+phi*G289)</f>
        <v>2.45144631174779</v>
      </c>
    </row>
    <row r="300" customFormat="false" ht="15" hidden="false" customHeight="false" outlineLevel="0" collapsed="false">
      <c r="A300" s="3" t="s">
        <v>513</v>
      </c>
      <c r="B300" s="0" t="s">
        <v>329</v>
      </c>
      <c r="C300" s="21" t="n">
        <f aca="false">C297-C299</f>
        <v>1.982</v>
      </c>
      <c r="D300" s="21" t="n">
        <f aca="false">D297-D299</f>
        <v>14.0001925</v>
      </c>
      <c r="E300" s="21" t="n">
        <f aca="false">E297-E299</f>
        <v>24.2666527718998</v>
      </c>
      <c r="F300" s="21" t="n">
        <f aca="false">F297-F299</f>
        <v>23.6490062644525</v>
      </c>
      <c r="G300" s="21" t="n">
        <f aca="false">G297-G299</f>
        <v>22.280807719433</v>
      </c>
    </row>
    <row r="301" customFormat="false" ht="15" hidden="false" customHeight="false" outlineLevel="0" collapsed="false">
      <c r="A301" s="3" t="s">
        <v>594</v>
      </c>
      <c r="B301" s="0" t="s">
        <v>40</v>
      </c>
      <c r="C301" s="16" t="n">
        <f aca="false">C300/C288</f>
        <v>0.0493366191222961</v>
      </c>
      <c r="D301" s="16" t="n">
        <f aca="false">D300/D288</f>
        <v>0.236698048451424</v>
      </c>
      <c r="E301" s="16" t="n">
        <f aca="false">E300/E288</f>
        <v>0.312135615725697</v>
      </c>
      <c r="F301" s="16" t="n">
        <f aca="false">F300/F288</f>
        <v>0.285299396386399</v>
      </c>
      <c r="G301" s="16" t="n">
        <f aca="false">G300/G288</f>
        <v>0.250431067041815</v>
      </c>
    </row>
    <row r="302" customFormat="false" ht="15" hidden="false" customHeight="false" outlineLevel="0" collapsed="false">
      <c r="A302" s="3" t="s">
        <v>516</v>
      </c>
      <c r="B302" s="0" t="s">
        <v>329</v>
      </c>
      <c r="C302" s="21" t="n">
        <f aca="false">a25_nonop</f>
        <v>0.364</v>
      </c>
      <c r="D302" s="21" t="n">
        <f aca="false">a26_nonop</f>
        <v>0.623</v>
      </c>
      <c r="E302" s="21" t="n">
        <f aca="false">nonop27</f>
        <v>0.6</v>
      </c>
      <c r="F302" s="21" t="n">
        <f aca="false">nonop28</f>
        <v>0.6</v>
      </c>
      <c r="G302" s="21" t="n">
        <f aca="false">nonop29</f>
        <v>0.6</v>
      </c>
    </row>
    <row r="303" customFormat="false" ht="15" hidden="false" customHeight="false" outlineLevel="0" collapsed="false">
      <c r="A303" s="3" t="s">
        <v>518</v>
      </c>
      <c r="B303" s="0" t="s">
        <v>329</v>
      </c>
      <c r="C303" s="21" t="n">
        <f aca="false">C300+C302</f>
        <v>2.346</v>
      </c>
      <c r="D303" s="21" t="n">
        <f aca="false">D300+D302</f>
        <v>14.6231925</v>
      </c>
      <c r="E303" s="21" t="n">
        <f aca="false">E300+E302</f>
        <v>24.8666527718998</v>
      </c>
      <c r="F303" s="21" t="n">
        <f aca="false">F300+F302</f>
        <v>24.2490062644525</v>
      </c>
      <c r="G303" s="21" t="n">
        <f aca="false">G300+G302</f>
        <v>22.880807719433</v>
      </c>
    </row>
    <row r="304" customFormat="false" ht="15" hidden="false" customHeight="false" outlineLevel="0" collapsed="false">
      <c r="A304" s="3" t="s">
        <v>521</v>
      </c>
      <c r="B304" s="0" t="s">
        <v>329</v>
      </c>
      <c r="E304" s="21" t="n">
        <f aca="false">E303*tax</f>
        <v>5.22199708209897</v>
      </c>
      <c r="F304" s="21" t="n">
        <f aca="false">F303*tax</f>
        <v>5.09229131553503</v>
      </c>
      <c r="G304" s="21" t="n">
        <f aca="false">G303*tax</f>
        <v>4.80496962108094</v>
      </c>
    </row>
    <row r="305" customFormat="false" ht="15" hidden="false" customHeight="false" outlineLevel="0" collapsed="false">
      <c r="A305" s="3" t="s">
        <v>519</v>
      </c>
      <c r="B305" s="0" t="s">
        <v>329</v>
      </c>
      <c r="C305" s="21" t="n">
        <f aca="false">a25_ni</f>
        <v>1.947</v>
      </c>
      <c r="D305" s="21" t="n">
        <f aca="false">a26_ni</f>
        <v>11.509862075</v>
      </c>
      <c r="E305" s="21" t="n">
        <f aca="false">E303-E304</f>
        <v>19.6446556898009</v>
      </c>
      <c r="F305" s="21" t="n">
        <f aca="false">F303-F304</f>
        <v>19.1567149489175</v>
      </c>
      <c r="G305" s="21" t="n">
        <f aca="false">G303-G304</f>
        <v>18.0758380983521</v>
      </c>
      <c r="H305" s="30" t="n">
        <f aca="false">H288*H309</f>
        <v>20.8719363196586</v>
      </c>
      <c r="I305" s="30" t="n">
        <f aca="false">I288*I309</f>
        <v>23.8678877205779</v>
      </c>
      <c r="J305" s="30" t="n">
        <f aca="false">J288*J309</f>
        <v>27.0499560041882</v>
      </c>
    </row>
    <row r="306" customFormat="false" ht="15" hidden="false" customHeight="false" outlineLevel="0" collapsed="false">
      <c r="A306" s="3" t="s">
        <v>653</v>
      </c>
      <c r="B306" s="3" t="s">
        <v>396</v>
      </c>
      <c r="C306" s="29" t="n">
        <f aca="false">a25_sh</f>
        <v>0.646843853820598</v>
      </c>
      <c r="D306" s="29" t="n">
        <f aca="false">a26_sh</f>
        <v>0.645863325123153</v>
      </c>
      <c r="E306" s="29" t="n">
        <f aca="false">a26_shend*(1+sh_g)</f>
        <v>0.64617</v>
      </c>
      <c r="F306" s="29" t="n">
        <f aca="false">E306*(1+sh_g)</f>
        <v>0.64617</v>
      </c>
      <c r="G306" s="29" t="n">
        <f aca="false">F306*(1+sh_g)</f>
        <v>0.64617</v>
      </c>
      <c r="H306" s="31" t="n">
        <f aca="false">G306*(1+sh_g)</f>
        <v>0.64617</v>
      </c>
      <c r="I306" s="31" t="n">
        <f aca="false">H306*(1+sh_g)</f>
        <v>0.64617</v>
      </c>
      <c r="J306" s="31" t="n">
        <f aca="false">I306*(1+sh_g)</f>
        <v>0.64617</v>
      </c>
    </row>
    <row r="307" customFormat="false" ht="17.15" hidden="false" customHeight="false" outlineLevel="0" collapsed="false">
      <c r="A307" s="0" t="s">
        <v>524</v>
      </c>
      <c r="B307" s="0" t="s">
        <v>402</v>
      </c>
      <c r="C307" s="18" t="n">
        <f aca="false">C305/C306</f>
        <v>3.01</v>
      </c>
      <c r="D307" s="18" t="n">
        <f aca="false">D305/D306</f>
        <v>17.820894339844</v>
      </c>
      <c r="E307" s="18" t="n">
        <f aca="false">E305/E306</f>
        <v>30.4016832873716</v>
      </c>
      <c r="F307" s="18" t="n">
        <f aca="false">F305/F306</f>
        <v>29.6465557808587</v>
      </c>
      <c r="G307" s="18" t="n">
        <f aca="false">G305/G306</f>
        <v>27.9738119973878</v>
      </c>
      <c r="H307" s="28" t="n">
        <f aca="false">H305/H306</f>
        <v>32.3009986840284</v>
      </c>
      <c r="I307" s="28" t="n">
        <f aca="false">I305/I306</f>
        <v>36.9374742259435</v>
      </c>
      <c r="J307" s="28" t="n">
        <f aca="false">J305/J306</f>
        <v>41.8619805998239</v>
      </c>
    </row>
    <row r="308" customFormat="false" ht="17.15" hidden="false" customHeight="false" outlineLevel="0" collapsed="false">
      <c r="A308" s="0" t="s">
        <v>654</v>
      </c>
      <c r="B308" s="0" t="s">
        <v>40</v>
      </c>
      <c r="D308" s="20" t="n">
        <f aca="false">D307/C307-1</f>
        <v>4.92056290360265</v>
      </c>
      <c r="E308" s="20" t="n">
        <f aca="false">E307/D307-1</f>
        <v>0.705957215592679</v>
      </c>
      <c r="F308" s="20" t="n">
        <f aca="false">F307/E307-1</f>
        <v>-0.0248383452776283</v>
      </c>
      <c r="G308" s="20" t="n">
        <f aca="false">G307/F307-1</f>
        <v>-0.0564228706982174</v>
      </c>
      <c r="H308" s="26" t="n">
        <f aca="false">H307/G307-1</f>
        <v>0.154687058275957</v>
      </c>
      <c r="I308" s="26" t="n">
        <f aca="false">I307/H307-1</f>
        <v>0.143539696319284</v>
      </c>
      <c r="J308" s="26" t="n">
        <f aca="false">J307/I307-1</f>
        <v>0.133320062540218</v>
      </c>
    </row>
    <row r="309" customFormat="false" ht="17.15" hidden="false" customHeight="false" outlineLevel="0" collapsed="false">
      <c r="A309" s="3" t="s">
        <v>655</v>
      </c>
      <c r="B309" s="0" t="s">
        <v>40</v>
      </c>
      <c r="C309" s="16" t="n">
        <f aca="false">C305/C288</f>
        <v>0.0484653872003585</v>
      </c>
      <c r="D309" s="16" t="n">
        <f aca="false">D305/D288</f>
        <v>0.194594602259759</v>
      </c>
      <c r="E309" s="16" t="n">
        <f aca="false">E305/E288</f>
        <v>0.25268407460611</v>
      </c>
      <c r="F309" s="16" t="n">
        <f aca="false">F305/F288</f>
        <v>0.231104814745965</v>
      </c>
      <c r="G309" s="16" t="n">
        <f aca="false">G305/G288</f>
        <v>0.203168192089249</v>
      </c>
      <c r="H309" s="27" t="n">
        <f aca="false">$G309+(fade_mA-$G309)*1/3</f>
        <v>0.219477540637628</v>
      </c>
      <c r="I309" s="27" t="n">
        <f aca="false">$G309+(fade_mA-$G309)*2/3</f>
        <v>0.235786889186007</v>
      </c>
      <c r="J309" s="27" t="n">
        <f aca="false">$G309+(fade_mA-$G309)*3/3</f>
        <v>0.252096237734386</v>
      </c>
    </row>
    <row r="310" customFormat="false" ht="17.15" hidden="false" customHeight="false" outlineLevel="0" collapsed="false">
      <c r="A310" s="3" t="s">
        <v>656</v>
      </c>
      <c r="B310" s="0" t="s">
        <v>40</v>
      </c>
      <c r="C310" s="20" t="n">
        <f aca="false">C293/C288</f>
        <v>0.0602892489980833</v>
      </c>
      <c r="D310" s="20" t="n">
        <f aca="false">D293/D288</f>
        <v>0.0676270839708595</v>
      </c>
      <c r="E310" s="20" t="n">
        <f aca="false">E293/E288</f>
        <v>0.180078342952184</v>
      </c>
      <c r="F310" s="20" t="n">
        <f aca="false">F293/F288</f>
        <v>0.217150313951007</v>
      </c>
      <c r="G310" s="20" t="n">
        <f aca="false">G293/G288</f>
        <v>0.134877193068755</v>
      </c>
      <c r="H310" s="26" t="n">
        <f aca="false">$G310+($G295*(1+tp_g)^(life/2)-$G310)*1/3</f>
        <v>0.12901652585044</v>
      </c>
      <c r="I310" s="26" t="n">
        <f aca="false">$G310+($G295*(1+tp_g)^(life/2)-$G310)*2/3</f>
        <v>0.123155858632125</v>
      </c>
      <c r="J310" s="26" t="n">
        <f aca="false">$G310+($G295*(1+tp_g)^(life/2)-$G310)*3/3</f>
        <v>0.117295191413809</v>
      </c>
      <c r="K310" s="7" t="s">
        <v>657</v>
      </c>
    </row>
    <row r="311" customFormat="false" ht="15" hidden="false" customHeight="false" outlineLevel="0" collapsed="false">
      <c r="A311" s="3" t="s">
        <v>658</v>
      </c>
      <c r="B311" s="0" t="s">
        <v>329</v>
      </c>
      <c r="E311" s="21" t="n">
        <f aca="false">E305+E294-E293</f>
        <v>12.3571556898009</v>
      </c>
      <c r="F311" s="21" t="n">
        <f aca="false">F305+F294-F293</f>
        <v>8.78015244891748</v>
      </c>
      <c r="G311" s="21" t="n">
        <f aca="false">G305+G294-G293</f>
        <v>14.9963459108521</v>
      </c>
      <c r="H311" s="30" t="n">
        <f aca="false">H305+H294-H293</f>
        <v>18.1376606602613</v>
      </c>
      <c r="I311" s="30" t="n">
        <f aca="false">I305+I294-I293</f>
        <v>21.5506670299616</v>
      </c>
      <c r="J311" s="30" t="n">
        <f aca="false">J305+J294-J293</f>
        <v>25.2225523550085</v>
      </c>
      <c r="K311" s="3" t="s">
        <v>659</v>
      </c>
    </row>
    <row r="312" customFormat="false" ht="15" hidden="false" customHeight="false" outlineLevel="0" collapsed="false">
      <c r="A312" s="3" t="s">
        <v>660</v>
      </c>
      <c r="B312" s="0" t="s">
        <v>402</v>
      </c>
      <c r="E312" s="18" t="n">
        <f aca="false">E311/E306</f>
        <v>19.1236914276442</v>
      </c>
      <c r="F312" s="18" t="n">
        <f aca="false">F311/F306</f>
        <v>13.5879914711569</v>
      </c>
      <c r="G312" s="18" t="n">
        <f aca="false">G311/G306</f>
        <v>23.2080503750593</v>
      </c>
      <c r="H312" s="28" t="n">
        <f aca="false">H311/H306</f>
        <v>28.0694873798865</v>
      </c>
      <c r="I312" s="28" t="n">
        <f aca="false">I311/I306</f>
        <v>33.3513889997394</v>
      </c>
      <c r="J312" s="28" t="n">
        <f aca="false">J311/J306</f>
        <v>39.0339266060146</v>
      </c>
    </row>
    <row r="315" customFormat="false" ht="17.15" hidden="false" customHeight="false" outlineLevel="0" collapsed="false">
      <c r="A315" s="1" t="s">
        <v>963</v>
      </c>
    </row>
    <row r="316" customFormat="false" ht="17.15" hidden="false" customHeight="false" outlineLevel="0" collapsed="false">
      <c r="A316" s="4" t="s">
        <v>17</v>
      </c>
      <c r="B316" s="4" t="s">
        <v>18</v>
      </c>
      <c r="C316" s="13" t="s">
        <v>494</v>
      </c>
      <c r="D316" s="13" t="s">
        <v>581</v>
      </c>
      <c r="E316" s="13" t="s">
        <v>582</v>
      </c>
      <c r="F316" s="13" t="s">
        <v>583</v>
      </c>
      <c r="G316" s="13" t="s">
        <v>584</v>
      </c>
      <c r="H316" s="13" t="s">
        <v>585</v>
      </c>
      <c r="I316" s="13" t="s">
        <v>586</v>
      </c>
      <c r="J316" s="13" t="s">
        <v>587</v>
      </c>
      <c r="K316" s="4" t="s">
        <v>549</v>
      </c>
    </row>
    <row r="317" customFormat="false" ht="17.15" hidden="false" customHeight="false" outlineLevel="0" collapsed="false">
      <c r="A317" s="5" t="s">
        <v>605</v>
      </c>
    </row>
    <row r="318" customFormat="false" ht="17.15" hidden="false" customHeight="false" outlineLevel="0" collapsed="false">
      <c r="A318" s="0" t="s">
        <v>606</v>
      </c>
      <c r="B318" s="3" t="s">
        <v>28</v>
      </c>
      <c r="D318" s="21" t="n">
        <f aca="false">(u_bw_26+u_rb_26+u_ru_26+u_hp_26)*1</f>
        <v>7.6</v>
      </c>
      <c r="E318" s="21" t="n">
        <f aca="false">(u_bw_27+u_rb_27+u_ru_27+u_hp_27)*1*1</f>
        <v>9.7</v>
      </c>
      <c r="F318" s="21" t="n">
        <f aca="false">(u_bw_28+u_rb_28+u_ru_28+u_hp_28)*um28_A*1</f>
        <v>9.5</v>
      </c>
      <c r="G318" s="21" t="n">
        <f aca="false">(u_bw_28*(1+g29_bw)+u_rb_28*(1+g29_rb)+u_ru_28*(1+g29_ru)+u_hp_28*(1+g29_hp))*um29_A*1</f>
        <v>10.6</v>
      </c>
      <c r="K318" s="7" t="s">
        <v>607</v>
      </c>
    </row>
    <row r="319" customFormat="false" ht="17.15" hidden="false" customHeight="false" outlineLevel="0" collapsed="false">
      <c r="A319" s="3" t="s">
        <v>608</v>
      </c>
      <c r="B319" s="3" t="s">
        <v>28</v>
      </c>
      <c r="D319" s="21" t="n">
        <f aca="false">(u_amd_26+u_tpu_26+u_trn_26+u_oth_26)*1</f>
        <v>7.6</v>
      </c>
      <c r="E319" s="21" t="n">
        <f aca="false">(u_amd_27+u_tpu_27+u_trn_27+u_oth_27)*1*1</f>
        <v>14</v>
      </c>
      <c r="F319" s="21" t="n">
        <f aca="false">(u_amd_28+u_tpu_28+u_trn_28+u_oth_28)*um28_A*1</f>
        <v>17</v>
      </c>
      <c r="G319" s="21" t="n">
        <f aca="false">(u_amd_28*(1+g29_amd)+u_tpu_28*(1+g29_tpu)+u_trn_28*(1+g29_trn)+u_oth_28*(1+g29_oth))*um29_A*1</f>
        <v>19.55</v>
      </c>
      <c r="K319" s="7" t="s">
        <v>609</v>
      </c>
    </row>
    <row r="320" customFormat="false" ht="17.15" hidden="false" customHeight="false" outlineLevel="0" collapsed="false">
      <c r="A320" s="3" t="s">
        <v>610</v>
      </c>
      <c r="B320" s="0" t="s">
        <v>150</v>
      </c>
      <c r="D320" s="19" t="n">
        <f aca="false">1</f>
        <v>1</v>
      </c>
      <c r="E320" s="19" t="n">
        <f aca="false">D320*(1+g_asp)</f>
        <v>1.18</v>
      </c>
      <c r="F320" s="19" t="n">
        <f aca="false">E320*(1+g_asp)</f>
        <v>1.3924</v>
      </c>
      <c r="G320" s="19" t="n">
        <f aca="false">F320*(1+g_asp)</f>
        <v>1.643032</v>
      </c>
      <c r="K320" s="7" t="s">
        <v>611</v>
      </c>
    </row>
    <row r="321" customFormat="false" ht="17.15" hidden="false" customHeight="false" outlineLevel="0" collapsed="false">
      <c r="A321" s="0" t="s">
        <v>612</v>
      </c>
      <c r="B321" s="0" t="s">
        <v>150</v>
      </c>
      <c r="D321" s="18" t="n">
        <f aca="false">1</f>
        <v>1</v>
      </c>
      <c r="E321" s="18" t="n">
        <f aca="false">ibpp_27_hi</f>
        <v>1.05</v>
      </c>
      <c r="F321" s="18" t="n">
        <f aca="false">ibpp_28_hi</f>
        <v>1.05</v>
      </c>
      <c r="G321" s="18" t="n">
        <f aca="false">ibpp_29_hi</f>
        <v>1</v>
      </c>
      <c r="K321" s="7" t="s">
        <v>613</v>
      </c>
    </row>
    <row r="322" customFormat="false" ht="17.15" hidden="false" customHeight="false" outlineLevel="0" collapsed="false">
      <c r="A322" s="3" t="s">
        <v>614</v>
      </c>
      <c r="B322" s="0" t="s">
        <v>150</v>
      </c>
      <c r="D322" s="18" t="n">
        <f aca="false">1</f>
        <v>1</v>
      </c>
      <c r="E322" s="18" t="n">
        <f aca="false">1+carry</f>
        <v>1.15</v>
      </c>
      <c r="F322" s="18" t="n">
        <f aca="false">1+carry</f>
        <v>1.15</v>
      </c>
      <c r="G322" s="18" t="n">
        <f aca="false">1+carry</f>
        <v>1.15</v>
      </c>
      <c r="K322" s="7" t="s">
        <v>615</v>
      </c>
    </row>
    <row r="323" customFormat="false" ht="17.15" hidden="false" customHeight="false" outlineLevel="0" collapsed="false">
      <c r="A323" s="3" t="s">
        <v>616</v>
      </c>
      <c r="B323" s="0" t="s">
        <v>617</v>
      </c>
      <c r="D323" s="23" t="n">
        <f aca="false">v26*D320*D321</f>
        <v>215.308596</v>
      </c>
      <c r="E323" s="23" t="n">
        <f aca="false">v26*E320*E321</f>
        <v>266.767350444</v>
      </c>
      <c r="F323" s="23" t="n">
        <f aca="false">v26*F320*F321</f>
        <v>314.78547352392</v>
      </c>
      <c r="G323" s="23" t="n">
        <f aca="false">v26*G320*G321</f>
        <v>353.758913103072</v>
      </c>
      <c r="K323" s="7" t="s">
        <v>618</v>
      </c>
    </row>
    <row r="324" customFormat="false" ht="17.15" hidden="false" customHeight="false" outlineLevel="0" collapsed="false">
      <c r="A324" s="3" t="s">
        <v>619</v>
      </c>
      <c r="B324" s="0" t="s">
        <v>40</v>
      </c>
      <c r="D324" s="20" t="n">
        <f aca="false">sh_nv_26</f>
        <v>0.02</v>
      </c>
      <c r="E324" s="20" t="n">
        <f aca="false">sh_nv_27</f>
        <v>0.03</v>
      </c>
      <c r="F324" s="20" t="n">
        <f aca="false">sh_nv_28</f>
        <v>0.04</v>
      </c>
      <c r="G324" s="20" t="n">
        <f aca="false">sh_nv_29</f>
        <v>0.04</v>
      </c>
    </row>
    <row r="325" customFormat="false" ht="17.15" hidden="false" customHeight="false" outlineLevel="0" collapsed="false">
      <c r="A325" s="3" t="s">
        <v>620</v>
      </c>
      <c r="B325" s="0" t="s">
        <v>40</v>
      </c>
      <c r="D325" s="20" t="n">
        <f aca="false">sh_ot_26</f>
        <v>0.05</v>
      </c>
      <c r="E325" s="20" t="n">
        <f aca="false">sh_ot_27</f>
        <v>0.06</v>
      </c>
      <c r="F325" s="20" t="n">
        <f aca="false">sh_ot_28</f>
        <v>0.07</v>
      </c>
      <c r="G325" s="20" t="n">
        <f aca="false">sh_ot_29</f>
        <v>0.07</v>
      </c>
    </row>
    <row r="326" customFormat="false" ht="17.15" hidden="false" customHeight="false" outlineLevel="0" collapsed="false">
      <c r="A326" s="3" t="s">
        <v>621</v>
      </c>
      <c r="B326" s="0" t="s">
        <v>571</v>
      </c>
      <c r="D326" s="22" t="n">
        <f aca="false">(D318*D323*D324+D319*D323*v_ot*D325)*D322</f>
        <v>98.180719776</v>
      </c>
      <c r="E326" s="22" t="n">
        <f aca="false">(E318*E323*E324+E319*E323*v_ot*E325)*E322</f>
        <v>295.431502249208</v>
      </c>
      <c r="F326" s="22" t="n">
        <f aca="false">(F318*F323*F324+F319*F323*v_ot*F325)*F322</f>
        <v>482.188388343941</v>
      </c>
      <c r="G326" s="22" t="n">
        <f aca="false">(G318*G323*G324+G319*G323*v_ot*G325)*G322</f>
        <v>617.882392804087</v>
      </c>
    </row>
    <row r="327" customFormat="false" ht="15" hidden="false" customHeight="false" outlineLevel="0" collapsed="false">
      <c r="A327" s="3" t="s">
        <v>622</v>
      </c>
      <c r="B327" s="0" t="s">
        <v>329</v>
      </c>
      <c r="D327" s="21" t="n">
        <f aca="false">D326*fx/1000</f>
        <v>3.19087339272</v>
      </c>
      <c r="E327" s="21" t="n">
        <f aca="false">E326*fx/1000</f>
        <v>9.60152382309925</v>
      </c>
      <c r="F327" s="21" t="n">
        <f aca="false">F326*fx/1000</f>
        <v>15.6711226211781</v>
      </c>
      <c r="G327" s="21" t="n">
        <f aca="false">G326*fx/1000</f>
        <v>20.0811777661328</v>
      </c>
    </row>
    <row r="328" customFormat="false" ht="17.15" hidden="false" customHeight="false" outlineLevel="0" collapsed="false">
      <c r="A328" s="5" t="s">
        <v>623</v>
      </c>
    </row>
    <row r="329" customFormat="false" ht="17.15" hidden="false" customHeight="false" outlineLevel="0" collapsed="false">
      <c r="A329" s="0" t="s">
        <v>624</v>
      </c>
      <c r="B329" s="0" t="s">
        <v>329</v>
      </c>
      <c r="D329" s="21" t="n">
        <f aca="false">a26_abf*ai_abf</f>
        <v>22.2987583</v>
      </c>
      <c r="K329" s="3" t="s">
        <v>625</v>
      </c>
    </row>
    <row r="330" customFormat="false" ht="17.15" hidden="false" customHeight="false" outlineLevel="0" collapsed="false">
      <c r="A330" s="3" t="s">
        <v>626</v>
      </c>
      <c r="B330" s="0" t="s">
        <v>329</v>
      </c>
      <c r="D330" s="21" t="n">
        <f aca="false">D329-D327</f>
        <v>19.10788490728</v>
      </c>
      <c r="E330" s="21" t="n">
        <f aca="false">$D330*(swm_27/swm_26)^el_o*1*1*E321*E322</f>
        <v>32.2721799727178</v>
      </c>
      <c r="F330" s="21" t="n">
        <f aca="false">$D330*(swm_28/swm_26)^el_o*um28_A*1*F321*F322</f>
        <v>34.7167581307331</v>
      </c>
      <c r="G330" s="21" t="n">
        <f aca="false">$D330*(swm_29/swm_26)^el_o*um29_A*1*G321*G322</f>
        <v>35.2724903210416</v>
      </c>
      <c r="K330" s="7" t="s">
        <v>627</v>
      </c>
    </row>
    <row r="331" customFormat="false" ht="17.15" hidden="false" customHeight="false" outlineLevel="0" collapsed="false">
      <c r="A331" s="3" t="s">
        <v>628</v>
      </c>
      <c r="B331" s="0" t="s">
        <v>329</v>
      </c>
      <c r="D331" s="21" t="n">
        <f aca="false">a26_abf-D329</f>
        <v>12.0070237</v>
      </c>
      <c r="E331" s="21" t="n">
        <f aca="false">D331*(1+g_nai)</f>
        <v>12.367234411</v>
      </c>
      <c r="F331" s="21" t="n">
        <f aca="false">E331*(1+g_nai)</f>
        <v>12.73825144333</v>
      </c>
      <c r="G331" s="21" t="n">
        <f aca="false">F331*(1+g_nai)</f>
        <v>13.1203989866299</v>
      </c>
    </row>
    <row r="332" customFormat="false" ht="17.15" hidden="false" customHeight="false" outlineLevel="0" collapsed="false">
      <c r="A332" s="0" t="s">
        <v>629</v>
      </c>
      <c r="B332" s="0" t="s">
        <v>329</v>
      </c>
      <c r="D332" s="21" t="n">
        <f aca="false">D327+D330+D331</f>
        <v>34.305782</v>
      </c>
      <c r="E332" s="21" t="n">
        <f aca="false">E327+E330+E331</f>
        <v>54.2409382068171</v>
      </c>
      <c r="F332" s="21" t="n">
        <f aca="false">F327+F330+F331</f>
        <v>63.1261321952412</v>
      </c>
      <c r="G332" s="21" t="n">
        <f aca="false">G327+G330+G331</f>
        <v>68.4740670738044</v>
      </c>
    </row>
    <row r="333" customFormat="false" ht="17.15" hidden="false" customHeight="false" outlineLevel="0" collapsed="false">
      <c r="A333" s="0" t="s">
        <v>630</v>
      </c>
      <c r="B333" s="0" t="s">
        <v>329</v>
      </c>
      <c r="D333" s="21" t="n">
        <f aca="false">a26_abf</f>
        <v>34.305782</v>
      </c>
      <c r="E333" s="21" t="n">
        <f aca="false">$D332*cap_27*(1+g_mix)^1*E321*E322</f>
        <v>52.1945320239</v>
      </c>
      <c r="F333" s="21" t="n">
        <f aca="false">$D332*cap_28*(1+g_mix)^2*F321*F322</f>
        <v>61.6547909532319</v>
      </c>
      <c r="G333" s="21" t="n">
        <f aca="false">$D332*cap_29*(1+g_mix)^3*G321*G322</f>
        <v>73.07234483346</v>
      </c>
      <c r="K333" s="7" t="s">
        <v>631</v>
      </c>
    </row>
    <row r="334" customFormat="false" ht="17.15" hidden="false" customHeight="false" outlineLevel="0" collapsed="false">
      <c r="A334" s="0" t="s">
        <v>632</v>
      </c>
      <c r="B334" s="0" t="s">
        <v>329</v>
      </c>
      <c r="D334" s="21" t="n">
        <f aca="false">a26_abf</f>
        <v>34.305782</v>
      </c>
      <c r="E334" s="21" t="n">
        <f aca="false">MIN(E332,E333)</f>
        <v>52.1945320239</v>
      </c>
      <c r="F334" s="21" t="n">
        <f aca="false">MIN(F332,F333)</f>
        <v>61.6547909532319</v>
      </c>
      <c r="G334" s="21" t="n">
        <f aca="false">MIN(G332,G333)</f>
        <v>68.4740670738044</v>
      </c>
    </row>
    <row r="335" customFormat="false" ht="17.15" hidden="false" customHeight="false" outlineLevel="0" collapsed="false">
      <c r="A335" s="3" t="s">
        <v>633</v>
      </c>
      <c r="B335" s="0" t="s">
        <v>40</v>
      </c>
      <c r="D335" s="20" t="n">
        <f aca="false">D334/D332</f>
        <v>1</v>
      </c>
      <c r="E335" s="20" t="n">
        <f aca="false">E334/E332</f>
        <v>0.962271925033556</v>
      </c>
      <c r="F335" s="20" t="n">
        <f aca="false">F334/F332</f>
        <v>0.976692041935047</v>
      </c>
      <c r="G335" s="20" t="n">
        <f aca="false">G334/G332</f>
        <v>1</v>
      </c>
    </row>
    <row r="336" customFormat="false" ht="17.15" hidden="false" customHeight="false" outlineLevel="0" collapsed="false">
      <c r="A336" s="0" t="s">
        <v>634</v>
      </c>
      <c r="B336" s="0" t="s">
        <v>329</v>
      </c>
      <c r="D336" s="21" t="n">
        <f aca="false">(D327+D330)*D335</f>
        <v>22.2987583</v>
      </c>
      <c r="E336" s="21" t="n">
        <f aca="false">(E327+E330)*E335</f>
        <v>40.2938895598858</v>
      </c>
      <c r="F336" s="21" t="n">
        <f aca="false">(F327+F330)*F335</f>
        <v>49.2134421403638</v>
      </c>
      <c r="G336" s="21" t="n">
        <f aca="false">(G327+G330)*G335</f>
        <v>55.3536680871745</v>
      </c>
    </row>
    <row r="337" customFormat="false" ht="17.15" hidden="false" customHeight="false" outlineLevel="0" collapsed="false">
      <c r="A337" s="3" t="s">
        <v>635</v>
      </c>
      <c r="B337" s="0" t="s">
        <v>40</v>
      </c>
      <c r="D337" s="20" t="n">
        <f aca="false">D327/(D327+D330)</f>
        <v>0.14309646078903</v>
      </c>
      <c r="E337" s="20" t="n">
        <f aca="false">E327/(E327+E330)</f>
        <v>0.229297218844501</v>
      </c>
      <c r="F337" s="20" t="n">
        <f aca="false">F327/(F327+F330)</f>
        <v>0.311009758444419</v>
      </c>
      <c r="G337" s="20" t="n">
        <f aca="false">G327/(G327+G330)</f>
        <v>0.362779531331288</v>
      </c>
    </row>
    <row r="338" customFormat="false" ht="17.15" hidden="false" customHeight="false" outlineLevel="0" collapsed="false">
      <c r="A338" s="5" t="s">
        <v>636</v>
      </c>
    </row>
    <row r="339" customFormat="false" ht="17.15" hidden="false" customHeight="false" outlineLevel="0" collapsed="false">
      <c r="A339" s="0" t="s">
        <v>637</v>
      </c>
      <c r="B339" s="0" t="s">
        <v>329</v>
      </c>
      <c r="D339" s="21" t="n">
        <f aca="false">a26_bt</f>
        <v>18.927328</v>
      </c>
      <c r="E339" s="21" t="n">
        <f aca="false">D339*(1+g_bt27_A)</f>
        <v>24.6055264</v>
      </c>
      <c r="F339" s="21" t="n">
        <f aca="false">E339*(1+g_bt28_A)</f>
        <v>27.06607904</v>
      </c>
      <c r="G339" s="21" t="n">
        <f aca="false">F339*(1+g_bt29_A)</f>
        <v>28.419382992</v>
      </c>
      <c r="K339" s="7" t="s">
        <v>638</v>
      </c>
    </row>
    <row r="340" customFormat="false" ht="17.15" hidden="false" customHeight="false" outlineLevel="0" collapsed="false">
      <c r="A340" s="0" t="s">
        <v>536</v>
      </c>
      <c r="B340" s="0" t="s">
        <v>329</v>
      </c>
      <c r="D340" s="21" t="n">
        <f aca="false">a26_pcb</f>
        <v>5.91479</v>
      </c>
      <c r="E340" s="21" t="n">
        <f aca="false">D340*(1+g_pcb)</f>
        <v>5.91479</v>
      </c>
      <c r="F340" s="21" t="n">
        <f aca="false">E340*(1+g_pcb)</f>
        <v>5.91479</v>
      </c>
      <c r="G340" s="21" t="n">
        <f aca="false">F340*(1+g_pcb)</f>
        <v>5.91479</v>
      </c>
    </row>
    <row r="341" customFormat="false" ht="17.15" hidden="false" customHeight="false" outlineLevel="0" collapsed="false">
      <c r="A341" s="3" t="s">
        <v>501</v>
      </c>
      <c r="B341" s="0" t="s">
        <v>329</v>
      </c>
      <c r="C341" s="23" t="n">
        <f aca="false">a25_rev</f>
        <v>40.173</v>
      </c>
      <c r="D341" s="23" t="n">
        <f aca="false">D334+D339+D340</f>
        <v>59.1479</v>
      </c>
      <c r="E341" s="23" t="n">
        <f aca="false">E334+E339+E340</f>
        <v>82.7148484239</v>
      </c>
      <c r="F341" s="23" t="n">
        <f aca="false">F334+F339+F340</f>
        <v>94.6356599932319</v>
      </c>
      <c r="G341" s="23" t="n">
        <f aca="false">G334+G339+G340</f>
        <v>102.808240065804</v>
      </c>
      <c r="H341" s="25" t="n">
        <f aca="false">G341*(1+H342)</f>
        <v>110.78330530499</v>
      </c>
      <c r="I341" s="25" t="n">
        <f aca="false">H341*(1+I342)</f>
        <v>118.403658912064</v>
      </c>
      <c r="J341" s="25" t="n">
        <f aca="false">I341*(1+J342)</f>
        <v>125.507878446787</v>
      </c>
      <c r="K341" s="7" t="s">
        <v>639</v>
      </c>
    </row>
    <row r="342" customFormat="false" ht="15" hidden="false" customHeight="false" outlineLevel="0" collapsed="false">
      <c r="A342" s="3" t="s">
        <v>640</v>
      </c>
      <c r="B342" s="0" t="s">
        <v>40</v>
      </c>
      <c r="D342" s="20" t="n">
        <f aca="false">D341/C341-1</f>
        <v>0.472329674159261</v>
      </c>
      <c r="E342" s="20" t="n">
        <f aca="false">E341/D341-1</f>
        <v>0.398441</v>
      </c>
      <c r="F342" s="20" t="n">
        <f aca="false">F341/E341-1</f>
        <v>0.144119366673317</v>
      </c>
      <c r="G342" s="20" t="n">
        <f aca="false">G341/F341-1</f>
        <v>0.0863583565978932</v>
      </c>
      <c r="H342" s="26" t="n">
        <f aca="false">$G342+(fade_gA-$G342)*1/3</f>
        <v>0.0775722377319288</v>
      </c>
      <c r="I342" s="26" t="n">
        <f aca="false">$G342+(fade_gA-$G342)*2/3</f>
        <v>0.0687861188659644</v>
      </c>
      <c r="J342" s="26" t="n">
        <f aca="false">$G342+(fade_gA-$G342)*3/3</f>
        <v>0.06</v>
      </c>
    </row>
    <row r="343" customFormat="false" ht="17.15" hidden="false" customHeight="false" outlineLevel="0" collapsed="false">
      <c r="A343" s="0" t="s">
        <v>641</v>
      </c>
      <c r="B343" s="0" t="s">
        <v>40</v>
      </c>
      <c r="D343" s="20" t="n">
        <f aca="false">D334/D341</f>
        <v>0.58</v>
      </c>
      <c r="E343" s="20" t="n">
        <f aca="false">E334/E341</f>
        <v>0.631017683263005</v>
      </c>
      <c r="F343" s="20" t="n">
        <f aca="false">F334/F341</f>
        <v>0.651496391081769</v>
      </c>
      <c r="G343" s="20" t="n">
        <f aca="false">G334/G341</f>
        <v>0.666036759601917</v>
      </c>
    </row>
    <row r="344" customFormat="false" ht="17.15" hidden="false" customHeight="false" outlineLevel="0" collapsed="false">
      <c r="A344" s="0" t="s">
        <v>642</v>
      </c>
      <c r="B344" s="0" t="s">
        <v>40</v>
      </c>
      <c r="D344" s="20" t="n">
        <f aca="false">D336/D341</f>
        <v>0.377</v>
      </c>
      <c r="E344" s="20" t="n">
        <f aca="false">E336/E341</f>
        <v>0.487142155582348</v>
      </c>
      <c r="F344" s="20" t="n">
        <f aca="false">F336/F341</f>
        <v>0.520030632679938</v>
      </c>
      <c r="G344" s="20" t="n">
        <f aca="false">G336/G341</f>
        <v>0.538416648818658</v>
      </c>
      <c r="K344" s="3" t="s">
        <v>643</v>
      </c>
    </row>
    <row r="345" customFormat="false" ht="17.15" hidden="false" customHeight="false" outlineLevel="0" collapsed="false">
      <c r="A345" s="5" t="s">
        <v>644</v>
      </c>
    </row>
    <row r="346" customFormat="false" ht="15" hidden="false" customHeight="false" outlineLevel="0" collapsed="false">
      <c r="A346" s="3" t="s">
        <v>645</v>
      </c>
      <c r="B346" s="0" t="s">
        <v>329</v>
      </c>
      <c r="C346" s="23" t="n">
        <f aca="false">a25_cx</f>
        <v>2.422</v>
      </c>
      <c r="D346" s="23" t="n">
        <f aca="false">capex26</f>
        <v>4</v>
      </c>
      <c r="E346" s="23" t="n">
        <f aca="false">cx27</f>
        <v>14</v>
      </c>
      <c r="F346" s="23" t="n">
        <f aca="false">cx28</f>
        <v>18</v>
      </c>
      <c r="G346" s="23" t="n">
        <f aca="false">cx29</f>
        <v>12</v>
      </c>
      <c r="H346" s="25" t="n">
        <f aca="false">H341*H363</f>
        <v>12.3689964153559</v>
      </c>
      <c r="I346" s="25" t="n">
        <f aca="false">I341*I363</f>
        <v>12.6192923489118</v>
      </c>
      <c r="J346" s="25" t="n">
        <f aca="false">J341*J363</f>
        <v>12.7398994062757</v>
      </c>
    </row>
    <row r="347" customFormat="false" ht="17.15" hidden="false" customHeight="false" outlineLevel="0" collapsed="false">
      <c r="A347" s="3" t="s">
        <v>646</v>
      </c>
      <c r="B347" s="0" t="s">
        <v>329</v>
      </c>
      <c r="C347" s="23" t="n">
        <f aca="false">a25_da</f>
        <v>6.894</v>
      </c>
      <c r="D347" s="23" t="n">
        <f aca="false">da26</f>
        <v>7.1</v>
      </c>
      <c r="E347" s="23" t="n">
        <f aca="false">D347*(1-1/life)+D346/life</f>
        <v>6.7125</v>
      </c>
      <c r="F347" s="23" t="n">
        <f aca="false">E347*(1-1/life)+E346/life</f>
        <v>7.6234375</v>
      </c>
      <c r="G347" s="23" t="n">
        <f aca="false">F347*(1-1/life)+F346/life</f>
        <v>8.9205078125</v>
      </c>
      <c r="H347" s="25" t="n">
        <f aca="false">H341*H348</f>
        <v>9.61249156522078</v>
      </c>
      <c r="I347" s="25" t="n">
        <f aca="false">I341*I348</f>
        <v>10.2736975526241</v>
      </c>
      <c r="J347" s="25" t="n">
        <f aca="false">J341*J348</f>
        <v>10.8901194057816</v>
      </c>
      <c r="K347" s="3" t="s">
        <v>647</v>
      </c>
    </row>
    <row r="348" customFormat="false" ht="17.15" hidden="false" customHeight="false" outlineLevel="0" collapsed="false">
      <c r="A348" s="3" t="s">
        <v>648</v>
      </c>
      <c r="B348" s="0" t="s">
        <v>40</v>
      </c>
      <c r="C348" s="20" t="n">
        <f aca="false">C347/C341</f>
        <v>0.171607796281084</v>
      </c>
      <c r="D348" s="20" t="n">
        <f aca="false">D347/D341</f>
        <v>0.120038074048276</v>
      </c>
      <c r="E348" s="20" t="n">
        <f aca="false">E347/E341</f>
        <v>0.0811522976576048</v>
      </c>
      <c r="F348" s="20" t="n">
        <f aca="false">F347/F341</f>
        <v>0.0805556541851688</v>
      </c>
      <c r="G348" s="20" t="n">
        <f aca="false">G347/G341</f>
        <v>0.0867684127924985</v>
      </c>
      <c r="H348" s="26" t="n">
        <f aca="false">$G348</f>
        <v>0.0867684127924985</v>
      </c>
      <c r="I348" s="26" t="n">
        <f aca="false">$G348</f>
        <v>0.0867684127924985</v>
      </c>
      <c r="J348" s="26" t="n">
        <f aca="false">$G348</f>
        <v>0.0867684127924985</v>
      </c>
    </row>
    <row r="349" customFormat="false" ht="17.15" hidden="false" customHeight="false" outlineLevel="0" collapsed="false">
      <c r="A349" s="3" t="s">
        <v>649</v>
      </c>
      <c r="B349" s="0" t="s">
        <v>329</v>
      </c>
      <c r="E349" s="21" t="n">
        <f aca="false">E336*(1-1/(E321*E322))</f>
        <v>6.92420876494932</v>
      </c>
      <c r="F349" s="21" t="n">
        <f aca="false">F336*(1-1/(F321*F322))</f>
        <v>8.45696831811635</v>
      </c>
      <c r="G349" s="21" t="n">
        <f aca="false">G336*(1-1/(G321*G322))</f>
        <v>7.22004366354449</v>
      </c>
      <c r="K349" s="7" t="s">
        <v>650</v>
      </c>
    </row>
    <row r="350" customFormat="false" ht="17.15" hidden="false" customHeight="false" outlineLevel="0" collapsed="false">
      <c r="A350" s="3" t="s">
        <v>651</v>
      </c>
      <c r="B350" s="0" t="s">
        <v>329</v>
      </c>
      <c r="C350" s="21" t="n">
        <f aca="false">a25_gp</f>
        <v>3.647</v>
      </c>
      <c r="D350" s="21" t="n">
        <f aca="false">a26_gp</f>
        <v>15.9001925</v>
      </c>
      <c r="E350" s="21" t="n">
        <f aca="false">$D350+ft_abf*(E334-E349-$D334)+ft_oth*((E341-E334)-($D341-$D334))+E349-(E347-$D347)</f>
        <v>30.9654512544247</v>
      </c>
      <c r="F350" s="21" t="n">
        <f aca="false">$D350+ft_abf*(F334-F349-$D334)+ft_oth*((F341-F334)-($D341-$D334))+F349-(F347-$D347)</f>
        <v>36.5352440516741</v>
      </c>
      <c r="G350" s="21" t="n">
        <f aca="false">$D350+ft_abf*(G334-G349-$D334)+ft_oth*((G341-G334)-($D341-$D334))+G349-(G347-$D347)</f>
        <v>38.5706710529744</v>
      </c>
      <c r="K350" s="3" t="s">
        <v>652</v>
      </c>
    </row>
    <row r="351" customFormat="false" ht="15" hidden="false" customHeight="false" outlineLevel="0" collapsed="false">
      <c r="A351" s="3" t="s">
        <v>508</v>
      </c>
      <c r="B351" s="0" t="s">
        <v>40</v>
      </c>
      <c r="C351" s="16" t="n">
        <f aca="false">C350/C341</f>
        <v>0.0907823662659</v>
      </c>
      <c r="D351" s="16" t="n">
        <f aca="false">D350/D341</f>
        <v>0.268820913337583</v>
      </c>
      <c r="E351" s="16" t="n">
        <f aca="false">E350/E341</f>
        <v>0.374363875948026</v>
      </c>
      <c r="F351" s="16" t="n">
        <f aca="false">F350/F341</f>
        <v>0.386062125569653</v>
      </c>
      <c r="G351" s="16" t="n">
        <f aca="false">G350/G341</f>
        <v>0.375171007968686</v>
      </c>
    </row>
    <row r="352" customFormat="false" ht="15" hidden="false" customHeight="false" outlineLevel="0" collapsed="false">
      <c r="A352" s="3" t="s">
        <v>510</v>
      </c>
      <c r="B352" s="0" t="s">
        <v>329</v>
      </c>
      <c r="C352" s="21" t="n">
        <f aca="false">a25_opx</f>
        <v>1.665</v>
      </c>
      <c r="D352" s="21" t="n">
        <f aca="false">a26_opx</f>
        <v>1.9</v>
      </c>
      <c r="E352" s="21" t="n">
        <f aca="false">D352*(1+phi*E342)</f>
        <v>2.35422274</v>
      </c>
      <c r="F352" s="21" t="n">
        <f aca="false">E352*(1+phi*F342)</f>
        <v>2.55779619417803</v>
      </c>
      <c r="G352" s="21" t="n">
        <f aca="false">F352*(1+phi*G342)</f>
        <v>2.69032843968297</v>
      </c>
    </row>
    <row r="353" customFormat="false" ht="15" hidden="false" customHeight="false" outlineLevel="0" collapsed="false">
      <c r="A353" s="3" t="s">
        <v>513</v>
      </c>
      <c r="B353" s="0" t="s">
        <v>329</v>
      </c>
      <c r="C353" s="21" t="n">
        <f aca="false">C350-C352</f>
        <v>1.982</v>
      </c>
      <c r="D353" s="21" t="n">
        <f aca="false">D350-D352</f>
        <v>14.0001925</v>
      </c>
      <c r="E353" s="21" t="n">
        <f aca="false">E350-E352</f>
        <v>28.6112285144247</v>
      </c>
      <c r="F353" s="21" t="n">
        <f aca="false">F350-F352</f>
        <v>33.9774478574961</v>
      </c>
      <c r="G353" s="21" t="n">
        <f aca="false">G350-G352</f>
        <v>35.8803426132915</v>
      </c>
    </row>
    <row r="354" customFormat="false" ht="15" hidden="false" customHeight="false" outlineLevel="0" collapsed="false">
      <c r="A354" s="3" t="s">
        <v>594</v>
      </c>
      <c r="B354" s="0" t="s">
        <v>40</v>
      </c>
      <c r="C354" s="16" t="n">
        <f aca="false">C353/C341</f>
        <v>0.0493366191222961</v>
      </c>
      <c r="D354" s="16" t="n">
        <f aca="false">D353/D341</f>
        <v>0.236698048451424</v>
      </c>
      <c r="E354" s="16" t="n">
        <f aca="false">E353/E341</f>
        <v>0.345901963910963</v>
      </c>
      <c r="F354" s="16" t="n">
        <f aca="false">F353/F341</f>
        <v>0.359034299120713</v>
      </c>
      <c r="G354" s="16" t="n">
        <f aca="false">G353/G341</f>
        <v>0.349002595417698</v>
      </c>
    </row>
    <row r="355" customFormat="false" ht="15" hidden="false" customHeight="false" outlineLevel="0" collapsed="false">
      <c r="A355" s="3" t="s">
        <v>516</v>
      </c>
      <c r="B355" s="0" t="s">
        <v>329</v>
      </c>
      <c r="C355" s="21" t="n">
        <f aca="false">a25_nonop</f>
        <v>0.364</v>
      </c>
      <c r="D355" s="21" t="n">
        <f aca="false">a26_nonop</f>
        <v>0.623</v>
      </c>
      <c r="E355" s="21" t="n">
        <f aca="false">nonop27</f>
        <v>0.6</v>
      </c>
      <c r="F355" s="21" t="n">
        <f aca="false">nonop28</f>
        <v>0.6</v>
      </c>
      <c r="G355" s="21" t="n">
        <f aca="false">nonop29</f>
        <v>0.6</v>
      </c>
    </row>
    <row r="356" customFormat="false" ht="15" hidden="false" customHeight="false" outlineLevel="0" collapsed="false">
      <c r="A356" s="3" t="s">
        <v>518</v>
      </c>
      <c r="B356" s="0" t="s">
        <v>329</v>
      </c>
      <c r="C356" s="21" t="n">
        <f aca="false">C353+C355</f>
        <v>2.346</v>
      </c>
      <c r="D356" s="21" t="n">
        <f aca="false">D353+D355</f>
        <v>14.6231925</v>
      </c>
      <c r="E356" s="21" t="n">
        <f aca="false">E353+E355</f>
        <v>29.2112285144247</v>
      </c>
      <c r="F356" s="21" t="n">
        <f aca="false">F353+F355</f>
        <v>34.5774478574961</v>
      </c>
      <c r="G356" s="21" t="n">
        <f aca="false">G353+G355</f>
        <v>36.4803426132915</v>
      </c>
    </row>
    <row r="357" customFormat="false" ht="15" hidden="false" customHeight="false" outlineLevel="0" collapsed="false">
      <c r="A357" s="3" t="s">
        <v>521</v>
      </c>
      <c r="B357" s="0" t="s">
        <v>329</v>
      </c>
      <c r="E357" s="21" t="n">
        <f aca="false">E356*tax</f>
        <v>6.13435798802918</v>
      </c>
      <c r="F357" s="21" t="n">
        <f aca="false">F356*tax</f>
        <v>7.26126405007418</v>
      </c>
      <c r="G357" s="21" t="n">
        <f aca="false">G356*tax</f>
        <v>7.66087194879121</v>
      </c>
    </row>
    <row r="358" customFormat="false" ht="15" hidden="false" customHeight="false" outlineLevel="0" collapsed="false">
      <c r="A358" s="3" t="s">
        <v>519</v>
      </c>
      <c r="B358" s="0" t="s">
        <v>329</v>
      </c>
      <c r="C358" s="21" t="n">
        <f aca="false">a25_ni</f>
        <v>1.947</v>
      </c>
      <c r="D358" s="21" t="n">
        <f aca="false">a26_ni</f>
        <v>11.509862075</v>
      </c>
      <c r="E358" s="21" t="n">
        <f aca="false">E356-E357</f>
        <v>23.0768705263955</v>
      </c>
      <c r="F358" s="21" t="n">
        <f aca="false">F356-F357</f>
        <v>27.3161838074219</v>
      </c>
      <c r="G358" s="21" t="n">
        <f aca="false">G356-G357</f>
        <v>28.8194706645003</v>
      </c>
      <c r="H358" s="30" t="n">
        <f aca="false">H341*H362</f>
        <v>30.0127258198527</v>
      </c>
      <c r="I358" s="30" t="n">
        <f aca="false">I341*I362</f>
        <v>30.9631508456527</v>
      </c>
      <c r="J358" s="30" t="n">
        <f aca="false">J341*J362</f>
        <v>31.6400639624597</v>
      </c>
    </row>
    <row r="359" customFormat="false" ht="15" hidden="false" customHeight="false" outlineLevel="0" collapsed="false">
      <c r="A359" s="3" t="s">
        <v>653</v>
      </c>
      <c r="B359" s="3" t="s">
        <v>396</v>
      </c>
      <c r="C359" s="29" t="n">
        <f aca="false">a25_sh</f>
        <v>0.646843853820598</v>
      </c>
      <c r="D359" s="29" t="n">
        <f aca="false">a26_sh</f>
        <v>0.645863325123153</v>
      </c>
      <c r="E359" s="29" t="n">
        <f aca="false">a26_shend*(1+sh_g)</f>
        <v>0.64617</v>
      </c>
      <c r="F359" s="29" t="n">
        <f aca="false">E359*(1+sh_g)</f>
        <v>0.64617</v>
      </c>
      <c r="G359" s="29" t="n">
        <f aca="false">F359*(1+sh_g)</f>
        <v>0.64617</v>
      </c>
      <c r="H359" s="31" t="n">
        <f aca="false">G359*(1+sh_g)</f>
        <v>0.64617</v>
      </c>
      <c r="I359" s="31" t="n">
        <f aca="false">H359*(1+sh_g)</f>
        <v>0.64617</v>
      </c>
      <c r="J359" s="31" t="n">
        <f aca="false">I359*(1+sh_g)</f>
        <v>0.64617</v>
      </c>
    </row>
    <row r="360" customFormat="false" ht="17.15" hidden="false" customHeight="false" outlineLevel="0" collapsed="false">
      <c r="A360" s="0" t="s">
        <v>524</v>
      </c>
      <c r="B360" s="0" t="s">
        <v>402</v>
      </c>
      <c r="C360" s="18" t="n">
        <f aca="false">C358/C359</f>
        <v>3.01</v>
      </c>
      <c r="D360" s="18" t="n">
        <f aca="false">D358/D359</f>
        <v>17.820894339844</v>
      </c>
      <c r="E360" s="18" t="n">
        <f aca="false">E358/E359</f>
        <v>35.7133115532994</v>
      </c>
      <c r="F360" s="18" t="n">
        <f aca="false">F358/F359</f>
        <v>42.2739895188912</v>
      </c>
      <c r="G360" s="18" t="n">
        <f aca="false">G358/G359</f>
        <v>44.6004467315107</v>
      </c>
      <c r="H360" s="28" t="n">
        <f aca="false">H358/H359</f>
        <v>46.4471049721478</v>
      </c>
      <c r="I360" s="28" t="n">
        <f aca="false">I358/I359</f>
        <v>47.9179640739321</v>
      </c>
      <c r="J360" s="28" t="n">
        <f aca="false">J358/J359</f>
        <v>48.9655415176497</v>
      </c>
    </row>
    <row r="361" customFormat="false" ht="17.15" hidden="false" customHeight="false" outlineLevel="0" collapsed="false">
      <c r="A361" s="0" t="s">
        <v>654</v>
      </c>
      <c r="B361" s="0" t="s">
        <v>40</v>
      </c>
      <c r="D361" s="20" t="n">
        <f aca="false">D360/C360-1</f>
        <v>4.92056290360265</v>
      </c>
      <c r="E361" s="20" t="n">
        <f aca="false">E360/D360-1</f>
        <v>1.00401342784753</v>
      </c>
      <c r="F361" s="20" t="n">
        <f aca="false">F360/E360-1</f>
        <v>0.183703993839956</v>
      </c>
      <c r="G361" s="20" t="n">
        <f aca="false">G360/F360-1</f>
        <v>0.0550328284388646</v>
      </c>
      <c r="H361" s="26" t="n">
        <f aca="false">H360/G360-1</f>
        <v>0.0414044785639431</v>
      </c>
      <c r="I361" s="26" t="n">
        <f aca="false">I360/H360-1</f>
        <v>0.0316674010719575</v>
      </c>
      <c r="J361" s="26" t="n">
        <f aca="false">J360/I360-1</f>
        <v>0.0218618938421773</v>
      </c>
    </row>
    <row r="362" customFormat="false" ht="17.15" hidden="false" customHeight="false" outlineLevel="0" collapsed="false">
      <c r="A362" s="3" t="s">
        <v>655</v>
      </c>
      <c r="B362" s="0" t="s">
        <v>40</v>
      </c>
      <c r="C362" s="16" t="n">
        <f aca="false">C358/C341</f>
        <v>0.0484653872003585</v>
      </c>
      <c r="D362" s="16" t="n">
        <f aca="false">D358/D341</f>
        <v>0.194594602259759</v>
      </c>
      <c r="E362" s="16" t="n">
        <f aca="false">E358/E341</f>
        <v>0.278993082452746</v>
      </c>
      <c r="F362" s="16" t="n">
        <f aca="false">F358/F341</f>
        <v>0.288645779079213</v>
      </c>
      <c r="G362" s="16" t="n">
        <f aca="false">G358/G341</f>
        <v>0.280322575759042</v>
      </c>
      <c r="H362" s="27" t="n">
        <f aca="false">$G362+(fade_mA-$G362)*1/3</f>
        <v>0.27091379641749</v>
      </c>
      <c r="I362" s="27" t="n">
        <f aca="false">$G362+(fade_mA-$G362)*2/3</f>
        <v>0.261505017075938</v>
      </c>
      <c r="J362" s="27" t="n">
        <f aca="false">$G362+(fade_mA-$G362)*3/3</f>
        <v>0.252096237734386</v>
      </c>
    </row>
    <row r="363" customFormat="false" ht="17.15" hidden="false" customHeight="false" outlineLevel="0" collapsed="false">
      <c r="A363" s="3" t="s">
        <v>656</v>
      </c>
      <c r="B363" s="0" t="s">
        <v>40</v>
      </c>
      <c r="C363" s="20" t="n">
        <f aca="false">C346/C341</f>
        <v>0.0602892489980833</v>
      </c>
      <c r="D363" s="20" t="n">
        <f aca="false">D346/D341</f>
        <v>0.0676270839708595</v>
      </c>
      <c r="E363" s="20" t="n">
        <f aca="false">E346/E341</f>
        <v>0.169256188783086</v>
      </c>
      <c r="F363" s="20" t="n">
        <f aca="false">F346/F341</f>
        <v>0.190203143310749</v>
      </c>
      <c r="G363" s="20" t="n">
        <f aca="false">G346/G341</f>
        <v>0.116722161495218</v>
      </c>
      <c r="H363" s="26" t="n">
        <f aca="false">$G363+($G348*(1+tp_g)^(life/2)-$G363)*1/3</f>
        <v>0.111650364477785</v>
      </c>
      <c r="I363" s="26" t="n">
        <f aca="false">$G363+($G348*(1+tp_g)^(life/2)-$G363)*2/3</f>
        <v>0.106578567460351</v>
      </c>
      <c r="J363" s="26" t="n">
        <f aca="false">$G363+($G348*(1+tp_g)^(life/2)-$G363)*3/3</f>
        <v>0.101506770442918</v>
      </c>
      <c r="K363" s="7" t="s">
        <v>657</v>
      </c>
    </row>
    <row r="364" customFormat="false" ht="15" hidden="false" customHeight="false" outlineLevel="0" collapsed="false">
      <c r="A364" s="3" t="s">
        <v>658</v>
      </c>
      <c r="B364" s="0" t="s">
        <v>329</v>
      </c>
      <c r="E364" s="21" t="n">
        <f aca="false">E358+E347-E346</f>
        <v>15.7893705263955</v>
      </c>
      <c r="F364" s="21" t="n">
        <f aca="false">F358+F347-F346</f>
        <v>16.9396213074219</v>
      </c>
      <c r="G364" s="21" t="n">
        <f aca="false">G358+G347-G346</f>
        <v>25.7399784770003</v>
      </c>
      <c r="H364" s="30" t="n">
        <f aca="false">H358+H347-H346</f>
        <v>27.2562209697176</v>
      </c>
      <c r="I364" s="30" t="n">
        <f aca="false">I358+I347-I346</f>
        <v>28.617556049365</v>
      </c>
      <c r="J364" s="30" t="n">
        <f aca="false">J358+J347-J346</f>
        <v>29.7902839619656</v>
      </c>
      <c r="K364" s="3" t="s">
        <v>659</v>
      </c>
    </row>
    <row r="365" customFormat="false" ht="15" hidden="false" customHeight="false" outlineLevel="0" collapsed="false">
      <c r="A365" s="3" t="s">
        <v>660</v>
      </c>
      <c r="B365" s="0" t="s">
        <v>402</v>
      </c>
      <c r="E365" s="18" t="n">
        <f aca="false">E364/E359</f>
        <v>24.4353196935721</v>
      </c>
      <c r="F365" s="18" t="n">
        <f aca="false">F364/F359</f>
        <v>26.2154252091894</v>
      </c>
      <c r="G365" s="18" t="n">
        <f aca="false">G364/G359</f>
        <v>39.8346851091822</v>
      </c>
      <c r="H365" s="28" t="n">
        <f aca="false">H364/H359</f>
        <v>42.1811922090435</v>
      </c>
      <c r="I365" s="28" t="n">
        <f aca="false">I364/I359</f>
        <v>44.2879676391121</v>
      </c>
      <c r="J365" s="28" t="n">
        <f aca="false">J364/J359</f>
        <v>46.1028583220601</v>
      </c>
    </row>
    <row r="368" customFormat="false" ht="17.15" hidden="false" customHeight="false" outlineLevel="0" collapsed="false">
      <c r="A368" s="1" t="s">
        <v>964</v>
      </c>
    </row>
    <row r="369" customFormat="false" ht="17.15" hidden="false" customHeight="false" outlineLevel="0" collapsed="false">
      <c r="A369" s="4" t="s">
        <v>17</v>
      </c>
      <c r="B369" s="4" t="s">
        <v>18</v>
      </c>
      <c r="C369" s="13" t="s">
        <v>494</v>
      </c>
      <c r="D369" s="13" t="s">
        <v>581</v>
      </c>
      <c r="E369" s="13" t="s">
        <v>582</v>
      </c>
      <c r="F369" s="13" t="s">
        <v>583</v>
      </c>
      <c r="G369" s="13" t="s">
        <v>584</v>
      </c>
      <c r="H369" s="13" t="s">
        <v>585</v>
      </c>
      <c r="I369" s="13" t="s">
        <v>586</v>
      </c>
      <c r="J369" s="13" t="s">
        <v>587</v>
      </c>
      <c r="K369" s="4" t="s">
        <v>549</v>
      </c>
    </row>
    <row r="370" customFormat="false" ht="17.15" hidden="false" customHeight="false" outlineLevel="0" collapsed="false">
      <c r="A370" s="5" t="s">
        <v>605</v>
      </c>
    </row>
    <row r="371" customFormat="false" ht="17.15" hidden="false" customHeight="false" outlineLevel="0" collapsed="false">
      <c r="A371" s="0" t="s">
        <v>606</v>
      </c>
      <c r="B371" s="3" t="s">
        <v>28</v>
      </c>
      <c r="D371" s="21" t="n">
        <f aca="false">(u_bw_26+u_rb_26+u_ru_26+u_hp_26)*1</f>
        <v>7.6</v>
      </c>
      <c r="E371" s="21" t="n">
        <f aca="false">(u_bw_27+u_rb_27+u_ru_27+u_hp_27)*1*1</f>
        <v>9.7</v>
      </c>
      <c r="F371" s="21" t="n">
        <f aca="false">(u_bw_28+u_rb_28+u_ru_28+u_hp_28)*um28_A*1</f>
        <v>9.5</v>
      </c>
      <c r="G371" s="21" t="n">
        <f aca="false">(u_bw_28*(1+g29_bw)+u_rb_28*(1+g29_rb)+u_ru_28*(1+g29_ru)+u_hp_28*(1+g29_hp))*um29_A*1</f>
        <v>10.6</v>
      </c>
      <c r="K371" s="7" t="s">
        <v>607</v>
      </c>
    </row>
    <row r="372" customFormat="false" ht="17.15" hidden="false" customHeight="false" outlineLevel="0" collapsed="false">
      <c r="A372" s="3" t="s">
        <v>608</v>
      </c>
      <c r="B372" s="3" t="s">
        <v>28</v>
      </c>
      <c r="D372" s="21" t="n">
        <f aca="false">(u_amd_26+u_tpu_26+u_trn_26+u_oth_26)*1</f>
        <v>7.6</v>
      </c>
      <c r="E372" s="21" t="n">
        <f aca="false">(u_amd_27+u_tpu_27+u_trn_27+u_oth_27)*1*1</f>
        <v>14</v>
      </c>
      <c r="F372" s="21" t="n">
        <f aca="false">(u_amd_28+u_tpu_28+u_trn_28+u_oth_28)*um28_A*1</f>
        <v>17</v>
      </c>
      <c r="G372" s="21" t="n">
        <f aca="false">(u_amd_28*(1+g29_amd)+u_tpu_28*(1+g29_tpu)+u_trn_28*(1+g29_trn)+u_oth_28*(1+g29_oth))*um29_A*1</f>
        <v>19.55</v>
      </c>
      <c r="K372" s="7" t="s">
        <v>609</v>
      </c>
    </row>
    <row r="373" customFormat="false" ht="17.15" hidden="false" customHeight="false" outlineLevel="0" collapsed="false">
      <c r="A373" s="3" t="s">
        <v>610</v>
      </c>
      <c r="B373" s="0" t="s">
        <v>150</v>
      </c>
      <c r="D373" s="19" t="n">
        <f aca="false">1</f>
        <v>1</v>
      </c>
      <c r="E373" s="19" t="n">
        <f aca="false">D373*(1+g_asp)</f>
        <v>1.18</v>
      </c>
      <c r="F373" s="19" t="n">
        <f aca="false">E373*(1+g_asp)</f>
        <v>1.3924</v>
      </c>
      <c r="G373" s="19" t="n">
        <f aca="false">F373*(1+g_asp)</f>
        <v>1.643032</v>
      </c>
      <c r="K373" s="7" t="s">
        <v>611</v>
      </c>
    </row>
    <row r="374" customFormat="false" ht="17.15" hidden="false" customHeight="false" outlineLevel="0" collapsed="false">
      <c r="A374" s="0" t="s">
        <v>612</v>
      </c>
      <c r="B374" s="0" t="s">
        <v>150</v>
      </c>
      <c r="D374" s="18" t="n">
        <f aca="false">1</f>
        <v>1</v>
      </c>
      <c r="E374" s="18" t="n">
        <f aca="false">ibpp_27</f>
        <v>1</v>
      </c>
      <c r="F374" s="18" t="n">
        <f aca="false">ibpp_28</f>
        <v>0.95</v>
      </c>
      <c r="G374" s="18" t="n">
        <f aca="false">ibpp_29</f>
        <v>0.9</v>
      </c>
      <c r="K374" s="7" t="s">
        <v>613</v>
      </c>
    </row>
    <row r="375" customFormat="false" ht="17.15" hidden="false" customHeight="false" outlineLevel="0" collapsed="false">
      <c r="A375" s="3" t="s">
        <v>614</v>
      </c>
      <c r="B375" s="0" t="s">
        <v>150</v>
      </c>
      <c r="D375" s="18" t="n">
        <f aca="false">1</f>
        <v>1</v>
      </c>
      <c r="E375" s="18" t="n">
        <f aca="false">1+carry_lo</f>
        <v>1.08</v>
      </c>
      <c r="F375" s="18" t="n">
        <f aca="false">1+carry_lo</f>
        <v>1.08</v>
      </c>
      <c r="G375" s="18" t="n">
        <f aca="false">1+carry_lo</f>
        <v>1.08</v>
      </c>
      <c r="K375" s="7" t="s">
        <v>615</v>
      </c>
    </row>
    <row r="376" customFormat="false" ht="17.15" hidden="false" customHeight="false" outlineLevel="0" collapsed="false">
      <c r="A376" s="3" t="s">
        <v>616</v>
      </c>
      <c r="B376" s="0" t="s">
        <v>617</v>
      </c>
      <c r="D376" s="23" t="n">
        <f aca="false">v26*D373*D374</f>
        <v>215.308596</v>
      </c>
      <c r="E376" s="23" t="n">
        <f aca="false">v26*E373*E374</f>
        <v>254.06414328</v>
      </c>
      <c r="F376" s="23" t="n">
        <f aca="false">v26*F373*F374</f>
        <v>284.80590461688</v>
      </c>
      <c r="G376" s="23" t="n">
        <f aca="false">v26*G373*G374</f>
        <v>318.383021792765</v>
      </c>
      <c r="K376" s="7" t="s">
        <v>618</v>
      </c>
    </row>
    <row r="377" customFormat="false" ht="17.15" hidden="false" customHeight="false" outlineLevel="0" collapsed="false">
      <c r="A377" s="3" t="s">
        <v>619</v>
      </c>
      <c r="B377" s="0" t="s">
        <v>40</v>
      </c>
      <c r="D377" s="20" t="n">
        <f aca="false">sh_nv_26</f>
        <v>0.02</v>
      </c>
      <c r="E377" s="20" t="n">
        <f aca="false">sh_nv_27</f>
        <v>0.03</v>
      </c>
      <c r="F377" s="20" t="n">
        <f aca="false">sh_nv_28</f>
        <v>0.04</v>
      </c>
      <c r="G377" s="20" t="n">
        <f aca="false">sh_nv_29</f>
        <v>0.04</v>
      </c>
    </row>
    <row r="378" customFormat="false" ht="17.15" hidden="false" customHeight="false" outlineLevel="0" collapsed="false">
      <c r="A378" s="3" t="s">
        <v>620</v>
      </c>
      <c r="B378" s="0" t="s">
        <v>40</v>
      </c>
      <c r="D378" s="20" t="n">
        <f aca="false">sh_ot_26</f>
        <v>0.05</v>
      </c>
      <c r="E378" s="20" t="n">
        <f aca="false">sh_ot_27</f>
        <v>0.06</v>
      </c>
      <c r="F378" s="20" t="n">
        <f aca="false">sh_ot_28</f>
        <v>0.07</v>
      </c>
      <c r="G378" s="20" t="n">
        <f aca="false">sh_ot_29</f>
        <v>0.07</v>
      </c>
    </row>
    <row r="379" customFormat="false" ht="17.15" hidden="false" customHeight="false" outlineLevel="0" collapsed="false">
      <c r="A379" s="3" t="s">
        <v>621</v>
      </c>
      <c r="B379" s="0" t="s">
        <v>571</v>
      </c>
      <c r="D379" s="22" t="n">
        <f aca="false">(D371*D376*D377+D372*D376*v_ot*D378)*D375</f>
        <v>98.180719776</v>
      </c>
      <c r="E379" s="22" t="n">
        <f aca="false">(E371*E376*E377+E372*E376*v_ot*E378)*E375</f>
        <v>264.236871576931</v>
      </c>
      <c r="F379" s="22" t="n">
        <f aca="false">(F371*F376*F377+F372*F376*v_ot*F378)*F375</f>
        <v>409.710382145659</v>
      </c>
      <c r="G379" s="22" t="n">
        <f aca="false">(G371*G376*G377+G372*G376*v_ot*G378)*G375</f>
        <v>522.244944178759</v>
      </c>
    </row>
    <row r="380" customFormat="false" ht="15" hidden="false" customHeight="false" outlineLevel="0" collapsed="false">
      <c r="A380" s="3" t="s">
        <v>622</v>
      </c>
      <c r="B380" s="0" t="s">
        <v>329</v>
      </c>
      <c r="D380" s="21" t="n">
        <f aca="false">D379*fx/1000</f>
        <v>3.19087339272</v>
      </c>
      <c r="E380" s="21" t="n">
        <f aca="false">E379*fx/1000</f>
        <v>8.58769832625026</v>
      </c>
      <c r="F380" s="21" t="n">
        <f aca="false">F379*fx/1000</f>
        <v>13.3155874197339</v>
      </c>
      <c r="G380" s="21" t="n">
        <f aca="false">G379*fx/1000</f>
        <v>16.9729606858097</v>
      </c>
    </row>
    <row r="381" customFormat="false" ht="17.15" hidden="false" customHeight="false" outlineLevel="0" collapsed="false">
      <c r="A381" s="5" t="s">
        <v>623</v>
      </c>
    </row>
    <row r="382" customFormat="false" ht="17.15" hidden="false" customHeight="false" outlineLevel="0" collapsed="false">
      <c r="A382" s="0" t="s">
        <v>624</v>
      </c>
      <c r="B382" s="0" t="s">
        <v>329</v>
      </c>
      <c r="D382" s="21" t="n">
        <f aca="false">a26_abf*ai_abf</f>
        <v>22.2987583</v>
      </c>
      <c r="K382" s="3" t="s">
        <v>625</v>
      </c>
    </row>
    <row r="383" customFormat="false" ht="17.15" hidden="false" customHeight="false" outlineLevel="0" collapsed="false">
      <c r="A383" s="3" t="s">
        <v>626</v>
      </c>
      <c r="B383" s="0" t="s">
        <v>329</v>
      </c>
      <c r="D383" s="21" t="n">
        <f aca="false">D382-D380</f>
        <v>19.10788490728</v>
      </c>
      <c r="E383" s="21" t="n">
        <f aca="false">$D383*(swm_27/swm_26)^el_o*1*1*E374*E375</f>
        <v>28.8645584849153</v>
      </c>
      <c r="F383" s="21" t="n">
        <f aca="false">$D383*(swm_28/swm_26)^el_o*um28_A*1*F374*F375</f>
        <v>29.4984628092192</v>
      </c>
      <c r="G383" s="21" t="n">
        <f aca="false">$D383*(swm_29/swm_26)^el_o*um29_A*1*G374*G375</f>
        <v>29.8129222539587</v>
      </c>
      <c r="K383" s="7" t="s">
        <v>627</v>
      </c>
    </row>
    <row r="384" customFormat="false" ht="17.15" hidden="false" customHeight="false" outlineLevel="0" collapsed="false">
      <c r="A384" s="3" t="s">
        <v>628</v>
      </c>
      <c r="B384" s="0" t="s">
        <v>329</v>
      </c>
      <c r="D384" s="21" t="n">
        <f aca="false">a26_abf-D382</f>
        <v>12.0070237</v>
      </c>
      <c r="E384" s="21" t="n">
        <f aca="false">D384*(1+g_nai)</f>
        <v>12.367234411</v>
      </c>
      <c r="F384" s="21" t="n">
        <f aca="false">E384*(1+g_nai)</f>
        <v>12.73825144333</v>
      </c>
      <c r="G384" s="21" t="n">
        <f aca="false">F384*(1+g_nai)</f>
        <v>13.1203989866299</v>
      </c>
    </row>
    <row r="385" customFormat="false" ht="17.15" hidden="false" customHeight="false" outlineLevel="0" collapsed="false">
      <c r="A385" s="0" t="s">
        <v>629</v>
      </c>
      <c r="B385" s="0" t="s">
        <v>329</v>
      </c>
      <c r="D385" s="21" t="n">
        <f aca="false">D380+D383+D384</f>
        <v>34.305782</v>
      </c>
      <c r="E385" s="21" t="n">
        <f aca="false">E380+E383+E384</f>
        <v>49.8194912221656</v>
      </c>
      <c r="F385" s="21" t="n">
        <f aca="false">F380+F383+F384</f>
        <v>55.5523016722831</v>
      </c>
      <c r="G385" s="21" t="n">
        <f aca="false">G380+G383+G384</f>
        <v>59.9062819263983</v>
      </c>
    </row>
    <row r="386" customFormat="false" ht="17.15" hidden="false" customHeight="false" outlineLevel="0" collapsed="false">
      <c r="A386" s="0" t="s">
        <v>630</v>
      </c>
      <c r="B386" s="0" t="s">
        <v>329</v>
      </c>
      <c r="D386" s="21" t="n">
        <f aca="false">a26_abf</f>
        <v>34.305782</v>
      </c>
      <c r="E386" s="21" t="n">
        <f aca="false">$D385*cap_27*(1+g_mix)^1*E374*E375</f>
        <v>46.6833081456</v>
      </c>
      <c r="F386" s="21" t="n">
        <f aca="false">$D385*cap_28*(1+g_mix)^2*F374*F375</f>
        <v>52.3874248596405</v>
      </c>
      <c r="G386" s="21" t="n">
        <f aca="false">$D385*cap_29*(1+g_mix)^3*G374*G375</f>
        <v>61.7620166766288</v>
      </c>
      <c r="K386" s="7" t="s">
        <v>631</v>
      </c>
    </row>
    <row r="387" customFormat="false" ht="17.15" hidden="false" customHeight="false" outlineLevel="0" collapsed="false">
      <c r="A387" s="0" t="s">
        <v>632</v>
      </c>
      <c r="B387" s="0" t="s">
        <v>329</v>
      </c>
      <c r="D387" s="21" t="n">
        <f aca="false">a26_abf</f>
        <v>34.305782</v>
      </c>
      <c r="E387" s="21" t="n">
        <f aca="false">MIN(E385,E386)</f>
        <v>46.6833081456</v>
      </c>
      <c r="F387" s="21" t="n">
        <f aca="false">MIN(F385,F386)</f>
        <v>52.3874248596405</v>
      </c>
      <c r="G387" s="21" t="n">
        <f aca="false">MIN(G385,G386)</f>
        <v>59.9062819263983</v>
      </c>
    </row>
    <row r="388" customFormat="false" ht="17.15" hidden="false" customHeight="false" outlineLevel="0" collapsed="false">
      <c r="A388" s="3" t="s">
        <v>633</v>
      </c>
      <c r="B388" s="0" t="s">
        <v>40</v>
      </c>
      <c r="D388" s="20" t="n">
        <f aca="false">D387/D385</f>
        <v>1</v>
      </c>
      <c r="E388" s="20" t="n">
        <f aca="false">E387/E385</f>
        <v>0.937049074576454</v>
      </c>
      <c r="F388" s="20" t="n">
        <f aca="false">F387/F385</f>
        <v>0.943028880579728</v>
      </c>
      <c r="G388" s="20" t="n">
        <f aca="false">G387/G385</f>
        <v>1</v>
      </c>
    </row>
    <row r="389" customFormat="false" ht="17.15" hidden="false" customHeight="false" outlineLevel="0" collapsed="false">
      <c r="A389" s="0" t="s">
        <v>634</v>
      </c>
      <c r="B389" s="0" t="s">
        <v>329</v>
      </c>
      <c r="D389" s="21" t="n">
        <f aca="false">(D380+D383)*D388</f>
        <v>22.2987583</v>
      </c>
      <c r="E389" s="21" t="n">
        <f aca="false">(E380+E383)*E388</f>
        <v>35.0946025857024</v>
      </c>
      <c r="F389" s="21" t="n">
        <f aca="false">(F380+F383)*F388</f>
        <v>40.3748858604939</v>
      </c>
      <c r="G389" s="21" t="n">
        <f aca="false">(G380+G383)*G388</f>
        <v>46.7858829397684</v>
      </c>
    </row>
    <row r="390" customFormat="false" ht="17.15" hidden="false" customHeight="false" outlineLevel="0" collapsed="false">
      <c r="A390" s="3" t="s">
        <v>635</v>
      </c>
      <c r="B390" s="0" t="s">
        <v>40</v>
      </c>
      <c r="D390" s="20" t="n">
        <f aca="false">D380/(D380+D383)</f>
        <v>0.14309646078903</v>
      </c>
      <c r="E390" s="20" t="n">
        <f aca="false">E380/(E380+E383)</f>
        <v>0.229297218844501</v>
      </c>
      <c r="F390" s="20" t="n">
        <f aca="false">F380/(F380+F383)</f>
        <v>0.311009758444419</v>
      </c>
      <c r="G390" s="20" t="n">
        <f aca="false">G380/(G380+G383)</f>
        <v>0.362779531331288</v>
      </c>
    </row>
    <row r="391" customFormat="false" ht="17.15" hidden="false" customHeight="false" outlineLevel="0" collapsed="false">
      <c r="A391" s="5" t="s">
        <v>636</v>
      </c>
    </row>
    <row r="392" customFormat="false" ht="17.15" hidden="false" customHeight="false" outlineLevel="0" collapsed="false">
      <c r="A392" s="0" t="s">
        <v>637</v>
      </c>
      <c r="B392" s="0" t="s">
        <v>329</v>
      </c>
      <c r="D392" s="21" t="n">
        <f aca="false">a26_bt</f>
        <v>18.927328</v>
      </c>
      <c r="E392" s="21" t="n">
        <f aca="false">D392*(1+g_bt27_A)</f>
        <v>24.6055264</v>
      </c>
      <c r="F392" s="21" t="n">
        <f aca="false">E392*(1+g_bt28_A)</f>
        <v>27.06607904</v>
      </c>
      <c r="G392" s="21" t="n">
        <f aca="false">F392*(1+g_bt29_A)</f>
        <v>28.419382992</v>
      </c>
      <c r="K392" s="7" t="s">
        <v>638</v>
      </c>
    </row>
    <row r="393" customFormat="false" ht="17.15" hidden="false" customHeight="false" outlineLevel="0" collapsed="false">
      <c r="A393" s="0" t="s">
        <v>536</v>
      </c>
      <c r="B393" s="0" t="s">
        <v>329</v>
      </c>
      <c r="D393" s="21" t="n">
        <f aca="false">a26_pcb</f>
        <v>5.91479</v>
      </c>
      <c r="E393" s="21" t="n">
        <f aca="false">D393*(1+g_pcb)</f>
        <v>5.91479</v>
      </c>
      <c r="F393" s="21" t="n">
        <f aca="false">E393*(1+g_pcb)</f>
        <v>5.91479</v>
      </c>
      <c r="G393" s="21" t="n">
        <f aca="false">F393*(1+g_pcb)</f>
        <v>5.91479</v>
      </c>
    </row>
    <row r="394" customFormat="false" ht="17.15" hidden="false" customHeight="false" outlineLevel="0" collapsed="false">
      <c r="A394" s="3" t="s">
        <v>501</v>
      </c>
      <c r="B394" s="0" t="s">
        <v>329</v>
      </c>
      <c r="C394" s="23" t="n">
        <f aca="false">a25_rev</f>
        <v>40.173</v>
      </c>
      <c r="D394" s="23" t="n">
        <f aca="false">D387+D392+D393</f>
        <v>59.1479</v>
      </c>
      <c r="E394" s="23" t="n">
        <f aca="false">E387+E392+E393</f>
        <v>77.2036245456</v>
      </c>
      <c r="F394" s="23" t="n">
        <f aca="false">F387+F392+F393</f>
        <v>85.3682938996405</v>
      </c>
      <c r="G394" s="23" t="n">
        <f aca="false">G387+G392+G393</f>
        <v>94.2404549183983</v>
      </c>
      <c r="H394" s="25" t="n">
        <f aca="false">G394*(1+H395)</f>
        <v>102.654749007216</v>
      </c>
      <c r="I394" s="25" t="n">
        <f aca="false">H394*(1+I395)</f>
        <v>110.317175211384</v>
      </c>
      <c r="J394" s="25" t="n">
        <f aca="false">I394*(1+J395)</f>
        <v>116.936205724067</v>
      </c>
      <c r="K394" s="7" t="s">
        <v>639</v>
      </c>
    </row>
    <row r="395" customFormat="false" ht="15" hidden="false" customHeight="false" outlineLevel="0" collapsed="false">
      <c r="A395" s="3" t="s">
        <v>640</v>
      </c>
      <c r="B395" s="0" t="s">
        <v>40</v>
      </c>
      <c r="D395" s="20" t="n">
        <f aca="false">D394/C394-1</f>
        <v>0.472329674159261</v>
      </c>
      <c r="E395" s="20" t="n">
        <f aca="false">E394/D394-1</f>
        <v>0.305264</v>
      </c>
      <c r="F395" s="20" t="n">
        <f aca="false">F394/E394-1</f>
        <v>0.105755000520968</v>
      </c>
      <c r="G395" s="20" t="n">
        <f aca="false">G394/F394-1</f>
        <v>0.103928058222505</v>
      </c>
      <c r="H395" s="26" t="n">
        <f aca="false">$G395+(fade_gA-$G395)*1/3</f>
        <v>0.0892853721483366</v>
      </c>
      <c r="I395" s="26" t="n">
        <f aca="false">$G395+(fade_gA-$G395)*2/3</f>
        <v>0.0746426860741683</v>
      </c>
      <c r="J395" s="26" t="n">
        <f aca="false">$G395+(fade_gA-$G395)*3/3</f>
        <v>0.06</v>
      </c>
    </row>
    <row r="396" customFormat="false" ht="17.15" hidden="false" customHeight="false" outlineLevel="0" collapsed="false">
      <c r="A396" s="0" t="s">
        <v>641</v>
      </c>
      <c r="B396" s="0" t="s">
        <v>40</v>
      </c>
      <c r="D396" s="20" t="n">
        <f aca="false">D387/D394</f>
        <v>0.58</v>
      </c>
      <c r="E396" s="20" t="n">
        <f aca="false">E387/E394</f>
        <v>0.6046776744015</v>
      </c>
      <c r="F396" s="20" t="n">
        <f aca="false">F387/F394</f>
        <v>0.613663720645835</v>
      </c>
      <c r="G396" s="20" t="n">
        <f aca="false">G387/G394</f>
        <v>0.63567479569438</v>
      </c>
    </row>
    <row r="397" customFormat="false" ht="17.15" hidden="false" customHeight="false" outlineLevel="0" collapsed="false">
      <c r="A397" s="0" t="s">
        <v>642</v>
      </c>
      <c r="B397" s="0" t="s">
        <v>40</v>
      </c>
      <c r="D397" s="20" t="n">
        <f aca="false">D389/D394</f>
        <v>0.377</v>
      </c>
      <c r="E397" s="20" t="n">
        <f aca="false">E389/E394</f>
        <v>0.454571955555971</v>
      </c>
      <c r="F397" s="20" t="n">
        <f aca="false">F389/F394</f>
        <v>0.472949429069754</v>
      </c>
      <c r="G397" s="20" t="n">
        <f aca="false">G389/G394</f>
        <v>0.496452218744909</v>
      </c>
      <c r="K397" s="3" t="s">
        <v>643</v>
      </c>
    </row>
    <row r="398" customFormat="false" ht="17.15" hidden="false" customHeight="false" outlineLevel="0" collapsed="false">
      <c r="A398" s="5" t="s">
        <v>644</v>
      </c>
    </row>
    <row r="399" customFormat="false" ht="15" hidden="false" customHeight="false" outlineLevel="0" collapsed="false">
      <c r="A399" s="3" t="s">
        <v>645</v>
      </c>
      <c r="B399" s="0" t="s">
        <v>329</v>
      </c>
      <c r="C399" s="23" t="n">
        <f aca="false">a25_cx</f>
        <v>2.422</v>
      </c>
      <c r="D399" s="23" t="n">
        <f aca="false">capex26</f>
        <v>4</v>
      </c>
      <c r="E399" s="23" t="n">
        <f aca="false">cx27</f>
        <v>14</v>
      </c>
      <c r="F399" s="23" t="n">
        <f aca="false">cx28</f>
        <v>18</v>
      </c>
      <c r="G399" s="23" t="n">
        <f aca="false">cx29</f>
        <v>12</v>
      </c>
      <c r="H399" s="25" t="n">
        <f aca="false">H394*H416</f>
        <v>12.5034465362258</v>
      </c>
      <c r="I399" s="25" t="n">
        <f aca="false">I394*I416</f>
        <v>12.8263640430274</v>
      </c>
      <c r="J399" s="25" t="n">
        <f aca="false">J394*J416</f>
        <v>12.9489501580912</v>
      </c>
    </row>
    <row r="400" customFormat="false" ht="17.15" hidden="false" customHeight="false" outlineLevel="0" collapsed="false">
      <c r="A400" s="3" t="s">
        <v>646</v>
      </c>
      <c r="B400" s="0" t="s">
        <v>329</v>
      </c>
      <c r="C400" s="23" t="n">
        <f aca="false">a25_da</f>
        <v>6.894</v>
      </c>
      <c r="D400" s="23" t="n">
        <f aca="false">da26</f>
        <v>7.1</v>
      </c>
      <c r="E400" s="23" t="n">
        <f aca="false">D400*(1-1/life)+D399/life</f>
        <v>6.7125</v>
      </c>
      <c r="F400" s="23" t="n">
        <f aca="false">E400*(1-1/life)+E399/life</f>
        <v>7.6234375</v>
      </c>
      <c r="G400" s="23" t="n">
        <f aca="false">F400*(1-1/life)+F399/life</f>
        <v>8.9205078125</v>
      </c>
      <c r="H400" s="25" t="n">
        <f aca="false">H394*H401</f>
        <v>9.71697867229121</v>
      </c>
      <c r="I400" s="25" t="n">
        <f aca="false">I394*I401</f>
        <v>10.4422800609164</v>
      </c>
      <c r="J400" s="25" t="n">
        <f aca="false">J394*J401</f>
        <v>11.0688168645714</v>
      </c>
      <c r="K400" s="3" t="s">
        <v>647</v>
      </c>
    </row>
    <row r="401" customFormat="false" ht="17.15" hidden="false" customHeight="false" outlineLevel="0" collapsed="false">
      <c r="A401" s="3" t="s">
        <v>648</v>
      </c>
      <c r="B401" s="0" t="s">
        <v>40</v>
      </c>
      <c r="C401" s="20" t="n">
        <f aca="false">C400/C394</f>
        <v>0.171607796281084</v>
      </c>
      <c r="D401" s="20" t="n">
        <f aca="false">D400/D394</f>
        <v>0.120038074048276</v>
      </c>
      <c r="E401" s="20" t="n">
        <f aca="false">E400/E394</f>
        <v>0.0869453997724587</v>
      </c>
      <c r="F401" s="20" t="n">
        <f aca="false">F400/F394</f>
        <v>0.0893005722822827</v>
      </c>
      <c r="G401" s="20" t="n">
        <f aca="false">G400/G394</f>
        <v>0.0946568840337641</v>
      </c>
      <c r="H401" s="26" t="n">
        <f aca="false">$G401</f>
        <v>0.0946568840337641</v>
      </c>
      <c r="I401" s="26" t="n">
        <f aca="false">$G401</f>
        <v>0.0946568840337641</v>
      </c>
      <c r="J401" s="26" t="n">
        <f aca="false">$G401</f>
        <v>0.0946568840337641</v>
      </c>
    </row>
    <row r="402" customFormat="false" ht="17.15" hidden="false" customHeight="false" outlineLevel="0" collapsed="false">
      <c r="A402" s="3" t="s">
        <v>649</v>
      </c>
      <c r="B402" s="0" t="s">
        <v>329</v>
      </c>
      <c r="E402" s="21" t="n">
        <f aca="false">E389*(1-1/(E374*E375))</f>
        <v>2.59960019153351</v>
      </c>
      <c r="F402" s="21" t="n">
        <f aca="false">F389*(1-1/(F374*F375))</f>
        <v>1.02314525572402</v>
      </c>
      <c r="G402" s="21" t="n">
        <f aca="false">G389*(1-1/(G374*G375))</f>
        <v>-1.34774148386164</v>
      </c>
      <c r="K402" s="7" t="s">
        <v>650</v>
      </c>
    </row>
    <row r="403" customFormat="false" ht="17.15" hidden="false" customHeight="false" outlineLevel="0" collapsed="false">
      <c r="A403" s="3" t="s">
        <v>651</v>
      </c>
      <c r="B403" s="0" t="s">
        <v>329</v>
      </c>
      <c r="C403" s="21" t="n">
        <f aca="false">a25_gp</f>
        <v>3.647</v>
      </c>
      <c r="D403" s="21" t="n">
        <f aca="false">a26_gp</f>
        <v>15.9001925</v>
      </c>
      <c r="E403" s="21" t="n">
        <f aca="false">$D403+ft_abf*(E387-E402-$D387)+ft_oth*((E394-E387)-($D394-$D387))+E402-(E400-$D400)</f>
        <v>26.0475350285668</v>
      </c>
      <c r="F403" s="21" t="n">
        <f aca="false">$D403+ft_abf*(F387-F402-$D387)+ft_oth*((F394-F387)-($D394-$D387))+F402-(F400-$D400)</f>
        <v>28.1846494736823</v>
      </c>
      <c r="G403" s="21" t="n">
        <f aca="false">$D403+ft_abf*(G387-G402-$D387)+ft_oth*((G394-G387)-($D394-$D387))+G402-(G400-$D400)</f>
        <v>30.0028859055683</v>
      </c>
      <c r="K403" s="3" t="s">
        <v>652</v>
      </c>
    </row>
    <row r="404" customFormat="false" ht="15" hidden="false" customHeight="false" outlineLevel="0" collapsed="false">
      <c r="A404" s="3" t="s">
        <v>508</v>
      </c>
      <c r="B404" s="0" t="s">
        <v>40</v>
      </c>
      <c r="C404" s="16" t="n">
        <f aca="false">C403/C394</f>
        <v>0.0907823662659</v>
      </c>
      <c r="D404" s="16" t="n">
        <f aca="false">D403/D394</f>
        <v>0.268820913337583</v>
      </c>
      <c r="E404" s="16" t="n">
        <f aca="false">E403/E394</f>
        <v>0.337387463112977</v>
      </c>
      <c r="F404" s="16" t="n">
        <f aca="false">F403/F394</f>
        <v>0.330153599026078</v>
      </c>
      <c r="G404" s="16" t="n">
        <f aca="false">G403/G394</f>
        <v>0.318365249101858</v>
      </c>
    </row>
    <row r="405" customFormat="false" ht="15" hidden="false" customHeight="false" outlineLevel="0" collapsed="false">
      <c r="A405" s="3" t="s">
        <v>510</v>
      </c>
      <c r="B405" s="0" t="s">
        <v>329</v>
      </c>
      <c r="C405" s="21" t="n">
        <f aca="false">a25_opx</f>
        <v>1.665</v>
      </c>
      <c r="D405" s="21" t="n">
        <f aca="false">a26_opx</f>
        <v>1.9</v>
      </c>
      <c r="E405" s="21" t="n">
        <f aca="false">D405*(1+phi*E395)</f>
        <v>2.24800096</v>
      </c>
      <c r="F405" s="21" t="n">
        <f aca="false">E405*(1+phi*F395)</f>
        <v>2.39064336561756</v>
      </c>
      <c r="G405" s="21" t="n">
        <f aca="false">F405*(1+phi*G395)</f>
        <v>2.53971631935225</v>
      </c>
    </row>
    <row r="406" customFormat="false" ht="15" hidden="false" customHeight="false" outlineLevel="0" collapsed="false">
      <c r="A406" s="3" t="s">
        <v>513</v>
      </c>
      <c r="B406" s="0" t="s">
        <v>329</v>
      </c>
      <c r="C406" s="21" t="n">
        <f aca="false">C403-C405</f>
        <v>1.982</v>
      </c>
      <c r="D406" s="21" t="n">
        <f aca="false">D403-D405</f>
        <v>14.0001925</v>
      </c>
      <c r="E406" s="21" t="n">
        <f aca="false">E403-E405</f>
        <v>23.7995340685668</v>
      </c>
      <c r="F406" s="21" t="n">
        <f aca="false">F403-F405</f>
        <v>25.7940061080647</v>
      </c>
      <c r="G406" s="21" t="n">
        <f aca="false">G403-G405</f>
        <v>27.4631695862161</v>
      </c>
    </row>
    <row r="407" customFormat="false" ht="15" hidden="false" customHeight="false" outlineLevel="0" collapsed="false">
      <c r="A407" s="3" t="s">
        <v>594</v>
      </c>
      <c r="B407" s="0" t="s">
        <v>40</v>
      </c>
      <c r="C407" s="16" t="n">
        <f aca="false">C406/C394</f>
        <v>0.0493366191222961</v>
      </c>
      <c r="D407" s="16" t="n">
        <f aca="false">D406/D394</f>
        <v>0.236698048451424</v>
      </c>
      <c r="E407" s="16" t="n">
        <f aca="false">E406/E394</f>
        <v>0.308269646776877</v>
      </c>
      <c r="F407" s="16" t="n">
        <f aca="false">F406/F394</f>
        <v>0.302149720110236</v>
      </c>
      <c r="G407" s="16" t="n">
        <f aca="false">G406/G394</f>
        <v>0.291415927586471</v>
      </c>
    </row>
    <row r="408" customFormat="false" ht="15" hidden="false" customHeight="false" outlineLevel="0" collapsed="false">
      <c r="A408" s="3" t="s">
        <v>516</v>
      </c>
      <c r="B408" s="0" t="s">
        <v>329</v>
      </c>
      <c r="C408" s="21" t="n">
        <f aca="false">a25_nonop</f>
        <v>0.364</v>
      </c>
      <c r="D408" s="21" t="n">
        <f aca="false">a26_nonop</f>
        <v>0.623</v>
      </c>
      <c r="E408" s="21" t="n">
        <f aca="false">nonop27</f>
        <v>0.6</v>
      </c>
      <c r="F408" s="21" t="n">
        <f aca="false">nonop28</f>
        <v>0.6</v>
      </c>
      <c r="G408" s="21" t="n">
        <f aca="false">nonop29</f>
        <v>0.6</v>
      </c>
    </row>
    <row r="409" customFormat="false" ht="15" hidden="false" customHeight="false" outlineLevel="0" collapsed="false">
      <c r="A409" s="3" t="s">
        <v>518</v>
      </c>
      <c r="B409" s="0" t="s">
        <v>329</v>
      </c>
      <c r="C409" s="21" t="n">
        <f aca="false">C406+C408</f>
        <v>2.346</v>
      </c>
      <c r="D409" s="21" t="n">
        <f aca="false">D406+D408</f>
        <v>14.6231925</v>
      </c>
      <c r="E409" s="21" t="n">
        <f aca="false">E406+E408</f>
        <v>24.3995340685668</v>
      </c>
      <c r="F409" s="21" t="n">
        <f aca="false">F406+F408</f>
        <v>26.3940061080647</v>
      </c>
      <c r="G409" s="21" t="n">
        <f aca="false">G406+G408</f>
        <v>28.0631695862161</v>
      </c>
    </row>
    <row r="410" customFormat="false" ht="15" hidden="false" customHeight="false" outlineLevel="0" collapsed="false">
      <c r="A410" s="3" t="s">
        <v>521</v>
      </c>
      <c r="B410" s="0" t="s">
        <v>329</v>
      </c>
      <c r="E410" s="21" t="n">
        <f aca="false">E409*tax</f>
        <v>5.12390215439902</v>
      </c>
      <c r="F410" s="21" t="n">
        <f aca="false">F409*tax</f>
        <v>5.54274128269359</v>
      </c>
      <c r="G410" s="21" t="n">
        <f aca="false">G409*tax</f>
        <v>5.89326561310537</v>
      </c>
    </row>
    <row r="411" customFormat="false" ht="15" hidden="false" customHeight="false" outlineLevel="0" collapsed="false">
      <c r="A411" s="3" t="s">
        <v>519</v>
      </c>
      <c r="B411" s="0" t="s">
        <v>329</v>
      </c>
      <c r="C411" s="21" t="n">
        <f aca="false">a25_ni</f>
        <v>1.947</v>
      </c>
      <c r="D411" s="21" t="n">
        <f aca="false">a26_ni</f>
        <v>11.509862075</v>
      </c>
      <c r="E411" s="21" t="n">
        <f aca="false">E409-E410</f>
        <v>19.2756319141677</v>
      </c>
      <c r="F411" s="21" t="n">
        <f aca="false">F409-F410</f>
        <v>20.8512648253711</v>
      </c>
      <c r="G411" s="21" t="n">
        <f aca="false">G409-G410</f>
        <v>22.1699039731107</v>
      </c>
      <c r="H411" s="30" t="n">
        <f aca="false">H394*H415</f>
        <v>24.7258600699908</v>
      </c>
      <c r="I411" s="30" t="n">
        <f aca="false">I394*I415</f>
        <v>27.1910047546919</v>
      </c>
      <c r="J411" s="30" t="n">
        <f aca="false">J394*J415</f>
        <v>29.4791775179715</v>
      </c>
    </row>
    <row r="412" customFormat="false" ht="15" hidden="false" customHeight="false" outlineLevel="0" collapsed="false">
      <c r="A412" s="3" t="s">
        <v>653</v>
      </c>
      <c r="B412" s="3" t="s">
        <v>396</v>
      </c>
      <c r="C412" s="29" t="n">
        <f aca="false">a25_sh</f>
        <v>0.646843853820598</v>
      </c>
      <c r="D412" s="29" t="n">
        <f aca="false">a26_sh</f>
        <v>0.645863325123153</v>
      </c>
      <c r="E412" s="29" t="n">
        <f aca="false">a26_shend*(1+sh_g)</f>
        <v>0.64617</v>
      </c>
      <c r="F412" s="29" t="n">
        <f aca="false">E412*(1+sh_g)</f>
        <v>0.64617</v>
      </c>
      <c r="G412" s="29" t="n">
        <f aca="false">F412*(1+sh_g)</f>
        <v>0.64617</v>
      </c>
      <c r="H412" s="31" t="n">
        <f aca="false">G412*(1+sh_g)</f>
        <v>0.64617</v>
      </c>
      <c r="I412" s="31" t="n">
        <f aca="false">H412*(1+sh_g)</f>
        <v>0.64617</v>
      </c>
      <c r="J412" s="31" t="n">
        <f aca="false">I412*(1+sh_g)</f>
        <v>0.64617</v>
      </c>
    </row>
    <row r="413" customFormat="false" ht="17.15" hidden="false" customHeight="false" outlineLevel="0" collapsed="false">
      <c r="A413" s="0" t="s">
        <v>524</v>
      </c>
      <c r="B413" s="0" t="s">
        <v>402</v>
      </c>
      <c r="C413" s="18" t="n">
        <f aca="false">C411/C412</f>
        <v>3.01</v>
      </c>
      <c r="D413" s="18" t="n">
        <f aca="false">D411/D412</f>
        <v>17.820894339844</v>
      </c>
      <c r="E413" s="18" t="n">
        <f aca="false">E411/E412</f>
        <v>29.8305893405261</v>
      </c>
      <c r="F413" s="18" t="n">
        <f aca="false">F411/F412</f>
        <v>32.2690078854963</v>
      </c>
      <c r="G413" s="18" t="n">
        <f aca="false">G411/G412</f>
        <v>34.3097079299731</v>
      </c>
      <c r="H413" s="28" t="n">
        <f aca="false">H411/H412</f>
        <v>38.2652553816964</v>
      </c>
      <c r="I413" s="28" t="n">
        <f aca="false">I411/I412</f>
        <v>42.0802648756394</v>
      </c>
      <c r="J413" s="28" t="n">
        <f aca="false">J411/J412</f>
        <v>45.6213961000533</v>
      </c>
    </row>
    <row r="414" customFormat="false" ht="17.15" hidden="false" customHeight="false" outlineLevel="0" collapsed="false">
      <c r="A414" s="0" t="s">
        <v>654</v>
      </c>
      <c r="B414" s="0" t="s">
        <v>40</v>
      </c>
      <c r="D414" s="20" t="n">
        <f aca="false">D413/C413-1</f>
        <v>4.92056290360265</v>
      </c>
      <c r="E414" s="20" t="n">
        <f aca="false">E413/D413-1</f>
        <v>0.673910903216054</v>
      </c>
      <c r="F414" s="20" t="n">
        <f aca="false">F413/E413-1</f>
        <v>0.0817422182691339</v>
      </c>
      <c r="G414" s="20" t="n">
        <f aca="false">G413/F413-1</f>
        <v>0.0632402474757832</v>
      </c>
      <c r="H414" s="26" t="n">
        <f aca="false">H413/G413-1</f>
        <v>0.115289452763536</v>
      </c>
      <c r="I414" s="26" t="n">
        <f aca="false">I413/H413-1</f>
        <v>0.0996990469784729</v>
      </c>
      <c r="J414" s="26" t="n">
        <f aca="false">J413/I413-1</f>
        <v>0.0841518282947853</v>
      </c>
    </row>
    <row r="415" customFormat="false" ht="17.15" hidden="false" customHeight="false" outlineLevel="0" collapsed="false">
      <c r="A415" s="3" t="s">
        <v>655</v>
      </c>
      <c r="B415" s="0" t="s">
        <v>40</v>
      </c>
      <c r="C415" s="16" t="n">
        <f aca="false">C411/C394</f>
        <v>0.0484653872003585</v>
      </c>
      <c r="D415" s="16" t="n">
        <f aca="false">D411/D394</f>
        <v>0.194594602259759</v>
      </c>
      <c r="E415" s="16" t="n">
        <f aca="false">E411/E394</f>
        <v>0.249672629071744</v>
      </c>
      <c r="F415" s="16" t="n">
        <f aca="false">F411/F394</f>
        <v>0.244250691596156</v>
      </c>
      <c r="G415" s="16" t="n">
        <f aca="false">G411/G394</f>
        <v>0.235248269889055</v>
      </c>
      <c r="H415" s="27" t="n">
        <f aca="false">$G415+(fade_mA-$G415)*1/3</f>
        <v>0.240864259170832</v>
      </c>
      <c r="I415" s="27" t="n">
        <f aca="false">$G415+(fade_mA-$G415)*2/3</f>
        <v>0.246480248452609</v>
      </c>
      <c r="J415" s="27" t="n">
        <f aca="false">$G415+(fade_mA-$G415)*3/3</f>
        <v>0.252096237734386</v>
      </c>
    </row>
    <row r="416" customFormat="false" ht="17.15" hidden="false" customHeight="false" outlineLevel="0" collapsed="false">
      <c r="A416" s="3" t="s">
        <v>656</v>
      </c>
      <c r="B416" s="0" t="s">
        <v>40</v>
      </c>
      <c r="C416" s="20" t="n">
        <f aca="false">C399/C394</f>
        <v>0.0602892489980833</v>
      </c>
      <c r="D416" s="20" t="n">
        <f aca="false">D399/D394</f>
        <v>0.0676270839708595</v>
      </c>
      <c r="E416" s="20" t="n">
        <f aca="false">E399/E394</f>
        <v>0.181338636396934</v>
      </c>
      <c r="F416" s="20" t="n">
        <f aca="false">F399/F394</f>
        <v>0.21085111553431</v>
      </c>
      <c r="G416" s="20" t="n">
        <f aca="false">G399/G394</f>
        <v>0.127333850525135</v>
      </c>
      <c r="H416" s="26" t="n">
        <f aca="false">$G416+($G401*(1+tp_g)^(life/2)-$G416)*1/3</f>
        <v>0.121800955700032</v>
      </c>
      <c r="I416" s="26" t="n">
        <f aca="false">$G416+($G401*(1+tp_g)^(life/2)-$G416)*2/3</f>
        <v>0.116268060874929</v>
      </c>
      <c r="J416" s="26" t="n">
        <f aca="false">$G416+($G401*(1+tp_g)^(life/2)-$G416)*3/3</f>
        <v>0.110735166049826</v>
      </c>
      <c r="K416" s="7" t="s">
        <v>657</v>
      </c>
    </row>
    <row r="417" customFormat="false" ht="15" hidden="false" customHeight="false" outlineLevel="0" collapsed="false">
      <c r="A417" s="3" t="s">
        <v>658</v>
      </c>
      <c r="B417" s="0" t="s">
        <v>329</v>
      </c>
      <c r="E417" s="21" t="n">
        <f aca="false">E411+E400-E399</f>
        <v>11.9881319141677</v>
      </c>
      <c r="F417" s="21" t="n">
        <f aca="false">F411+F400-F399</f>
        <v>10.4747023253711</v>
      </c>
      <c r="G417" s="21" t="n">
        <f aca="false">G411+G400-G399</f>
        <v>19.0904117856107</v>
      </c>
      <c r="H417" s="30" t="n">
        <f aca="false">H411+H400-H399</f>
        <v>21.9393922060562</v>
      </c>
      <c r="I417" s="30" t="n">
        <f aca="false">I411+I400-I399</f>
        <v>24.8069207725809</v>
      </c>
      <c r="J417" s="30" t="n">
        <f aca="false">J411+J400-J399</f>
        <v>27.5990442244516</v>
      </c>
      <c r="K417" s="3" t="s">
        <v>659</v>
      </c>
    </row>
    <row r="418" customFormat="false" ht="15" hidden="false" customHeight="false" outlineLevel="0" collapsed="false">
      <c r="A418" s="3" t="s">
        <v>660</v>
      </c>
      <c r="B418" s="0" t="s">
        <v>402</v>
      </c>
      <c r="E418" s="18" t="n">
        <f aca="false">E417/E412</f>
        <v>18.5525974807988</v>
      </c>
      <c r="F418" s="18" t="n">
        <f aca="false">F417/F412</f>
        <v>16.2104435757945</v>
      </c>
      <c r="G418" s="18" t="n">
        <f aca="false">G417/G412</f>
        <v>29.5439463076446</v>
      </c>
      <c r="H418" s="28" t="n">
        <f aca="false">H417/H412</f>
        <v>33.9529724469663</v>
      </c>
      <c r="I418" s="28" t="n">
        <f aca="false">I417/I412</f>
        <v>38.3907033328396</v>
      </c>
      <c r="J418" s="28" t="n">
        <f aca="false">J417/J412</f>
        <v>42.7117387443732</v>
      </c>
    </row>
    <row r="421" customFormat="false" ht="17.15" hidden="false" customHeight="false" outlineLevel="0" collapsed="false">
      <c r="A421" s="1" t="s">
        <v>965</v>
      </c>
    </row>
    <row r="422" customFormat="false" ht="17.15" hidden="false" customHeight="false" outlineLevel="0" collapsed="false">
      <c r="A422" s="4" t="s">
        <v>17</v>
      </c>
      <c r="B422" s="4" t="s">
        <v>18</v>
      </c>
      <c r="C422" s="13" t="s">
        <v>494</v>
      </c>
      <c r="D422" s="13" t="s">
        <v>581</v>
      </c>
      <c r="E422" s="13" t="s">
        <v>582</v>
      </c>
      <c r="F422" s="13" t="s">
        <v>583</v>
      </c>
      <c r="G422" s="13" t="s">
        <v>584</v>
      </c>
      <c r="H422" s="13" t="s">
        <v>585</v>
      </c>
      <c r="I422" s="13" t="s">
        <v>586</v>
      </c>
      <c r="J422" s="13" t="s">
        <v>587</v>
      </c>
      <c r="K422" s="4" t="s">
        <v>549</v>
      </c>
    </row>
    <row r="423" customFormat="false" ht="17.15" hidden="false" customHeight="false" outlineLevel="0" collapsed="false">
      <c r="A423" s="5" t="s">
        <v>605</v>
      </c>
    </row>
    <row r="424" customFormat="false" ht="17.15" hidden="false" customHeight="false" outlineLevel="0" collapsed="false">
      <c r="A424" s="0" t="s">
        <v>606</v>
      </c>
      <c r="B424" s="3" t="s">
        <v>28</v>
      </c>
      <c r="D424" s="21" t="n">
        <f aca="false">(u_bw_26+u_rb_26+u_ru_26+u_hp_26)*1</f>
        <v>7.6</v>
      </c>
      <c r="E424" s="21" t="n">
        <f aca="false">(u_bw_27+u_rb_27+u_ru_27+u_hp_27)*1*1</f>
        <v>9.7</v>
      </c>
      <c r="F424" s="21" t="n">
        <f aca="false">(u_bw_28+u_rb_28+u_ru_28+u_hp_28)*um28_A*1</f>
        <v>9.5</v>
      </c>
      <c r="G424" s="21" t="n">
        <f aca="false">(u_bw_28*(1+g29_bw)+u_rb_28*(1+g29_rb)+u_ru_28*(1+g29_ru)+u_hp_28*(1+g29_hp))*um29_A*1</f>
        <v>10.6</v>
      </c>
      <c r="K424" s="7" t="s">
        <v>607</v>
      </c>
    </row>
    <row r="425" customFormat="false" ht="17.15" hidden="false" customHeight="false" outlineLevel="0" collapsed="false">
      <c r="A425" s="3" t="s">
        <v>608</v>
      </c>
      <c r="B425" s="3" t="s">
        <v>28</v>
      </c>
      <c r="D425" s="21" t="n">
        <f aca="false">(u_amd_26+u_tpu_26+u_trn_26+u_oth_26)*1</f>
        <v>7.6</v>
      </c>
      <c r="E425" s="21" t="n">
        <f aca="false">(u_amd_27+u_tpu_27+u_trn_27+u_oth_27)*1*1</f>
        <v>14</v>
      </c>
      <c r="F425" s="21" t="n">
        <f aca="false">(u_amd_28+u_tpu_28+u_trn_28+u_oth_28)*um28_A*1</f>
        <v>17</v>
      </c>
      <c r="G425" s="21" t="n">
        <f aca="false">(u_amd_28*(1+g29_amd)+u_tpu_28*(1+g29_tpu)+u_trn_28*(1+g29_trn)+u_oth_28*(1+g29_oth))*um29_A*1</f>
        <v>19.55</v>
      </c>
      <c r="K425" s="7" t="s">
        <v>609</v>
      </c>
    </row>
    <row r="426" customFormat="false" ht="17.15" hidden="false" customHeight="false" outlineLevel="0" collapsed="false">
      <c r="A426" s="3" t="s">
        <v>610</v>
      </c>
      <c r="B426" s="0" t="s">
        <v>150</v>
      </c>
      <c r="D426" s="19" t="n">
        <f aca="false">1</f>
        <v>1</v>
      </c>
      <c r="E426" s="19" t="n">
        <f aca="false">D426*(1+g_asp)</f>
        <v>1.18</v>
      </c>
      <c r="F426" s="19" t="n">
        <f aca="false">E426*(1+g_asp)</f>
        <v>1.3924</v>
      </c>
      <c r="G426" s="19" t="n">
        <f aca="false">F426*(1+g_asp)</f>
        <v>1.643032</v>
      </c>
      <c r="K426" s="7" t="s">
        <v>611</v>
      </c>
    </row>
    <row r="427" customFormat="false" ht="17.15" hidden="false" customHeight="false" outlineLevel="0" collapsed="false">
      <c r="A427" s="0" t="s">
        <v>612</v>
      </c>
      <c r="B427" s="0" t="s">
        <v>150</v>
      </c>
      <c r="D427" s="18" t="n">
        <f aca="false">1</f>
        <v>1</v>
      </c>
      <c r="E427" s="18" t="n">
        <f aca="false">ibpp_27</f>
        <v>1</v>
      </c>
      <c r="F427" s="18" t="n">
        <f aca="false">ibpp_28</f>
        <v>0.95</v>
      </c>
      <c r="G427" s="18" t="n">
        <f aca="false">ibpp_29</f>
        <v>0.9</v>
      </c>
      <c r="K427" s="7" t="s">
        <v>613</v>
      </c>
    </row>
    <row r="428" customFormat="false" ht="17.15" hidden="false" customHeight="false" outlineLevel="0" collapsed="false">
      <c r="A428" s="3" t="s">
        <v>614</v>
      </c>
      <c r="B428" s="0" t="s">
        <v>150</v>
      </c>
      <c r="D428" s="18" t="n">
        <f aca="false">1</f>
        <v>1</v>
      </c>
      <c r="E428" s="18" t="n">
        <f aca="false">1+carry_hi</f>
        <v>1.22</v>
      </c>
      <c r="F428" s="18" t="n">
        <f aca="false">1+carry_hi</f>
        <v>1.22</v>
      </c>
      <c r="G428" s="18" t="n">
        <f aca="false">1+carry_hi</f>
        <v>1.22</v>
      </c>
      <c r="K428" s="7" t="s">
        <v>615</v>
      </c>
    </row>
    <row r="429" customFormat="false" ht="17.15" hidden="false" customHeight="false" outlineLevel="0" collapsed="false">
      <c r="A429" s="3" t="s">
        <v>616</v>
      </c>
      <c r="B429" s="0" t="s">
        <v>617</v>
      </c>
      <c r="D429" s="23" t="n">
        <f aca="false">v26*D426*D427</f>
        <v>215.308596</v>
      </c>
      <c r="E429" s="23" t="n">
        <f aca="false">v26*E426*E427</f>
        <v>254.06414328</v>
      </c>
      <c r="F429" s="23" t="n">
        <f aca="false">v26*F426*F427</f>
        <v>284.80590461688</v>
      </c>
      <c r="G429" s="23" t="n">
        <f aca="false">v26*G426*G427</f>
        <v>318.383021792765</v>
      </c>
      <c r="K429" s="7" t="s">
        <v>618</v>
      </c>
    </row>
    <row r="430" customFormat="false" ht="17.15" hidden="false" customHeight="false" outlineLevel="0" collapsed="false">
      <c r="A430" s="3" t="s">
        <v>619</v>
      </c>
      <c r="B430" s="0" t="s">
        <v>40</v>
      </c>
      <c r="D430" s="20" t="n">
        <f aca="false">sh_nv_26</f>
        <v>0.02</v>
      </c>
      <c r="E430" s="20" t="n">
        <f aca="false">sh_nv_27</f>
        <v>0.03</v>
      </c>
      <c r="F430" s="20" t="n">
        <f aca="false">sh_nv_28</f>
        <v>0.04</v>
      </c>
      <c r="G430" s="20" t="n">
        <f aca="false">sh_nv_29</f>
        <v>0.04</v>
      </c>
    </row>
    <row r="431" customFormat="false" ht="17.15" hidden="false" customHeight="false" outlineLevel="0" collapsed="false">
      <c r="A431" s="3" t="s">
        <v>620</v>
      </c>
      <c r="B431" s="0" t="s">
        <v>40</v>
      </c>
      <c r="D431" s="20" t="n">
        <f aca="false">sh_ot_26</f>
        <v>0.05</v>
      </c>
      <c r="E431" s="20" t="n">
        <f aca="false">sh_ot_27</f>
        <v>0.06</v>
      </c>
      <c r="F431" s="20" t="n">
        <f aca="false">sh_ot_28</f>
        <v>0.07</v>
      </c>
      <c r="G431" s="20" t="n">
        <f aca="false">sh_ot_29</f>
        <v>0.07</v>
      </c>
    </row>
    <row r="432" customFormat="false" ht="17.15" hidden="false" customHeight="false" outlineLevel="0" collapsed="false">
      <c r="A432" s="3" t="s">
        <v>621</v>
      </c>
      <c r="B432" s="0" t="s">
        <v>571</v>
      </c>
      <c r="D432" s="22" t="n">
        <f aca="false">(D424*D429*D430+D425*D429*v_ot*D431)*D428</f>
        <v>98.180719776</v>
      </c>
      <c r="E432" s="22" t="n">
        <f aca="false">(E424*E429*E430+E425*E429*v_ot*E431)*E428</f>
        <v>298.489799373941</v>
      </c>
      <c r="F432" s="22" t="n">
        <f aca="false">(F424*F429*F430+F425*F429*v_ot*F431)*F428</f>
        <v>462.820987238615</v>
      </c>
      <c r="G432" s="22" t="n">
        <f aca="false">(G424*G429*G430+G425*G429*v_ot*G431)*G428</f>
        <v>589.943362868599</v>
      </c>
    </row>
    <row r="433" customFormat="false" ht="15" hidden="false" customHeight="false" outlineLevel="0" collapsed="false">
      <c r="A433" s="3" t="s">
        <v>622</v>
      </c>
      <c r="B433" s="0" t="s">
        <v>329</v>
      </c>
      <c r="D433" s="21" t="n">
        <f aca="false">D432*fx/1000</f>
        <v>3.19087339272</v>
      </c>
      <c r="E433" s="21" t="n">
        <f aca="false">E432*fx/1000</f>
        <v>9.70091847965307</v>
      </c>
      <c r="F433" s="21" t="n">
        <f aca="false">F432*fx/1000</f>
        <v>15.041682085255</v>
      </c>
      <c r="G433" s="21" t="n">
        <f aca="false">G432*fx/1000</f>
        <v>19.1731592932295</v>
      </c>
    </row>
    <row r="434" customFormat="false" ht="17.15" hidden="false" customHeight="false" outlineLevel="0" collapsed="false">
      <c r="A434" s="5" t="s">
        <v>623</v>
      </c>
    </row>
    <row r="435" customFormat="false" ht="17.15" hidden="false" customHeight="false" outlineLevel="0" collapsed="false">
      <c r="A435" s="0" t="s">
        <v>624</v>
      </c>
      <c r="B435" s="0" t="s">
        <v>329</v>
      </c>
      <c r="D435" s="21" t="n">
        <f aca="false">a26_abf*ai_abf</f>
        <v>22.2987583</v>
      </c>
      <c r="K435" s="3" t="s">
        <v>625</v>
      </c>
    </row>
    <row r="436" customFormat="false" ht="17.15" hidden="false" customHeight="false" outlineLevel="0" collapsed="false">
      <c r="A436" s="3" t="s">
        <v>626</v>
      </c>
      <c r="B436" s="0" t="s">
        <v>329</v>
      </c>
      <c r="D436" s="21" t="n">
        <f aca="false">D435-D433</f>
        <v>19.10788490728</v>
      </c>
      <c r="E436" s="21" t="n">
        <f aca="false">$D436*(swm_27/swm_26)^el_o*1*1*E427*E428</f>
        <v>32.6062605107377</v>
      </c>
      <c r="F436" s="21" t="n">
        <f aca="false">$D436*(swm_28/swm_26)^el_o*um28_A*1*F427*F428</f>
        <v>33.3223376178217</v>
      </c>
      <c r="G436" s="21" t="n">
        <f aca="false">$D436*(swm_29/swm_26)^el_o*um29_A*1*G427*G428</f>
        <v>33.6775603239163</v>
      </c>
      <c r="K436" s="7" t="s">
        <v>627</v>
      </c>
    </row>
    <row r="437" customFormat="false" ht="17.15" hidden="false" customHeight="false" outlineLevel="0" collapsed="false">
      <c r="A437" s="3" t="s">
        <v>628</v>
      </c>
      <c r="B437" s="0" t="s">
        <v>329</v>
      </c>
      <c r="D437" s="21" t="n">
        <f aca="false">a26_abf-D435</f>
        <v>12.0070237</v>
      </c>
      <c r="E437" s="21" t="n">
        <f aca="false">D437*(1+g_nai)</f>
        <v>12.367234411</v>
      </c>
      <c r="F437" s="21" t="n">
        <f aca="false">E437*(1+g_nai)</f>
        <v>12.73825144333</v>
      </c>
      <c r="G437" s="21" t="n">
        <f aca="false">F437*(1+g_nai)</f>
        <v>13.1203989866299</v>
      </c>
    </row>
    <row r="438" customFormat="false" ht="17.15" hidden="false" customHeight="false" outlineLevel="0" collapsed="false">
      <c r="A438" s="0" t="s">
        <v>629</v>
      </c>
      <c r="B438" s="0" t="s">
        <v>329</v>
      </c>
      <c r="D438" s="21" t="n">
        <f aca="false">D433+D436+D437</f>
        <v>34.305782</v>
      </c>
      <c r="E438" s="21" t="n">
        <f aca="false">E433+E436+E437</f>
        <v>54.6744134013907</v>
      </c>
      <c r="F438" s="21" t="n">
        <f aca="false">F433+F436+F437</f>
        <v>61.1022711464067</v>
      </c>
      <c r="G438" s="21" t="n">
        <f aca="false">G433+G436+G437</f>
        <v>65.9711186037756</v>
      </c>
    </row>
    <row r="439" customFormat="false" ht="17.15" hidden="false" customHeight="false" outlineLevel="0" collapsed="false">
      <c r="A439" s="0" t="s">
        <v>630</v>
      </c>
      <c r="B439" s="0" t="s">
        <v>329</v>
      </c>
      <c r="D439" s="21" t="n">
        <f aca="false">a26_abf</f>
        <v>34.305782</v>
      </c>
      <c r="E439" s="21" t="n">
        <f aca="false">$D438*cap_27*(1+g_mix)^1*E427*E428</f>
        <v>52.7348480904</v>
      </c>
      <c r="F439" s="21" t="n">
        <f aca="false">$D438*cap_28*(1+g_mix)^2*F427*F428</f>
        <v>59.1783873414458</v>
      </c>
      <c r="G439" s="21" t="n">
        <f aca="false">$D438*cap_29*(1+g_mix)^3*G427*G428</f>
        <v>69.7682040235992</v>
      </c>
      <c r="K439" s="7" t="s">
        <v>631</v>
      </c>
    </row>
    <row r="440" customFormat="false" ht="17.15" hidden="false" customHeight="false" outlineLevel="0" collapsed="false">
      <c r="A440" s="0" t="s">
        <v>632</v>
      </c>
      <c r="B440" s="0" t="s">
        <v>329</v>
      </c>
      <c r="D440" s="21" t="n">
        <f aca="false">a26_abf</f>
        <v>34.305782</v>
      </c>
      <c r="E440" s="21" t="n">
        <f aca="false">MIN(E438,E439)</f>
        <v>52.7348480904</v>
      </c>
      <c r="F440" s="21" t="n">
        <f aca="false">MIN(F438,F439)</f>
        <v>59.1783873414458</v>
      </c>
      <c r="G440" s="21" t="n">
        <f aca="false">MIN(G438,G439)</f>
        <v>65.9711186037756</v>
      </c>
    </row>
    <row r="441" customFormat="false" ht="17.15" hidden="false" customHeight="false" outlineLevel="0" collapsed="false">
      <c r="A441" s="3" t="s">
        <v>633</v>
      </c>
      <c r="B441" s="0" t="s">
        <v>40</v>
      </c>
      <c r="D441" s="20" t="n">
        <f aca="false">D440/D438</f>
        <v>1</v>
      </c>
      <c r="E441" s="20" t="n">
        <f aca="false">E440/E438</f>
        <v>0.964525173836774</v>
      </c>
      <c r="F441" s="20" t="n">
        <f aca="false">F440/F438</f>
        <v>0.968513710393005</v>
      </c>
      <c r="G441" s="20" t="n">
        <f aca="false">G440/G438</f>
        <v>1</v>
      </c>
    </row>
    <row r="442" customFormat="false" ht="17.15" hidden="false" customHeight="false" outlineLevel="0" collapsed="false">
      <c r="A442" s="0" t="s">
        <v>634</v>
      </c>
      <c r="B442" s="0" t="s">
        <v>329</v>
      </c>
      <c r="D442" s="21" t="n">
        <f aca="false">(D433+D436)*D441</f>
        <v>22.2987583</v>
      </c>
      <c r="E442" s="21" t="n">
        <f aca="false">(E433+E436)*E441</f>
        <v>40.8063391702501</v>
      </c>
      <c r="F442" s="21" t="n">
        <f aca="false">(F433+F436)*F441</f>
        <v>46.8412161721472</v>
      </c>
      <c r="G442" s="21" t="n">
        <f aca="false">(G433+G436)*G441</f>
        <v>52.8507196171457</v>
      </c>
    </row>
    <row r="443" customFormat="false" ht="17.15" hidden="false" customHeight="false" outlineLevel="0" collapsed="false">
      <c r="A443" s="3" t="s">
        <v>635</v>
      </c>
      <c r="B443" s="0" t="s">
        <v>40</v>
      </c>
      <c r="D443" s="20" t="n">
        <f aca="false">D433/(D433+D436)</f>
        <v>0.14309646078903</v>
      </c>
      <c r="E443" s="20" t="n">
        <f aca="false">E433/(E433+E436)</f>
        <v>0.2292972188445</v>
      </c>
      <c r="F443" s="20" t="n">
        <f aca="false">F433/(F433+F436)</f>
        <v>0.311009758444419</v>
      </c>
      <c r="G443" s="20" t="n">
        <f aca="false">G433/(G433+G436)</f>
        <v>0.362779531331288</v>
      </c>
    </row>
    <row r="444" customFormat="false" ht="17.15" hidden="false" customHeight="false" outlineLevel="0" collapsed="false">
      <c r="A444" s="5" t="s">
        <v>636</v>
      </c>
    </row>
    <row r="445" customFormat="false" ht="17.15" hidden="false" customHeight="false" outlineLevel="0" collapsed="false">
      <c r="A445" s="0" t="s">
        <v>637</v>
      </c>
      <c r="B445" s="0" t="s">
        <v>329</v>
      </c>
      <c r="D445" s="21" t="n">
        <f aca="false">a26_bt</f>
        <v>18.927328</v>
      </c>
      <c r="E445" s="21" t="n">
        <f aca="false">D445*(1+g_bt27_A)</f>
        <v>24.6055264</v>
      </c>
      <c r="F445" s="21" t="n">
        <f aca="false">E445*(1+g_bt28_A)</f>
        <v>27.06607904</v>
      </c>
      <c r="G445" s="21" t="n">
        <f aca="false">F445*(1+g_bt29_A)</f>
        <v>28.419382992</v>
      </c>
      <c r="K445" s="7" t="s">
        <v>638</v>
      </c>
    </row>
    <row r="446" customFormat="false" ht="17.15" hidden="false" customHeight="false" outlineLevel="0" collapsed="false">
      <c r="A446" s="0" t="s">
        <v>536</v>
      </c>
      <c r="B446" s="0" t="s">
        <v>329</v>
      </c>
      <c r="D446" s="21" t="n">
        <f aca="false">a26_pcb</f>
        <v>5.91479</v>
      </c>
      <c r="E446" s="21" t="n">
        <f aca="false">D446*(1+g_pcb)</f>
        <v>5.91479</v>
      </c>
      <c r="F446" s="21" t="n">
        <f aca="false">E446*(1+g_pcb)</f>
        <v>5.91479</v>
      </c>
      <c r="G446" s="21" t="n">
        <f aca="false">F446*(1+g_pcb)</f>
        <v>5.91479</v>
      </c>
    </row>
    <row r="447" customFormat="false" ht="17.15" hidden="false" customHeight="false" outlineLevel="0" collapsed="false">
      <c r="A447" s="3" t="s">
        <v>501</v>
      </c>
      <c r="B447" s="0" t="s">
        <v>329</v>
      </c>
      <c r="C447" s="23" t="n">
        <f aca="false">a25_rev</f>
        <v>40.173</v>
      </c>
      <c r="D447" s="23" t="n">
        <f aca="false">D440+D445+D446</f>
        <v>59.1479</v>
      </c>
      <c r="E447" s="23" t="n">
        <f aca="false">E440+E445+E446</f>
        <v>83.2551644904</v>
      </c>
      <c r="F447" s="23" t="n">
        <f aca="false">F440+F445+F446</f>
        <v>92.1592563814458</v>
      </c>
      <c r="G447" s="23" t="n">
        <f aca="false">G440+G445+G446</f>
        <v>100.305291595776</v>
      </c>
      <c r="H447" s="25" t="n">
        <f aca="false">G447*(1+H448)</f>
        <v>108.222110900616</v>
      </c>
      <c r="I447" s="25" t="n">
        <f aca="false">H447*(1+I448)</f>
        <v>115.739610208259</v>
      </c>
      <c r="J447" s="25" t="n">
        <f aca="false">I447*(1+J448)</f>
        <v>122.683986820755</v>
      </c>
      <c r="K447" s="7" t="s">
        <v>639</v>
      </c>
    </row>
    <row r="448" customFormat="false" ht="15" hidden="false" customHeight="false" outlineLevel="0" collapsed="false">
      <c r="A448" s="3" t="s">
        <v>640</v>
      </c>
      <c r="B448" s="0" t="s">
        <v>40</v>
      </c>
      <c r="D448" s="20" t="n">
        <f aca="false">D447/C447-1</f>
        <v>0.472329674159261</v>
      </c>
      <c r="E448" s="20" t="n">
        <f aca="false">E447/D447-1</f>
        <v>0.407576</v>
      </c>
      <c r="F448" s="20" t="n">
        <f aca="false">F447/E447-1</f>
        <v>0.106949424045309</v>
      </c>
      <c r="G448" s="20" t="n">
        <f aca="false">G447/F447-1</f>
        <v>0.0883908522505168</v>
      </c>
      <c r="H448" s="26" t="n">
        <f aca="false">$G448+(fade_gA-$G448)*1/3</f>
        <v>0.0789272348336779</v>
      </c>
      <c r="I448" s="26" t="n">
        <f aca="false">$G448+(fade_gA-$G448)*2/3</f>
        <v>0.0694636174168389</v>
      </c>
      <c r="J448" s="26" t="n">
        <f aca="false">$G448+(fade_gA-$G448)*3/3</f>
        <v>0.06</v>
      </c>
    </row>
    <row r="449" customFormat="false" ht="17.15" hidden="false" customHeight="false" outlineLevel="0" collapsed="false">
      <c r="A449" s="0" t="s">
        <v>641</v>
      </c>
      <c r="B449" s="0" t="s">
        <v>40</v>
      </c>
      <c r="D449" s="20" t="n">
        <f aca="false">D440/D447</f>
        <v>0.58</v>
      </c>
      <c r="E449" s="20" t="n">
        <f aca="false">E440/E447</f>
        <v>0.633412334396153</v>
      </c>
      <c r="F449" s="20" t="n">
        <f aca="false">F440/F447</f>
        <v>0.642131779975603</v>
      </c>
      <c r="G449" s="20" t="n">
        <f aca="false">G440/G447</f>
        <v>0.657703273219476</v>
      </c>
    </row>
    <row r="450" customFormat="false" ht="17.15" hidden="false" customHeight="false" outlineLevel="0" collapsed="false">
      <c r="A450" s="0" t="s">
        <v>642</v>
      </c>
      <c r="B450" s="0" t="s">
        <v>40</v>
      </c>
      <c r="D450" s="20" t="n">
        <f aca="false">D442/D447</f>
        <v>0.377</v>
      </c>
      <c r="E450" s="20" t="n">
        <f aca="false">E442/E447</f>
        <v>0.490135830251773</v>
      </c>
      <c r="F450" s="20" t="n">
        <f aca="false">F442/F447</f>
        <v>0.508263825157965</v>
      </c>
      <c r="G450" s="20" t="n">
        <f aca="false">G442/G447</f>
        <v>0.526898618969486</v>
      </c>
      <c r="K450" s="3" t="s">
        <v>643</v>
      </c>
    </row>
    <row r="451" customFormat="false" ht="17.15" hidden="false" customHeight="false" outlineLevel="0" collapsed="false">
      <c r="A451" s="5" t="s">
        <v>644</v>
      </c>
    </row>
    <row r="452" customFormat="false" ht="15" hidden="false" customHeight="false" outlineLevel="0" collapsed="false">
      <c r="A452" s="3" t="s">
        <v>645</v>
      </c>
      <c r="B452" s="0" t="s">
        <v>329</v>
      </c>
      <c r="C452" s="23" t="n">
        <f aca="false">a25_cx</f>
        <v>2.422</v>
      </c>
      <c r="D452" s="23" t="n">
        <f aca="false">capex26</f>
        <v>4</v>
      </c>
      <c r="E452" s="23" t="n">
        <f aca="false">cx27</f>
        <v>14</v>
      </c>
      <c r="F452" s="23" t="n">
        <f aca="false">cx28</f>
        <v>18</v>
      </c>
      <c r="G452" s="23" t="n">
        <f aca="false">cx29</f>
        <v>12</v>
      </c>
      <c r="H452" s="25" t="n">
        <f aca="false">H447*H469</f>
        <v>12.3845498545662</v>
      </c>
      <c r="I452" s="25" t="n">
        <f aca="false">I447*I469</f>
        <v>12.6431698931499</v>
      </c>
      <c r="J452" s="25" t="n">
        <f aca="false">J447*J469</f>
        <v>12.7640051566817</v>
      </c>
    </row>
    <row r="453" customFormat="false" ht="17.15" hidden="false" customHeight="false" outlineLevel="0" collapsed="false">
      <c r="A453" s="3" t="s">
        <v>646</v>
      </c>
      <c r="B453" s="0" t="s">
        <v>329</v>
      </c>
      <c r="C453" s="23" t="n">
        <f aca="false">a25_da</f>
        <v>6.894</v>
      </c>
      <c r="D453" s="23" t="n">
        <f aca="false">da26</f>
        <v>7.1</v>
      </c>
      <c r="E453" s="23" t="n">
        <f aca="false">D453*(1-1/life)+D452/life</f>
        <v>6.7125</v>
      </c>
      <c r="F453" s="23" t="n">
        <f aca="false">E453*(1-1/life)+E452/life</f>
        <v>7.6234375</v>
      </c>
      <c r="G453" s="23" t="n">
        <f aca="false">F453*(1-1/life)+F452/life</f>
        <v>8.9205078125</v>
      </c>
      <c r="H453" s="25" t="n">
        <f aca="false">H447*H454</f>
        <v>9.62457882745284</v>
      </c>
      <c r="I453" s="25" t="n">
        <f aca="false">I447*I454</f>
        <v>10.2931368889212</v>
      </c>
      <c r="J453" s="25" t="n">
        <f aca="false">J447*J454</f>
        <v>10.9107251022565</v>
      </c>
      <c r="K453" s="3" t="s">
        <v>647</v>
      </c>
    </row>
    <row r="454" customFormat="false" ht="17.15" hidden="false" customHeight="false" outlineLevel="0" collapsed="false">
      <c r="A454" s="3" t="s">
        <v>648</v>
      </c>
      <c r="B454" s="0" t="s">
        <v>40</v>
      </c>
      <c r="C454" s="20" t="n">
        <f aca="false">C453/C447</f>
        <v>0.171607796281084</v>
      </c>
      <c r="D454" s="20" t="n">
        <f aca="false">D453/D447</f>
        <v>0.120038074048276</v>
      </c>
      <c r="E454" s="20" t="n">
        <f aca="false">E453/E447</f>
        <v>0.0806256289455053</v>
      </c>
      <c r="F454" s="20" t="n">
        <f aca="false">F453/F447</f>
        <v>0.0827202583801969</v>
      </c>
      <c r="G454" s="20" t="n">
        <f aca="false">G453/G447</f>
        <v>0.0889335714056753</v>
      </c>
      <c r="H454" s="26" t="n">
        <f aca="false">$G454</f>
        <v>0.0889335714056753</v>
      </c>
      <c r="I454" s="26" t="n">
        <f aca="false">$G454</f>
        <v>0.0889335714056753</v>
      </c>
      <c r="J454" s="26" t="n">
        <f aca="false">$G454</f>
        <v>0.0889335714056753</v>
      </c>
    </row>
    <row r="455" customFormat="false" ht="17.15" hidden="false" customHeight="false" outlineLevel="0" collapsed="false">
      <c r="A455" s="3" t="s">
        <v>649</v>
      </c>
      <c r="B455" s="0" t="s">
        <v>329</v>
      </c>
      <c r="E455" s="21" t="n">
        <f aca="false">E442*(1-1/(E427*E428))</f>
        <v>7.35852017824182</v>
      </c>
      <c r="F455" s="21" t="n">
        <f aca="false">F442*(1-1/(F427*F428))</f>
        <v>6.42601671386661</v>
      </c>
      <c r="G455" s="21" t="n">
        <f aca="false">G442*(1-1/(G427*G428))</f>
        <v>4.71709519351574</v>
      </c>
      <c r="K455" s="7" t="s">
        <v>650</v>
      </c>
    </row>
    <row r="456" customFormat="false" ht="17.15" hidden="false" customHeight="false" outlineLevel="0" collapsed="false">
      <c r="A456" s="3" t="s">
        <v>651</v>
      </c>
      <c r="B456" s="0" t="s">
        <v>329</v>
      </c>
      <c r="C456" s="21" t="n">
        <f aca="false">a25_gp</f>
        <v>3.647</v>
      </c>
      <c r="D456" s="21" t="n">
        <f aca="false">a26_gp</f>
        <v>15.9001925</v>
      </c>
      <c r="E456" s="21" t="n">
        <f aca="false">$D456+ft_abf*(E440-E455-$D440)+ft_oth*((E447-E440)-($D447-$D440))+E455-(E453-$D453)</f>
        <v>31.4527649943209</v>
      </c>
      <c r="F456" s="21" t="n">
        <f aca="false">$D456+ft_abf*(F440-F455-$D440)+ft_oth*((F447-F440)-($D447-$D440))+F455-(F453-$D453)</f>
        <v>34.2815664436562</v>
      </c>
      <c r="G456" s="21" t="n">
        <f aca="false">$D456+ft_abf*(G440-G455-$D440)+ft_oth*((G447-G440)-($D447-$D440))+G455-(G453-$D453)</f>
        <v>36.0677225829457</v>
      </c>
      <c r="K456" s="3" t="s">
        <v>652</v>
      </c>
    </row>
    <row r="457" customFormat="false" ht="15" hidden="false" customHeight="false" outlineLevel="0" collapsed="false">
      <c r="A457" s="3" t="s">
        <v>508</v>
      </c>
      <c r="B457" s="0" t="s">
        <v>40</v>
      </c>
      <c r="C457" s="16" t="n">
        <f aca="false">C456/C447</f>
        <v>0.0907823662659</v>
      </c>
      <c r="D457" s="16" t="n">
        <f aca="false">D456/D447</f>
        <v>0.268820913337583</v>
      </c>
      <c r="E457" s="16" t="n">
        <f aca="false">E456/E447</f>
        <v>0.377787554523992</v>
      </c>
      <c r="F457" s="16" t="n">
        <f aca="false">F456/F447</f>
        <v>0.371981803995524</v>
      </c>
      <c r="G457" s="16" t="n">
        <f aca="false">G456/G447</f>
        <v>0.359579459958069</v>
      </c>
    </row>
    <row r="458" customFormat="false" ht="15" hidden="false" customHeight="false" outlineLevel="0" collapsed="false">
      <c r="A458" s="3" t="s">
        <v>510</v>
      </c>
      <c r="B458" s="0" t="s">
        <v>329</v>
      </c>
      <c r="C458" s="21" t="n">
        <f aca="false">a25_opx</f>
        <v>1.665</v>
      </c>
      <c r="D458" s="21" t="n">
        <f aca="false">a26_opx</f>
        <v>1.9</v>
      </c>
      <c r="E458" s="21" t="n">
        <f aca="false">D458*(1+phi*E448)</f>
        <v>2.36463664</v>
      </c>
      <c r="F458" s="21" t="n">
        <f aca="false">E458*(1+phi*F448)</f>
        <v>2.51637455603466</v>
      </c>
      <c r="G458" s="21" t="n">
        <f aca="false">F458*(1+phi*G448)</f>
        <v>2.64982925098831</v>
      </c>
    </row>
    <row r="459" customFormat="false" ht="15" hidden="false" customHeight="false" outlineLevel="0" collapsed="false">
      <c r="A459" s="3" t="s">
        <v>513</v>
      </c>
      <c r="B459" s="0" t="s">
        <v>329</v>
      </c>
      <c r="C459" s="21" t="n">
        <f aca="false">C456-C458</f>
        <v>1.982</v>
      </c>
      <c r="D459" s="21" t="n">
        <f aca="false">D456-D458</f>
        <v>14.0001925</v>
      </c>
      <c r="E459" s="21" t="n">
        <f aca="false">E456-E458</f>
        <v>29.0881283543209</v>
      </c>
      <c r="F459" s="21" t="n">
        <f aca="false">F456-F458</f>
        <v>31.7651918876215</v>
      </c>
      <c r="G459" s="21" t="n">
        <f aca="false">G456-G458</f>
        <v>33.4178933319574</v>
      </c>
    </row>
    <row r="460" customFormat="false" ht="15" hidden="false" customHeight="false" outlineLevel="0" collapsed="false">
      <c r="A460" s="3" t="s">
        <v>594</v>
      </c>
      <c r="B460" s="0" t="s">
        <v>40</v>
      </c>
      <c r="C460" s="16" t="n">
        <f aca="false">C459/C447</f>
        <v>0.0493366191222961</v>
      </c>
      <c r="D460" s="16" t="n">
        <f aca="false">D459/D447</f>
        <v>0.236698048451424</v>
      </c>
      <c r="E460" s="16" t="n">
        <f aca="false">E459/E447</f>
        <v>0.349385272761968</v>
      </c>
      <c r="F460" s="16" t="n">
        <f aca="false">F459/F447</f>
        <v>0.344677172265213</v>
      </c>
      <c r="G460" s="16" t="n">
        <f aca="false">G459/G447</f>
        <v>0.333161818288007</v>
      </c>
    </row>
    <row r="461" customFormat="false" ht="15" hidden="false" customHeight="false" outlineLevel="0" collapsed="false">
      <c r="A461" s="3" t="s">
        <v>516</v>
      </c>
      <c r="B461" s="0" t="s">
        <v>329</v>
      </c>
      <c r="C461" s="21" t="n">
        <f aca="false">a25_nonop</f>
        <v>0.364</v>
      </c>
      <c r="D461" s="21" t="n">
        <f aca="false">a26_nonop</f>
        <v>0.623</v>
      </c>
      <c r="E461" s="21" t="n">
        <f aca="false">nonop27</f>
        <v>0.6</v>
      </c>
      <c r="F461" s="21" t="n">
        <f aca="false">nonop28</f>
        <v>0.6</v>
      </c>
      <c r="G461" s="21" t="n">
        <f aca="false">nonop29</f>
        <v>0.6</v>
      </c>
    </row>
    <row r="462" customFormat="false" ht="15" hidden="false" customHeight="false" outlineLevel="0" collapsed="false">
      <c r="A462" s="3" t="s">
        <v>518</v>
      </c>
      <c r="B462" s="0" t="s">
        <v>329</v>
      </c>
      <c r="C462" s="21" t="n">
        <f aca="false">C459+C461</f>
        <v>2.346</v>
      </c>
      <c r="D462" s="21" t="n">
        <f aca="false">D459+D461</f>
        <v>14.6231925</v>
      </c>
      <c r="E462" s="21" t="n">
        <f aca="false">E459+E461</f>
        <v>29.6881283543209</v>
      </c>
      <c r="F462" s="21" t="n">
        <f aca="false">F459+F461</f>
        <v>32.3651918876215</v>
      </c>
      <c r="G462" s="21" t="n">
        <f aca="false">G459+G461</f>
        <v>34.0178933319574</v>
      </c>
    </row>
    <row r="463" customFormat="false" ht="15" hidden="false" customHeight="false" outlineLevel="0" collapsed="false">
      <c r="A463" s="3" t="s">
        <v>521</v>
      </c>
      <c r="B463" s="0" t="s">
        <v>329</v>
      </c>
      <c r="E463" s="21" t="n">
        <f aca="false">E462*tax</f>
        <v>6.23450695440739</v>
      </c>
      <c r="F463" s="21" t="n">
        <f aca="false">F462*tax</f>
        <v>6.79669029640052</v>
      </c>
      <c r="G463" s="21" t="n">
        <f aca="false">G462*tax</f>
        <v>7.14375759971105</v>
      </c>
    </row>
    <row r="464" customFormat="false" ht="15" hidden="false" customHeight="false" outlineLevel="0" collapsed="false">
      <c r="A464" s="3" t="s">
        <v>519</v>
      </c>
      <c r="B464" s="0" t="s">
        <v>329</v>
      </c>
      <c r="C464" s="21" t="n">
        <f aca="false">a25_ni</f>
        <v>1.947</v>
      </c>
      <c r="D464" s="21" t="n">
        <f aca="false">a26_ni</f>
        <v>11.509862075</v>
      </c>
      <c r="E464" s="21" t="n">
        <f aca="false">E462-E463</f>
        <v>23.4536213999135</v>
      </c>
      <c r="F464" s="21" t="n">
        <f aca="false">F462-F463</f>
        <v>25.568501591221</v>
      </c>
      <c r="G464" s="21" t="n">
        <f aca="false">G462-G463</f>
        <v>26.8741357322463</v>
      </c>
      <c r="H464" s="30" t="n">
        <f aca="false">H447*H468</f>
        <v>28.4242869686646</v>
      </c>
      <c r="I464" s="30" t="n">
        <f aca="false">I447*I468</f>
        <v>29.7881305271743</v>
      </c>
      <c r="J464" s="30" t="n">
        <f aca="false">J447*J468</f>
        <v>30.9281715077672</v>
      </c>
    </row>
    <row r="465" customFormat="false" ht="15" hidden="false" customHeight="false" outlineLevel="0" collapsed="false">
      <c r="A465" s="3" t="s">
        <v>653</v>
      </c>
      <c r="B465" s="3" t="s">
        <v>396</v>
      </c>
      <c r="C465" s="29" t="n">
        <f aca="false">a25_sh</f>
        <v>0.646843853820598</v>
      </c>
      <c r="D465" s="29" t="n">
        <f aca="false">a26_sh</f>
        <v>0.645863325123153</v>
      </c>
      <c r="E465" s="29" t="n">
        <f aca="false">a26_shend*(1+sh_g)</f>
        <v>0.64617</v>
      </c>
      <c r="F465" s="29" t="n">
        <f aca="false">E465*(1+sh_g)</f>
        <v>0.64617</v>
      </c>
      <c r="G465" s="29" t="n">
        <f aca="false">F465*(1+sh_g)</f>
        <v>0.64617</v>
      </c>
      <c r="H465" s="31" t="n">
        <f aca="false">G465*(1+sh_g)</f>
        <v>0.64617</v>
      </c>
      <c r="I465" s="31" t="n">
        <f aca="false">H465*(1+sh_g)</f>
        <v>0.64617</v>
      </c>
      <c r="J465" s="31" t="n">
        <f aca="false">I465*(1+sh_g)</f>
        <v>0.64617</v>
      </c>
    </row>
    <row r="466" customFormat="false" ht="17.15" hidden="false" customHeight="false" outlineLevel="0" collapsed="false">
      <c r="A466" s="0" t="s">
        <v>524</v>
      </c>
      <c r="B466" s="0" t="s">
        <v>402</v>
      </c>
      <c r="C466" s="18" t="n">
        <f aca="false">C464/C465</f>
        <v>3.01</v>
      </c>
      <c r="D466" s="18" t="n">
        <f aca="false">D464/D465</f>
        <v>17.820894339844</v>
      </c>
      <c r="E466" s="18" t="n">
        <f aca="false">E464/E465</f>
        <v>36.2963638050568</v>
      </c>
      <c r="F466" s="18" t="n">
        <f aca="false">F464/F465</f>
        <v>39.5693108488803</v>
      </c>
      <c r="G466" s="18" t="n">
        <f aca="false">G464/G465</f>
        <v>41.5898846004091</v>
      </c>
      <c r="H466" s="28" t="n">
        <f aca="false">H464/H465</f>
        <v>43.98886820599</v>
      </c>
      <c r="I466" s="28" t="n">
        <f aca="false">I464/I465</f>
        <v>46.0995257086747</v>
      </c>
      <c r="J466" s="28" t="n">
        <f aca="false">J464/J465</f>
        <v>47.8638307376808</v>
      </c>
    </row>
    <row r="467" customFormat="false" ht="17.15" hidden="false" customHeight="false" outlineLevel="0" collapsed="false">
      <c r="A467" s="0" t="s">
        <v>654</v>
      </c>
      <c r="B467" s="0" t="s">
        <v>40</v>
      </c>
      <c r="D467" s="20" t="n">
        <f aca="false">D466/C466-1</f>
        <v>4.92056290360265</v>
      </c>
      <c r="E467" s="20" t="n">
        <f aca="false">E466/D466-1</f>
        <v>1.03673076742873</v>
      </c>
      <c r="F467" s="20" t="n">
        <f aca="false">F466/E466-1</f>
        <v>0.0901728630835357</v>
      </c>
      <c r="G467" s="20" t="n">
        <f aca="false">G466/F466-1</f>
        <v>0.0510641633170093</v>
      </c>
      <c r="H467" s="26" t="n">
        <f aca="false">H466/G466-1</f>
        <v>0.0576819009869849</v>
      </c>
      <c r="I467" s="26" t="n">
        <f aca="false">I466/H466-1</f>
        <v>0.0479816278245895</v>
      </c>
      <c r="J467" s="26" t="n">
        <f aca="false">J466/I466-1</f>
        <v>0.0382716525145082</v>
      </c>
    </row>
    <row r="468" customFormat="false" ht="17.15" hidden="false" customHeight="false" outlineLevel="0" collapsed="false">
      <c r="A468" s="3" t="s">
        <v>655</v>
      </c>
      <c r="B468" s="0" t="s">
        <v>40</v>
      </c>
      <c r="C468" s="16" t="n">
        <f aca="false">C464/C447</f>
        <v>0.0484653872003585</v>
      </c>
      <c r="D468" s="16" t="n">
        <f aca="false">D464/D447</f>
        <v>0.194594602259759</v>
      </c>
      <c r="E468" s="16" t="n">
        <f aca="false">E464/E447</f>
        <v>0.281707705984028</v>
      </c>
      <c r="F468" s="16" t="n">
        <f aca="false">F464/F447</f>
        <v>0.277438236756093</v>
      </c>
      <c r="G468" s="16" t="n">
        <f aca="false">G464/G447</f>
        <v>0.267923409669626</v>
      </c>
      <c r="H468" s="27" t="n">
        <f aca="false">$G468+(fade_mA-$G468)*1/3</f>
        <v>0.262647685691213</v>
      </c>
      <c r="I468" s="27" t="n">
        <f aca="false">$G468+(fade_mA-$G468)*2/3</f>
        <v>0.257371961712799</v>
      </c>
      <c r="J468" s="27" t="n">
        <f aca="false">$G468+(fade_mA-$G468)*3/3</f>
        <v>0.252096237734386</v>
      </c>
    </row>
    <row r="469" customFormat="false" ht="17.15" hidden="false" customHeight="false" outlineLevel="0" collapsed="false">
      <c r="A469" s="3" t="s">
        <v>656</v>
      </c>
      <c r="B469" s="0" t="s">
        <v>40</v>
      </c>
      <c r="C469" s="20" t="n">
        <f aca="false">C452/C447</f>
        <v>0.0602892489980833</v>
      </c>
      <c r="D469" s="20" t="n">
        <f aca="false">D452/D447</f>
        <v>0.0676270839708595</v>
      </c>
      <c r="E469" s="20" t="n">
        <f aca="false">E452/E447</f>
        <v>0.168157736348168</v>
      </c>
      <c r="F469" s="20" t="n">
        <f aca="false">F452/F447</f>
        <v>0.195314075945863</v>
      </c>
      <c r="G469" s="20" t="n">
        <f aca="false">G452/G447</f>
        <v>0.119634765116473</v>
      </c>
      <c r="H469" s="26" t="n">
        <f aca="false">$G469+($G454*(1+tp_g)^(life/2)-$G469)*1/3</f>
        <v>0.114436410004416</v>
      </c>
      <c r="I469" s="26" t="n">
        <f aca="false">$G469+($G454*(1+tp_g)^(life/2)-$G469)*2/3</f>
        <v>0.109238054892358</v>
      </c>
      <c r="J469" s="26" t="n">
        <f aca="false">$G469+($G454*(1+tp_g)^(life/2)-$G469)*3/3</f>
        <v>0.104039699780301</v>
      </c>
      <c r="K469" s="7" t="s">
        <v>657</v>
      </c>
    </row>
    <row r="470" customFormat="false" ht="15" hidden="false" customHeight="false" outlineLevel="0" collapsed="false">
      <c r="A470" s="3" t="s">
        <v>658</v>
      </c>
      <c r="B470" s="0" t="s">
        <v>329</v>
      </c>
      <c r="E470" s="21" t="n">
        <f aca="false">E464+E453-E452</f>
        <v>16.1661213999135</v>
      </c>
      <c r="F470" s="21" t="n">
        <f aca="false">F464+F453-F452</f>
        <v>15.191939091221</v>
      </c>
      <c r="G470" s="21" t="n">
        <f aca="false">G464+G453-G452</f>
        <v>23.7946435447463</v>
      </c>
      <c r="H470" s="30" t="n">
        <f aca="false">H464+H453-H452</f>
        <v>25.6643159415512</v>
      </c>
      <c r="I470" s="30" t="n">
        <f aca="false">I464+I453-I452</f>
        <v>27.4380975229456</v>
      </c>
      <c r="J470" s="30" t="n">
        <f aca="false">J464+J453-J452</f>
        <v>29.074891453342</v>
      </c>
      <c r="K470" s="3" t="s">
        <v>659</v>
      </c>
    </row>
    <row r="471" customFormat="false" ht="15" hidden="false" customHeight="false" outlineLevel="0" collapsed="false">
      <c r="A471" s="3" t="s">
        <v>660</v>
      </c>
      <c r="B471" s="0" t="s">
        <v>402</v>
      </c>
      <c r="E471" s="18" t="n">
        <f aca="false">E470/E465</f>
        <v>25.0183719453294</v>
      </c>
      <c r="F471" s="18" t="n">
        <f aca="false">F470/F465</f>
        <v>23.5107465391786</v>
      </c>
      <c r="G471" s="18" t="n">
        <f aca="false">G470/G465</f>
        <v>36.8241229780806</v>
      </c>
      <c r="H471" s="28" t="n">
        <f aca="false">H470/H465</f>
        <v>39.7175912554764</v>
      </c>
      <c r="I471" s="28" t="n">
        <f aca="false">I470/I465</f>
        <v>42.4626607904199</v>
      </c>
      <c r="J471" s="28" t="n">
        <f aca="false">J470/J465</f>
        <v>44.9957309273752</v>
      </c>
    </row>
    <row r="474" customFormat="false" ht="17.15" hidden="false" customHeight="false" outlineLevel="0" collapsed="false">
      <c r="A474" s="1" t="s">
        <v>966</v>
      </c>
    </row>
    <row r="475" customFormat="false" ht="17.15" hidden="false" customHeight="false" outlineLevel="0" collapsed="false">
      <c r="A475" s="4" t="s">
        <v>17</v>
      </c>
      <c r="B475" s="4" t="s">
        <v>18</v>
      </c>
      <c r="C475" s="13" t="s">
        <v>494</v>
      </c>
      <c r="D475" s="13" t="s">
        <v>581</v>
      </c>
      <c r="E475" s="13" t="s">
        <v>582</v>
      </c>
      <c r="F475" s="13" t="s">
        <v>583</v>
      </c>
      <c r="G475" s="13" t="s">
        <v>584</v>
      </c>
      <c r="H475" s="13" t="s">
        <v>585</v>
      </c>
      <c r="I475" s="13" t="s">
        <v>586</v>
      </c>
      <c r="J475" s="13" t="s">
        <v>587</v>
      </c>
      <c r="K475" s="4" t="s">
        <v>549</v>
      </c>
    </row>
    <row r="476" customFormat="false" ht="17.15" hidden="false" customHeight="false" outlineLevel="0" collapsed="false">
      <c r="A476" s="5" t="s">
        <v>605</v>
      </c>
    </row>
    <row r="477" customFormat="false" ht="17.15" hidden="false" customHeight="false" outlineLevel="0" collapsed="false">
      <c r="A477" s="0" t="s">
        <v>606</v>
      </c>
      <c r="B477" s="3" t="s">
        <v>28</v>
      </c>
      <c r="D477" s="21" t="n">
        <f aca="false">(u_bw_26+u_rb_26+u_ru_26+u_hp_26)*1</f>
        <v>7.6</v>
      </c>
      <c r="E477" s="21" t="n">
        <f aca="false">(u_bw_27+u_rb_27+u_ru_27+u_hp_27)*1*1</f>
        <v>9.7</v>
      </c>
      <c r="F477" s="21" t="n">
        <f aca="false">(u_bw_28+u_rb_28+u_ru_28+u_hp_28)*um28_A*1</f>
        <v>9.5</v>
      </c>
      <c r="G477" s="21" t="n">
        <f aca="false">(u_bw_28*(1+g29_bw)+u_rb_28*(1+g29_rb)+u_ru_28*(1+g29_ru)+u_hp_28*(1+g29_hp))*um29_A*1</f>
        <v>10.6</v>
      </c>
      <c r="K477" s="7" t="s">
        <v>607</v>
      </c>
    </row>
    <row r="478" customFormat="false" ht="17.15" hidden="false" customHeight="false" outlineLevel="0" collapsed="false">
      <c r="A478" s="3" t="s">
        <v>608</v>
      </c>
      <c r="B478" s="3" t="s">
        <v>28</v>
      </c>
      <c r="D478" s="21" t="n">
        <f aca="false">(u_amd_26+u_tpu_26+u_trn_26+u_oth_26)*1</f>
        <v>7.6</v>
      </c>
      <c r="E478" s="21" t="n">
        <f aca="false">(u_amd_27+u_tpu_27+u_trn_27+u_oth_27)*1*1</f>
        <v>14</v>
      </c>
      <c r="F478" s="21" t="n">
        <f aca="false">(u_amd_28+u_tpu_28+u_trn_28+u_oth_28)*um28_A*1</f>
        <v>17</v>
      </c>
      <c r="G478" s="21" t="n">
        <f aca="false">(u_amd_28*(1+g29_amd)+u_tpu_28*(1+g29_tpu)+u_trn_28*(1+g29_trn)+u_oth_28*(1+g29_oth))*um29_A*1</f>
        <v>19.55</v>
      </c>
      <c r="K478" s="7" t="s">
        <v>609</v>
      </c>
    </row>
    <row r="479" customFormat="false" ht="17.15" hidden="false" customHeight="false" outlineLevel="0" collapsed="false">
      <c r="A479" s="3" t="s">
        <v>610</v>
      </c>
      <c r="B479" s="0" t="s">
        <v>150</v>
      </c>
      <c r="D479" s="19" t="n">
        <f aca="false">1</f>
        <v>1</v>
      </c>
      <c r="E479" s="19" t="n">
        <f aca="false">D479*(1+g_asp)</f>
        <v>1.18</v>
      </c>
      <c r="F479" s="19" t="n">
        <f aca="false">E479*(1+g_asp)</f>
        <v>1.3924</v>
      </c>
      <c r="G479" s="19" t="n">
        <f aca="false">F479*(1+g_asp)</f>
        <v>1.643032</v>
      </c>
      <c r="K479" s="7" t="s">
        <v>611</v>
      </c>
    </row>
    <row r="480" customFormat="false" ht="17.15" hidden="false" customHeight="false" outlineLevel="0" collapsed="false">
      <c r="A480" s="0" t="s">
        <v>612</v>
      </c>
      <c r="B480" s="0" t="s">
        <v>150</v>
      </c>
      <c r="D480" s="18" t="n">
        <f aca="false">1</f>
        <v>1</v>
      </c>
      <c r="E480" s="18" t="n">
        <f aca="false">ibpp_27</f>
        <v>1</v>
      </c>
      <c r="F480" s="18" t="n">
        <f aca="false">ibpp_28</f>
        <v>0.95</v>
      </c>
      <c r="G480" s="18" t="n">
        <f aca="false">ibpp_29</f>
        <v>0.9</v>
      </c>
      <c r="K480" s="7" t="s">
        <v>613</v>
      </c>
    </row>
    <row r="481" customFormat="false" ht="17.15" hidden="false" customHeight="false" outlineLevel="0" collapsed="false">
      <c r="A481" s="3" t="s">
        <v>614</v>
      </c>
      <c r="B481" s="0" t="s">
        <v>150</v>
      </c>
      <c r="D481" s="18" t="n">
        <f aca="false">1</f>
        <v>1</v>
      </c>
      <c r="E481" s="18" t="n">
        <f aca="false">1+carry</f>
        <v>1.15</v>
      </c>
      <c r="F481" s="18" t="n">
        <f aca="false">1+carry</f>
        <v>1.15</v>
      </c>
      <c r="G481" s="18" t="n">
        <f aca="false">1+carry</f>
        <v>1.15</v>
      </c>
      <c r="K481" s="7" t="s">
        <v>615</v>
      </c>
    </row>
    <row r="482" customFormat="false" ht="17.15" hidden="false" customHeight="false" outlineLevel="0" collapsed="false">
      <c r="A482" s="3" t="s">
        <v>616</v>
      </c>
      <c r="B482" s="0" t="s">
        <v>617</v>
      </c>
      <c r="D482" s="23" t="n">
        <f aca="false">v26*D479*D480</f>
        <v>215.308596</v>
      </c>
      <c r="E482" s="23" t="n">
        <f aca="false">v26*E479*E480</f>
        <v>254.06414328</v>
      </c>
      <c r="F482" s="23" t="n">
        <f aca="false">v26*F479*F480</f>
        <v>284.80590461688</v>
      </c>
      <c r="G482" s="23" t="n">
        <f aca="false">v26*G479*G480</f>
        <v>318.383021792765</v>
      </c>
      <c r="K482" s="7" t="s">
        <v>618</v>
      </c>
    </row>
    <row r="483" customFormat="false" ht="17.15" hidden="false" customHeight="false" outlineLevel="0" collapsed="false">
      <c r="A483" s="3" t="s">
        <v>619</v>
      </c>
      <c r="B483" s="0" t="s">
        <v>40</v>
      </c>
      <c r="D483" s="20" t="n">
        <f aca="false">sh_nv_26</f>
        <v>0.02</v>
      </c>
      <c r="E483" s="20" t="n">
        <f aca="false">sh_nv_27</f>
        <v>0.03</v>
      </c>
      <c r="F483" s="20" t="n">
        <f aca="false">sh_nv_28</f>
        <v>0.04</v>
      </c>
      <c r="G483" s="20" t="n">
        <f aca="false">sh_nv_29</f>
        <v>0.04</v>
      </c>
    </row>
    <row r="484" customFormat="false" ht="17.15" hidden="false" customHeight="false" outlineLevel="0" collapsed="false">
      <c r="A484" s="3" t="s">
        <v>620</v>
      </c>
      <c r="B484" s="0" t="s">
        <v>40</v>
      </c>
      <c r="D484" s="20" t="n">
        <f aca="false">sh_ot_26</f>
        <v>0.05</v>
      </c>
      <c r="E484" s="20" t="n">
        <f aca="false">sh_ot_27</f>
        <v>0.06</v>
      </c>
      <c r="F484" s="20" t="n">
        <f aca="false">sh_ot_28</f>
        <v>0.07</v>
      </c>
      <c r="G484" s="20" t="n">
        <f aca="false">sh_ot_29</f>
        <v>0.07</v>
      </c>
    </row>
    <row r="485" customFormat="false" ht="17.15" hidden="false" customHeight="false" outlineLevel="0" collapsed="false">
      <c r="A485" s="3" t="s">
        <v>621</v>
      </c>
      <c r="B485" s="0" t="s">
        <v>571</v>
      </c>
      <c r="D485" s="22" t="n">
        <f aca="false">(D477*D482*D483+D478*D482*v_ot*D484)*D481</f>
        <v>98.180719776</v>
      </c>
      <c r="E485" s="22" t="n">
        <f aca="false">(E477*E482*E483+E478*E482*v_ot*E484)*E481</f>
        <v>281.363335475436</v>
      </c>
      <c r="F485" s="22" t="n">
        <f aca="false">(F477*F482*F483+F478*F482*v_ot*F484)*F481</f>
        <v>436.265684692137</v>
      </c>
      <c r="G485" s="22" t="n">
        <f aca="false">(G477*G482*G483+G478*G482*v_ot*G484)*G481</f>
        <v>556.094153523679</v>
      </c>
    </row>
    <row r="486" customFormat="false" ht="15" hidden="false" customHeight="false" outlineLevel="0" collapsed="false">
      <c r="A486" s="3" t="s">
        <v>622</v>
      </c>
      <c r="B486" s="0" t="s">
        <v>329</v>
      </c>
      <c r="D486" s="21" t="n">
        <f aca="false">D485*fx/1000</f>
        <v>3.19087339272</v>
      </c>
      <c r="E486" s="21" t="n">
        <f aca="false">E485*fx/1000</f>
        <v>9.14430840295167</v>
      </c>
      <c r="F486" s="21" t="n">
        <f aca="false">F485*fx/1000</f>
        <v>14.1786347524944</v>
      </c>
      <c r="G486" s="21" t="n">
        <f aca="false">G485*fx/1000</f>
        <v>18.0730599895196</v>
      </c>
    </row>
    <row r="487" customFormat="false" ht="17.15" hidden="false" customHeight="false" outlineLevel="0" collapsed="false">
      <c r="A487" s="5" t="s">
        <v>623</v>
      </c>
    </row>
    <row r="488" customFormat="false" ht="17.15" hidden="false" customHeight="false" outlineLevel="0" collapsed="false">
      <c r="A488" s="0" t="s">
        <v>624</v>
      </c>
      <c r="B488" s="0" t="s">
        <v>329</v>
      </c>
      <c r="D488" s="21" t="n">
        <f aca="false">a26_abf*ai_abf</f>
        <v>22.2987583</v>
      </c>
      <c r="K488" s="3" t="s">
        <v>625</v>
      </c>
    </row>
    <row r="489" customFormat="false" ht="17.15" hidden="false" customHeight="false" outlineLevel="0" collapsed="false">
      <c r="A489" s="3" t="s">
        <v>626</v>
      </c>
      <c r="B489" s="0" t="s">
        <v>329</v>
      </c>
      <c r="D489" s="21" t="n">
        <f aca="false">D488-D486</f>
        <v>19.10788490728</v>
      </c>
      <c r="E489" s="21" t="n">
        <f aca="false">$D489*(swm_27/swm_26)^el_o*1*1*E480*E481</f>
        <v>30.7354094978265</v>
      </c>
      <c r="F489" s="21" t="n">
        <f aca="false">$D489*(swm_28/swm_26)^el_o*um28_A*1*F480*F481</f>
        <v>31.4104002135205</v>
      </c>
      <c r="G489" s="21" t="n">
        <f aca="false">$D489*(swm_29/swm_26)^el_o*um29_A*1*G480*G481</f>
        <v>31.7452412889375</v>
      </c>
      <c r="K489" s="7" t="s">
        <v>627</v>
      </c>
    </row>
    <row r="490" customFormat="false" ht="17.15" hidden="false" customHeight="false" outlineLevel="0" collapsed="false">
      <c r="A490" s="3" t="s">
        <v>628</v>
      </c>
      <c r="B490" s="0" t="s">
        <v>329</v>
      </c>
      <c r="D490" s="21" t="n">
        <f aca="false">a26_abf-D488</f>
        <v>12.0070237</v>
      </c>
      <c r="E490" s="21" t="n">
        <f aca="false">D490*(1+g_nai)</f>
        <v>12.367234411</v>
      </c>
      <c r="F490" s="21" t="n">
        <f aca="false">E490*(1+g_nai)</f>
        <v>12.73825144333</v>
      </c>
      <c r="G490" s="21" t="n">
        <f aca="false">F490*(1+g_nai)</f>
        <v>13.1203989866299</v>
      </c>
    </row>
    <row r="491" customFormat="false" ht="17.15" hidden="false" customHeight="false" outlineLevel="0" collapsed="false">
      <c r="A491" s="0" t="s">
        <v>629</v>
      </c>
      <c r="B491" s="0" t="s">
        <v>329</v>
      </c>
      <c r="D491" s="21" t="n">
        <f aca="false">D486+D489+D490</f>
        <v>34.305782</v>
      </c>
      <c r="E491" s="21" t="n">
        <f aca="false">E486+E489+E490</f>
        <v>52.2469523117781</v>
      </c>
      <c r="F491" s="21" t="n">
        <f aca="false">F486+F489+F490</f>
        <v>58.3272864093449</v>
      </c>
      <c r="G491" s="21" t="n">
        <f aca="false">G486+G489+G490</f>
        <v>62.9387002650869</v>
      </c>
    </row>
    <row r="492" customFormat="false" ht="17.15" hidden="false" customHeight="false" outlineLevel="0" collapsed="false">
      <c r="A492" s="0" t="s">
        <v>630</v>
      </c>
      <c r="B492" s="0" t="s">
        <v>329</v>
      </c>
      <c r="D492" s="21" t="n">
        <f aca="false">a26_abf</f>
        <v>34.305782</v>
      </c>
      <c r="E492" s="21" t="n">
        <f aca="false">$D491*cap_27*(1+g_mix)^1*E480*E481</f>
        <v>49.709078118</v>
      </c>
      <c r="F492" s="21" t="n">
        <f aca="false">$D491*cap_28*(1+g_mix)^2*F480*F481</f>
        <v>55.7829061005431</v>
      </c>
      <c r="G492" s="21" t="n">
        <f aca="false">$D491*cap_29*(1+g_mix)^3*G480*G481</f>
        <v>65.765110350114</v>
      </c>
      <c r="K492" s="7" t="s">
        <v>631</v>
      </c>
    </row>
    <row r="493" customFormat="false" ht="17.15" hidden="false" customHeight="false" outlineLevel="0" collapsed="false">
      <c r="A493" s="0" t="s">
        <v>632</v>
      </c>
      <c r="B493" s="0" t="s">
        <v>329</v>
      </c>
      <c r="D493" s="21" t="n">
        <f aca="false">a26_abf</f>
        <v>34.305782</v>
      </c>
      <c r="E493" s="21" t="n">
        <f aca="false">MIN(E491,E492)</f>
        <v>49.709078118</v>
      </c>
      <c r="F493" s="21" t="n">
        <f aca="false">MIN(F491,F492)</f>
        <v>55.7829061005431</v>
      </c>
      <c r="G493" s="21" t="n">
        <f aca="false">MIN(G491,G492)</f>
        <v>62.9387002650869</v>
      </c>
    </row>
    <row r="494" customFormat="false" ht="17.15" hidden="false" customHeight="false" outlineLevel="0" collapsed="false">
      <c r="A494" s="3" t="s">
        <v>633</v>
      </c>
      <c r="B494" s="0" t="s">
        <v>40</v>
      </c>
      <c r="D494" s="20" t="n">
        <f aca="false">D493/D491</f>
        <v>1</v>
      </c>
      <c r="E494" s="20" t="n">
        <f aca="false">E493/E491</f>
        <v>0.951425411789885</v>
      </c>
      <c r="F494" s="20" t="n">
        <f aca="false">F493/F491</f>
        <v>0.956377529876066</v>
      </c>
      <c r="G494" s="20" t="n">
        <f aca="false">G493/G491</f>
        <v>1</v>
      </c>
    </row>
    <row r="495" customFormat="false" ht="17.15" hidden="false" customHeight="false" outlineLevel="0" collapsed="false">
      <c r="A495" s="0" t="s">
        <v>634</v>
      </c>
      <c r="B495" s="0" t="s">
        <v>329</v>
      </c>
      <c r="D495" s="21" t="n">
        <f aca="false">(D486+D489)*D494</f>
        <v>22.2987583</v>
      </c>
      <c r="E495" s="21" t="n">
        <f aca="false">(E486+E489)*E494</f>
        <v>37.9425770258123</v>
      </c>
      <c r="F495" s="21" t="n">
        <f aca="false">(F486+F489)*F494</f>
        <v>43.6003286502309</v>
      </c>
      <c r="G495" s="21" t="n">
        <f aca="false">(G486+G489)*G494</f>
        <v>49.818301278457</v>
      </c>
    </row>
    <row r="496" customFormat="false" ht="17.15" hidden="false" customHeight="false" outlineLevel="0" collapsed="false">
      <c r="A496" s="3" t="s">
        <v>635</v>
      </c>
      <c r="B496" s="0" t="s">
        <v>40</v>
      </c>
      <c r="D496" s="20" t="n">
        <f aca="false">D486/(D486+D489)</f>
        <v>0.14309646078903</v>
      </c>
      <c r="E496" s="20" t="n">
        <f aca="false">E486/(E486+E489)</f>
        <v>0.229297218844501</v>
      </c>
      <c r="F496" s="20" t="n">
        <f aca="false">F486/(F486+F489)</f>
        <v>0.311009758444419</v>
      </c>
      <c r="G496" s="20" t="n">
        <f aca="false">G486/(G486+G489)</f>
        <v>0.362779531331288</v>
      </c>
    </row>
    <row r="497" customFormat="false" ht="17.15" hidden="false" customHeight="false" outlineLevel="0" collapsed="false">
      <c r="A497" s="5" t="s">
        <v>636</v>
      </c>
    </row>
    <row r="498" customFormat="false" ht="17.15" hidden="false" customHeight="false" outlineLevel="0" collapsed="false">
      <c r="A498" s="0" t="s">
        <v>637</v>
      </c>
      <c r="B498" s="0" t="s">
        <v>329</v>
      </c>
      <c r="D498" s="21" t="n">
        <f aca="false">a26_bt</f>
        <v>18.927328</v>
      </c>
      <c r="E498" s="21" t="n">
        <f aca="false">D498*(1+g_bt27_A)</f>
        <v>24.6055264</v>
      </c>
      <c r="F498" s="21" t="n">
        <f aca="false">E498*(1+g_bt28_A)</f>
        <v>27.06607904</v>
      </c>
      <c r="G498" s="21" t="n">
        <f aca="false">F498*(1+g_bt29_A)</f>
        <v>28.419382992</v>
      </c>
      <c r="K498" s="7" t="s">
        <v>638</v>
      </c>
    </row>
    <row r="499" customFormat="false" ht="17.15" hidden="false" customHeight="false" outlineLevel="0" collapsed="false">
      <c r="A499" s="0" t="s">
        <v>536</v>
      </c>
      <c r="B499" s="0" t="s">
        <v>329</v>
      </c>
      <c r="D499" s="21" t="n">
        <f aca="false">a26_pcb</f>
        <v>5.91479</v>
      </c>
      <c r="E499" s="21" t="n">
        <f aca="false">D499*(1+g_pcb)</f>
        <v>5.91479</v>
      </c>
      <c r="F499" s="21" t="n">
        <f aca="false">E499*(1+g_pcb)</f>
        <v>5.91479</v>
      </c>
      <c r="G499" s="21" t="n">
        <f aca="false">F499*(1+g_pcb)</f>
        <v>5.91479</v>
      </c>
    </row>
    <row r="500" customFormat="false" ht="17.15" hidden="false" customHeight="false" outlineLevel="0" collapsed="false">
      <c r="A500" s="3" t="s">
        <v>501</v>
      </c>
      <c r="B500" s="0" t="s">
        <v>329</v>
      </c>
      <c r="C500" s="23" t="n">
        <f aca="false">a25_rev</f>
        <v>40.173</v>
      </c>
      <c r="D500" s="23" t="n">
        <f aca="false">D493+D498+D499</f>
        <v>59.1479</v>
      </c>
      <c r="E500" s="23" t="n">
        <f aca="false">E493+E498+E499</f>
        <v>80.229394518</v>
      </c>
      <c r="F500" s="23" t="n">
        <f aca="false">F493+F498+F499</f>
        <v>88.7637751405431</v>
      </c>
      <c r="G500" s="23" t="n">
        <f aca="false">G493+G498+G499</f>
        <v>97.2728732570869</v>
      </c>
      <c r="H500" s="25" t="n">
        <f aca="false">G500*(1+H501)</f>
        <v>105.434863846709</v>
      </c>
      <c r="I500" s="25" t="n">
        <f aca="false">H500*(1+I501)</f>
        <v>113.021333979572</v>
      </c>
      <c r="J500" s="25" t="n">
        <f aca="false">I500*(1+J501)</f>
        <v>119.802614018346</v>
      </c>
      <c r="K500" s="7" t="s">
        <v>639</v>
      </c>
    </row>
    <row r="501" customFormat="false" ht="15" hidden="false" customHeight="false" outlineLevel="0" collapsed="false">
      <c r="A501" s="3" t="s">
        <v>640</v>
      </c>
      <c r="B501" s="0" t="s">
        <v>40</v>
      </c>
      <c r="D501" s="20" t="n">
        <f aca="false">D500/C500-1</f>
        <v>0.472329674159261</v>
      </c>
      <c r="E501" s="20" t="n">
        <f aca="false">E500/D500-1</f>
        <v>0.35642</v>
      </c>
      <c r="F501" s="20" t="n">
        <f aca="false">F500/E500-1</f>
        <v>0.106374735517023</v>
      </c>
      <c r="G501" s="20" t="n">
        <f aca="false">G500/F500-1</f>
        <v>0.0958622828183122</v>
      </c>
      <c r="H501" s="26" t="n">
        <f aca="false">$G501+(fade_gA-$G501)*1/3</f>
        <v>0.0839081885455415</v>
      </c>
      <c r="I501" s="26" t="n">
        <f aca="false">$G501+(fade_gA-$G501)*2/3</f>
        <v>0.0719540942727707</v>
      </c>
      <c r="J501" s="26" t="n">
        <f aca="false">$G501+(fade_gA-$G501)*3/3</f>
        <v>0.06</v>
      </c>
    </row>
    <row r="502" customFormat="false" ht="17.15" hidden="false" customHeight="false" outlineLevel="0" collapsed="false">
      <c r="A502" s="0" t="s">
        <v>641</v>
      </c>
      <c r="B502" s="0" t="s">
        <v>40</v>
      </c>
      <c r="D502" s="20" t="n">
        <f aca="false">D493/D500</f>
        <v>0.58</v>
      </c>
      <c r="E502" s="20" t="n">
        <f aca="false">E493/E500</f>
        <v>0.619586853629407</v>
      </c>
      <c r="F502" s="20" t="n">
        <f aca="false">F493/F500</f>
        <v>0.62844224473576</v>
      </c>
      <c r="G502" s="20" t="n">
        <f aca="false">G493/G500</f>
        <v>0.647032396161912</v>
      </c>
    </row>
    <row r="503" customFormat="false" ht="17.15" hidden="false" customHeight="false" outlineLevel="0" collapsed="false">
      <c r="A503" s="0" t="s">
        <v>642</v>
      </c>
      <c r="B503" s="0" t="s">
        <v>40</v>
      </c>
      <c r="D503" s="20" t="n">
        <f aca="false">D495/D500</f>
        <v>0.377</v>
      </c>
      <c r="E503" s="20" t="n">
        <f aca="false">E495/E500</f>
        <v>0.472926129553422</v>
      </c>
      <c r="F503" s="20" t="n">
        <f aca="false">F495/F500</f>
        <v>0.491195068947855</v>
      </c>
      <c r="G503" s="20" t="n">
        <f aca="false">G495/G500</f>
        <v>0.512149992185282</v>
      </c>
      <c r="K503" s="3" t="s">
        <v>643</v>
      </c>
    </row>
    <row r="504" customFormat="false" ht="17.15" hidden="false" customHeight="false" outlineLevel="0" collapsed="false">
      <c r="A504" s="5" t="s">
        <v>644</v>
      </c>
    </row>
    <row r="505" customFormat="false" ht="15" hidden="false" customHeight="false" outlineLevel="0" collapsed="false">
      <c r="A505" s="3" t="s">
        <v>645</v>
      </c>
      <c r="B505" s="0" t="s">
        <v>329</v>
      </c>
      <c r="C505" s="23" t="n">
        <f aca="false">a25_cx</f>
        <v>2.422</v>
      </c>
      <c r="D505" s="23" t="n">
        <f aca="false">capex26</f>
        <v>4</v>
      </c>
      <c r="E505" s="23" t="n">
        <f aca="false">cx27</f>
        <v>14</v>
      </c>
      <c r="F505" s="23" t="n">
        <f aca="false">cx28</f>
        <v>18</v>
      </c>
      <c r="G505" s="23" t="n">
        <f aca="false">cx29</f>
        <v>12</v>
      </c>
      <c r="H505" s="25" t="n">
        <f aca="false">H500*H522</f>
        <v>12.4417241176456</v>
      </c>
      <c r="I505" s="25" t="n">
        <f aca="false">I500*I522</f>
        <v>12.7311163691189</v>
      </c>
      <c r="J505" s="25" t="n">
        <f aca="false">J500*J522</f>
        <v>12.8527921683461</v>
      </c>
    </row>
    <row r="506" customFormat="false" ht="17.15" hidden="false" customHeight="false" outlineLevel="0" collapsed="false">
      <c r="A506" s="3" t="s">
        <v>646</v>
      </c>
      <c r="B506" s="0" t="s">
        <v>329</v>
      </c>
      <c r="C506" s="23" t="n">
        <f aca="false">a25_da</f>
        <v>6.894</v>
      </c>
      <c r="D506" s="23" t="n">
        <f aca="false">da26</f>
        <v>7.1</v>
      </c>
      <c r="E506" s="23" t="n">
        <f aca="false">D506*(1-1/life)+D505/life</f>
        <v>6.7125</v>
      </c>
      <c r="F506" s="23" t="n">
        <f aca="false">E506*(1-1/life)+E505/life</f>
        <v>7.6234375</v>
      </c>
      <c r="G506" s="23" t="n">
        <f aca="false">F506*(1-1/life)+F505/life</f>
        <v>8.9205078125</v>
      </c>
      <c r="H506" s="25" t="n">
        <f aca="false">H500*H507</f>
        <v>9.66901146395322</v>
      </c>
      <c r="I506" s="25" t="n">
        <f aca="false">I500*I507</f>
        <v>10.364736426355</v>
      </c>
      <c r="J506" s="25" t="n">
        <f aca="false">J500*J507</f>
        <v>10.9866206119363</v>
      </c>
      <c r="K506" s="3" t="s">
        <v>647</v>
      </c>
    </row>
    <row r="507" customFormat="false" ht="17.15" hidden="false" customHeight="false" outlineLevel="0" collapsed="false">
      <c r="A507" s="3" t="s">
        <v>648</v>
      </c>
      <c r="B507" s="0" t="s">
        <v>40</v>
      </c>
      <c r="C507" s="20" t="n">
        <f aca="false">C506/C500</f>
        <v>0.171607796281084</v>
      </c>
      <c r="D507" s="20" t="n">
        <f aca="false">D506/D500</f>
        <v>0.120038074048276</v>
      </c>
      <c r="E507" s="20" t="n">
        <f aca="false">E506/E500</f>
        <v>0.0836663424961285</v>
      </c>
      <c r="F507" s="20" t="n">
        <f aca="false">F506/F500</f>
        <v>0.0858845569369883</v>
      </c>
      <c r="G507" s="20" t="n">
        <f aca="false">G506/G500</f>
        <v>0.0917060174517882</v>
      </c>
      <c r="H507" s="26" t="n">
        <f aca="false">$G507</f>
        <v>0.0917060174517882</v>
      </c>
      <c r="I507" s="26" t="n">
        <f aca="false">$G507</f>
        <v>0.0917060174517882</v>
      </c>
      <c r="J507" s="26" t="n">
        <f aca="false">$G507</f>
        <v>0.0917060174517882</v>
      </c>
    </row>
    <row r="508" customFormat="false" ht="17.15" hidden="false" customHeight="false" outlineLevel="0" collapsed="false">
      <c r="A508" s="3" t="s">
        <v>649</v>
      </c>
      <c r="B508" s="0" t="s">
        <v>329</v>
      </c>
      <c r="E508" s="21" t="n">
        <f aca="false">E495*(1-1/(E480*E481))</f>
        <v>4.94903178597551</v>
      </c>
      <c r="F508" s="21" t="n">
        <f aca="false">F495*(1-1/(F480*F481))</f>
        <v>3.69156100699895</v>
      </c>
      <c r="G508" s="21" t="n">
        <f aca="false">G495*(1-1/(G480*G481))</f>
        <v>1.68467685482705</v>
      </c>
      <c r="K508" s="7" t="s">
        <v>650</v>
      </c>
    </row>
    <row r="509" customFormat="false" ht="17.15" hidden="false" customHeight="false" outlineLevel="0" collapsed="false">
      <c r="A509" s="3" t="s">
        <v>651</v>
      </c>
      <c r="B509" s="0" t="s">
        <v>329</v>
      </c>
      <c r="C509" s="21" t="n">
        <f aca="false">a25_gp</f>
        <v>3.647</v>
      </c>
      <c r="D509" s="21" t="n">
        <f aca="false">a26_gp</f>
        <v>15.9001925</v>
      </c>
      <c r="E509" s="21" t="n">
        <f aca="false">$D509+ft_abf_lo*(E493-E508-$D493)+ft_oth*((E500-E493)-($D500-$D493))+E508-(E506-$D506)</f>
        <v>27.6897093787853</v>
      </c>
      <c r="F509" s="21" t="n">
        <f aca="false">$D509+ft_abf_lo*(F493-F508-$D493)+ft_oth*((F500-F493)-($D500-$D493))+F508-(F506-$D506)</f>
        <v>29.4380416604166</v>
      </c>
      <c r="G509" s="21" t="n">
        <f aca="false">$D509+ft_abf_lo*(G493-G508-$D493)+ft_oth*((G500-G493)-($D500-$D493))+G508-(G506-$D506)</f>
        <v>30.340480103231</v>
      </c>
      <c r="K509" s="3" t="s">
        <v>652</v>
      </c>
    </row>
    <row r="510" customFormat="false" ht="15" hidden="false" customHeight="false" outlineLevel="0" collapsed="false">
      <c r="A510" s="3" t="s">
        <v>508</v>
      </c>
      <c r="B510" s="0" t="s">
        <v>40</v>
      </c>
      <c r="C510" s="16" t="n">
        <f aca="false">C509/C500</f>
        <v>0.0907823662659</v>
      </c>
      <c r="D510" s="16" t="n">
        <f aca="false">D509/D500</f>
        <v>0.268820913337583</v>
      </c>
      <c r="E510" s="16" t="n">
        <f aca="false">E509/E500</f>
        <v>0.345131725661633</v>
      </c>
      <c r="F510" s="16" t="n">
        <f aca="false">F509/F500</f>
        <v>0.331644768530926</v>
      </c>
      <c r="G510" s="16" t="n">
        <f aca="false">G509/G500</f>
        <v>0.311911009588899</v>
      </c>
    </row>
    <row r="511" customFormat="false" ht="15" hidden="false" customHeight="false" outlineLevel="0" collapsed="false">
      <c r="A511" s="3" t="s">
        <v>510</v>
      </c>
      <c r="B511" s="0" t="s">
        <v>329</v>
      </c>
      <c r="C511" s="21" t="n">
        <f aca="false">a25_opx</f>
        <v>1.665</v>
      </c>
      <c r="D511" s="21" t="n">
        <f aca="false">a26_opx</f>
        <v>1.9</v>
      </c>
      <c r="E511" s="21" t="n">
        <f aca="false">D511*(1+phi*E501)</f>
        <v>2.3063188</v>
      </c>
      <c r="F511" s="21" t="n">
        <f aca="false">E511*(1+phi*F501)</f>
        <v>2.45351923142076</v>
      </c>
      <c r="G511" s="21" t="n">
        <f aca="false">F511*(1+phi*G501)</f>
        <v>2.59463920409834</v>
      </c>
    </row>
    <row r="512" customFormat="false" ht="15" hidden="false" customHeight="false" outlineLevel="0" collapsed="false">
      <c r="A512" s="3" t="s">
        <v>513</v>
      </c>
      <c r="B512" s="0" t="s">
        <v>329</v>
      </c>
      <c r="C512" s="21" t="n">
        <f aca="false">C509-C511</f>
        <v>1.982</v>
      </c>
      <c r="D512" s="21" t="n">
        <f aca="false">D509-D511</f>
        <v>14.0001925</v>
      </c>
      <c r="E512" s="21" t="n">
        <f aca="false">E509-E511</f>
        <v>25.3833905787853</v>
      </c>
      <c r="F512" s="21" t="n">
        <f aca="false">F509-F511</f>
        <v>26.9845224289959</v>
      </c>
      <c r="G512" s="21" t="n">
        <f aca="false">G509-G511</f>
        <v>27.7458408991327</v>
      </c>
    </row>
    <row r="513" customFormat="false" ht="15" hidden="false" customHeight="false" outlineLevel="0" collapsed="false">
      <c r="A513" s="3" t="s">
        <v>594</v>
      </c>
      <c r="B513" s="0" t="s">
        <v>40</v>
      </c>
      <c r="C513" s="16" t="n">
        <f aca="false">C512/C500</f>
        <v>0.0493366191222961</v>
      </c>
      <c r="D513" s="16" t="n">
        <f aca="false">D512/D500</f>
        <v>0.236698048451424</v>
      </c>
      <c r="E513" s="16" t="n">
        <f aca="false">E512/E500</f>
        <v>0.316385169441736</v>
      </c>
      <c r="F513" s="16" t="n">
        <f aca="false">F512/F500</f>
        <v>0.304003771654261</v>
      </c>
      <c r="G513" s="16" t="n">
        <f aca="false">G512/G500</f>
        <v>0.285237188643559</v>
      </c>
    </row>
    <row r="514" customFormat="false" ht="15" hidden="false" customHeight="false" outlineLevel="0" collapsed="false">
      <c r="A514" s="3" t="s">
        <v>516</v>
      </c>
      <c r="B514" s="0" t="s">
        <v>329</v>
      </c>
      <c r="C514" s="21" t="n">
        <f aca="false">a25_nonop</f>
        <v>0.364</v>
      </c>
      <c r="D514" s="21" t="n">
        <f aca="false">a26_nonop</f>
        <v>0.623</v>
      </c>
      <c r="E514" s="21" t="n">
        <f aca="false">nonop27</f>
        <v>0.6</v>
      </c>
      <c r="F514" s="21" t="n">
        <f aca="false">nonop28</f>
        <v>0.6</v>
      </c>
      <c r="G514" s="21" t="n">
        <f aca="false">nonop29</f>
        <v>0.6</v>
      </c>
    </row>
    <row r="515" customFormat="false" ht="15" hidden="false" customHeight="false" outlineLevel="0" collapsed="false">
      <c r="A515" s="3" t="s">
        <v>518</v>
      </c>
      <c r="B515" s="0" t="s">
        <v>329</v>
      </c>
      <c r="C515" s="21" t="n">
        <f aca="false">C512+C514</f>
        <v>2.346</v>
      </c>
      <c r="D515" s="21" t="n">
        <f aca="false">D512+D514</f>
        <v>14.6231925</v>
      </c>
      <c r="E515" s="21" t="n">
        <f aca="false">E512+E514</f>
        <v>25.9833905787853</v>
      </c>
      <c r="F515" s="21" t="n">
        <f aca="false">F512+F514</f>
        <v>27.5845224289959</v>
      </c>
      <c r="G515" s="21" t="n">
        <f aca="false">G512+G514</f>
        <v>28.3458408991327</v>
      </c>
    </row>
    <row r="516" customFormat="false" ht="15" hidden="false" customHeight="false" outlineLevel="0" collapsed="false">
      <c r="A516" s="3" t="s">
        <v>521</v>
      </c>
      <c r="B516" s="0" t="s">
        <v>329</v>
      </c>
      <c r="E516" s="21" t="n">
        <f aca="false">E515*tax</f>
        <v>5.45651202154492</v>
      </c>
      <c r="F516" s="21" t="n">
        <f aca="false">F515*tax</f>
        <v>5.79274971008913</v>
      </c>
      <c r="G516" s="21" t="n">
        <f aca="false">G515*tax</f>
        <v>5.95262658881786</v>
      </c>
    </row>
    <row r="517" customFormat="false" ht="15" hidden="false" customHeight="false" outlineLevel="0" collapsed="false">
      <c r="A517" s="3" t="s">
        <v>519</v>
      </c>
      <c r="B517" s="0" t="s">
        <v>329</v>
      </c>
      <c r="C517" s="21" t="n">
        <f aca="false">a25_ni</f>
        <v>1.947</v>
      </c>
      <c r="D517" s="21" t="n">
        <f aca="false">a26_ni</f>
        <v>11.509862075</v>
      </c>
      <c r="E517" s="21" t="n">
        <f aca="false">E515-E516</f>
        <v>20.5268785572404</v>
      </c>
      <c r="F517" s="21" t="n">
        <f aca="false">F515-F516</f>
        <v>21.7917727189067</v>
      </c>
      <c r="G517" s="21" t="n">
        <f aca="false">G515-G516</f>
        <v>22.3932143103148</v>
      </c>
      <c r="H517" s="30" t="n">
        <f aca="false">H500*H521</f>
        <v>25.0413697398011</v>
      </c>
      <c r="I517" s="30" t="n">
        <f aca="false">I500*I521</f>
        <v>27.6677259493748</v>
      </c>
      <c r="J517" s="30" t="n">
        <f aca="false">J500*J521</f>
        <v>30.2017882647699</v>
      </c>
    </row>
    <row r="518" customFormat="false" ht="15" hidden="false" customHeight="false" outlineLevel="0" collapsed="false">
      <c r="A518" s="3" t="s">
        <v>653</v>
      </c>
      <c r="B518" s="3" t="s">
        <v>396</v>
      </c>
      <c r="C518" s="29" t="n">
        <f aca="false">a25_sh</f>
        <v>0.646843853820598</v>
      </c>
      <c r="D518" s="29" t="n">
        <f aca="false">a26_sh</f>
        <v>0.645863325123153</v>
      </c>
      <c r="E518" s="29" t="n">
        <f aca="false">a26_shend*(1+sh_g)</f>
        <v>0.64617</v>
      </c>
      <c r="F518" s="29" t="n">
        <f aca="false">E518*(1+sh_g)</f>
        <v>0.64617</v>
      </c>
      <c r="G518" s="29" t="n">
        <f aca="false">F518*(1+sh_g)</f>
        <v>0.64617</v>
      </c>
      <c r="H518" s="31" t="n">
        <f aca="false">G518*(1+sh_g)</f>
        <v>0.64617</v>
      </c>
      <c r="I518" s="31" t="n">
        <f aca="false">H518*(1+sh_g)</f>
        <v>0.64617</v>
      </c>
      <c r="J518" s="31" t="n">
        <f aca="false">I518*(1+sh_g)</f>
        <v>0.64617</v>
      </c>
    </row>
    <row r="519" customFormat="false" ht="17.15" hidden="false" customHeight="false" outlineLevel="0" collapsed="false">
      <c r="A519" s="0" t="s">
        <v>524</v>
      </c>
      <c r="B519" s="0" t="s">
        <v>402</v>
      </c>
      <c r="C519" s="18" t="n">
        <f aca="false">C517/C518</f>
        <v>3.01</v>
      </c>
      <c r="D519" s="18" t="n">
        <f aca="false">D517/D518</f>
        <v>17.820894339844</v>
      </c>
      <c r="E519" s="18" t="n">
        <f aca="false">E517/E518</f>
        <v>31.7669940684965</v>
      </c>
      <c r="F519" s="18" t="n">
        <f aca="false">F517/F518</f>
        <v>33.7245194281795</v>
      </c>
      <c r="G519" s="18" t="n">
        <f aca="false">G517/G518</f>
        <v>34.6552986215931</v>
      </c>
      <c r="H519" s="28" t="n">
        <f aca="false">H517/H518</f>
        <v>38.7535319494887</v>
      </c>
      <c r="I519" s="28" t="n">
        <f aca="false">I517/I518</f>
        <v>42.8180292328255</v>
      </c>
      <c r="J519" s="28" t="n">
        <f aca="false">J517/J518</f>
        <v>46.7396942983578</v>
      </c>
    </row>
    <row r="520" customFormat="false" ht="17.15" hidden="false" customHeight="false" outlineLevel="0" collapsed="false">
      <c r="A520" s="0" t="s">
        <v>654</v>
      </c>
      <c r="B520" s="0" t="s">
        <v>40</v>
      </c>
      <c r="D520" s="20" t="n">
        <f aca="false">D519/C519-1</f>
        <v>4.92056290360265</v>
      </c>
      <c r="E520" s="20" t="n">
        <f aca="false">E519/D519-1</f>
        <v>0.782570137205283</v>
      </c>
      <c r="F520" s="20" t="n">
        <f aca="false">F519/E519-1</f>
        <v>0.0616213594355861</v>
      </c>
      <c r="G520" s="20" t="n">
        <f aca="false">G519/F519-1</f>
        <v>0.0275994798204855</v>
      </c>
      <c r="H520" s="26" t="n">
        <f aca="false">H519/G519-1</f>
        <v>0.118257048442864</v>
      </c>
      <c r="I520" s="26" t="n">
        <f aca="false">I519/H519-1</f>
        <v>0.104880692903924</v>
      </c>
      <c r="J520" s="26" t="n">
        <f aca="false">J519/I519-1</f>
        <v>0.0915891071073838</v>
      </c>
    </row>
    <row r="521" customFormat="false" ht="17.15" hidden="false" customHeight="false" outlineLevel="0" collapsed="false">
      <c r="A521" s="3" t="s">
        <v>655</v>
      </c>
      <c r="B521" s="0" t="s">
        <v>40</v>
      </c>
      <c r="C521" s="16" t="n">
        <f aca="false">C517/C500</f>
        <v>0.0484653872003585</v>
      </c>
      <c r="D521" s="16" t="n">
        <f aca="false">D517/D500</f>
        <v>0.194594602259759</v>
      </c>
      <c r="E521" s="16" t="n">
        <f aca="false">E517/E500</f>
        <v>0.255852342904508</v>
      </c>
      <c r="F521" s="16" t="n">
        <f aca="false">F517/F500</f>
        <v>0.245502995838144</v>
      </c>
      <c r="G521" s="16" t="n">
        <f aca="false">G517/G500</f>
        <v>0.230210268911567</v>
      </c>
      <c r="H521" s="27" t="n">
        <f aca="false">$G521+(fade_mA-$G521)*1/3</f>
        <v>0.237505591852507</v>
      </c>
      <c r="I521" s="27" t="n">
        <f aca="false">$G521+(fade_mA-$G521)*2/3</f>
        <v>0.244800914793446</v>
      </c>
      <c r="J521" s="27" t="n">
        <f aca="false">$G521+(fade_mA-$G521)*3/3</f>
        <v>0.252096237734386</v>
      </c>
    </row>
    <row r="522" customFormat="false" ht="17.15" hidden="false" customHeight="false" outlineLevel="0" collapsed="false">
      <c r="A522" s="3" t="s">
        <v>656</v>
      </c>
      <c r="B522" s="0" t="s">
        <v>40</v>
      </c>
      <c r="C522" s="20" t="n">
        <f aca="false">C505/C500</f>
        <v>0.0602892489980833</v>
      </c>
      <c r="D522" s="20" t="n">
        <f aca="false">D505/D500</f>
        <v>0.0676270839708595</v>
      </c>
      <c r="E522" s="20" t="n">
        <f aca="false">E505/E500</f>
        <v>0.174499634256357</v>
      </c>
      <c r="F522" s="20" t="n">
        <f aca="false">F505/F500</f>
        <v>0.202785426504223</v>
      </c>
      <c r="G522" s="20" t="n">
        <f aca="false">G505/G500</f>
        <v>0.123364300839399</v>
      </c>
      <c r="H522" s="26" t="n">
        <f aca="false">$G522+($G507*(1+tp_g)^(life/2)-$G522)*1/3</f>
        <v>0.118003890399427</v>
      </c>
      <c r="I522" s="26" t="n">
        <f aca="false">$G522+($G507*(1+tp_g)^(life/2)-$G522)*2/3</f>
        <v>0.112643479959456</v>
      </c>
      <c r="J522" s="26" t="n">
        <f aca="false">$G522+($G507*(1+tp_g)^(life/2)-$G522)*3/3</f>
        <v>0.107283069519484</v>
      </c>
      <c r="K522" s="7" t="s">
        <v>657</v>
      </c>
    </row>
    <row r="523" customFormat="false" ht="15" hidden="false" customHeight="false" outlineLevel="0" collapsed="false">
      <c r="A523" s="3" t="s">
        <v>658</v>
      </c>
      <c r="B523" s="0" t="s">
        <v>329</v>
      </c>
      <c r="E523" s="21" t="n">
        <f aca="false">E517+E506-E505</f>
        <v>13.2393785572404</v>
      </c>
      <c r="F523" s="21" t="n">
        <f aca="false">F517+F506-F505</f>
        <v>11.4152102189067</v>
      </c>
      <c r="G523" s="21" t="n">
        <f aca="false">G517+G506-G505</f>
        <v>19.3137221228148</v>
      </c>
      <c r="H523" s="30" t="n">
        <f aca="false">H517+H506-H505</f>
        <v>22.2686570861088</v>
      </c>
      <c r="I523" s="30" t="n">
        <f aca="false">I517+I506-I505</f>
        <v>25.301346006611</v>
      </c>
      <c r="J523" s="30" t="n">
        <f aca="false">J517+J506-J505</f>
        <v>28.33561670836</v>
      </c>
      <c r="K523" s="3" t="s">
        <v>659</v>
      </c>
    </row>
    <row r="524" customFormat="false" ht="15" hidden="false" customHeight="false" outlineLevel="0" collapsed="false">
      <c r="A524" s="3" t="s">
        <v>660</v>
      </c>
      <c r="B524" s="0" t="s">
        <v>402</v>
      </c>
      <c r="E524" s="18" t="n">
        <f aca="false">E523/E518</f>
        <v>20.4890022087692</v>
      </c>
      <c r="F524" s="18" t="n">
        <f aca="false">F523/F518</f>
        <v>17.6659551184777</v>
      </c>
      <c r="G524" s="18" t="n">
        <f aca="false">G523/G518</f>
        <v>29.8895369992646</v>
      </c>
      <c r="H524" s="28" t="n">
        <f aca="false">H523/H518</f>
        <v>34.4625363079511</v>
      </c>
      <c r="I524" s="28" t="n">
        <f aca="false">I523/I518</f>
        <v>39.1558661135785</v>
      </c>
      <c r="J524" s="28" t="n">
        <f aca="false">J523/J518</f>
        <v>43.8516438527942</v>
      </c>
    </row>
    <row r="527" customFormat="false" ht="17.15" hidden="false" customHeight="false" outlineLevel="0" collapsed="false">
      <c r="A527" s="1" t="s">
        <v>967</v>
      </c>
    </row>
    <row r="528" customFormat="false" ht="17.15" hidden="false" customHeight="false" outlineLevel="0" collapsed="false">
      <c r="A528" s="4" t="s">
        <v>17</v>
      </c>
      <c r="B528" s="4" t="s">
        <v>18</v>
      </c>
      <c r="C528" s="13" t="s">
        <v>494</v>
      </c>
      <c r="D528" s="13" t="s">
        <v>581</v>
      </c>
      <c r="E528" s="13" t="s">
        <v>582</v>
      </c>
      <c r="F528" s="13" t="s">
        <v>583</v>
      </c>
      <c r="G528" s="13" t="s">
        <v>584</v>
      </c>
      <c r="H528" s="13" t="s">
        <v>585</v>
      </c>
      <c r="I528" s="13" t="s">
        <v>586</v>
      </c>
      <c r="J528" s="13" t="s">
        <v>587</v>
      </c>
      <c r="K528" s="4" t="s">
        <v>549</v>
      </c>
    </row>
    <row r="529" customFormat="false" ht="17.15" hidden="false" customHeight="false" outlineLevel="0" collapsed="false">
      <c r="A529" s="5" t="s">
        <v>605</v>
      </c>
    </row>
    <row r="530" customFormat="false" ht="17.15" hidden="false" customHeight="false" outlineLevel="0" collapsed="false">
      <c r="A530" s="0" t="s">
        <v>606</v>
      </c>
      <c r="B530" s="3" t="s">
        <v>28</v>
      </c>
      <c r="D530" s="21" t="n">
        <f aca="false">(u_bw_26+u_rb_26+u_ru_26+u_hp_26)*1</f>
        <v>7.6</v>
      </c>
      <c r="E530" s="21" t="n">
        <f aca="false">(u_bw_27+u_rb_27+u_ru_27+u_hp_27)*1*1</f>
        <v>9.7</v>
      </c>
      <c r="F530" s="21" t="n">
        <f aca="false">(u_bw_28+u_rb_28+u_ru_28+u_hp_28)*um28_A*1</f>
        <v>9.5</v>
      </c>
      <c r="G530" s="21" t="n">
        <f aca="false">(u_bw_28*(1+g29_bw)+u_rb_28*(1+g29_rb)+u_ru_28*(1+g29_ru)+u_hp_28*(1+g29_hp))*um29_A*1</f>
        <v>10.6</v>
      </c>
      <c r="K530" s="7" t="s">
        <v>607</v>
      </c>
    </row>
    <row r="531" customFormat="false" ht="17.15" hidden="false" customHeight="false" outlineLevel="0" collapsed="false">
      <c r="A531" s="3" t="s">
        <v>608</v>
      </c>
      <c r="B531" s="3" t="s">
        <v>28</v>
      </c>
      <c r="D531" s="21" t="n">
        <f aca="false">(u_amd_26+u_tpu_26+u_trn_26+u_oth_26)*1</f>
        <v>7.6</v>
      </c>
      <c r="E531" s="21" t="n">
        <f aca="false">(u_amd_27+u_tpu_27+u_trn_27+u_oth_27)*1*1</f>
        <v>14</v>
      </c>
      <c r="F531" s="21" t="n">
        <f aca="false">(u_amd_28+u_tpu_28+u_trn_28+u_oth_28)*um28_A*1</f>
        <v>17</v>
      </c>
      <c r="G531" s="21" t="n">
        <f aca="false">(u_amd_28*(1+g29_amd)+u_tpu_28*(1+g29_tpu)+u_trn_28*(1+g29_trn)+u_oth_28*(1+g29_oth))*um29_A*1</f>
        <v>19.55</v>
      </c>
      <c r="K531" s="7" t="s">
        <v>609</v>
      </c>
    </row>
    <row r="532" customFormat="false" ht="17.15" hidden="false" customHeight="false" outlineLevel="0" collapsed="false">
      <c r="A532" s="3" t="s">
        <v>610</v>
      </c>
      <c r="B532" s="0" t="s">
        <v>150</v>
      </c>
      <c r="D532" s="19" t="n">
        <f aca="false">1</f>
        <v>1</v>
      </c>
      <c r="E532" s="19" t="n">
        <f aca="false">D532*(1+g_asp)</f>
        <v>1.18</v>
      </c>
      <c r="F532" s="19" t="n">
        <f aca="false">E532*(1+g_asp)</f>
        <v>1.3924</v>
      </c>
      <c r="G532" s="19" t="n">
        <f aca="false">F532*(1+g_asp)</f>
        <v>1.643032</v>
      </c>
      <c r="K532" s="7" t="s">
        <v>611</v>
      </c>
    </row>
    <row r="533" customFormat="false" ht="17.15" hidden="false" customHeight="false" outlineLevel="0" collapsed="false">
      <c r="A533" s="0" t="s">
        <v>612</v>
      </c>
      <c r="B533" s="0" t="s">
        <v>150</v>
      </c>
      <c r="D533" s="18" t="n">
        <f aca="false">1</f>
        <v>1</v>
      </c>
      <c r="E533" s="18" t="n">
        <f aca="false">ibpp_27</f>
        <v>1</v>
      </c>
      <c r="F533" s="18" t="n">
        <f aca="false">ibpp_28</f>
        <v>0.95</v>
      </c>
      <c r="G533" s="18" t="n">
        <f aca="false">ibpp_29</f>
        <v>0.9</v>
      </c>
      <c r="K533" s="7" t="s">
        <v>613</v>
      </c>
    </row>
    <row r="534" customFormat="false" ht="17.15" hidden="false" customHeight="false" outlineLevel="0" collapsed="false">
      <c r="A534" s="3" t="s">
        <v>614</v>
      </c>
      <c r="B534" s="0" t="s">
        <v>150</v>
      </c>
      <c r="D534" s="18" t="n">
        <f aca="false">1</f>
        <v>1</v>
      </c>
      <c r="E534" s="18" t="n">
        <f aca="false">1+carry</f>
        <v>1.15</v>
      </c>
      <c r="F534" s="18" t="n">
        <f aca="false">1+carry</f>
        <v>1.15</v>
      </c>
      <c r="G534" s="18" t="n">
        <f aca="false">1+carry</f>
        <v>1.15</v>
      </c>
      <c r="K534" s="7" t="s">
        <v>615</v>
      </c>
    </row>
    <row r="535" customFormat="false" ht="17.15" hidden="false" customHeight="false" outlineLevel="0" collapsed="false">
      <c r="A535" s="3" t="s">
        <v>616</v>
      </c>
      <c r="B535" s="0" t="s">
        <v>617</v>
      </c>
      <c r="D535" s="23" t="n">
        <f aca="false">v26*D532*D533</f>
        <v>215.308596</v>
      </c>
      <c r="E535" s="23" t="n">
        <f aca="false">v26*E532*E533</f>
        <v>254.06414328</v>
      </c>
      <c r="F535" s="23" t="n">
        <f aca="false">v26*F532*F533</f>
        <v>284.80590461688</v>
      </c>
      <c r="G535" s="23" t="n">
        <f aca="false">v26*G532*G533</f>
        <v>318.383021792765</v>
      </c>
      <c r="K535" s="7" t="s">
        <v>618</v>
      </c>
    </row>
    <row r="536" customFormat="false" ht="17.15" hidden="false" customHeight="false" outlineLevel="0" collapsed="false">
      <c r="A536" s="3" t="s">
        <v>619</v>
      </c>
      <c r="B536" s="0" t="s">
        <v>40</v>
      </c>
      <c r="D536" s="20" t="n">
        <f aca="false">sh_nv_26</f>
        <v>0.02</v>
      </c>
      <c r="E536" s="20" t="n">
        <f aca="false">sh_nv_27</f>
        <v>0.03</v>
      </c>
      <c r="F536" s="20" t="n">
        <f aca="false">sh_nv_28</f>
        <v>0.04</v>
      </c>
      <c r="G536" s="20" t="n">
        <f aca="false">sh_nv_29</f>
        <v>0.04</v>
      </c>
    </row>
    <row r="537" customFormat="false" ht="17.15" hidden="false" customHeight="false" outlineLevel="0" collapsed="false">
      <c r="A537" s="3" t="s">
        <v>620</v>
      </c>
      <c r="B537" s="0" t="s">
        <v>40</v>
      </c>
      <c r="D537" s="20" t="n">
        <f aca="false">sh_ot_26</f>
        <v>0.05</v>
      </c>
      <c r="E537" s="20" t="n">
        <f aca="false">sh_ot_27</f>
        <v>0.06</v>
      </c>
      <c r="F537" s="20" t="n">
        <f aca="false">sh_ot_28</f>
        <v>0.07</v>
      </c>
      <c r="G537" s="20" t="n">
        <f aca="false">sh_ot_29</f>
        <v>0.07</v>
      </c>
    </row>
    <row r="538" customFormat="false" ht="17.15" hidden="false" customHeight="false" outlineLevel="0" collapsed="false">
      <c r="A538" s="3" t="s">
        <v>621</v>
      </c>
      <c r="B538" s="0" t="s">
        <v>571</v>
      </c>
      <c r="D538" s="22" t="n">
        <f aca="false">(D530*D535*D536+D531*D535*v_ot*D537)*D534</f>
        <v>98.180719776</v>
      </c>
      <c r="E538" s="22" t="n">
        <f aca="false">(E530*E535*E536+E531*E535*v_ot*E537)*E534</f>
        <v>281.363335475436</v>
      </c>
      <c r="F538" s="22" t="n">
        <f aca="false">(F530*F535*F536+F531*F535*v_ot*F537)*F534</f>
        <v>436.265684692137</v>
      </c>
      <c r="G538" s="22" t="n">
        <f aca="false">(G530*G535*G536+G531*G535*v_ot*G537)*G534</f>
        <v>556.094153523679</v>
      </c>
    </row>
    <row r="539" customFormat="false" ht="15" hidden="false" customHeight="false" outlineLevel="0" collapsed="false">
      <c r="A539" s="3" t="s">
        <v>622</v>
      </c>
      <c r="B539" s="0" t="s">
        <v>329</v>
      </c>
      <c r="D539" s="21" t="n">
        <f aca="false">D538*fx/1000</f>
        <v>3.19087339272</v>
      </c>
      <c r="E539" s="21" t="n">
        <f aca="false">E538*fx/1000</f>
        <v>9.14430840295167</v>
      </c>
      <c r="F539" s="21" t="n">
        <f aca="false">F538*fx/1000</f>
        <v>14.1786347524944</v>
      </c>
      <c r="G539" s="21" t="n">
        <f aca="false">G538*fx/1000</f>
        <v>18.0730599895196</v>
      </c>
    </row>
    <row r="540" customFormat="false" ht="17.15" hidden="false" customHeight="false" outlineLevel="0" collapsed="false">
      <c r="A540" s="5" t="s">
        <v>623</v>
      </c>
    </row>
    <row r="541" customFormat="false" ht="17.15" hidden="false" customHeight="false" outlineLevel="0" collapsed="false">
      <c r="A541" s="0" t="s">
        <v>624</v>
      </c>
      <c r="B541" s="0" t="s">
        <v>329</v>
      </c>
      <c r="D541" s="21" t="n">
        <f aca="false">a26_abf*ai_abf</f>
        <v>22.2987583</v>
      </c>
      <c r="K541" s="3" t="s">
        <v>625</v>
      </c>
    </row>
    <row r="542" customFormat="false" ht="17.15" hidden="false" customHeight="false" outlineLevel="0" collapsed="false">
      <c r="A542" s="3" t="s">
        <v>626</v>
      </c>
      <c r="B542" s="0" t="s">
        <v>329</v>
      </c>
      <c r="D542" s="21" t="n">
        <f aca="false">D541-D539</f>
        <v>19.10788490728</v>
      </c>
      <c r="E542" s="21" t="n">
        <f aca="false">$D542*(swm_27/swm_26)^el_o*1*1*E533*E534</f>
        <v>30.7354094978265</v>
      </c>
      <c r="F542" s="21" t="n">
        <f aca="false">$D542*(swm_28/swm_26)^el_o*um28_A*1*F533*F534</f>
        <v>31.4104002135205</v>
      </c>
      <c r="G542" s="21" t="n">
        <f aca="false">$D542*(swm_29/swm_26)^el_o*um29_A*1*G533*G534</f>
        <v>31.7452412889375</v>
      </c>
      <c r="K542" s="7" t="s">
        <v>627</v>
      </c>
    </row>
    <row r="543" customFormat="false" ht="17.15" hidden="false" customHeight="false" outlineLevel="0" collapsed="false">
      <c r="A543" s="3" t="s">
        <v>628</v>
      </c>
      <c r="B543" s="0" t="s">
        <v>329</v>
      </c>
      <c r="D543" s="21" t="n">
        <f aca="false">a26_abf-D541</f>
        <v>12.0070237</v>
      </c>
      <c r="E543" s="21" t="n">
        <f aca="false">D543*(1+g_nai)</f>
        <v>12.367234411</v>
      </c>
      <c r="F543" s="21" t="n">
        <f aca="false">E543*(1+g_nai)</f>
        <v>12.73825144333</v>
      </c>
      <c r="G543" s="21" t="n">
        <f aca="false">F543*(1+g_nai)</f>
        <v>13.1203989866299</v>
      </c>
    </row>
    <row r="544" customFormat="false" ht="17.15" hidden="false" customHeight="false" outlineLevel="0" collapsed="false">
      <c r="A544" s="0" t="s">
        <v>629</v>
      </c>
      <c r="B544" s="0" t="s">
        <v>329</v>
      </c>
      <c r="D544" s="21" t="n">
        <f aca="false">D539+D542+D543</f>
        <v>34.305782</v>
      </c>
      <c r="E544" s="21" t="n">
        <f aca="false">E539+E542+E543</f>
        <v>52.2469523117781</v>
      </c>
      <c r="F544" s="21" t="n">
        <f aca="false">F539+F542+F543</f>
        <v>58.3272864093449</v>
      </c>
      <c r="G544" s="21" t="n">
        <f aca="false">G539+G542+G543</f>
        <v>62.9387002650869</v>
      </c>
    </row>
    <row r="545" customFormat="false" ht="17.15" hidden="false" customHeight="false" outlineLevel="0" collapsed="false">
      <c r="A545" s="0" t="s">
        <v>630</v>
      </c>
      <c r="B545" s="0" t="s">
        <v>329</v>
      </c>
      <c r="D545" s="21" t="n">
        <f aca="false">a26_abf</f>
        <v>34.305782</v>
      </c>
      <c r="E545" s="21" t="n">
        <f aca="false">$D544*cap_27*(1+g_mix)^1*E533*E534</f>
        <v>49.709078118</v>
      </c>
      <c r="F545" s="21" t="n">
        <f aca="false">$D544*cap_28*(1+g_mix)^2*F533*F534</f>
        <v>55.7829061005431</v>
      </c>
      <c r="G545" s="21" t="n">
        <f aca="false">$D544*cap_29*(1+g_mix)^3*G533*G534</f>
        <v>65.765110350114</v>
      </c>
      <c r="K545" s="7" t="s">
        <v>631</v>
      </c>
    </row>
    <row r="546" customFormat="false" ht="17.15" hidden="false" customHeight="false" outlineLevel="0" collapsed="false">
      <c r="A546" s="0" t="s">
        <v>632</v>
      </c>
      <c r="B546" s="0" t="s">
        <v>329</v>
      </c>
      <c r="D546" s="21" t="n">
        <f aca="false">a26_abf</f>
        <v>34.305782</v>
      </c>
      <c r="E546" s="21" t="n">
        <f aca="false">MIN(E544,E545)</f>
        <v>49.709078118</v>
      </c>
      <c r="F546" s="21" t="n">
        <f aca="false">MIN(F544,F545)</f>
        <v>55.7829061005431</v>
      </c>
      <c r="G546" s="21" t="n">
        <f aca="false">MIN(G544,G545)</f>
        <v>62.9387002650869</v>
      </c>
    </row>
    <row r="547" customFormat="false" ht="17.15" hidden="false" customHeight="false" outlineLevel="0" collapsed="false">
      <c r="A547" s="3" t="s">
        <v>633</v>
      </c>
      <c r="B547" s="0" t="s">
        <v>40</v>
      </c>
      <c r="D547" s="20" t="n">
        <f aca="false">D546/D544</f>
        <v>1</v>
      </c>
      <c r="E547" s="20" t="n">
        <f aca="false">E546/E544</f>
        <v>0.951425411789885</v>
      </c>
      <c r="F547" s="20" t="n">
        <f aca="false">F546/F544</f>
        <v>0.956377529876066</v>
      </c>
      <c r="G547" s="20" t="n">
        <f aca="false">G546/G544</f>
        <v>1</v>
      </c>
    </row>
    <row r="548" customFormat="false" ht="17.15" hidden="false" customHeight="false" outlineLevel="0" collapsed="false">
      <c r="A548" s="0" t="s">
        <v>634</v>
      </c>
      <c r="B548" s="0" t="s">
        <v>329</v>
      </c>
      <c r="D548" s="21" t="n">
        <f aca="false">(D539+D542)*D547</f>
        <v>22.2987583</v>
      </c>
      <c r="E548" s="21" t="n">
        <f aca="false">(E539+E542)*E547</f>
        <v>37.9425770258123</v>
      </c>
      <c r="F548" s="21" t="n">
        <f aca="false">(F539+F542)*F547</f>
        <v>43.6003286502309</v>
      </c>
      <c r="G548" s="21" t="n">
        <f aca="false">(G539+G542)*G547</f>
        <v>49.818301278457</v>
      </c>
    </row>
    <row r="549" customFormat="false" ht="17.15" hidden="false" customHeight="false" outlineLevel="0" collapsed="false">
      <c r="A549" s="3" t="s">
        <v>635</v>
      </c>
      <c r="B549" s="0" t="s">
        <v>40</v>
      </c>
      <c r="D549" s="20" t="n">
        <f aca="false">D539/(D539+D542)</f>
        <v>0.14309646078903</v>
      </c>
      <c r="E549" s="20" t="n">
        <f aca="false">E539/(E539+E542)</f>
        <v>0.229297218844501</v>
      </c>
      <c r="F549" s="20" t="n">
        <f aca="false">F539/(F539+F542)</f>
        <v>0.311009758444419</v>
      </c>
      <c r="G549" s="20" t="n">
        <f aca="false">G539/(G539+G542)</f>
        <v>0.362779531331288</v>
      </c>
    </row>
    <row r="550" customFormat="false" ht="17.15" hidden="false" customHeight="false" outlineLevel="0" collapsed="false">
      <c r="A550" s="5" t="s">
        <v>636</v>
      </c>
    </row>
    <row r="551" customFormat="false" ht="17.15" hidden="false" customHeight="false" outlineLevel="0" collapsed="false">
      <c r="A551" s="0" t="s">
        <v>637</v>
      </c>
      <c r="B551" s="0" t="s">
        <v>329</v>
      </c>
      <c r="D551" s="21" t="n">
        <f aca="false">a26_bt</f>
        <v>18.927328</v>
      </c>
      <c r="E551" s="21" t="n">
        <f aca="false">D551*(1+g_bt27_A)</f>
        <v>24.6055264</v>
      </c>
      <c r="F551" s="21" t="n">
        <f aca="false">E551*(1+g_bt28_A)</f>
        <v>27.06607904</v>
      </c>
      <c r="G551" s="21" t="n">
        <f aca="false">F551*(1+g_bt29_A)</f>
        <v>28.419382992</v>
      </c>
      <c r="K551" s="7" t="s">
        <v>638</v>
      </c>
    </row>
    <row r="552" customFormat="false" ht="17.15" hidden="false" customHeight="false" outlineLevel="0" collapsed="false">
      <c r="A552" s="0" t="s">
        <v>536</v>
      </c>
      <c r="B552" s="0" t="s">
        <v>329</v>
      </c>
      <c r="D552" s="21" t="n">
        <f aca="false">a26_pcb</f>
        <v>5.91479</v>
      </c>
      <c r="E552" s="21" t="n">
        <f aca="false">D552*(1+g_pcb)</f>
        <v>5.91479</v>
      </c>
      <c r="F552" s="21" t="n">
        <f aca="false">E552*(1+g_pcb)</f>
        <v>5.91479</v>
      </c>
      <c r="G552" s="21" t="n">
        <f aca="false">F552*(1+g_pcb)</f>
        <v>5.91479</v>
      </c>
    </row>
    <row r="553" customFormat="false" ht="17.15" hidden="false" customHeight="false" outlineLevel="0" collapsed="false">
      <c r="A553" s="3" t="s">
        <v>501</v>
      </c>
      <c r="B553" s="0" t="s">
        <v>329</v>
      </c>
      <c r="C553" s="23" t="n">
        <f aca="false">a25_rev</f>
        <v>40.173</v>
      </c>
      <c r="D553" s="23" t="n">
        <f aca="false">D546+D551+D552</f>
        <v>59.1479</v>
      </c>
      <c r="E553" s="23" t="n">
        <f aca="false">E546+E551+E552</f>
        <v>80.229394518</v>
      </c>
      <c r="F553" s="23" t="n">
        <f aca="false">F546+F551+F552</f>
        <v>88.7637751405431</v>
      </c>
      <c r="G553" s="23" t="n">
        <f aca="false">G546+G551+G552</f>
        <v>97.2728732570869</v>
      </c>
      <c r="H553" s="25" t="n">
        <f aca="false">G553*(1+H554)</f>
        <v>105.434863846709</v>
      </c>
      <c r="I553" s="25" t="n">
        <f aca="false">H553*(1+I554)</f>
        <v>113.021333979572</v>
      </c>
      <c r="J553" s="25" t="n">
        <f aca="false">I553*(1+J554)</f>
        <v>119.802614018346</v>
      </c>
      <c r="K553" s="7" t="s">
        <v>639</v>
      </c>
    </row>
    <row r="554" customFormat="false" ht="15" hidden="false" customHeight="false" outlineLevel="0" collapsed="false">
      <c r="A554" s="3" t="s">
        <v>640</v>
      </c>
      <c r="B554" s="0" t="s">
        <v>40</v>
      </c>
      <c r="D554" s="20" t="n">
        <f aca="false">D553/C553-1</f>
        <v>0.472329674159261</v>
      </c>
      <c r="E554" s="20" t="n">
        <f aca="false">E553/D553-1</f>
        <v>0.35642</v>
      </c>
      <c r="F554" s="20" t="n">
        <f aca="false">F553/E553-1</f>
        <v>0.106374735517023</v>
      </c>
      <c r="G554" s="20" t="n">
        <f aca="false">G553/F553-1</f>
        <v>0.0958622828183122</v>
      </c>
      <c r="H554" s="26" t="n">
        <f aca="false">$G554+(fade_gA-$G554)*1/3</f>
        <v>0.0839081885455415</v>
      </c>
      <c r="I554" s="26" t="n">
        <f aca="false">$G554+(fade_gA-$G554)*2/3</f>
        <v>0.0719540942727707</v>
      </c>
      <c r="J554" s="26" t="n">
        <f aca="false">$G554+(fade_gA-$G554)*3/3</f>
        <v>0.06</v>
      </c>
    </row>
    <row r="555" customFormat="false" ht="17.15" hidden="false" customHeight="false" outlineLevel="0" collapsed="false">
      <c r="A555" s="0" t="s">
        <v>641</v>
      </c>
      <c r="B555" s="0" t="s">
        <v>40</v>
      </c>
      <c r="D555" s="20" t="n">
        <f aca="false">D546/D553</f>
        <v>0.58</v>
      </c>
      <c r="E555" s="20" t="n">
        <f aca="false">E546/E553</f>
        <v>0.619586853629407</v>
      </c>
      <c r="F555" s="20" t="n">
        <f aca="false">F546/F553</f>
        <v>0.62844224473576</v>
      </c>
      <c r="G555" s="20" t="n">
        <f aca="false">G546/G553</f>
        <v>0.647032396161912</v>
      </c>
    </row>
    <row r="556" customFormat="false" ht="17.15" hidden="false" customHeight="false" outlineLevel="0" collapsed="false">
      <c r="A556" s="0" t="s">
        <v>642</v>
      </c>
      <c r="B556" s="0" t="s">
        <v>40</v>
      </c>
      <c r="D556" s="20" t="n">
        <f aca="false">D548/D553</f>
        <v>0.377</v>
      </c>
      <c r="E556" s="20" t="n">
        <f aca="false">E548/E553</f>
        <v>0.472926129553422</v>
      </c>
      <c r="F556" s="20" t="n">
        <f aca="false">F548/F553</f>
        <v>0.491195068947855</v>
      </c>
      <c r="G556" s="20" t="n">
        <f aca="false">G548/G553</f>
        <v>0.512149992185282</v>
      </c>
      <c r="K556" s="3" t="s">
        <v>643</v>
      </c>
    </row>
    <row r="557" customFormat="false" ht="17.15" hidden="false" customHeight="false" outlineLevel="0" collapsed="false">
      <c r="A557" s="5" t="s">
        <v>644</v>
      </c>
    </row>
    <row r="558" customFormat="false" ht="15" hidden="false" customHeight="false" outlineLevel="0" collapsed="false">
      <c r="A558" s="3" t="s">
        <v>645</v>
      </c>
      <c r="B558" s="0" t="s">
        <v>329</v>
      </c>
      <c r="C558" s="23" t="n">
        <f aca="false">a25_cx</f>
        <v>2.422</v>
      </c>
      <c r="D558" s="23" t="n">
        <f aca="false">capex26</f>
        <v>4</v>
      </c>
      <c r="E558" s="23" t="n">
        <f aca="false">cx27</f>
        <v>14</v>
      </c>
      <c r="F558" s="23" t="n">
        <f aca="false">cx28</f>
        <v>18</v>
      </c>
      <c r="G558" s="23" t="n">
        <f aca="false">cx29</f>
        <v>12</v>
      </c>
      <c r="H558" s="25" t="n">
        <f aca="false">H553*H575</f>
        <v>12.4417241176456</v>
      </c>
      <c r="I558" s="25" t="n">
        <f aca="false">I553*I575</f>
        <v>12.7311163691189</v>
      </c>
      <c r="J558" s="25" t="n">
        <f aca="false">J553*J575</f>
        <v>12.8527921683461</v>
      </c>
    </row>
    <row r="559" customFormat="false" ht="17.15" hidden="false" customHeight="false" outlineLevel="0" collapsed="false">
      <c r="A559" s="3" t="s">
        <v>646</v>
      </c>
      <c r="B559" s="0" t="s">
        <v>329</v>
      </c>
      <c r="C559" s="23" t="n">
        <f aca="false">a25_da</f>
        <v>6.894</v>
      </c>
      <c r="D559" s="23" t="n">
        <f aca="false">da26</f>
        <v>7.1</v>
      </c>
      <c r="E559" s="23" t="n">
        <f aca="false">D559*(1-1/life)+D558/life</f>
        <v>6.7125</v>
      </c>
      <c r="F559" s="23" t="n">
        <f aca="false">E559*(1-1/life)+E558/life</f>
        <v>7.6234375</v>
      </c>
      <c r="G559" s="23" t="n">
        <f aca="false">F559*(1-1/life)+F558/life</f>
        <v>8.9205078125</v>
      </c>
      <c r="H559" s="25" t="n">
        <f aca="false">H553*H560</f>
        <v>9.66901146395322</v>
      </c>
      <c r="I559" s="25" t="n">
        <f aca="false">I553*I560</f>
        <v>10.364736426355</v>
      </c>
      <c r="J559" s="25" t="n">
        <f aca="false">J553*J560</f>
        <v>10.9866206119363</v>
      </c>
      <c r="K559" s="3" t="s">
        <v>647</v>
      </c>
    </row>
    <row r="560" customFormat="false" ht="17.15" hidden="false" customHeight="false" outlineLevel="0" collapsed="false">
      <c r="A560" s="3" t="s">
        <v>648</v>
      </c>
      <c r="B560" s="0" t="s">
        <v>40</v>
      </c>
      <c r="C560" s="20" t="n">
        <f aca="false">C559/C553</f>
        <v>0.171607796281084</v>
      </c>
      <c r="D560" s="20" t="n">
        <f aca="false">D559/D553</f>
        <v>0.120038074048276</v>
      </c>
      <c r="E560" s="20" t="n">
        <f aca="false">E559/E553</f>
        <v>0.0836663424961285</v>
      </c>
      <c r="F560" s="20" t="n">
        <f aca="false">F559/F553</f>
        <v>0.0858845569369883</v>
      </c>
      <c r="G560" s="20" t="n">
        <f aca="false">G559/G553</f>
        <v>0.0917060174517882</v>
      </c>
      <c r="H560" s="26" t="n">
        <f aca="false">$G560</f>
        <v>0.0917060174517882</v>
      </c>
      <c r="I560" s="26" t="n">
        <f aca="false">$G560</f>
        <v>0.0917060174517882</v>
      </c>
      <c r="J560" s="26" t="n">
        <f aca="false">$G560</f>
        <v>0.0917060174517882</v>
      </c>
    </row>
    <row r="561" customFormat="false" ht="17.15" hidden="false" customHeight="false" outlineLevel="0" collapsed="false">
      <c r="A561" s="3" t="s">
        <v>649</v>
      </c>
      <c r="B561" s="0" t="s">
        <v>329</v>
      </c>
      <c r="E561" s="21" t="n">
        <f aca="false">E548*(1-1/(E533*E534))</f>
        <v>4.94903178597551</v>
      </c>
      <c r="F561" s="21" t="n">
        <f aca="false">F548*(1-1/(F533*F534))</f>
        <v>3.69156100699895</v>
      </c>
      <c r="G561" s="21" t="n">
        <f aca="false">G548*(1-1/(G533*G534))</f>
        <v>1.68467685482705</v>
      </c>
      <c r="K561" s="7" t="s">
        <v>650</v>
      </c>
    </row>
    <row r="562" customFormat="false" ht="17.15" hidden="false" customHeight="false" outlineLevel="0" collapsed="false">
      <c r="A562" s="3" t="s">
        <v>651</v>
      </c>
      <c r="B562" s="0" t="s">
        <v>329</v>
      </c>
      <c r="C562" s="21" t="n">
        <f aca="false">a25_gp</f>
        <v>3.647</v>
      </c>
      <c r="D562" s="21" t="n">
        <f aca="false">a26_gp</f>
        <v>15.9001925</v>
      </c>
      <c r="E562" s="21" t="n">
        <f aca="false">$D562+ft_abf_hi*(E546-E561-$D546)+ft_oth*((E553-E546)-($D553-$D546))+E561-(E559-$D559)</f>
        <v>29.7805622451902</v>
      </c>
      <c r="F562" s="21" t="n">
        <f aca="false">$D562+ft_abf_hi*(F546-F561-$D546)+ft_oth*((F553-F546)-($D553-$D546))+F561-(F559-$D559)</f>
        <v>32.9951542791255</v>
      </c>
      <c r="G562" s="21" t="n">
        <f aca="false">$D562+ft_abf_hi*(G546-G561-$D546)+ft_oth*((G553-G546)-($D553-$D546))+G561-(G559-$D559)</f>
        <v>35.730128385283</v>
      </c>
      <c r="K562" s="3" t="s">
        <v>652</v>
      </c>
    </row>
    <row r="563" customFormat="false" ht="15" hidden="false" customHeight="false" outlineLevel="0" collapsed="false">
      <c r="A563" s="3" t="s">
        <v>508</v>
      </c>
      <c r="B563" s="0" t="s">
        <v>40</v>
      </c>
      <c r="C563" s="16" t="n">
        <f aca="false">C562/C553</f>
        <v>0.0907823662659</v>
      </c>
      <c r="D563" s="16" t="n">
        <f aca="false">D562/D553</f>
        <v>0.268820913337583</v>
      </c>
      <c r="E563" s="16" t="n">
        <f aca="false">E562/E553</f>
        <v>0.371192658552455</v>
      </c>
      <c r="F563" s="16" t="n">
        <f aca="false">F562/F553</f>
        <v>0.371718690725839</v>
      </c>
      <c r="G563" s="16" t="n">
        <f aca="false">G562/G553</f>
        <v>0.367318525596033</v>
      </c>
    </row>
    <row r="564" customFormat="false" ht="15" hidden="false" customHeight="false" outlineLevel="0" collapsed="false">
      <c r="A564" s="3" t="s">
        <v>510</v>
      </c>
      <c r="B564" s="0" t="s">
        <v>329</v>
      </c>
      <c r="C564" s="21" t="n">
        <f aca="false">a25_opx</f>
        <v>1.665</v>
      </c>
      <c r="D564" s="21" t="n">
        <f aca="false">a26_opx</f>
        <v>1.9</v>
      </c>
      <c r="E564" s="21" t="n">
        <f aca="false">D564*(1+phi*E554)</f>
        <v>2.3063188</v>
      </c>
      <c r="F564" s="21" t="n">
        <f aca="false">E564*(1+phi*F554)</f>
        <v>2.45351923142076</v>
      </c>
      <c r="G564" s="21" t="n">
        <f aca="false">F564*(1+phi*G554)</f>
        <v>2.59463920409834</v>
      </c>
    </row>
    <row r="565" customFormat="false" ht="15" hidden="false" customHeight="false" outlineLevel="0" collapsed="false">
      <c r="A565" s="3" t="s">
        <v>513</v>
      </c>
      <c r="B565" s="0" t="s">
        <v>329</v>
      </c>
      <c r="C565" s="21" t="n">
        <f aca="false">C562-C564</f>
        <v>1.982</v>
      </c>
      <c r="D565" s="21" t="n">
        <f aca="false">D562-D564</f>
        <v>14.0001925</v>
      </c>
      <c r="E565" s="21" t="n">
        <f aca="false">E562-E564</f>
        <v>27.4742434451902</v>
      </c>
      <c r="F565" s="21" t="n">
        <f aca="false">F562-F564</f>
        <v>30.5416350477047</v>
      </c>
      <c r="G565" s="21" t="n">
        <f aca="false">G562-G564</f>
        <v>33.1354891811846</v>
      </c>
    </row>
    <row r="566" customFormat="false" ht="15" hidden="false" customHeight="false" outlineLevel="0" collapsed="false">
      <c r="A566" s="3" t="s">
        <v>594</v>
      </c>
      <c r="B566" s="0" t="s">
        <v>40</v>
      </c>
      <c r="C566" s="16" t="n">
        <f aca="false">C565/C553</f>
        <v>0.0493366191222961</v>
      </c>
      <c r="D566" s="16" t="n">
        <f aca="false">D565/D553</f>
        <v>0.236698048451424</v>
      </c>
      <c r="E566" s="16" t="n">
        <f aca="false">E565/E553</f>
        <v>0.342446102332558</v>
      </c>
      <c r="F566" s="16" t="n">
        <f aca="false">F565/F553</f>
        <v>0.344077693849174</v>
      </c>
      <c r="G566" s="16" t="n">
        <f aca="false">G565/G553</f>
        <v>0.340644704650693</v>
      </c>
    </row>
    <row r="567" customFormat="false" ht="15" hidden="false" customHeight="false" outlineLevel="0" collapsed="false">
      <c r="A567" s="3" t="s">
        <v>516</v>
      </c>
      <c r="B567" s="0" t="s">
        <v>329</v>
      </c>
      <c r="C567" s="21" t="n">
        <f aca="false">a25_nonop</f>
        <v>0.364</v>
      </c>
      <c r="D567" s="21" t="n">
        <f aca="false">a26_nonop</f>
        <v>0.623</v>
      </c>
      <c r="E567" s="21" t="n">
        <f aca="false">nonop27</f>
        <v>0.6</v>
      </c>
      <c r="F567" s="21" t="n">
        <f aca="false">nonop28</f>
        <v>0.6</v>
      </c>
      <c r="G567" s="21" t="n">
        <f aca="false">nonop29</f>
        <v>0.6</v>
      </c>
    </row>
    <row r="568" customFormat="false" ht="15" hidden="false" customHeight="false" outlineLevel="0" collapsed="false">
      <c r="A568" s="3" t="s">
        <v>518</v>
      </c>
      <c r="B568" s="0" t="s">
        <v>329</v>
      </c>
      <c r="C568" s="21" t="n">
        <f aca="false">C565+C567</f>
        <v>2.346</v>
      </c>
      <c r="D568" s="21" t="n">
        <f aca="false">D565+D567</f>
        <v>14.6231925</v>
      </c>
      <c r="E568" s="21" t="n">
        <f aca="false">E565+E567</f>
        <v>28.0742434451902</v>
      </c>
      <c r="F568" s="21" t="n">
        <f aca="false">F565+F567</f>
        <v>31.1416350477047</v>
      </c>
      <c r="G568" s="21" t="n">
        <f aca="false">G565+G567</f>
        <v>33.7354891811847</v>
      </c>
    </row>
    <row r="569" customFormat="false" ht="15" hidden="false" customHeight="false" outlineLevel="0" collapsed="false">
      <c r="A569" s="3" t="s">
        <v>521</v>
      </c>
      <c r="B569" s="0" t="s">
        <v>329</v>
      </c>
      <c r="E569" s="21" t="n">
        <f aca="false">E568*tax</f>
        <v>5.89559112348994</v>
      </c>
      <c r="F569" s="21" t="n">
        <f aca="false">F568*tax</f>
        <v>6.53974336001799</v>
      </c>
      <c r="G569" s="21" t="n">
        <f aca="false">G568*tax</f>
        <v>7.08445272804878</v>
      </c>
    </row>
    <row r="570" customFormat="false" ht="15" hidden="false" customHeight="false" outlineLevel="0" collapsed="false">
      <c r="A570" s="3" t="s">
        <v>519</v>
      </c>
      <c r="B570" s="0" t="s">
        <v>329</v>
      </c>
      <c r="C570" s="21" t="n">
        <f aca="false">a25_ni</f>
        <v>1.947</v>
      </c>
      <c r="D570" s="21" t="n">
        <f aca="false">a26_ni</f>
        <v>11.509862075</v>
      </c>
      <c r="E570" s="21" t="n">
        <f aca="false">E568-E569</f>
        <v>22.1786523217003</v>
      </c>
      <c r="F570" s="21" t="n">
        <f aca="false">F568-F569</f>
        <v>24.6018916876867</v>
      </c>
      <c r="G570" s="21" t="n">
        <f aca="false">G568-G569</f>
        <v>26.6510364531359</v>
      </c>
      <c r="H570" s="30" t="n">
        <f aca="false">H553*H574</f>
        <v>28.118095263784</v>
      </c>
      <c r="I570" s="30" t="n">
        <f aca="false">I553*I574</f>
        <v>29.3167802105683</v>
      </c>
      <c r="J570" s="30" t="n">
        <f aca="false">J553*J574</f>
        <v>30.2017882647699</v>
      </c>
    </row>
    <row r="571" customFormat="false" ht="15" hidden="false" customHeight="false" outlineLevel="0" collapsed="false">
      <c r="A571" s="3" t="s">
        <v>653</v>
      </c>
      <c r="B571" s="3" t="s">
        <v>396</v>
      </c>
      <c r="C571" s="29" t="n">
        <f aca="false">a25_sh</f>
        <v>0.646843853820598</v>
      </c>
      <c r="D571" s="29" t="n">
        <f aca="false">a26_sh</f>
        <v>0.645863325123153</v>
      </c>
      <c r="E571" s="29" t="n">
        <f aca="false">a26_shend*(1+sh_g)</f>
        <v>0.64617</v>
      </c>
      <c r="F571" s="29" t="n">
        <f aca="false">E571*(1+sh_g)</f>
        <v>0.64617</v>
      </c>
      <c r="G571" s="29" t="n">
        <f aca="false">F571*(1+sh_g)</f>
        <v>0.64617</v>
      </c>
      <c r="H571" s="31" t="n">
        <f aca="false">G571*(1+sh_g)</f>
        <v>0.64617</v>
      </c>
      <c r="I571" s="31" t="n">
        <f aca="false">H571*(1+sh_g)</f>
        <v>0.64617</v>
      </c>
      <c r="J571" s="31" t="n">
        <f aca="false">I571*(1+sh_g)</f>
        <v>0.64617</v>
      </c>
    </row>
    <row r="572" customFormat="false" ht="17.15" hidden="false" customHeight="false" outlineLevel="0" collapsed="false">
      <c r="A572" s="0" t="s">
        <v>524</v>
      </c>
      <c r="B572" s="0" t="s">
        <v>402</v>
      </c>
      <c r="C572" s="18" t="n">
        <f aca="false">C570/C571</f>
        <v>3.01</v>
      </c>
      <c r="D572" s="18" t="n">
        <f aca="false">D570/D571</f>
        <v>17.820894339844</v>
      </c>
      <c r="E572" s="18" t="n">
        <f aca="false">E570/E571</f>
        <v>34.3232467024162</v>
      </c>
      <c r="F572" s="18" t="n">
        <f aca="false">F570/F571</f>
        <v>38.073404348216</v>
      </c>
      <c r="G572" s="18" t="n">
        <f aca="false">G570/G571</f>
        <v>41.2446205381492</v>
      </c>
      <c r="H572" s="28" t="n">
        <f aca="false">H570/H571</f>
        <v>43.5150119377006</v>
      </c>
      <c r="I572" s="28" t="n">
        <f aca="false">I570/I571</f>
        <v>45.3700732169062</v>
      </c>
      <c r="J572" s="28" t="n">
        <f aca="false">J570/J571</f>
        <v>46.7396942983578</v>
      </c>
    </row>
    <row r="573" customFormat="false" ht="17.15" hidden="false" customHeight="false" outlineLevel="0" collapsed="false">
      <c r="A573" s="0" t="s">
        <v>654</v>
      </c>
      <c r="B573" s="0" t="s">
        <v>40</v>
      </c>
      <c r="D573" s="20" t="n">
        <f aca="false">D572/C572-1</f>
        <v>4.92056290360265</v>
      </c>
      <c r="E573" s="20" t="n">
        <f aca="false">E572/D572-1</f>
        <v>0.926011458677258</v>
      </c>
      <c r="F573" s="20" t="n">
        <f aca="false">F572/E572-1</f>
        <v>0.109259991582783</v>
      </c>
      <c r="G573" s="20" t="n">
        <f aca="false">G572/F572-1</f>
        <v>0.0832921627109984</v>
      </c>
      <c r="H573" s="26" t="n">
        <f aca="false">H572/G572-1</f>
        <v>0.0550469702455227</v>
      </c>
      <c r="I573" s="26" t="n">
        <f aca="false">I572/H572-1</f>
        <v>0.0426303750499142</v>
      </c>
      <c r="J573" s="26" t="n">
        <f aca="false">J572/I572-1</f>
        <v>0.0301877644081299</v>
      </c>
    </row>
    <row r="574" customFormat="false" ht="17.15" hidden="false" customHeight="false" outlineLevel="0" collapsed="false">
      <c r="A574" s="3" t="s">
        <v>655</v>
      </c>
      <c r="B574" s="0" t="s">
        <v>40</v>
      </c>
      <c r="C574" s="16" t="n">
        <f aca="false">C570/C553</f>
        <v>0.0484653872003585</v>
      </c>
      <c r="D574" s="16" t="n">
        <f aca="false">D570/D553</f>
        <v>0.194594602259759</v>
      </c>
      <c r="E574" s="16" t="n">
        <f aca="false">E570/E553</f>
        <v>0.276440479888258</v>
      </c>
      <c r="F574" s="16" t="n">
        <f aca="false">F570/F553</f>
        <v>0.277161394372125</v>
      </c>
      <c r="G574" s="16" t="n">
        <f aca="false">G570/G553</f>
        <v>0.273982206557204</v>
      </c>
      <c r="H574" s="27" t="n">
        <f aca="false">$G574+(fade_mA-$G574)*1/3</f>
        <v>0.266686883616264</v>
      </c>
      <c r="I574" s="27" t="n">
        <f aca="false">$G574+(fade_mA-$G574)*2/3</f>
        <v>0.259391560675325</v>
      </c>
      <c r="J574" s="27" t="n">
        <f aca="false">$G574+(fade_mA-$G574)*3/3</f>
        <v>0.252096237734386</v>
      </c>
    </row>
    <row r="575" customFormat="false" ht="17.15" hidden="false" customHeight="false" outlineLevel="0" collapsed="false">
      <c r="A575" s="3" t="s">
        <v>656</v>
      </c>
      <c r="B575" s="0" t="s">
        <v>40</v>
      </c>
      <c r="C575" s="20" t="n">
        <f aca="false">C558/C553</f>
        <v>0.0602892489980833</v>
      </c>
      <c r="D575" s="20" t="n">
        <f aca="false">D558/D553</f>
        <v>0.0676270839708595</v>
      </c>
      <c r="E575" s="20" t="n">
        <f aca="false">E558/E553</f>
        <v>0.174499634256357</v>
      </c>
      <c r="F575" s="20" t="n">
        <f aca="false">F558/F553</f>
        <v>0.202785426504223</v>
      </c>
      <c r="G575" s="20" t="n">
        <f aca="false">G558/G553</f>
        <v>0.123364300839399</v>
      </c>
      <c r="H575" s="26" t="n">
        <f aca="false">$G575+($G560*(1+tp_g)^(life/2)-$G575)*1/3</f>
        <v>0.118003890399427</v>
      </c>
      <c r="I575" s="26" t="n">
        <f aca="false">$G575+($G560*(1+tp_g)^(life/2)-$G575)*2/3</f>
        <v>0.112643479959456</v>
      </c>
      <c r="J575" s="26" t="n">
        <f aca="false">$G575+($G560*(1+tp_g)^(life/2)-$G575)*3/3</f>
        <v>0.107283069519484</v>
      </c>
      <c r="K575" s="7" t="s">
        <v>657</v>
      </c>
    </row>
    <row r="576" customFormat="false" ht="15" hidden="false" customHeight="false" outlineLevel="0" collapsed="false">
      <c r="A576" s="3" t="s">
        <v>658</v>
      </c>
      <c r="B576" s="0" t="s">
        <v>329</v>
      </c>
      <c r="E576" s="21" t="n">
        <f aca="false">E570+E559-E558</f>
        <v>14.8911523217003</v>
      </c>
      <c r="F576" s="21" t="n">
        <f aca="false">F570+F559-F558</f>
        <v>14.2253291876867</v>
      </c>
      <c r="G576" s="21" t="n">
        <f aca="false">G570+G559-G558</f>
        <v>23.5715442656359</v>
      </c>
      <c r="H576" s="30" t="n">
        <f aca="false">H570+H559-H558</f>
        <v>25.3453826100916</v>
      </c>
      <c r="I576" s="30" t="n">
        <f aca="false">I570+I559-I558</f>
        <v>26.9504002678045</v>
      </c>
      <c r="J576" s="30" t="n">
        <f aca="false">J570+J559-J558</f>
        <v>28.33561670836</v>
      </c>
      <c r="K576" s="3" t="s">
        <v>659</v>
      </c>
    </row>
    <row r="577" customFormat="false" ht="15" hidden="false" customHeight="false" outlineLevel="0" collapsed="false">
      <c r="A577" s="3" t="s">
        <v>660</v>
      </c>
      <c r="B577" s="0" t="s">
        <v>402</v>
      </c>
      <c r="E577" s="18" t="n">
        <f aca="false">E576/E571</f>
        <v>23.0452548426889</v>
      </c>
      <c r="F577" s="18" t="n">
        <f aca="false">F576/F571</f>
        <v>22.0148400385142</v>
      </c>
      <c r="G577" s="18" t="n">
        <f aca="false">G576/G571</f>
        <v>36.4788589158207</v>
      </c>
      <c r="H577" s="28" t="n">
        <f aca="false">H576/H571</f>
        <v>39.2240162961629</v>
      </c>
      <c r="I577" s="28" t="n">
        <f aca="false">I576/I571</f>
        <v>41.7079100976592</v>
      </c>
      <c r="J577" s="28" t="n">
        <f aca="false">J576/J571</f>
        <v>43.8516438527942</v>
      </c>
    </row>
    <row r="580" customFormat="false" ht="17.15" hidden="false" customHeight="false" outlineLevel="0" collapsed="false">
      <c r="A580" s="1" t="s">
        <v>968</v>
      </c>
    </row>
    <row r="581" customFormat="false" ht="17.15" hidden="false" customHeight="false" outlineLevel="0" collapsed="false">
      <c r="A581" s="4" t="s">
        <v>17</v>
      </c>
      <c r="B581" s="4" t="s">
        <v>18</v>
      </c>
      <c r="C581" s="13" t="s">
        <v>494</v>
      </c>
      <c r="D581" s="13" t="s">
        <v>581</v>
      </c>
      <c r="E581" s="13" t="s">
        <v>582</v>
      </c>
      <c r="F581" s="13" t="s">
        <v>583</v>
      </c>
      <c r="G581" s="13" t="s">
        <v>584</v>
      </c>
      <c r="H581" s="13" t="s">
        <v>585</v>
      </c>
      <c r="I581" s="13" t="s">
        <v>586</v>
      </c>
      <c r="J581" s="13" t="s">
        <v>587</v>
      </c>
      <c r="K581" s="4" t="s">
        <v>549</v>
      </c>
    </row>
    <row r="582" customFormat="false" ht="17.15" hidden="false" customHeight="false" outlineLevel="0" collapsed="false">
      <c r="A582" s="5" t="s">
        <v>605</v>
      </c>
    </row>
    <row r="583" customFormat="false" ht="17.15" hidden="false" customHeight="false" outlineLevel="0" collapsed="false">
      <c r="A583" s="0" t="s">
        <v>606</v>
      </c>
      <c r="B583" s="3" t="s">
        <v>28</v>
      </c>
      <c r="D583" s="21" t="n">
        <f aca="false">(u_bw_26+u_rb_26+u_ru_26+u_hp_26)*1</f>
        <v>7.6</v>
      </c>
      <c r="E583" s="21" t="n">
        <f aca="false">(u_bw_27+u_rb_27+u_ru_27+u_hp_27)*1*1</f>
        <v>9.7</v>
      </c>
      <c r="F583" s="21" t="n">
        <f aca="false">(u_bw_28+u_rb_28+u_ru_28+u_hp_28)*um28_A*1</f>
        <v>9.5</v>
      </c>
      <c r="G583" s="21" t="n">
        <f aca="false">(u_bw_28*(1+g29_bw)+u_rb_28*(1+g29_rb)+u_ru_28*(1+g29_ru)+u_hp_28*(1+g29_hp))*um29_A*1</f>
        <v>10.6</v>
      </c>
      <c r="K583" s="7" t="s">
        <v>607</v>
      </c>
    </row>
    <row r="584" customFormat="false" ht="17.15" hidden="false" customHeight="false" outlineLevel="0" collapsed="false">
      <c r="A584" s="3" t="s">
        <v>608</v>
      </c>
      <c r="B584" s="3" t="s">
        <v>28</v>
      </c>
      <c r="D584" s="21" t="n">
        <f aca="false">(u_amd_26+u_tpu_26+u_trn_26+u_oth_26)*1</f>
        <v>7.6</v>
      </c>
      <c r="E584" s="21" t="n">
        <f aca="false">(u_amd_27+u_tpu_27+u_trn_27+u_oth_27)*1*1</f>
        <v>14</v>
      </c>
      <c r="F584" s="21" t="n">
        <f aca="false">(u_amd_28+u_tpu_28+u_trn_28+u_oth_28)*um28_A*1</f>
        <v>17</v>
      </c>
      <c r="G584" s="21" t="n">
        <f aca="false">(u_amd_28*(1+g29_amd)+u_tpu_28*(1+g29_tpu)+u_trn_28*(1+g29_trn)+u_oth_28*(1+g29_oth))*um29_A*1</f>
        <v>19.55</v>
      </c>
      <c r="K584" s="7" t="s">
        <v>609</v>
      </c>
    </row>
    <row r="585" customFormat="false" ht="17.15" hidden="false" customHeight="false" outlineLevel="0" collapsed="false">
      <c r="A585" s="3" t="s">
        <v>610</v>
      </c>
      <c r="B585" s="0" t="s">
        <v>150</v>
      </c>
      <c r="D585" s="19" t="n">
        <f aca="false">1</f>
        <v>1</v>
      </c>
      <c r="E585" s="19" t="n">
        <f aca="false">D585*(1+g_asp)</f>
        <v>1.18</v>
      </c>
      <c r="F585" s="19" t="n">
        <f aca="false">E585*(1+g_asp)</f>
        <v>1.3924</v>
      </c>
      <c r="G585" s="19" t="n">
        <f aca="false">F585*(1+g_asp)</f>
        <v>1.643032</v>
      </c>
      <c r="K585" s="7" t="s">
        <v>611</v>
      </c>
    </row>
    <row r="586" customFormat="false" ht="17.15" hidden="false" customHeight="false" outlineLevel="0" collapsed="false">
      <c r="A586" s="0" t="s">
        <v>612</v>
      </c>
      <c r="B586" s="0" t="s">
        <v>150</v>
      </c>
      <c r="D586" s="18" t="n">
        <f aca="false">1</f>
        <v>1</v>
      </c>
      <c r="E586" s="18" t="n">
        <f aca="false">ibpp_27</f>
        <v>1</v>
      </c>
      <c r="F586" s="18" t="n">
        <f aca="false">ibpp_28</f>
        <v>0.95</v>
      </c>
      <c r="G586" s="18" t="n">
        <f aca="false">ibpp_29</f>
        <v>0.9</v>
      </c>
      <c r="K586" s="7" t="s">
        <v>613</v>
      </c>
    </row>
    <row r="587" customFormat="false" ht="17.15" hidden="false" customHeight="false" outlineLevel="0" collapsed="false">
      <c r="A587" s="3" t="s">
        <v>614</v>
      </c>
      <c r="B587" s="0" t="s">
        <v>150</v>
      </c>
      <c r="D587" s="18" t="n">
        <f aca="false">1</f>
        <v>1</v>
      </c>
      <c r="E587" s="18" t="n">
        <f aca="false">1+carry</f>
        <v>1.15</v>
      </c>
      <c r="F587" s="18" t="n">
        <f aca="false">1+carry</f>
        <v>1.15</v>
      </c>
      <c r="G587" s="18" t="n">
        <f aca="false">1+carry</f>
        <v>1.15</v>
      </c>
      <c r="K587" s="7" t="s">
        <v>615</v>
      </c>
    </row>
    <row r="588" customFormat="false" ht="17.15" hidden="false" customHeight="false" outlineLevel="0" collapsed="false">
      <c r="A588" s="3" t="s">
        <v>616</v>
      </c>
      <c r="B588" s="0" t="s">
        <v>617</v>
      </c>
      <c r="D588" s="23" t="n">
        <f aca="false">v26*D585*D586</f>
        <v>215.308596</v>
      </c>
      <c r="E588" s="23" t="n">
        <f aca="false">v26*E585*E586</f>
        <v>254.06414328</v>
      </c>
      <c r="F588" s="23" t="n">
        <f aca="false">v26*F585*F586</f>
        <v>284.80590461688</v>
      </c>
      <c r="G588" s="23" t="n">
        <f aca="false">v26*G585*G586</f>
        <v>318.383021792765</v>
      </c>
      <c r="K588" s="7" t="s">
        <v>618</v>
      </c>
    </row>
    <row r="589" customFormat="false" ht="17.15" hidden="false" customHeight="false" outlineLevel="0" collapsed="false">
      <c r="A589" s="3" t="s">
        <v>619</v>
      </c>
      <c r="B589" s="0" t="s">
        <v>40</v>
      </c>
      <c r="D589" s="20" t="n">
        <f aca="false">sh_nv_26</f>
        <v>0.02</v>
      </c>
      <c r="E589" s="20" t="n">
        <f aca="false">sh_nv_27</f>
        <v>0.03</v>
      </c>
      <c r="F589" s="20" t="n">
        <f aca="false">sh_nv_28</f>
        <v>0.04</v>
      </c>
      <c r="G589" s="20" t="n">
        <f aca="false">sh_nv_29</f>
        <v>0.04</v>
      </c>
    </row>
    <row r="590" customFormat="false" ht="17.15" hidden="false" customHeight="false" outlineLevel="0" collapsed="false">
      <c r="A590" s="3" t="s">
        <v>620</v>
      </c>
      <c r="B590" s="0" t="s">
        <v>40</v>
      </c>
      <c r="D590" s="20" t="n">
        <f aca="false">sh_ot_26</f>
        <v>0.05</v>
      </c>
      <c r="E590" s="20" t="n">
        <f aca="false">sh_ot_27</f>
        <v>0.06</v>
      </c>
      <c r="F590" s="20" t="n">
        <f aca="false">sh_ot_28</f>
        <v>0.07</v>
      </c>
      <c r="G590" s="20" t="n">
        <f aca="false">sh_ot_29</f>
        <v>0.07</v>
      </c>
    </row>
    <row r="591" customFormat="false" ht="17.15" hidden="false" customHeight="false" outlineLevel="0" collapsed="false">
      <c r="A591" s="3" t="s">
        <v>621</v>
      </c>
      <c r="B591" s="0" t="s">
        <v>571</v>
      </c>
      <c r="D591" s="22" t="n">
        <f aca="false">(D583*D588*D589+D584*D588*v_ot*D590)*D587</f>
        <v>98.180719776</v>
      </c>
      <c r="E591" s="22" t="n">
        <f aca="false">(E583*E588*E589+E584*E588*v_ot*E590)*E587</f>
        <v>281.363335475436</v>
      </c>
      <c r="F591" s="22" t="n">
        <f aca="false">(F583*F588*F589+F584*F588*v_ot*F590)*F587</f>
        <v>436.265684692137</v>
      </c>
      <c r="G591" s="22" t="n">
        <f aca="false">(G583*G588*G589+G584*G588*v_ot*G590)*G587</f>
        <v>556.094153523679</v>
      </c>
    </row>
    <row r="592" customFormat="false" ht="15" hidden="false" customHeight="false" outlineLevel="0" collapsed="false">
      <c r="A592" s="3" t="s">
        <v>622</v>
      </c>
      <c r="B592" s="0" t="s">
        <v>329</v>
      </c>
      <c r="D592" s="21" t="n">
        <f aca="false">D591*fx/1000</f>
        <v>3.19087339272</v>
      </c>
      <c r="E592" s="21" t="n">
        <f aca="false">E591*fx/1000</f>
        <v>9.14430840295167</v>
      </c>
      <c r="F592" s="21" t="n">
        <f aca="false">F591*fx/1000</f>
        <v>14.1786347524944</v>
      </c>
      <c r="G592" s="21" t="n">
        <f aca="false">G591*fx/1000</f>
        <v>18.0730599895196</v>
      </c>
    </row>
    <row r="593" customFormat="false" ht="17.15" hidden="false" customHeight="false" outlineLevel="0" collapsed="false">
      <c r="A593" s="5" t="s">
        <v>623</v>
      </c>
    </row>
    <row r="594" customFormat="false" ht="17.15" hidden="false" customHeight="false" outlineLevel="0" collapsed="false">
      <c r="A594" s="0" t="s">
        <v>624</v>
      </c>
      <c r="B594" s="0" t="s">
        <v>329</v>
      </c>
      <c r="D594" s="21" t="n">
        <f aca="false">a26_abf*ai_abf</f>
        <v>22.2987583</v>
      </c>
      <c r="K594" s="3" t="s">
        <v>625</v>
      </c>
    </row>
    <row r="595" customFormat="false" ht="17.15" hidden="false" customHeight="false" outlineLevel="0" collapsed="false">
      <c r="A595" s="3" t="s">
        <v>626</v>
      </c>
      <c r="B595" s="0" t="s">
        <v>329</v>
      </c>
      <c r="D595" s="21" t="n">
        <f aca="false">D594-D592</f>
        <v>19.10788490728</v>
      </c>
      <c r="E595" s="21" t="n">
        <f aca="false">$D595*(swm_27/swm_26)^el_o*1*1*E586*E587</f>
        <v>30.7354094978265</v>
      </c>
      <c r="F595" s="21" t="n">
        <f aca="false">$D595*(swm_28/swm_26)^el_o*um28_A*1*F586*F587</f>
        <v>31.4104002135205</v>
      </c>
      <c r="G595" s="21" t="n">
        <f aca="false">$D595*(swm_29/swm_26)^el_o*um29_A*1*G586*G587</f>
        <v>31.7452412889375</v>
      </c>
      <c r="K595" s="7" t="s">
        <v>627</v>
      </c>
    </row>
    <row r="596" customFormat="false" ht="17.15" hidden="false" customHeight="false" outlineLevel="0" collapsed="false">
      <c r="A596" s="3" t="s">
        <v>628</v>
      </c>
      <c r="B596" s="0" t="s">
        <v>329</v>
      </c>
      <c r="D596" s="21" t="n">
        <f aca="false">a26_abf-D594</f>
        <v>12.0070237</v>
      </c>
      <c r="E596" s="21" t="n">
        <f aca="false">D596*(1+g_nai)</f>
        <v>12.367234411</v>
      </c>
      <c r="F596" s="21" t="n">
        <f aca="false">E596*(1+g_nai)</f>
        <v>12.73825144333</v>
      </c>
      <c r="G596" s="21" t="n">
        <f aca="false">F596*(1+g_nai)</f>
        <v>13.1203989866299</v>
      </c>
    </row>
    <row r="597" customFormat="false" ht="17.15" hidden="false" customHeight="false" outlineLevel="0" collapsed="false">
      <c r="A597" s="0" t="s">
        <v>629</v>
      </c>
      <c r="B597" s="0" t="s">
        <v>329</v>
      </c>
      <c r="D597" s="21" t="n">
        <f aca="false">D592+D595+D596</f>
        <v>34.305782</v>
      </c>
      <c r="E597" s="21" t="n">
        <f aca="false">E592+E595+E596</f>
        <v>52.2469523117781</v>
      </c>
      <c r="F597" s="21" t="n">
        <f aca="false">F592+F595+F596</f>
        <v>58.3272864093449</v>
      </c>
      <c r="G597" s="21" t="n">
        <f aca="false">G592+G595+G596</f>
        <v>62.9387002650869</v>
      </c>
    </row>
    <row r="598" customFormat="false" ht="17.15" hidden="false" customHeight="false" outlineLevel="0" collapsed="false">
      <c r="A598" s="0" t="s">
        <v>630</v>
      </c>
      <c r="B598" s="0" t="s">
        <v>329</v>
      </c>
      <c r="D598" s="21" t="n">
        <f aca="false">a26_abf</f>
        <v>34.305782</v>
      </c>
      <c r="E598" s="21" t="n">
        <f aca="false">$D597*cap_27*(1+g_mix)^1*E586*E587</f>
        <v>49.709078118</v>
      </c>
      <c r="F598" s="21" t="n">
        <f aca="false">$D597*cap_28*(1+g_mix)^2*F586*F587</f>
        <v>55.7829061005431</v>
      </c>
      <c r="G598" s="21" t="n">
        <f aca="false">$D597*cap_29*(1+g_mix)^3*G586*G587</f>
        <v>65.765110350114</v>
      </c>
      <c r="K598" s="7" t="s">
        <v>631</v>
      </c>
    </row>
    <row r="599" customFormat="false" ht="17.15" hidden="false" customHeight="false" outlineLevel="0" collapsed="false">
      <c r="A599" s="0" t="s">
        <v>632</v>
      </c>
      <c r="B599" s="0" t="s">
        <v>329</v>
      </c>
      <c r="D599" s="21" t="n">
        <f aca="false">a26_abf</f>
        <v>34.305782</v>
      </c>
      <c r="E599" s="21" t="n">
        <f aca="false">MIN(E597,E598)</f>
        <v>49.709078118</v>
      </c>
      <c r="F599" s="21" t="n">
        <f aca="false">MIN(F597,F598)</f>
        <v>55.7829061005431</v>
      </c>
      <c r="G599" s="21" t="n">
        <f aca="false">MIN(G597,G598)</f>
        <v>62.9387002650869</v>
      </c>
    </row>
    <row r="600" customFormat="false" ht="17.15" hidden="false" customHeight="false" outlineLevel="0" collapsed="false">
      <c r="A600" s="3" t="s">
        <v>633</v>
      </c>
      <c r="B600" s="0" t="s">
        <v>40</v>
      </c>
      <c r="D600" s="20" t="n">
        <f aca="false">D599/D597</f>
        <v>1</v>
      </c>
      <c r="E600" s="20" t="n">
        <f aca="false">E599/E597</f>
        <v>0.951425411789885</v>
      </c>
      <c r="F600" s="20" t="n">
        <f aca="false">F599/F597</f>
        <v>0.956377529876066</v>
      </c>
      <c r="G600" s="20" t="n">
        <f aca="false">G599/G597</f>
        <v>1</v>
      </c>
    </row>
    <row r="601" customFormat="false" ht="17.15" hidden="false" customHeight="false" outlineLevel="0" collapsed="false">
      <c r="A601" s="0" t="s">
        <v>634</v>
      </c>
      <c r="B601" s="0" t="s">
        <v>329</v>
      </c>
      <c r="D601" s="21" t="n">
        <f aca="false">(D592+D595)*D600</f>
        <v>22.2987583</v>
      </c>
      <c r="E601" s="21" t="n">
        <f aca="false">(E592+E595)*E600</f>
        <v>37.9425770258123</v>
      </c>
      <c r="F601" s="21" t="n">
        <f aca="false">(F592+F595)*F600</f>
        <v>43.6003286502309</v>
      </c>
      <c r="G601" s="21" t="n">
        <f aca="false">(G592+G595)*G600</f>
        <v>49.818301278457</v>
      </c>
    </row>
    <row r="602" customFormat="false" ht="17.15" hidden="false" customHeight="false" outlineLevel="0" collapsed="false">
      <c r="A602" s="3" t="s">
        <v>635</v>
      </c>
      <c r="B602" s="0" t="s">
        <v>40</v>
      </c>
      <c r="D602" s="20" t="n">
        <f aca="false">D592/(D592+D595)</f>
        <v>0.14309646078903</v>
      </c>
      <c r="E602" s="20" t="n">
        <f aca="false">E592/(E592+E595)</f>
        <v>0.229297218844501</v>
      </c>
      <c r="F602" s="20" t="n">
        <f aca="false">F592/(F592+F595)</f>
        <v>0.311009758444419</v>
      </c>
      <c r="G602" s="20" t="n">
        <f aca="false">G592/(G592+G595)</f>
        <v>0.362779531331288</v>
      </c>
    </row>
    <row r="603" customFormat="false" ht="17.15" hidden="false" customHeight="false" outlineLevel="0" collapsed="false">
      <c r="A603" s="5" t="s">
        <v>636</v>
      </c>
    </row>
    <row r="604" customFormat="false" ht="17.15" hidden="false" customHeight="false" outlineLevel="0" collapsed="false">
      <c r="A604" s="0" t="s">
        <v>637</v>
      </c>
      <c r="B604" s="0" t="s">
        <v>329</v>
      </c>
      <c r="D604" s="21" t="n">
        <f aca="false">a26_bt</f>
        <v>18.927328</v>
      </c>
      <c r="E604" s="21" t="n">
        <f aca="false">D604*(1+g_bt27_A)</f>
        <v>24.6055264</v>
      </c>
      <c r="F604" s="21" t="n">
        <f aca="false">E604*(1+g_bt28_A)</f>
        <v>27.06607904</v>
      </c>
      <c r="G604" s="21" t="n">
        <f aca="false">F604*(1+g_bt29_A)</f>
        <v>28.419382992</v>
      </c>
      <c r="K604" s="7" t="s">
        <v>638</v>
      </c>
    </row>
    <row r="605" customFormat="false" ht="17.15" hidden="false" customHeight="false" outlineLevel="0" collapsed="false">
      <c r="A605" s="0" t="s">
        <v>536</v>
      </c>
      <c r="B605" s="0" t="s">
        <v>329</v>
      </c>
      <c r="D605" s="21" t="n">
        <f aca="false">a26_pcb</f>
        <v>5.91479</v>
      </c>
      <c r="E605" s="21" t="n">
        <f aca="false">D605*(1+g_pcb)</f>
        <v>5.91479</v>
      </c>
      <c r="F605" s="21" t="n">
        <f aca="false">E605*(1+g_pcb)</f>
        <v>5.91479</v>
      </c>
      <c r="G605" s="21" t="n">
        <f aca="false">F605*(1+g_pcb)</f>
        <v>5.91479</v>
      </c>
    </row>
    <row r="606" customFormat="false" ht="17.15" hidden="false" customHeight="false" outlineLevel="0" collapsed="false">
      <c r="A606" s="3" t="s">
        <v>501</v>
      </c>
      <c r="B606" s="0" t="s">
        <v>329</v>
      </c>
      <c r="C606" s="23" t="n">
        <f aca="false">a25_rev</f>
        <v>40.173</v>
      </c>
      <c r="D606" s="23" t="n">
        <f aca="false">D599+D604+D605</f>
        <v>59.1479</v>
      </c>
      <c r="E606" s="23" t="n">
        <f aca="false">E599+E604+E605</f>
        <v>80.229394518</v>
      </c>
      <c r="F606" s="23" t="n">
        <f aca="false">F599+F604+F605</f>
        <v>88.7637751405431</v>
      </c>
      <c r="G606" s="23" t="n">
        <f aca="false">G599+G604+G605</f>
        <v>97.2728732570869</v>
      </c>
      <c r="H606" s="25" t="n">
        <f aca="false">G606*(1+H607)</f>
        <v>105.434863846709</v>
      </c>
      <c r="I606" s="25" t="n">
        <f aca="false">H606*(1+I607)</f>
        <v>113.021333979572</v>
      </c>
      <c r="J606" s="25" t="n">
        <f aca="false">I606*(1+J607)</f>
        <v>119.802614018346</v>
      </c>
      <c r="K606" s="7" t="s">
        <v>639</v>
      </c>
    </row>
    <row r="607" customFormat="false" ht="15" hidden="false" customHeight="false" outlineLevel="0" collapsed="false">
      <c r="A607" s="3" t="s">
        <v>640</v>
      </c>
      <c r="B607" s="0" t="s">
        <v>40</v>
      </c>
      <c r="D607" s="20" t="n">
        <f aca="false">D606/C606-1</f>
        <v>0.472329674159261</v>
      </c>
      <c r="E607" s="20" t="n">
        <f aca="false">E606/D606-1</f>
        <v>0.35642</v>
      </c>
      <c r="F607" s="20" t="n">
        <f aca="false">F606/E606-1</f>
        <v>0.106374735517023</v>
      </c>
      <c r="G607" s="20" t="n">
        <f aca="false">G606/F606-1</f>
        <v>0.0958622828183122</v>
      </c>
      <c r="H607" s="26" t="n">
        <f aca="false">$G607+(fade_gA-$G607)*1/3</f>
        <v>0.0839081885455415</v>
      </c>
      <c r="I607" s="26" t="n">
        <f aca="false">$G607+(fade_gA-$G607)*2/3</f>
        <v>0.0719540942727707</v>
      </c>
      <c r="J607" s="26" t="n">
        <f aca="false">$G607+(fade_gA-$G607)*3/3</f>
        <v>0.06</v>
      </c>
    </row>
    <row r="608" customFormat="false" ht="17.15" hidden="false" customHeight="false" outlineLevel="0" collapsed="false">
      <c r="A608" s="0" t="s">
        <v>641</v>
      </c>
      <c r="B608" s="0" t="s">
        <v>40</v>
      </c>
      <c r="D608" s="20" t="n">
        <f aca="false">D599/D606</f>
        <v>0.58</v>
      </c>
      <c r="E608" s="20" t="n">
        <f aca="false">E599/E606</f>
        <v>0.619586853629407</v>
      </c>
      <c r="F608" s="20" t="n">
        <f aca="false">F599/F606</f>
        <v>0.62844224473576</v>
      </c>
      <c r="G608" s="20" t="n">
        <f aca="false">G599/G606</f>
        <v>0.647032396161912</v>
      </c>
    </row>
    <row r="609" customFormat="false" ht="17.15" hidden="false" customHeight="false" outlineLevel="0" collapsed="false">
      <c r="A609" s="0" t="s">
        <v>642</v>
      </c>
      <c r="B609" s="0" t="s">
        <v>40</v>
      </c>
      <c r="D609" s="20" t="n">
        <f aca="false">D601/D606</f>
        <v>0.377</v>
      </c>
      <c r="E609" s="20" t="n">
        <f aca="false">E601/E606</f>
        <v>0.472926129553422</v>
      </c>
      <c r="F609" s="20" t="n">
        <f aca="false">F601/F606</f>
        <v>0.491195068947855</v>
      </c>
      <c r="G609" s="20" t="n">
        <f aca="false">G601/G606</f>
        <v>0.512149992185282</v>
      </c>
      <c r="K609" s="3" t="s">
        <v>643</v>
      </c>
    </row>
    <row r="610" customFormat="false" ht="17.15" hidden="false" customHeight="false" outlineLevel="0" collapsed="false">
      <c r="A610" s="5" t="s">
        <v>644</v>
      </c>
    </row>
    <row r="611" customFormat="false" ht="15" hidden="false" customHeight="false" outlineLevel="0" collapsed="false">
      <c r="A611" s="3" t="s">
        <v>645</v>
      </c>
      <c r="B611" s="0" t="s">
        <v>329</v>
      </c>
      <c r="C611" s="23" t="n">
        <f aca="false">a25_cx</f>
        <v>2.422</v>
      </c>
      <c r="D611" s="23" t="n">
        <f aca="false">capex26</f>
        <v>4</v>
      </c>
      <c r="E611" s="23" t="n">
        <f aca="false">cx27</f>
        <v>14</v>
      </c>
      <c r="F611" s="23" t="n">
        <f aca="false">cx28</f>
        <v>18</v>
      </c>
      <c r="G611" s="23" t="n">
        <f aca="false">cx29</f>
        <v>12</v>
      </c>
      <c r="H611" s="25" t="n">
        <f aca="false">H606*H628</f>
        <v>12.4417241176456</v>
      </c>
      <c r="I611" s="25" t="n">
        <f aca="false">I606*I628</f>
        <v>12.7311163691189</v>
      </c>
      <c r="J611" s="25" t="n">
        <f aca="false">J606*J628</f>
        <v>12.8527921683461</v>
      </c>
    </row>
    <row r="612" customFormat="false" ht="17.15" hidden="false" customHeight="false" outlineLevel="0" collapsed="false">
      <c r="A612" s="3" t="s">
        <v>646</v>
      </c>
      <c r="B612" s="0" t="s">
        <v>329</v>
      </c>
      <c r="C612" s="23" t="n">
        <f aca="false">a25_da</f>
        <v>6.894</v>
      </c>
      <c r="D612" s="23" t="n">
        <f aca="false">da26</f>
        <v>7.1</v>
      </c>
      <c r="E612" s="23" t="n">
        <f aca="false">D612*(1-1/life)+D611/life</f>
        <v>6.7125</v>
      </c>
      <c r="F612" s="23" t="n">
        <f aca="false">E612*(1-1/life)+E611/life</f>
        <v>7.6234375</v>
      </c>
      <c r="G612" s="23" t="n">
        <f aca="false">F612*(1-1/life)+F611/life</f>
        <v>8.9205078125</v>
      </c>
      <c r="H612" s="25" t="n">
        <f aca="false">H606*H613</f>
        <v>9.66901146395322</v>
      </c>
      <c r="I612" s="25" t="n">
        <f aca="false">I606*I613</f>
        <v>10.364736426355</v>
      </c>
      <c r="J612" s="25" t="n">
        <f aca="false">J606*J613</f>
        <v>10.9866206119363</v>
      </c>
      <c r="K612" s="3" t="s">
        <v>647</v>
      </c>
    </row>
    <row r="613" customFormat="false" ht="17.15" hidden="false" customHeight="false" outlineLevel="0" collapsed="false">
      <c r="A613" s="3" t="s">
        <v>648</v>
      </c>
      <c r="B613" s="0" t="s">
        <v>40</v>
      </c>
      <c r="C613" s="20" t="n">
        <f aca="false">C612/C606</f>
        <v>0.171607796281084</v>
      </c>
      <c r="D613" s="20" t="n">
        <f aca="false">D612/D606</f>
        <v>0.120038074048276</v>
      </c>
      <c r="E613" s="20" t="n">
        <f aca="false">E612/E606</f>
        <v>0.0836663424961285</v>
      </c>
      <c r="F613" s="20" t="n">
        <f aca="false">F612/F606</f>
        <v>0.0858845569369883</v>
      </c>
      <c r="G613" s="20" t="n">
        <f aca="false">G612/G606</f>
        <v>0.0917060174517882</v>
      </c>
      <c r="H613" s="26" t="n">
        <f aca="false">$G613</f>
        <v>0.0917060174517882</v>
      </c>
      <c r="I613" s="26" t="n">
        <f aca="false">$G613</f>
        <v>0.0917060174517882</v>
      </c>
      <c r="J613" s="26" t="n">
        <f aca="false">$G613</f>
        <v>0.0917060174517882</v>
      </c>
    </row>
    <row r="614" customFormat="false" ht="17.15" hidden="false" customHeight="false" outlineLevel="0" collapsed="false">
      <c r="A614" s="3" t="s">
        <v>649</v>
      </c>
      <c r="B614" s="0" t="s">
        <v>329</v>
      </c>
      <c r="E614" s="21" t="n">
        <f aca="false">E601*(1-1/(E586*E587))</f>
        <v>4.94903178597551</v>
      </c>
      <c r="F614" s="21" t="n">
        <f aca="false">F601*(1-1/(F586*F587))</f>
        <v>3.69156100699895</v>
      </c>
      <c r="G614" s="21" t="n">
        <f aca="false">G601*(1-1/(G586*G587))</f>
        <v>1.68467685482705</v>
      </c>
      <c r="K614" s="7" t="s">
        <v>650</v>
      </c>
    </row>
    <row r="615" customFormat="false" ht="17.15" hidden="false" customHeight="false" outlineLevel="0" collapsed="false">
      <c r="A615" s="3" t="s">
        <v>651</v>
      </c>
      <c r="B615" s="0" t="s">
        <v>329</v>
      </c>
      <c r="C615" s="21" t="n">
        <f aca="false">a25_gp</f>
        <v>3.647</v>
      </c>
      <c r="D615" s="21" t="n">
        <f aca="false">a26_gp</f>
        <v>15.9001925</v>
      </c>
      <c r="E615" s="21" t="n">
        <f aca="false">$D615+ft_abf*(E599-E614-$D599)+ft_oth_lo*((E606-E599)-($D606-$D599))+E614-(E612-$D612)</f>
        <v>27.8834060519878</v>
      </c>
      <c r="F615" s="21" t="n">
        <f aca="false">$D615+ft_abf*(F599-F614-$D599)+ft_oth_lo*((F606-F599)-($D606-$D599))+F614-(F612-$D612)</f>
        <v>29.995785313771</v>
      </c>
      <c r="G615" s="21" t="n">
        <f aca="false">$D615+ft_abf*(G599-G614-$D599)+ft_oth_lo*((G606-G599)-($D606-$D599))+G614-(G612-$D612)</f>
        <v>31.611495995457</v>
      </c>
      <c r="K615" s="3" t="s">
        <v>652</v>
      </c>
    </row>
    <row r="616" customFormat="false" ht="15" hidden="false" customHeight="false" outlineLevel="0" collapsed="false">
      <c r="A616" s="3" t="s">
        <v>508</v>
      </c>
      <c r="B616" s="0" t="s">
        <v>40</v>
      </c>
      <c r="C616" s="16" t="n">
        <f aca="false">C615/C606</f>
        <v>0.0907823662659</v>
      </c>
      <c r="D616" s="16" t="n">
        <f aca="false">D615/D606</f>
        <v>0.268820913337583</v>
      </c>
      <c r="E616" s="16" t="n">
        <f aca="false">E615/E606</f>
        <v>0.347546011278097</v>
      </c>
      <c r="F616" s="16" t="n">
        <f aca="false">F615/F606</f>
        <v>0.337928228787899</v>
      </c>
      <c r="G616" s="16" t="n">
        <f aca="false">G615/G606</f>
        <v>0.324977508497251</v>
      </c>
    </row>
    <row r="617" customFormat="false" ht="15" hidden="false" customHeight="false" outlineLevel="0" collapsed="false">
      <c r="A617" s="3" t="s">
        <v>510</v>
      </c>
      <c r="B617" s="0" t="s">
        <v>329</v>
      </c>
      <c r="C617" s="21" t="n">
        <f aca="false">a25_opx</f>
        <v>1.665</v>
      </c>
      <c r="D617" s="21" t="n">
        <f aca="false">a26_opx</f>
        <v>1.9</v>
      </c>
      <c r="E617" s="21" t="n">
        <f aca="false">D617*(1+phi*E607)</f>
        <v>2.3063188</v>
      </c>
      <c r="F617" s="21" t="n">
        <f aca="false">E617*(1+phi*F607)</f>
        <v>2.45351923142076</v>
      </c>
      <c r="G617" s="21" t="n">
        <f aca="false">F617*(1+phi*G607)</f>
        <v>2.59463920409834</v>
      </c>
    </row>
    <row r="618" customFormat="false" ht="15" hidden="false" customHeight="false" outlineLevel="0" collapsed="false">
      <c r="A618" s="3" t="s">
        <v>513</v>
      </c>
      <c r="B618" s="0" t="s">
        <v>329</v>
      </c>
      <c r="C618" s="21" t="n">
        <f aca="false">C615-C617</f>
        <v>1.982</v>
      </c>
      <c r="D618" s="21" t="n">
        <f aca="false">D615-D617</f>
        <v>14.0001925</v>
      </c>
      <c r="E618" s="21" t="n">
        <f aca="false">E615-E617</f>
        <v>25.5770872519878</v>
      </c>
      <c r="F618" s="21" t="n">
        <f aca="false">F615-F617</f>
        <v>27.5422660823503</v>
      </c>
      <c r="G618" s="21" t="n">
        <f aca="false">G615-G617</f>
        <v>29.0168567913587</v>
      </c>
    </row>
    <row r="619" customFormat="false" ht="15" hidden="false" customHeight="false" outlineLevel="0" collapsed="false">
      <c r="A619" s="3" t="s">
        <v>594</v>
      </c>
      <c r="B619" s="0" t="s">
        <v>40</v>
      </c>
      <c r="C619" s="16" t="n">
        <f aca="false">C618/C606</f>
        <v>0.0493366191222961</v>
      </c>
      <c r="D619" s="16" t="n">
        <f aca="false">D618/D606</f>
        <v>0.236698048451424</v>
      </c>
      <c r="E619" s="16" t="n">
        <f aca="false">E618/E606</f>
        <v>0.3187994550582</v>
      </c>
      <c r="F619" s="16" t="n">
        <f aca="false">F618/F606</f>
        <v>0.310287231911233</v>
      </c>
      <c r="G619" s="16" t="n">
        <f aca="false">G618/G606</f>
        <v>0.298303687551911</v>
      </c>
    </row>
    <row r="620" customFormat="false" ht="15" hidden="false" customHeight="false" outlineLevel="0" collapsed="false">
      <c r="A620" s="3" t="s">
        <v>516</v>
      </c>
      <c r="B620" s="0" t="s">
        <v>329</v>
      </c>
      <c r="C620" s="21" t="n">
        <f aca="false">a25_nonop</f>
        <v>0.364</v>
      </c>
      <c r="D620" s="21" t="n">
        <f aca="false">a26_nonop</f>
        <v>0.623</v>
      </c>
      <c r="E620" s="21" t="n">
        <f aca="false">nonop27</f>
        <v>0.6</v>
      </c>
      <c r="F620" s="21" t="n">
        <f aca="false">nonop28</f>
        <v>0.6</v>
      </c>
      <c r="G620" s="21" t="n">
        <f aca="false">nonop29</f>
        <v>0.6</v>
      </c>
    </row>
    <row r="621" customFormat="false" ht="15" hidden="false" customHeight="false" outlineLevel="0" collapsed="false">
      <c r="A621" s="3" t="s">
        <v>518</v>
      </c>
      <c r="B621" s="0" t="s">
        <v>329</v>
      </c>
      <c r="C621" s="21" t="n">
        <f aca="false">C618+C620</f>
        <v>2.346</v>
      </c>
      <c r="D621" s="21" t="n">
        <f aca="false">D618+D620</f>
        <v>14.6231925</v>
      </c>
      <c r="E621" s="21" t="n">
        <f aca="false">E618+E620</f>
        <v>26.1770872519878</v>
      </c>
      <c r="F621" s="21" t="n">
        <f aca="false">F618+F620</f>
        <v>28.1422660823503</v>
      </c>
      <c r="G621" s="21" t="n">
        <f aca="false">G618+G620</f>
        <v>29.6168567913587</v>
      </c>
    </row>
    <row r="622" customFormat="false" ht="15" hidden="false" customHeight="false" outlineLevel="0" collapsed="false">
      <c r="A622" s="3" t="s">
        <v>521</v>
      </c>
      <c r="B622" s="0" t="s">
        <v>329</v>
      </c>
      <c r="E622" s="21" t="n">
        <f aca="false">E621*tax</f>
        <v>5.49718832291743</v>
      </c>
      <c r="F622" s="21" t="n">
        <f aca="false">F621*tax</f>
        <v>5.90987587729356</v>
      </c>
      <c r="G622" s="21" t="n">
        <f aca="false">G621*tax</f>
        <v>6.21953992618532</v>
      </c>
    </row>
    <row r="623" customFormat="false" ht="15" hidden="false" customHeight="false" outlineLevel="0" collapsed="false">
      <c r="A623" s="3" t="s">
        <v>519</v>
      </c>
      <c r="B623" s="0" t="s">
        <v>329</v>
      </c>
      <c r="C623" s="21" t="n">
        <f aca="false">a25_ni</f>
        <v>1.947</v>
      </c>
      <c r="D623" s="21" t="n">
        <f aca="false">a26_ni</f>
        <v>11.509862075</v>
      </c>
      <c r="E623" s="21" t="n">
        <f aca="false">E621-E622</f>
        <v>20.6798989290703</v>
      </c>
      <c r="F623" s="21" t="n">
        <f aca="false">F621-F622</f>
        <v>22.2323902050567</v>
      </c>
      <c r="G623" s="21" t="n">
        <f aca="false">G621-G622</f>
        <v>23.3973168651733</v>
      </c>
      <c r="H623" s="30" t="n">
        <f aca="false">H606*H627</f>
        <v>25.7669397273682</v>
      </c>
      <c r="I623" s="30" t="n">
        <f aca="false">I606*I627</f>
        <v>28.0566148088018</v>
      </c>
      <c r="J623" s="30" t="n">
        <f aca="false">J606*J627</f>
        <v>30.2017882647699</v>
      </c>
    </row>
    <row r="624" customFormat="false" ht="15" hidden="false" customHeight="false" outlineLevel="0" collapsed="false">
      <c r="A624" s="3" t="s">
        <v>653</v>
      </c>
      <c r="B624" s="3" t="s">
        <v>396</v>
      </c>
      <c r="C624" s="29" t="n">
        <f aca="false">a25_sh</f>
        <v>0.646843853820598</v>
      </c>
      <c r="D624" s="29" t="n">
        <f aca="false">a26_sh</f>
        <v>0.645863325123153</v>
      </c>
      <c r="E624" s="29" t="n">
        <f aca="false">a26_shend*(1+sh_g)</f>
        <v>0.64617</v>
      </c>
      <c r="F624" s="29" t="n">
        <f aca="false">E624*(1+sh_g)</f>
        <v>0.64617</v>
      </c>
      <c r="G624" s="29" t="n">
        <f aca="false">F624*(1+sh_g)</f>
        <v>0.64617</v>
      </c>
      <c r="H624" s="31" t="n">
        <f aca="false">G624*(1+sh_g)</f>
        <v>0.64617</v>
      </c>
      <c r="I624" s="31" t="n">
        <f aca="false">H624*(1+sh_g)</f>
        <v>0.64617</v>
      </c>
      <c r="J624" s="31" t="n">
        <f aca="false">I624*(1+sh_g)</f>
        <v>0.64617</v>
      </c>
    </row>
    <row r="625" customFormat="false" ht="17.15" hidden="false" customHeight="false" outlineLevel="0" collapsed="false">
      <c r="A625" s="0" t="s">
        <v>524</v>
      </c>
      <c r="B625" s="0" t="s">
        <v>402</v>
      </c>
      <c r="C625" s="18" t="n">
        <f aca="false">C623/C624</f>
        <v>3.01</v>
      </c>
      <c r="D625" s="18" t="n">
        <f aca="false">D623/D624</f>
        <v>17.820894339844</v>
      </c>
      <c r="E625" s="18" t="n">
        <f aca="false">E623/E624</f>
        <v>32.0038053903312</v>
      </c>
      <c r="F625" s="18" t="n">
        <f aca="false">F623/F624</f>
        <v>34.4064103951851</v>
      </c>
      <c r="G625" s="18" t="n">
        <f aca="false">G623/G624</f>
        <v>36.2092280130203</v>
      </c>
      <c r="H625" s="28" t="n">
        <f aca="false">H623/H624</f>
        <v>39.8764098106818</v>
      </c>
      <c r="I625" s="28" t="n">
        <f aca="false">I623/I624</f>
        <v>43.4198659931625</v>
      </c>
      <c r="J625" s="28" t="n">
        <f aca="false">J623/J624</f>
        <v>46.7396942983578</v>
      </c>
    </row>
    <row r="626" customFormat="false" ht="17.15" hidden="false" customHeight="false" outlineLevel="0" collapsed="false">
      <c r="A626" s="0" t="s">
        <v>654</v>
      </c>
      <c r="B626" s="0" t="s">
        <v>40</v>
      </c>
      <c r="D626" s="20" t="n">
        <f aca="false">D625/C625-1</f>
        <v>4.92056290360265</v>
      </c>
      <c r="E626" s="20" t="n">
        <f aca="false">E625/D625-1</f>
        <v>0.795858545593702</v>
      </c>
      <c r="F626" s="20" t="n">
        <f aca="false">F625/E625-1</f>
        <v>0.0750724788990149</v>
      </c>
      <c r="G626" s="20" t="n">
        <f aca="false">G625/F625-1</f>
        <v>0.0523977246428347</v>
      </c>
      <c r="H626" s="26" t="n">
        <f aca="false">H625/G625-1</f>
        <v>0.101277547158497</v>
      </c>
      <c r="I626" s="26" t="n">
        <f aca="false">I625/H625-1</f>
        <v>0.0888609631434665</v>
      </c>
      <c r="J626" s="26" t="n">
        <f aca="false">J625/I625-1</f>
        <v>0.0764587413908202</v>
      </c>
    </row>
    <row r="627" customFormat="false" ht="17.15" hidden="false" customHeight="false" outlineLevel="0" collapsed="false">
      <c r="A627" s="3" t="s">
        <v>655</v>
      </c>
      <c r="B627" s="0" t="s">
        <v>40</v>
      </c>
      <c r="C627" s="16" t="n">
        <f aca="false">C623/C606</f>
        <v>0.0484653872003585</v>
      </c>
      <c r="D627" s="16" t="n">
        <f aca="false">D623/D606</f>
        <v>0.194594602259759</v>
      </c>
      <c r="E627" s="16" t="n">
        <f aca="false">E623/E606</f>
        <v>0.257759628541515</v>
      </c>
      <c r="F627" s="16" t="n">
        <f aca="false">F623/F606</f>
        <v>0.250466929441152</v>
      </c>
      <c r="G627" s="16" t="n">
        <f aca="false">G623/G606</f>
        <v>0.240532803049166</v>
      </c>
      <c r="H627" s="27" t="n">
        <f aca="false">$G627+(fade_mA-$G627)*1/3</f>
        <v>0.244387281277572</v>
      </c>
      <c r="I627" s="27" t="n">
        <f aca="false">$G627+(fade_mA-$G627)*2/3</f>
        <v>0.248241759505979</v>
      </c>
      <c r="J627" s="27" t="n">
        <f aca="false">$G627+(fade_mA-$G627)*3/3</f>
        <v>0.252096237734386</v>
      </c>
    </row>
    <row r="628" customFormat="false" ht="17.15" hidden="false" customHeight="false" outlineLevel="0" collapsed="false">
      <c r="A628" s="3" t="s">
        <v>656</v>
      </c>
      <c r="B628" s="0" t="s">
        <v>40</v>
      </c>
      <c r="C628" s="20" t="n">
        <f aca="false">C611/C606</f>
        <v>0.0602892489980833</v>
      </c>
      <c r="D628" s="20" t="n">
        <f aca="false">D611/D606</f>
        <v>0.0676270839708595</v>
      </c>
      <c r="E628" s="20" t="n">
        <f aca="false">E611/E606</f>
        <v>0.174499634256357</v>
      </c>
      <c r="F628" s="20" t="n">
        <f aca="false">F611/F606</f>
        <v>0.202785426504223</v>
      </c>
      <c r="G628" s="20" t="n">
        <f aca="false">G611/G606</f>
        <v>0.123364300839399</v>
      </c>
      <c r="H628" s="26" t="n">
        <f aca="false">$G628+($G613*(1+tp_g)^(life/2)-$G628)*1/3</f>
        <v>0.118003890399427</v>
      </c>
      <c r="I628" s="26" t="n">
        <f aca="false">$G628+($G613*(1+tp_g)^(life/2)-$G628)*2/3</f>
        <v>0.112643479959456</v>
      </c>
      <c r="J628" s="26" t="n">
        <f aca="false">$G628+($G613*(1+tp_g)^(life/2)-$G628)*3/3</f>
        <v>0.107283069519484</v>
      </c>
      <c r="K628" s="7" t="s">
        <v>657</v>
      </c>
    </row>
    <row r="629" customFormat="false" ht="15" hidden="false" customHeight="false" outlineLevel="0" collapsed="false">
      <c r="A629" s="3" t="s">
        <v>658</v>
      </c>
      <c r="B629" s="0" t="s">
        <v>329</v>
      </c>
      <c r="E629" s="21" t="n">
        <f aca="false">E623+E612-E611</f>
        <v>13.3923989290703</v>
      </c>
      <c r="F629" s="21" t="n">
        <f aca="false">F623+F612-F611</f>
        <v>11.8558277050567</v>
      </c>
      <c r="G629" s="21" t="n">
        <f aca="false">G623+G612-G611</f>
        <v>20.3178246776733</v>
      </c>
      <c r="H629" s="30" t="n">
        <f aca="false">H623+H612-H611</f>
        <v>22.9942270736759</v>
      </c>
      <c r="I629" s="30" t="n">
        <f aca="false">I623+I612-I611</f>
        <v>25.690234866038</v>
      </c>
      <c r="J629" s="30" t="n">
        <f aca="false">J623+J612-J611</f>
        <v>28.33561670836</v>
      </c>
      <c r="K629" s="3" t="s">
        <v>659</v>
      </c>
    </row>
    <row r="630" customFormat="false" ht="15" hidden="false" customHeight="false" outlineLevel="0" collapsed="false">
      <c r="A630" s="3" t="s">
        <v>660</v>
      </c>
      <c r="B630" s="0" t="s">
        <v>402</v>
      </c>
      <c r="E630" s="18" t="n">
        <f aca="false">E629/E624</f>
        <v>20.7258135306039</v>
      </c>
      <c r="F630" s="18" t="n">
        <f aca="false">F629/F624</f>
        <v>18.3478460854833</v>
      </c>
      <c r="G630" s="18" t="n">
        <f aca="false">G629/G624</f>
        <v>31.4434663906918</v>
      </c>
      <c r="H630" s="28" t="n">
        <f aca="false">H629/H624</f>
        <v>35.5854141691441</v>
      </c>
      <c r="I630" s="28" t="n">
        <f aca="false">I629/I624</f>
        <v>39.7577028739155</v>
      </c>
      <c r="J630" s="28" t="n">
        <f aca="false">J629/J624</f>
        <v>43.8516438527942</v>
      </c>
    </row>
    <row r="633" customFormat="false" ht="17.15" hidden="false" customHeight="false" outlineLevel="0" collapsed="false">
      <c r="A633" s="1" t="s">
        <v>969</v>
      </c>
    </row>
    <row r="634" customFormat="false" ht="17.15" hidden="false" customHeight="false" outlineLevel="0" collapsed="false">
      <c r="A634" s="4" t="s">
        <v>17</v>
      </c>
      <c r="B634" s="4" t="s">
        <v>18</v>
      </c>
      <c r="C634" s="13" t="s">
        <v>494</v>
      </c>
      <c r="D634" s="13" t="s">
        <v>581</v>
      </c>
      <c r="E634" s="13" t="s">
        <v>582</v>
      </c>
      <c r="F634" s="13" t="s">
        <v>583</v>
      </c>
      <c r="G634" s="13" t="s">
        <v>584</v>
      </c>
      <c r="H634" s="13" t="s">
        <v>585</v>
      </c>
      <c r="I634" s="13" t="s">
        <v>586</v>
      </c>
      <c r="J634" s="13" t="s">
        <v>587</v>
      </c>
      <c r="K634" s="4" t="s">
        <v>549</v>
      </c>
    </row>
    <row r="635" customFormat="false" ht="17.15" hidden="false" customHeight="false" outlineLevel="0" collapsed="false">
      <c r="A635" s="5" t="s">
        <v>605</v>
      </c>
    </row>
    <row r="636" customFormat="false" ht="17.15" hidden="false" customHeight="false" outlineLevel="0" collapsed="false">
      <c r="A636" s="0" t="s">
        <v>606</v>
      </c>
      <c r="B636" s="3" t="s">
        <v>28</v>
      </c>
      <c r="D636" s="21" t="n">
        <f aca="false">(u_bw_26+u_rb_26+u_ru_26+u_hp_26)*1</f>
        <v>7.6</v>
      </c>
      <c r="E636" s="21" t="n">
        <f aca="false">(u_bw_27+u_rb_27+u_ru_27+u_hp_27)*1*1</f>
        <v>9.7</v>
      </c>
      <c r="F636" s="21" t="n">
        <f aca="false">(u_bw_28+u_rb_28+u_ru_28+u_hp_28)*um28_A*1</f>
        <v>9.5</v>
      </c>
      <c r="G636" s="21" t="n">
        <f aca="false">(u_bw_28*(1+g29_bw)+u_rb_28*(1+g29_rb)+u_ru_28*(1+g29_ru)+u_hp_28*(1+g29_hp))*um29_A*1</f>
        <v>10.6</v>
      </c>
      <c r="K636" s="7" t="s">
        <v>607</v>
      </c>
    </row>
    <row r="637" customFormat="false" ht="17.15" hidden="false" customHeight="false" outlineLevel="0" collapsed="false">
      <c r="A637" s="3" t="s">
        <v>608</v>
      </c>
      <c r="B637" s="3" t="s">
        <v>28</v>
      </c>
      <c r="D637" s="21" t="n">
        <f aca="false">(u_amd_26+u_tpu_26+u_trn_26+u_oth_26)*1</f>
        <v>7.6</v>
      </c>
      <c r="E637" s="21" t="n">
        <f aca="false">(u_amd_27+u_tpu_27+u_trn_27+u_oth_27)*1*1</f>
        <v>14</v>
      </c>
      <c r="F637" s="21" t="n">
        <f aca="false">(u_amd_28+u_tpu_28+u_trn_28+u_oth_28)*um28_A*1</f>
        <v>17</v>
      </c>
      <c r="G637" s="21" t="n">
        <f aca="false">(u_amd_28*(1+g29_amd)+u_tpu_28*(1+g29_tpu)+u_trn_28*(1+g29_trn)+u_oth_28*(1+g29_oth))*um29_A*1</f>
        <v>19.55</v>
      </c>
      <c r="K637" s="7" t="s">
        <v>609</v>
      </c>
    </row>
    <row r="638" customFormat="false" ht="17.15" hidden="false" customHeight="false" outlineLevel="0" collapsed="false">
      <c r="A638" s="3" t="s">
        <v>610</v>
      </c>
      <c r="B638" s="0" t="s">
        <v>150</v>
      </c>
      <c r="D638" s="19" t="n">
        <f aca="false">1</f>
        <v>1</v>
      </c>
      <c r="E638" s="19" t="n">
        <f aca="false">D638*(1+g_asp)</f>
        <v>1.18</v>
      </c>
      <c r="F638" s="19" t="n">
        <f aca="false">E638*(1+g_asp)</f>
        <v>1.3924</v>
      </c>
      <c r="G638" s="19" t="n">
        <f aca="false">F638*(1+g_asp)</f>
        <v>1.643032</v>
      </c>
      <c r="K638" s="7" t="s">
        <v>611</v>
      </c>
    </row>
    <row r="639" customFormat="false" ht="17.15" hidden="false" customHeight="false" outlineLevel="0" collapsed="false">
      <c r="A639" s="0" t="s">
        <v>612</v>
      </c>
      <c r="B639" s="0" t="s">
        <v>150</v>
      </c>
      <c r="D639" s="18" t="n">
        <f aca="false">1</f>
        <v>1</v>
      </c>
      <c r="E639" s="18" t="n">
        <f aca="false">ibpp_27</f>
        <v>1</v>
      </c>
      <c r="F639" s="18" t="n">
        <f aca="false">ibpp_28</f>
        <v>0.95</v>
      </c>
      <c r="G639" s="18" t="n">
        <f aca="false">ibpp_29</f>
        <v>0.9</v>
      </c>
      <c r="K639" s="7" t="s">
        <v>613</v>
      </c>
    </row>
    <row r="640" customFormat="false" ht="17.15" hidden="false" customHeight="false" outlineLevel="0" collapsed="false">
      <c r="A640" s="3" t="s">
        <v>614</v>
      </c>
      <c r="B640" s="0" t="s">
        <v>150</v>
      </c>
      <c r="D640" s="18" t="n">
        <f aca="false">1</f>
        <v>1</v>
      </c>
      <c r="E640" s="18" t="n">
        <f aca="false">1+carry</f>
        <v>1.15</v>
      </c>
      <c r="F640" s="18" t="n">
        <f aca="false">1+carry</f>
        <v>1.15</v>
      </c>
      <c r="G640" s="18" t="n">
        <f aca="false">1+carry</f>
        <v>1.15</v>
      </c>
      <c r="K640" s="7" t="s">
        <v>615</v>
      </c>
    </row>
    <row r="641" customFormat="false" ht="17.15" hidden="false" customHeight="false" outlineLevel="0" collapsed="false">
      <c r="A641" s="3" t="s">
        <v>616</v>
      </c>
      <c r="B641" s="0" t="s">
        <v>617</v>
      </c>
      <c r="D641" s="23" t="n">
        <f aca="false">v26*D638*D639</f>
        <v>215.308596</v>
      </c>
      <c r="E641" s="23" t="n">
        <f aca="false">v26*E638*E639</f>
        <v>254.06414328</v>
      </c>
      <c r="F641" s="23" t="n">
        <f aca="false">v26*F638*F639</f>
        <v>284.80590461688</v>
      </c>
      <c r="G641" s="23" t="n">
        <f aca="false">v26*G638*G639</f>
        <v>318.383021792765</v>
      </c>
      <c r="K641" s="7" t="s">
        <v>618</v>
      </c>
    </row>
    <row r="642" customFormat="false" ht="17.15" hidden="false" customHeight="false" outlineLevel="0" collapsed="false">
      <c r="A642" s="3" t="s">
        <v>619</v>
      </c>
      <c r="B642" s="0" t="s">
        <v>40</v>
      </c>
      <c r="D642" s="20" t="n">
        <f aca="false">sh_nv_26</f>
        <v>0.02</v>
      </c>
      <c r="E642" s="20" t="n">
        <f aca="false">sh_nv_27</f>
        <v>0.03</v>
      </c>
      <c r="F642" s="20" t="n">
        <f aca="false">sh_nv_28</f>
        <v>0.04</v>
      </c>
      <c r="G642" s="20" t="n">
        <f aca="false">sh_nv_29</f>
        <v>0.04</v>
      </c>
    </row>
    <row r="643" customFormat="false" ht="17.15" hidden="false" customHeight="false" outlineLevel="0" collapsed="false">
      <c r="A643" s="3" t="s">
        <v>620</v>
      </c>
      <c r="B643" s="0" t="s">
        <v>40</v>
      </c>
      <c r="D643" s="20" t="n">
        <f aca="false">sh_ot_26</f>
        <v>0.05</v>
      </c>
      <c r="E643" s="20" t="n">
        <f aca="false">sh_ot_27</f>
        <v>0.06</v>
      </c>
      <c r="F643" s="20" t="n">
        <f aca="false">sh_ot_28</f>
        <v>0.07</v>
      </c>
      <c r="G643" s="20" t="n">
        <f aca="false">sh_ot_29</f>
        <v>0.07</v>
      </c>
    </row>
    <row r="644" customFormat="false" ht="17.15" hidden="false" customHeight="false" outlineLevel="0" collapsed="false">
      <c r="A644" s="3" t="s">
        <v>621</v>
      </c>
      <c r="B644" s="0" t="s">
        <v>571</v>
      </c>
      <c r="D644" s="22" t="n">
        <f aca="false">(D636*D641*D642+D637*D641*v_ot*D643)*D640</f>
        <v>98.180719776</v>
      </c>
      <c r="E644" s="22" t="n">
        <f aca="false">(E636*E641*E642+E637*E641*v_ot*E643)*E640</f>
        <v>281.363335475436</v>
      </c>
      <c r="F644" s="22" t="n">
        <f aca="false">(F636*F641*F642+F637*F641*v_ot*F643)*F640</f>
        <v>436.265684692137</v>
      </c>
      <c r="G644" s="22" t="n">
        <f aca="false">(G636*G641*G642+G637*G641*v_ot*G643)*G640</f>
        <v>556.094153523679</v>
      </c>
    </row>
    <row r="645" customFormat="false" ht="15" hidden="false" customHeight="false" outlineLevel="0" collapsed="false">
      <c r="A645" s="3" t="s">
        <v>622</v>
      </c>
      <c r="B645" s="0" t="s">
        <v>329</v>
      </c>
      <c r="D645" s="21" t="n">
        <f aca="false">D644*fx/1000</f>
        <v>3.19087339272</v>
      </c>
      <c r="E645" s="21" t="n">
        <f aca="false">E644*fx/1000</f>
        <v>9.14430840295167</v>
      </c>
      <c r="F645" s="21" t="n">
        <f aca="false">F644*fx/1000</f>
        <v>14.1786347524944</v>
      </c>
      <c r="G645" s="21" t="n">
        <f aca="false">G644*fx/1000</f>
        <v>18.0730599895196</v>
      </c>
    </row>
    <row r="646" customFormat="false" ht="17.15" hidden="false" customHeight="false" outlineLevel="0" collapsed="false">
      <c r="A646" s="5" t="s">
        <v>623</v>
      </c>
    </row>
    <row r="647" customFormat="false" ht="17.15" hidden="false" customHeight="false" outlineLevel="0" collapsed="false">
      <c r="A647" s="0" t="s">
        <v>624</v>
      </c>
      <c r="B647" s="0" t="s">
        <v>329</v>
      </c>
      <c r="D647" s="21" t="n">
        <f aca="false">a26_abf*ai_abf</f>
        <v>22.2987583</v>
      </c>
      <c r="K647" s="3" t="s">
        <v>625</v>
      </c>
    </row>
    <row r="648" customFormat="false" ht="17.15" hidden="false" customHeight="false" outlineLevel="0" collapsed="false">
      <c r="A648" s="3" t="s">
        <v>626</v>
      </c>
      <c r="B648" s="0" t="s">
        <v>329</v>
      </c>
      <c r="D648" s="21" t="n">
        <f aca="false">D647-D645</f>
        <v>19.10788490728</v>
      </c>
      <c r="E648" s="21" t="n">
        <f aca="false">$D648*(swm_27/swm_26)^el_o*1*1*E639*E640</f>
        <v>30.7354094978265</v>
      </c>
      <c r="F648" s="21" t="n">
        <f aca="false">$D648*(swm_28/swm_26)^el_o*um28_A*1*F639*F640</f>
        <v>31.4104002135205</v>
      </c>
      <c r="G648" s="21" t="n">
        <f aca="false">$D648*(swm_29/swm_26)^el_o*um29_A*1*G639*G640</f>
        <v>31.7452412889375</v>
      </c>
      <c r="K648" s="7" t="s">
        <v>627</v>
      </c>
    </row>
    <row r="649" customFormat="false" ht="17.15" hidden="false" customHeight="false" outlineLevel="0" collapsed="false">
      <c r="A649" s="3" t="s">
        <v>628</v>
      </c>
      <c r="B649" s="0" t="s">
        <v>329</v>
      </c>
      <c r="D649" s="21" t="n">
        <f aca="false">a26_abf-D647</f>
        <v>12.0070237</v>
      </c>
      <c r="E649" s="21" t="n">
        <f aca="false">D649*(1+g_nai)</f>
        <v>12.367234411</v>
      </c>
      <c r="F649" s="21" t="n">
        <f aca="false">E649*(1+g_nai)</f>
        <v>12.73825144333</v>
      </c>
      <c r="G649" s="21" t="n">
        <f aca="false">F649*(1+g_nai)</f>
        <v>13.1203989866299</v>
      </c>
    </row>
    <row r="650" customFormat="false" ht="17.15" hidden="false" customHeight="false" outlineLevel="0" collapsed="false">
      <c r="A650" s="0" t="s">
        <v>629</v>
      </c>
      <c r="B650" s="0" t="s">
        <v>329</v>
      </c>
      <c r="D650" s="21" t="n">
        <f aca="false">D645+D648+D649</f>
        <v>34.305782</v>
      </c>
      <c r="E650" s="21" t="n">
        <f aca="false">E645+E648+E649</f>
        <v>52.2469523117781</v>
      </c>
      <c r="F650" s="21" t="n">
        <f aca="false">F645+F648+F649</f>
        <v>58.3272864093449</v>
      </c>
      <c r="G650" s="21" t="n">
        <f aca="false">G645+G648+G649</f>
        <v>62.9387002650869</v>
      </c>
    </row>
    <row r="651" customFormat="false" ht="17.15" hidden="false" customHeight="false" outlineLevel="0" collapsed="false">
      <c r="A651" s="0" t="s">
        <v>630</v>
      </c>
      <c r="B651" s="0" t="s">
        <v>329</v>
      </c>
      <c r="D651" s="21" t="n">
        <f aca="false">a26_abf</f>
        <v>34.305782</v>
      </c>
      <c r="E651" s="21" t="n">
        <f aca="false">$D650*cap_27*(1+g_mix)^1*E639*E640</f>
        <v>49.709078118</v>
      </c>
      <c r="F651" s="21" t="n">
        <f aca="false">$D650*cap_28*(1+g_mix)^2*F639*F640</f>
        <v>55.7829061005431</v>
      </c>
      <c r="G651" s="21" t="n">
        <f aca="false">$D650*cap_29*(1+g_mix)^3*G639*G640</f>
        <v>65.765110350114</v>
      </c>
      <c r="K651" s="7" t="s">
        <v>631</v>
      </c>
    </row>
    <row r="652" customFormat="false" ht="17.15" hidden="false" customHeight="false" outlineLevel="0" collapsed="false">
      <c r="A652" s="0" t="s">
        <v>632</v>
      </c>
      <c r="B652" s="0" t="s">
        <v>329</v>
      </c>
      <c r="D652" s="21" t="n">
        <f aca="false">a26_abf</f>
        <v>34.305782</v>
      </c>
      <c r="E652" s="21" t="n">
        <f aca="false">MIN(E650,E651)</f>
        <v>49.709078118</v>
      </c>
      <c r="F652" s="21" t="n">
        <f aca="false">MIN(F650,F651)</f>
        <v>55.7829061005431</v>
      </c>
      <c r="G652" s="21" t="n">
        <f aca="false">MIN(G650,G651)</f>
        <v>62.9387002650869</v>
      </c>
    </row>
    <row r="653" customFormat="false" ht="17.15" hidden="false" customHeight="false" outlineLevel="0" collapsed="false">
      <c r="A653" s="3" t="s">
        <v>633</v>
      </c>
      <c r="B653" s="0" t="s">
        <v>40</v>
      </c>
      <c r="D653" s="20" t="n">
        <f aca="false">D652/D650</f>
        <v>1</v>
      </c>
      <c r="E653" s="20" t="n">
        <f aca="false">E652/E650</f>
        <v>0.951425411789885</v>
      </c>
      <c r="F653" s="20" t="n">
        <f aca="false">F652/F650</f>
        <v>0.956377529876066</v>
      </c>
      <c r="G653" s="20" t="n">
        <f aca="false">G652/G650</f>
        <v>1</v>
      </c>
    </row>
    <row r="654" customFormat="false" ht="17.15" hidden="false" customHeight="false" outlineLevel="0" collapsed="false">
      <c r="A654" s="0" t="s">
        <v>634</v>
      </c>
      <c r="B654" s="0" t="s">
        <v>329</v>
      </c>
      <c r="D654" s="21" t="n">
        <f aca="false">(D645+D648)*D653</f>
        <v>22.2987583</v>
      </c>
      <c r="E654" s="21" t="n">
        <f aca="false">(E645+E648)*E653</f>
        <v>37.9425770258123</v>
      </c>
      <c r="F654" s="21" t="n">
        <f aca="false">(F645+F648)*F653</f>
        <v>43.6003286502309</v>
      </c>
      <c r="G654" s="21" t="n">
        <f aca="false">(G645+G648)*G653</f>
        <v>49.818301278457</v>
      </c>
    </row>
    <row r="655" customFormat="false" ht="17.15" hidden="false" customHeight="false" outlineLevel="0" collapsed="false">
      <c r="A655" s="3" t="s">
        <v>635</v>
      </c>
      <c r="B655" s="0" t="s">
        <v>40</v>
      </c>
      <c r="D655" s="20" t="n">
        <f aca="false">D645/(D645+D648)</f>
        <v>0.14309646078903</v>
      </c>
      <c r="E655" s="20" t="n">
        <f aca="false">E645/(E645+E648)</f>
        <v>0.229297218844501</v>
      </c>
      <c r="F655" s="20" t="n">
        <f aca="false">F645/(F645+F648)</f>
        <v>0.311009758444419</v>
      </c>
      <c r="G655" s="20" t="n">
        <f aca="false">G645/(G645+G648)</f>
        <v>0.362779531331288</v>
      </c>
    </row>
    <row r="656" customFormat="false" ht="17.15" hidden="false" customHeight="false" outlineLevel="0" collapsed="false">
      <c r="A656" s="5" t="s">
        <v>636</v>
      </c>
    </row>
    <row r="657" customFormat="false" ht="17.15" hidden="false" customHeight="false" outlineLevel="0" collapsed="false">
      <c r="A657" s="0" t="s">
        <v>637</v>
      </c>
      <c r="B657" s="0" t="s">
        <v>329</v>
      </c>
      <c r="D657" s="21" t="n">
        <f aca="false">a26_bt</f>
        <v>18.927328</v>
      </c>
      <c r="E657" s="21" t="n">
        <f aca="false">D657*(1+g_bt27_A)</f>
        <v>24.6055264</v>
      </c>
      <c r="F657" s="21" t="n">
        <f aca="false">E657*(1+g_bt28_A)</f>
        <v>27.06607904</v>
      </c>
      <c r="G657" s="21" t="n">
        <f aca="false">F657*(1+g_bt29_A)</f>
        <v>28.419382992</v>
      </c>
      <c r="K657" s="7" t="s">
        <v>638</v>
      </c>
    </row>
    <row r="658" customFormat="false" ht="17.15" hidden="false" customHeight="false" outlineLevel="0" collapsed="false">
      <c r="A658" s="0" t="s">
        <v>536</v>
      </c>
      <c r="B658" s="0" t="s">
        <v>329</v>
      </c>
      <c r="D658" s="21" t="n">
        <f aca="false">a26_pcb</f>
        <v>5.91479</v>
      </c>
      <c r="E658" s="21" t="n">
        <f aca="false">D658*(1+g_pcb)</f>
        <v>5.91479</v>
      </c>
      <c r="F658" s="21" t="n">
        <f aca="false">E658*(1+g_pcb)</f>
        <v>5.91479</v>
      </c>
      <c r="G658" s="21" t="n">
        <f aca="false">F658*(1+g_pcb)</f>
        <v>5.91479</v>
      </c>
    </row>
    <row r="659" customFormat="false" ht="17.15" hidden="false" customHeight="false" outlineLevel="0" collapsed="false">
      <c r="A659" s="3" t="s">
        <v>501</v>
      </c>
      <c r="B659" s="0" t="s">
        <v>329</v>
      </c>
      <c r="C659" s="23" t="n">
        <f aca="false">a25_rev</f>
        <v>40.173</v>
      </c>
      <c r="D659" s="23" t="n">
        <f aca="false">D652+D657+D658</f>
        <v>59.1479</v>
      </c>
      <c r="E659" s="23" t="n">
        <f aca="false">E652+E657+E658</f>
        <v>80.229394518</v>
      </c>
      <c r="F659" s="23" t="n">
        <f aca="false">F652+F657+F658</f>
        <v>88.7637751405431</v>
      </c>
      <c r="G659" s="23" t="n">
        <f aca="false">G652+G657+G658</f>
        <v>97.2728732570869</v>
      </c>
      <c r="H659" s="25" t="n">
        <f aca="false">G659*(1+H660)</f>
        <v>105.434863846709</v>
      </c>
      <c r="I659" s="25" t="n">
        <f aca="false">H659*(1+I660)</f>
        <v>113.021333979572</v>
      </c>
      <c r="J659" s="25" t="n">
        <f aca="false">I659*(1+J660)</f>
        <v>119.802614018346</v>
      </c>
      <c r="K659" s="7" t="s">
        <v>639</v>
      </c>
    </row>
    <row r="660" customFormat="false" ht="15" hidden="false" customHeight="false" outlineLevel="0" collapsed="false">
      <c r="A660" s="3" t="s">
        <v>640</v>
      </c>
      <c r="B660" s="0" t="s">
        <v>40</v>
      </c>
      <c r="D660" s="20" t="n">
        <f aca="false">D659/C659-1</f>
        <v>0.472329674159261</v>
      </c>
      <c r="E660" s="20" t="n">
        <f aca="false">E659/D659-1</f>
        <v>0.35642</v>
      </c>
      <c r="F660" s="20" t="n">
        <f aca="false">F659/E659-1</f>
        <v>0.106374735517023</v>
      </c>
      <c r="G660" s="20" t="n">
        <f aca="false">G659/F659-1</f>
        <v>0.0958622828183122</v>
      </c>
      <c r="H660" s="26" t="n">
        <f aca="false">$G660+(fade_gA-$G660)*1/3</f>
        <v>0.0839081885455415</v>
      </c>
      <c r="I660" s="26" t="n">
        <f aca="false">$G660+(fade_gA-$G660)*2/3</f>
        <v>0.0719540942727707</v>
      </c>
      <c r="J660" s="26" t="n">
        <f aca="false">$G660+(fade_gA-$G660)*3/3</f>
        <v>0.06</v>
      </c>
    </row>
    <row r="661" customFormat="false" ht="17.15" hidden="false" customHeight="false" outlineLevel="0" collapsed="false">
      <c r="A661" s="0" t="s">
        <v>641</v>
      </c>
      <c r="B661" s="0" t="s">
        <v>40</v>
      </c>
      <c r="D661" s="20" t="n">
        <f aca="false">D652/D659</f>
        <v>0.58</v>
      </c>
      <c r="E661" s="20" t="n">
        <f aca="false">E652/E659</f>
        <v>0.619586853629407</v>
      </c>
      <c r="F661" s="20" t="n">
        <f aca="false">F652/F659</f>
        <v>0.62844224473576</v>
      </c>
      <c r="G661" s="20" t="n">
        <f aca="false">G652/G659</f>
        <v>0.647032396161912</v>
      </c>
    </row>
    <row r="662" customFormat="false" ht="17.15" hidden="false" customHeight="false" outlineLevel="0" collapsed="false">
      <c r="A662" s="0" t="s">
        <v>642</v>
      </c>
      <c r="B662" s="0" t="s">
        <v>40</v>
      </c>
      <c r="D662" s="20" t="n">
        <f aca="false">D654/D659</f>
        <v>0.377</v>
      </c>
      <c r="E662" s="20" t="n">
        <f aca="false">E654/E659</f>
        <v>0.472926129553422</v>
      </c>
      <c r="F662" s="20" t="n">
        <f aca="false">F654/F659</f>
        <v>0.491195068947855</v>
      </c>
      <c r="G662" s="20" t="n">
        <f aca="false">G654/G659</f>
        <v>0.512149992185282</v>
      </c>
      <c r="K662" s="3" t="s">
        <v>643</v>
      </c>
    </row>
    <row r="663" customFormat="false" ht="17.15" hidden="false" customHeight="false" outlineLevel="0" collapsed="false">
      <c r="A663" s="5" t="s">
        <v>644</v>
      </c>
    </row>
    <row r="664" customFormat="false" ht="15" hidden="false" customHeight="false" outlineLevel="0" collapsed="false">
      <c r="A664" s="3" t="s">
        <v>645</v>
      </c>
      <c r="B664" s="0" t="s">
        <v>329</v>
      </c>
      <c r="C664" s="23" t="n">
        <f aca="false">a25_cx</f>
        <v>2.422</v>
      </c>
      <c r="D664" s="23" t="n">
        <f aca="false">capex26</f>
        <v>4</v>
      </c>
      <c r="E664" s="23" t="n">
        <f aca="false">cx27</f>
        <v>14</v>
      </c>
      <c r="F664" s="23" t="n">
        <f aca="false">cx28</f>
        <v>18</v>
      </c>
      <c r="G664" s="23" t="n">
        <f aca="false">cx29</f>
        <v>12</v>
      </c>
      <c r="H664" s="25" t="n">
        <f aca="false">H659*H681</f>
        <v>12.4417241176456</v>
      </c>
      <c r="I664" s="25" t="n">
        <f aca="false">I659*I681</f>
        <v>12.7311163691189</v>
      </c>
      <c r="J664" s="25" t="n">
        <f aca="false">J659*J681</f>
        <v>12.8527921683461</v>
      </c>
    </row>
    <row r="665" customFormat="false" ht="17.15" hidden="false" customHeight="false" outlineLevel="0" collapsed="false">
      <c r="A665" s="3" t="s">
        <v>646</v>
      </c>
      <c r="B665" s="0" t="s">
        <v>329</v>
      </c>
      <c r="C665" s="23" t="n">
        <f aca="false">a25_da</f>
        <v>6.894</v>
      </c>
      <c r="D665" s="23" t="n">
        <f aca="false">da26</f>
        <v>7.1</v>
      </c>
      <c r="E665" s="23" t="n">
        <f aca="false">D665*(1-1/life)+D664/life</f>
        <v>6.7125</v>
      </c>
      <c r="F665" s="23" t="n">
        <f aca="false">E665*(1-1/life)+E664/life</f>
        <v>7.6234375</v>
      </c>
      <c r="G665" s="23" t="n">
        <f aca="false">F665*(1-1/life)+F664/life</f>
        <v>8.9205078125</v>
      </c>
      <c r="H665" s="25" t="n">
        <f aca="false">H659*H666</f>
        <v>9.66901146395322</v>
      </c>
      <c r="I665" s="25" t="n">
        <f aca="false">I659*I666</f>
        <v>10.364736426355</v>
      </c>
      <c r="J665" s="25" t="n">
        <f aca="false">J659*J666</f>
        <v>10.9866206119363</v>
      </c>
      <c r="K665" s="3" t="s">
        <v>647</v>
      </c>
    </row>
    <row r="666" customFormat="false" ht="17.15" hidden="false" customHeight="false" outlineLevel="0" collapsed="false">
      <c r="A666" s="3" t="s">
        <v>648</v>
      </c>
      <c r="B666" s="0" t="s">
        <v>40</v>
      </c>
      <c r="C666" s="20" t="n">
        <f aca="false">C665/C659</f>
        <v>0.171607796281084</v>
      </c>
      <c r="D666" s="20" t="n">
        <f aca="false">D665/D659</f>
        <v>0.120038074048276</v>
      </c>
      <c r="E666" s="20" t="n">
        <f aca="false">E665/E659</f>
        <v>0.0836663424961285</v>
      </c>
      <c r="F666" s="20" t="n">
        <f aca="false">F665/F659</f>
        <v>0.0858845569369883</v>
      </c>
      <c r="G666" s="20" t="n">
        <f aca="false">G665/G659</f>
        <v>0.0917060174517882</v>
      </c>
      <c r="H666" s="26" t="n">
        <f aca="false">$G666</f>
        <v>0.0917060174517882</v>
      </c>
      <c r="I666" s="26" t="n">
        <f aca="false">$G666</f>
        <v>0.0917060174517882</v>
      </c>
      <c r="J666" s="26" t="n">
        <f aca="false">$G666</f>
        <v>0.0917060174517882</v>
      </c>
    </row>
    <row r="667" customFormat="false" ht="17.15" hidden="false" customHeight="false" outlineLevel="0" collapsed="false">
      <c r="A667" s="3" t="s">
        <v>649</v>
      </c>
      <c r="B667" s="0" t="s">
        <v>329</v>
      </c>
      <c r="E667" s="21" t="n">
        <f aca="false">E654*(1-1/(E639*E640))</f>
        <v>4.94903178597551</v>
      </c>
      <c r="F667" s="21" t="n">
        <f aca="false">F654*(1-1/(F639*F640))</f>
        <v>3.69156100699895</v>
      </c>
      <c r="G667" s="21" t="n">
        <f aca="false">G654*(1-1/(G639*G640))</f>
        <v>1.68467685482705</v>
      </c>
      <c r="K667" s="7" t="s">
        <v>650</v>
      </c>
    </row>
    <row r="668" customFormat="false" ht="17.15" hidden="false" customHeight="false" outlineLevel="0" collapsed="false">
      <c r="A668" s="3" t="s">
        <v>651</v>
      </c>
      <c r="B668" s="0" t="s">
        <v>329</v>
      </c>
      <c r="C668" s="21" t="n">
        <f aca="false">a25_gp</f>
        <v>3.647</v>
      </c>
      <c r="D668" s="21" t="n">
        <f aca="false">a26_gp</f>
        <v>15.9001925</v>
      </c>
      <c r="E668" s="21" t="n">
        <f aca="false">$D668+ft_abf*(E652-E667-$D652)+ft_oth_hi*((E659-E652)-($D659-$D652))+E667-(E665-$D665)</f>
        <v>29.5868655719878</v>
      </c>
      <c r="F668" s="21" t="n">
        <f aca="false">$D668+ft_abf*(F652-F667-$D652)+ft_oth_hi*((F659-F652)-($D659-$D652))+F667-(F665-$D665)</f>
        <v>32.437410625771</v>
      </c>
      <c r="G668" s="21" t="n">
        <f aca="false">$D668+ft_abf*(G652-G667-$D652)+ft_oth_hi*((G659-G652)-($D659-$D652))+G667-(G665-$D665)</f>
        <v>34.459112493057</v>
      </c>
      <c r="K668" s="3" t="s">
        <v>652</v>
      </c>
    </row>
    <row r="669" customFormat="false" ht="15" hidden="false" customHeight="false" outlineLevel="0" collapsed="false">
      <c r="A669" s="3" t="s">
        <v>508</v>
      </c>
      <c r="B669" s="0" t="s">
        <v>40</v>
      </c>
      <c r="C669" s="16" t="n">
        <f aca="false">C668/C659</f>
        <v>0.0907823662659</v>
      </c>
      <c r="D669" s="16" t="n">
        <f aca="false">D668/D659</f>
        <v>0.268820913337583</v>
      </c>
      <c r="E669" s="16" t="n">
        <f aca="false">E668/E659</f>
        <v>0.368778372935991</v>
      </c>
      <c r="F669" s="16" t="n">
        <f aca="false">F668/F659</f>
        <v>0.365435230468867</v>
      </c>
      <c r="G669" s="16" t="n">
        <f aca="false">G668/G659</f>
        <v>0.354252026687681</v>
      </c>
    </row>
    <row r="670" customFormat="false" ht="15" hidden="false" customHeight="false" outlineLevel="0" collapsed="false">
      <c r="A670" s="3" t="s">
        <v>510</v>
      </c>
      <c r="B670" s="0" t="s">
        <v>329</v>
      </c>
      <c r="C670" s="21" t="n">
        <f aca="false">a25_opx</f>
        <v>1.665</v>
      </c>
      <c r="D670" s="21" t="n">
        <f aca="false">a26_opx</f>
        <v>1.9</v>
      </c>
      <c r="E670" s="21" t="n">
        <f aca="false">D670*(1+phi*E660)</f>
        <v>2.3063188</v>
      </c>
      <c r="F670" s="21" t="n">
        <f aca="false">E670*(1+phi*F660)</f>
        <v>2.45351923142076</v>
      </c>
      <c r="G670" s="21" t="n">
        <f aca="false">F670*(1+phi*G660)</f>
        <v>2.59463920409834</v>
      </c>
    </row>
    <row r="671" customFormat="false" ht="15" hidden="false" customHeight="false" outlineLevel="0" collapsed="false">
      <c r="A671" s="3" t="s">
        <v>513</v>
      </c>
      <c r="B671" s="0" t="s">
        <v>329</v>
      </c>
      <c r="C671" s="21" t="n">
        <f aca="false">C668-C670</f>
        <v>1.982</v>
      </c>
      <c r="D671" s="21" t="n">
        <f aca="false">D668-D670</f>
        <v>14.0001925</v>
      </c>
      <c r="E671" s="21" t="n">
        <f aca="false">E668-E670</f>
        <v>27.2805467719878</v>
      </c>
      <c r="F671" s="21" t="n">
        <f aca="false">F668-F670</f>
        <v>29.9838913943503</v>
      </c>
      <c r="G671" s="21" t="n">
        <f aca="false">G668-G670</f>
        <v>31.8644732889587</v>
      </c>
    </row>
    <row r="672" customFormat="false" ht="15" hidden="false" customHeight="false" outlineLevel="0" collapsed="false">
      <c r="A672" s="3" t="s">
        <v>594</v>
      </c>
      <c r="B672" s="0" t="s">
        <v>40</v>
      </c>
      <c r="C672" s="16" t="n">
        <f aca="false">C671/C659</f>
        <v>0.0493366191222961</v>
      </c>
      <c r="D672" s="16" t="n">
        <f aca="false">D671/D659</f>
        <v>0.236698048451424</v>
      </c>
      <c r="E672" s="16" t="n">
        <f aca="false">E671/E659</f>
        <v>0.340031816716094</v>
      </c>
      <c r="F672" s="16" t="n">
        <f aca="false">F671/F659</f>
        <v>0.337794233592202</v>
      </c>
      <c r="G672" s="16" t="n">
        <f aca="false">G671/G659</f>
        <v>0.327578205742341</v>
      </c>
    </row>
    <row r="673" customFormat="false" ht="15" hidden="false" customHeight="false" outlineLevel="0" collapsed="false">
      <c r="A673" s="3" t="s">
        <v>516</v>
      </c>
      <c r="B673" s="0" t="s">
        <v>329</v>
      </c>
      <c r="C673" s="21" t="n">
        <f aca="false">a25_nonop</f>
        <v>0.364</v>
      </c>
      <c r="D673" s="21" t="n">
        <f aca="false">a26_nonop</f>
        <v>0.623</v>
      </c>
      <c r="E673" s="21" t="n">
        <f aca="false">nonop27</f>
        <v>0.6</v>
      </c>
      <c r="F673" s="21" t="n">
        <f aca="false">nonop28</f>
        <v>0.6</v>
      </c>
      <c r="G673" s="21" t="n">
        <f aca="false">nonop29</f>
        <v>0.6</v>
      </c>
    </row>
    <row r="674" customFormat="false" ht="15" hidden="false" customHeight="false" outlineLevel="0" collapsed="false">
      <c r="A674" s="3" t="s">
        <v>518</v>
      </c>
      <c r="B674" s="0" t="s">
        <v>329</v>
      </c>
      <c r="C674" s="21" t="n">
        <f aca="false">C671+C673</f>
        <v>2.346</v>
      </c>
      <c r="D674" s="21" t="n">
        <f aca="false">D671+D673</f>
        <v>14.6231925</v>
      </c>
      <c r="E674" s="21" t="n">
        <f aca="false">E671+E673</f>
        <v>27.8805467719878</v>
      </c>
      <c r="F674" s="21" t="n">
        <f aca="false">F671+F673</f>
        <v>30.5838913943503</v>
      </c>
      <c r="G674" s="21" t="n">
        <f aca="false">G671+G673</f>
        <v>32.4644732889587</v>
      </c>
    </row>
    <row r="675" customFormat="false" ht="15" hidden="false" customHeight="false" outlineLevel="0" collapsed="false">
      <c r="A675" s="3" t="s">
        <v>521</v>
      </c>
      <c r="B675" s="0" t="s">
        <v>329</v>
      </c>
      <c r="E675" s="21" t="n">
        <f aca="false">E674*tax</f>
        <v>5.85491482211743</v>
      </c>
      <c r="F675" s="21" t="n">
        <f aca="false">F674*tax</f>
        <v>6.42261719281356</v>
      </c>
      <c r="G675" s="21" t="n">
        <f aca="false">G674*tax</f>
        <v>6.81753939068132</v>
      </c>
    </row>
    <row r="676" customFormat="false" ht="15" hidden="false" customHeight="false" outlineLevel="0" collapsed="false">
      <c r="A676" s="3" t="s">
        <v>519</v>
      </c>
      <c r="B676" s="0" t="s">
        <v>329</v>
      </c>
      <c r="C676" s="21" t="n">
        <f aca="false">a25_ni</f>
        <v>1.947</v>
      </c>
      <c r="D676" s="21" t="n">
        <f aca="false">a26_ni</f>
        <v>11.509862075</v>
      </c>
      <c r="E676" s="21" t="n">
        <f aca="false">E674-E675</f>
        <v>22.0256319498703</v>
      </c>
      <c r="F676" s="21" t="n">
        <f aca="false">F674-F675</f>
        <v>24.1612742015367</v>
      </c>
      <c r="G676" s="21" t="n">
        <f aca="false">G674-G675</f>
        <v>25.6469338982773</v>
      </c>
      <c r="H676" s="30" t="n">
        <f aca="false">H659*H680</f>
        <v>27.3925252762169</v>
      </c>
      <c r="I676" s="30" t="n">
        <f aca="false">I659*I680</f>
        <v>28.9278913511413</v>
      </c>
      <c r="J676" s="30" t="n">
        <f aca="false">J659*J680</f>
        <v>30.2017882647699</v>
      </c>
    </row>
    <row r="677" customFormat="false" ht="15" hidden="false" customHeight="false" outlineLevel="0" collapsed="false">
      <c r="A677" s="3" t="s">
        <v>653</v>
      </c>
      <c r="B677" s="3" t="s">
        <v>396</v>
      </c>
      <c r="C677" s="29" t="n">
        <f aca="false">a25_sh</f>
        <v>0.646843853820598</v>
      </c>
      <c r="D677" s="29" t="n">
        <f aca="false">a26_sh</f>
        <v>0.645863325123153</v>
      </c>
      <c r="E677" s="29" t="n">
        <f aca="false">a26_shend*(1+sh_g)</f>
        <v>0.64617</v>
      </c>
      <c r="F677" s="29" t="n">
        <f aca="false">E677*(1+sh_g)</f>
        <v>0.64617</v>
      </c>
      <c r="G677" s="29" t="n">
        <f aca="false">F677*(1+sh_g)</f>
        <v>0.64617</v>
      </c>
      <c r="H677" s="31" t="n">
        <f aca="false">G677*(1+sh_g)</f>
        <v>0.64617</v>
      </c>
      <c r="I677" s="31" t="n">
        <f aca="false">H677*(1+sh_g)</f>
        <v>0.64617</v>
      </c>
      <c r="J677" s="31" t="n">
        <f aca="false">I677*(1+sh_g)</f>
        <v>0.64617</v>
      </c>
    </row>
    <row r="678" customFormat="false" ht="17.15" hidden="false" customHeight="false" outlineLevel="0" collapsed="false">
      <c r="A678" s="0" t="s">
        <v>524</v>
      </c>
      <c r="B678" s="0" t="s">
        <v>402</v>
      </c>
      <c r="C678" s="18" t="n">
        <f aca="false">C676/C677</f>
        <v>3.01</v>
      </c>
      <c r="D678" s="18" t="n">
        <f aca="false">D676/D677</f>
        <v>17.820894339844</v>
      </c>
      <c r="E678" s="18" t="n">
        <f aca="false">E676/E677</f>
        <v>34.0864353805815</v>
      </c>
      <c r="F678" s="18" t="n">
        <f aca="false">F676/F677</f>
        <v>37.3915133812104</v>
      </c>
      <c r="G678" s="18" t="n">
        <f aca="false">G676/G677</f>
        <v>39.690691146722</v>
      </c>
      <c r="H678" s="28" t="n">
        <f aca="false">H676/H677</f>
        <v>42.3921340765075</v>
      </c>
      <c r="I678" s="28" t="n">
        <f aca="false">I676/I677</f>
        <v>44.7682364565692</v>
      </c>
      <c r="J678" s="28" t="n">
        <f aca="false">J676/J677</f>
        <v>46.7396942983578</v>
      </c>
    </row>
    <row r="679" customFormat="false" ht="17.15" hidden="false" customHeight="false" outlineLevel="0" collapsed="false">
      <c r="A679" s="0" t="s">
        <v>654</v>
      </c>
      <c r="B679" s="0" t="s">
        <v>40</v>
      </c>
      <c r="D679" s="20" t="n">
        <f aca="false">D678/C678-1</f>
        <v>4.92056290360265</v>
      </c>
      <c r="E679" s="20" t="n">
        <f aca="false">E678/D678-1</f>
        <v>0.912723050288839</v>
      </c>
      <c r="F679" s="20" t="n">
        <f aca="false">F678/E678-1</f>
        <v>0.0969616788533947</v>
      </c>
      <c r="G679" s="20" t="n">
        <f aca="false">G678/F678-1</f>
        <v>0.0614892941633902</v>
      </c>
      <c r="H679" s="26" t="n">
        <f aca="false">H678/G678-1</f>
        <v>0.06806238066753</v>
      </c>
      <c r="I679" s="26" t="n">
        <f aca="false">I678/H678-1</f>
        <v>0.0560505488063738</v>
      </c>
      <c r="J679" s="26" t="n">
        <f aca="false">J678/I678-1</f>
        <v>0.0440369779520173</v>
      </c>
    </row>
    <row r="680" customFormat="false" ht="17.15" hidden="false" customHeight="false" outlineLevel="0" collapsed="false">
      <c r="A680" s="3" t="s">
        <v>655</v>
      </c>
      <c r="B680" s="0" t="s">
        <v>40</v>
      </c>
      <c r="C680" s="16" t="n">
        <f aca="false">C676/C659</f>
        <v>0.0484653872003585</v>
      </c>
      <c r="D680" s="16" t="n">
        <f aca="false">D676/D659</f>
        <v>0.194594602259759</v>
      </c>
      <c r="E680" s="16" t="n">
        <f aca="false">E676/E659</f>
        <v>0.274533194251251</v>
      </c>
      <c r="F680" s="16" t="n">
        <f aca="false">F676/F659</f>
        <v>0.272197460769117</v>
      </c>
      <c r="G680" s="16" t="n">
        <f aca="false">G676/G659</f>
        <v>0.263659672419606</v>
      </c>
      <c r="H680" s="27" t="n">
        <f aca="false">$G680+(fade_mA-$G680)*1/3</f>
        <v>0.259805194191199</v>
      </c>
      <c r="I680" s="27" t="n">
        <f aca="false">$G680+(fade_mA-$G680)*2/3</f>
        <v>0.255950715962792</v>
      </c>
      <c r="J680" s="27" t="n">
        <f aca="false">$G680+(fade_mA-$G680)*3/3</f>
        <v>0.252096237734386</v>
      </c>
    </row>
    <row r="681" customFormat="false" ht="17.15" hidden="false" customHeight="false" outlineLevel="0" collapsed="false">
      <c r="A681" s="3" t="s">
        <v>656</v>
      </c>
      <c r="B681" s="0" t="s">
        <v>40</v>
      </c>
      <c r="C681" s="20" t="n">
        <f aca="false">C664/C659</f>
        <v>0.0602892489980833</v>
      </c>
      <c r="D681" s="20" t="n">
        <f aca="false">D664/D659</f>
        <v>0.0676270839708595</v>
      </c>
      <c r="E681" s="20" t="n">
        <f aca="false">E664/E659</f>
        <v>0.174499634256357</v>
      </c>
      <c r="F681" s="20" t="n">
        <f aca="false">F664/F659</f>
        <v>0.202785426504223</v>
      </c>
      <c r="G681" s="20" t="n">
        <f aca="false">G664/G659</f>
        <v>0.123364300839399</v>
      </c>
      <c r="H681" s="26" t="n">
        <f aca="false">$G681+($G666*(1+tp_g)^(life/2)-$G681)*1/3</f>
        <v>0.118003890399427</v>
      </c>
      <c r="I681" s="26" t="n">
        <f aca="false">$G681+($G666*(1+tp_g)^(life/2)-$G681)*2/3</f>
        <v>0.112643479959456</v>
      </c>
      <c r="J681" s="26" t="n">
        <f aca="false">$G681+($G666*(1+tp_g)^(life/2)-$G681)*3/3</f>
        <v>0.107283069519484</v>
      </c>
      <c r="K681" s="7" t="s">
        <v>657</v>
      </c>
    </row>
    <row r="682" customFormat="false" ht="15" hidden="false" customHeight="false" outlineLevel="0" collapsed="false">
      <c r="A682" s="3" t="s">
        <v>658</v>
      </c>
      <c r="B682" s="0" t="s">
        <v>329</v>
      </c>
      <c r="E682" s="21" t="n">
        <f aca="false">E676+E665-E664</f>
        <v>14.7381319498703</v>
      </c>
      <c r="F682" s="21" t="n">
        <f aca="false">F676+F665-F664</f>
        <v>13.7847117015367</v>
      </c>
      <c r="G682" s="21" t="n">
        <f aca="false">G676+G665-G664</f>
        <v>22.5674417107773</v>
      </c>
      <c r="H682" s="30" t="n">
        <f aca="false">H676+H665-H664</f>
        <v>24.6198126225245</v>
      </c>
      <c r="I682" s="30" t="n">
        <f aca="false">I676+I665-I664</f>
        <v>26.5615114083775</v>
      </c>
      <c r="J682" s="30" t="n">
        <f aca="false">J676+J665-J664</f>
        <v>28.33561670836</v>
      </c>
      <c r="K682" s="3" t="s">
        <v>659</v>
      </c>
    </row>
    <row r="683" customFormat="false" ht="15" hidden="false" customHeight="false" outlineLevel="0" collapsed="false">
      <c r="A683" s="3" t="s">
        <v>660</v>
      </c>
      <c r="B683" s="0" t="s">
        <v>402</v>
      </c>
      <c r="E683" s="18" t="n">
        <f aca="false">E682/E677</f>
        <v>22.8084435208542</v>
      </c>
      <c r="F683" s="18" t="n">
        <f aca="false">F682/F677</f>
        <v>21.3329490715086</v>
      </c>
      <c r="G683" s="18" t="n">
        <f aca="false">G682/G677</f>
        <v>34.9249295243935</v>
      </c>
      <c r="H683" s="28" t="n">
        <f aca="false">H682/H677</f>
        <v>38.1011384349699</v>
      </c>
      <c r="I683" s="28" t="n">
        <f aca="false">I682/I677</f>
        <v>41.1060733373222</v>
      </c>
      <c r="J683" s="28" t="n">
        <f aca="false">J682/J677</f>
        <v>43.8516438527942</v>
      </c>
    </row>
    <row r="686" customFormat="false" ht="17.15" hidden="false" customHeight="false" outlineLevel="0" collapsed="false">
      <c r="A686" s="1" t="s">
        <v>970</v>
      </c>
    </row>
    <row r="687" customFormat="false" ht="17.15" hidden="false" customHeight="false" outlineLevel="0" collapsed="false">
      <c r="A687" s="4" t="s">
        <v>17</v>
      </c>
      <c r="B687" s="4" t="s">
        <v>18</v>
      </c>
      <c r="C687" s="13" t="s">
        <v>494</v>
      </c>
      <c r="D687" s="13" t="s">
        <v>581</v>
      </c>
      <c r="E687" s="13" t="s">
        <v>582</v>
      </c>
      <c r="F687" s="13" t="s">
        <v>583</v>
      </c>
      <c r="G687" s="13" t="s">
        <v>584</v>
      </c>
      <c r="H687" s="13" t="s">
        <v>585</v>
      </c>
      <c r="I687" s="13" t="s">
        <v>586</v>
      </c>
      <c r="J687" s="13" t="s">
        <v>587</v>
      </c>
      <c r="K687" s="4" t="s">
        <v>549</v>
      </c>
    </row>
    <row r="688" customFormat="false" ht="17.15" hidden="false" customHeight="false" outlineLevel="0" collapsed="false">
      <c r="A688" s="5" t="s">
        <v>605</v>
      </c>
    </row>
    <row r="689" customFormat="false" ht="17.15" hidden="false" customHeight="false" outlineLevel="0" collapsed="false">
      <c r="A689" s="0" t="s">
        <v>606</v>
      </c>
      <c r="B689" s="3" t="s">
        <v>28</v>
      </c>
      <c r="D689" s="21" t="n">
        <f aca="false">(u_bw_26+u_rb_26+u_ru_26+u_hp_26)*1</f>
        <v>7.6</v>
      </c>
      <c r="E689" s="21" t="n">
        <f aca="false">(u_bw_27+u_rb_27+u_ru_27+u_hp_27)*1*1</f>
        <v>9.7</v>
      </c>
      <c r="F689" s="21" t="n">
        <f aca="false">(u_bw_28+u_rb_28+u_ru_28+u_hp_28)*um28_A*1</f>
        <v>9.5</v>
      </c>
      <c r="G689" s="21" t="n">
        <f aca="false">(u_bw_28*(1+g29_bw)+u_rb_28*(1+g29_rb)+u_ru_28*(1+g29_ru)+u_hp_28*(1+g29_hp))*um29_A*1</f>
        <v>10.6</v>
      </c>
      <c r="K689" s="7" t="s">
        <v>607</v>
      </c>
    </row>
    <row r="690" customFormat="false" ht="17.15" hidden="false" customHeight="false" outlineLevel="0" collapsed="false">
      <c r="A690" s="3" t="s">
        <v>608</v>
      </c>
      <c r="B690" s="3" t="s">
        <v>28</v>
      </c>
      <c r="D690" s="21" t="n">
        <f aca="false">(u_amd_26+u_tpu_26+u_trn_26+u_oth_26)*1</f>
        <v>7.6</v>
      </c>
      <c r="E690" s="21" t="n">
        <f aca="false">(u_amd_27+u_tpu_27+u_trn_27+u_oth_27)*1*1</f>
        <v>14</v>
      </c>
      <c r="F690" s="21" t="n">
        <f aca="false">(u_amd_28+u_tpu_28+u_trn_28+u_oth_28)*um28_A*1</f>
        <v>17</v>
      </c>
      <c r="G690" s="21" t="n">
        <f aca="false">(u_amd_28*(1+g29_amd)+u_tpu_28*(1+g29_tpu)+u_trn_28*(1+g29_trn)+u_oth_28*(1+g29_oth))*um29_A*1</f>
        <v>19.55</v>
      </c>
      <c r="K690" s="7" t="s">
        <v>609</v>
      </c>
    </row>
    <row r="691" customFormat="false" ht="17.15" hidden="false" customHeight="false" outlineLevel="0" collapsed="false">
      <c r="A691" s="3" t="s">
        <v>610</v>
      </c>
      <c r="B691" s="0" t="s">
        <v>150</v>
      </c>
      <c r="D691" s="19" t="n">
        <f aca="false">1</f>
        <v>1</v>
      </c>
      <c r="E691" s="19" t="n">
        <f aca="false">D691*(1+g_asp)</f>
        <v>1.18</v>
      </c>
      <c r="F691" s="19" t="n">
        <f aca="false">E691*(1+g_asp)</f>
        <v>1.3924</v>
      </c>
      <c r="G691" s="19" t="n">
        <f aca="false">F691*(1+g_asp)</f>
        <v>1.643032</v>
      </c>
      <c r="K691" s="7" t="s">
        <v>611</v>
      </c>
    </row>
    <row r="692" customFormat="false" ht="17.15" hidden="false" customHeight="false" outlineLevel="0" collapsed="false">
      <c r="A692" s="0" t="s">
        <v>612</v>
      </c>
      <c r="B692" s="0" t="s">
        <v>150</v>
      </c>
      <c r="D692" s="18" t="n">
        <f aca="false">1</f>
        <v>1</v>
      </c>
      <c r="E692" s="18" t="n">
        <f aca="false">ibpp_27</f>
        <v>1</v>
      </c>
      <c r="F692" s="18" t="n">
        <f aca="false">ibpp_28</f>
        <v>0.95</v>
      </c>
      <c r="G692" s="18" t="n">
        <f aca="false">ibpp_29</f>
        <v>0.9</v>
      </c>
      <c r="K692" s="7" t="s">
        <v>613</v>
      </c>
    </row>
    <row r="693" customFormat="false" ht="17.15" hidden="false" customHeight="false" outlineLevel="0" collapsed="false">
      <c r="A693" s="3" t="s">
        <v>614</v>
      </c>
      <c r="B693" s="0" t="s">
        <v>150</v>
      </c>
      <c r="D693" s="18" t="n">
        <f aca="false">1</f>
        <v>1</v>
      </c>
      <c r="E693" s="18" t="n">
        <f aca="false">1+carry</f>
        <v>1.15</v>
      </c>
      <c r="F693" s="18" t="n">
        <f aca="false">1+carry</f>
        <v>1.15</v>
      </c>
      <c r="G693" s="18" t="n">
        <f aca="false">1+carry</f>
        <v>1.15</v>
      </c>
      <c r="K693" s="7" t="s">
        <v>615</v>
      </c>
    </row>
    <row r="694" customFormat="false" ht="17.15" hidden="false" customHeight="false" outlineLevel="0" collapsed="false">
      <c r="A694" s="3" t="s">
        <v>616</v>
      </c>
      <c r="B694" s="0" t="s">
        <v>617</v>
      </c>
      <c r="D694" s="23" t="n">
        <f aca="false">v26*D691*D692</f>
        <v>215.308596</v>
      </c>
      <c r="E694" s="23" t="n">
        <f aca="false">v26*E691*E692</f>
        <v>254.06414328</v>
      </c>
      <c r="F694" s="23" t="n">
        <f aca="false">v26*F691*F692</f>
        <v>284.80590461688</v>
      </c>
      <c r="G694" s="23" t="n">
        <f aca="false">v26*G691*G692</f>
        <v>318.383021792765</v>
      </c>
      <c r="K694" s="7" t="s">
        <v>618</v>
      </c>
    </row>
    <row r="695" customFormat="false" ht="17.15" hidden="false" customHeight="false" outlineLevel="0" collapsed="false">
      <c r="A695" s="3" t="s">
        <v>619</v>
      </c>
      <c r="B695" s="0" t="s">
        <v>40</v>
      </c>
      <c r="D695" s="20" t="n">
        <f aca="false">sh_nv_26</f>
        <v>0.02</v>
      </c>
      <c r="E695" s="20" t="n">
        <f aca="false">sh_nv_27</f>
        <v>0.03</v>
      </c>
      <c r="F695" s="20" t="n">
        <f aca="false">sh_nv_28</f>
        <v>0.04</v>
      </c>
      <c r="G695" s="20" t="n">
        <f aca="false">sh_nv_29</f>
        <v>0.04</v>
      </c>
    </row>
    <row r="696" customFormat="false" ht="17.15" hidden="false" customHeight="false" outlineLevel="0" collapsed="false">
      <c r="A696" s="3" t="s">
        <v>620</v>
      </c>
      <c r="B696" s="0" t="s">
        <v>40</v>
      </c>
      <c r="D696" s="20" t="n">
        <f aca="false">sh_ot_26</f>
        <v>0.05</v>
      </c>
      <c r="E696" s="20" t="n">
        <f aca="false">sh_ot_27</f>
        <v>0.06</v>
      </c>
      <c r="F696" s="20" t="n">
        <f aca="false">sh_ot_28</f>
        <v>0.07</v>
      </c>
      <c r="G696" s="20" t="n">
        <f aca="false">sh_ot_29</f>
        <v>0.07</v>
      </c>
    </row>
    <row r="697" customFormat="false" ht="17.15" hidden="false" customHeight="false" outlineLevel="0" collapsed="false">
      <c r="A697" s="3" t="s">
        <v>621</v>
      </c>
      <c r="B697" s="0" t="s">
        <v>571</v>
      </c>
      <c r="D697" s="22" t="n">
        <f aca="false">(D689*D694*D695+D690*D694*v_ot*D696)*D693</f>
        <v>98.180719776</v>
      </c>
      <c r="E697" s="22" t="n">
        <f aca="false">(E689*E694*E695+E690*E694*v_ot*E696)*E693</f>
        <v>281.363335475436</v>
      </c>
      <c r="F697" s="22" t="n">
        <f aca="false">(F689*F694*F695+F690*F694*v_ot*F696)*F693</f>
        <v>436.265684692137</v>
      </c>
      <c r="G697" s="22" t="n">
        <f aca="false">(G689*G694*G695+G690*G694*v_ot*G696)*G693</f>
        <v>556.094153523679</v>
      </c>
    </row>
    <row r="698" customFormat="false" ht="15" hidden="false" customHeight="false" outlineLevel="0" collapsed="false">
      <c r="A698" s="3" t="s">
        <v>622</v>
      </c>
      <c r="B698" s="0" t="s">
        <v>329</v>
      </c>
      <c r="D698" s="21" t="n">
        <f aca="false">D697*fx/1000</f>
        <v>3.19087339272</v>
      </c>
      <c r="E698" s="21" t="n">
        <f aca="false">E697*fx/1000</f>
        <v>9.14430840295167</v>
      </c>
      <c r="F698" s="21" t="n">
        <f aca="false">F697*fx/1000</f>
        <v>14.1786347524944</v>
      </c>
      <c r="G698" s="21" t="n">
        <f aca="false">G697*fx/1000</f>
        <v>18.0730599895196</v>
      </c>
    </row>
    <row r="699" customFormat="false" ht="17.15" hidden="false" customHeight="false" outlineLevel="0" collapsed="false">
      <c r="A699" s="5" t="s">
        <v>623</v>
      </c>
    </row>
    <row r="700" customFormat="false" ht="17.15" hidden="false" customHeight="false" outlineLevel="0" collapsed="false">
      <c r="A700" s="0" t="s">
        <v>624</v>
      </c>
      <c r="B700" s="0" t="s">
        <v>329</v>
      </c>
      <c r="D700" s="21" t="n">
        <f aca="false">a26_abf*ai_abf</f>
        <v>22.2987583</v>
      </c>
      <c r="K700" s="3" t="s">
        <v>625</v>
      </c>
    </row>
    <row r="701" customFormat="false" ht="17.15" hidden="false" customHeight="false" outlineLevel="0" collapsed="false">
      <c r="A701" s="3" t="s">
        <v>626</v>
      </c>
      <c r="B701" s="0" t="s">
        <v>329</v>
      </c>
      <c r="D701" s="21" t="n">
        <f aca="false">D700-D698</f>
        <v>19.10788490728</v>
      </c>
      <c r="E701" s="21" t="n">
        <f aca="false">$D701*(swm_27/swm_26)^el_o*1*1*E692*E693</f>
        <v>30.7354094978265</v>
      </c>
      <c r="F701" s="21" t="n">
        <f aca="false">$D701*(swm_28/swm_26)^el_o*um28_A*1*F692*F693</f>
        <v>31.4104002135205</v>
      </c>
      <c r="G701" s="21" t="n">
        <f aca="false">$D701*(swm_29/swm_26)^el_o*um29_A*1*G692*G693</f>
        <v>31.7452412889375</v>
      </c>
      <c r="K701" s="7" t="s">
        <v>627</v>
      </c>
    </row>
    <row r="702" customFormat="false" ht="17.15" hidden="false" customHeight="false" outlineLevel="0" collapsed="false">
      <c r="A702" s="3" t="s">
        <v>628</v>
      </c>
      <c r="B702" s="0" t="s">
        <v>329</v>
      </c>
      <c r="D702" s="21" t="n">
        <f aca="false">a26_abf-D700</f>
        <v>12.0070237</v>
      </c>
      <c r="E702" s="21" t="n">
        <f aca="false">D702*(1+g_nai)</f>
        <v>12.367234411</v>
      </c>
      <c r="F702" s="21" t="n">
        <f aca="false">E702*(1+g_nai)</f>
        <v>12.73825144333</v>
      </c>
      <c r="G702" s="21" t="n">
        <f aca="false">F702*(1+g_nai)</f>
        <v>13.1203989866299</v>
      </c>
    </row>
    <row r="703" customFormat="false" ht="17.15" hidden="false" customHeight="false" outlineLevel="0" collapsed="false">
      <c r="A703" s="0" t="s">
        <v>629</v>
      </c>
      <c r="B703" s="0" t="s">
        <v>329</v>
      </c>
      <c r="D703" s="21" t="n">
        <f aca="false">D698+D701+D702</f>
        <v>34.305782</v>
      </c>
      <c r="E703" s="21" t="n">
        <f aca="false">E698+E701+E702</f>
        <v>52.2469523117781</v>
      </c>
      <c r="F703" s="21" t="n">
        <f aca="false">F698+F701+F702</f>
        <v>58.3272864093449</v>
      </c>
      <c r="G703" s="21" t="n">
        <f aca="false">G698+G701+G702</f>
        <v>62.9387002650869</v>
      </c>
    </row>
    <row r="704" customFormat="false" ht="17.15" hidden="false" customHeight="false" outlineLevel="0" collapsed="false">
      <c r="A704" s="0" t="s">
        <v>630</v>
      </c>
      <c r="B704" s="0" t="s">
        <v>329</v>
      </c>
      <c r="D704" s="21" t="n">
        <f aca="false">a26_abf</f>
        <v>34.305782</v>
      </c>
      <c r="E704" s="21" t="n">
        <f aca="false">$D703*cap_27*(1+g_mix)^1*E692*E693</f>
        <v>49.709078118</v>
      </c>
      <c r="F704" s="21" t="n">
        <f aca="false">$D703*cap_28*(1+g_mix)^2*F692*F693</f>
        <v>55.7829061005431</v>
      </c>
      <c r="G704" s="21" t="n">
        <f aca="false">$D703*cap_29*(1+g_mix)^3*G692*G693</f>
        <v>65.765110350114</v>
      </c>
      <c r="K704" s="7" t="s">
        <v>631</v>
      </c>
    </row>
    <row r="705" customFormat="false" ht="17.15" hidden="false" customHeight="false" outlineLevel="0" collapsed="false">
      <c r="A705" s="0" t="s">
        <v>632</v>
      </c>
      <c r="B705" s="0" t="s">
        <v>329</v>
      </c>
      <c r="D705" s="21" t="n">
        <f aca="false">a26_abf</f>
        <v>34.305782</v>
      </c>
      <c r="E705" s="21" t="n">
        <f aca="false">MIN(E703,E704)</f>
        <v>49.709078118</v>
      </c>
      <c r="F705" s="21" t="n">
        <f aca="false">MIN(F703,F704)</f>
        <v>55.7829061005431</v>
      </c>
      <c r="G705" s="21" t="n">
        <f aca="false">MIN(G703,G704)</f>
        <v>62.9387002650869</v>
      </c>
    </row>
    <row r="706" customFormat="false" ht="17.15" hidden="false" customHeight="false" outlineLevel="0" collapsed="false">
      <c r="A706" s="3" t="s">
        <v>633</v>
      </c>
      <c r="B706" s="0" t="s">
        <v>40</v>
      </c>
      <c r="D706" s="20" t="n">
        <f aca="false">D705/D703</f>
        <v>1</v>
      </c>
      <c r="E706" s="20" t="n">
        <f aca="false">E705/E703</f>
        <v>0.951425411789885</v>
      </c>
      <c r="F706" s="20" t="n">
        <f aca="false">F705/F703</f>
        <v>0.956377529876066</v>
      </c>
      <c r="G706" s="20" t="n">
        <f aca="false">G705/G703</f>
        <v>1</v>
      </c>
    </row>
    <row r="707" customFormat="false" ht="17.15" hidden="false" customHeight="false" outlineLevel="0" collapsed="false">
      <c r="A707" s="0" t="s">
        <v>634</v>
      </c>
      <c r="B707" s="0" t="s">
        <v>329</v>
      </c>
      <c r="D707" s="21" t="n">
        <f aca="false">(D698+D701)*D706</f>
        <v>22.2987583</v>
      </c>
      <c r="E707" s="21" t="n">
        <f aca="false">(E698+E701)*E706</f>
        <v>37.9425770258123</v>
      </c>
      <c r="F707" s="21" t="n">
        <f aca="false">(F698+F701)*F706</f>
        <v>43.6003286502309</v>
      </c>
      <c r="G707" s="21" t="n">
        <f aca="false">(G698+G701)*G706</f>
        <v>49.818301278457</v>
      </c>
    </row>
    <row r="708" customFormat="false" ht="17.15" hidden="false" customHeight="false" outlineLevel="0" collapsed="false">
      <c r="A708" s="3" t="s">
        <v>635</v>
      </c>
      <c r="B708" s="0" t="s">
        <v>40</v>
      </c>
      <c r="D708" s="20" t="n">
        <f aca="false">D698/(D698+D701)</f>
        <v>0.14309646078903</v>
      </c>
      <c r="E708" s="20" t="n">
        <f aca="false">E698/(E698+E701)</f>
        <v>0.229297218844501</v>
      </c>
      <c r="F708" s="20" t="n">
        <f aca="false">F698/(F698+F701)</f>
        <v>0.311009758444419</v>
      </c>
      <c r="G708" s="20" t="n">
        <f aca="false">G698/(G698+G701)</f>
        <v>0.362779531331288</v>
      </c>
    </row>
    <row r="709" customFormat="false" ht="17.15" hidden="false" customHeight="false" outlineLevel="0" collapsed="false">
      <c r="A709" s="5" t="s">
        <v>636</v>
      </c>
    </row>
    <row r="710" customFormat="false" ht="17.15" hidden="false" customHeight="false" outlineLevel="0" collapsed="false">
      <c r="A710" s="0" t="s">
        <v>637</v>
      </c>
      <c r="B710" s="0" t="s">
        <v>329</v>
      </c>
      <c r="D710" s="21" t="n">
        <f aca="false">a26_bt</f>
        <v>18.927328</v>
      </c>
      <c r="E710" s="21" t="n">
        <f aca="false">D710*(1+g_bt27_C)</f>
        <v>21.7664272</v>
      </c>
      <c r="F710" s="21" t="n">
        <f aca="false">E710*(1+g_bt28_C)</f>
        <v>21.7664272</v>
      </c>
      <c r="G710" s="21" t="n">
        <f aca="false">F710*(1+g_bt29_C)</f>
        <v>21.7664272</v>
      </c>
      <c r="K710" s="7" t="s">
        <v>638</v>
      </c>
    </row>
    <row r="711" customFormat="false" ht="17.15" hidden="false" customHeight="false" outlineLevel="0" collapsed="false">
      <c r="A711" s="0" t="s">
        <v>536</v>
      </c>
      <c r="B711" s="0" t="s">
        <v>329</v>
      </c>
      <c r="D711" s="21" t="n">
        <f aca="false">a26_pcb</f>
        <v>5.91479</v>
      </c>
      <c r="E711" s="21" t="n">
        <f aca="false">D711*(1+g_pcb)</f>
        <v>5.91479</v>
      </c>
      <c r="F711" s="21" t="n">
        <f aca="false">E711*(1+g_pcb)</f>
        <v>5.91479</v>
      </c>
      <c r="G711" s="21" t="n">
        <f aca="false">F711*(1+g_pcb)</f>
        <v>5.91479</v>
      </c>
    </row>
    <row r="712" customFormat="false" ht="17.15" hidden="false" customHeight="false" outlineLevel="0" collapsed="false">
      <c r="A712" s="3" t="s">
        <v>501</v>
      </c>
      <c r="B712" s="0" t="s">
        <v>329</v>
      </c>
      <c r="C712" s="23" t="n">
        <f aca="false">a25_rev</f>
        <v>40.173</v>
      </c>
      <c r="D712" s="23" t="n">
        <f aca="false">D705+D710+D711</f>
        <v>59.1479</v>
      </c>
      <c r="E712" s="23" t="n">
        <f aca="false">E705+E710+E711</f>
        <v>77.390295318</v>
      </c>
      <c r="F712" s="23" t="n">
        <f aca="false">F705+F710+F711</f>
        <v>83.4641233005431</v>
      </c>
      <c r="G712" s="23" t="n">
        <f aca="false">G705+G710+G711</f>
        <v>90.6199174650869</v>
      </c>
      <c r="H712" s="25" t="n">
        <f aca="false">G712*(1+H713)</f>
        <v>97.6118464593749</v>
      </c>
      <c r="I712" s="25" t="n">
        <f aca="false">H712*(1+I713)</f>
        <v>104.305903249365</v>
      </c>
      <c r="J712" s="25" t="n">
        <f aca="false">I712*(1+J713)</f>
        <v>110.564257444327</v>
      </c>
      <c r="K712" s="7" t="s">
        <v>639</v>
      </c>
    </row>
    <row r="713" customFormat="false" ht="15" hidden="false" customHeight="false" outlineLevel="0" collapsed="false">
      <c r="A713" s="3" t="s">
        <v>640</v>
      </c>
      <c r="B713" s="0" t="s">
        <v>40</v>
      </c>
      <c r="D713" s="20" t="n">
        <f aca="false">D712/C712-1</f>
        <v>0.472329674159261</v>
      </c>
      <c r="E713" s="20" t="n">
        <f aca="false">E712/D712-1</f>
        <v>0.30842</v>
      </c>
      <c r="F713" s="20" t="n">
        <f aca="false">F712/E712-1</f>
        <v>0.078483070229743</v>
      </c>
      <c r="G713" s="20" t="n">
        <f aca="false">G712/F712-1</f>
        <v>0.0857349706864676</v>
      </c>
      <c r="H713" s="26" t="n">
        <f aca="false">$G713+(fade_gA-$G713)*1/3</f>
        <v>0.0771566471243118</v>
      </c>
      <c r="I713" s="26" t="n">
        <f aca="false">$G713+(fade_gA-$G713)*2/3</f>
        <v>0.0685783235621559</v>
      </c>
      <c r="J713" s="26" t="n">
        <f aca="false">$G713+(fade_gA-$G713)*3/3</f>
        <v>0.06</v>
      </c>
    </row>
    <row r="714" customFormat="false" ht="17.15" hidden="false" customHeight="false" outlineLevel="0" collapsed="false">
      <c r="A714" s="0" t="s">
        <v>641</v>
      </c>
      <c r="B714" s="0" t="s">
        <v>40</v>
      </c>
      <c r="D714" s="20" t="n">
        <f aca="false">D705/D712</f>
        <v>0.58</v>
      </c>
      <c r="E714" s="20" t="n">
        <f aca="false">E705/E712</f>
        <v>0.642316687302243</v>
      </c>
      <c r="F714" s="20" t="n">
        <f aca="false">F705/F712</f>
        <v>0.668345917918246</v>
      </c>
      <c r="G714" s="20" t="n">
        <f aca="false">G705/G712</f>
        <v>0.694534954628879</v>
      </c>
    </row>
    <row r="715" customFormat="false" ht="17.15" hidden="false" customHeight="false" outlineLevel="0" collapsed="false">
      <c r="A715" s="0" t="s">
        <v>642</v>
      </c>
      <c r="B715" s="0" t="s">
        <v>40</v>
      </c>
      <c r="D715" s="20" t="n">
        <f aca="false">D707/D712</f>
        <v>0.377</v>
      </c>
      <c r="E715" s="20" t="n">
        <f aca="false">E707/E712</f>
        <v>0.490275645930858</v>
      </c>
      <c r="F715" s="20" t="n">
        <f aca="false">F707/F712</f>
        <v>0.522384072653971</v>
      </c>
      <c r="G715" s="20" t="n">
        <f aca="false">G707/G712</f>
        <v>0.549750018230269</v>
      </c>
      <c r="K715" s="3" t="s">
        <v>643</v>
      </c>
    </row>
    <row r="716" customFormat="false" ht="17.15" hidden="false" customHeight="false" outlineLevel="0" collapsed="false">
      <c r="A716" s="5" t="s">
        <v>644</v>
      </c>
    </row>
    <row r="717" customFormat="false" ht="15" hidden="false" customHeight="false" outlineLevel="0" collapsed="false">
      <c r="A717" s="3" t="s">
        <v>645</v>
      </c>
      <c r="B717" s="0" t="s">
        <v>329</v>
      </c>
      <c r="C717" s="23" t="n">
        <f aca="false">a25_cx</f>
        <v>2.422</v>
      </c>
      <c r="D717" s="23" t="n">
        <f aca="false">capex26</f>
        <v>4</v>
      </c>
      <c r="E717" s="23" t="n">
        <f aca="false">cx27</f>
        <v>14</v>
      </c>
      <c r="F717" s="23" t="n">
        <f aca="false">cx28</f>
        <v>18</v>
      </c>
      <c r="G717" s="23" t="n">
        <f aca="false">cx29</f>
        <v>12</v>
      </c>
      <c r="H717" s="25" t="n">
        <f aca="false">H712*H734</f>
        <v>12.3642260263686</v>
      </c>
      <c r="I717" s="25" t="n">
        <f aca="false">I712*I734</f>
        <v>12.6119729084259</v>
      </c>
      <c r="J717" s="25" t="n">
        <f aca="false">J712*J734</f>
        <v>12.7325100112984</v>
      </c>
    </row>
    <row r="718" customFormat="false" ht="17.15" hidden="false" customHeight="false" outlineLevel="0" collapsed="false">
      <c r="A718" s="3" t="s">
        <v>646</v>
      </c>
      <c r="B718" s="0" t="s">
        <v>329</v>
      </c>
      <c r="C718" s="23" t="n">
        <f aca="false">a25_da</f>
        <v>6.894</v>
      </c>
      <c r="D718" s="23" t="n">
        <f aca="false">da26</f>
        <v>7.1</v>
      </c>
      <c r="E718" s="23" t="n">
        <f aca="false">D718*(1-1/life)+D717/life</f>
        <v>6.7125</v>
      </c>
      <c r="F718" s="23" t="n">
        <f aca="false">E718*(1-1/life)+E717/life</f>
        <v>7.6234375</v>
      </c>
      <c r="G718" s="23" t="n">
        <f aca="false">F718*(1-1/life)+F717/life</f>
        <v>8.9205078125</v>
      </c>
      <c r="H718" s="25" t="n">
        <f aca="false">H712*H719</f>
        <v>9.60878428595873</v>
      </c>
      <c r="I718" s="25" t="n">
        <f aca="false">I712*I719</f>
        <v>10.2677386037602</v>
      </c>
      <c r="J718" s="25" t="n">
        <f aca="false">J712*J719</f>
        <v>10.8838029199858</v>
      </c>
      <c r="K718" s="3" t="s">
        <v>647</v>
      </c>
    </row>
    <row r="719" customFormat="false" ht="17.15" hidden="false" customHeight="false" outlineLevel="0" collapsed="false">
      <c r="A719" s="3" t="s">
        <v>648</v>
      </c>
      <c r="B719" s="0" t="s">
        <v>40</v>
      </c>
      <c r="C719" s="20" t="n">
        <f aca="false">C718/C712</f>
        <v>0.171607796281084</v>
      </c>
      <c r="D719" s="20" t="n">
        <f aca="false">D718/D712</f>
        <v>0.120038074048276</v>
      </c>
      <c r="E719" s="20" t="n">
        <f aca="false">E718/E712</f>
        <v>0.0867356814238536</v>
      </c>
      <c r="F719" s="20" t="n">
        <f aca="false">F718/F712</f>
        <v>0.091337897033304</v>
      </c>
      <c r="G719" s="20" t="n">
        <f aca="false">G718/G712</f>
        <v>0.0984387104075304</v>
      </c>
      <c r="H719" s="26" t="n">
        <f aca="false">$G719</f>
        <v>0.0984387104075304</v>
      </c>
      <c r="I719" s="26" t="n">
        <f aca="false">$G719</f>
        <v>0.0984387104075304</v>
      </c>
      <c r="J719" s="26" t="n">
        <f aca="false">$G719</f>
        <v>0.0984387104075304</v>
      </c>
    </row>
    <row r="720" customFormat="false" ht="17.15" hidden="false" customHeight="false" outlineLevel="0" collapsed="false">
      <c r="A720" s="3" t="s">
        <v>649</v>
      </c>
      <c r="B720" s="0" t="s">
        <v>329</v>
      </c>
      <c r="E720" s="21" t="n">
        <f aca="false">E707*(1-1/(E692*E693))</f>
        <v>4.94903178597551</v>
      </c>
      <c r="F720" s="21" t="n">
        <f aca="false">F707*(1-1/(F692*F693))</f>
        <v>3.69156100699895</v>
      </c>
      <c r="G720" s="21" t="n">
        <f aca="false">G707*(1-1/(G692*G693))</f>
        <v>1.68467685482705</v>
      </c>
      <c r="K720" s="7" t="s">
        <v>650</v>
      </c>
    </row>
    <row r="721" customFormat="false" ht="17.15" hidden="false" customHeight="false" outlineLevel="0" collapsed="false">
      <c r="A721" s="3" t="s">
        <v>651</v>
      </c>
      <c r="B721" s="0" t="s">
        <v>329</v>
      </c>
      <c r="C721" s="21" t="n">
        <f aca="false">a25_gp</f>
        <v>3.647</v>
      </c>
      <c r="D721" s="21" t="n">
        <f aca="false">a26_gp</f>
        <v>15.9001925</v>
      </c>
      <c r="E721" s="21" t="n">
        <f aca="false">$D721+ft_abf*(E705-E720-$D705)+ft_oth*((E712-E705)-($D712-$D705))+E720-(E718-$D718)</f>
        <v>27.5994961319878</v>
      </c>
      <c r="F721" s="21" t="n">
        <f aca="false">$D721+ft_abf*(F705-F720-$D705)+ft_oth*((F712-F705)-($D712-$D705))+F720-(F718-$D718)</f>
        <v>29.096737233771</v>
      </c>
      <c r="G721" s="21" t="n">
        <f aca="false">$D721+ft_abf*(G705-G720-$D705)+ft_oth*((G712-G705)-($D712-$D705))+G720-(G718-$D718)</f>
        <v>30.374121927457</v>
      </c>
      <c r="K721" s="3" t="s">
        <v>652</v>
      </c>
    </row>
    <row r="722" customFormat="false" ht="15" hidden="false" customHeight="false" outlineLevel="0" collapsed="false">
      <c r="A722" s="3" t="s">
        <v>508</v>
      </c>
      <c r="B722" s="0" t="s">
        <v>40</v>
      </c>
      <c r="C722" s="16" t="n">
        <f aca="false">C721/C712</f>
        <v>0.0907823662659</v>
      </c>
      <c r="D722" s="16" t="n">
        <f aca="false">D721/D712</f>
        <v>0.268820913337583</v>
      </c>
      <c r="E722" s="16" t="n">
        <f aca="false">E721/E712</f>
        <v>0.356627352545694</v>
      </c>
      <c r="F722" s="16" t="n">
        <f aca="false">F721/F712</f>
        <v>0.348613704705165</v>
      </c>
      <c r="G722" s="16" t="n">
        <f aca="false">G721/G712</f>
        <v>0.335181522750329</v>
      </c>
    </row>
    <row r="723" customFormat="false" ht="15" hidden="false" customHeight="false" outlineLevel="0" collapsed="false">
      <c r="A723" s="3" t="s">
        <v>510</v>
      </c>
      <c r="B723" s="0" t="s">
        <v>329</v>
      </c>
      <c r="C723" s="21" t="n">
        <f aca="false">a25_opx</f>
        <v>1.665</v>
      </c>
      <c r="D723" s="21" t="n">
        <f aca="false">a26_opx</f>
        <v>1.9</v>
      </c>
      <c r="E723" s="21" t="n">
        <f aca="false">D723*(1+phi*E713)</f>
        <v>2.2515988</v>
      </c>
      <c r="F723" s="21" t="n">
        <f aca="false">E723*(1+phi*F713)</f>
        <v>2.35762623204976</v>
      </c>
      <c r="G723" s="21" t="n">
        <f aca="false">F723*(1+phi*G713)</f>
        <v>2.47890484158642</v>
      </c>
    </row>
    <row r="724" customFormat="false" ht="15" hidden="false" customHeight="false" outlineLevel="0" collapsed="false">
      <c r="A724" s="3" t="s">
        <v>513</v>
      </c>
      <c r="B724" s="0" t="s">
        <v>329</v>
      </c>
      <c r="C724" s="21" t="n">
        <f aca="false">C721-C723</f>
        <v>1.982</v>
      </c>
      <c r="D724" s="21" t="n">
        <f aca="false">D721-D723</f>
        <v>14.0001925</v>
      </c>
      <c r="E724" s="21" t="n">
        <f aca="false">E721-E723</f>
        <v>25.3478973319878</v>
      </c>
      <c r="F724" s="21" t="n">
        <f aca="false">F721-F723</f>
        <v>26.7391110017213</v>
      </c>
      <c r="G724" s="21" t="n">
        <f aca="false">G721-G723</f>
        <v>27.8952170858706</v>
      </c>
    </row>
    <row r="725" customFormat="false" ht="15" hidden="false" customHeight="false" outlineLevel="0" collapsed="false">
      <c r="A725" s="3" t="s">
        <v>594</v>
      </c>
      <c r="B725" s="0" t="s">
        <v>40</v>
      </c>
      <c r="C725" s="16" t="n">
        <f aca="false">C724/C712</f>
        <v>0.0493366191222961</v>
      </c>
      <c r="D725" s="16" t="n">
        <f aca="false">D724/D712</f>
        <v>0.236698048451424</v>
      </c>
      <c r="E725" s="16" t="n">
        <f aca="false">E724/E712</f>
        <v>0.327533280856885</v>
      </c>
      <c r="F725" s="16" t="n">
        <f aca="false">F724/F712</f>
        <v>0.320366523295732</v>
      </c>
      <c r="G725" s="16" t="n">
        <f aca="false">G724/G712</f>
        <v>0.307826555863039</v>
      </c>
    </row>
    <row r="726" customFormat="false" ht="15" hidden="false" customHeight="false" outlineLevel="0" collapsed="false">
      <c r="A726" s="3" t="s">
        <v>516</v>
      </c>
      <c r="B726" s="0" t="s">
        <v>329</v>
      </c>
      <c r="C726" s="21" t="n">
        <f aca="false">a25_nonop</f>
        <v>0.364</v>
      </c>
      <c r="D726" s="21" t="n">
        <f aca="false">a26_nonop</f>
        <v>0.623</v>
      </c>
      <c r="E726" s="21" t="n">
        <f aca="false">nonop27</f>
        <v>0.6</v>
      </c>
      <c r="F726" s="21" t="n">
        <f aca="false">nonop28</f>
        <v>0.6</v>
      </c>
      <c r="G726" s="21" t="n">
        <f aca="false">nonop29</f>
        <v>0.6</v>
      </c>
    </row>
    <row r="727" customFormat="false" ht="15" hidden="false" customHeight="false" outlineLevel="0" collapsed="false">
      <c r="A727" s="3" t="s">
        <v>518</v>
      </c>
      <c r="B727" s="0" t="s">
        <v>329</v>
      </c>
      <c r="C727" s="21" t="n">
        <f aca="false">C724+C726</f>
        <v>2.346</v>
      </c>
      <c r="D727" s="21" t="n">
        <f aca="false">D724+D726</f>
        <v>14.6231925</v>
      </c>
      <c r="E727" s="21" t="n">
        <f aca="false">E724+E726</f>
        <v>25.9478973319878</v>
      </c>
      <c r="F727" s="21" t="n">
        <f aca="false">F724+F726</f>
        <v>27.3391110017213</v>
      </c>
      <c r="G727" s="21" t="n">
        <f aca="false">G724+G726</f>
        <v>28.4952170858706</v>
      </c>
    </row>
    <row r="728" customFormat="false" ht="15" hidden="false" customHeight="false" outlineLevel="0" collapsed="false">
      <c r="A728" s="3" t="s">
        <v>521</v>
      </c>
      <c r="B728" s="0" t="s">
        <v>329</v>
      </c>
      <c r="E728" s="21" t="n">
        <f aca="false">E727*tax</f>
        <v>5.44905843971743</v>
      </c>
      <c r="F728" s="21" t="n">
        <f aca="false">F727*tax</f>
        <v>5.74121331036147</v>
      </c>
      <c r="G728" s="21" t="n">
        <f aca="false">G727*tax</f>
        <v>5.98399558803282</v>
      </c>
    </row>
    <row r="729" customFormat="false" ht="15" hidden="false" customHeight="false" outlineLevel="0" collapsed="false">
      <c r="A729" s="3" t="s">
        <v>519</v>
      </c>
      <c r="B729" s="0" t="s">
        <v>329</v>
      </c>
      <c r="C729" s="21" t="n">
        <f aca="false">a25_ni</f>
        <v>1.947</v>
      </c>
      <c r="D729" s="21" t="n">
        <f aca="false">a26_ni</f>
        <v>11.509862075</v>
      </c>
      <c r="E729" s="21" t="n">
        <f aca="false">E727-E728</f>
        <v>20.4988388922703</v>
      </c>
      <c r="F729" s="21" t="n">
        <f aca="false">F727-F728</f>
        <v>21.5978976913598</v>
      </c>
      <c r="G729" s="21" t="n">
        <f aca="false">G727-G728</f>
        <v>22.5112214978378</v>
      </c>
      <c r="H729" s="30" t="n">
        <f aca="false">H712*H733</f>
        <v>24.3679343310941</v>
      </c>
      <c r="I729" s="30" t="n">
        <f aca="false">I712*I733</f>
        <v>26.1670860994225</v>
      </c>
      <c r="J729" s="30" t="n">
        <f aca="false">J712*J733</f>
        <v>27.8728333296109</v>
      </c>
    </row>
    <row r="730" customFormat="false" ht="15" hidden="false" customHeight="false" outlineLevel="0" collapsed="false">
      <c r="A730" s="3" t="s">
        <v>653</v>
      </c>
      <c r="B730" s="3" t="s">
        <v>396</v>
      </c>
      <c r="C730" s="29" t="n">
        <f aca="false">a25_sh</f>
        <v>0.646843853820598</v>
      </c>
      <c r="D730" s="29" t="n">
        <f aca="false">a26_sh</f>
        <v>0.645863325123153</v>
      </c>
      <c r="E730" s="29" t="n">
        <f aca="false">a26_shend*(1+sh_g)</f>
        <v>0.64617</v>
      </c>
      <c r="F730" s="29" t="n">
        <f aca="false">E730*(1+sh_g)</f>
        <v>0.64617</v>
      </c>
      <c r="G730" s="29" t="n">
        <f aca="false">F730*(1+sh_g)</f>
        <v>0.64617</v>
      </c>
      <c r="H730" s="31" t="n">
        <f aca="false">G730*(1+sh_g)</f>
        <v>0.64617</v>
      </c>
      <c r="I730" s="31" t="n">
        <f aca="false">H730*(1+sh_g)</f>
        <v>0.64617</v>
      </c>
      <c r="J730" s="31" t="n">
        <f aca="false">I730*(1+sh_g)</f>
        <v>0.64617</v>
      </c>
    </row>
    <row r="731" customFormat="false" ht="17.15" hidden="false" customHeight="false" outlineLevel="0" collapsed="false">
      <c r="A731" s="0" t="s">
        <v>524</v>
      </c>
      <c r="B731" s="0" t="s">
        <v>402</v>
      </c>
      <c r="C731" s="18" t="n">
        <f aca="false">C729/C730</f>
        <v>3.01</v>
      </c>
      <c r="D731" s="18" t="n">
        <f aca="false">D729/D730</f>
        <v>17.820894339844</v>
      </c>
      <c r="E731" s="18" t="n">
        <f aca="false">E729/E730</f>
        <v>31.7236004337409</v>
      </c>
      <c r="F731" s="18" t="n">
        <f aca="false">F729/F730</f>
        <v>33.4244822436198</v>
      </c>
      <c r="G731" s="18" t="n">
        <f aca="false">G729/G730</f>
        <v>34.8379242271194</v>
      </c>
      <c r="H731" s="28" t="n">
        <f aca="false">H729/H730</f>
        <v>37.7113365385178</v>
      </c>
      <c r="I731" s="28" t="n">
        <f aca="false">I729/I730</f>
        <v>40.495668476442</v>
      </c>
      <c r="J731" s="28" t="n">
        <f aca="false">J729/J730</f>
        <v>43.1354493857823</v>
      </c>
    </row>
    <row r="732" customFormat="false" ht="17.15" hidden="false" customHeight="false" outlineLevel="0" collapsed="false">
      <c r="A732" s="0" t="s">
        <v>654</v>
      </c>
      <c r="B732" s="0" t="s">
        <v>40</v>
      </c>
      <c r="D732" s="20" t="n">
        <f aca="false">D731/C731-1</f>
        <v>4.92056290360265</v>
      </c>
      <c r="E732" s="20" t="n">
        <f aca="false">E731/D731-1</f>
        <v>0.780135150838822</v>
      </c>
      <c r="F732" s="20" t="n">
        <f aca="false">F731/E731-1</f>
        <v>0.0536156611047816</v>
      </c>
      <c r="G732" s="20" t="n">
        <f aca="false">G731/F731-1</f>
        <v>0.0422876253758397</v>
      </c>
      <c r="H732" s="26" t="n">
        <f aca="false">H731/G731-1</f>
        <v>0.082479435131259</v>
      </c>
      <c r="I732" s="26" t="n">
        <f aca="false">I731/H731-1</f>
        <v>0.0738327567648067</v>
      </c>
      <c r="J732" s="26" t="n">
        <f aca="false">J731/I731-1</f>
        <v>0.0651867473400516</v>
      </c>
    </row>
    <row r="733" customFormat="false" ht="17.15" hidden="false" customHeight="false" outlineLevel="0" collapsed="false">
      <c r="A733" s="3" t="s">
        <v>655</v>
      </c>
      <c r="B733" s="0" t="s">
        <v>40</v>
      </c>
      <c r="C733" s="16" t="n">
        <f aca="false">C729/C712</f>
        <v>0.0484653872003585</v>
      </c>
      <c r="D733" s="16" t="n">
        <f aca="false">D729/D712</f>
        <v>0.194594602259759</v>
      </c>
      <c r="E733" s="16" t="n">
        <f aca="false">E729/E712</f>
        <v>0.26487609083335</v>
      </c>
      <c r="F733" s="16" t="n">
        <f aca="false">F729/F712</f>
        <v>0.258768640192729</v>
      </c>
      <c r="G733" s="16" t="n">
        <f aca="false">G729/G712</f>
        <v>0.248413617310021</v>
      </c>
      <c r="H733" s="27" t="n">
        <f aca="false">$G733+(fade_mA-$G733)*1/3</f>
        <v>0.249641157451476</v>
      </c>
      <c r="I733" s="27" t="n">
        <f aca="false">$G733+(fade_mA-$G733)*2/3</f>
        <v>0.250868697592931</v>
      </c>
      <c r="J733" s="27" t="n">
        <f aca="false">$G733+(fade_mA-$G733)*3/3</f>
        <v>0.252096237734386</v>
      </c>
    </row>
    <row r="734" customFormat="false" ht="17.15" hidden="false" customHeight="false" outlineLevel="0" collapsed="false">
      <c r="A734" s="3" t="s">
        <v>656</v>
      </c>
      <c r="B734" s="0" t="s">
        <v>40</v>
      </c>
      <c r="C734" s="20" t="n">
        <f aca="false">C717/C712</f>
        <v>0.0602892489980833</v>
      </c>
      <c r="D734" s="20" t="n">
        <f aca="false">D717/D712</f>
        <v>0.0676270839708595</v>
      </c>
      <c r="E734" s="20" t="n">
        <f aca="false">E717/E712</f>
        <v>0.180901234999471</v>
      </c>
      <c r="F734" s="20" t="n">
        <f aca="false">F717/F712</f>
        <v>0.215661523636742</v>
      </c>
      <c r="G734" s="20" t="n">
        <f aca="false">G717/G712</f>
        <v>0.132421219701764</v>
      </c>
      <c r="H734" s="26" t="n">
        <f aca="false">$G734+($G719*(1+tp_g)^(life/2)-$G734)*1/3</f>
        <v>0.12666726913638</v>
      </c>
      <c r="I734" s="26" t="n">
        <f aca="false">$G734+($G719*(1+tp_g)^(life/2)-$G734)*2/3</f>
        <v>0.120913318570995</v>
      </c>
      <c r="J734" s="26" t="n">
        <f aca="false">$G734+($G719*(1+tp_g)^(life/2)-$G734)*3/3</f>
        <v>0.115159368005611</v>
      </c>
      <c r="K734" s="7" t="s">
        <v>657</v>
      </c>
    </row>
    <row r="735" customFormat="false" ht="15" hidden="false" customHeight="false" outlineLevel="0" collapsed="false">
      <c r="A735" s="3" t="s">
        <v>658</v>
      </c>
      <c r="B735" s="0" t="s">
        <v>329</v>
      </c>
      <c r="E735" s="21" t="n">
        <f aca="false">E729+E718-E717</f>
        <v>13.2113388922703</v>
      </c>
      <c r="F735" s="21" t="n">
        <f aca="false">F729+F718-F717</f>
        <v>11.2213351913598</v>
      </c>
      <c r="G735" s="21" t="n">
        <f aca="false">G729+G718-G717</f>
        <v>19.4317293103377</v>
      </c>
      <c r="H735" s="30" t="n">
        <f aca="false">H729+H718-H717</f>
        <v>21.6124925906842</v>
      </c>
      <c r="I735" s="30" t="n">
        <f aca="false">I729+I718-I717</f>
        <v>23.8228517947568</v>
      </c>
      <c r="J735" s="30" t="n">
        <f aca="false">J729+J718-J717</f>
        <v>26.0241262382984</v>
      </c>
      <c r="K735" s="3" t="s">
        <v>659</v>
      </c>
    </row>
    <row r="736" customFormat="false" ht="15" hidden="false" customHeight="false" outlineLevel="0" collapsed="false">
      <c r="A736" s="3" t="s">
        <v>660</v>
      </c>
      <c r="B736" s="0" t="s">
        <v>402</v>
      </c>
      <c r="E736" s="18" t="n">
        <f aca="false">E735/E730</f>
        <v>20.4456085740135</v>
      </c>
      <c r="F736" s="18" t="n">
        <f aca="false">F735/F730</f>
        <v>17.365917933918</v>
      </c>
      <c r="G736" s="18" t="n">
        <f aca="false">G735/G730</f>
        <v>30.0721626047909</v>
      </c>
      <c r="H736" s="28" t="n">
        <f aca="false">H735/H730</f>
        <v>33.4470690231428</v>
      </c>
      <c r="I736" s="28" t="n">
        <f aca="false">I735/I730</f>
        <v>36.8677775117334</v>
      </c>
      <c r="J736" s="28" t="n">
        <f aca="false">J735/J730</f>
        <v>40.2744266033681</v>
      </c>
    </row>
    <row r="739" customFormat="false" ht="17.15" hidden="false" customHeight="false" outlineLevel="0" collapsed="false">
      <c r="A739" s="1" t="s">
        <v>971</v>
      </c>
    </row>
    <row r="740" customFormat="false" ht="17.15" hidden="false" customHeight="false" outlineLevel="0" collapsed="false">
      <c r="A740" s="4" t="s">
        <v>17</v>
      </c>
      <c r="B740" s="4" t="s">
        <v>18</v>
      </c>
      <c r="C740" s="13" t="s">
        <v>494</v>
      </c>
      <c r="D740" s="13" t="s">
        <v>581</v>
      </c>
      <c r="E740" s="13" t="s">
        <v>582</v>
      </c>
      <c r="F740" s="13" t="s">
        <v>583</v>
      </c>
      <c r="G740" s="13" t="s">
        <v>584</v>
      </c>
      <c r="H740" s="13" t="s">
        <v>585</v>
      </c>
      <c r="I740" s="13" t="s">
        <v>586</v>
      </c>
      <c r="J740" s="13" t="s">
        <v>587</v>
      </c>
      <c r="K740" s="4" t="s">
        <v>549</v>
      </c>
    </row>
    <row r="741" customFormat="false" ht="17.15" hidden="false" customHeight="false" outlineLevel="0" collapsed="false">
      <c r="A741" s="5" t="s">
        <v>605</v>
      </c>
    </row>
    <row r="742" customFormat="false" ht="17.15" hidden="false" customHeight="false" outlineLevel="0" collapsed="false">
      <c r="A742" s="0" t="s">
        <v>606</v>
      </c>
      <c r="B742" s="3" t="s">
        <v>28</v>
      </c>
      <c r="D742" s="21" t="n">
        <f aca="false">(u_bw_26+u_rb_26+u_ru_26+u_hp_26)*1</f>
        <v>7.6</v>
      </c>
      <c r="E742" s="21" t="n">
        <f aca="false">(u_bw_27+u_rb_27+u_ru_27+u_hp_27)*1*1</f>
        <v>9.7</v>
      </c>
      <c r="F742" s="21" t="n">
        <f aca="false">(u_bw_28+u_rb_28+u_ru_28+u_hp_28)*um28_A*1</f>
        <v>9.5</v>
      </c>
      <c r="G742" s="21" t="n">
        <f aca="false">(u_bw_28*(1+g29_bw)+u_rb_28*(1+g29_rb)+u_ru_28*(1+g29_ru)+u_hp_28*(1+g29_hp))*um29_A*1</f>
        <v>10.6</v>
      </c>
      <c r="K742" s="7" t="s">
        <v>607</v>
      </c>
    </row>
    <row r="743" customFormat="false" ht="17.15" hidden="false" customHeight="false" outlineLevel="0" collapsed="false">
      <c r="A743" s="3" t="s">
        <v>608</v>
      </c>
      <c r="B743" s="3" t="s">
        <v>28</v>
      </c>
      <c r="D743" s="21" t="n">
        <f aca="false">(u_amd_26+u_tpu_26+u_trn_26+u_oth_26)*1</f>
        <v>7.6</v>
      </c>
      <c r="E743" s="21" t="n">
        <f aca="false">(u_amd_27+u_tpu_27+u_trn_27+u_oth_27)*1*1</f>
        <v>14</v>
      </c>
      <c r="F743" s="21" t="n">
        <f aca="false">(u_amd_28+u_tpu_28+u_trn_28+u_oth_28)*um28_A*1</f>
        <v>17</v>
      </c>
      <c r="G743" s="21" t="n">
        <f aca="false">(u_amd_28*(1+g29_amd)+u_tpu_28*(1+g29_tpu)+u_trn_28*(1+g29_trn)+u_oth_28*(1+g29_oth))*um29_A*1</f>
        <v>19.55</v>
      </c>
      <c r="K743" s="7" t="s">
        <v>609</v>
      </c>
    </row>
    <row r="744" customFormat="false" ht="17.15" hidden="false" customHeight="false" outlineLevel="0" collapsed="false">
      <c r="A744" s="3" t="s">
        <v>610</v>
      </c>
      <c r="B744" s="0" t="s">
        <v>150</v>
      </c>
      <c r="D744" s="19" t="n">
        <f aca="false">1</f>
        <v>1</v>
      </c>
      <c r="E744" s="19" t="n">
        <f aca="false">D744*(1+g_asp)</f>
        <v>1.18</v>
      </c>
      <c r="F744" s="19" t="n">
        <f aca="false">E744*(1+g_asp)</f>
        <v>1.3924</v>
      </c>
      <c r="G744" s="19" t="n">
        <f aca="false">F744*(1+g_asp)</f>
        <v>1.643032</v>
      </c>
      <c r="K744" s="7" t="s">
        <v>611</v>
      </c>
    </row>
    <row r="745" customFormat="false" ht="17.15" hidden="false" customHeight="false" outlineLevel="0" collapsed="false">
      <c r="A745" s="0" t="s">
        <v>612</v>
      </c>
      <c r="B745" s="0" t="s">
        <v>150</v>
      </c>
      <c r="D745" s="18" t="n">
        <f aca="false">1</f>
        <v>1</v>
      </c>
      <c r="E745" s="18" t="n">
        <f aca="false">ibpp_27</f>
        <v>1</v>
      </c>
      <c r="F745" s="18" t="n">
        <f aca="false">ibpp_28</f>
        <v>0.95</v>
      </c>
      <c r="G745" s="18" t="n">
        <f aca="false">ibpp_29</f>
        <v>0.9</v>
      </c>
      <c r="K745" s="7" t="s">
        <v>613</v>
      </c>
    </row>
    <row r="746" customFormat="false" ht="17.15" hidden="false" customHeight="false" outlineLevel="0" collapsed="false">
      <c r="A746" s="3" t="s">
        <v>614</v>
      </c>
      <c r="B746" s="0" t="s">
        <v>150</v>
      </c>
      <c r="D746" s="18" t="n">
        <f aca="false">1</f>
        <v>1</v>
      </c>
      <c r="E746" s="18" t="n">
        <f aca="false">1+carry</f>
        <v>1.15</v>
      </c>
      <c r="F746" s="18" t="n">
        <f aca="false">1+carry</f>
        <v>1.15</v>
      </c>
      <c r="G746" s="18" t="n">
        <f aca="false">1+carry</f>
        <v>1.15</v>
      </c>
      <c r="K746" s="7" t="s">
        <v>615</v>
      </c>
    </row>
    <row r="747" customFormat="false" ht="17.15" hidden="false" customHeight="false" outlineLevel="0" collapsed="false">
      <c r="A747" s="3" t="s">
        <v>616</v>
      </c>
      <c r="B747" s="0" t="s">
        <v>617</v>
      </c>
      <c r="D747" s="23" t="n">
        <f aca="false">v26*D744*D745</f>
        <v>215.308596</v>
      </c>
      <c r="E747" s="23" t="n">
        <f aca="false">v26*E744*E745</f>
        <v>254.06414328</v>
      </c>
      <c r="F747" s="23" t="n">
        <f aca="false">v26*F744*F745</f>
        <v>284.80590461688</v>
      </c>
      <c r="G747" s="23" t="n">
        <f aca="false">v26*G744*G745</f>
        <v>318.383021792765</v>
      </c>
      <c r="K747" s="7" t="s">
        <v>618</v>
      </c>
    </row>
    <row r="748" customFormat="false" ht="17.15" hidden="false" customHeight="false" outlineLevel="0" collapsed="false">
      <c r="A748" s="3" t="s">
        <v>619</v>
      </c>
      <c r="B748" s="0" t="s">
        <v>40</v>
      </c>
      <c r="D748" s="20" t="n">
        <f aca="false">sh_nv_26</f>
        <v>0.02</v>
      </c>
      <c r="E748" s="20" t="n">
        <f aca="false">sh_nv_27</f>
        <v>0.03</v>
      </c>
      <c r="F748" s="20" t="n">
        <f aca="false">sh_nv_28</f>
        <v>0.04</v>
      </c>
      <c r="G748" s="20" t="n">
        <f aca="false">sh_nv_29</f>
        <v>0.04</v>
      </c>
    </row>
    <row r="749" customFormat="false" ht="17.15" hidden="false" customHeight="false" outlineLevel="0" collapsed="false">
      <c r="A749" s="3" t="s">
        <v>620</v>
      </c>
      <c r="B749" s="0" t="s">
        <v>40</v>
      </c>
      <c r="D749" s="20" t="n">
        <f aca="false">sh_ot_26</f>
        <v>0.05</v>
      </c>
      <c r="E749" s="20" t="n">
        <f aca="false">sh_ot_27</f>
        <v>0.06</v>
      </c>
      <c r="F749" s="20" t="n">
        <f aca="false">sh_ot_28</f>
        <v>0.07</v>
      </c>
      <c r="G749" s="20" t="n">
        <f aca="false">sh_ot_29</f>
        <v>0.07</v>
      </c>
    </row>
    <row r="750" customFormat="false" ht="17.15" hidden="false" customHeight="false" outlineLevel="0" collapsed="false">
      <c r="A750" s="3" t="s">
        <v>621</v>
      </c>
      <c r="B750" s="0" t="s">
        <v>571</v>
      </c>
      <c r="D750" s="22" t="n">
        <f aca="false">(D742*D747*D748+D743*D747*v_ot*D749)*D746</f>
        <v>98.180719776</v>
      </c>
      <c r="E750" s="22" t="n">
        <f aca="false">(E742*E747*E748+E743*E747*v_ot*E749)*E746</f>
        <v>281.363335475436</v>
      </c>
      <c r="F750" s="22" t="n">
        <f aca="false">(F742*F747*F748+F743*F747*v_ot*F749)*F746</f>
        <v>436.265684692137</v>
      </c>
      <c r="G750" s="22" t="n">
        <f aca="false">(G742*G747*G748+G743*G747*v_ot*G749)*G746</f>
        <v>556.094153523679</v>
      </c>
    </row>
    <row r="751" customFormat="false" ht="15" hidden="false" customHeight="false" outlineLevel="0" collapsed="false">
      <c r="A751" s="3" t="s">
        <v>622</v>
      </c>
      <c r="B751" s="0" t="s">
        <v>329</v>
      </c>
      <c r="D751" s="21" t="n">
        <f aca="false">D750*fx/1000</f>
        <v>3.19087339272</v>
      </c>
      <c r="E751" s="21" t="n">
        <f aca="false">E750*fx/1000</f>
        <v>9.14430840295167</v>
      </c>
      <c r="F751" s="21" t="n">
        <f aca="false">F750*fx/1000</f>
        <v>14.1786347524944</v>
      </c>
      <c r="G751" s="21" t="n">
        <f aca="false">G750*fx/1000</f>
        <v>18.0730599895196</v>
      </c>
    </row>
    <row r="752" customFormat="false" ht="17.15" hidden="false" customHeight="false" outlineLevel="0" collapsed="false">
      <c r="A752" s="5" t="s">
        <v>623</v>
      </c>
    </row>
    <row r="753" customFormat="false" ht="17.15" hidden="false" customHeight="false" outlineLevel="0" collapsed="false">
      <c r="A753" s="0" t="s">
        <v>624</v>
      </c>
      <c r="B753" s="0" t="s">
        <v>329</v>
      </c>
      <c r="D753" s="21" t="n">
        <f aca="false">a26_abf*ai_abf</f>
        <v>22.2987583</v>
      </c>
      <c r="K753" s="3" t="s">
        <v>625</v>
      </c>
    </row>
    <row r="754" customFormat="false" ht="17.15" hidden="false" customHeight="false" outlineLevel="0" collapsed="false">
      <c r="A754" s="3" t="s">
        <v>626</v>
      </c>
      <c r="B754" s="0" t="s">
        <v>329</v>
      </c>
      <c r="D754" s="21" t="n">
        <f aca="false">D753-D751</f>
        <v>19.10788490728</v>
      </c>
      <c r="E754" s="21" t="n">
        <f aca="false">$D754*(swm_27/swm_26)^el_o*1*1*E745*E746</f>
        <v>30.7354094978265</v>
      </c>
      <c r="F754" s="21" t="n">
        <f aca="false">$D754*(swm_28/swm_26)^el_o*um28_A*1*F745*F746</f>
        <v>31.4104002135205</v>
      </c>
      <c r="G754" s="21" t="n">
        <f aca="false">$D754*(swm_29/swm_26)^el_o*um29_A*1*G745*G746</f>
        <v>31.7452412889375</v>
      </c>
      <c r="K754" s="7" t="s">
        <v>627</v>
      </c>
    </row>
    <row r="755" customFormat="false" ht="17.15" hidden="false" customHeight="false" outlineLevel="0" collapsed="false">
      <c r="A755" s="3" t="s">
        <v>628</v>
      </c>
      <c r="B755" s="0" t="s">
        <v>329</v>
      </c>
      <c r="D755" s="21" t="n">
        <f aca="false">a26_abf-D753</f>
        <v>12.0070237</v>
      </c>
      <c r="E755" s="21" t="n">
        <f aca="false">D755*(1+g_nai)</f>
        <v>12.367234411</v>
      </c>
      <c r="F755" s="21" t="n">
        <f aca="false">E755*(1+g_nai)</f>
        <v>12.73825144333</v>
      </c>
      <c r="G755" s="21" t="n">
        <f aca="false">F755*(1+g_nai)</f>
        <v>13.1203989866299</v>
      </c>
    </row>
    <row r="756" customFormat="false" ht="17.15" hidden="false" customHeight="false" outlineLevel="0" collapsed="false">
      <c r="A756" s="0" t="s">
        <v>629</v>
      </c>
      <c r="B756" s="0" t="s">
        <v>329</v>
      </c>
      <c r="D756" s="21" t="n">
        <f aca="false">D751+D754+D755</f>
        <v>34.305782</v>
      </c>
      <c r="E756" s="21" t="n">
        <f aca="false">E751+E754+E755</f>
        <v>52.2469523117781</v>
      </c>
      <c r="F756" s="21" t="n">
        <f aca="false">F751+F754+F755</f>
        <v>58.3272864093449</v>
      </c>
      <c r="G756" s="21" t="n">
        <f aca="false">G751+G754+G755</f>
        <v>62.9387002650869</v>
      </c>
    </row>
    <row r="757" customFormat="false" ht="17.15" hidden="false" customHeight="false" outlineLevel="0" collapsed="false">
      <c r="A757" s="0" t="s">
        <v>630</v>
      </c>
      <c r="B757" s="0" t="s">
        <v>329</v>
      </c>
      <c r="D757" s="21" t="n">
        <f aca="false">a26_abf</f>
        <v>34.305782</v>
      </c>
      <c r="E757" s="21" t="n">
        <f aca="false">$D756*cap_27*(1+g_mix)^1*E745*E746</f>
        <v>49.709078118</v>
      </c>
      <c r="F757" s="21" t="n">
        <f aca="false">$D756*cap_28*(1+g_mix)^2*F745*F746</f>
        <v>55.7829061005431</v>
      </c>
      <c r="G757" s="21" t="n">
        <f aca="false">$D756*cap_29*(1+g_mix)^3*G745*G746</f>
        <v>65.765110350114</v>
      </c>
      <c r="K757" s="7" t="s">
        <v>631</v>
      </c>
    </row>
    <row r="758" customFormat="false" ht="17.15" hidden="false" customHeight="false" outlineLevel="0" collapsed="false">
      <c r="A758" s="0" t="s">
        <v>632</v>
      </c>
      <c r="B758" s="0" t="s">
        <v>329</v>
      </c>
      <c r="D758" s="21" t="n">
        <f aca="false">a26_abf</f>
        <v>34.305782</v>
      </c>
      <c r="E758" s="21" t="n">
        <f aca="false">MIN(E756,E757)</f>
        <v>49.709078118</v>
      </c>
      <c r="F758" s="21" t="n">
        <f aca="false">MIN(F756,F757)</f>
        <v>55.7829061005431</v>
      </c>
      <c r="G758" s="21" t="n">
        <f aca="false">MIN(G756,G757)</f>
        <v>62.9387002650869</v>
      </c>
    </row>
    <row r="759" customFormat="false" ht="17.15" hidden="false" customHeight="false" outlineLevel="0" collapsed="false">
      <c r="A759" s="3" t="s">
        <v>633</v>
      </c>
      <c r="B759" s="0" t="s">
        <v>40</v>
      </c>
      <c r="D759" s="20" t="n">
        <f aca="false">D758/D756</f>
        <v>1</v>
      </c>
      <c r="E759" s="20" t="n">
        <f aca="false">E758/E756</f>
        <v>0.951425411789885</v>
      </c>
      <c r="F759" s="20" t="n">
        <f aca="false">F758/F756</f>
        <v>0.956377529876066</v>
      </c>
      <c r="G759" s="20" t="n">
        <f aca="false">G758/G756</f>
        <v>1</v>
      </c>
    </row>
    <row r="760" customFormat="false" ht="17.15" hidden="false" customHeight="false" outlineLevel="0" collapsed="false">
      <c r="A760" s="0" t="s">
        <v>634</v>
      </c>
      <c r="B760" s="0" t="s">
        <v>329</v>
      </c>
      <c r="D760" s="21" t="n">
        <f aca="false">(D751+D754)*D759</f>
        <v>22.2987583</v>
      </c>
      <c r="E760" s="21" t="n">
        <f aca="false">(E751+E754)*E759</f>
        <v>37.9425770258123</v>
      </c>
      <c r="F760" s="21" t="n">
        <f aca="false">(F751+F754)*F759</f>
        <v>43.6003286502309</v>
      </c>
      <c r="G760" s="21" t="n">
        <f aca="false">(G751+G754)*G759</f>
        <v>49.818301278457</v>
      </c>
    </row>
    <row r="761" customFormat="false" ht="17.15" hidden="false" customHeight="false" outlineLevel="0" collapsed="false">
      <c r="A761" s="3" t="s">
        <v>635</v>
      </c>
      <c r="B761" s="0" t="s">
        <v>40</v>
      </c>
      <c r="D761" s="20" t="n">
        <f aca="false">D751/(D751+D754)</f>
        <v>0.14309646078903</v>
      </c>
      <c r="E761" s="20" t="n">
        <f aca="false">E751/(E751+E754)</f>
        <v>0.229297218844501</v>
      </c>
      <c r="F761" s="20" t="n">
        <f aca="false">F751/(F751+F754)</f>
        <v>0.311009758444419</v>
      </c>
      <c r="G761" s="20" t="n">
        <f aca="false">G751/(G751+G754)</f>
        <v>0.362779531331288</v>
      </c>
    </row>
    <row r="762" customFormat="false" ht="17.15" hidden="false" customHeight="false" outlineLevel="0" collapsed="false">
      <c r="A762" s="5" t="s">
        <v>636</v>
      </c>
    </row>
    <row r="763" customFormat="false" ht="17.15" hidden="false" customHeight="false" outlineLevel="0" collapsed="false">
      <c r="A763" s="0" t="s">
        <v>637</v>
      </c>
      <c r="B763" s="0" t="s">
        <v>329</v>
      </c>
      <c r="D763" s="21" t="n">
        <f aca="false">a26_bt</f>
        <v>18.927328</v>
      </c>
      <c r="E763" s="21" t="n">
        <f aca="false">D763*(1+g_bt27_A)</f>
        <v>24.6055264</v>
      </c>
      <c r="F763" s="21" t="n">
        <f aca="false">E763*(1+g_bt28_A)</f>
        <v>27.06607904</v>
      </c>
      <c r="G763" s="21" t="n">
        <f aca="false">F763*(1+g_bt29_A)</f>
        <v>28.419382992</v>
      </c>
      <c r="K763" s="7" t="s">
        <v>638</v>
      </c>
    </row>
    <row r="764" customFormat="false" ht="17.15" hidden="false" customHeight="false" outlineLevel="0" collapsed="false">
      <c r="A764" s="0" t="s">
        <v>536</v>
      </c>
      <c r="B764" s="0" t="s">
        <v>329</v>
      </c>
      <c r="D764" s="21" t="n">
        <f aca="false">a26_pcb</f>
        <v>5.91479</v>
      </c>
      <c r="E764" s="21" t="n">
        <f aca="false">D764*(1+g_pcb)</f>
        <v>5.91479</v>
      </c>
      <c r="F764" s="21" t="n">
        <f aca="false">E764*(1+g_pcb)</f>
        <v>5.91479</v>
      </c>
      <c r="G764" s="21" t="n">
        <f aca="false">F764*(1+g_pcb)</f>
        <v>5.91479</v>
      </c>
    </row>
    <row r="765" customFormat="false" ht="17.15" hidden="false" customHeight="false" outlineLevel="0" collapsed="false">
      <c r="A765" s="3" t="s">
        <v>501</v>
      </c>
      <c r="B765" s="0" t="s">
        <v>329</v>
      </c>
      <c r="C765" s="23" t="n">
        <f aca="false">a25_rev</f>
        <v>40.173</v>
      </c>
      <c r="D765" s="23" t="n">
        <f aca="false">D758+D763+D764</f>
        <v>59.1479</v>
      </c>
      <c r="E765" s="23" t="n">
        <f aca="false">E758+E763+E764</f>
        <v>80.229394518</v>
      </c>
      <c r="F765" s="23" t="n">
        <f aca="false">F758+F763+F764</f>
        <v>88.7637751405431</v>
      </c>
      <c r="G765" s="23" t="n">
        <f aca="false">G758+G763+G764</f>
        <v>97.2728732570869</v>
      </c>
      <c r="H765" s="25" t="n">
        <f aca="false">G765*(1+H766)</f>
        <v>105.434863846709</v>
      </c>
      <c r="I765" s="25" t="n">
        <f aca="false">H765*(1+I766)</f>
        <v>113.021333979572</v>
      </c>
      <c r="J765" s="25" t="n">
        <f aca="false">I765*(1+J766)</f>
        <v>119.802614018346</v>
      </c>
      <c r="K765" s="7" t="s">
        <v>639</v>
      </c>
    </row>
    <row r="766" customFormat="false" ht="15" hidden="false" customHeight="false" outlineLevel="0" collapsed="false">
      <c r="A766" s="3" t="s">
        <v>640</v>
      </c>
      <c r="B766" s="0" t="s">
        <v>40</v>
      </c>
      <c r="D766" s="20" t="n">
        <f aca="false">D765/C765-1</f>
        <v>0.472329674159261</v>
      </c>
      <c r="E766" s="20" t="n">
        <f aca="false">E765/D765-1</f>
        <v>0.35642</v>
      </c>
      <c r="F766" s="20" t="n">
        <f aca="false">F765/E765-1</f>
        <v>0.106374735517023</v>
      </c>
      <c r="G766" s="20" t="n">
        <f aca="false">G765/F765-1</f>
        <v>0.0958622828183122</v>
      </c>
      <c r="H766" s="26" t="n">
        <f aca="false">$G766+(fade_gA-$G766)*1/3</f>
        <v>0.0839081885455415</v>
      </c>
      <c r="I766" s="26" t="n">
        <f aca="false">$G766+(fade_gA-$G766)*2/3</f>
        <v>0.0719540942727707</v>
      </c>
      <c r="J766" s="26" t="n">
        <f aca="false">$G766+(fade_gA-$G766)*3/3</f>
        <v>0.06</v>
      </c>
    </row>
    <row r="767" customFormat="false" ht="17.15" hidden="false" customHeight="false" outlineLevel="0" collapsed="false">
      <c r="A767" s="0" t="s">
        <v>641</v>
      </c>
      <c r="B767" s="0" t="s">
        <v>40</v>
      </c>
      <c r="D767" s="20" t="n">
        <f aca="false">D758/D765</f>
        <v>0.58</v>
      </c>
      <c r="E767" s="20" t="n">
        <f aca="false">E758/E765</f>
        <v>0.619586853629407</v>
      </c>
      <c r="F767" s="20" t="n">
        <f aca="false">F758/F765</f>
        <v>0.62844224473576</v>
      </c>
      <c r="G767" s="20" t="n">
        <f aca="false">G758/G765</f>
        <v>0.647032396161912</v>
      </c>
    </row>
    <row r="768" customFormat="false" ht="17.15" hidden="false" customHeight="false" outlineLevel="0" collapsed="false">
      <c r="A768" s="0" t="s">
        <v>642</v>
      </c>
      <c r="B768" s="0" t="s">
        <v>40</v>
      </c>
      <c r="D768" s="20" t="n">
        <f aca="false">D760/D765</f>
        <v>0.377</v>
      </c>
      <c r="E768" s="20" t="n">
        <f aca="false">E760/E765</f>
        <v>0.472926129553422</v>
      </c>
      <c r="F768" s="20" t="n">
        <f aca="false">F760/F765</f>
        <v>0.491195068947855</v>
      </c>
      <c r="G768" s="20" t="n">
        <f aca="false">G760/G765</f>
        <v>0.512149992185282</v>
      </c>
      <c r="K768" s="3" t="s">
        <v>643</v>
      </c>
    </row>
    <row r="769" customFormat="false" ht="17.15" hidden="false" customHeight="false" outlineLevel="0" collapsed="false">
      <c r="A769" s="5" t="s">
        <v>644</v>
      </c>
    </row>
    <row r="770" customFormat="false" ht="15" hidden="false" customHeight="false" outlineLevel="0" collapsed="false">
      <c r="A770" s="3" t="s">
        <v>645</v>
      </c>
      <c r="B770" s="0" t="s">
        <v>329</v>
      </c>
      <c r="C770" s="23" t="n">
        <f aca="false">a25_cx</f>
        <v>2.422</v>
      </c>
      <c r="D770" s="23" t="n">
        <f aca="false">capex26</f>
        <v>4</v>
      </c>
      <c r="E770" s="23" t="n">
        <f aca="false">cx27</f>
        <v>14</v>
      </c>
      <c r="F770" s="23" t="n">
        <f aca="false">cx28</f>
        <v>18</v>
      </c>
      <c r="G770" s="23" t="n">
        <f aca="false">cx29</f>
        <v>12</v>
      </c>
      <c r="H770" s="25" t="n">
        <f aca="false">H765*H787</f>
        <v>12.5388070784006</v>
      </c>
      <c r="I770" s="25" t="n">
        <f aca="false">I765*I787</f>
        <v>12.9392533236497</v>
      </c>
      <c r="J770" s="25" t="n">
        <f aca="false">J765*J787</f>
        <v>13.1837299260502</v>
      </c>
    </row>
    <row r="771" customFormat="false" ht="17.15" hidden="false" customHeight="false" outlineLevel="0" collapsed="false">
      <c r="A771" s="3" t="s">
        <v>646</v>
      </c>
      <c r="B771" s="0" t="s">
        <v>329</v>
      </c>
      <c r="C771" s="23" t="n">
        <f aca="false">a25_da</f>
        <v>6.894</v>
      </c>
      <c r="D771" s="23" t="n">
        <f aca="false">da26</f>
        <v>7.1</v>
      </c>
      <c r="E771" s="23" t="n">
        <f aca="false">D771*(1-1/life_lo)+D770/life_lo</f>
        <v>6.58333333333333</v>
      </c>
      <c r="F771" s="23" t="n">
        <f aca="false">E771*(1-1/life_lo)+E770/life_lo</f>
        <v>7.81944444444445</v>
      </c>
      <c r="G771" s="23" t="n">
        <f aca="false">F771*(1-1/life_lo)+F770/life_lo</f>
        <v>9.5162037037037</v>
      </c>
      <c r="H771" s="25" t="n">
        <f aca="false">H765*H772</f>
        <v>10.3146911183119</v>
      </c>
      <c r="I771" s="25" t="n">
        <f aca="false">I765*I772</f>
        <v>11.0568753754334</v>
      </c>
      <c r="J771" s="25" t="n">
        <f aca="false">J765*J772</f>
        <v>11.7202878979594</v>
      </c>
      <c r="K771" s="3" t="s">
        <v>647</v>
      </c>
    </row>
    <row r="772" customFormat="false" ht="17.15" hidden="false" customHeight="false" outlineLevel="0" collapsed="false">
      <c r="A772" s="3" t="s">
        <v>648</v>
      </c>
      <c r="B772" s="0" t="s">
        <v>40</v>
      </c>
      <c r="C772" s="20" t="n">
        <f aca="false">C771/C765</f>
        <v>0.171607796281084</v>
      </c>
      <c r="D772" s="20" t="n">
        <f aca="false">D771/D765</f>
        <v>0.120038074048276</v>
      </c>
      <c r="E772" s="20" t="n">
        <f aca="false">E771/E765</f>
        <v>0.0820563756324537</v>
      </c>
      <c r="F772" s="20" t="n">
        <f aca="false">F771/F765</f>
        <v>0.088092743149597</v>
      </c>
      <c r="G772" s="20" t="n">
        <f aca="false">G771/G765</f>
        <v>0.0978299847127255</v>
      </c>
      <c r="H772" s="26" t="n">
        <f aca="false">$G772</f>
        <v>0.0978299847127255</v>
      </c>
      <c r="I772" s="26" t="n">
        <f aca="false">$G772</f>
        <v>0.0978299847127255</v>
      </c>
      <c r="J772" s="26" t="n">
        <f aca="false">$G772</f>
        <v>0.0978299847127255</v>
      </c>
    </row>
    <row r="773" customFormat="false" ht="17.15" hidden="false" customHeight="false" outlineLevel="0" collapsed="false">
      <c r="A773" s="3" t="s">
        <v>649</v>
      </c>
      <c r="B773" s="0" t="s">
        <v>329</v>
      </c>
      <c r="E773" s="21" t="n">
        <f aca="false">E760*(1-1/(E745*E746))</f>
        <v>4.94903178597551</v>
      </c>
      <c r="F773" s="21" t="n">
        <f aca="false">F760*(1-1/(F745*F746))</f>
        <v>3.69156100699895</v>
      </c>
      <c r="G773" s="21" t="n">
        <f aca="false">G760*(1-1/(G745*G746))</f>
        <v>1.68467685482705</v>
      </c>
      <c r="K773" s="7" t="s">
        <v>650</v>
      </c>
    </row>
    <row r="774" customFormat="false" ht="17.15" hidden="false" customHeight="false" outlineLevel="0" collapsed="false">
      <c r="A774" s="3" t="s">
        <v>651</v>
      </c>
      <c r="B774" s="0" t="s">
        <v>329</v>
      </c>
      <c r="C774" s="21" t="n">
        <f aca="false">a25_gp</f>
        <v>3.647</v>
      </c>
      <c r="D774" s="21" t="n">
        <f aca="false">a26_gp</f>
        <v>15.9001925</v>
      </c>
      <c r="E774" s="21" t="n">
        <f aca="false">$D774+ft_abf*(E758-E773-$D758)+ft_oth*((E765-E758)-($D765-$D758))+E773-(E771-$D771)</f>
        <v>28.8643024786544</v>
      </c>
      <c r="F774" s="21" t="n">
        <f aca="false">$D774+ft_abf*(F758-F773-$D758)+ft_oth*((F765-F758)-($D765-$D758))+F773-(F771-$D771)</f>
        <v>31.0205910253266</v>
      </c>
      <c r="G774" s="21" t="n">
        <f aca="false">$D774+ft_abf*(G758-G773-$D758)+ft_oth*((G765-G758)-($D765-$D758))+G773-(G771-$D771)</f>
        <v>32.4396083530533</v>
      </c>
      <c r="K774" s="3" t="s">
        <v>652</v>
      </c>
    </row>
    <row r="775" customFormat="false" ht="15" hidden="false" customHeight="false" outlineLevel="0" collapsed="false">
      <c r="A775" s="3" t="s">
        <v>508</v>
      </c>
      <c r="B775" s="0" t="s">
        <v>40</v>
      </c>
      <c r="C775" s="16" t="n">
        <f aca="false">C774/C765</f>
        <v>0.0907823662659</v>
      </c>
      <c r="D775" s="16" t="n">
        <f aca="false">D774/D765</f>
        <v>0.268820913337583</v>
      </c>
      <c r="E775" s="16" t="n">
        <f aca="false">E774/E765</f>
        <v>0.359772158970719</v>
      </c>
      <c r="F775" s="16" t="n">
        <f aca="false">F774/F765</f>
        <v>0.349473543415774</v>
      </c>
      <c r="G775" s="16" t="n">
        <f aca="false">G774/G765</f>
        <v>0.333490800331529</v>
      </c>
    </row>
    <row r="776" customFormat="false" ht="15" hidden="false" customHeight="false" outlineLevel="0" collapsed="false">
      <c r="A776" s="3" t="s">
        <v>510</v>
      </c>
      <c r="B776" s="0" t="s">
        <v>329</v>
      </c>
      <c r="C776" s="21" t="n">
        <f aca="false">a25_opx</f>
        <v>1.665</v>
      </c>
      <c r="D776" s="21" t="n">
        <f aca="false">a26_opx</f>
        <v>1.9</v>
      </c>
      <c r="E776" s="21" t="n">
        <f aca="false">D776*(1+phi*E766)</f>
        <v>2.3063188</v>
      </c>
      <c r="F776" s="21" t="n">
        <f aca="false">E776*(1+phi*F766)</f>
        <v>2.45351923142076</v>
      </c>
      <c r="G776" s="21" t="n">
        <f aca="false">F776*(1+phi*G766)</f>
        <v>2.59463920409834</v>
      </c>
    </row>
    <row r="777" customFormat="false" ht="15" hidden="false" customHeight="false" outlineLevel="0" collapsed="false">
      <c r="A777" s="3" t="s">
        <v>513</v>
      </c>
      <c r="B777" s="0" t="s">
        <v>329</v>
      </c>
      <c r="C777" s="21" t="n">
        <f aca="false">C774-C776</f>
        <v>1.982</v>
      </c>
      <c r="D777" s="21" t="n">
        <f aca="false">D774-D776</f>
        <v>14.0001925</v>
      </c>
      <c r="E777" s="21" t="n">
        <f aca="false">E774-E776</f>
        <v>26.5579836786544</v>
      </c>
      <c r="F777" s="21" t="n">
        <f aca="false">F774-F776</f>
        <v>28.5670717939058</v>
      </c>
      <c r="G777" s="21" t="n">
        <f aca="false">G774-G776</f>
        <v>29.844969148955</v>
      </c>
    </row>
    <row r="778" customFormat="false" ht="15" hidden="false" customHeight="false" outlineLevel="0" collapsed="false">
      <c r="A778" s="3" t="s">
        <v>594</v>
      </c>
      <c r="B778" s="0" t="s">
        <v>40</v>
      </c>
      <c r="C778" s="16" t="n">
        <f aca="false">C777/C765</f>
        <v>0.0493366191222961</v>
      </c>
      <c r="D778" s="16" t="n">
        <f aca="false">D777/D765</f>
        <v>0.236698048451424</v>
      </c>
      <c r="E778" s="16" t="n">
        <f aca="false">E777/E765</f>
        <v>0.331025602750822</v>
      </c>
      <c r="F778" s="16" t="n">
        <f aca="false">F777/F765</f>
        <v>0.321832546539109</v>
      </c>
      <c r="G778" s="16" t="n">
        <f aca="false">G777/G765</f>
        <v>0.306816979386188</v>
      </c>
    </row>
    <row r="779" customFormat="false" ht="15" hidden="false" customHeight="false" outlineLevel="0" collapsed="false">
      <c r="A779" s="3" t="s">
        <v>516</v>
      </c>
      <c r="B779" s="0" t="s">
        <v>329</v>
      </c>
      <c r="C779" s="21" t="n">
        <f aca="false">a25_nonop</f>
        <v>0.364</v>
      </c>
      <c r="D779" s="21" t="n">
        <f aca="false">a26_nonop</f>
        <v>0.623</v>
      </c>
      <c r="E779" s="21" t="n">
        <f aca="false">nonop27</f>
        <v>0.6</v>
      </c>
      <c r="F779" s="21" t="n">
        <f aca="false">nonop28</f>
        <v>0.6</v>
      </c>
      <c r="G779" s="21" t="n">
        <f aca="false">nonop29</f>
        <v>0.6</v>
      </c>
    </row>
    <row r="780" customFormat="false" ht="15" hidden="false" customHeight="false" outlineLevel="0" collapsed="false">
      <c r="A780" s="3" t="s">
        <v>518</v>
      </c>
      <c r="B780" s="0" t="s">
        <v>329</v>
      </c>
      <c r="C780" s="21" t="n">
        <f aca="false">C777+C779</f>
        <v>2.346</v>
      </c>
      <c r="D780" s="21" t="n">
        <f aca="false">D777+D779</f>
        <v>14.6231925</v>
      </c>
      <c r="E780" s="21" t="n">
        <f aca="false">E777+E779</f>
        <v>27.1579836786544</v>
      </c>
      <c r="F780" s="21" t="n">
        <f aca="false">F777+F779</f>
        <v>29.1670717939058</v>
      </c>
      <c r="G780" s="21" t="n">
        <f aca="false">G777+G779</f>
        <v>30.444969148955</v>
      </c>
    </row>
    <row r="781" customFormat="false" ht="15" hidden="false" customHeight="false" outlineLevel="0" collapsed="false">
      <c r="A781" s="3" t="s">
        <v>521</v>
      </c>
      <c r="B781" s="0" t="s">
        <v>329</v>
      </c>
      <c r="E781" s="21" t="n">
        <f aca="false">E780*tax</f>
        <v>5.70317657251743</v>
      </c>
      <c r="F781" s="21" t="n">
        <f aca="false">F780*tax</f>
        <v>6.12508507672023</v>
      </c>
      <c r="G781" s="21" t="n">
        <f aca="false">G780*tax</f>
        <v>6.39344352128054</v>
      </c>
    </row>
    <row r="782" customFormat="false" ht="15" hidden="false" customHeight="false" outlineLevel="0" collapsed="false">
      <c r="A782" s="3" t="s">
        <v>519</v>
      </c>
      <c r="B782" s="0" t="s">
        <v>329</v>
      </c>
      <c r="C782" s="21" t="n">
        <f aca="false">a25_ni</f>
        <v>1.947</v>
      </c>
      <c r="D782" s="21" t="n">
        <f aca="false">a26_ni</f>
        <v>11.509862075</v>
      </c>
      <c r="E782" s="21" t="n">
        <f aca="false">E780-E781</f>
        <v>21.454807106137</v>
      </c>
      <c r="F782" s="21" t="n">
        <f aca="false">F780-F781</f>
        <v>23.0419867171856</v>
      </c>
      <c r="G782" s="21" t="n">
        <f aca="false">G780-G781</f>
        <v>24.0515256276744</v>
      </c>
      <c r="H782" s="30" t="n">
        <f aca="false">H765*H786</f>
        <v>26.239674550497</v>
      </c>
      <c r="I782" s="30" t="n">
        <f aca="false">I765*I786</f>
        <v>28.3099898233809</v>
      </c>
      <c r="J782" s="30" t="n">
        <f aca="false">J765*J786</f>
        <v>30.2017882647699</v>
      </c>
    </row>
    <row r="783" customFormat="false" ht="15" hidden="false" customHeight="false" outlineLevel="0" collapsed="false">
      <c r="A783" s="3" t="s">
        <v>653</v>
      </c>
      <c r="B783" s="3" t="s">
        <v>396</v>
      </c>
      <c r="C783" s="29" t="n">
        <f aca="false">a25_sh</f>
        <v>0.646843853820598</v>
      </c>
      <c r="D783" s="29" t="n">
        <f aca="false">a26_sh</f>
        <v>0.645863325123153</v>
      </c>
      <c r="E783" s="29" t="n">
        <f aca="false">a26_shend*(1+sh_g)</f>
        <v>0.64617</v>
      </c>
      <c r="F783" s="29" t="n">
        <f aca="false">E783*(1+sh_g)</f>
        <v>0.64617</v>
      </c>
      <c r="G783" s="29" t="n">
        <f aca="false">F783*(1+sh_g)</f>
        <v>0.64617</v>
      </c>
      <c r="H783" s="31" t="n">
        <f aca="false">G783*(1+sh_g)</f>
        <v>0.64617</v>
      </c>
      <c r="I783" s="31" t="n">
        <f aca="false">H783*(1+sh_g)</f>
        <v>0.64617</v>
      </c>
      <c r="J783" s="31" t="n">
        <f aca="false">I783*(1+sh_g)</f>
        <v>0.64617</v>
      </c>
    </row>
    <row r="784" customFormat="false" ht="17.15" hidden="false" customHeight="false" outlineLevel="0" collapsed="false">
      <c r="A784" s="0" t="s">
        <v>524</v>
      </c>
      <c r="B784" s="0" t="s">
        <v>402</v>
      </c>
      <c r="C784" s="18" t="n">
        <f aca="false">C782/C783</f>
        <v>3.01</v>
      </c>
      <c r="D784" s="18" t="n">
        <f aca="false">D782/D783</f>
        <v>17.820894339844</v>
      </c>
      <c r="E784" s="18" t="n">
        <f aca="false">E782/E783</f>
        <v>33.2030380644985</v>
      </c>
      <c r="F784" s="18" t="n">
        <f aca="false">F782/F783</f>
        <v>35.6593260553502</v>
      </c>
      <c r="G784" s="18" t="n">
        <f aca="false">G782/G783</f>
        <v>37.2216686439705</v>
      </c>
      <c r="H784" s="28" t="n">
        <f aca="false">H782/H783</f>
        <v>40.6080049375505</v>
      </c>
      <c r="I784" s="28" t="n">
        <f aca="false">I782/I783</f>
        <v>43.811984188961</v>
      </c>
      <c r="J784" s="28" t="n">
        <f aca="false">J782/J783</f>
        <v>46.7396942983578</v>
      </c>
    </row>
    <row r="785" customFormat="false" ht="17.15" hidden="false" customHeight="false" outlineLevel="0" collapsed="false">
      <c r="A785" s="0" t="s">
        <v>654</v>
      </c>
      <c r="B785" s="0" t="s">
        <v>40</v>
      </c>
      <c r="D785" s="20" t="n">
        <f aca="false">D784/C784-1</f>
        <v>4.92056290360265</v>
      </c>
      <c r="E785" s="20" t="n">
        <f aca="false">E784/D784-1</f>
        <v>0.863152175828971</v>
      </c>
      <c r="F785" s="20" t="n">
        <f aca="false">F784/E784-1</f>
        <v>0.0739778084788567</v>
      </c>
      <c r="G785" s="20" t="n">
        <f aca="false">G784/F784-1</f>
        <v>0.0438130150355416</v>
      </c>
      <c r="H785" s="26" t="n">
        <f aca="false">H784/G784-1</f>
        <v>0.0909775519730378</v>
      </c>
      <c r="I785" s="26" t="n">
        <f aca="false">I784/H784-1</f>
        <v>0.078900188678015</v>
      </c>
      <c r="J785" s="26" t="n">
        <f aca="false">J784/I784-1</f>
        <v>0.0668244126257691</v>
      </c>
    </row>
    <row r="786" customFormat="false" ht="17.15" hidden="false" customHeight="false" outlineLevel="0" collapsed="false">
      <c r="A786" s="3" t="s">
        <v>655</v>
      </c>
      <c r="B786" s="0" t="s">
        <v>40</v>
      </c>
      <c r="C786" s="16" t="n">
        <f aca="false">C782/C765</f>
        <v>0.0484653872003585</v>
      </c>
      <c r="D786" s="16" t="n">
        <f aca="false">D782/D765</f>
        <v>0.194594602259759</v>
      </c>
      <c r="E786" s="16" t="n">
        <f aca="false">E782/E765</f>
        <v>0.267418285218686</v>
      </c>
      <c r="F786" s="16" t="n">
        <f aca="false">F782/F765</f>
        <v>0.259587727997174</v>
      </c>
      <c r="G786" s="16" t="n">
        <f aca="false">G782/G765</f>
        <v>0.247258303598245</v>
      </c>
      <c r="H786" s="27" t="n">
        <f aca="false">$G786+(fade_mA-$G786)*1/3</f>
        <v>0.248870948310292</v>
      </c>
      <c r="I786" s="27" t="n">
        <f aca="false">$G786+(fade_mA-$G786)*2/3</f>
        <v>0.250483593022339</v>
      </c>
      <c r="J786" s="27" t="n">
        <f aca="false">$G786+(fade_mA-$G786)*3/3</f>
        <v>0.252096237734386</v>
      </c>
    </row>
    <row r="787" customFormat="false" ht="17.15" hidden="false" customHeight="false" outlineLevel="0" collapsed="false">
      <c r="A787" s="3" t="s">
        <v>656</v>
      </c>
      <c r="B787" s="0" t="s">
        <v>40</v>
      </c>
      <c r="C787" s="20" t="n">
        <f aca="false">C770/C765</f>
        <v>0.0602892489980833</v>
      </c>
      <c r="D787" s="20" t="n">
        <f aca="false">D770/D765</f>
        <v>0.0676270839708595</v>
      </c>
      <c r="E787" s="20" t="n">
        <f aca="false">E770/E765</f>
        <v>0.174499634256357</v>
      </c>
      <c r="F787" s="20" t="n">
        <f aca="false">F770/F765</f>
        <v>0.202785426504223</v>
      </c>
      <c r="G787" s="20" t="n">
        <f aca="false">G770/G765</f>
        <v>0.123364300839399</v>
      </c>
      <c r="H787" s="26" t="n">
        <f aca="false">$G787+($G772*(1+tp_g)^(life_lo/2)-$G787)*1/3</f>
        <v>0.118924676534231</v>
      </c>
      <c r="I787" s="26" t="n">
        <f aca="false">$G787+($G772*(1+tp_g)^(life_lo/2)-$G787)*2/3</f>
        <v>0.114485052229063</v>
      </c>
      <c r="J787" s="26" t="n">
        <f aca="false">$G787+($G772*(1+tp_g)^(life_lo/2)-$G787)*3/3</f>
        <v>0.110045427923895</v>
      </c>
      <c r="K787" s="7" t="s">
        <v>657</v>
      </c>
    </row>
    <row r="788" customFormat="false" ht="15" hidden="false" customHeight="false" outlineLevel="0" collapsed="false">
      <c r="A788" s="3" t="s">
        <v>658</v>
      </c>
      <c r="B788" s="0" t="s">
        <v>329</v>
      </c>
      <c r="E788" s="21" t="n">
        <f aca="false">E782+E771-E770</f>
        <v>14.0381404394703</v>
      </c>
      <c r="F788" s="21" t="n">
        <f aca="false">F782+F771-F770</f>
        <v>12.8614311616301</v>
      </c>
      <c r="G788" s="21" t="n">
        <f aca="false">G782+G771-G770</f>
        <v>21.5677293313781</v>
      </c>
      <c r="H788" s="30" t="n">
        <f aca="false">H782+H771-H770</f>
        <v>24.0155585904083</v>
      </c>
      <c r="I788" s="30" t="n">
        <f aca="false">I782+I771-I770</f>
        <v>26.4276118751646</v>
      </c>
      <c r="J788" s="30" t="n">
        <f aca="false">J782+J771-J770</f>
        <v>28.7383462366791</v>
      </c>
      <c r="K788" s="3" t="s">
        <v>659</v>
      </c>
    </row>
    <row r="789" customFormat="false" ht="15" hidden="false" customHeight="false" outlineLevel="0" collapsed="false">
      <c r="A789" s="3" t="s">
        <v>660</v>
      </c>
      <c r="B789" s="0" t="s">
        <v>402</v>
      </c>
      <c r="E789" s="18" t="n">
        <f aca="false">E788/E783</f>
        <v>21.7251504085153</v>
      </c>
      <c r="F789" s="18" t="n">
        <f aca="false">F788/F783</f>
        <v>19.9040982429238</v>
      </c>
      <c r="G789" s="18" t="n">
        <f aca="false">G788/G783</f>
        <v>33.3777942822757</v>
      </c>
      <c r="H789" s="28" t="n">
        <f aca="false">H788/H783</f>
        <v>37.166006763558</v>
      </c>
      <c r="I789" s="28" t="n">
        <f aca="false">I788/I783</f>
        <v>40.8988530497619</v>
      </c>
      <c r="J789" s="28" t="n">
        <f aca="false">J788/J783</f>
        <v>44.4749001604517</v>
      </c>
    </row>
    <row r="792" customFormat="false" ht="17.15" hidden="false" customHeight="false" outlineLevel="0" collapsed="false">
      <c r="A792" s="1" t="s">
        <v>972</v>
      </c>
    </row>
    <row r="793" customFormat="false" ht="17.15" hidden="false" customHeight="false" outlineLevel="0" collapsed="false">
      <c r="A793" s="4" t="s">
        <v>17</v>
      </c>
      <c r="B793" s="4" t="s">
        <v>18</v>
      </c>
      <c r="C793" s="13" t="s">
        <v>494</v>
      </c>
      <c r="D793" s="13" t="s">
        <v>581</v>
      </c>
      <c r="E793" s="13" t="s">
        <v>582</v>
      </c>
      <c r="F793" s="13" t="s">
        <v>583</v>
      </c>
      <c r="G793" s="13" t="s">
        <v>584</v>
      </c>
      <c r="H793" s="13" t="s">
        <v>585</v>
      </c>
      <c r="I793" s="13" t="s">
        <v>586</v>
      </c>
      <c r="J793" s="13" t="s">
        <v>587</v>
      </c>
      <c r="K793" s="4" t="s">
        <v>549</v>
      </c>
    </row>
    <row r="794" customFormat="false" ht="17.15" hidden="false" customHeight="false" outlineLevel="0" collapsed="false">
      <c r="A794" s="5" t="s">
        <v>605</v>
      </c>
    </row>
    <row r="795" customFormat="false" ht="17.15" hidden="false" customHeight="false" outlineLevel="0" collapsed="false">
      <c r="A795" s="0" t="s">
        <v>606</v>
      </c>
      <c r="B795" s="3" t="s">
        <v>28</v>
      </c>
      <c r="D795" s="21" t="n">
        <f aca="false">(u_bw_26+u_rb_26+u_ru_26+u_hp_26)*1</f>
        <v>7.6</v>
      </c>
      <c r="E795" s="21" t="n">
        <f aca="false">(u_bw_27+u_rb_27+u_ru_27+u_hp_27)*1*1</f>
        <v>9.7</v>
      </c>
      <c r="F795" s="21" t="n">
        <f aca="false">(u_bw_28+u_rb_28+u_ru_28+u_hp_28)*um28_A*1</f>
        <v>9.5</v>
      </c>
      <c r="G795" s="21" t="n">
        <f aca="false">(u_bw_28*(1+g29_bw)+u_rb_28*(1+g29_rb)+u_ru_28*(1+g29_ru)+u_hp_28*(1+g29_hp))*um29_A*1</f>
        <v>10.6</v>
      </c>
      <c r="K795" s="7" t="s">
        <v>607</v>
      </c>
    </row>
    <row r="796" customFormat="false" ht="17.15" hidden="false" customHeight="false" outlineLevel="0" collapsed="false">
      <c r="A796" s="3" t="s">
        <v>608</v>
      </c>
      <c r="B796" s="3" t="s">
        <v>28</v>
      </c>
      <c r="D796" s="21" t="n">
        <f aca="false">(u_amd_26+u_tpu_26+u_trn_26+u_oth_26)*1</f>
        <v>7.6</v>
      </c>
      <c r="E796" s="21" t="n">
        <f aca="false">(u_amd_27+u_tpu_27+u_trn_27+u_oth_27)*1*1</f>
        <v>14</v>
      </c>
      <c r="F796" s="21" t="n">
        <f aca="false">(u_amd_28+u_tpu_28+u_trn_28+u_oth_28)*um28_A*1</f>
        <v>17</v>
      </c>
      <c r="G796" s="21" t="n">
        <f aca="false">(u_amd_28*(1+g29_amd)+u_tpu_28*(1+g29_tpu)+u_trn_28*(1+g29_trn)+u_oth_28*(1+g29_oth))*um29_A*1</f>
        <v>19.55</v>
      </c>
      <c r="K796" s="7" t="s">
        <v>609</v>
      </c>
    </row>
    <row r="797" customFormat="false" ht="17.15" hidden="false" customHeight="false" outlineLevel="0" collapsed="false">
      <c r="A797" s="3" t="s">
        <v>610</v>
      </c>
      <c r="B797" s="0" t="s">
        <v>150</v>
      </c>
      <c r="D797" s="19" t="n">
        <f aca="false">1</f>
        <v>1</v>
      </c>
      <c r="E797" s="19" t="n">
        <f aca="false">D797*(1+g_asp)</f>
        <v>1.18</v>
      </c>
      <c r="F797" s="19" t="n">
        <f aca="false">E797*(1+g_asp)</f>
        <v>1.3924</v>
      </c>
      <c r="G797" s="19" t="n">
        <f aca="false">F797*(1+g_asp)</f>
        <v>1.643032</v>
      </c>
      <c r="K797" s="7" t="s">
        <v>611</v>
      </c>
    </row>
    <row r="798" customFormat="false" ht="17.15" hidden="false" customHeight="false" outlineLevel="0" collapsed="false">
      <c r="A798" s="0" t="s">
        <v>612</v>
      </c>
      <c r="B798" s="0" t="s">
        <v>150</v>
      </c>
      <c r="D798" s="18" t="n">
        <f aca="false">1</f>
        <v>1</v>
      </c>
      <c r="E798" s="18" t="n">
        <f aca="false">ibpp_27</f>
        <v>1</v>
      </c>
      <c r="F798" s="18" t="n">
        <f aca="false">ibpp_28</f>
        <v>0.95</v>
      </c>
      <c r="G798" s="18" t="n">
        <f aca="false">ibpp_29</f>
        <v>0.9</v>
      </c>
      <c r="K798" s="7" t="s">
        <v>613</v>
      </c>
    </row>
    <row r="799" customFormat="false" ht="17.15" hidden="false" customHeight="false" outlineLevel="0" collapsed="false">
      <c r="A799" s="3" t="s">
        <v>614</v>
      </c>
      <c r="B799" s="0" t="s">
        <v>150</v>
      </c>
      <c r="D799" s="18" t="n">
        <f aca="false">1</f>
        <v>1</v>
      </c>
      <c r="E799" s="18" t="n">
        <f aca="false">1+carry</f>
        <v>1.15</v>
      </c>
      <c r="F799" s="18" t="n">
        <f aca="false">1+carry</f>
        <v>1.15</v>
      </c>
      <c r="G799" s="18" t="n">
        <f aca="false">1+carry</f>
        <v>1.15</v>
      </c>
      <c r="K799" s="7" t="s">
        <v>615</v>
      </c>
    </row>
    <row r="800" customFormat="false" ht="17.15" hidden="false" customHeight="false" outlineLevel="0" collapsed="false">
      <c r="A800" s="3" t="s">
        <v>616</v>
      </c>
      <c r="B800" s="0" t="s">
        <v>617</v>
      </c>
      <c r="D800" s="23" t="n">
        <f aca="false">v26*D797*D798</f>
        <v>215.308596</v>
      </c>
      <c r="E800" s="23" t="n">
        <f aca="false">v26*E797*E798</f>
        <v>254.06414328</v>
      </c>
      <c r="F800" s="23" t="n">
        <f aca="false">v26*F797*F798</f>
        <v>284.80590461688</v>
      </c>
      <c r="G800" s="23" t="n">
        <f aca="false">v26*G797*G798</f>
        <v>318.383021792765</v>
      </c>
      <c r="K800" s="7" t="s">
        <v>618</v>
      </c>
    </row>
    <row r="801" customFormat="false" ht="17.15" hidden="false" customHeight="false" outlineLevel="0" collapsed="false">
      <c r="A801" s="3" t="s">
        <v>619</v>
      </c>
      <c r="B801" s="0" t="s">
        <v>40</v>
      </c>
      <c r="D801" s="20" t="n">
        <f aca="false">sh_nv_26</f>
        <v>0.02</v>
      </c>
      <c r="E801" s="20" t="n">
        <f aca="false">sh_nv_27</f>
        <v>0.03</v>
      </c>
      <c r="F801" s="20" t="n">
        <f aca="false">sh_nv_28</f>
        <v>0.04</v>
      </c>
      <c r="G801" s="20" t="n">
        <f aca="false">sh_nv_29</f>
        <v>0.04</v>
      </c>
    </row>
    <row r="802" customFormat="false" ht="17.15" hidden="false" customHeight="false" outlineLevel="0" collapsed="false">
      <c r="A802" s="3" t="s">
        <v>620</v>
      </c>
      <c r="B802" s="0" t="s">
        <v>40</v>
      </c>
      <c r="D802" s="20" t="n">
        <f aca="false">sh_ot_26</f>
        <v>0.05</v>
      </c>
      <c r="E802" s="20" t="n">
        <f aca="false">sh_ot_27</f>
        <v>0.06</v>
      </c>
      <c r="F802" s="20" t="n">
        <f aca="false">sh_ot_28</f>
        <v>0.07</v>
      </c>
      <c r="G802" s="20" t="n">
        <f aca="false">sh_ot_29</f>
        <v>0.07</v>
      </c>
    </row>
    <row r="803" customFormat="false" ht="17.15" hidden="false" customHeight="false" outlineLevel="0" collapsed="false">
      <c r="A803" s="3" t="s">
        <v>621</v>
      </c>
      <c r="B803" s="0" t="s">
        <v>571</v>
      </c>
      <c r="D803" s="22" t="n">
        <f aca="false">(D795*D800*D801+D796*D800*v_ot*D802)*D799</f>
        <v>98.180719776</v>
      </c>
      <c r="E803" s="22" t="n">
        <f aca="false">(E795*E800*E801+E796*E800*v_ot*E802)*E799</f>
        <v>281.363335475436</v>
      </c>
      <c r="F803" s="22" t="n">
        <f aca="false">(F795*F800*F801+F796*F800*v_ot*F802)*F799</f>
        <v>436.265684692137</v>
      </c>
      <c r="G803" s="22" t="n">
        <f aca="false">(G795*G800*G801+G796*G800*v_ot*G802)*G799</f>
        <v>556.094153523679</v>
      </c>
    </row>
    <row r="804" customFormat="false" ht="15" hidden="false" customHeight="false" outlineLevel="0" collapsed="false">
      <c r="A804" s="3" t="s">
        <v>622</v>
      </c>
      <c r="B804" s="0" t="s">
        <v>329</v>
      </c>
      <c r="D804" s="21" t="n">
        <f aca="false">D803*fx/1000</f>
        <v>3.19087339272</v>
      </c>
      <c r="E804" s="21" t="n">
        <f aca="false">E803*fx/1000</f>
        <v>9.14430840295167</v>
      </c>
      <c r="F804" s="21" t="n">
        <f aca="false">F803*fx/1000</f>
        <v>14.1786347524944</v>
      </c>
      <c r="G804" s="21" t="n">
        <f aca="false">G803*fx/1000</f>
        <v>18.0730599895196</v>
      </c>
    </row>
    <row r="805" customFormat="false" ht="17.15" hidden="false" customHeight="false" outlineLevel="0" collapsed="false">
      <c r="A805" s="5" t="s">
        <v>623</v>
      </c>
    </row>
    <row r="806" customFormat="false" ht="17.15" hidden="false" customHeight="false" outlineLevel="0" collapsed="false">
      <c r="A806" s="0" t="s">
        <v>624</v>
      </c>
      <c r="B806" s="0" t="s">
        <v>329</v>
      </c>
      <c r="D806" s="21" t="n">
        <f aca="false">a26_abf*ai_abf</f>
        <v>22.2987583</v>
      </c>
      <c r="K806" s="3" t="s">
        <v>625</v>
      </c>
    </row>
    <row r="807" customFormat="false" ht="17.15" hidden="false" customHeight="false" outlineLevel="0" collapsed="false">
      <c r="A807" s="3" t="s">
        <v>626</v>
      </c>
      <c r="B807" s="0" t="s">
        <v>329</v>
      </c>
      <c r="D807" s="21" t="n">
        <f aca="false">D806-D804</f>
        <v>19.10788490728</v>
      </c>
      <c r="E807" s="21" t="n">
        <f aca="false">$D807*(swm_27/swm_26)^el_o*1*1*E798*E799</f>
        <v>30.7354094978265</v>
      </c>
      <c r="F807" s="21" t="n">
        <f aca="false">$D807*(swm_28/swm_26)^el_o*um28_A*1*F798*F799</f>
        <v>31.4104002135205</v>
      </c>
      <c r="G807" s="21" t="n">
        <f aca="false">$D807*(swm_29/swm_26)^el_o*um29_A*1*G798*G799</f>
        <v>31.7452412889375</v>
      </c>
      <c r="K807" s="7" t="s">
        <v>627</v>
      </c>
    </row>
    <row r="808" customFormat="false" ht="17.15" hidden="false" customHeight="false" outlineLevel="0" collapsed="false">
      <c r="A808" s="3" t="s">
        <v>628</v>
      </c>
      <c r="B808" s="0" t="s">
        <v>329</v>
      </c>
      <c r="D808" s="21" t="n">
        <f aca="false">a26_abf-D806</f>
        <v>12.0070237</v>
      </c>
      <c r="E808" s="21" t="n">
        <f aca="false">D808*(1+g_nai)</f>
        <v>12.367234411</v>
      </c>
      <c r="F808" s="21" t="n">
        <f aca="false">E808*(1+g_nai)</f>
        <v>12.73825144333</v>
      </c>
      <c r="G808" s="21" t="n">
        <f aca="false">F808*(1+g_nai)</f>
        <v>13.1203989866299</v>
      </c>
    </row>
    <row r="809" customFormat="false" ht="17.15" hidden="false" customHeight="false" outlineLevel="0" collapsed="false">
      <c r="A809" s="0" t="s">
        <v>629</v>
      </c>
      <c r="B809" s="0" t="s">
        <v>329</v>
      </c>
      <c r="D809" s="21" t="n">
        <f aca="false">D804+D807+D808</f>
        <v>34.305782</v>
      </c>
      <c r="E809" s="21" t="n">
        <f aca="false">E804+E807+E808</f>
        <v>52.2469523117781</v>
      </c>
      <c r="F809" s="21" t="n">
        <f aca="false">F804+F807+F808</f>
        <v>58.3272864093449</v>
      </c>
      <c r="G809" s="21" t="n">
        <f aca="false">G804+G807+G808</f>
        <v>62.9387002650869</v>
      </c>
    </row>
    <row r="810" customFormat="false" ht="17.15" hidden="false" customHeight="false" outlineLevel="0" collapsed="false">
      <c r="A810" s="0" t="s">
        <v>630</v>
      </c>
      <c r="B810" s="0" t="s">
        <v>329</v>
      </c>
      <c r="D810" s="21" t="n">
        <f aca="false">a26_abf</f>
        <v>34.305782</v>
      </c>
      <c r="E810" s="21" t="n">
        <f aca="false">$D809*cap_27*(1+g_mix)^1*E798*E799</f>
        <v>49.709078118</v>
      </c>
      <c r="F810" s="21" t="n">
        <f aca="false">$D809*cap_28*(1+g_mix)^2*F798*F799</f>
        <v>55.7829061005431</v>
      </c>
      <c r="G810" s="21" t="n">
        <f aca="false">$D809*cap_29*(1+g_mix)^3*G798*G799</f>
        <v>65.765110350114</v>
      </c>
      <c r="K810" s="7" t="s">
        <v>631</v>
      </c>
    </row>
    <row r="811" customFormat="false" ht="17.15" hidden="false" customHeight="false" outlineLevel="0" collapsed="false">
      <c r="A811" s="0" t="s">
        <v>632</v>
      </c>
      <c r="B811" s="0" t="s">
        <v>329</v>
      </c>
      <c r="D811" s="21" t="n">
        <f aca="false">a26_abf</f>
        <v>34.305782</v>
      </c>
      <c r="E811" s="21" t="n">
        <f aca="false">MIN(E809,E810)</f>
        <v>49.709078118</v>
      </c>
      <c r="F811" s="21" t="n">
        <f aca="false">MIN(F809,F810)</f>
        <v>55.7829061005431</v>
      </c>
      <c r="G811" s="21" t="n">
        <f aca="false">MIN(G809,G810)</f>
        <v>62.9387002650869</v>
      </c>
    </row>
    <row r="812" customFormat="false" ht="17.15" hidden="false" customHeight="false" outlineLevel="0" collapsed="false">
      <c r="A812" s="3" t="s">
        <v>633</v>
      </c>
      <c r="B812" s="0" t="s">
        <v>40</v>
      </c>
      <c r="D812" s="20" t="n">
        <f aca="false">D811/D809</f>
        <v>1</v>
      </c>
      <c r="E812" s="20" t="n">
        <f aca="false">E811/E809</f>
        <v>0.951425411789885</v>
      </c>
      <c r="F812" s="20" t="n">
        <f aca="false">F811/F809</f>
        <v>0.956377529876066</v>
      </c>
      <c r="G812" s="20" t="n">
        <f aca="false">G811/G809</f>
        <v>1</v>
      </c>
    </row>
    <row r="813" customFormat="false" ht="17.15" hidden="false" customHeight="false" outlineLevel="0" collapsed="false">
      <c r="A813" s="0" t="s">
        <v>634</v>
      </c>
      <c r="B813" s="0" t="s">
        <v>329</v>
      </c>
      <c r="D813" s="21" t="n">
        <f aca="false">(D804+D807)*D812</f>
        <v>22.2987583</v>
      </c>
      <c r="E813" s="21" t="n">
        <f aca="false">(E804+E807)*E812</f>
        <v>37.9425770258123</v>
      </c>
      <c r="F813" s="21" t="n">
        <f aca="false">(F804+F807)*F812</f>
        <v>43.6003286502309</v>
      </c>
      <c r="G813" s="21" t="n">
        <f aca="false">(G804+G807)*G812</f>
        <v>49.818301278457</v>
      </c>
    </row>
    <row r="814" customFormat="false" ht="17.15" hidden="false" customHeight="false" outlineLevel="0" collapsed="false">
      <c r="A814" s="3" t="s">
        <v>635</v>
      </c>
      <c r="B814" s="0" t="s">
        <v>40</v>
      </c>
      <c r="D814" s="20" t="n">
        <f aca="false">D804/(D804+D807)</f>
        <v>0.14309646078903</v>
      </c>
      <c r="E814" s="20" t="n">
        <f aca="false">E804/(E804+E807)</f>
        <v>0.229297218844501</v>
      </c>
      <c r="F814" s="20" t="n">
        <f aca="false">F804/(F804+F807)</f>
        <v>0.311009758444419</v>
      </c>
      <c r="G814" s="20" t="n">
        <f aca="false">G804/(G804+G807)</f>
        <v>0.362779531331288</v>
      </c>
    </row>
    <row r="815" customFormat="false" ht="17.15" hidden="false" customHeight="false" outlineLevel="0" collapsed="false">
      <c r="A815" s="5" t="s">
        <v>636</v>
      </c>
    </row>
    <row r="816" customFormat="false" ht="17.15" hidden="false" customHeight="false" outlineLevel="0" collapsed="false">
      <c r="A816" s="0" t="s">
        <v>637</v>
      </c>
      <c r="B816" s="0" t="s">
        <v>329</v>
      </c>
      <c r="D816" s="21" t="n">
        <f aca="false">a26_bt</f>
        <v>18.927328</v>
      </c>
      <c r="E816" s="21" t="n">
        <f aca="false">D816*(1+g_bt27_A)</f>
        <v>24.6055264</v>
      </c>
      <c r="F816" s="21" t="n">
        <f aca="false">E816*(1+g_bt28_A)</f>
        <v>27.06607904</v>
      </c>
      <c r="G816" s="21" t="n">
        <f aca="false">F816*(1+g_bt29_A)</f>
        <v>28.419382992</v>
      </c>
      <c r="K816" s="7" t="s">
        <v>638</v>
      </c>
    </row>
    <row r="817" customFormat="false" ht="17.15" hidden="false" customHeight="false" outlineLevel="0" collapsed="false">
      <c r="A817" s="0" t="s">
        <v>536</v>
      </c>
      <c r="B817" s="0" t="s">
        <v>329</v>
      </c>
      <c r="D817" s="21" t="n">
        <f aca="false">a26_pcb</f>
        <v>5.91479</v>
      </c>
      <c r="E817" s="21" t="n">
        <f aca="false">D817*(1+g_pcb)</f>
        <v>5.91479</v>
      </c>
      <c r="F817" s="21" t="n">
        <f aca="false">E817*(1+g_pcb)</f>
        <v>5.91479</v>
      </c>
      <c r="G817" s="21" t="n">
        <f aca="false">F817*(1+g_pcb)</f>
        <v>5.91479</v>
      </c>
    </row>
    <row r="818" customFormat="false" ht="17.15" hidden="false" customHeight="false" outlineLevel="0" collapsed="false">
      <c r="A818" s="3" t="s">
        <v>501</v>
      </c>
      <c r="B818" s="0" t="s">
        <v>329</v>
      </c>
      <c r="C818" s="23" t="n">
        <f aca="false">a25_rev</f>
        <v>40.173</v>
      </c>
      <c r="D818" s="23" t="n">
        <f aca="false">D811+D816+D817</f>
        <v>59.1479</v>
      </c>
      <c r="E818" s="23" t="n">
        <f aca="false">E811+E816+E817</f>
        <v>80.229394518</v>
      </c>
      <c r="F818" s="23" t="n">
        <f aca="false">F811+F816+F817</f>
        <v>88.7637751405431</v>
      </c>
      <c r="G818" s="23" t="n">
        <f aca="false">G811+G816+G817</f>
        <v>97.2728732570869</v>
      </c>
      <c r="H818" s="25" t="n">
        <f aca="false">G818*(1+H819)</f>
        <v>105.434863846709</v>
      </c>
      <c r="I818" s="25" t="n">
        <f aca="false">H818*(1+I819)</f>
        <v>113.021333979572</v>
      </c>
      <c r="J818" s="25" t="n">
        <f aca="false">I818*(1+J819)</f>
        <v>119.802614018346</v>
      </c>
      <c r="K818" s="7" t="s">
        <v>639</v>
      </c>
    </row>
    <row r="819" customFormat="false" ht="15" hidden="false" customHeight="false" outlineLevel="0" collapsed="false">
      <c r="A819" s="3" t="s">
        <v>640</v>
      </c>
      <c r="B819" s="0" t="s">
        <v>40</v>
      </c>
      <c r="D819" s="20" t="n">
        <f aca="false">D818/C818-1</f>
        <v>0.472329674159261</v>
      </c>
      <c r="E819" s="20" t="n">
        <f aca="false">E818/D818-1</f>
        <v>0.35642</v>
      </c>
      <c r="F819" s="20" t="n">
        <f aca="false">F818/E818-1</f>
        <v>0.106374735517023</v>
      </c>
      <c r="G819" s="20" t="n">
        <f aca="false">G818/F818-1</f>
        <v>0.0958622828183122</v>
      </c>
      <c r="H819" s="26" t="n">
        <f aca="false">$G819+(fade_gA-$G819)*1/3</f>
        <v>0.0839081885455415</v>
      </c>
      <c r="I819" s="26" t="n">
        <f aca="false">$G819+(fade_gA-$G819)*2/3</f>
        <v>0.0719540942727707</v>
      </c>
      <c r="J819" s="26" t="n">
        <f aca="false">$G819+(fade_gA-$G819)*3/3</f>
        <v>0.06</v>
      </c>
    </row>
    <row r="820" customFormat="false" ht="17.15" hidden="false" customHeight="false" outlineLevel="0" collapsed="false">
      <c r="A820" s="0" t="s">
        <v>641</v>
      </c>
      <c r="B820" s="0" t="s">
        <v>40</v>
      </c>
      <c r="D820" s="20" t="n">
        <f aca="false">D811/D818</f>
        <v>0.58</v>
      </c>
      <c r="E820" s="20" t="n">
        <f aca="false">E811/E818</f>
        <v>0.619586853629407</v>
      </c>
      <c r="F820" s="20" t="n">
        <f aca="false">F811/F818</f>
        <v>0.62844224473576</v>
      </c>
      <c r="G820" s="20" t="n">
        <f aca="false">G811/G818</f>
        <v>0.647032396161912</v>
      </c>
    </row>
    <row r="821" customFormat="false" ht="17.15" hidden="false" customHeight="false" outlineLevel="0" collapsed="false">
      <c r="A821" s="0" t="s">
        <v>642</v>
      </c>
      <c r="B821" s="0" t="s">
        <v>40</v>
      </c>
      <c r="D821" s="20" t="n">
        <f aca="false">D813/D818</f>
        <v>0.377</v>
      </c>
      <c r="E821" s="20" t="n">
        <f aca="false">E813/E818</f>
        <v>0.472926129553422</v>
      </c>
      <c r="F821" s="20" t="n">
        <f aca="false">F813/F818</f>
        <v>0.491195068947855</v>
      </c>
      <c r="G821" s="20" t="n">
        <f aca="false">G813/G818</f>
        <v>0.512149992185282</v>
      </c>
      <c r="K821" s="3" t="s">
        <v>643</v>
      </c>
    </row>
    <row r="822" customFormat="false" ht="17.15" hidden="false" customHeight="false" outlineLevel="0" collapsed="false">
      <c r="A822" s="5" t="s">
        <v>644</v>
      </c>
    </row>
    <row r="823" customFormat="false" ht="15" hidden="false" customHeight="false" outlineLevel="0" collapsed="false">
      <c r="A823" s="3" t="s">
        <v>645</v>
      </c>
      <c r="B823" s="0" t="s">
        <v>329</v>
      </c>
      <c r="C823" s="23" t="n">
        <f aca="false">a25_cx</f>
        <v>2.422</v>
      </c>
      <c r="D823" s="23" t="n">
        <f aca="false">capex26</f>
        <v>4</v>
      </c>
      <c r="E823" s="23" t="n">
        <f aca="false">cx27</f>
        <v>14</v>
      </c>
      <c r="F823" s="23" t="n">
        <f aca="false">cx28</f>
        <v>18</v>
      </c>
      <c r="G823" s="23" t="n">
        <f aca="false">cx29</f>
        <v>12</v>
      </c>
      <c r="H823" s="25" t="n">
        <f aca="false">H818*H840</f>
        <v>12.4340264745658</v>
      </c>
      <c r="I823" s="25" t="n">
        <f aca="false">I818*I840</f>
        <v>12.7146133290876</v>
      </c>
      <c r="J823" s="25" t="n">
        <f aca="false">J818*J840</f>
        <v>12.8265523346964</v>
      </c>
    </row>
    <row r="824" customFormat="false" ht="17.15" hidden="false" customHeight="false" outlineLevel="0" collapsed="false">
      <c r="A824" s="3" t="s">
        <v>646</v>
      </c>
      <c r="B824" s="0" t="s">
        <v>329</v>
      </c>
      <c r="C824" s="23" t="n">
        <f aca="false">a25_da</f>
        <v>6.894</v>
      </c>
      <c r="D824" s="23" t="n">
        <f aca="false">da26</f>
        <v>7.1</v>
      </c>
      <c r="E824" s="23" t="n">
        <f aca="false">D824*(1-1/life_hi)+D823/life_hi</f>
        <v>6.79</v>
      </c>
      <c r="F824" s="23" t="n">
        <f aca="false">E824*(1-1/life_hi)+E823/life_hi</f>
        <v>7.511</v>
      </c>
      <c r="G824" s="23" t="n">
        <f aca="false">F824*(1-1/life_hi)+F823/life_hi</f>
        <v>8.5599</v>
      </c>
      <c r="H824" s="25" t="n">
        <f aca="false">H818*H825</f>
        <v>9.27814570313098</v>
      </c>
      <c r="I824" s="25" t="n">
        <f aca="false">I818*I825</f>
        <v>9.94574627373057</v>
      </c>
      <c r="J824" s="25" t="n">
        <f aca="false">J818*J825</f>
        <v>10.5424910501544</v>
      </c>
      <c r="K824" s="3" t="s">
        <v>647</v>
      </c>
    </row>
    <row r="825" customFormat="false" ht="17.15" hidden="false" customHeight="false" outlineLevel="0" collapsed="false">
      <c r="A825" s="3" t="s">
        <v>648</v>
      </c>
      <c r="B825" s="0" t="s">
        <v>40</v>
      </c>
      <c r="C825" s="20" t="n">
        <f aca="false">C824/C818</f>
        <v>0.171607796281084</v>
      </c>
      <c r="D825" s="20" t="n">
        <f aca="false">D824/D818</f>
        <v>0.120038074048276</v>
      </c>
      <c r="E825" s="20" t="n">
        <f aca="false">E824/E818</f>
        <v>0.0846323226143333</v>
      </c>
      <c r="F825" s="20" t="n">
        <f aca="false">F824/F818</f>
        <v>0.0846178521374011</v>
      </c>
      <c r="G825" s="20" t="n">
        <f aca="false">G824/G818</f>
        <v>0.0879988398962643</v>
      </c>
      <c r="H825" s="26" t="n">
        <f aca="false">$G825</f>
        <v>0.0879988398962643</v>
      </c>
      <c r="I825" s="26" t="n">
        <f aca="false">$G825</f>
        <v>0.0879988398962643</v>
      </c>
      <c r="J825" s="26" t="n">
        <f aca="false">$G825</f>
        <v>0.0879988398962643</v>
      </c>
    </row>
    <row r="826" customFormat="false" ht="17.15" hidden="false" customHeight="false" outlineLevel="0" collapsed="false">
      <c r="A826" s="3" t="s">
        <v>649</v>
      </c>
      <c r="B826" s="0" t="s">
        <v>329</v>
      </c>
      <c r="E826" s="21" t="n">
        <f aca="false">E813*(1-1/(E798*E799))</f>
        <v>4.94903178597551</v>
      </c>
      <c r="F826" s="21" t="n">
        <f aca="false">F813*(1-1/(F798*F799))</f>
        <v>3.69156100699895</v>
      </c>
      <c r="G826" s="21" t="n">
        <f aca="false">G813*(1-1/(G798*G799))</f>
        <v>1.68467685482705</v>
      </c>
      <c r="K826" s="7" t="s">
        <v>650</v>
      </c>
    </row>
    <row r="827" customFormat="false" ht="17.15" hidden="false" customHeight="false" outlineLevel="0" collapsed="false">
      <c r="A827" s="3" t="s">
        <v>651</v>
      </c>
      <c r="B827" s="0" t="s">
        <v>329</v>
      </c>
      <c r="C827" s="21" t="n">
        <f aca="false">a25_gp</f>
        <v>3.647</v>
      </c>
      <c r="D827" s="21" t="n">
        <f aca="false">a26_gp</f>
        <v>15.9001925</v>
      </c>
      <c r="E827" s="21" t="n">
        <f aca="false">$D827+ft_abf*(E811-E826-$D811)+ft_oth*((E818-E811)-($D818-$D811))+E826-(E824-$D824)</f>
        <v>28.6576358119878</v>
      </c>
      <c r="F827" s="21" t="n">
        <f aca="false">$D827+ft_abf*(F811-F826-$D811)+ft_oth*((F818-F811)-($D818-$D811))+F826-(F824-$D824)</f>
        <v>31.329035469771</v>
      </c>
      <c r="G827" s="21" t="n">
        <f aca="false">$D827+ft_abf*(G811-G826-$D811)+ft_oth*((G818-G811)-($D818-$D811))+G826-(G824-$D824)</f>
        <v>33.395912056757</v>
      </c>
      <c r="K827" s="3" t="s">
        <v>652</v>
      </c>
    </row>
    <row r="828" customFormat="false" ht="15" hidden="false" customHeight="false" outlineLevel="0" collapsed="false">
      <c r="A828" s="3" t="s">
        <v>508</v>
      </c>
      <c r="B828" s="0" t="s">
        <v>40</v>
      </c>
      <c r="C828" s="16" t="n">
        <f aca="false">C827/C818</f>
        <v>0.0907823662659</v>
      </c>
      <c r="D828" s="16" t="n">
        <f aca="false">D827/D818</f>
        <v>0.268820913337583</v>
      </c>
      <c r="E828" s="16" t="n">
        <f aca="false">E827/E818</f>
        <v>0.357196211988839</v>
      </c>
      <c r="F828" s="16" t="n">
        <f aca="false">F827/F818</f>
        <v>0.35294843442797</v>
      </c>
      <c r="G828" s="16" t="n">
        <f aca="false">G827/G818</f>
        <v>0.34332194514799</v>
      </c>
    </row>
    <row r="829" customFormat="false" ht="15" hidden="false" customHeight="false" outlineLevel="0" collapsed="false">
      <c r="A829" s="3" t="s">
        <v>510</v>
      </c>
      <c r="B829" s="0" t="s">
        <v>329</v>
      </c>
      <c r="C829" s="21" t="n">
        <f aca="false">a25_opx</f>
        <v>1.665</v>
      </c>
      <c r="D829" s="21" t="n">
        <f aca="false">a26_opx</f>
        <v>1.9</v>
      </c>
      <c r="E829" s="21" t="n">
        <f aca="false">D829*(1+phi*E819)</f>
        <v>2.3063188</v>
      </c>
      <c r="F829" s="21" t="n">
        <f aca="false">E829*(1+phi*F819)</f>
        <v>2.45351923142076</v>
      </c>
      <c r="G829" s="21" t="n">
        <f aca="false">F829*(1+phi*G819)</f>
        <v>2.59463920409834</v>
      </c>
    </row>
    <row r="830" customFormat="false" ht="15" hidden="false" customHeight="false" outlineLevel="0" collapsed="false">
      <c r="A830" s="3" t="s">
        <v>513</v>
      </c>
      <c r="B830" s="0" t="s">
        <v>329</v>
      </c>
      <c r="C830" s="21" t="n">
        <f aca="false">C827-C829</f>
        <v>1.982</v>
      </c>
      <c r="D830" s="21" t="n">
        <f aca="false">D827-D829</f>
        <v>14.0001925</v>
      </c>
      <c r="E830" s="21" t="n">
        <f aca="false">E827-E829</f>
        <v>26.3513170119878</v>
      </c>
      <c r="F830" s="21" t="n">
        <f aca="false">F827-F829</f>
        <v>28.8755162383503</v>
      </c>
      <c r="G830" s="21" t="n">
        <f aca="false">G827-G829</f>
        <v>30.8012728526587</v>
      </c>
    </row>
    <row r="831" customFormat="false" ht="15" hidden="false" customHeight="false" outlineLevel="0" collapsed="false">
      <c r="A831" s="3" t="s">
        <v>594</v>
      </c>
      <c r="B831" s="0" t="s">
        <v>40</v>
      </c>
      <c r="C831" s="16" t="n">
        <f aca="false">C830/C818</f>
        <v>0.0493366191222961</v>
      </c>
      <c r="D831" s="16" t="n">
        <f aca="false">D830/D818</f>
        <v>0.236698048451424</v>
      </c>
      <c r="E831" s="16" t="n">
        <f aca="false">E830/E818</f>
        <v>0.328449655768942</v>
      </c>
      <c r="F831" s="16" t="n">
        <f aca="false">F830/F818</f>
        <v>0.325307437551305</v>
      </c>
      <c r="G831" s="16" t="n">
        <f aca="false">G830/G818</f>
        <v>0.31664812420265</v>
      </c>
    </row>
    <row r="832" customFormat="false" ht="15" hidden="false" customHeight="false" outlineLevel="0" collapsed="false">
      <c r="A832" s="3" t="s">
        <v>516</v>
      </c>
      <c r="B832" s="0" t="s">
        <v>329</v>
      </c>
      <c r="C832" s="21" t="n">
        <f aca="false">a25_nonop</f>
        <v>0.364</v>
      </c>
      <c r="D832" s="21" t="n">
        <f aca="false">a26_nonop</f>
        <v>0.623</v>
      </c>
      <c r="E832" s="21" t="n">
        <f aca="false">nonop27</f>
        <v>0.6</v>
      </c>
      <c r="F832" s="21" t="n">
        <f aca="false">nonop28</f>
        <v>0.6</v>
      </c>
      <c r="G832" s="21" t="n">
        <f aca="false">nonop29</f>
        <v>0.6</v>
      </c>
    </row>
    <row r="833" customFormat="false" ht="15" hidden="false" customHeight="false" outlineLevel="0" collapsed="false">
      <c r="A833" s="3" t="s">
        <v>518</v>
      </c>
      <c r="B833" s="0" t="s">
        <v>329</v>
      </c>
      <c r="C833" s="21" t="n">
        <f aca="false">C830+C832</f>
        <v>2.346</v>
      </c>
      <c r="D833" s="21" t="n">
        <f aca="false">D830+D832</f>
        <v>14.6231925</v>
      </c>
      <c r="E833" s="21" t="n">
        <f aca="false">E830+E832</f>
        <v>26.9513170119878</v>
      </c>
      <c r="F833" s="21" t="n">
        <f aca="false">F830+F832</f>
        <v>29.4755162383503</v>
      </c>
      <c r="G833" s="21" t="n">
        <f aca="false">G830+G832</f>
        <v>31.4012728526587</v>
      </c>
    </row>
    <row r="834" customFormat="false" ht="15" hidden="false" customHeight="false" outlineLevel="0" collapsed="false">
      <c r="A834" s="3" t="s">
        <v>521</v>
      </c>
      <c r="B834" s="0" t="s">
        <v>329</v>
      </c>
      <c r="E834" s="21" t="n">
        <f aca="false">E833*tax</f>
        <v>5.65977657251743</v>
      </c>
      <c r="F834" s="21" t="n">
        <f aca="false">F833*tax</f>
        <v>6.18985841005356</v>
      </c>
      <c r="G834" s="21" t="n">
        <f aca="false">G833*tax</f>
        <v>6.59426729905832</v>
      </c>
    </row>
    <row r="835" customFormat="false" ht="15" hidden="false" customHeight="false" outlineLevel="0" collapsed="false">
      <c r="A835" s="3" t="s">
        <v>519</v>
      </c>
      <c r="B835" s="0" t="s">
        <v>329</v>
      </c>
      <c r="C835" s="21" t="n">
        <f aca="false">a25_ni</f>
        <v>1.947</v>
      </c>
      <c r="D835" s="21" t="n">
        <f aca="false">a26_ni</f>
        <v>11.509862075</v>
      </c>
      <c r="E835" s="21" t="n">
        <f aca="false">E833-E834</f>
        <v>21.2915404394703</v>
      </c>
      <c r="F835" s="21" t="n">
        <f aca="false">F833-F834</f>
        <v>23.2856578282967</v>
      </c>
      <c r="G835" s="21" t="n">
        <f aca="false">G833-G834</f>
        <v>24.8070055536003</v>
      </c>
      <c r="H835" s="30" t="n">
        <f aca="false">H818*H839</f>
        <v>26.7855884691589</v>
      </c>
      <c r="I835" s="30" t="n">
        <f aca="false">I818*I839</f>
        <v>28.602587153496</v>
      </c>
      <c r="J835" s="30" t="n">
        <f aca="false">J818*J839</f>
        <v>30.2017882647699</v>
      </c>
    </row>
    <row r="836" customFormat="false" ht="15" hidden="false" customHeight="false" outlineLevel="0" collapsed="false">
      <c r="A836" s="3" t="s">
        <v>653</v>
      </c>
      <c r="B836" s="3" t="s">
        <v>396</v>
      </c>
      <c r="C836" s="29" t="n">
        <f aca="false">a25_sh</f>
        <v>0.646843853820598</v>
      </c>
      <c r="D836" s="29" t="n">
        <f aca="false">a26_sh</f>
        <v>0.645863325123153</v>
      </c>
      <c r="E836" s="29" t="n">
        <f aca="false">a26_shend*(1+sh_g)</f>
        <v>0.64617</v>
      </c>
      <c r="F836" s="29" t="n">
        <f aca="false">E836*(1+sh_g)</f>
        <v>0.64617</v>
      </c>
      <c r="G836" s="29" t="n">
        <f aca="false">F836*(1+sh_g)</f>
        <v>0.64617</v>
      </c>
      <c r="H836" s="31" t="n">
        <f aca="false">G836*(1+sh_g)</f>
        <v>0.64617</v>
      </c>
      <c r="I836" s="31" t="n">
        <f aca="false">H836*(1+sh_g)</f>
        <v>0.64617</v>
      </c>
      <c r="J836" s="31" t="n">
        <f aca="false">I836*(1+sh_g)</f>
        <v>0.64617</v>
      </c>
    </row>
    <row r="837" customFormat="false" ht="17.15" hidden="false" customHeight="false" outlineLevel="0" collapsed="false">
      <c r="A837" s="0" t="s">
        <v>524</v>
      </c>
      <c r="B837" s="0" t="s">
        <v>402</v>
      </c>
      <c r="C837" s="18" t="n">
        <f aca="false">C835/C836</f>
        <v>3.01</v>
      </c>
      <c r="D837" s="18" t="n">
        <f aca="false">D835/D836</f>
        <v>17.820894339844</v>
      </c>
      <c r="E837" s="18" t="n">
        <f aca="false">E835/E836</f>
        <v>32.9503697780311</v>
      </c>
      <c r="F837" s="18" t="n">
        <f aca="false">F835/F836</f>
        <v>36.0364266807446</v>
      </c>
      <c r="G837" s="18" t="n">
        <f aca="false">G835/G836</f>
        <v>38.3908345382799</v>
      </c>
      <c r="H837" s="28" t="n">
        <f aca="false">H835/H836</f>
        <v>41.4528505952906</v>
      </c>
      <c r="I837" s="28" t="n">
        <f aca="false">I835/I836</f>
        <v>44.2648020698826</v>
      </c>
      <c r="J837" s="28" t="n">
        <f aca="false">J835/J836</f>
        <v>46.7396942983578</v>
      </c>
    </row>
    <row r="838" customFormat="false" ht="17.15" hidden="false" customHeight="false" outlineLevel="0" collapsed="false">
      <c r="A838" s="0" t="s">
        <v>654</v>
      </c>
      <c r="B838" s="0" t="s">
        <v>40</v>
      </c>
      <c r="D838" s="20" t="n">
        <f aca="false">D837/C837-1</f>
        <v>4.92056290360265</v>
      </c>
      <c r="E838" s="20" t="n">
        <f aca="false">E837/D837-1</f>
        <v>0.84897397120865</v>
      </c>
      <c r="F838" s="20" t="n">
        <f aca="false">F837/E837-1</f>
        <v>0.0936577320225118</v>
      </c>
      <c r="G838" s="20" t="n">
        <f aca="false">G837/F837-1</f>
        <v>0.0653341097993325</v>
      </c>
      <c r="H838" s="26" t="n">
        <f aca="false">H837/G837-1</f>
        <v>0.0797590386829836</v>
      </c>
      <c r="I838" s="26" t="n">
        <f aca="false">I837/H837-1</f>
        <v>0.0678349361795492</v>
      </c>
      <c r="J838" s="26" t="n">
        <f aca="false">J837/I837-1</f>
        <v>0.0559110650617627</v>
      </c>
    </row>
    <row r="839" customFormat="false" ht="17.15" hidden="false" customHeight="false" outlineLevel="0" collapsed="false">
      <c r="A839" s="3" t="s">
        <v>655</v>
      </c>
      <c r="B839" s="0" t="s">
        <v>40</v>
      </c>
      <c r="C839" s="16" t="n">
        <f aca="false">C835/C818</f>
        <v>0.0484653872003585</v>
      </c>
      <c r="D839" s="16" t="n">
        <f aca="false">D835/D818</f>
        <v>0.194594602259759</v>
      </c>
      <c r="E839" s="16" t="n">
        <f aca="false">E835/E818</f>
        <v>0.265383287103001</v>
      </c>
      <c r="F839" s="16" t="n">
        <f aca="false">F835/F818</f>
        <v>0.262332891896809</v>
      </c>
      <c r="G839" s="16" t="n">
        <f aca="false">G835/G818</f>
        <v>0.25502490800325</v>
      </c>
      <c r="H839" s="27" t="n">
        <f aca="false">$G839+(fade_mA-$G839)*1/3</f>
        <v>0.254048684580295</v>
      </c>
      <c r="I839" s="27" t="n">
        <f aca="false">$G839+(fade_mA-$G839)*2/3</f>
        <v>0.25307246115734</v>
      </c>
      <c r="J839" s="27" t="n">
        <f aca="false">$G839+(fade_mA-$G839)*3/3</f>
        <v>0.252096237734386</v>
      </c>
    </row>
    <row r="840" customFormat="false" ht="17.15" hidden="false" customHeight="false" outlineLevel="0" collapsed="false">
      <c r="A840" s="3" t="s">
        <v>656</v>
      </c>
      <c r="B840" s="0" t="s">
        <v>40</v>
      </c>
      <c r="C840" s="20" t="n">
        <f aca="false">C823/C818</f>
        <v>0.0602892489980833</v>
      </c>
      <c r="D840" s="20" t="n">
        <f aca="false">D823/D818</f>
        <v>0.0676270839708595</v>
      </c>
      <c r="E840" s="20" t="n">
        <f aca="false">E823/E818</f>
        <v>0.174499634256357</v>
      </c>
      <c r="F840" s="20" t="n">
        <f aca="false">F823/F818</f>
        <v>0.202785426504223</v>
      </c>
      <c r="G840" s="20" t="n">
        <f aca="false">G823/G818</f>
        <v>0.123364300839399</v>
      </c>
      <c r="H840" s="26" t="n">
        <f aca="false">$G840+($G825*(1+tp_g)^(life_hi/2)-$G840)*1/3</f>
        <v>0.11793088188214</v>
      </c>
      <c r="I840" s="26" t="n">
        <f aca="false">$G840+($G825*(1+tp_g)^(life_hi/2)-$G840)*2/3</f>
        <v>0.112497462924882</v>
      </c>
      <c r="J840" s="26" t="n">
        <f aca="false">$G840+($G825*(1+tp_g)^(life_hi/2)-$G840)*3/3</f>
        <v>0.107064043967623</v>
      </c>
      <c r="K840" s="7" t="s">
        <v>657</v>
      </c>
    </row>
    <row r="841" customFormat="false" ht="15" hidden="false" customHeight="false" outlineLevel="0" collapsed="false">
      <c r="A841" s="3" t="s">
        <v>658</v>
      </c>
      <c r="B841" s="0" t="s">
        <v>329</v>
      </c>
      <c r="E841" s="21" t="n">
        <f aca="false">E835+E824-E823</f>
        <v>14.0815404394703</v>
      </c>
      <c r="F841" s="21" t="n">
        <f aca="false">F835+F824-F823</f>
        <v>12.7966578282967</v>
      </c>
      <c r="G841" s="21" t="n">
        <f aca="false">G835+G824-G823</f>
        <v>21.3669055536003</v>
      </c>
      <c r="H841" s="30" t="n">
        <f aca="false">H835+H824-H823</f>
        <v>23.6297076977241</v>
      </c>
      <c r="I841" s="30" t="n">
        <f aca="false">I835+I824-I823</f>
        <v>25.833720098139</v>
      </c>
      <c r="J841" s="30" t="n">
        <f aca="false">J835+J824-J823</f>
        <v>27.9177269802279</v>
      </c>
      <c r="K841" s="3" t="s">
        <v>659</v>
      </c>
    </row>
    <row r="842" customFormat="false" ht="15" hidden="false" customHeight="false" outlineLevel="0" collapsed="false">
      <c r="A842" s="3" t="s">
        <v>660</v>
      </c>
      <c r="B842" s="0" t="s">
        <v>402</v>
      </c>
      <c r="E842" s="18" t="n">
        <f aca="false">E841/E836</f>
        <v>21.7923153960573</v>
      </c>
      <c r="F842" s="18" t="n">
        <f aca="false">F841/F836</f>
        <v>19.8038563045278</v>
      </c>
      <c r="G842" s="18" t="n">
        <f aca="false">G841/G836</f>
        <v>33.0670033483454</v>
      </c>
      <c r="H842" s="28" t="n">
        <f aca="false">H841/H836</f>
        <v>36.5688715008808</v>
      </c>
      <c r="I842" s="28" t="n">
        <f aca="false">I841/I836</f>
        <v>39.979757800794</v>
      </c>
      <c r="J842" s="28" t="n">
        <f aca="false">J841/J836</f>
        <v>43.2049259176809</v>
      </c>
    </row>
    <row r="845" customFormat="false" ht="17.15" hidden="false" customHeight="false" outlineLevel="0" collapsed="false">
      <c r="A845" s="1" t="s">
        <v>973</v>
      </c>
    </row>
    <row r="846" customFormat="false" ht="17.15" hidden="false" customHeight="false" outlineLevel="0" collapsed="false">
      <c r="A846" s="4" t="s">
        <v>17</v>
      </c>
      <c r="B846" s="4" t="s">
        <v>18</v>
      </c>
      <c r="C846" s="13" t="s">
        <v>494</v>
      </c>
      <c r="D846" s="13" t="s">
        <v>581</v>
      </c>
      <c r="E846" s="13" t="s">
        <v>582</v>
      </c>
      <c r="F846" s="13" t="s">
        <v>583</v>
      </c>
      <c r="G846" s="13" t="s">
        <v>584</v>
      </c>
      <c r="H846" s="13" t="s">
        <v>585</v>
      </c>
      <c r="I846" s="13" t="s">
        <v>586</v>
      </c>
      <c r="J846" s="13" t="s">
        <v>587</v>
      </c>
      <c r="K846" s="4" t="s">
        <v>549</v>
      </c>
    </row>
    <row r="847" customFormat="false" ht="17.15" hidden="false" customHeight="false" outlineLevel="0" collapsed="false">
      <c r="A847" s="5" t="s">
        <v>605</v>
      </c>
    </row>
    <row r="848" customFormat="false" ht="17.15" hidden="false" customHeight="false" outlineLevel="0" collapsed="false">
      <c r="A848" s="0" t="s">
        <v>606</v>
      </c>
      <c r="B848" s="3" t="s">
        <v>28</v>
      </c>
      <c r="D848" s="21" t="n">
        <f aca="false">(u_bw_26+u_rb_26+u_ru_26+u_hp_26)*1</f>
        <v>7.6</v>
      </c>
      <c r="E848" s="21" t="n">
        <f aca="false">(u_bw_27+u_rb_27+u_ru_27+u_hp_27)*1*1</f>
        <v>9.7</v>
      </c>
      <c r="F848" s="21" t="n">
        <f aca="false">(u_bw_28+u_rb_28+u_ru_28+u_hp_28)*um28_A*1</f>
        <v>9.5</v>
      </c>
      <c r="G848" s="21" t="n">
        <f aca="false">(u_bw_28*(1+g29_bw)+u_rb_28*(1+g29_rb)+u_ru_28*(1+g29_ru)+u_hp_28*(1+g29_hp))*um29_A*1</f>
        <v>10.6</v>
      </c>
      <c r="K848" s="7" t="s">
        <v>607</v>
      </c>
    </row>
    <row r="849" customFormat="false" ht="17.15" hidden="false" customHeight="false" outlineLevel="0" collapsed="false">
      <c r="A849" s="3" t="s">
        <v>608</v>
      </c>
      <c r="B849" s="3" t="s">
        <v>28</v>
      </c>
      <c r="D849" s="21" t="n">
        <f aca="false">(u_amd_26+u_tpu_26+u_trn_26+u_oth_26)*1</f>
        <v>7.6</v>
      </c>
      <c r="E849" s="21" t="n">
        <f aca="false">(u_amd_27+u_tpu_27+u_trn_27+u_oth_27)*1*1</f>
        <v>14</v>
      </c>
      <c r="F849" s="21" t="n">
        <f aca="false">(u_amd_28+u_tpu_28+u_trn_28+u_oth_28)*um28_A*1</f>
        <v>17</v>
      </c>
      <c r="G849" s="21" t="n">
        <f aca="false">(u_amd_28*(1+g29_amd)+u_tpu_28*(1+g29_tpu)+u_trn_28*(1+g29_trn)+u_oth_28*(1+g29_oth))*um29_A*1</f>
        <v>19.55</v>
      </c>
      <c r="K849" s="7" t="s">
        <v>609</v>
      </c>
    </row>
    <row r="850" customFormat="false" ht="17.15" hidden="false" customHeight="false" outlineLevel="0" collapsed="false">
      <c r="A850" s="3" t="s">
        <v>610</v>
      </c>
      <c r="B850" s="0" t="s">
        <v>150</v>
      </c>
      <c r="D850" s="19" t="n">
        <f aca="false">1</f>
        <v>1</v>
      </c>
      <c r="E850" s="19" t="n">
        <f aca="false">D850*(1+g_asp)</f>
        <v>1.18</v>
      </c>
      <c r="F850" s="19" t="n">
        <f aca="false">E850*(1+g_asp)</f>
        <v>1.3924</v>
      </c>
      <c r="G850" s="19" t="n">
        <f aca="false">F850*(1+g_asp)</f>
        <v>1.643032</v>
      </c>
      <c r="K850" s="7" t="s">
        <v>611</v>
      </c>
    </row>
    <row r="851" customFormat="false" ht="17.15" hidden="false" customHeight="false" outlineLevel="0" collapsed="false">
      <c r="A851" s="0" t="s">
        <v>612</v>
      </c>
      <c r="B851" s="0" t="s">
        <v>150</v>
      </c>
      <c r="D851" s="18" t="n">
        <f aca="false">1</f>
        <v>1</v>
      </c>
      <c r="E851" s="18" t="n">
        <f aca="false">ibpp_27</f>
        <v>1</v>
      </c>
      <c r="F851" s="18" t="n">
        <f aca="false">ibpp_28</f>
        <v>0.95</v>
      </c>
      <c r="G851" s="18" t="n">
        <f aca="false">ibpp_29</f>
        <v>0.9</v>
      </c>
      <c r="K851" s="7" t="s">
        <v>613</v>
      </c>
    </row>
    <row r="852" customFormat="false" ht="17.15" hidden="false" customHeight="false" outlineLevel="0" collapsed="false">
      <c r="A852" s="3" t="s">
        <v>614</v>
      </c>
      <c r="B852" s="0" t="s">
        <v>150</v>
      </c>
      <c r="D852" s="18" t="n">
        <f aca="false">1</f>
        <v>1</v>
      </c>
      <c r="E852" s="18" t="n">
        <f aca="false">1+carry</f>
        <v>1.15</v>
      </c>
      <c r="F852" s="18" t="n">
        <f aca="false">1+carry</f>
        <v>1.15</v>
      </c>
      <c r="G852" s="18" t="n">
        <f aca="false">1+carry</f>
        <v>1.15</v>
      </c>
      <c r="K852" s="7" t="s">
        <v>615</v>
      </c>
    </row>
    <row r="853" customFormat="false" ht="17.15" hidden="false" customHeight="false" outlineLevel="0" collapsed="false">
      <c r="A853" s="3" t="s">
        <v>616</v>
      </c>
      <c r="B853" s="0" t="s">
        <v>617</v>
      </c>
      <c r="D853" s="23" t="n">
        <f aca="false">v26*D850*D851</f>
        <v>215.308596</v>
      </c>
      <c r="E853" s="23" t="n">
        <f aca="false">v26*E850*E851</f>
        <v>254.06414328</v>
      </c>
      <c r="F853" s="23" t="n">
        <f aca="false">v26*F850*F851</f>
        <v>284.80590461688</v>
      </c>
      <c r="G853" s="23" t="n">
        <f aca="false">v26*G850*G851</f>
        <v>318.383021792765</v>
      </c>
      <c r="K853" s="7" t="s">
        <v>618</v>
      </c>
    </row>
    <row r="854" customFormat="false" ht="17.15" hidden="false" customHeight="false" outlineLevel="0" collapsed="false">
      <c r="A854" s="3" t="s">
        <v>619</v>
      </c>
      <c r="B854" s="0" t="s">
        <v>40</v>
      </c>
      <c r="D854" s="20" t="n">
        <f aca="false">sh_nv_26</f>
        <v>0.02</v>
      </c>
      <c r="E854" s="20" t="n">
        <f aca="false">sh_nv_27</f>
        <v>0.03</v>
      </c>
      <c r="F854" s="20" t="n">
        <f aca="false">sh_nv_28</f>
        <v>0.04</v>
      </c>
      <c r="G854" s="20" t="n">
        <f aca="false">sh_nv_29</f>
        <v>0.04</v>
      </c>
    </row>
    <row r="855" customFormat="false" ht="17.15" hidden="false" customHeight="false" outlineLevel="0" collapsed="false">
      <c r="A855" s="3" t="s">
        <v>620</v>
      </c>
      <c r="B855" s="0" t="s">
        <v>40</v>
      </c>
      <c r="D855" s="20" t="n">
        <f aca="false">sh_ot_26</f>
        <v>0.05</v>
      </c>
      <c r="E855" s="20" t="n">
        <f aca="false">sh_ot_27</f>
        <v>0.06</v>
      </c>
      <c r="F855" s="20" t="n">
        <f aca="false">sh_ot_28</f>
        <v>0.07</v>
      </c>
      <c r="G855" s="20" t="n">
        <f aca="false">sh_ot_29</f>
        <v>0.07</v>
      </c>
    </row>
    <row r="856" customFormat="false" ht="17.15" hidden="false" customHeight="false" outlineLevel="0" collapsed="false">
      <c r="A856" s="3" t="s">
        <v>621</v>
      </c>
      <c r="B856" s="0" t="s">
        <v>571</v>
      </c>
      <c r="D856" s="22" t="n">
        <f aca="false">(D848*D853*D854+D849*D853*v_ot*D855)*D852</f>
        <v>98.180719776</v>
      </c>
      <c r="E856" s="22" t="n">
        <f aca="false">(E848*E853*E854+E849*E853*v_ot*E855)*E852</f>
        <v>281.363335475436</v>
      </c>
      <c r="F856" s="22" t="n">
        <f aca="false">(F848*F853*F854+F849*F853*v_ot*F855)*F852</f>
        <v>436.265684692137</v>
      </c>
      <c r="G856" s="22" t="n">
        <f aca="false">(G848*G853*G854+G849*G853*v_ot*G855)*G852</f>
        <v>556.094153523679</v>
      </c>
    </row>
    <row r="857" customFormat="false" ht="15" hidden="false" customHeight="false" outlineLevel="0" collapsed="false">
      <c r="A857" s="3" t="s">
        <v>622</v>
      </c>
      <c r="B857" s="0" t="s">
        <v>329</v>
      </c>
      <c r="D857" s="21" t="n">
        <f aca="false">D856*fx/1000</f>
        <v>3.19087339272</v>
      </c>
      <c r="E857" s="21" t="n">
        <f aca="false">E856*fx/1000</f>
        <v>9.14430840295167</v>
      </c>
      <c r="F857" s="21" t="n">
        <f aca="false">F856*fx/1000</f>
        <v>14.1786347524944</v>
      </c>
      <c r="G857" s="21" t="n">
        <f aca="false">G856*fx/1000</f>
        <v>18.0730599895196</v>
      </c>
    </row>
    <row r="858" customFormat="false" ht="17.15" hidden="false" customHeight="false" outlineLevel="0" collapsed="false">
      <c r="A858" s="5" t="s">
        <v>623</v>
      </c>
    </row>
    <row r="859" customFormat="false" ht="17.15" hidden="false" customHeight="false" outlineLevel="0" collapsed="false">
      <c r="A859" s="0" t="s">
        <v>624</v>
      </c>
      <c r="B859" s="0" t="s">
        <v>329</v>
      </c>
      <c r="D859" s="21" t="n">
        <f aca="false">a26_abf*ai_abf</f>
        <v>22.2987583</v>
      </c>
      <c r="K859" s="3" t="s">
        <v>625</v>
      </c>
    </row>
    <row r="860" customFormat="false" ht="17.15" hidden="false" customHeight="false" outlineLevel="0" collapsed="false">
      <c r="A860" s="3" t="s">
        <v>626</v>
      </c>
      <c r="B860" s="0" t="s">
        <v>329</v>
      </c>
      <c r="D860" s="21" t="n">
        <f aca="false">D859-D857</f>
        <v>19.10788490728</v>
      </c>
      <c r="E860" s="21" t="n">
        <f aca="false">$D860*(swm_27/swm_26)^el_o*1*1*E851*E852</f>
        <v>30.7354094978265</v>
      </c>
      <c r="F860" s="21" t="n">
        <f aca="false">$D860*(swm_28/swm_26)^el_o*um28_A*1*F851*F852</f>
        <v>31.4104002135205</v>
      </c>
      <c r="G860" s="21" t="n">
        <f aca="false">$D860*(swm_29/swm_26)^el_o*um29_A*1*G851*G852</f>
        <v>31.7452412889375</v>
      </c>
      <c r="K860" s="7" t="s">
        <v>627</v>
      </c>
    </row>
    <row r="861" customFormat="false" ht="17.15" hidden="false" customHeight="false" outlineLevel="0" collapsed="false">
      <c r="A861" s="3" t="s">
        <v>628</v>
      </c>
      <c r="B861" s="0" t="s">
        <v>329</v>
      </c>
      <c r="D861" s="21" t="n">
        <f aca="false">a26_abf-D859</f>
        <v>12.0070237</v>
      </c>
      <c r="E861" s="21" t="n">
        <f aca="false">D861*(1+g_nai)</f>
        <v>12.367234411</v>
      </c>
      <c r="F861" s="21" t="n">
        <f aca="false">E861*(1+g_nai)</f>
        <v>12.73825144333</v>
      </c>
      <c r="G861" s="21" t="n">
        <f aca="false">F861*(1+g_nai)</f>
        <v>13.1203989866299</v>
      </c>
    </row>
    <row r="862" customFormat="false" ht="17.15" hidden="false" customHeight="false" outlineLevel="0" collapsed="false">
      <c r="A862" s="0" t="s">
        <v>629</v>
      </c>
      <c r="B862" s="0" t="s">
        <v>329</v>
      </c>
      <c r="D862" s="21" t="n">
        <f aca="false">D857+D860+D861</f>
        <v>34.305782</v>
      </c>
      <c r="E862" s="21" t="n">
        <f aca="false">E857+E860+E861</f>
        <v>52.2469523117781</v>
      </c>
      <c r="F862" s="21" t="n">
        <f aca="false">F857+F860+F861</f>
        <v>58.3272864093449</v>
      </c>
      <c r="G862" s="21" t="n">
        <f aca="false">G857+G860+G861</f>
        <v>62.9387002650869</v>
      </c>
    </row>
    <row r="863" customFormat="false" ht="17.15" hidden="false" customHeight="false" outlineLevel="0" collapsed="false">
      <c r="A863" s="0" t="s">
        <v>630</v>
      </c>
      <c r="B863" s="0" t="s">
        <v>329</v>
      </c>
      <c r="D863" s="21" t="n">
        <f aca="false">a26_abf</f>
        <v>34.305782</v>
      </c>
      <c r="E863" s="21" t="n">
        <f aca="false">$D862*cap_27*(1+g_mix)^1*E851*E852</f>
        <v>49.709078118</v>
      </c>
      <c r="F863" s="21" t="n">
        <f aca="false">$D862*cap_28*(1+g_mix)^2*F851*F852</f>
        <v>55.7829061005431</v>
      </c>
      <c r="G863" s="21" t="n">
        <f aca="false">$D862*cap_29*(1+g_mix)^3*G851*G852</f>
        <v>65.765110350114</v>
      </c>
      <c r="K863" s="7" t="s">
        <v>631</v>
      </c>
    </row>
    <row r="864" customFormat="false" ht="17.15" hidden="false" customHeight="false" outlineLevel="0" collapsed="false">
      <c r="A864" s="0" t="s">
        <v>632</v>
      </c>
      <c r="B864" s="0" t="s">
        <v>329</v>
      </c>
      <c r="D864" s="21" t="n">
        <f aca="false">a26_abf</f>
        <v>34.305782</v>
      </c>
      <c r="E864" s="21" t="n">
        <f aca="false">MIN(E862,E863)</f>
        <v>49.709078118</v>
      </c>
      <c r="F864" s="21" t="n">
        <f aca="false">MIN(F862,F863)</f>
        <v>55.7829061005431</v>
      </c>
      <c r="G864" s="21" t="n">
        <f aca="false">MIN(G862,G863)</f>
        <v>62.9387002650869</v>
      </c>
    </row>
    <row r="865" customFormat="false" ht="17.15" hidden="false" customHeight="false" outlineLevel="0" collapsed="false">
      <c r="A865" s="3" t="s">
        <v>633</v>
      </c>
      <c r="B865" s="0" t="s">
        <v>40</v>
      </c>
      <c r="D865" s="20" t="n">
        <f aca="false">D864/D862</f>
        <v>1</v>
      </c>
      <c r="E865" s="20" t="n">
        <f aca="false">E864/E862</f>
        <v>0.951425411789885</v>
      </c>
      <c r="F865" s="20" t="n">
        <f aca="false">F864/F862</f>
        <v>0.956377529876066</v>
      </c>
      <c r="G865" s="20" t="n">
        <f aca="false">G864/G862</f>
        <v>1</v>
      </c>
    </row>
    <row r="866" customFormat="false" ht="17.15" hidden="false" customHeight="false" outlineLevel="0" collapsed="false">
      <c r="A866" s="0" t="s">
        <v>634</v>
      </c>
      <c r="B866" s="0" t="s">
        <v>329</v>
      </c>
      <c r="D866" s="21" t="n">
        <f aca="false">(D857+D860)*D865</f>
        <v>22.2987583</v>
      </c>
      <c r="E866" s="21" t="n">
        <f aca="false">(E857+E860)*E865</f>
        <v>37.9425770258123</v>
      </c>
      <c r="F866" s="21" t="n">
        <f aca="false">(F857+F860)*F865</f>
        <v>43.6003286502309</v>
      </c>
      <c r="G866" s="21" t="n">
        <f aca="false">(G857+G860)*G865</f>
        <v>49.818301278457</v>
      </c>
    </row>
    <row r="867" customFormat="false" ht="17.15" hidden="false" customHeight="false" outlineLevel="0" collapsed="false">
      <c r="A867" s="3" t="s">
        <v>635</v>
      </c>
      <c r="B867" s="0" t="s">
        <v>40</v>
      </c>
      <c r="D867" s="20" t="n">
        <f aca="false">D857/(D857+D860)</f>
        <v>0.14309646078903</v>
      </c>
      <c r="E867" s="20" t="n">
        <f aca="false">E857/(E857+E860)</f>
        <v>0.229297218844501</v>
      </c>
      <c r="F867" s="20" t="n">
        <f aca="false">F857/(F857+F860)</f>
        <v>0.311009758444419</v>
      </c>
      <c r="G867" s="20" t="n">
        <f aca="false">G857/(G857+G860)</f>
        <v>0.362779531331288</v>
      </c>
    </row>
    <row r="868" customFormat="false" ht="17.15" hidden="false" customHeight="false" outlineLevel="0" collapsed="false">
      <c r="A868" s="5" t="s">
        <v>636</v>
      </c>
    </row>
    <row r="869" customFormat="false" ht="17.15" hidden="false" customHeight="false" outlineLevel="0" collapsed="false">
      <c r="A869" s="0" t="s">
        <v>637</v>
      </c>
      <c r="B869" s="0" t="s">
        <v>329</v>
      </c>
      <c r="D869" s="21" t="n">
        <f aca="false">a26_bt</f>
        <v>18.927328</v>
      </c>
      <c r="E869" s="21" t="n">
        <f aca="false">D869*(1+g_bt27_A)</f>
        <v>24.6055264</v>
      </c>
      <c r="F869" s="21" t="n">
        <f aca="false">E869*(1+g_bt28_A)</f>
        <v>27.06607904</v>
      </c>
      <c r="G869" s="21" t="n">
        <f aca="false">F869*(1+g_bt29_A)</f>
        <v>28.419382992</v>
      </c>
      <c r="K869" s="7" t="s">
        <v>638</v>
      </c>
    </row>
    <row r="870" customFormat="false" ht="17.15" hidden="false" customHeight="false" outlineLevel="0" collapsed="false">
      <c r="A870" s="0" t="s">
        <v>536</v>
      </c>
      <c r="B870" s="0" t="s">
        <v>329</v>
      </c>
      <c r="D870" s="21" t="n">
        <f aca="false">a26_pcb</f>
        <v>5.91479</v>
      </c>
      <c r="E870" s="21" t="n">
        <f aca="false">D870*(1+g_pcb)</f>
        <v>5.91479</v>
      </c>
      <c r="F870" s="21" t="n">
        <f aca="false">E870*(1+g_pcb)</f>
        <v>5.91479</v>
      </c>
      <c r="G870" s="21" t="n">
        <f aca="false">F870*(1+g_pcb)</f>
        <v>5.91479</v>
      </c>
    </row>
    <row r="871" customFormat="false" ht="17.15" hidden="false" customHeight="false" outlineLevel="0" collapsed="false">
      <c r="A871" s="3" t="s">
        <v>501</v>
      </c>
      <c r="B871" s="0" t="s">
        <v>329</v>
      </c>
      <c r="C871" s="23" t="n">
        <f aca="false">a25_rev</f>
        <v>40.173</v>
      </c>
      <c r="D871" s="23" t="n">
        <f aca="false">D864+D869+D870</f>
        <v>59.1479</v>
      </c>
      <c r="E871" s="23" t="n">
        <f aca="false">E864+E869+E870</f>
        <v>80.229394518</v>
      </c>
      <c r="F871" s="23" t="n">
        <f aca="false">F864+F869+F870</f>
        <v>88.7637751405431</v>
      </c>
      <c r="G871" s="23" t="n">
        <f aca="false">G864+G869+G870</f>
        <v>97.2728732570869</v>
      </c>
      <c r="H871" s="25" t="n">
        <f aca="false">G871*(1+H872)</f>
        <v>105.434863846709</v>
      </c>
      <c r="I871" s="25" t="n">
        <f aca="false">H871*(1+I872)</f>
        <v>113.021333979572</v>
      </c>
      <c r="J871" s="25" t="n">
        <f aca="false">I871*(1+J872)</f>
        <v>119.802614018346</v>
      </c>
      <c r="K871" s="7" t="s">
        <v>639</v>
      </c>
    </row>
    <row r="872" customFormat="false" ht="15" hidden="false" customHeight="false" outlineLevel="0" collapsed="false">
      <c r="A872" s="3" t="s">
        <v>640</v>
      </c>
      <c r="B872" s="0" t="s">
        <v>40</v>
      </c>
      <c r="D872" s="20" t="n">
        <f aca="false">D871/C871-1</f>
        <v>0.472329674159261</v>
      </c>
      <c r="E872" s="20" t="n">
        <f aca="false">E871/D871-1</f>
        <v>0.35642</v>
      </c>
      <c r="F872" s="20" t="n">
        <f aca="false">F871/E871-1</f>
        <v>0.106374735517023</v>
      </c>
      <c r="G872" s="20" t="n">
        <f aca="false">G871/F871-1</f>
        <v>0.0958622828183122</v>
      </c>
      <c r="H872" s="26" t="n">
        <f aca="false">$G872+(fade_gA-$G872)*1/3</f>
        <v>0.0839081885455415</v>
      </c>
      <c r="I872" s="26" t="n">
        <f aca="false">$G872+(fade_gA-$G872)*2/3</f>
        <v>0.0719540942727707</v>
      </c>
      <c r="J872" s="26" t="n">
        <f aca="false">$G872+(fade_gA-$G872)*3/3</f>
        <v>0.06</v>
      </c>
    </row>
    <row r="873" customFormat="false" ht="17.15" hidden="false" customHeight="false" outlineLevel="0" collapsed="false">
      <c r="A873" s="0" t="s">
        <v>641</v>
      </c>
      <c r="B873" s="0" t="s">
        <v>40</v>
      </c>
      <c r="D873" s="20" t="n">
        <f aca="false">D864/D871</f>
        <v>0.58</v>
      </c>
      <c r="E873" s="20" t="n">
        <f aca="false">E864/E871</f>
        <v>0.619586853629407</v>
      </c>
      <c r="F873" s="20" t="n">
        <f aca="false">F864/F871</f>
        <v>0.62844224473576</v>
      </c>
      <c r="G873" s="20" t="n">
        <f aca="false">G864/G871</f>
        <v>0.647032396161912</v>
      </c>
    </row>
    <row r="874" customFormat="false" ht="17.15" hidden="false" customHeight="false" outlineLevel="0" collapsed="false">
      <c r="A874" s="0" t="s">
        <v>642</v>
      </c>
      <c r="B874" s="0" t="s">
        <v>40</v>
      </c>
      <c r="D874" s="20" t="n">
        <f aca="false">D866/D871</f>
        <v>0.377</v>
      </c>
      <c r="E874" s="20" t="n">
        <f aca="false">E866/E871</f>
        <v>0.472926129553422</v>
      </c>
      <c r="F874" s="20" t="n">
        <f aca="false">F866/F871</f>
        <v>0.491195068947855</v>
      </c>
      <c r="G874" s="20" t="n">
        <f aca="false">G866/G871</f>
        <v>0.512149992185282</v>
      </c>
      <c r="K874" s="3" t="s">
        <v>643</v>
      </c>
    </row>
    <row r="875" customFormat="false" ht="17.15" hidden="false" customHeight="false" outlineLevel="0" collapsed="false">
      <c r="A875" s="5" t="s">
        <v>644</v>
      </c>
    </row>
    <row r="876" customFormat="false" ht="15" hidden="false" customHeight="false" outlineLevel="0" collapsed="false">
      <c r="A876" s="3" t="s">
        <v>645</v>
      </c>
      <c r="B876" s="0" t="s">
        <v>329</v>
      </c>
      <c r="C876" s="23" t="n">
        <f aca="false">a25_cx</f>
        <v>2.422</v>
      </c>
      <c r="D876" s="23" t="n">
        <f aca="false">capex26</f>
        <v>4</v>
      </c>
      <c r="E876" s="23" t="n">
        <f aca="false">cx27_lo</f>
        <v>6</v>
      </c>
      <c r="F876" s="23" t="n">
        <f aca="false">cx28_lo</f>
        <v>6</v>
      </c>
      <c r="G876" s="23" t="n">
        <f aca="false">cx29_lo</f>
        <v>6</v>
      </c>
      <c r="H876" s="25" t="n">
        <f aca="false">H871*H893</f>
        <v>7.10224277263603</v>
      </c>
      <c r="I876" s="25" t="n">
        <f aca="false">I871*I893</f>
        <v>8.25515751412972</v>
      </c>
      <c r="J876" s="25" t="n">
        <f aca="false">J871*J893</f>
        <v>9.43085901818983</v>
      </c>
    </row>
    <row r="877" customFormat="false" ht="17.15" hidden="false" customHeight="false" outlineLevel="0" collapsed="false">
      <c r="A877" s="3" t="s">
        <v>646</v>
      </c>
      <c r="B877" s="0" t="s">
        <v>329</v>
      </c>
      <c r="C877" s="23" t="n">
        <f aca="false">a25_da</f>
        <v>6.894</v>
      </c>
      <c r="D877" s="23" t="n">
        <f aca="false">da26</f>
        <v>7.1</v>
      </c>
      <c r="E877" s="23" t="n">
        <f aca="false">D877*(1-1/life)+D876/life</f>
        <v>6.7125</v>
      </c>
      <c r="F877" s="23" t="n">
        <f aca="false">E877*(1-1/life)+E876/life</f>
        <v>6.6234375</v>
      </c>
      <c r="G877" s="23" t="n">
        <f aca="false">F877*(1-1/life)+F876/life</f>
        <v>6.5455078125</v>
      </c>
      <c r="H877" s="25" t="n">
        <f aca="false">H871*H878</f>
        <v>7.09472951615757</v>
      </c>
      <c r="I877" s="25" t="n">
        <f aca="false">I871*I878</f>
        <v>7.60522435260298</v>
      </c>
      <c r="J877" s="25" t="n">
        <f aca="false">J871*J878</f>
        <v>8.06153781375915</v>
      </c>
      <c r="K877" s="3" t="s">
        <v>647</v>
      </c>
    </row>
    <row r="878" customFormat="false" ht="17.15" hidden="false" customHeight="false" outlineLevel="0" collapsed="false">
      <c r="A878" s="3" t="s">
        <v>648</v>
      </c>
      <c r="B878" s="0" t="s">
        <v>40</v>
      </c>
      <c r="C878" s="20" t="n">
        <f aca="false">C877/C871</f>
        <v>0.171607796281084</v>
      </c>
      <c r="D878" s="20" t="n">
        <f aca="false">D877/D871</f>
        <v>0.120038074048276</v>
      </c>
      <c r="E878" s="20" t="n">
        <f aca="false">E877/E871</f>
        <v>0.0836663424961285</v>
      </c>
      <c r="F878" s="20" t="n">
        <f aca="false">F877/F871</f>
        <v>0.0746186999089759</v>
      </c>
      <c r="G878" s="20" t="n">
        <f aca="false">G877/G871</f>
        <v>0.0672901662439905</v>
      </c>
      <c r="H878" s="26" t="n">
        <f aca="false">$G878</f>
        <v>0.0672901662439905</v>
      </c>
      <c r="I878" s="26" t="n">
        <f aca="false">$G878</f>
        <v>0.0672901662439905</v>
      </c>
      <c r="J878" s="26" t="n">
        <f aca="false">$G878</f>
        <v>0.0672901662439905</v>
      </c>
    </row>
    <row r="879" customFormat="false" ht="17.15" hidden="false" customHeight="false" outlineLevel="0" collapsed="false">
      <c r="A879" s="3" t="s">
        <v>649</v>
      </c>
      <c r="B879" s="0" t="s">
        <v>329</v>
      </c>
      <c r="E879" s="21" t="n">
        <f aca="false">E866*(1-1/(E851*E852))</f>
        <v>4.94903178597551</v>
      </c>
      <c r="F879" s="21" t="n">
        <f aca="false">F866*(1-1/(F851*F852))</f>
        <v>3.69156100699895</v>
      </c>
      <c r="G879" s="21" t="n">
        <f aca="false">G866*(1-1/(G851*G852))</f>
        <v>1.68467685482705</v>
      </c>
      <c r="K879" s="7" t="s">
        <v>650</v>
      </c>
    </row>
    <row r="880" customFormat="false" ht="17.15" hidden="false" customHeight="false" outlineLevel="0" collapsed="false">
      <c r="A880" s="3" t="s">
        <v>651</v>
      </c>
      <c r="B880" s="0" t="s">
        <v>329</v>
      </c>
      <c r="C880" s="21" t="n">
        <f aca="false">a25_gp</f>
        <v>3.647</v>
      </c>
      <c r="D880" s="21" t="n">
        <f aca="false">a26_gp</f>
        <v>15.9001925</v>
      </c>
      <c r="E880" s="21" t="n">
        <f aca="false">$D880+ft_abf*(E864-E879-$D864)+ft_oth*((E871-E864)-($D871-$D864))+E879-(E877-$D877)</f>
        <v>28.7351358119878</v>
      </c>
      <c r="F880" s="21" t="n">
        <f aca="false">$D880+ft_abf*(F864-F879-$D864)+ft_oth*((F871-F864)-($D871-$D864))+F879-(F877-$D877)</f>
        <v>32.216597969771</v>
      </c>
      <c r="G880" s="21" t="n">
        <f aca="false">$D880+ft_abf*(G864-G879-$D864)+ft_oth*((G871-G864)-($D871-$D864))+G879-(G877-$D877)</f>
        <v>35.410304244257</v>
      </c>
      <c r="K880" s="3" t="s">
        <v>652</v>
      </c>
    </row>
    <row r="881" customFormat="false" ht="15" hidden="false" customHeight="false" outlineLevel="0" collapsed="false">
      <c r="A881" s="3" t="s">
        <v>508</v>
      </c>
      <c r="B881" s="0" t="s">
        <v>40</v>
      </c>
      <c r="C881" s="16" t="n">
        <f aca="false">C880/C871</f>
        <v>0.0907823662659</v>
      </c>
      <c r="D881" s="16" t="n">
        <f aca="false">D880/D871</f>
        <v>0.268820913337583</v>
      </c>
      <c r="E881" s="16" t="n">
        <f aca="false">E880/E871</f>
        <v>0.358162192107044</v>
      </c>
      <c r="F881" s="16" t="n">
        <f aca="false">F880/F871</f>
        <v>0.362947586656395</v>
      </c>
      <c r="G881" s="16" t="n">
        <f aca="false">G880/G871</f>
        <v>0.364030618800264</v>
      </c>
    </row>
    <row r="882" customFormat="false" ht="15" hidden="false" customHeight="false" outlineLevel="0" collapsed="false">
      <c r="A882" s="3" t="s">
        <v>510</v>
      </c>
      <c r="B882" s="0" t="s">
        <v>329</v>
      </c>
      <c r="C882" s="21" t="n">
        <f aca="false">a25_opx</f>
        <v>1.665</v>
      </c>
      <c r="D882" s="21" t="n">
        <f aca="false">a26_opx</f>
        <v>1.9</v>
      </c>
      <c r="E882" s="21" t="n">
        <f aca="false">D882*(1+phi*E872)</f>
        <v>2.3063188</v>
      </c>
      <c r="F882" s="21" t="n">
        <f aca="false">E882*(1+phi*F872)</f>
        <v>2.45351923142076</v>
      </c>
      <c r="G882" s="21" t="n">
        <f aca="false">F882*(1+phi*G872)</f>
        <v>2.59463920409834</v>
      </c>
    </row>
    <row r="883" customFormat="false" ht="15" hidden="false" customHeight="false" outlineLevel="0" collapsed="false">
      <c r="A883" s="3" t="s">
        <v>513</v>
      </c>
      <c r="B883" s="0" t="s">
        <v>329</v>
      </c>
      <c r="C883" s="21" t="n">
        <f aca="false">C880-C882</f>
        <v>1.982</v>
      </c>
      <c r="D883" s="21" t="n">
        <f aca="false">D880-D882</f>
        <v>14.0001925</v>
      </c>
      <c r="E883" s="21" t="n">
        <f aca="false">E880-E882</f>
        <v>26.4288170119878</v>
      </c>
      <c r="F883" s="21" t="n">
        <f aca="false">F880-F882</f>
        <v>29.7630787383503</v>
      </c>
      <c r="G883" s="21" t="n">
        <f aca="false">G880-G882</f>
        <v>32.8156650401587</v>
      </c>
    </row>
    <row r="884" customFormat="false" ht="15" hidden="false" customHeight="false" outlineLevel="0" collapsed="false">
      <c r="A884" s="3" t="s">
        <v>594</v>
      </c>
      <c r="B884" s="0" t="s">
        <v>40</v>
      </c>
      <c r="C884" s="16" t="n">
        <f aca="false">C883/C871</f>
        <v>0.0493366191222961</v>
      </c>
      <c r="D884" s="16" t="n">
        <f aca="false">D883/D871</f>
        <v>0.236698048451424</v>
      </c>
      <c r="E884" s="16" t="n">
        <f aca="false">E883/E871</f>
        <v>0.329415635887147</v>
      </c>
      <c r="F884" s="16" t="n">
        <f aca="false">F883/F871</f>
        <v>0.33530658977973</v>
      </c>
      <c r="G884" s="16" t="n">
        <f aca="false">G883/G871</f>
        <v>0.337356797854923</v>
      </c>
    </row>
    <row r="885" customFormat="false" ht="15" hidden="false" customHeight="false" outlineLevel="0" collapsed="false">
      <c r="A885" s="3" t="s">
        <v>516</v>
      </c>
      <c r="B885" s="0" t="s">
        <v>329</v>
      </c>
      <c r="C885" s="21" t="n">
        <f aca="false">a25_nonop</f>
        <v>0.364</v>
      </c>
      <c r="D885" s="21" t="n">
        <f aca="false">a26_nonop</f>
        <v>0.623</v>
      </c>
      <c r="E885" s="21" t="n">
        <f aca="false">nonop27</f>
        <v>0.6</v>
      </c>
      <c r="F885" s="21" t="n">
        <f aca="false">nonop28</f>
        <v>0.6</v>
      </c>
      <c r="G885" s="21" t="n">
        <f aca="false">nonop29</f>
        <v>0.6</v>
      </c>
    </row>
    <row r="886" customFormat="false" ht="15" hidden="false" customHeight="false" outlineLevel="0" collapsed="false">
      <c r="A886" s="3" t="s">
        <v>518</v>
      </c>
      <c r="B886" s="0" t="s">
        <v>329</v>
      </c>
      <c r="C886" s="21" t="n">
        <f aca="false">C883+C885</f>
        <v>2.346</v>
      </c>
      <c r="D886" s="21" t="n">
        <f aca="false">D883+D885</f>
        <v>14.6231925</v>
      </c>
      <c r="E886" s="21" t="n">
        <f aca="false">E883+E885</f>
        <v>27.0288170119878</v>
      </c>
      <c r="F886" s="21" t="n">
        <f aca="false">F883+F885</f>
        <v>30.3630787383503</v>
      </c>
      <c r="G886" s="21" t="n">
        <f aca="false">G883+G885</f>
        <v>33.4156650401587</v>
      </c>
    </row>
    <row r="887" customFormat="false" ht="15" hidden="false" customHeight="false" outlineLevel="0" collapsed="false">
      <c r="A887" s="3" t="s">
        <v>521</v>
      </c>
      <c r="B887" s="0" t="s">
        <v>329</v>
      </c>
      <c r="E887" s="21" t="n">
        <f aca="false">E886*tax</f>
        <v>5.67605157251743</v>
      </c>
      <c r="F887" s="21" t="n">
        <f aca="false">F886*tax</f>
        <v>6.37624653505356</v>
      </c>
      <c r="G887" s="21" t="n">
        <f aca="false">G886*tax</f>
        <v>7.01728965843332</v>
      </c>
    </row>
    <row r="888" customFormat="false" ht="15" hidden="false" customHeight="false" outlineLevel="0" collapsed="false">
      <c r="A888" s="3" t="s">
        <v>519</v>
      </c>
      <c r="B888" s="0" t="s">
        <v>329</v>
      </c>
      <c r="C888" s="21" t="n">
        <f aca="false">a25_ni</f>
        <v>1.947</v>
      </c>
      <c r="D888" s="21" t="n">
        <f aca="false">a26_ni</f>
        <v>11.509862075</v>
      </c>
      <c r="E888" s="21" t="n">
        <f aca="false">E886-E887</f>
        <v>21.3527654394703</v>
      </c>
      <c r="F888" s="21" t="n">
        <f aca="false">F886-F887</f>
        <v>23.9868322032967</v>
      </c>
      <c r="G888" s="21" t="n">
        <f aca="false">G886-G887</f>
        <v>26.3983753817253</v>
      </c>
      <c r="H888" s="30" t="n">
        <f aca="false">H871*H892</f>
        <v>27.9355209942983</v>
      </c>
      <c r="I888" s="30" t="n">
        <f aca="false">I871*I892</f>
        <v>29.2189245927263</v>
      </c>
      <c r="J888" s="30" t="n">
        <f aca="false">J871*J892</f>
        <v>30.2017882647699</v>
      </c>
    </row>
    <row r="889" customFormat="false" ht="15" hidden="false" customHeight="false" outlineLevel="0" collapsed="false">
      <c r="A889" s="3" t="s">
        <v>653</v>
      </c>
      <c r="B889" s="3" t="s">
        <v>396</v>
      </c>
      <c r="C889" s="29" t="n">
        <f aca="false">a25_sh</f>
        <v>0.646843853820598</v>
      </c>
      <c r="D889" s="29" t="n">
        <f aca="false">a26_sh</f>
        <v>0.645863325123153</v>
      </c>
      <c r="E889" s="29" t="n">
        <f aca="false">a26_shend*(1+sh_g)</f>
        <v>0.64617</v>
      </c>
      <c r="F889" s="29" t="n">
        <f aca="false">E889*(1+sh_g)</f>
        <v>0.64617</v>
      </c>
      <c r="G889" s="29" t="n">
        <f aca="false">F889*(1+sh_g)</f>
        <v>0.64617</v>
      </c>
      <c r="H889" s="31" t="n">
        <f aca="false">G889*(1+sh_g)</f>
        <v>0.64617</v>
      </c>
      <c r="I889" s="31" t="n">
        <f aca="false">H889*(1+sh_g)</f>
        <v>0.64617</v>
      </c>
      <c r="J889" s="31" t="n">
        <f aca="false">I889*(1+sh_g)</f>
        <v>0.64617</v>
      </c>
    </row>
    <row r="890" customFormat="false" ht="17.15" hidden="false" customHeight="false" outlineLevel="0" collapsed="false">
      <c r="A890" s="0" t="s">
        <v>524</v>
      </c>
      <c r="B890" s="0" t="s">
        <v>402</v>
      </c>
      <c r="C890" s="18" t="n">
        <f aca="false">C888/C889</f>
        <v>3.01</v>
      </c>
      <c r="D890" s="18" t="n">
        <f aca="false">D888/D889</f>
        <v>17.820894339844</v>
      </c>
      <c r="E890" s="18" t="n">
        <f aca="false">E888/E889</f>
        <v>33.0451203854564</v>
      </c>
      <c r="F890" s="18" t="n">
        <f aca="false">F888/F889</f>
        <v>37.1215503711047</v>
      </c>
      <c r="G890" s="18" t="n">
        <f aca="false">G888/G889</f>
        <v>40.8536072267752</v>
      </c>
      <c r="H890" s="28" t="n">
        <f aca="false">H888/H889</f>
        <v>43.2324635843482</v>
      </c>
      <c r="I890" s="28" t="n">
        <f aca="false">I888/I889</f>
        <v>45.2186337848032</v>
      </c>
      <c r="J890" s="28" t="n">
        <f aca="false">J888/J889</f>
        <v>46.7396942983578</v>
      </c>
    </row>
    <row r="891" customFormat="false" ht="17.15" hidden="false" customHeight="false" outlineLevel="0" collapsed="false">
      <c r="A891" s="0" t="s">
        <v>654</v>
      </c>
      <c r="B891" s="0" t="s">
        <v>40</v>
      </c>
      <c r="D891" s="20" t="n">
        <f aca="false">D890/C890-1</f>
        <v>4.92056290360265</v>
      </c>
      <c r="E891" s="20" t="n">
        <f aca="false">E890/D890-1</f>
        <v>0.85429079794127</v>
      </c>
      <c r="F891" s="20" t="n">
        <f aca="false">F890/E890-1</f>
        <v>0.123359513843455</v>
      </c>
      <c r="G891" s="20" t="n">
        <f aca="false">G890/F890-1</f>
        <v>0.100536125737236</v>
      </c>
      <c r="H891" s="26" t="n">
        <f aca="false">H890/G890-1</f>
        <v>0.0582287959143519</v>
      </c>
      <c r="I891" s="26" t="n">
        <f aca="false">I890/H890-1</f>
        <v>0.0459416381992639</v>
      </c>
      <c r="J891" s="26" t="n">
        <f aca="false">J890/I890-1</f>
        <v>0.0336379139801835</v>
      </c>
    </row>
    <row r="892" customFormat="false" ht="17.15" hidden="false" customHeight="false" outlineLevel="0" collapsed="false">
      <c r="A892" s="3" t="s">
        <v>655</v>
      </c>
      <c r="B892" s="0" t="s">
        <v>40</v>
      </c>
      <c r="C892" s="16" t="n">
        <f aca="false">C888/C871</f>
        <v>0.0484653872003585</v>
      </c>
      <c r="D892" s="16" t="n">
        <f aca="false">D888/D871</f>
        <v>0.194594602259759</v>
      </c>
      <c r="E892" s="16" t="n">
        <f aca="false">E888/E871</f>
        <v>0.266146411396383</v>
      </c>
      <c r="F892" s="16" t="n">
        <f aca="false">F888/F871</f>
        <v>0.270232222157265</v>
      </c>
      <c r="G892" s="16" t="n">
        <f aca="false">G888/G871</f>
        <v>0.271384760188546</v>
      </c>
      <c r="H892" s="27" t="n">
        <f aca="false">$G892+(fade_mA-$G892)*1/3</f>
        <v>0.264955252703826</v>
      </c>
      <c r="I892" s="27" t="n">
        <f aca="false">$G892+(fade_mA-$G892)*2/3</f>
        <v>0.258525745219106</v>
      </c>
      <c r="J892" s="27" t="n">
        <f aca="false">$G892+(fade_mA-$G892)*3/3</f>
        <v>0.252096237734386</v>
      </c>
    </row>
    <row r="893" customFormat="false" ht="17.15" hidden="false" customHeight="false" outlineLevel="0" collapsed="false">
      <c r="A893" s="3" t="s">
        <v>656</v>
      </c>
      <c r="B893" s="0" t="s">
        <v>40</v>
      </c>
      <c r="C893" s="20" t="n">
        <f aca="false">C876/C871</f>
        <v>0.0602892489980833</v>
      </c>
      <c r="D893" s="20" t="n">
        <f aca="false">D876/D871</f>
        <v>0.0676270839708595</v>
      </c>
      <c r="E893" s="20" t="n">
        <f aca="false">E876/E871</f>
        <v>0.0747855575384389</v>
      </c>
      <c r="F893" s="20" t="n">
        <f aca="false">F876/F871</f>
        <v>0.0675951421680744</v>
      </c>
      <c r="G893" s="20" t="n">
        <f aca="false">G876/G871</f>
        <v>0.0616821504196995</v>
      </c>
      <c r="H893" s="26" t="n">
        <f aca="false">$G893+($G878*(1+tp_g)^(life/2)-$G893)*1/3</f>
        <v>0.0673614259412514</v>
      </c>
      <c r="I893" s="26" t="n">
        <f aca="false">$G893+($G878*(1+tp_g)^(life/2)-$G893)*2/3</f>
        <v>0.0730407014628034</v>
      </c>
      <c r="J893" s="26" t="n">
        <f aca="false">$G893+($G878*(1+tp_g)^(life/2)-$G893)*3/3</f>
        <v>0.0787199769843554</v>
      </c>
      <c r="K893" s="7" t="s">
        <v>657</v>
      </c>
    </row>
    <row r="894" customFormat="false" ht="15" hidden="false" customHeight="false" outlineLevel="0" collapsed="false">
      <c r="A894" s="3" t="s">
        <v>658</v>
      </c>
      <c r="B894" s="0" t="s">
        <v>329</v>
      </c>
      <c r="E894" s="21" t="n">
        <f aca="false">E888+E877-E876</f>
        <v>22.0652654394703</v>
      </c>
      <c r="F894" s="21" t="n">
        <f aca="false">F888+F877-F876</f>
        <v>24.6102697032967</v>
      </c>
      <c r="G894" s="21" t="n">
        <f aca="false">G888+G877-G876</f>
        <v>26.9438831942253</v>
      </c>
      <c r="H894" s="30" t="n">
        <f aca="false">H888+H877-H876</f>
        <v>27.9280077378198</v>
      </c>
      <c r="I894" s="30" t="n">
        <f aca="false">I888+I877-I876</f>
        <v>28.5689914311995</v>
      </c>
      <c r="J894" s="30" t="n">
        <f aca="false">J888+J877-J876</f>
        <v>28.8324670603392</v>
      </c>
      <c r="K894" s="3" t="s">
        <v>659</v>
      </c>
    </row>
    <row r="895" customFormat="false" ht="15" hidden="false" customHeight="false" outlineLevel="0" collapsed="false">
      <c r="A895" s="3" t="s">
        <v>660</v>
      </c>
      <c r="B895" s="0" t="s">
        <v>402</v>
      </c>
      <c r="E895" s="18" t="n">
        <f aca="false">E894/E889</f>
        <v>34.1477713906098</v>
      </c>
      <c r="F895" s="18" t="n">
        <f aca="false">F894/F889</f>
        <v>38.086370000614</v>
      </c>
      <c r="G895" s="18" t="n">
        <f aca="false">G894/G889</f>
        <v>41.6978244025958</v>
      </c>
      <c r="H895" s="28" t="n">
        <f aca="false">H894/H889</f>
        <v>43.2208362161967</v>
      </c>
      <c r="I895" s="28" t="n">
        <f aca="false">I894/I889</f>
        <v>44.21280998994</v>
      </c>
      <c r="J895" s="28" t="n">
        <f aca="false">J894/J889</f>
        <v>44.6205596984372</v>
      </c>
    </row>
    <row r="898" customFormat="false" ht="17.15" hidden="false" customHeight="false" outlineLevel="0" collapsed="false">
      <c r="A898" s="1" t="s">
        <v>974</v>
      </c>
    </row>
    <row r="899" customFormat="false" ht="17.15" hidden="false" customHeight="false" outlineLevel="0" collapsed="false">
      <c r="A899" s="4" t="s">
        <v>17</v>
      </c>
      <c r="B899" s="4" t="s">
        <v>18</v>
      </c>
      <c r="C899" s="13" t="s">
        <v>494</v>
      </c>
      <c r="D899" s="13" t="s">
        <v>581</v>
      </c>
      <c r="E899" s="13" t="s">
        <v>582</v>
      </c>
      <c r="F899" s="13" t="s">
        <v>583</v>
      </c>
      <c r="G899" s="13" t="s">
        <v>584</v>
      </c>
      <c r="H899" s="13" t="s">
        <v>585</v>
      </c>
      <c r="I899" s="13" t="s">
        <v>586</v>
      </c>
      <c r="J899" s="13" t="s">
        <v>587</v>
      </c>
      <c r="K899" s="4" t="s">
        <v>549</v>
      </c>
    </row>
    <row r="900" customFormat="false" ht="17.15" hidden="false" customHeight="false" outlineLevel="0" collapsed="false">
      <c r="A900" s="5" t="s">
        <v>605</v>
      </c>
    </row>
    <row r="901" customFormat="false" ht="17.15" hidden="false" customHeight="false" outlineLevel="0" collapsed="false">
      <c r="A901" s="0" t="s">
        <v>606</v>
      </c>
      <c r="B901" s="3" t="s">
        <v>28</v>
      </c>
      <c r="D901" s="21" t="n">
        <f aca="false">(u_bw_26+u_rb_26+u_ru_26+u_hp_26)*1</f>
        <v>7.6</v>
      </c>
      <c r="E901" s="21" t="n">
        <f aca="false">(u_bw_27+u_rb_27+u_ru_27+u_hp_27)*1*1</f>
        <v>9.7</v>
      </c>
      <c r="F901" s="21" t="n">
        <f aca="false">(u_bw_28+u_rb_28+u_ru_28+u_hp_28)*um28_A*1</f>
        <v>9.5</v>
      </c>
      <c r="G901" s="21" t="n">
        <f aca="false">(u_bw_28*(1+g29_bw)+u_rb_28*(1+g29_rb)+u_ru_28*(1+g29_ru)+u_hp_28*(1+g29_hp))*um29_A*1</f>
        <v>10.6</v>
      </c>
      <c r="K901" s="7" t="s">
        <v>607</v>
      </c>
    </row>
    <row r="902" customFormat="false" ht="17.15" hidden="false" customHeight="false" outlineLevel="0" collapsed="false">
      <c r="A902" s="3" t="s">
        <v>608</v>
      </c>
      <c r="B902" s="3" t="s">
        <v>28</v>
      </c>
      <c r="D902" s="21" t="n">
        <f aca="false">(u_amd_26+u_tpu_26+u_trn_26+u_oth_26)*1</f>
        <v>7.6</v>
      </c>
      <c r="E902" s="21" t="n">
        <f aca="false">(u_amd_27+u_tpu_27+u_trn_27+u_oth_27)*1*1</f>
        <v>14</v>
      </c>
      <c r="F902" s="21" t="n">
        <f aca="false">(u_amd_28+u_tpu_28+u_trn_28+u_oth_28)*um28_A*1</f>
        <v>17</v>
      </c>
      <c r="G902" s="21" t="n">
        <f aca="false">(u_amd_28*(1+g29_amd)+u_tpu_28*(1+g29_tpu)+u_trn_28*(1+g29_trn)+u_oth_28*(1+g29_oth))*um29_A*1</f>
        <v>19.55</v>
      </c>
      <c r="K902" s="7" t="s">
        <v>609</v>
      </c>
    </row>
    <row r="903" customFormat="false" ht="17.15" hidden="false" customHeight="false" outlineLevel="0" collapsed="false">
      <c r="A903" s="3" t="s">
        <v>610</v>
      </c>
      <c r="B903" s="0" t="s">
        <v>150</v>
      </c>
      <c r="D903" s="19" t="n">
        <f aca="false">1</f>
        <v>1</v>
      </c>
      <c r="E903" s="19" t="n">
        <f aca="false">D903*(1+g_asp)</f>
        <v>1.18</v>
      </c>
      <c r="F903" s="19" t="n">
        <f aca="false">E903*(1+g_asp)</f>
        <v>1.3924</v>
      </c>
      <c r="G903" s="19" t="n">
        <f aca="false">F903*(1+g_asp)</f>
        <v>1.643032</v>
      </c>
      <c r="K903" s="7" t="s">
        <v>611</v>
      </c>
    </row>
    <row r="904" customFormat="false" ht="17.15" hidden="false" customHeight="false" outlineLevel="0" collapsed="false">
      <c r="A904" s="0" t="s">
        <v>612</v>
      </c>
      <c r="B904" s="0" t="s">
        <v>150</v>
      </c>
      <c r="D904" s="18" t="n">
        <f aca="false">1</f>
        <v>1</v>
      </c>
      <c r="E904" s="18" t="n">
        <f aca="false">ibpp_27</f>
        <v>1</v>
      </c>
      <c r="F904" s="18" t="n">
        <f aca="false">ibpp_28</f>
        <v>0.95</v>
      </c>
      <c r="G904" s="18" t="n">
        <f aca="false">ibpp_29</f>
        <v>0.9</v>
      </c>
      <c r="K904" s="7" t="s">
        <v>613</v>
      </c>
    </row>
    <row r="905" customFormat="false" ht="17.15" hidden="false" customHeight="false" outlineLevel="0" collapsed="false">
      <c r="A905" s="3" t="s">
        <v>614</v>
      </c>
      <c r="B905" s="0" t="s">
        <v>150</v>
      </c>
      <c r="D905" s="18" t="n">
        <f aca="false">1</f>
        <v>1</v>
      </c>
      <c r="E905" s="18" t="n">
        <f aca="false">1+carry</f>
        <v>1.15</v>
      </c>
      <c r="F905" s="18" t="n">
        <f aca="false">1+carry</f>
        <v>1.15</v>
      </c>
      <c r="G905" s="18" t="n">
        <f aca="false">1+carry</f>
        <v>1.15</v>
      </c>
      <c r="K905" s="7" t="s">
        <v>615</v>
      </c>
    </row>
    <row r="906" customFormat="false" ht="17.15" hidden="false" customHeight="false" outlineLevel="0" collapsed="false">
      <c r="A906" s="3" t="s">
        <v>616</v>
      </c>
      <c r="B906" s="0" t="s">
        <v>617</v>
      </c>
      <c r="D906" s="23" t="n">
        <f aca="false">v26*D903*D904</f>
        <v>215.308596</v>
      </c>
      <c r="E906" s="23" t="n">
        <f aca="false">v26*E903*E904</f>
        <v>254.06414328</v>
      </c>
      <c r="F906" s="23" t="n">
        <f aca="false">v26*F903*F904</f>
        <v>284.80590461688</v>
      </c>
      <c r="G906" s="23" t="n">
        <f aca="false">v26*G903*G904</f>
        <v>318.383021792765</v>
      </c>
      <c r="K906" s="7" t="s">
        <v>618</v>
      </c>
    </row>
    <row r="907" customFormat="false" ht="17.15" hidden="false" customHeight="false" outlineLevel="0" collapsed="false">
      <c r="A907" s="3" t="s">
        <v>619</v>
      </c>
      <c r="B907" s="0" t="s">
        <v>40</v>
      </c>
      <c r="D907" s="20" t="n">
        <f aca="false">sh_nv_26</f>
        <v>0.02</v>
      </c>
      <c r="E907" s="20" t="n">
        <f aca="false">sh_nv_27</f>
        <v>0.03</v>
      </c>
      <c r="F907" s="20" t="n">
        <f aca="false">sh_nv_28</f>
        <v>0.04</v>
      </c>
      <c r="G907" s="20" t="n">
        <f aca="false">sh_nv_29</f>
        <v>0.04</v>
      </c>
    </row>
    <row r="908" customFormat="false" ht="17.15" hidden="false" customHeight="false" outlineLevel="0" collapsed="false">
      <c r="A908" s="3" t="s">
        <v>620</v>
      </c>
      <c r="B908" s="0" t="s">
        <v>40</v>
      </c>
      <c r="D908" s="20" t="n">
        <f aca="false">sh_ot_26</f>
        <v>0.05</v>
      </c>
      <c r="E908" s="20" t="n">
        <f aca="false">sh_ot_27</f>
        <v>0.06</v>
      </c>
      <c r="F908" s="20" t="n">
        <f aca="false">sh_ot_28</f>
        <v>0.07</v>
      </c>
      <c r="G908" s="20" t="n">
        <f aca="false">sh_ot_29</f>
        <v>0.07</v>
      </c>
    </row>
    <row r="909" customFormat="false" ht="17.15" hidden="false" customHeight="false" outlineLevel="0" collapsed="false">
      <c r="A909" s="3" t="s">
        <v>621</v>
      </c>
      <c r="B909" s="0" t="s">
        <v>571</v>
      </c>
      <c r="D909" s="22" t="n">
        <f aca="false">(D901*D906*D907+D902*D906*v_ot*D908)*D905</f>
        <v>98.180719776</v>
      </c>
      <c r="E909" s="22" t="n">
        <f aca="false">(E901*E906*E907+E902*E906*v_ot*E908)*E905</f>
        <v>281.363335475436</v>
      </c>
      <c r="F909" s="22" t="n">
        <f aca="false">(F901*F906*F907+F902*F906*v_ot*F908)*F905</f>
        <v>436.265684692137</v>
      </c>
      <c r="G909" s="22" t="n">
        <f aca="false">(G901*G906*G907+G902*G906*v_ot*G908)*G905</f>
        <v>556.094153523679</v>
      </c>
    </row>
    <row r="910" customFormat="false" ht="15" hidden="false" customHeight="false" outlineLevel="0" collapsed="false">
      <c r="A910" s="3" t="s">
        <v>622</v>
      </c>
      <c r="B910" s="0" t="s">
        <v>329</v>
      </c>
      <c r="D910" s="21" t="n">
        <f aca="false">D909*fx/1000</f>
        <v>3.19087339272</v>
      </c>
      <c r="E910" s="21" t="n">
        <f aca="false">E909*fx/1000</f>
        <v>9.14430840295167</v>
      </c>
      <c r="F910" s="21" t="n">
        <f aca="false">F909*fx/1000</f>
        <v>14.1786347524944</v>
      </c>
      <c r="G910" s="21" t="n">
        <f aca="false">G909*fx/1000</f>
        <v>18.0730599895196</v>
      </c>
    </row>
    <row r="911" customFormat="false" ht="17.15" hidden="false" customHeight="false" outlineLevel="0" collapsed="false">
      <c r="A911" s="5" t="s">
        <v>623</v>
      </c>
    </row>
    <row r="912" customFormat="false" ht="17.15" hidden="false" customHeight="false" outlineLevel="0" collapsed="false">
      <c r="A912" s="0" t="s">
        <v>624</v>
      </c>
      <c r="B912" s="0" t="s">
        <v>329</v>
      </c>
      <c r="D912" s="21" t="n">
        <f aca="false">a26_abf*ai_abf</f>
        <v>22.2987583</v>
      </c>
      <c r="K912" s="3" t="s">
        <v>625</v>
      </c>
    </row>
    <row r="913" customFormat="false" ht="17.15" hidden="false" customHeight="false" outlineLevel="0" collapsed="false">
      <c r="A913" s="3" t="s">
        <v>626</v>
      </c>
      <c r="B913" s="0" t="s">
        <v>329</v>
      </c>
      <c r="D913" s="21" t="n">
        <f aca="false">D912-D910</f>
        <v>19.10788490728</v>
      </c>
      <c r="E913" s="21" t="n">
        <f aca="false">$D913*(swm_27/swm_26)^el_o*1*1*E904*E905</f>
        <v>30.7354094978265</v>
      </c>
      <c r="F913" s="21" t="n">
        <f aca="false">$D913*(swm_28/swm_26)^el_o*um28_A*1*F904*F905</f>
        <v>31.4104002135205</v>
      </c>
      <c r="G913" s="21" t="n">
        <f aca="false">$D913*(swm_29/swm_26)^el_o*um29_A*1*G904*G905</f>
        <v>31.7452412889375</v>
      </c>
      <c r="K913" s="7" t="s">
        <v>627</v>
      </c>
    </row>
    <row r="914" customFormat="false" ht="17.15" hidden="false" customHeight="false" outlineLevel="0" collapsed="false">
      <c r="A914" s="3" t="s">
        <v>628</v>
      </c>
      <c r="B914" s="0" t="s">
        <v>329</v>
      </c>
      <c r="D914" s="21" t="n">
        <f aca="false">a26_abf-D912</f>
        <v>12.0070237</v>
      </c>
      <c r="E914" s="21" t="n">
        <f aca="false">D914*(1+g_nai)</f>
        <v>12.367234411</v>
      </c>
      <c r="F914" s="21" t="n">
        <f aca="false">E914*(1+g_nai)</f>
        <v>12.73825144333</v>
      </c>
      <c r="G914" s="21" t="n">
        <f aca="false">F914*(1+g_nai)</f>
        <v>13.1203989866299</v>
      </c>
    </row>
    <row r="915" customFormat="false" ht="17.15" hidden="false" customHeight="false" outlineLevel="0" collapsed="false">
      <c r="A915" s="0" t="s">
        <v>629</v>
      </c>
      <c r="B915" s="0" t="s">
        <v>329</v>
      </c>
      <c r="D915" s="21" t="n">
        <f aca="false">D910+D913+D914</f>
        <v>34.305782</v>
      </c>
      <c r="E915" s="21" t="n">
        <f aca="false">E910+E913+E914</f>
        <v>52.2469523117781</v>
      </c>
      <c r="F915" s="21" t="n">
        <f aca="false">F910+F913+F914</f>
        <v>58.3272864093449</v>
      </c>
      <c r="G915" s="21" t="n">
        <f aca="false">G910+G913+G914</f>
        <v>62.9387002650869</v>
      </c>
    </row>
    <row r="916" customFormat="false" ht="17.15" hidden="false" customHeight="false" outlineLevel="0" collapsed="false">
      <c r="A916" s="0" t="s">
        <v>630</v>
      </c>
      <c r="B916" s="0" t="s">
        <v>329</v>
      </c>
      <c r="D916" s="21" t="n">
        <f aca="false">a26_abf</f>
        <v>34.305782</v>
      </c>
      <c r="E916" s="21" t="n">
        <f aca="false">$D915*cap_27*(1+g_mix)^1*E904*E905</f>
        <v>49.709078118</v>
      </c>
      <c r="F916" s="21" t="n">
        <f aca="false">$D915*cap_28*(1+g_mix)^2*F904*F905</f>
        <v>55.7829061005431</v>
      </c>
      <c r="G916" s="21" t="n">
        <f aca="false">$D915*cap_29*(1+g_mix)^3*G904*G905</f>
        <v>65.765110350114</v>
      </c>
      <c r="K916" s="7" t="s">
        <v>631</v>
      </c>
    </row>
    <row r="917" customFormat="false" ht="17.15" hidden="false" customHeight="false" outlineLevel="0" collapsed="false">
      <c r="A917" s="0" t="s">
        <v>632</v>
      </c>
      <c r="B917" s="0" t="s">
        <v>329</v>
      </c>
      <c r="D917" s="21" t="n">
        <f aca="false">a26_abf</f>
        <v>34.305782</v>
      </c>
      <c r="E917" s="21" t="n">
        <f aca="false">MIN(E915,E916)</f>
        <v>49.709078118</v>
      </c>
      <c r="F917" s="21" t="n">
        <f aca="false">MIN(F915,F916)</f>
        <v>55.7829061005431</v>
      </c>
      <c r="G917" s="21" t="n">
        <f aca="false">MIN(G915,G916)</f>
        <v>62.9387002650869</v>
      </c>
    </row>
    <row r="918" customFormat="false" ht="17.15" hidden="false" customHeight="false" outlineLevel="0" collapsed="false">
      <c r="A918" s="3" t="s">
        <v>633</v>
      </c>
      <c r="B918" s="0" t="s">
        <v>40</v>
      </c>
      <c r="D918" s="20" t="n">
        <f aca="false">D917/D915</f>
        <v>1</v>
      </c>
      <c r="E918" s="20" t="n">
        <f aca="false">E917/E915</f>
        <v>0.951425411789885</v>
      </c>
      <c r="F918" s="20" t="n">
        <f aca="false">F917/F915</f>
        <v>0.956377529876066</v>
      </c>
      <c r="G918" s="20" t="n">
        <f aca="false">G917/G915</f>
        <v>1</v>
      </c>
    </row>
    <row r="919" customFormat="false" ht="17.15" hidden="false" customHeight="false" outlineLevel="0" collapsed="false">
      <c r="A919" s="0" t="s">
        <v>634</v>
      </c>
      <c r="B919" s="0" t="s">
        <v>329</v>
      </c>
      <c r="D919" s="21" t="n">
        <f aca="false">(D910+D913)*D918</f>
        <v>22.2987583</v>
      </c>
      <c r="E919" s="21" t="n">
        <f aca="false">(E910+E913)*E918</f>
        <v>37.9425770258123</v>
      </c>
      <c r="F919" s="21" t="n">
        <f aca="false">(F910+F913)*F918</f>
        <v>43.6003286502309</v>
      </c>
      <c r="G919" s="21" t="n">
        <f aca="false">(G910+G913)*G918</f>
        <v>49.818301278457</v>
      </c>
    </row>
    <row r="920" customFormat="false" ht="17.15" hidden="false" customHeight="false" outlineLevel="0" collapsed="false">
      <c r="A920" s="3" t="s">
        <v>635</v>
      </c>
      <c r="B920" s="0" t="s">
        <v>40</v>
      </c>
      <c r="D920" s="20" t="n">
        <f aca="false">D910/(D910+D913)</f>
        <v>0.14309646078903</v>
      </c>
      <c r="E920" s="20" t="n">
        <f aca="false">E910/(E910+E913)</f>
        <v>0.229297218844501</v>
      </c>
      <c r="F920" s="20" t="n">
        <f aca="false">F910/(F910+F913)</f>
        <v>0.311009758444419</v>
      </c>
      <c r="G920" s="20" t="n">
        <f aca="false">G910/(G910+G913)</f>
        <v>0.362779531331288</v>
      </c>
    </row>
    <row r="921" customFormat="false" ht="17.15" hidden="false" customHeight="false" outlineLevel="0" collapsed="false">
      <c r="A921" s="5" t="s">
        <v>636</v>
      </c>
    </row>
    <row r="922" customFormat="false" ht="17.15" hidden="false" customHeight="false" outlineLevel="0" collapsed="false">
      <c r="A922" s="0" t="s">
        <v>637</v>
      </c>
      <c r="B922" s="0" t="s">
        <v>329</v>
      </c>
      <c r="D922" s="21" t="n">
        <f aca="false">a26_bt</f>
        <v>18.927328</v>
      </c>
      <c r="E922" s="21" t="n">
        <f aca="false">D922*(1+g_bt27_A)</f>
        <v>24.6055264</v>
      </c>
      <c r="F922" s="21" t="n">
        <f aca="false">E922*(1+g_bt28_A)</f>
        <v>27.06607904</v>
      </c>
      <c r="G922" s="21" t="n">
        <f aca="false">F922*(1+g_bt29_A)</f>
        <v>28.419382992</v>
      </c>
      <c r="K922" s="7" t="s">
        <v>638</v>
      </c>
    </row>
    <row r="923" customFormat="false" ht="17.15" hidden="false" customHeight="false" outlineLevel="0" collapsed="false">
      <c r="A923" s="0" t="s">
        <v>536</v>
      </c>
      <c r="B923" s="0" t="s">
        <v>329</v>
      </c>
      <c r="D923" s="21" t="n">
        <f aca="false">a26_pcb</f>
        <v>5.91479</v>
      </c>
      <c r="E923" s="21" t="n">
        <f aca="false">D923*(1+g_pcb)</f>
        <v>5.91479</v>
      </c>
      <c r="F923" s="21" t="n">
        <f aca="false">E923*(1+g_pcb)</f>
        <v>5.91479</v>
      </c>
      <c r="G923" s="21" t="n">
        <f aca="false">F923*(1+g_pcb)</f>
        <v>5.91479</v>
      </c>
    </row>
    <row r="924" customFormat="false" ht="17.15" hidden="false" customHeight="false" outlineLevel="0" collapsed="false">
      <c r="A924" s="3" t="s">
        <v>501</v>
      </c>
      <c r="B924" s="0" t="s">
        <v>329</v>
      </c>
      <c r="C924" s="23" t="n">
        <f aca="false">a25_rev</f>
        <v>40.173</v>
      </c>
      <c r="D924" s="23" t="n">
        <f aca="false">D917+D922+D923</f>
        <v>59.1479</v>
      </c>
      <c r="E924" s="23" t="n">
        <f aca="false">E917+E922+E923</f>
        <v>80.229394518</v>
      </c>
      <c r="F924" s="23" t="n">
        <f aca="false">F917+F922+F923</f>
        <v>88.7637751405431</v>
      </c>
      <c r="G924" s="23" t="n">
        <f aca="false">G917+G922+G923</f>
        <v>97.2728732570869</v>
      </c>
      <c r="H924" s="25" t="n">
        <f aca="false">G924*(1+H925)</f>
        <v>105.434863846709</v>
      </c>
      <c r="I924" s="25" t="n">
        <f aca="false">H924*(1+I925)</f>
        <v>113.021333979572</v>
      </c>
      <c r="J924" s="25" t="n">
        <f aca="false">I924*(1+J925)</f>
        <v>119.802614018346</v>
      </c>
      <c r="K924" s="7" t="s">
        <v>639</v>
      </c>
    </row>
    <row r="925" customFormat="false" ht="15" hidden="false" customHeight="false" outlineLevel="0" collapsed="false">
      <c r="A925" s="3" t="s">
        <v>640</v>
      </c>
      <c r="B925" s="0" t="s">
        <v>40</v>
      </c>
      <c r="D925" s="20" t="n">
        <f aca="false">D924/C924-1</f>
        <v>0.472329674159261</v>
      </c>
      <c r="E925" s="20" t="n">
        <f aca="false">E924/D924-1</f>
        <v>0.35642</v>
      </c>
      <c r="F925" s="20" t="n">
        <f aca="false">F924/E924-1</f>
        <v>0.106374735517023</v>
      </c>
      <c r="G925" s="20" t="n">
        <f aca="false">G924/F924-1</f>
        <v>0.0958622828183122</v>
      </c>
      <c r="H925" s="26" t="n">
        <f aca="false">$G925+(fade_gA-$G925)*1/3</f>
        <v>0.0839081885455415</v>
      </c>
      <c r="I925" s="26" t="n">
        <f aca="false">$G925+(fade_gA-$G925)*2/3</f>
        <v>0.0719540942727707</v>
      </c>
      <c r="J925" s="26" t="n">
        <f aca="false">$G925+(fade_gA-$G925)*3/3</f>
        <v>0.06</v>
      </c>
    </row>
    <row r="926" customFormat="false" ht="17.15" hidden="false" customHeight="false" outlineLevel="0" collapsed="false">
      <c r="A926" s="0" t="s">
        <v>641</v>
      </c>
      <c r="B926" s="0" t="s">
        <v>40</v>
      </c>
      <c r="D926" s="20" t="n">
        <f aca="false">D917/D924</f>
        <v>0.58</v>
      </c>
      <c r="E926" s="20" t="n">
        <f aca="false">E917/E924</f>
        <v>0.619586853629407</v>
      </c>
      <c r="F926" s="20" t="n">
        <f aca="false">F917/F924</f>
        <v>0.62844224473576</v>
      </c>
      <c r="G926" s="20" t="n">
        <f aca="false">G917/G924</f>
        <v>0.647032396161912</v>
      </c>
    </row>
    <row r="927" customFormat="false" ht="17.15" hidden="false" customHeight="false" outlineLevel="0" collapsed="false">
      <c r="A927" s="0" t="s">
        <v>642</v>
      </c>
      <c r="B927" s="0" t="s">
        <v>40</v>
      </c>
      <c r="D927" s="20" t="n">
        <f aca="false">D919/D924</f>
        <v>0.377</v>
      </c>
      <c r="E927" s="20" t="n">
        <f aca="false">E919/E924</f>
        <v>0.472926129553422</v>
      </c>
      <c r="F927" s="20" t="n">
        <f aca="false">F919/F924</f>
        <v>0.491195068947855</v>
      </c>
      <c r="G927" s="20" t="n">
        <f aca="false">G919/G924</f>
        <v>0.512149992185282</v>
      </c>
      <c r="K927" s="3" t="s">
        <v>643</v>
      </c>
    </row>
    <row r="928" customFormat="false" ht="17.15" hidden="false" customHeight="false" outlineLevel="0" collapsed="false">
      <c r="A928" s="5" t="s">
        <v>644</v>
      </c>
    </row>
    <row r="929" customFormat="false" ht="15" hidden="false" customHeight="false" outlineLevel="0" collapsed="false">
      <c r="A929" s="3" t="s">
        <v>645</v>
      </c>
      <c r="B929" s="0" t="s">
        <v>329</v>
      </c>
      <c r="C929" s="23" t="n">
        <f aca="false">a25_cx</f>
        <v>2.422</v>
      </c>
      <c r="D929" s="23" t="n">
        <f aca="false">capex26</f>
        <v>4</v>
      </c>
      <c r="E929" s="23" t="n">
        <f aca="false">cx27_hi</f>
        <v>20</v>
      </c>
      <c r="F929" s="23" t="n">
        <f aca="false">cx28_hi</f>
        <v>24</v>
      </c>
      <c r="G929" s="23" t="n">
        <f aca="false">cx29_hi</f>
        <v>20</v>
      </c>
      <c r="H929" s="25" t="n">
        <f aca="false">H924*H946</f>
        <v>18.816951823931</v>
      </c>
      <c r="I929" s="25" t="n">
        <f aca="false">I924*I946</f>
        <v>17.1038206882492</v>
      </c>
      <c r="J929" s="25" t="n">
        <f aca="false">J924*J946</f>
        <v>14.8789367967282</v>
      </c>
    </row>
    <row r="930" customFormat="false" ht="17.15" hidden="false" customHeight="false" outlineLevel="0" collapsed="false">
      <c r="A930" s="3" t="s">
        <v>646</v>
      </c>
      <c r="B930" s="0" t="s">
        <v>329</v>
      </c>
      <c r="C930" s="23" t="n">
        <f aca="false">a25_da</f>
        <v>6.894</v>
      </c>
      <c r="D930" s="23" t="n">
        <f aca="false">da26</f>
        <v>7.1</v>
      </c>
      <c r="E930" s="23" t="n">
        <f aca="false">D930*(1-1/life)+D929/life</f>
        <v>6.7125</v>
      </c>
      <c r="F930" s="23" t="n">
        <f aca="false">E930*(1-1/life)+E929/life</f>
        <v>8.3734375</v>
      </c>
      <c r="G930" s="23" t="n">
        <f aca="false">F930*(1-1/life)+F929/life</f>
        <v>10.3267578125</v>
      </c>
      <c r="H930" s="25" t="n">
        <f aca="false">H924*H931</f>
        <v>11.1932573540954</v>
      </c>
      <c r="I930" s="25" t="n">
        <f aca="false">I924*I931</f>
        <v>11.9986580489714</v>
      </c>
      <c r="J930" s="25" t="n">
        <f aca="false">J924*J931</f>
        <v>12.7185775319096</v>
      </c>
      <c r="K930" s="3" t="s">
        <v>647</v>
      </c>
    </row>
    <row r="931" customFormat="false" ht="17.15" hidden="false" customHeight="false" outlineLevel="0" collapsed="false">
      <c r="A931" s="3" t="s">
        <v>648</v>
      </c>
      <c r="B931" s="0" t="s">
        <v>40</v>
      </c>
      <c r="C931" s="20" t="n">
        <f aca="false">C930/C924</f>
        <v>0.171607796281084</v>
      </c>
      <c r="D931" s="20" t="n">
        <f aca="false">D930/D924</f>
        <v>0.120038074048276</v>
      </c>
      <c r="E931" s="20" t="n">
        <f aca="false">E930/E924</f>
        <v>0.0836663424961285</v>
      </c>
      <c r="F931" s="20" t="n">
        <f aca="false">F930/F924</f>
        <v>0.0943339497079976</v>
      </c>
      <c r="G931" s="20" t="n">
        <f aca="false">G930/G924</f>
        <v>0.106162771456405</v>
      </c>
      <c r="H931" s="26" t="n">
        <f aca="false">$G931</f>
        <v>0.106162771456405</v>
      </c>
      <c r="I931" s="26" t="n">
        <f aca="false">$G931</f>
        <v>0.106162771456405</v>
      </c>
      <c r="J931" s="26" t="n">
        <f aca="false">$G931</f>
        <v>0.106162771456405</v>
      </c>
    </row>
    <row r="932" customFormat="false" ht="17.15" hidden="false" customHeight="false" outlineLevel="0" collapsed="false">
      <c r="A932" s="3" t="s">
        <v>649</v>
      </c>
      <c r="B932" s="0" t="s">
        <v>329</v>
      </c>
      <c r="E932" s="21" t="n">
        <f aca="false">E919*(1-1/(E904*E905))</f>
        <v>4.94903178597551</v>
      </c>
      <c r="F932" s="21" t="n">
        <f aca="false">F919*(1-1/(F904*F905))</f>
        <v>3.69156100699895</v>
      </c>
      <c r="G932" s="21" t="n">
        <f aca="false">G919*(1-1/(G904*G905))</f>
        <v>1.68467685482705</v>
      </c>
      <c r="K932" s="7" t="s">
        <v>650</v>
      </c>
    </row>
    <row r="933" customFormat="false" ht="17.15" hidden="false" customHeight="false" outlineLevel="0" collapsed="false">
      <c r="A933" s="3" t="s">
        <v>651</v>
      </c>
      <c r="B933" s="0" t="s">
        <v>329</v>
      </c>
      <c r="C933" s="21" t="n">
        <f aca="false">a25_gp</f>
        <v>3.647</v>
      </c>
      <c r="D933" s="21" t="n">
        <f aca="false">a26_gp</f>
        <v>15.9001925</v>
      </c>
      <c r="E933" s="21" t="n">
        <f aca="false">$D933+ft_abf*(E917-E932-$D917)+ft_oth*((E924-E917)-($D924-$D917))+E932-(E930-$D930)</f>
        <v>28.7351358119878</v>
      </c>
      <c r="F933" s="21" t="n">
        <f aca="false">$D933+ft_abf*(F917-F932-$D917)+ft_oth*((F924-F917)-($D924-$D917))+F932-(F930-$D930)</f>
        <v>30.466597969771</v>
      </c>
      <c r="G933" s="21" t="n">
        <f aca="false">$D933+ft_abf*(G917-G932-$D917)+ft_oth*((G924-G917)-($D924-$D917))+G932-(G930-$D930)</f>
        <v>31.629054244257</v>
      </c>
      <c r="K933" s="3" t="s">
        <v>652</v>
      </c>
    </row>
    <row r="934" customFormat="false" ht="15" hidden="false" customHeight="false" outlineLevel="0" collapsed="false">
      <c r="A934" s="3" t="s">
        <v>508</v>
      </c>
      <c r="B934" s="0" t="s">
        <v>40</v>
      </c>
      <c r="C934" s="16" t="n">
        <f aca="false">C933/C924</f>
        <v>0.0907823662659</v>
      </c>
      <c r="D934" s="16" t="n">
        <f aca="false">D933/D924</f>
        <v>0.268820913337583</v>
      </c>
      <c r="E934" s="16" t="n">
        <f aca="false">E933/E924</f>
        <v>0.358162192107044</v>
      </c>
      <c r="F934" s="16" t="n">
        <f aca="false">F933/F924</f>
        <v>0.343232336857373</v>
      </c>
      <c r="G934" s="16" t="n">
        <f aca="false">G933/G924</f>
        <v>0.325158013587849</v>
      </c>
    </row>
    <row r="935" customFormat="false" ht="15" hidden="false" customHeight="false" outlineLevel="0" collapsed="false">
      <c r="A935" s="3" t="s">
        <v>510</v>
      </c>
      <c r="B935" s="0" t="s">
        <v>329</v>
      </c>
      <c r="C935" s="21" t="n">
        <f aca="false">a25_opx</f>
        <v>1.665</v>
      </c>
      <c r="D935" s="21" t="n">
        <f aca="false">a26_opx</f>
        <v>1.9</v>
      </c>
      <c r="E935" s="21" t="n">
        <f aca="false">D935*(1+phi*E925)</f>
        <v>2.3063188</v>
      </c>
      <c r="F935" s="21" t="n">
        <f aca="false">E935*(1+phi*F925)</f>
        <v>2.45351923142076</v>
      </c>
      <c r="G935" s="21" t="n">
        <f aca="false">F935*(1+phi*G925)</f>
        <v>2.59463920409834</v>
      </c>
    </row>
    <row r="936" customFormat="false" ht="15" hidden="false" customHeight="false" outlineLevel="0" collapsed="false">
      <c r="A936" s="3" t="s">
        <v>513</v>
      </c>
      <c r="B936" s="0" t="s">
        <v>329</v>
      </c>
      <c r="C936" s="21" t="n">
        <f aca="false">C933-C935</f>
        <v>1.982</v>
      </c>
      <c r="D936" s="21" t="n">
        <f aca="false">D933-D935</f>
        <v>14.0001925</v>
      </c>
      <c r="E936" s="21" t="n">
        <f aca="false">E933-E935</f>
        <v>26.4288170119878</v>
      </c>
      <c r="F936" s="21" t="n">
        <f aca="false">F933-F935</f>
        <v>28.0130787383503</v>
      </c>
      <c r="G936" s="21" t="n">
        <f aca="false">G933-G935</f>
        <v>29.0344150401587</v>
      </c>
    </row>
    <row r="937" customFormat="false" ht="15" hidden="false" customHeight="false" outlineLevel="0" collapsed="false">
      <c r="A937" s="3" t="s">
        <v>594</v>
      </c>
      <c r="B937" s="0" t="s">
        <v>40</v>
      </c>
      <c r="C937" s="16" t="n">
        <f aca="false">C936/C924</f>
        <v>0.0493366191222961</v>
      </c>
      <c r="D937" s="16" t="n">
        <f aca="false">D936/D924</f>
        <v>0.236698048451424</v>
      </c>
      <c r="E937" s="16" t="n">
        <f aca="false">E936/E924</f>
        <v>0.329415635887147</v>
      </c>
      <c r="F937" s="16" t="n">
        <f aca="false">F936/F924</f>
        <v>0.315591339980708</v>
      </c>
      <c r="G937" s="16" t="n">
        <f aca="false">G936/G924</f>
        <v>0.298484192642509</v>
      </c>
    </row>
    <row r="938" customFormat="false" ht="15" hidden="false" customHeight="false" outlineLevel="0" collapsed="false">
      <c r="A938" s="3" t="s">
        <v>516</v>
      </c>
      <c r="B938" s="0" t="s">
        <v>329</v>
      </c>
      <c r="C938" s="21" t="n">
        <f aca="false">a25_nonop</f>
        <v>0.364</v>
      </c>
      <c r="D938" s="21" t="n">
        <f aca="false">a26_nonop</f>
        <v>0.623</v>
      </c>
      <c r="E938" s="21" t="n">
        <f aca="false">nonop27</f>
        <v>0.6</v>
      </c>
      <c r="F938" s="21" t="n">
        <f aca="false">nonop28</f>
        <v>0.6</v>
      </c>
      <c r="G938" s="21" t="n">
        <f aca="false">nonop29</f>
        <v>0.6</v>
      </c>
    </row>
    <row r="939" customFormat="false" ht="15" hidden="false" customHeight="false" outlineLevel="0" collapsed="false">
      <c r="A939" s="3" t="s">
        <v>518</v>
      </c>
      <c r="B939" s="0" t="s">
        <v>329</v>
      </c>
      <c r="C939" s="21" t="n">
        <f aca="false">C936+C938</f>
        <v>2.346</v>
      </c>
      <c r="D939" s="21" t="n">
        <f aca="false">D936+D938</f>
        <v>14.6231925</v>
      </c>
      <c r="E939" s="21" t="n">
        <f aca="false">E936+E938</f>
        <v>27.0288170119878</v>
      </c>
      <c r="F939" s="21" t="n">
        <f aca="false">F936+F938</f>
        <v>28.6130787383503</v>
      </c>
      <c r="G939" s="21" t="n">
        <f aca="false">G936+G938</f>
        <v>29.6344150401587</v>
      </c>
    </row>
    <row r="940" customFormat="false" ht="15" hidden="false" customHeight="false" outlineLevel="0" collapsed="false">
      <c r="A940" s="3" t="s">
        <v>521</v>
      </c>
      <c r="B940" s="0" t="s">
        <v>329</v>
      </c>
      <c r="E940" s="21" t="n">
        <f aca="false">E939*tax</f>
        <v>5.67605157251743</v>
      </c>
      <c r="F940" s="21" t="n">
        <f aca="false">F939*tax</f>
        <v>6.00874653505356</v>
      </c>
      <c r="G940" s="21" t="n">
        <f aca="false">G939*tax</f>
        <v>6.22322715843332</v>
      </c>
    </row>
    <row r="941" customFormat="false" ht="15" hidden="false" customHeight="false" outlineLevel="0" collapsed="false">
      <c r="A941" s="3" t="s">
        <v>519</v>
      </c>
      <c r="B941" s="0" t="s">
        <v>329</v>
      </c>
      <c r="C941" s="21" t="n">
        <f aca="false">a25_ni</f>
        <v>1.947</v>
      </c>
      <c r="D941" s="21" t="n">
        <f aca="false">a26_ni</f>
        <v>11.509862075</v>
      </c>
      <c r="E941" s="21" t="n">
        <f aca="false">E939-E940</f>
        <v>21.3527654394703</v>
      </c>
      <c r="F941" s="21" t="n">
        <f aca="false">F939-F940</f>
        <v>22.6043322032967</v>
      </c>
      <c r="G941" s="21" t="n">
        <f aca="false">G939-G940</f>
        <v>23.4111878817253</v>
      </c>
      <c r="H941" s="30" t="n">
        <f aca="false">H924*H945</f>
        <v>25.776962999651</v>
      </c>
      <c r="I941" s="30" t="n">
        <f aca="false">I924*I945</f>
        <v>28.0619870526826</v>
      </c>
      <c r="J941" s="30" t="n">
        <f aca="false">J924*J945</f>
        <v>30.2017882647699</v>
      </c>
    </row>
    <row r="942" customFormat="false" ht="15" hidden="false" customHeight="false" outlineLevel="0" collapsed="false">
      <c r="A942" s="3" t="s">
        <v>653</v>
      </c>
      <c r="B942" s="3" t="s">
        <v>396</v>
      </c>
      <c r="C942" s="29" t="n">
        <f aca="false">a25_sh</f>
        <v>0.646843853820598</v>
      </c>
      <c r="D942" s="29" t="n">
        <f aca="false">a26_sh</f>
        <v>0.645863325123153</v>
      </c>
      <c r="E942" s="29" t="n">
        <f aca="false">a26_shend*(1+sh_g)</f>
        <v>0.64617</v>
      </c>
      <c r="F942" s="29" t="n">
        <f aca="false">E942*(1+sh_g)</f>
        <v>0.64617</v>
      </c>
      <c r="G942" s="29" t="n">
        <f aca="false">F942*(1+sh_g)</f>
        <v>0.64617</v>
      </c>
      <c r="H942" s="31" t="n">
        <f aca="false">G942*(1+sh_g)</f>
        <v>0.64617</v>
      </c>
      <c r="I942" s="31" t="n">
        <f aca="false">H942*(1+sh_g)</f>
        <v>0.64617</v>
      </c>
      <c r="J942" s="31" t="n">
        <f aca="false">I942*(1+sh_g)</f>
        <v>0.64617</v>
      </c>
    </row>
    <row r="943" customFormat="false" ht="17.15" hidden="false" customHeight="false" outlineLevel="0" collapsed="false">
      <c r="A943" s="0" t="s">
        <v>524</v>
      </c>
      <c r="B943" s="0" t="s">
        <v>402</v>
      </c>
      <c r="C943" s="18" t="n">
        <f aca="false">C941/C942</f>
        <v>3.01</v>
      </c>
      <c r="D943" s="18" t="n">
        <f aca="false">D941/D942</f>
        <v>17.820894339844</v>
      </c>
      <c r="E943" s="18" t="n">
        <f aca="false">E941/E942</f>
        <v>33.0451203854564</v>
      </c>
      <c r="F943" s="18" t="n">
        <f aca="false">F941/F942</f>
        <v>34.9820205260175</v>
      </c>
      <c r="G943" s="18" t="n">
        <f aca="false">G941/G942</f>
        <v>36.2306945257832</v>
      </c>
      <c r="H943" s="28" t="n">
        <f aca="false">H941/H942</f>
        <v>39.8919216299906</v>
      </c>
      <c r="I943" s="28" t="n">
        <f aca="false">I941/I942</f>
        <v>43.4281799722714</v>
      </c>
      <c r="J943" s="28" t="n">
        <f aca="false">J941/J942</f>
        <v>46.7396942983578</v>
      </c>
    </row>
    <row r="944" customFormat="false" ht="17.15" hidden="false" customHeight="false" outlineLevel="0" collapsed="false">
      <c r="A944" s="0" t="s">
        <v>654</v>
      </c>
      <c r="B944" s="0" t="s">
        <v>40</v>
      </c>
      <c r="D944" s="20" t="n">
        <f aca="false">D943/C943-1</f>
        <v>4.92056290360265</v>
      </c>
      <c r="E944" s="20" t="n">
        <f aca="false">E943/D943-1</f>
        <v>0.85429079794127</v>
      </c>
      <c r="F944" s="20" t="n">
        <f aca="false">F943/E943-1</f>
        <v>0.0586138019159281</v>
      </c>
      <c r="G944" s="20" t="n">
        <f aca="false">G943/F943-1</f>
        <v>0.0356947363528373</v>
      </c>
      <c r="H944" s="26" t="n">
        <f aca="false">H943/G943-1</f>
        <v>0.101053185762197</v>
      </c>
      <c r="I944" s="26" t="n">
        <f aca="false">I943/H943-1</f>
        <v>0.0886459763728766</v>
      </c>
      <c r="J944" s="26" t="n">
        <f aca="false">J943/I943-1</f>
        <v>0.0762526619398005</v>
      </c>
    </row>
    <row r="945" customFormat="false" ht="17.15" hidden="false" customHeight="false" outlineLevel="0" collapsed="false">
      <c r="A945" s="3" t="s">
        <v>655</v>
      </c>
      <c r="B945" s="0" t="s">
        <v>40</v>
      </c>
      <c r="C945" s="16" t="n">
        <f aca="false">C941/C924</f>
        <v>0.0484653872003585</v>
      </c>
      <c r="D945" s="16" t="n">
        <f aca="false">D941/D924</f>
        <v>0.194594602259759</v>
      </c>
      <c r="E945" s="16" t="n">
        <f aca="false">E941/E924</f>
        <v>0.266146411396383</v>
      </c>
      <c r="F945" s="16" t="n">
        <f aca="false">F941/F924</f>
        <v>0.254657174816037</v>
      </c>
      <c r="G945" s="16" t="n">
        <f aca="false">G941/G924</f>
        <v>0.240675402070738</v>
      </c>
      <c r="H945" s="27" t="n">
        <f aca="false">$G945+(fade_mA-$G945)*1/3</f>
        <v>0.244482347291954</v>
      </c>
      <c r="I945" s="27" t="n">
        <f aca="false">$G945+(fade_mA-$G945)*2/3</f>
        <v>0.24828929251317</v>
      </c>
      <c r="J945" s="27" t="n">
        <f aca="false">$G945+(fade_mA-$G945)*3/3</f>
        <v>0.252096237734386</v>
      </c>
    </row>
    <row r="946" customFormat="false" ht="17.15" hidden="false" customHeight="false" outlineLevel="0" collapsed="false">
      <c r="A946" s="3" t="s">
        <v>656</v>
      </c>
      <c r="B946" s="0" t="s">
        <v>40</v>
      </c>
      <c r="C946" s="20" t="n">
        <f aca="false">C929/C924</f>
        <v>0.0602892489980833</v>
      </c>
      <c r="D946" s="20" t="n">
        <f aca="false">D929/D924</f>
        <v>0.0676270839708595</v>
      </c>
      <c r="E946" s="20" t="n">
        <f aca="false">E929/E924</f>
        <v>0.249285191794796</v>
      </c>
      <c r="F946" s="20" t="n">
        <f aca="false">F929/F924</f>
        <v>0.270380568672298</v>
      </c>
      <c r="G946" s="20" t="n">
        <f aca="false">G929/G924</f>
        <v>0.205607168065665</v>
      </c>
      <c r="H946" s="26" t="n">
        <f aca="false">$G946+($G931*(1+tp_g)^(life/2)-$G946)*1/3</f>
        <v>0.17846992102431</v>
      </c>
      <c r="I946" s="26" t="n">
        <f aca="false">$G946+($G931*(1+tp_g)^(life/2)-$G946)*2/3</f>
        <v>0.151332673982955</v>
      </c>
      <c r="J946" s="26" t="n">
        <f aca="false">$G946+($G931*(1+tp_g)^(life/2)-$G946)*3/3</f>
        <v>0.124195426941599</v>
      </c>
      <c r="K946" s="7" t="s">
        <v>657</v>
      </c>
    </row>
    <row r="947" customFormat="false" ht="15" hidden="false" customHeight="false" outlineLevel="0" collapsed="false">
      <c r="A947" s="3" t="s">
        <v>658</v>
      </c>
      <c r="B947" s="0" t="s">
        <v>329</v>
      </c>
      <c r="E947" s="21" t="n">
        <f aca="false">E941+E930-E929</f>
        <v>8.06526543947033</v>
      </c>
      <c r="F947" s="21" t="n">
        <f aca="false">F941+F930-F929</f>
        <v>6.97776970329672</v>
      </c>
      <c r="G947" s="21" t="n">
        <f aca="false">G941+G930-G929</f>
        <v>13.7379456942253</v>
      </c>
      <c r="H947" s="30" t="n">
        <f aca="false">H941+H930-H929</f>
        <v>18.1532685298154</v>
      </c>
      <c r="I947" s="30" t="n">
        <f aca="false">I941+I930-I929</f>
        <v>22.9568244134048</v>
      </c>
      <c r="J947" s="30" t="n">
        <f aca="false">J941+J930-J929</f>
        <v>28.0414289999513</v>
      </c>
      <c r="K947" s="3" t="s">
        <v>659</v>
      </c>
    </row>
    <row r="948" customFormat="false" ht="15" hidden="false" customHeight="false" outlineLevel="0" collapsed="false">
      <c r="A948" s="3" t="s">
        <v>660</v>
      </c>
      <c r="B948" s="0" t="s">
        <v>402</v>
      </c>
      <c r="E948" s="18" t="n">
        <f aca="false">E947/E942</f>
        <v>12.4816463770685</v>
      </c>
      <c r="F948" s="18" t="n">
        <f aca="false">F947/F942</f>
        <v>10.7986593362377</v>
      </c>
      <c r="G948" s="18" t="n">
        <f aca="false">G947/G942</f>
        <v>21.2605749171663</v>
      </c>
      <c r="H948" s="28" t="n">
        <f aca="false">H947/H942</f>
        <v>28.0936418122404</v>
      </c>
      <c r="I948" s="28" t="n">
        <f aca="false">I947/I942</f>
        <v>35.5275305467675</v>
      </c>
      <c r="J948" s="28" t="n">
        <f aca="false">J947/J942</f>
        <v>43.3963647336635</v>
      </c>
    </row>
    <row r="951" customFormat="false" ht="17.15" hidden="false" customHeight="false" outlineLevel="0" collapsed="false">
      <c r="A951" s="1" t="s">
        <v>975</v>
      </c>
    </row>
    <row r="952" customFormat="false" ht="17.15" hidden="false" customHeight="false" outlineLevel="0" collapsed="false">
      <c r="A952" s="4" t="s">
        <v>17</v>
      </c>
      <c r="B952" s="4" t="s">
        <v>18</v>
      </c>
      <c r="C952" s="13" t="s">
        <v>494</v>
      </c>
      <c r="D952" s="13" t="s">
        <v>581</v>
      </c>
      <c r="E952" s="13" t="s">
        <v>582</v>
      </c>
      <c r="F952" s="13" t="s">
        <v>583</v>
      </c>
      <c r="G952" s="13" t="s">
        <v>584</v>
      </c>
      <c r="H952" s="13" t="s">
        <v>585</v>
      </c>
      <c r="I952" s="13" t="s">
        <v>586</v>
      </c>
      <c r="J952" s="13" t="s">
        <v>587</v>
      </c>
      <c r="K952" s="4" t="s">
        <v>549</v>
      </c>
    </row>
    <row r="953" customFormat="false" ht="17.15" hidden="false" customHeight="false" outlineLevel="0" collapsed="false">
      <c r="A953" s="5" t="s">
        <v>605</v>
      </c>
    </row>
    <row r="954" customFormat="false" ht="17.15" hidden="false" customHeight="false" outlineLevel="0" collapsed="false">
      <c r="A954" s="0" t="s">
        <v>606</v>
      </c>
      <c r="B954" s="3" t="s">
        <v>28</v>
      </c>
      <c r="D954" s="21" t="n">
        <f aca="false">(u_bw_26+u_rb_26+u_ru_26+u_hp_26)*1</f>
        <v>7.6</v>
      </c>
      <c r="E954" s="21" t="n">
        <f aca="false">(u_bw_27+u_rb_27+u_ru_27+u_hp_27)*1*1</f>
        <v>9.7</v>
      </c>
      <c r="F954" s="21" t="n">
        <f aca="false">(u_bw_28+u_rb_28+u_ru_28+u_hp_28)*um28_A*1</f>
        <v>9.5</v>
      </c>
      <c r="G954" s="21" t="n">
        <f aca="false">(u_bw_28*(1+g29_bw)+u_rb_28*(1+g29_rb)+u_ru_28*(1+g29_ru)+u_hp_28*(1+g29_hp))*um29_A*1</f>
        <v>10.6</v>
      </c>
      <c r="K954" s="7" t="s">
        <v>607</v>
      </c>
    </row>
    <row r="955" customFormat="false" ht="17.15" hidden="false" customHeight="false" outlineLevel="0" collapsed="false">
      <c r="A955" s="3" t="s">
        <v>608</v>
      </c>
      <c r="B955" s="3" t="s">
        <v>28</v>
      </c>
      <c r="D955" s="21" t="n">
        <f aca="false">(u_amd_26+u_tpu_26+u_trn_26+u_oth_26)*1</f>
        <v>7.6</v>
      </c>
      <c r="E955" s="21" t="n">
        <f aca="false">(u_amd_27+u_tpu_27+u_trn_27+u_oth_27)*1*1</f>
        <v>14</v>
      </c>
      <c r="F955" s="21" t="n">
        <f aca="false">(u_amd_28+u_tpu_28+u_trn_28+u_oth_28)*um28_A*1</f>
        <v>17</v>
      </c>
      <c r="G955" s="21" t="n">
        <f aca="false">(u_amd_28*(1+g29_amd)+u_tpu_28*(1+g29_tpu)+u_trn_28*(1+g29_trn)+u_oth_28*(1+g29_oth))*um29_A*1</f>
        <v>19.55</v>
      </c>
      <c r="K955" s="7" t="s">
        <v>609</v>
      </c>
    </row>
    <row r="956" customFormat="false" ht="17.15" hidden="false" customHeight="false" outlineLevel="0" collapsed="false">
      <c r="A956" s="3" t="s">
        <v>610</v>
      </c>
      <c r="B956" s="0" t="s">
        <v>150</v>
      </c>
      <c r="D956" s="19" t="n">
        <f aca="false">1</f>
        <v>1</v>
      </c>
      <c r="E956" s="19" t="n">
        <f aca="false">D956*(1+g_asp)</f>
        <v>1.18</v>
      </c>
      <c r="F956" s="19" t="n">
        <f aca="false">E956*(1+g_asp)</f>
        <v>1.3924</v>
      </c>
      <c r="G956" s="19" t="n">
        <f aca="false">F956*(1+g_asp)</f>
        <v>1.643032</v>
      </c>
      <c r="K956" s="7" t="s">
        <v>611</v>
      </c>
    </row>
    <row r="957" customFormat="false" ht="17.15" hidden="false" customHeight="false" outlineLevel="0" collapsed="false">
      <c r="A957" s="0" t="s">
        <v>612</v>
      </c>
      <c r="B957" s="0" t="s">
        <v>150</v>
      </c>
      <c r="D957" s="18" t="n">
        <f aca="false">1</f>
        <v>1</v>
      </c>
      <c r="E957" s="18" t="n">
        <f aca="false">ibpp_27</f>
        <v>1</v>
      </c>
      <c r="F957" s="18" t="n">
        <f aca="false">ibpp_28</f>
        <v>0.95</v>
      </c>
      <c r="G957" s="18" t="n">
        <f aca="false">ibpp_29</f>
        <v>0.9</v>
      </c>
      <c r="K957" s="7" t="s">
        <v>613</v>
      </c>
    </row>
    <row r="958" customFormat="false" ht="17.15" hidden="false" customHeight="false" outlineLevel="0" collapsed="false">
      <c r="A958" s="3" t="s">
        <v>614</v>
      </c>
      <c r="B958" s="0" t="s">
        <v>150</v>
      </c>
      <c r="D958" s="18" t="n">
        <f aca="false">1</f>
        <v>1</v>
      </c>
      <c r="E958" s="18" t="n">
        <f aca="false">1+carry</f>
        <v>1.15</v>
      </c>
      <c r="F958" s="18" t="n">
        <f aca="false">1+carry</f>
        <v>1.15</v>
      </c>
      <c r="G958" s="18" t="n">
        <f aca="false">1+carry</f>
        <v>1.15</v>
      </c>
      <c r="K958" s="7" t="s">
        <v>615</v>
      </c>
    </row>
    <row r="959" customFormat="false" ht="17.15" hidden="false" customHeight="false" outlineLevel="0" collapsed="false">
      <c r="A959" s="3" t="s">
        <v>616</v>
      </c>
      <c r="B959" s="0" t="s">
        <v>617</v>
      </c>
      <c r="D959" s="23" t="n">
        <f aca="false">v26*D956*D957</f>
        <v>215.308596</v>
      </c>
      <c r="E959" s="23" t="n">
        <f aca="false">v26*E956*E957</f>
        <v>254.06414328</v>
      </c>
      <c r="F959" s="23" t="n">
        <f aca="false">v26*F956*F957</f>
        <v>284.80590461688</v>
      </c>
      <c r="G959" s="23" t="n">
        <f aca="false">v26*G956*G957</f>
        <v>318.383021792765</v>
      </c>
      <c r="K959" s="7" t="s">
        <v>618</v>
      </c>
    </row>
    <row r="960" customFormat="false" ht="17.15" hidden="false" customHeight="false" outlineLevel="0" collapsed="false">
      <c r="A960" s="3" t="s">
        <v>619</v>
      </c>
      <c r="B960" s="0" t="s">
        <v>40</v>
      </c>
      <c r="D960" s="20" t="n">
        <f aca="false">sh_nv_26_lo</f>
        <v>0.01</v>
      </c>
      <c r="E960" s="20" t="n">
        <f aca="false">sh_nv_27_lo</f>
        <v>0.01</v>
      </c>
      <c r="F960" s="20" t="n">
        <f aca="false">sh_nv_28_lo</f>
        <v>0.01</v>
      </c>
      <c r="G960" s="20" t="n">
        <f aca="false">sh_nv_29_lo</f>
        <v>0.01</v>
      </c>
    </row>
    <row r="961" customFormat="false" ht="17.15" hidden="false" customHeight="false" outlineLevel="0" collapsed="false">
      <c r="A961" s="3" t="s">
        <v>620</v>
      </c>
      <c r="B961" s="0" t="s">
        <v>40</v>
      </c>
      <c r="D961" s="20" t="n">
        <f aca="false">sh_ot_26</f>
        <v>0.05</v>
      </c>
      <c r="E961" s="20" t="n">
        <f aca="false">sh_ot_27</f>
        <v>0.06</v>
      </c>
      <c r="F961" s="20" t="n">
        <f aca="false">sh_ot_28</f>
        <v>0.07</v>
      </c>
      <c r="G961" s="20" t="n">
        <f aca="false">sh_ot_29</f>
        <v>0.07</v>
      </c>
    </row>
    <row r="962" customFormat="false" ht="17.15" hidden="false" customHeight="false" outlineLevel="0" collapsed="false">
      <c r="A962" s="3" t="s">
        <v>621</v>
      </c>
      <c r="B962" s="0" t="s">
        <v>571</v>
      </c>
      <c r="D962" s="22" t="n">
        <f aca="false">(D954*D959*D960+D955*D959*v_ot*D961)*D958</f>
        <v>81.81726648</v>
      </c>
      <c r="E962" s="22" t="n">
        <f aca="false">(E954*E959*E960+E955*E959*v_ot*E961)*E958</f>
        <v>224.681625109668</v>
      </c>
      <c r="F962" s="22" t="n">
        <f aca="false">(F954*F959*F960+F955*F959*v_ot*F961)*F958</f>
        <v>342.920549453954</v>
      </c>
      <c r="G962" s="22" t="n">
        <f aca="false">(G954*G959*G960+G955*G959*v_ot*G961)*G958</f>
        <v>439.661482454065</v>
      </c>
    </row>
    <row r="963" customFormat="false" ht="15" hidden="false" customHeight="false" outlineLevel="0" collapsed="false">
      <c r="A963" s="3" t="s">
        <v>622</v>
      </c>
      <c r="B963" s="0" t="s">
        <v>329</v>
      </c>
      <c r="D963" s="21" t="n">
        <f aca="false">D962*fx/1000</f>
        <v>2.6590611606</v>
      </c>
      <c r="E963" s="21" t="n">
        <f aca="false">E962*fx/1000</f>
        <v>7.30215281606421</v>
      </c>
      <c r="F963" s="21" t="n">
        <f aca="false">F962*fx/1000</f>
        <v>11.1449178572535</v>
      </c>
      <c r="G963" s="21" t="n">
        <f aca="false">G962*fx/1000</f>
        <v>14.2889981797571</v>
      </c>
    </row>
    <row r="964" customFormat="false" ht="17.15" hidden="false" customHeight="false" outlineLevel="0" collapsed="false">
      <c r="A964" s="5" t="s">
        <v>623</v>
      </c>
    </row>
    <row r="965" customFormat="false" ht="17.15" hidden="false" customHeight="false" outlineLevel="0" collapsed="false">
      <c r="A965" s="0" t="s">
        <v>624</v>
      </c>
      <c r="B965" s="0" t="s">
        <v>329</v>
      </c>
      <c r="D965" s="21" t="n">
        <f aca="false">a26_abf*ai_abf</f>
        <v>22.2987583</v>
      </c>
      <c r="K965" s="3" t="s">
        <v>625</v>
      </c>
    </row>
    <row r="966" customFormat="false" ht="17.15" hidden="false" customHeight="false" outlineLevel="0" collapsed="false">
      <c r="A966" s="3" t="s">
        <v>626</v>
      </c>
      <c r="B966" s="0" t="s">
        <v>329</v>
      </c>
      <c r="D966" s="21" t="n">
        <f aca="false">D965-D963</f>
        <v>19.6396971394</v>
      </c>
      <c r="E966" s="21" t="n">
        <f aca="false">$D966*(swm_27/swm_26)^el_o*1*1*E957*E958</f>
        <v>31.5908399554348</v>
      </c>
      <c r="F966" s="21" t="n">
        <f aca="false">$D966*(swm_28/swm_26)^el_o*um28_A*1*F957*F958</f>
        <v>32.28461706852</v>
      </c>
      <c r="G966" s="21" t="n">
        <f aca="false">$D966*(swm_29/swm_26)^el_o*um29_A*1*G957*G958</f>
        <v>32.6287774684246</v>
      </c>
      <c r="K966" s="7" t="s">
        <v>627</v>
      </c>
    </row>
    <row r="967" customFormat="false" ht="17.15" hidden="false" customHeight="false" outlineLevel="0" collapsed="false">
      <c r="A967" s="3" t="s">
        <v>628</v>
      </c>
      <c r="B967" s="0" t="s">
        <v>329</v>
      </c>
      <c r="D967" s="21" t="n">
        <f aca="false">a26_abf-D965</f>
        <v>12.0070237</v>
      </c>
      <c r="E967" s="21" t="n">
        <f aca="false">D967*(1+g_nai)</f>
        <v>12.367234411</v>
      </c>
      <c r="F967" s="21" t="n">
        <f aca="false">E967*(1+g_nai)</f>
        <v>12.73825144333</v>
      </c>
      <c r="G967" s="21" t="n">
        <f aca="false">F967*(1+g_nai)</f>
        <v>13.1203989866299</v>
      </c>
    </row>
    <row r="968" customFormat="false" ht="17.15" hidden="false" customHeight="false" outlineLevel="0" collapsed="false">
      <c r="A968" s="0" t="s">
        <v>629</v>
      </c>
      <c r="B968" s="0" t="s">
        <v>329</v>
      </c>
      <c r="D968" s="21" t="n">
        <f aca="false">D963+D966+D967</f>
        <v>34.305782</v>
      </c>
      <c r="E968" s="21" t="n">
        <f aca="false">E963+E966+E967</f>
        <v>51.260227182499</v>
      </c>
      <c r="F968" s="21" t="n">
        <f aca="false">F963+F966+F967</f>
        <v>56.1677863691035</v>
      </c>
      <c r="G968" s="21" t="n">
        <f aca="false">G963+G966+G967</f>
        <v>60.0381746348116</v>
      </c>
    </row>
    <row r="969" customFormat="false" ht="17.15" hidden="false" customHeight="false" outlineLevel="0" collapsed="false">
      <c r="A969" s="0" t="s">
        <v>630</v>
      </c>
      <c r="B969" s="0" t="s">
        <v>329</v>
      </c>
      <c r="D969" s="21" t="n">
        <f aca="false">a26_abf</f>
        <v>34.305782</v>
      </c>
      <c r="E969" s="21" t="n">
        <f aca="false">$D968*cap_27*(1+g_mix)^1*E957*E958</f>
        <v>49.709078118</v>
      </c>
      <c r="F969" s="21" t="n">
        <f aca="false">$D968*cap_28*(1+g_mix)^2*F957*F958</f>
        <v>55.7829061005431</v>
      </c>
      <c r="G969" s="21" t="n">
        <f aca="false">$D968*cap_29*(1+g_mix)^3*G957*G958</f>
        <v>65.765110350114</v>
      </c>
      <c r="K969" s="7" t="s">
        <v>631</v>
      </c>
    </row>
    <row r="970" customFormat="false" ht="17.15" hidden="false" customHeight="false" outlineLevel="0" collapsed="false">
      <c r="A970" s="0" t="s">
        <v>632</v>
      </c>
      <c r="B970" s="0" t="s">
        <v>329</v>
      </c>
      <c r="D970" s="21" t="n">
        <f aca="false">a26_abf</f>
        <v>34.305782</v>
      </c>
      <c r="E970" s="21" t="n">
        <f aca="false">MIN(E968,E969)</f>
        <v>49.709078118</v>
      </c>
      <c r="F970" s="21" t="n">
        <f aca="false">MIN(F968,F969)</f>
        <v>55.7829061005431</v>
      </c>
      <c r="G970" s="21" t="n">
        <f aca="false">MIN(G968,G969)</f>
        <v>60.0381746348116</v>
      </c>
    </row>
    <row r="971" customFormat="false" ht="17.15" hidden="false" customHeight="false" outlineLevel="0" collapsed="false">
      <c r="A971" s="3" t="s">
        <v>633</v>
      </c>
      <c r="B971" s="0" t="s">
        <v>40</v>
      </c>
      <c r="D971" s="20" t="n">
        <f aca="false">D970/D968</f>
        <v>1</v>
      </c>
      <c r="E971" s="20" t="n">
        <f aca="false">E970/E968</f>
        <v>0.969739715374719</v>
      </c>
      <c r="F971" s="20" t="n">
        <f aca="false">F970/F968</f>
        <v>0.993147668914151</v>
      </c>
      <c r="G971" s="20" t="n">
        <f aca="false">G970/G968</f>
        <v>1</v>
      </c>
    </row>
    <row r="972" customFormat="false" ht="17.15" hidden="false" customHeight="false" outlineLevel="0" collapsed="false">
      <c r="A972" s="0" t="s">
        <v>634</v>
      </c>
      <c r="B972" s="0" t="s">
        <v>329</v>
      </c>
      <c r="D972" s="21" t="n">
        <f aca="false">(D963+D966)*D971</f>
        <v>22.2987583</v>
      </c>
      <c r="E972" s="21" t="n">
        <f aca="false">(E963+E966)*E971</f>
        <v>37.7160797403044</v>
      </c>
      <c r="F972" s="21" t="n">
        <f aca="false">(F963+F966)*F971</f>
        <v>43.1319413735576</v>
      </c>
      <c r="G972" s="21" t="n">
        <f aca="false">(G963+G966)*G971</f>
        <v>46.9177756481817</v>
      </c>
    </row>
    <row r="973" customFormat="false" ht="17.15" hidden="false" customHeight="false" outlineLevel="0" collapsed="false">
      <c r="A973" s="3" t="s">
        <v>635</v>
      </c>
      <c r="B973" s="0" t="s">
        <v>40</v>
      </c>
      <c r="D973" s="20" t="n">
        <f aca="false">D963/(D963+D966)</f>
        <v>0.119247050657525</v>
      </c>
      <c r="E973" s="20" t="n">
        <f aca="false">E963/(E963+E966)</f>
        <v>0.187749830900523</v>
      </c>
      <c r="F973" s="20" t="n">
        <f aca="false">F963/(F963+F966)</f>
        <v>0.256620704695585</v>
      </c>
      <c r="G973" s="20" t="n">
        <f aca="false">G963/(G963+G966)</f>
        <v>0.304554041242381</v>
      </c>
    </row>
    <row r="974" customFormat="false" ht="17.15" hidden="false" customHeight="false" outlineLevel="0" collapsed="false">
      <c r="A974" s="5" t="s">
        <v>636</v>
      </c>
    </row>
    <row r="975" customFormat="false" ht="17.15" hidden="false" customHeight="false" outlineLevel="0" collapsed="false">
      <c r="A975" s="0" t="s">
        <v>637</v>
      </c>
      <c r="B975" s="0" t="s">
        <v>329</v>
      </c>
      <c r="D975" s="21" t="n">
        <f aca="false">a26_bt</f>
        <v>18.927328</v>
      </c>
      <c r="E975" s="21" t="n">
        <f aca="false">D975*(1+g_bt27_A)</f>
        <v>24.6055264</v>
      </c>
      <c r="F975" s="21" t="n">
        <f aca="false">E975*(1+g_bt28_A)</f>
        <v>27.06607904</v>
      </c>
      <c r="G975" s="21" t="n">
        <f aca="false">F975*(1+g_bt29_A)</f>
        <v>28.419382992</v>
      </c>
      <c r="K975" s="7" t="s">
        <v>638</v>
      </c>
    </row>
    <row r="976" customFormat="false" ht="17.15" hidden="false" customHeight="false" outlineLevel="0" collapsed="false">
      <c r="A976" s="0" t="s">
        <v>536</v>
      </c>
      <c r="B976" s="0" t="s">
        <v>329</v>
      </c>
      <c r="D976" s="21" t="n">
        <f aca="false">a26_pcb</f>
        <v>5.91479</v>
      </c>
      <c r="E976" s="21" t="n">
        <f aca="false">D976*(1+g_pcb)</f>
        <v>5.91479</v>
      </c>
      <c r="F976" s="21" t="n">
        <f aca="false">E976*(1+g_pcb)</f>
        <v>5.91479</v>
      </c>
      <c r="G976" s="21" t="n">
        <f aca="false">F976*(1+g_pcb)</f>
        <v>5.91479</v>
      </c>
    </row>
    <row r="977" customFormat="false" ht="17.15" hidden="false" customHeight="false" outlineLevel="0" collapsed="false">
      <c r="A977" s="3" t="s">
        <v>501</v>
      </c>
      <c r="B977" s="0" t="s">
        <v>329</v>
      </c>
      <c r="C977" s="23" t="n">
        <f aca="false">a25_rev</f>
        <v>40.173</v>
      </c>
      <c r="D977" s="23" t="n">
        <f aca="false">D970+D975+D976</f>
        <v>59.1479</v>
      </c>
      <c r="E977" s="23" t="n">
        <f aca="false">E970+E975+E976</f>
        <v>80.229394518</v>
      </c>
      <c r="F977" s="23" t="n">
        <f aca="false">F970+F975+F976</f>
        <v>88.7637751405431</v>
      </c>
      <c r="G977" s="23" t="n">
        <f aca="false">G970+G975+G976</f>
        <v>94.3723476268116</v>
      </c>
      <c r="H977" s="25" t="n">
        <f aca="false">G977*(1+H978)</f>
        <v>100.235096076881</v>
      </c>
      <c r="I977" s="25" t="n">
        <f aca="false">H977*(1+I978)</f>
        <v>106.35563065666</v>
      </c>
      <c r="J977" s="25" t="n">
        <f aca="false">I977*(1+J978)</f>
        <v>112.73696849606</v>
      </c>
      <c r="K977" s="7" t="s">
        <v>639</v>
      </c>
    </row>
    <row r="978" customFormat="false" ht="15" hidden="false" customHeight="false" outlineLevel="0" collapsed="false">
      <c r="A978" s="3" t="s">
        <v>640</v>
      </c>
      <c r="B978" s="0" t="s">
        <v>40</v>
      </c>
      <c r="D978" s="20" t="n">
        <f aca="false">D977/C977-1</f>
        <v>0.472329674159261</v>
      </c>
      <c r="E978" s="20" t="n">
        <f aca="false">E977/D977-1</f>
        <v>0.35642</v>
      </c>
      <c r="F978" s="20" t="n">
        <f aca="false">F977/E977-1</f>
        <v>0.106374735517023</v>
      </c>
      <c r="G978" s="20" t="n">
        <f aca="false">G977/F977-1</f>
        <v>0.0631853757615448</v>
      </c>
      <c r="H978" s="26" t="n">
        <f aca="false">$G978+(fade_gA-$G978)*1/3</f>
        <v>0.0621235838410299</v>
      </c>
      <c r="I978" s="26" t="n">
        <f aca="false">$G978+(fade_gA-$G978)*2/3</f>
        <v>0.0610617919205149</v>
      </c>
      <c r="J978" s="26" t="n">
        <f aca="false">$G978+(fade_gA-$G978)*3/3</f>
        <v>0.06</v>
      </c>
    </row>
    <row r="979" customFormat="false" ht="17.15" hidden="false" customHeight="false" outlineLevel="0" collapsed="false">
      <c r="A979" s="0" t="s">
        <v>641</v>
      </c>
      <c r="B979" s="0" t="s">
        <v>40</v>
      </c>
      <c r="D979" s="20" t="n">
        <f aca="false">D970/D977</f>
        <v>0.58</v>
      </c>
      <c r="E979" s="20" t="n">
        <f aca="false">E970/E977</f>
        <v>0.619586853629407</v>
      </c>
      <c r="F979" s="20" t="n">
        <f aca="false">F970/F977</f>
        <v>0.62844224473576</v>
      </c>
      <c r="G979" s="20" t="n">
        <f aca="false">G970/G977</f>
        <v>0.636183968552187</v>
      </c>
    </row>
    <row r="980" customFormat="false" ht="17.15" hidden="false" customHeight="false" outlineLevel="0" collapsed="false">
      <c r="A980" s="0" t="s">
        <v>642</v>
      </c>
      <c r="B980" s="0" t="s">
        <v>40</v>
      </c>
      <c r="D980" s="20" t="n">
        <f aca="false">D972/D977</f>
        <v>0.377</v>
      </c>
      <c r="E980" s="20" t="n">
        <f aca="false">E972/E977</f>
        <v>0.470103008590481</v>
      </c>
      <c r="F980" s="20" t="n">
        <f aca="false">F972/F977</f>
        <v>0.485918284855113</v>
      </c>
      <c r="G980" s="20" t="n">
        <f aca="false">G972/G977</f>
        <v>0.497155966000915</v>
      </c>
      <c r="K980" s="3" t="s">
        <v>643</v>
      </c>
    </row>
    <row r="981" customFormat="false" ht="17.15" hidden="false" customHeight="false" outlineLevel="0" collapsed="false">
      <c r="A981" s="5" t="s">
        <v>644</v>
      </c>
    </row>
    <row r="982" customFormat="false" ht="15" hidden="false" customHeight="false" outlineLevel="0" collapsed="false">
      <c r="A982" s="3" t="s">
        <v>645</v>
      </c>
      <c r="B982" s="0" t="s">
        <v>329</v>
      </c>
      <c r="C982" s="23" t="n">
        <f aca="false">a25_cx</f>
        <v>2.422</v>
      </c>
      <c r="D982" s="23" t="n">
        <f aca="false">capex26</f>
        <v>4</v>
      </c>
      <c r="E982" s="23" t="n">
        <f aca="false">cx27</f>
        <v>14</v>
      </c>
      <c r="F982" s="23" t="n">
        <f aca="false">cx28</f>
        <v>18</v>
      </c>
      <c r="G982" s="23" t="n">
        <f aca="false">cx29</f>
        <v>12</v>
      </c>
      <c r="H982" s="25" t="n">
        <f aca="false">H977*H999</f>
        <v>12.1916678447899</v>
      </c>
      <c r="I982" s="25" t="n">
        <f aca="false">I977*I999</f>
        <v>12.3484808224481</v>
      </c>
      <c r="J982" s="25" t="n">
        <f aca="false">J977*J999</f>
        <v>12.466499637904</v>
      </c>
    </row>
    <row r="983" customFormat="false" ht="17.15" hidden="false" customHeight="false" outlineLevel="0" collapsed="false">
      <c r="A983" s="3" t="s">
        <v>646</v>
      </c>
      <c r="B983" s="0" t="s">
        <v>329</v>
      </c>
      <c r="C983" s="23" t="n">
        <f aca="false">a25_da</f>
        <v>6.894</v>
      </c>
      <c r="D983" s="23" t="n">
        <f aca="false">da26</f>
        <v>7.1</v>
      </c>
      <c r="E983" s="23" t="n">
        <f aca="false">D983*(1-1/life)+D982/life</f>
        <v>6.7125</v>
      </c>
      <c r="F983" s="23" t="n">
        <f aca="false">E983*(1-1/life)+E982/life</f>
        <v>7.6234375</v>
      </c>
      <c r="G983" s="23" t="n">
        <f aca="false">F983*(1-1/life)+F982/life</f>
        <v>8.9205078125</v>
      </c>
      <c r="H983" s="25" t="n">
        <f aca="false">H977*H984</f>
        <v>9.47468172749441</v>
      </c>
      <c r="I983" s="25" t="n">
        <f aca="false">I977*I984</f>
        <v>10.0532227716518</v>
      </c>
      <c r="J983" s="25" t="n">
        <f aca="false">J977*J984</f>
        <v>10.6564161379509</v>
      </c>
      <c r="K983" s="3" t="s">
        <v>647</v>
      </c>
    </row>
    <row r="984" customFormat="false" ht="17.15" hidden="false" customHeight="false" outlineLevel="0" collapsed="false">
      <c r="A984" s="3" t="s">
        <v>648</v>
      </c>
      <c r="B984" s="0" t="s">
        <v>40</v>
      </c>
      <c r="C984" s="20" t="n">
        <f aca="false">C983/C977</f>
        <v>0.171607796281084</v>
      </c>
      <c r="D984" s="20" t="n">
        <f aca="false">D983/D977</f>
        <v>0.120038074048276</v>
      </c>
      <c r="E984" s="20" t="n">
        <f aca="false">E983/E977</f>
        <v>0.0836663424961285</v>
      </c>
      <c r="F984" s="20" t="n">
        <f aca="false">F983/F977</f>
        <v>0.0858845569369883</v>
      </c>
      <c r="G984" s="20" t="n">
        <f aca="false">G983/G977</f>
        <v>0.0945245936635536</v>
      </c>
      <c r="H984" s="26" t="n">
        <f aca="false">$G984</f>
        <v>0.0945245936635536</v>
      </c>
      <c r="I984" s="26" t="n">
        <f aca="false">$G984</f>
        <v>0.0945245936635536</v>
      </c>
      <c r="J984" s="26" t="n">
        <f aca="false">$G984</f>
        <v>0.0945245936635536</v>
      </c>
    </row>
    <row r="985" customFormat="false" ht="17.15" hidden="false" customHeight="false" outlineLevel="0" collapsed="false">
      <c r="A985" s="3" t="s">
        <v>649</v>
      </c>
      <c r="B985" s="0" t="s">
        <v>329</v>
      </c>
      <c r="E985" s="21" t="n">
        <f aca="false">E972*(1-1/(E957*E958))</f>
        <v>4.91948866177884</v>
      </c>
      <c r="F985" s="21" t="n">
        <f aca="false">F972*(1-1/(F957*F958))</f>
        <v>3.65190350302432</v>
      </c>
      <c r="G985" s="21" t="n">
        <f aca="false">G972*(1-1/(G957*G958))</f>
        <v>1.58659144703996</v>
      </c>
      <c r="K985" s="7" t="s">
        <v>650</v>
      </c>
    </row>
    <row r="986" customFormat="false" ht="17.15" hidden="false" customHeight="false" outlineLevel="0" collapsed="false">
      <c r="A986" s="3" t="s">
        <v>651</v>
      </c>
      <c r="B986" s="0" t="s">
        <v>329</v>
      </c>
      <c r="C986" s="21" t="n">
        <f aca="false">a25_gp</f>
        <v>3.647</v>
      </c>
      <c r="D986" s="21" t="n">
        <f aca="false">a26_gp</f>
        <v>15.9001925</v>
      </c>
      <c r="E986" s="21" t="n">
        <f aca="false">$D986+ft_abf*(E970-E985-$D970)+ft_oth*((E977-E970)-($D977-$D970))+E985-(E983-$D983)</f>
        <v>28.7203642498894</v>
      </c>
      <c r="F986" s="21" t="n">
        <f aca="false">$D986+ft_abf*(F970-F985-$D970)+ft_oth*((F977-F970)-($D977-$D970))+F985-(F983-$D983)</f>
        <v>31.1967692177837</v>
      </c>
      <c r="G986" s="21" t="n">
        <f aca="false">$D986+ft_abf*(G970-G985-$D970)+ft_oth*((G977-G970)-($D977-$D970))+G985-(G983-$D983)</f>
        <v>31.5359987252258</v>
      </c>
      <c r="K986" s="3" t="s">
        <v>652</v>
      </c>
    </row>
    <row r="987" customFormat="false" ht="15" hidden="false" customHeight="false" outlineLevel="0" collapsed="false">
      <c r="A987" s="3" t="s">
        <v>508</v>
      </c>
      <c r="B987" s="0" t="s">
        <v>40</v>
      </c>
      <c r="C987" s="16" t="n">
        <f aca="false">C986/C977</f>
        <v>0.0907823662659</v>
      </c>
      <c r="D987" s="16" t="n">
        <f aca="false">D986/D977</f>
        <v>0.268820913337583</v>
      </c>
      <c r="E987" s="16" t="n">
        <f aca="false">E986/E977</f>
        <v>0.357978075522505</v>
      </c>
      <c r="F987" s="16" t="n">
        <f aca="false">F986/F977</f>
        <v>0.35145834174345</v>
      </c>
      <c r="G987" s="16" t="n">
        <f aca="false">G986/G977</f>
        <v>0.334165669481197</v>
      </c>
    </row>
    <row r="988" customFormat="false" ht="15" hidden="false" customHeight="false" outlineLevel="0" collapsed="false">
      <c r="A988" s="3" t="s">
        <v>510</v>
      </c>
      <c r="B988" s="0" t="s">
        <v>329</v>
      </c>
      <c r="C988" s="21" t="n">
        <f aca="false">a25_opx</f>
        <v>1.665</v>
      </c>
      <c r="D988" s="21" t="n">
        <f aca="false">a26_opx</f>
        <v>1.9</v>
      </c>
      <c r="E988" s="21" t="n">
        <f aca="false">D988*(1+phi*E978)</f>
        <v>2.3063188</v>
      </c>
      <c r="F988" s="21" t="n">
        <f aca="false">E988*(1+phi*F978)</f>
        <v>2.45351923142076</v>
      </c>
      <c r="G988" s="21" t="n">
        <f aca="false">F988*(1+phi*G978)</f>
        <v>2.54653515216606</v>
      </c>
    </row>
    <row r="989" customFormat="false" ht="15" hidden="false" customHeight="false" outlineLevel="0" collapsed="false">
      <c r="A989" s="3" t="s">
        <v>513</v>
      </c>
      <c r="B989" s="0" t="s">
        <v>329</v>
      </c>
      <c r="C989" s="21" t="n">
        <f aca="false">C986-C988</f>
        <v>1.982</v>
      </c>
      <c r="D989" s="21" t="n">
        <f aca="false">D986-D988</f>
        <v>14.0001925</v>
      </c>
      <c r="E989" s="21" t="n">
        <f aca="false">E986-E988</f>
        <v>26.4140454498894</v>
      </c>
      <c r="F989" s="21" t="n">
        <f aca="false">F986-F988</f>
        <v>28.743249986363</v>
      </c>
      <c r="G989" s="21" t="n">
        <f aca="false">G986-G988</f>
        <v>28.9894635730597</v>
      </c>
    </row>
    <row r="990" customFormat="false" ht="15" hidden="false" customHeight="false" outlineLevel="0" collapsed="false">
      <c r="A990" s="3" t="s">
        <v>594</v>
      </c>
      <c r="B990" s="0" t="s">
        <v>40</v>
      </c>
      <c r="C990" s="16" t="n">
        <f aca="false">C989/C977</f>
        <v>0.0493366191222961</v>
      </c>
      <c r="D990" s="16" t="n">
        <f aca="false">D989/D977</f>
        <v>0.236698048451424</v>
      </c>
      <c r="E990" s="16" t="n">
        <f aca="false">E989/E977</f>
        <v>0.329231519302607</v>
      </c>
      <c r="F990" s="16" t="n">
        <f aca="false">F989/F977</f>
        <v>0.323817344866784</v>
      </c>
      <c r="G990" s="16" t="n">
        <f aca="false">G989/G977</f>
        <v>0.307181757178452</v>
      </c>
    </row>
    <row r="991" customFormat="false" ht="15" hidden="false" customHeight="false" outlineLevel="0" collapsed="false">
      <c r="A991" s="3" t="s">
        <v>516</v>
      </c>
      <c r="B991" s="0" t="s">
        <v>329</v>
      </c>
      <c r="C991" s="21" t="n">
        <f aca="false">a25_nonop</f>
        <v>0.364</v>
      </c>
      <c r="D991" s="21" t="n">
        <f aca="false">a26_nonop</f>
        <v>0.623</v>
      </c>
      <c r="E991" s="21" t="n">
        <f aca="false">nonop27</f>
        <v>0.6</v>
      </c>
      <c r="F991" s="21" t="n">
        <f aca="false">nonop28</f>
        <v>0.6</v>
      </c>
      <c r="G991" s="21" t="n">
        <f aca="false">nonop29</f>
        <v>0.6</v>
      </c>
    </row>
    <row r="992" customFormat="false" ht="15" hidden="false" customHeight="false" outlineLevel="0" collapsed="false">
      <c r="A992" s="3" t="s">
        <v>518</v>
      </c>
      <c r="B992" s="0" t="s">
        <v>329</v>
      </c>
      <c r="C992" s="21" t="n">
        <f aca="false">C989+C991</f>
        <v>2.346</v>
      </c>
      <c r="D992" s="21" t="n">
        <f aca="false">D989+D991</f>
        <v>14.6231925</v>
      </c>
      <c r="E992" s="21" t="n">
        <f aca="false">E989+E991</f>
        <v>27.0140454498894</v>
      </c>
      <c r="F992" s="21" t="n">
        <f aca="false">F989+F991</f>
        <v>29.343249986363</v>
      </c>
      <c r="G992" s="21" t="n">
        <f aca="false">G989+G991</f>
        <v>29.5894635730597</v>
      </c>
    </row>
    <row r="993" customFormat="false" ht="15" hidden="false" customHeight="false" outlineLevel="0" collapsed="false">
      <c r="A993" s="3" t="s">
        <v>521</v>
      </c>
      <c r="B993" s="0" t="s">
        <v>329</v>
      </c>
      <c r="E993" s="21" t="n">
        <f aca="false">E992*tax</f>
        <v>5.67294954447678</v>
      </c>
      <c r="F993" s="21" t="n">
        <f aca="false">F992*tax</f>
        <v>6.16208249713622</v>
      </c>
      <c r="G993" s="21" t="n">
        <f aca="false">G992*tax</f>
        <v>6.21378735034254</v>
      </c>
    </row>
    <row r="994" customFormat="false" ht="15" hidden="false" customHeight="false" outlineLevel="0" collapsed="false">
      <c r="A994" s="3" t="s">
        <v>519</v>
      </c>
      <c r="B994" s="0" t="s">
        <v>329</v>
      </c>
      <c r="C994" s="21" t="n">
        <f aca="false">a25_ni</f>
        <v>1.947</v>
      </c>
      <c r="D994" s="21" t="n">
        <f aca="false">a26_ni</f>
        <v>11.509862075</v>
      </c>
      <c r="E994" s="21" t="n">
        <f aca="false">E992-E993</f>
        <v>21.3410959054126</v>
      </c>
      <c r="F994" s="21" t="n">
        <f aca="false">F992-F993</f>
        <v>23.1811674892267</v>
      </c>
      <c r="G994" s="21" t="n">
        <f aca="false">G992-G993</f>
        <v>23.3756762227172</v>
      </c>
      <c r="H994" s="30" t="n">
        <f aca="false">H977*H998</f>
        <v>24.9748682062287</v>
      </c>
      <c r="I994" s="30" t="n">
        <f aca="false">I977*I998</f>
        <v>26.6558663811458</v>
      </c>
      <c r="J994" s="30" t="n">
        <f aca="false">J977*J998</f>
        <v>28.4205656114366</v>
      </c>
    </row>
    <row r="995" customFormat="false" ht="15" hidden="false" customHeight="false" outlineLevel="0" collapsed="false">
      <c r="A995" s="3" t="s">
        <v>653</v>
      </c>
      <c r="B995" s="3" t="s">
        <v>396</v>
      </c>
      <c r="C995" s="29" t="n">
        <f aca="false">a25_sh</f>
        <v>0.646843853820598</v>
      </c>
      <c r="D995" s="29" t="n">
        <f aca="false">a26_sh</f>
        <v>0.645863325123153</v>
      </c>
      <c r="E995" s="29" t="n">
        <f aca="false">a26_shend*(1+sh_g)</f>
        <v>0.64617</v>
      </c>
      <c r="F995" s="29" t="n">
        <f aca="false">E995*(1+sh_g)</f>
        <v>0.64617</v>
      </c>
      <c r="G995" s="29" t="n">
        <f aca="false">F995*(1+sh_g)</f>
        <v>0.64617</v>
      </c>
      <c r="H995" s="31" t="n">
        <f aca="false">G995*(1+sh_g)</f>
        <v>0.64617</v>
      </c>
      <c r="I995" s="31" t="n">
        <f aca="false">H995*(1+sh_g)</f>
        <v>0.64617</v>
      </c>
      <c r="J995" s="31" t="n">
        <f aca="false">I995*(1+sh_g)</f>
        <v>0.64617</v>
      </c>
    </row>
    <row r="996" customFormat="false" ht="17.15" hidden="false" customHeight="false" outlineLevel="0" collapsed="false">
      <c r="A996" s="0" t="s">
        <v>524</v>
      </c>
      <c r="B996" s="0" t="s">
        <v>402</v>
      </c>
      <c r="C996" s="18" t="n">
        <f aca="false">C994/C995</f>
        <v>3.01</v>
      </c>
      <c r="D996" s="18" t="n">
        <f aca="false">D994/D995</f>
        <v>17.820894339844</v>
      </c>
      <c r="E996" s="18" t="n">
        <f aca="false">E994/E995</f>
        <v>33.0270608437604</v>
      </c>
      <c r="F996" s="18" t="n">
        <f aca="false">F994/F995</f>
        <v>35.8747194843876</v>
      </c>
      <c r="G996" s="18" t="n">
        <f aca="false">G994/G995</f>
        <v>36.1757373798183</v>
      </c>
      <c r="H996" s="28" t="n">
        <f aca="false">H994/H995</f>
        <v>38.6506154823478</v>
      </c>
      <c r="I996" s="28" t="n">
        <f aca="false">I994/I995</f>
        <v>41.2520952398684</v>
      </c>
      <c r="J996" s="28" t="n">
        <f aca="false">J994/J995</f>
        <v>43.9831091066385</v>
      </c>
    </row>
    <row r="997" customFormat="false" ht="17.15" hidden="false" customHeight="false" outlineLevel="0" collapsed="false">
      <c r="A997" s="0" t="s">
        <v>654</v>
      </c>
      <c r="B997" s="0" t="s">
        <v>40</v>
      </c>
      <c r="D997" s="20" t="n">
        <f aca="false">D996/C996-1</f>
        <v>4.92056290360265</v>
      </c>
      <c r="E997" s="20" t="n">
        <f aca="false">E996/D996-1</f>
        <v>0.853277406505825</v>
      </c>
      <c r="F997" s="20" t="n">
        <f aca="false">F996/E996-1</f>
        <v>0.0862219818499297</v>
      </c>
      <c r="G997" s="20" t="n">
        <f aca="false">G996/F996-1</f>
        <v>0.00839080833960759</v>
      </c>
      <c r="H997" s="26" t="n">
        <f aca="false">H996/G996-1</f>
        <v>0.0684126511795788</v>
      </c>
      <c r="I997" s="26" t="n">
        <f aca="false">I996/H996-1</f>
        <v>0.0673075894149402</v>
      </c>
      <c r="J997" s="26" t="n">
        <f aca="false">J996/I996-1</f>
        <v>0.066203034073542</v>
      </c>
    </row>
    <row r="998" customFormat="false" ht="17.15" hidden="false" customHeight="false" outlineLevel="0" collapsed="false">
      <c r="A998" s="3" t="s">
        <v>655</v>
      </c>
      <c r="B998" s="0" t="s">
        <v>40</v>
      </c>
      <c r="C998" s="16" t="n">
        <f aca="false">C994/C977</f>
        <v>0.0484653872003585</v>
      </c>
      <c r="D998" s="16" t="n">
        <f aca="false">D994/D977</f>
        <v>0.194594602259759</v>
      </c>
      <c r="E998" s="16" t="n">
        <f aca="false">E994/E977</f>
        <v>0.266000959294597</v>
      </c>
      <c r="F998" s="16" t="n">
        <f aca="false">F994/F977</f>
        <v>0.261155718676038</v>
      </c>
      <c r="G998" s="16" t="n">
        <f aca="false">G994/G977</f>
        <v>0.247696245887138</v>
      </c>
      <c r="H998" s="27" t="n">
        <f aca="false">$G998+(fade_mA-$G998)*1/3</f>
        <v>0.24916290983622</v>
      </c>
      <c r="I998" s="27" t="n">
        <f aca="false">$G998+(fade_mA-$G998)*2/3</f>
        <v>0.250629573785303</v>
      </c>
      <c r="J998" s="27" t="n">
        <f aca="false">$G998+(fade_mA-$G998)*3/3</f>
        <v>0.252096237734386</v>
      </c>
    </row>
    <row r="999" customFormat="false" ht="17.15" hidden="false" customHeight="false" outlineLevel="0" collapsed="false">
      <c r="A999" s="3" t="s">
        <v>656</v>
      </c>
      <c r="B999" s="0" t="s">
        <v>40</v>
      </c>
      <c r="C999" s="20" t="n">
        <f aca="false">C982/C977</f>
        <v>0.0602892489980833</v>
      </c>
      <c r="D999" s="20" t="n">
        <f aca="false">D982/D977</f>
        <v>0.0676270839708595</v>
      </c>
      <c r="E999" s="20" t="n">
        <f aca="false">E982/E977</f>
        <v>0.174499634256357</v>
      </c>
      <c r="F999" s="20" t="n">
        <f aca="false">F982/F977</f>
        <v>0.202785426504223</v>
      </c>
      <c r="G999" s="20" t="n">
        <f aca="false">G982/G977</f>
        <v>0.127155891548371</v>
      </c>
      <c r="H999" s="26" t="n">
        <f aca="false">$G999+($G984*(1+tp_g)^(life/2)-$G999)*1/3</f>
        <v>0.121630729374857</v>
      </c>
      <c r="I999" s="26" t="n">
        <f aca="false">$G999+($G984*(1+tp_g)^(life/2)-$G999)*2/3</f>
        <v>0.116105567201344</v>
      </c>
      <c r="J999" s="26" t="n">
        <f aca="false">$G999+($G984*(1+tp_g)^(life/2)-$G999)*3/3</f>
        <v>0.11058040502783</v>
      </c>
      <c r="K999" s="7" t="s">
        <v>657</v>
      </c>
    </row>
    <row r="1000" customFormat="false" ht="15" hidden="false" customHeight="false" outlineLevel="0" collapsed="false">
      <c r="A1000" s="3" t="s">
        <v>658</v>
      </c>
      <c r="B1000" s="0" t="s">
        <v>329</v>
      </c>
      <c r="E1000" s="21" t="n">
        <f aca="false">E994+E983-E982</f>
        <v>14.0535959054126</v>
      </c>
      <c r="F1000" s="21" t="n">
        <f aca="false">F994+F983-F982</f>
        <v>12.8046049892267</v>
      </c>
      <c r="G1000" s="21" t="n">
        <f aca="false">G994+G983-G982</f>
        <v>20.2961840352172</v>
      </c>
      <c r="H1000" s="30" t="n">
        <f aca="false">H994+H983-H982</f>
        <v>22.2578820889332</v>
      </c>
      <c r="I1000" s="30" t="n">
        <f aca="false">I994+I983-I982</f>
        <v>24.3606083303495</v>
      </c>
      <c r="J1000" s="30" t="n">
        <f aca="false">J994+J983-J982</f>
        <v>26.6104821114835</v>
      </c>
      <c r="K1000" s="3" t="s">
        <v>659</v>
      </c>
    </row>
    <row r="1001" customFormat="false" ht="15" hidden="false" customHeight="false" outlineLevel="0" collapsed="false">
      <c r="A1001" s="3" t="s">
        <v>660</v>
      </c>
      <c r="B1001" s="0" t="s">
        <v>402</v>
      </c>
      <c r="E1001" s="18" t="n">
        <f aca="false">E1000/E995</f>
        <v>21.7490689840331</v>
      </c>
      <c r="F1001" s="18" t="n">
        <f aca="false">F1000/F995</f>
        <v>19.8161551746858</v>
      </c>
      <c r="G1001" s="18" t="n">
        <f aca="false">G1000/G995</f>
        <v>31.4099757574898</v>
      </c>
      <c r="H1001" s="28" t="n">
        <f aca="false">H1000/H995</f>
        <v>34.4458611339636</v>
      </c>
      <c r="I1001" s="28" t="n">
        <f aca="false">I1000/I995</f>
        <v>37.699998963662</v>
      </c>
      <c r="J1001" s="28" t="n">
        <f aca="false">J1000/J995</f>
        <v>41.1818594355719</v>
      </c>
    </row>
    <row r="1004" customFormat="false" ht="17.15" hidden="false" customHeight="false" outlineLevel="0" collapsed="false">
      <c r="A1004" s="1" t="s">
        <v>976</v>
      </c>
    </row>
    <row r="1005" customFormat="false" ht="17.15" hidden="false" customHeight="false" outlineLevel="0" collapsed="false">
      <c r="A1005" s="4" t="s">
        <v>17</v>
      </c>
      <c r="B1005" s="4" t="s">
        <v>18</v>
      </c>
      <c r="C1005" s="13" t="s">
        <v>494</v>
      </c>
      <c r="D1005" s="13" t="s">
        <v>581</v>
      </c>
      <c r="E1005" s="13" t="s">
        <v>582</v>
      </c>
      <c r="F1005" s="13" t="s">
        <v>583</v>
      </c>
      <c r="G1005" s="13" t="s">
        <v>584</v>
      </c>
      <c r="H1005" s="13" t="s">
        <v>585</v>
      </c>
      <c r="I1005" s="13" t="s">
        <v>586</v>
      </c>
      <c r="J1005" s="13" t="s">
        <v>587</v>
      </c>
      <c r="K1005" s="4" t="s">
        <v>549</v>
      </c>
    </row>
    <row r="1006" customFormat="false" ht="17.15" hidden="false" customHeight="false" outlineLevel="0" collapsed="false">
      <c r="A1006" s="5" t="s">
        <v>605</v>
      </c>
    </row>
    <row r="1007" customFormat="false" ht="17.15" hidden="false" customHeight="false" outlineLevel="0" collapsed="false">
      <c r="A1007" s="0" t="s">
        <v>606</v>
      </c>
      <c r="B1007" s="3" t="s">
        <v>28</v>
      </c>
      <c r="D1007" s="21" t="n">
        <f aca="false">(u_bw_26+u_rb_26+u_ru_26+u_hp_26)*1</f>
        <v>7.6</v>
      </c>
      <c r="E1007" s="21" t="n">
        <f aca="false">(u_bw_27+u_rb_27+u_ru_27+u_hp_27)*1*1</f>
        <v>9.7</v>
      </c>
      <c r="F1007" s="21" t="n">
        <f aca="false">(u_bw_28+u_rb_28+u_ru_28+u_hp_28)*um28_A*1</f>
        <v>9.5</v>
      </c>
      <c r="G1007" s="21" t="n">
        <f aca="false">(u_bw_28*(1+g29_bw)+u_rb_28*(1+g29_rb)+u_ru_28*(1+g29_ru)+u_hp_28*(1+g29_hp))*um29_A*1</f>
        <v>10.6</v>
      </c>
      <c r="K1007" s="7" t="s">
        <v>607</v>
      </c>
    </row>
    <row r="1008" customFormat="false" ht="17.15" hidden="false" customHeight="false" outlineLevel="0" collapsed="false">
      <c r="A1008" s="3" t="s">
        <v>608</v>
      </c>
      <c r="B1008" s="3" t="s">
        <v>28</v>
      </c>
      <c r="D1008" s="21" t="n">
        <f aca="false">(u_amd_26+u_tpu_26+u_trn_26+u_oth_26)*1</f>
        <v>7.6</v>
      </c>
      <c r="E1008" s="21" t="n">
        <f aca="false">(u_amd_27+u_tpu_27+u_trn_27+u_oth_27)*1*1</f>
        <v>14</v>
      </c>
      <c r="F1008" s="21" t="n">
        <f aca="false">(u_amd_28+u_tpu_28+u_trn_28+u_oth_28)*um28_A*1</f>
        <v>17</v>
      </c>
      <c r="G1008" s="21" t="n">
        <f aca="false">(u_amd_28*(1+g29_amd)+u_tpu_28*(1+g29_tpu)+u_trn_28*(1+g29_trn)+u_oth_28*(1+g29_oth))*um29_A*1</f>
        <v>19.55</v>
      </c>
      <c r="K1008" s="7" t="s">
        <v>609</v>
      </c>
    </row>
    <row r="1009" customFormat="false" ht="17.15" hidden="false" customHeight="false" outlineLevel="0" collapsed="false">
      <c r="A1009" s="3" t="s">
        <v>610</v>
      </c>
      <c r="B1009" s="0" t="s">
        <v>150</v>
      </c>
      <c r="D1009" s="19" t="n">
        <f aca="false">1</f>
        <v>1</v>
      </c>
      <c r="E1009" s="19" t="n">
        <f aca="false">D1009*(1+g_asp)</f>
        <v>1.18</v>
      </c>
      <c r="F1009" s="19" t="n">
        <f aca="false">E1009*(1+g_asp)</f>
        <v>1.3924</v>
      </c>
      <c r="G1009" s="19" t="n">
        <f aca="false">F1009*(1+g_asp)</f>
        <v>1.643032</v>
      </c>
      <c r="K1009" s="7" t="s">
        <v>611</v>
      </c>
    </row>
    <row r="1010" customFormat="false" ht="17.15" hidden="false" customHeight="false" outlineLevel="0" collapsed="false">
      <c r="A1010" s="0" t="s">
        <v>612</v>
      </c>
      <c r="B1010" s="0" t="s">
        <v>150</v>
      </c>
      <c r="D1010" s="18" t="n">
        <f aca="false">1</f>
        <v>1</v>
      </c>
      <c r="E1010" s="18" t="n">
        <f aca="false">ibpp_27</f>
        <v>1</v>
      </c>
      <c r="F1010" s="18" t="n">
        <f aca="false">ibpp_28</f>
        <v>0.95</v>
      </c>
      <c r="G1010" s="18" t="n">
        <f aca="false">ibpp_29</f>
        <v>0.9</v>
      </c>
      <c r="K1010" s="7" t="s">
        <v>613</v>
      </c>
    </row>
    <row r="1011" customFormat="false" ht="17.15" hidden="false" customHeight="false" outlineLevel="0" collapsed="false">
      <c r="A1011" s="3" t="s">
        <v>614</v>
      </c>
      <c r="B1011" s="0" t="s">
        <v>150</v>
      </c>
      <c r="D1011" s="18" t="n">
        <f aca="false">1</f>
        <v>1</v>
      </c>
      <c r="E1011" s="18" t="n">
        <f aca="false">1+carry</f>
        <v>1.15</v>
      </c>
      <c r="F1011" s="18" t="n">
        <f aca="false">1+carry</f>
        <v>1.15</v>
      </c>
      <c r="G1011" s="18" t="n">
        <f aca="false">1+carry</f>
        <v>1.15</v>
      </c>
      <c r="K1011" s="7" t="s">
        <v>615</v>
      </c>
    </row>
    <row r="1012" customFormat="false" ht="17.15" hidden="false" customHeight="false" outlineLevel="0" collapsed="false">
      <c r="A1012" s="3" t="s">
        <v>616</v>
      </c>
      <c r="B1012" s="0" t="s">
        <v>617</v>
      </c>
      <c r="D1012" s="23" t="n">
        <f aca="false">v26*D1009*D1010</f>
        <v>215.308596</v>
      </c>
      <c r="E1012" s="23" t="n">
        <f aca="false">v26*E1009*E1010</f>
        <v>254.06414328</v>
      </c>
      <c r="F1012" s="23" t="n">
        <f aca="false">v26*F1009*F1010</f>
        <v>284.80590461688</v>
      </c>
      <c r="G1012" s="23" t="n">
        <f aca="false">v26*G1009*G1010</f>
        <v>318.383021792765</v>
      </c>
      <c r="K1012" s="7" t="s">
        <v>618</v>
      </c>
    </row>
    <row r="1013" customFormat="false" ht="17.15" hidden="false" customHeight="false" outlineLevel="0" collapsed="false">
      <c r="A1013" s="3" t="s">
        <v>619</v>
      </c>
      <c r="B1013" s="0" t="s">
        <v>40</v>
      </c>
      <c r="D1013" s="20" t="n">
        <f aca="false">sh_nv_26_hi</f>
        <v>0.03</v>
      </c>
      <c r="E1013" s="20" t="n">
        <f aca="false">sh_nv_27_hi</f>
        <v>0.05</v>
      </c>
      <c r="F1013" s="20" t="n">
        <f aca="false">sh_nv_28_hi</f>
        <v>0.06</v>
      </c>
      <c r="G1013" s="20" t="n">
        <f aca="false">sh_nv_29_hi</f>
        <v>0.06</v>
      </c>
    </row>
    <row r="1014" customFormat="false" ht="17.15" hidden="false" customHeight="false" outlineLevel="0" collapsed="false">
      <c r="A1014" s="3" t="s">
        <v>620</v>
      </c>
      <c r="B1014" s="0" t="s">
        <v>40</v>
      </c>
      <c r="D1014" s="20" t="n">
        <f aca="false">sh_ot_26</f>
        <v>0.05</v>
      </c>
      <c r="E1014" s="20" t="n">
        <f aca="false">sh_ot_27</f>
        <v>0.06</v>
      </c>
      <c r="F1014" s="20" t="n">
        <f aca="false">sh_ot_28</f>
        <v>0.07</v>
      </c>
      <c r="G1014" s="20" t="n">
        <f aca="false">sh_ot_29</f>
        <v>0.07</v>
      </c>
    </row>
    <row r="1015" customFormat="false" ht="17.15" hidden="false" customHeight="false" outlineLevel="0" collapsed="false">
      <c r="A1015" s="3" t="s">
        <v>621</v>
      </c>
      <c r="B1015" s="0" t="s">
        <v>571</v>
      </c>
      <c r="D1015" s="22" t="n">
        <f aca="false">(D1007*D1012*D1013+D1008*D1012*v_ot*D1014)*D1011</f>
        <v>114.544173072</v>
      </c>
      <c r="E1015" s="22" t="n">
        <f aca="false">(E1007*E1012*E1013+E1008*E1012*v_ot*E1014)*E1011</f>
        <v>338.045045841204</v>
      </c>
      <c r="F1015" s="22" t="n">
        <f aca="false">(F1007*F1012*F1013+F1008*F1012*v_ot*F1014)*F1011</f>
        <v>498.495774850925</v>
      </c>
      <c r="G1015" s="22" t="n">
        <f aca="false">(G1007*G1012*G1013+G1008*G1012*v_ot*G1014)*G1011</f>
        <v>633.715934236755</v>
      </c>
    </row>
    <row r="1016" customFormat="false" ht="15" hidden="false" customHeight="false" outlineLevel="0" collapsed="false">
      <c r="A1016" s="3" t="s">
        <v>622</v>
      </c>
      <c r="B1016" s="0" t="s">
        <v>329</v>
      </c>
      <c r="D1016" s="21" t="n">
        <f aca="false">D1015*fx/1000</f>
        <v>3.72268562484</v>
      </c>
      <c r="E1016" s="21" t="n">
        <f aca="false">E1015*fx/1000</f>
        <v>10.9864639898391</v>
      </c>
      <c r="F1016" s="21" t="n">
        <f aca="false">F1015*fx/1000</f>
        <v>16.2011126826551</v>
      </c>
      <c r="G1016" s="21" t="n">
        <f aca="false">G1015*fx/1000</f>
        <v>20.5957678626945</v>
      </c>
    </row>
    <row r="1017" customFormat="false" ht="17.15" hidden="false" customHeight="false" outlineLevel="0" collapsed="false">
      <c r="A1017" s="5" t="s">
        <v>623</v>
      </c>
    </row>
    <row r="1018" customFormat="false" ht="17.15" hidden="false" customHeight="false" outlineLevel="0" collapsed="false">
      <c r="A1018" s="0" t="s">
        <v>624</v>
      </c>
      <c r="B1018" s="0" t="s">
        <v>329</v>
      </c>
      <c r="D1018" s="21" t="n">
        <f aca="false">a26_abf*ai_abf</f>
        <v>22.2987583</v>
      </c>
      <c r="K1018" s="3" t="s">
        <v>625</v>
      </c>
    </row>
    <row r="1019" customFormat="false" ht="17.15" hidden="false" customHeight="false" outlineLevel="0" collapsed="false">
      <c r="A1019" s="3" t="s">
        <v>626</v>
      </c>
      <c r="B1019" s="0" t="s">
        <v>329</v>
      </c>
      <c r="D1019" s="21" t="n">
        <f aca="false">D1018-D1016</f>
        <v>18.57607267516</v>
      </c>
      <c r="E1019" s="21" t="n">
        <f aca="false">$D1019*(swm_27/swm_26)^el_o*1*1*E1010*E1011</f>
        <v>29.8799790402182</v>
      </c>
      <c r="F1019" s="21" t="n">
        <f aca="false">$D1019*(swm_28/swm_26)^el_o*um28_A*1*F1010*F1011</f>
        <v>30.5361833585209</v>
      </c>
      <c r="G1019" s="21" t="n">
        <f aca="false">$D1019*(swm_29/swm_26)^el_o*um29_A*1*G1010*G1011</f>
        <v>30.8617051094503</v>
      </c>
      <c r="K1019" s="7" t="s">
        <v>627</v>
      </c>
    </row>
    <row r="1020" customFormat="false" ht="17.15" hidden="false" customHeight="false" outlineLevel="0" collapsed="false">
      <c r="A1020" s="3" t="s">
        <v>628</v>
      </c>
      <c r="B1020" s="0" t="s">
        <v>329</v>
      </c>
      <c r="D1020" s="21" t="n">
        <f aca="false">a26_abf-D1018</f>
        <v>12.0070237</v>
      </c>
      <c r="E1020" s="21" t="n">
        <f aca="false">D1020*(1+g_nai)</f>
        <v>12.367234411</v>
      </c>
      <c r="F1020" s="21" t="n">
        <f aca="false">E1020*(1+g_nai)</f>
        <v>12.73825144333</v>
      </c>
      <c r="G1020" s="21" t="n">
        <f aca="false">F1020*(1+g_nai)</f>
        <v>13.1203989866299</v>
      </c>
    </row>
    <row r="1021" customFormat="false" ht="17.15" hidden="false" customHeight="false" outlineLevel="0" collapsed="false">
      <c r="A1021" s="0" t="s">
        <v>629</v>
      </c>
      <c r="B1021" s="0" t="s">
        <v>329</v>
      </c>
      <c r="D1021" s="21" t="n">
        <f aca="false">D1016+D1019+D1020</f>
        <v>34.305782</v>
      </c>
      <c r="E1021" s="21" t="n">
        <f aca="false">E1016+E1019+E1020</f>
        <v>53.2336774410573</v>
      </c>
      <c r="F1021" s="21" t="n">
        <f aca="false">F1016+F1019+F1020</f>
        <v>59.475547484506</v>
      </c>
      <c r="G1021" s="21" t="n">
        <f aca="false">G1016+G1019+G1020</f>
        <v>64.5778719587748</v>
      </c>
    </row>
    <row r="1022" customFormat="false" ht="17.15" hidden="false" customHeight="false" outlineLevel="0" collapsed="false">
      <c r="A1022" s="0" t="s">
        <v>630</v>
      </c>
      <c r="B1022" s="0" t="s">
        <v>329</v>
      </c>
      <c r="D1022" s="21" t="n">
        <f aca="false">a26_abf</f>
        <v>34.305782</v>
      </c>
      <c r="E1022" s="21" t="n">
        <f aca="false">$D1021*cap_27*(1+g_mix)^1*E1010*E1011</f>
        <v>49.709078118</v>
      </c>
      <c r="F1022" s="21" t="n">
        <f aca="false">$D1021*cap_28*(1+g_mix)^2*F1010*F1011</f>
        <v>55.7829061005431</v>
      </c>
      <c r="G1022" s="21" t="n">
        <f aca="false">$D1021*cap_29*(1+g_mix)^3*G1010*G1011</f>
        <v>65.765110350114</v>
      </c>
      <c r="K1022" s="7" t="s">
        <v>631</v>
      </c>
    </row>
    <row r="1023" customFormat="false" ht="17.15" hidden="false" customHeight="false" outlineLevel="0" collapsed="false">
      <c r="A1023" s="0" t="s">
        <v>632</v>
      </c>
      <c r="B1023" s="0" t="s">
        <v>329</v>
      </c>
      <c r="D1023" s="21" t="n">
        <f aca="false">a26_abf</f>
        <v>34.305782</v>
      </c>
      <c r="E1023" s="21" t="n">
        <f aca="false">MIN(E1021,E1022)</f>
        <v>49.709078118</v>
      </c>
      <c r="F1023" s="21" t="n">
        <f aca="false">MIN(F1021,F1022)</f>
        <v>55.7829061005431</v>
      </c>
      <c r="G1023" s="21" t="n">
        <f aca="false">MIN(G1021,G1022)</f>
        <v>64.5778719587748</v>
      </c>
    </row>
    <row r="1024" customFormat="false" ht="17.15" hidden="false" customHeight="false" outlineLevel="0" collapsed="false">
      <c r="A1024" s="3" t="s">
        <v>633</v>
      </c>
      <c r="B1024" s="0" t="s">
        <v>40</v>
      </c>
      <c r="D1024" s="20" t="n">
        <f aca="false">D1023/D1021</f>
        <v>1</v>
      </c>
      <c r="E1024" s="20" t="n">
        <f aca="false">E1023/E1021</f>
        <v>0.933790046217268</v>
      </c>
      <c r="F1024" s="20" t="n">
        <f aca="false">F1023/F1021</f>
        <v>0.937913284700324</v>
      </c>
      <c r="G1024" s="20" t="n">
        <f aca="false">G1023/G1021</f>
        <v>1</v>
      </c>
    </row>
    <row r="1025" customFormat="false" ht="17.15" hidden="false" customHeight="false" outlineLevel="0" collapsed="false">
      <c r="A1025" s="0" t="s">
        <v>634</v>
      </c>
      <c r="B1025" s="0" t="s">
        <v>329</v>
      </c>
      <c r="D1025" s="21" t="n">
        <f aca="false">(D1016+D1019)*D1024</f>
        <v>22.2987583</v>
      </c>
      <c r="E1025" s="21" t="n">
        <f aca="false">(E1016+E1019)*E1024</f>
        <v>38.1606777257725</v>
      </c>
      <c r="F1025" s="21" t="n">
        <f aca="false">(F1016+F1019)*F1024</f>
        <v>43.8355308479908</v>
      </c>
      <c r="G1025" s="21" t="n">
        <f aca="false">(G1016+G1019)*G1024</f>
        <v>51.4574729721449</v>
      </c>
    </row>
    <row r="1026" customFormat="false" ht="17.15" hidden="false" customHeight="false" outlineLevel="0" collapsed="false">
      <c r="A1026" s="3" t="s">
        <v>635</v>
      </c>
      <c r="B1026" s="0" t="s">
        <v>40</v>
      </c>
      <c r="D1026" s="20" t="n">
        <f aca="false">D1016/(D1016+D1019)</f>
        <v>0.166945870920535</v>
      </c>
      <c r="E1026" s="20" t="n">
        <f aca="false">E1016/(E1016+E1019)</f>
        <v>0.268838273537988</v>
      </c>
      <c r="F1026" s="20" t="n">
        <f aca="false">F1016/(F1016+F1019)</f>
        <v>0.346642062227599</v>
      </c>
      <c r="G1026" s="20" t="n">
        <f aca="false">G1016/(G1016+G1019)</f>
        <v>0.400248334655755</v>
      </c>
    </row>
    <row r="1027" customFormat="false" ht="17.15" hidden="false" customHeight="false" outlineLevel="0" collapsed="false">
      <c r="A1027" s="5" t="s">
        <v>636</v>
      </c>
    </row>
    <row r="1028" customFormat="false" ht="17.15" hidden="false" customHeight="false" outlineLevel="0" collapsed="false">
      <c r="A1028" s="0" t="s">
        <v>637</v>
      </c>
      <c r="B1028" s="0" t="s">
        <v>329</v>
      </c>
      <c r="D1028" s="21" t="n">
        <f aca="false">a26_bt</f>
        <v>18.927328</v>
      </c>
      <c r="E1028" s="21" t="n">
        <f aca="false">D1028*(1+g_bt27_A)</f>
        <v>24.6055264</v>
      </c>
      <c r="F1028" s="21" t="n">
        <f aca="false">E1028*(1+g_bt28_A)</f>
        <v>27.06607904</v>
      </c>
      <c r="G1028" s="21" t="n">
        <f aca="false">F1028*(1+g_bt29_A)</f>
        <v>28.419382992</v>
      </c>
      <c r="K1028" s="7" t="s">
        <v>638</v>
      </c>
    </row>
    <row r="1029" customFormat="false" ht="17.15" hidden="false" customHeight="false" outlineLevel="0" collapsed="false">
      <c r="A1029" s="0" t="s">
        <v>536</v>
      </c>
      <c r="B1029" s="0" t="s">
        <v>329</v>
      </c>
      <c r="D1029" s="21" t="n">
        <f aca="false">a26_pcb</f>
        <v>5.91479</v>
      </c>
      <c r="E1029" s="21" t="n">
        <f aca="false">D1029*(1+g_pcb)</f>
        <v>5.91479</v>
      </c>
      <c r="F1029" s="21" t="n">
        <f aca="false">E1029*(1+g_pcb)</f>
        <v>5.91479</v>
      </c>
      <c r="G1029" s="21" t="n">
        <f aca="false">F1029*(1+g_pcb)</f>
        <v>5.91479</v>
      </c>
    </row>
    <row r="1030" customFormat="false" ht="17.15" hidden="false" customHeight="false" outlineLevel="0" collapsed="false">
      <c r="A1030" s="3" t="s">
        <v>501</v>
      </c>
      <c r="B1030" s="0" t="s">
        <v>329</v>
      </c>
      <c r="C1030" s="23" t="n">
        <f aca="false">a25_rev</f>
        <v>40.173</v>
      </c>
      <c r="D1030" s="23" t="n">
        <f aca="false">D1023+D1028+D1029</f>
        <v>59.1479</v>
      </c>
      <c r="E1030" s="23" t="n">
        <f aca="false">E1023+E1028+E1029</f>
        <v>80.229394518</v>
      </c>
      <c r="F1030" s="23" t="n">
        <f aca="false">F1023+F1028+F1029</f>
        <v>88.7637751405431</v>
      </c>
      <c r="G1030" s="23" t="n">
        <f aca="false">G1023+G1028+G1029</f>
        <v>98.9120449507748</v>
      </c>
      <c r="H1030" s="25" t="n">
        <f aca="false">G1030*(1+H1031)</f>
        <v>108.429293123519</v>
      </c>
      <c r="I1030" s="25" t="n">
        <f aca="false">H1030*(1+I1031)</f>
        <v>116.898667503608</v>
      </c>
      <c r="J1030" s="25" t="n">
        <f aca="false">I1030*(1+J1031)</f>
        <v>123.912587553824</v>
      </c>
      <c r="K1030" s="7" t="s">
        <v>639</v>
      </c>
    </row>
    <row r="1031" customFormat="false" ht="15" hidden="false" customHeight="false" outlineLevel="0" collapsed="false">
      <c r="A1031" s="3" t="s">
        <v>640</v>
      </c>
      <c r="B1031" s="0" t="s">
        <v>40</v>
      </c>
      <c r="D1031" s="20" t="n">
        <f aca="false">D1030/C1030-1</f>
        <v>0.472329674159261</v>
      </c>
      <c r="E1031" s="20" t="n">
        <f aca="false">E1030/D1030-1</f>
        <v>0.35642</v>
      </c>
      <c r="F1031" s="20" t="n">
        <f aca="false">F1030/E1030-1</f>
        <v>0.106374735517023</v>
      </c>
      <c r="G1031" s="20" t="n">
        <f aca="false">G1030/F1030-1</f>
        <v>0.114328956763764</v>
      </c>
      <c r="H1031" s="26" t="n">
        <f aca="false">$G1031+(fade_gA-$G1031)*1/3</f>
        <v>0.0962193045091761</v>
      </c>
      <c r="I1031" s="26" t="n">
        <f aca="false">$G1031+(fade_gA-$G1031)*2/3</f>
        <v>0.0781096522545881</v>
      </c>
      <c r="J1031" s="26" t="n">
        <f aca="false">$G1031+(fade_gA-$G1031)*3/3</f>
        <v>0.06</v>
      </c>
    </row>
    <row r="1032" customFormat="false" ht="17.15" hidden="false" customHeight="false" outlineLevel="0" collapsed="false">
      <c r="A1032" s="0" t="s">
        <v>641</v>
      </c>
      <c r="B1032" s="0" t="s">
        <v>40</v>
      </c>
      <c r="D1032" s="20" t="n">
        <f aca="false">D1023/D1030</f>
        <v>0.58</v>
      </c>
      <c r="E1032" s="20" t="n">
        <f aca="false">E1023/E1030</f>
        <v>0.619586853629407</v>
      </c>
      <c r="F1032" s="20" t="n">
        <f aca="false">F1023/F1030</f>
        <v>0.62844224473576</v>
      </c>
      <c r="G1032" s="20" t="n">
        <f aca="false">G1023/G1030</f>
        <v>0.652881779877395</v>
      </c>
    </row>
    <row r="1033" customFormat="false" ht="17.15" hidden="false" customHeight="false" outlineLevel="0" collapsed="false">
      <c r="A1033" s="0" t="s">
        <v>642</v>
      </c>
      <c r="B1033" s="0" t="s">
        <v>40</v>
      </c>
      <c r="D1033" s="20" t="n">
        <f aca="false">D1025/D1030</f>
        <v>0.377</v>
      </c>
      <c r="E1033" s="20" t="n">
        <f aca="false">E1025/E1030</f>
        <v>0.475644593294431</v>
      </c>
      <c r="F1033" s="20" t="n">
        <f aca="false">F1025/F1030</f>
        <v>0.493844823280492</v>
      </c>
      <c r="G1033" s="20" t="n">
        <f aca="false">G1025/G1030</f>
        <v>0.520234648851447</v>
      </c>
      <c r="K1033" s="3" t="s">
        <v>643</v>
      </c>
    </row>
    <row r="1034" customFormat="false" ht="17.15" hidden="false" customHeight="false" outlineLevel="0" collapsed="false">
      <c r="A1034" s="5" t="s">
        <v>644</v>
      </c>
    </row>
    <row r="1035" customFormat="false" ht="15" hidden="false" customHeight="false" outlineLevel="0" collapsed="false">
      <c r="A1035" s="3" t="s">
        <v>645</v>
      </c>
      <c r="B1035" s="0" t="s">
        <v>329</v>
      </c>
      <c r="C1035" s="23" t="n">
        <f aca="false">a25_cx</f>
        <v>2.422</v>
      </c>
      <c r="D1035" s="23" t="n">
        <f aca="false">capex26</f>
        <v>4</v>
      </c>
      <c r="E1035" s="23" t="n">
        <f aca="false">cx27</f>
        <v>14</v>
      </c>
      <c r="F1035" s="23" t="n">
        <f aca="false">cx28</f>
        <v>18</v>
      </c>
      <c r="G1035" s="23" t="n">
        <f aca="false">cx29</f>
        <v>12</v>
      </c>
      <c r="H1035" s="25" t="n">
        <f aca="false">H1030*H1052</f>
        <v>12.5830382160338</v>
      </c>
      <c r="I1035" s="25" t="n">
        <f aca="false">I1030*I1052</f>
        <v>12.9496545526389</v>
      </c>
      <c r="J1035" s="25" t="n">
        <f aca="false">J1030*J1052</f>
        <v>13.0734189988764</v>
      </c>
    </row>
    <row r="1036" customFormat="false" ht="17.15" hidden="false" customHeight="false" outlineLevel="0" collapsed="false">
      <c r="A1036" s="3" t="s">
        <v>646</v>
      </c>
      <c r="B1036" s="0" t="s">
        <v>329</v>
      </c>
      <c r="C1036" s="23" t="n">
        <f aca="false">a25_da</f>
        <v>6.894</v>
      </c>
      <c r="D1036" s="23" t="n">
        <f aca="false">da26</f>
        <v>7.1</v>
      </c>
      <c r="E1036" s="23" t="n">
        <f aca="false">D1036*(1-1/life)+D1035/life</f>
        <v>6.7125</v>
      </c>
      <c r="F1036" s="23" t="n">
        <f aca="false">E1036*(1-1/life)+E1035/life</f>
        <v>7.6234375</v>
      </c>
      <c r="G1036" s="23" t="n">
        <f aca="false">F1036*(1-1/life)+F1035/life</f>
        <v>8.9205078125</v>
      </c>
      <c r="H1036" s="25" t="n">
        <f aca="false">H1030*H1037</f>
        <v>9.77883287008742</v>
      </c>
      <c r="I1036" s="25" t="n">
        <f aca="false">I1030*I1037</f>
        <v>10.5426541050257</v>
      </c>
      <c r="J1036" s="25" t="n">
        <f aca="false">J1030*J1037</f>
        <v>11.1752133513272</v>
      </c>
      <c r="K1036" s="3" t="s">
        <v>647</v>
      </c>
    </row>
    <row r="1037" customFormat="false" ht="17.15" hidden="false" customHeight="false" outlineLevel="0" collapsed="false">
      <c r="A1037" s="3" t="s">
        <v>648</v>
      </c>
      <c r="B1037" s="0" t="s">
        <v>40</v>
      </c>
      <c r="C1037" s="20" t="n">
        <f aca="false">C1036/C1030</f>
        <v>0.171607796281084</v>
      </c>
      <c r="D1037" s="20" t="n">
        <f aca="false">D1036/D1030</f>
        <v>0.120038074048276</v>
      </c>
      <c r="E1037" s="20" t="n">
        <f aca="false">E1036/E1030</f>
        <v>0.0836663424961285</v>
      </c>
      <c r="F1037" s="20" t="n">
        <f aca="false">F1036/F1030</f>
        <v>0.0858845569369883</v>
      </c>
      <c r="G1037" s="20" t="n">
        <f aca="false">G1036/G1030</f>
        <v>0.0901862641394123</v>
      </c>
      <c r="H1037" s="26" t="n">
        <f aca="false">$G1037</f>
        <v>0.0901862641394123</v>
      </c>
      <c r="I1037" s="26" t="n">
        <f aca="false">$G1037</f>
        <v>0.0901862641394123</v>
      </c>
      <c r="J1037" s="26" t="n">
        <f aca="false">$G1037</f>
        <v>0.0901862641394123</v>
      </c>
    </row>
    <row r="1038" customFormat="false" ht="17.15" hidden="false" customHeight="false" outlineLevel="0" collapsed="false">
      <c r="A1038" s="3" t="s">
        <v>649</v>
      </c>
      <c r="B1038" s="0" t="s">
        <v>329</v>
      </c>
      <c r="E1038" s="21" t="n">
        <f aca="false">E1025*(1-1/(E1010*E1011))</f>
        <v>4.97747970336163</v>
      </c>
      <c r="F1038" s="21" t="n">
        <f aca="false">F1025*(1-1/(F1010*F1011))</f>
        <v>3.71147515188938</v>
      </c>
      <c r="G1038" s="21" t="n">
        <f aca="false">G1025*(1-1/(G1010*G1011))</f>
        <v>1.74010778166673</v>
      </c>
      <c r="K1038" s="7" t="s">
        <v>650</v>
      </c>
    </row>
    <row r="1039" customFormat="false" ht="17.15" hidden="false" customHeight="false" outlineLevel="0" collapsed="false">
      <c r="A1039" s="3" t="s">
        <v>651</v>
      </c>
      <c r="B1039" s="0" t="s">
        <v>329</v>
      </c>
      <c r="C1039" s="21" t="n">
        <f aca="false">a25_gp</f>
        <v>3.647</v>
      </c>
      <c r="D1039" s="21" t="n">
        <f aca="false">a26_gp</f>
        <v>15.9001925</v>
      </c>
      <c r="E1039" s="21" t="n">
        <f aca="false">$D1039+ft_abf*(E1023-E1038-$D1023)+ft_oth*((E1030-E1023)-($D1030-$D1023))+E1038-(E1036-$D1036)</f>
        <v>28.7493597706808</v>
      </c>
      <c r="F1039" s="21" t="n">
        <f aca="false">$D1039+ft_abf*(F1023-F1038-$D1023)+ft_oth*((F1030-F1023)-($D1030-$D1023))+F1038-(F1036-$D1036)</f>
        <v>31.2265550422163</v>
      </c>
      <c r="G1039" s="21" t="n">
        <f aca="false">$D1039+ft_abf*(G1023-G1038-$D1023)+ft_oth*((G1030-G1023)-($D1030-$D1023))+G1038-(G1036-$D1036)</f>
        <v>33.8826055545208</v>
      </c>
      <c r="K1039" s="3" t="s">
        <v>652</v>
      </c>
    </row>
    <row r="1040" customFormat="false" ht="15" hidden="false" customHeight="false" outlineLevel="0" collapsed="false">
      <c r="A1040" s="3" t="s">
        <v>508</v>
      </c>
      <c r="B1040" s="0" t="s">
        <v>40</v>
      </c>
      <c r="C1040" s="16" t="n">
        <f aca="false">C1039/C1030</f>
        <v>0.0907823662659</v>
      </c>
      <c r="D1040" s="16" t="n">
        <f aca="false">D1039/D1030</f>
        <v>0.268820913337583</v>
      </c>
      <c r="E1040" s="16" t="n">
        <f aca="false">E1039/E1030</f>
        <v>0.358339483220588</v>
      </c>
      <c r="F1040" s="16" t="n">
        <f aca="false">F1039/F1030</f>
        <v>0.351793904582968</v>
      </c>
      <c r="G1040" s="16" t="n">
        <f aca="false">G1039/G1030</f>
        <v>0.34255287686533</v>
      </c>
    </row>
    <row r="1041" customFormat="false" ht="15" hidden="false" customHeight="false" outlineLevel="0" collapsed="false">
      <c r="A1041" s="3" t="s">
        <v>510</v>
      </c>
      <c r="B1041" s="0" t="s">
        <v>329</v>
      </c>
      <c r="C1041" s="21" t="n">
        <f aca="false">a25_opx</f>
        <v>1.665</v>
      </c>
      <c r="D1041" s="21" t="n">
        <f aca="false">a26_opx</f>
        <v>1.9</v>
      </c>
      <c r="E1041" s="21" t="n">
        <f aca="false">D1041*(1+phi*E1031)</f>
        <v>2.3063188</v>
      </c>
      <c r="F1041" s="21" t="n">
        <f aca="false">E1041*(1+phi*F1031)</f>
        <v>2.45351923142076</v>
      </c>
      <c r="G1041" s="21" t="n">
        <f aca="false">F1041*(1+phi*G1031)</f>
        <v>2.62182420789766</v>
      </c>
    </row>
    <row r="1042" customFormat="false" ht="15" hidden="false" customHeight="false" outlineLevel="0" collapsed="false">
      <c r="A1042" s="3" t="s">
        <v>513</v>
      </c>
      <c r="B1042" s="0" t="s">
        <v>329</v>
      </c>
      <c r="C1042" s="21" t="n">
        <f aca="false">C1039-C1041</f>
        <v>1.982</v>
      </c>
      <c r="D1042" s="21" t="n">
        <f aca="false">D1039-D1041</f>
        <v>14.0001925</v>
      </c>
      <c r="E1042" s="21" t="n">
        <f aca="false">E1039-E1041</f>
        <v>26.4430409706808</v>
      </c>
      <c r="F1042" s="21" t="n">
        <f aca="false">F1039-F1041</f>
        <v>28.7730358107955</v>
      </c>
      <c r="G1042" s="21" t="n">
        <f aca="false">G1039-G1041</f>
        <v>31.2607813466231</v>
      </c>
    </row>
    <row r="1043" customFormat="false" ht="15" hidden="false" customHeight="false" outlineLevel="0" collapsed="false">
      <c r="A1043" s="3" t="s">
        <v>594</v>
      </c>
      <c r="B1043" s="0" t="s">
        <v>40</v>
      </c>
      <c r="C1043" s="16" t="n">
        <f aca="false">C1042/C1030</f>
        <v>0.0493366191222961</v>
      </c>
      <c r="D1043" s="16" t="n">
        <f aca="false">D1042/D1030</f>
        <v>0.236698048451424</v>
      </c>
      <c r="E1043" s="16" t="n">
        <f aca="false">E1042/E1030</f>
        <v>0.329592927000691</v>
      </c>
      <c r="F1043" s="16" t="n">
        <f aca="false">F1042/F1030</f>
        <v>0.324152907706303</v>
      </c>
      <c r="G1043" s="16" t="n">
        <f aca="false">G1042/G1030</f>
        <v>0.3160462546516</v>
      </c>
    </row>
    <row r="1044" customFormat="false" ht="15" hidden="false" customHeight="false" outlineLevel="0" collapsed="false">
      <c r="A1044" s="3" t="s">
        <v>516</v>
      </c>
      <c r="B1044" s="0" t="s">
        <v>329</v>
      </c>
      <c r="C1044" s="21" t="n">
        <f aca="false">a25_nonop</f>
        <v>0.364</v>
      </c>
      <c r="D1044" s="21" t="n">
        <f aca="false">a26_nonop</f>
        <v>0.623</v>
      </c>
      <c r="E1044" s="21" t="n">
        <f aca="false">nonop27</f>
        <v>0.6</v>
      </c>
      <c r="F1044" s="21" t="n">
        <f aca="false">nonop28</f>
        <v>0.6</v>
      </c>
      <c r="G1044" s="21" t="n">
        <f aca="false">nonop29</f>
        <v>0.6</v>
      </c>
    </row>
    <row r="1045" customFormat="false" ht="15" hidden="false" customHeight="false" outlineLevel="0" collapsed="false">
      <c r="A1045" s="3" t="s">
        <v>518</v>
      </c>
      <c r="B1045" s="0" t="s">
        <v>329</v>
      </c>
      <c r="C1045" s="21" t="n">
        <f aca="false">C1042+C1044</f>
        <v>2.346</v>
      </c>
      <c r="D1045" s="21" t="n">
        <f aca="false">D1042+D1044</f>
        <v>14.6231925</v>
      </c>
      <c r="E1045" s="21" t="n">
        <f aca="false">E1042+E1044</f>
        <v>27.0430409706808</v>
      </c>
      <c r="F1045" s="21" t="n">
        <f aca="false">F1042+F1044</f>
        <v>29.3730358107955</v>
      </c>
      <c r="G1045" s="21" t="n">
        <f aca="false">G1042+G1044</f>
        <v>31.8607813466231</v>
      </c>
    </row>
    <row r="1046" customFormat="false" ht="15" hidden="false" customHeight="false" outlineLevel="0" collapsed="false">
      <c r="A1046" s="3" t="s">
        <v>521</v>
      </c>
      <c r="B1046" s="0" t="s">
        <v>329</v>
      </c>
      <c r="E1046" s="21" t="n">
        <f aca="false">E1045*tax</f>
        <v>5.67903860384297</v>
      </c>
      <c r="F1046" s="21" t="n">
        <f aca="false">F1045*tax</f>
        <v>6.16833752026705</v>
      </c>
      <c r="G1046" s="21" t="n">
        <f aca="false">G1045*tax</f>
        <v>6.69076408279085</v>
      </c>
    </row>
    <row r="1047" customFormat="false" ht="15" hidden="false" customHeight="false" outlineLevel="0" collapsed="false">
      <c r="A1047" s="3" t="s">
        <v>519</v>
      </c>
      <c r="B1047" s="0" t="s">
        <v>329</v>
      </c>
      <c r="C1047" s="21" t="n">
        <f aca="false">a25_ni</f>
        <v>1.947</v>
      </c>
      <c r="D1047" s="21" t="n">
        <f aca="false">a26_ni</f>
        <v>11.509862075</v>
      </c>
      <c r="E1047" s="21" t="n">
        <f aca="false">E1045-E1046</f>
        <v>21.3640023668379</v>
      </c>
      <c r="F1047" s="21" t="n">
        <f aca="false">F1045-F1046</f>
        <v>23.2046982905284</v>
      </c>
      <c r="G1047" s="21" t="n">
        <f aca="false">G1045-G1046</f>
        <v>25.1700172638322</v>
      </c>
      <c r="H1047" s="30" t="n">
        <f aca="false">H1030*H1051</f>
        <v>27.5061114985074</v>
      </c>
      <c r="I1047" s="30" t="n">
        <f aca="false">I1030*I1051</f>
        <v>29.562159288177</v>
      </c>
      <c r="J1047" s="30" t="n">
        <f aca="false">J1030*J1051</f>
        <v>31.2378971302517</v>
      </c>
    </row>
    <row r="1048" customFormat="false" ht="15" hidden="false" customHeight="false" outlineLevel="0" collapsed="false">
      <c r="A1048" s="3" t="s">
        <v>653</v>
      </c>
      <c r="B1048" s="3" t="s">
        <v>396</v>
      </c>
      <c r="C1048" s="29" t="n">
        <f aca="false">a25_sh</f>
        <v>0.646843853820598</v>
      </c>
      <c r="D1048" s="29" t="n">
        <f aca="false">a26_sh</f>
        <v>0.645863325123153</v>
      </c>
      <c r="E1048" s="29" t="n">
        <f aca="false">a26_shend*(1+sh_g)</f>
        <v>0.64617</v>
      </c>
      <c r="F1048" s="29" t="n">
        <f aca="false">E1048*(1+sh_g)</f>
        <v>0.64617</v>
      </c>
      <c r="G1048" s="29" t="n">
        <f aca="false">F1048*(1+sh_g)</f>
        <v>0.64617</v>
      </c>
      <c r="H1048" s="31" t="n">
        <f aca="false">G1048*(1+sh_g)</f>
        <v>0.64617</v>
      </c>
      <c r="I1048" s="31" t="n">
        <f aca="false">H1048*(1+sh_g)</f>
        <v>0.64617</v>
      </c>
      <c r="J1048" s="31" t="n">
        <f aca="false">I1048*(1+sh_g)</f>
        <v>0.64617</v>
      </c>
    </row>
    <row r="1049" customFormat="false" ht="17.15" hidden="false" customHeight="false" outlineLevel="0" collapsed="false">
      <c r="A1049" s="0" t="s">
        <v>524</v>
      </c>
      <c r="B1049" s="0" t="s">
        <v>402</v>
      </c>
      <c r="C1049" s="18" t="n">
        <f aca="false">C1047/C1048</f>
        <v>3.01</v>
      </c>
      <c r="D1049" s="18" t="n">
        <f aca="false">D1047/D1048</f>
        <v>17.820894339844</v>
      </c>
      <c r="E1049" s="18" t="n">
        <f aca="false">E1047/E1048</f>
        <v>33.0625104335358</v>
      </c>
      <c r="F1049" s="18" t="n">
        <f aca="false">F1047/F1048</f>
        <v>35.9111352902927</v>
      </c>
      <c r="G1049" s="18" t="n">
        <f aca="false">G1047/G1048</f>
        <v>38.9526243307988</v>
      </c>
      <c r="H1049" s="28" t="n">
        <f aca="false">H1047/H1048</f>
        <v>42.5679178830763</v>
      </c>
      <c r="I1049" s="28" t="n">
        <f aca="false">I1047/I1048</f>
        <v>45.7498170577047</v>
      </c>
      <c r="J1049" s="28" t="n">
        <f aca="false">J1047/J1048</f>
        <v>48.3431560274412</v>
      </c>
    </row>
    <row r="1050" customFormat="false" ht="17.15" hidden="false" customHeight="false" outlineLevel="0" collapsed="false">
      <c r="A1050" s="0" t="s">
        <v>654</v>
      </c>
      <c r="B1050" s="0" t="s">
        <v>40</v>
      </c>
      <c r="D1050" s="20" t="n">
        <f aca="false">D1049/C1049-1</f>
        <v>4.92056290360265</v>
      </c>
      <c r="E1050" s="20" t="n">
        <f aca="false">E1049/D1049-1</f>
        <v>0.85526662147447</v>
      </c>
      <c r="F1050" s="20" t="n">
        <f aca="false">F1049/E1049-1</f>
        <v>0.0861587586485106</v>
      </c>
      <c r="G1050" s="20" t="n">
        <f aca="false">G1049/F1049-1</f>
        <v>0.0846948729389854</v>
      </c>
      <c r="H1050" s="26" t="n">
        <f aca="false">H1049/G1049-1</f>
        <v>0.0928125797526562</v>
      </c>
      <c r="I1050" s="26" t="n">
        <f aca="false">I1049/H1049-1</f>
        <v>0.0747487622807466</v>
      </c>
      <c r="J1050" s="26" t="n">
        <f aca="false">J1049/I1049-1</f>
        <v>0.0566852314724122</v>
      </c>
    </row>
    <row r="1051" customFormat="false" ht="17.15" hidden="false" customHeight="false" outlineLevel="0" collapsed="false">
      <c r="A1051" s="3" t="s">
        <v>655</v>
      </c>
      <c r="B1051" s="0" t="s">
        <v>40</v>
      </c>
      <c r="C1051" s="16" t="n">
        <f aca="false">C1047/C1030</f>
        <v>0.0484653872003585</v>
      </c>
      <c r="D1051" s="16" t="n">
        <f aca="false">D1047/D1030</f>
        <v>0.194594602259759</v>
      </c>
      <c r="E1051" s="16" t="n">
        <f aca="false">E1047/E1030</f>
        <v>0.266286471376083</v>
      </c>
      <c r="F1051" s="16" t="n">
        <f aca="false">F1047/F1030</f>
        <v>0.261420813319257</v>
      </c>
      <c r="G1051" s="16" t="n">
        <f aca="false">G1047/G1030</f>
        <v>0.254468677463483</v>
      </c>
      <c r="H1051" s="27" t="n">
        <f aca="false">$G1051+(fade_mA-$G1051)*1/3</f>
        <v>0.253677864220451</v>
      </c>
      <c r="I1051" s="27" t="n">
        <f aca="false">$G1051+(fade_mA-$G1051)*2/3</f>
        <v>0.252887050977418</v>
      </c>
      <c r="J1051" s="27" t="n">
        <f aca="false">$G1051+(fade_mA-$G1051)*3/3</f>
        <v>0.252096237734386</v>
      </c>
    </row>
    <row r="1052" customFormat="false" ht="17.15" hidden="false" customHeight="false" outlineLevel="0" collapsed="false">
      <c r="A1052" s="3" t="s">
        <v>656</v>
      </c>
      <c r="B1052" s="0" t="s">
        <v>40</v>
      </c>
      <c r="C1052" s="20" t="n">
        <f aca="false">C1035/C1030</f>
        <v>0.0602892489980833</v>
      </c>
      <c r="D1052" s="20" t="n">
        <f aca="false">D1035/D1030</f>
        <v>0.0676270839708595</v>
      </c>
      <c r="E1052" s="20" t="n">
        <f aca="false">E1035/E1030</f>
        <v>0.174499634256357</v>
      </c>
      <c r="F1052" s="20" t="n">
        <f aca="false">F1035/F1030</f>
        <v>0.202785426504223</v>
      </c>
      <c r="G1052" s="20" t="n">
        <f aca="false">G1035/G1030</f>
        <v>0.121319906043516</v>
      </c>
      <c r="H1052" s="26" t="n">
        <f aca="false">$G1052+($G1037*(1+tp_g)^(life/2)-$G1052)*1/3</f>
        <v>0.116048328394981</v>
      </c>
      <c r="I1052" s="26" t="n">
        <f aca="false">$G1052+($G1037*(1+tp_g)^(life/2)-$G1052)*2/3</f>
        <v>0.110776750746447</v>
      </c>
      <c r="J1052" s="26" t="n">
        <f aca="false">$G1052+($G1037*(1+tp_g)^(life/2)-$G1052)*3/3</f>
        <v>0.105505173097913</v>
      </c>
      <c r="K1052" s="7" t="s">
        <v>657</v>
      </c>
    </row>
    <row r="1053" customFormat="false" ht="15" hidden="false" customHeight="false" outlineLevel="0" collapsed="false">
      <c r="A1053" s="3" t="s">
        <v>658</v>
      </c>
      <c r="B1053" s="0" t="s">
        <v>329</v>
      </c>
      <c r="E1053" s="21" t="n">
        <f aca="false">E1047+E1036-E1035</f>
        <v>14.0765023668378</v>
      </c>
      <c r="F1053" s="21" t="n">
        <f aca="false">F1047+F1036-F1035</f>
        <v>12.8281357905284</v>
      </c>
      <c r="G1053" s="21" t="n">
        <f aca="false">G1047+G1036-G1035</f>
        <v>22.0905250763322</v>
      </c>
      <c r="H1053" s="30" t="n">
        <f aca="false">H1047+H1036-H1035</f>
        <v>24.701906152561</v>
      </c>
      <c r="I1053" s="30" t="n">
        <f aca="false">I1047+I1036-I1035</f>
        <v>27.1551588405638</v>
      </c>
      <c r="J1053" s="30" t="n">
        <f aca="false">J1047+J1036-J1035</f>
        <v>29.3396914827025</v>
      </c>
      <c r="K1053" s="3" t="s">
        <v>659</v>
      </c>
    </row>
    <row r="1054" customFormat="false" ht="15" hidden="false" customHeight="false" outlineLevel="0" collapsed="false">
      <c r="A1054" s="3" t="s">
        <v>660</v>
      </c>
      <c r="B1054" s="0" t="s">
        <v>402</v>
      </c>
      <c r="E1054" s="18" t="n">
        <f aca="false">E1053/E1048</f>
        <v>21.7845185738085</v>
      </c>
      <c r="F1054" s="18" t="n">
        <f aca="false">F1053/F1048</f>
        <v>19.8525709805909</v>
      </c>
      <c r="G1054" s="18" t="n">
        <f aca="false">G1053/G1048</f>
        <v>34.1868627084703</v>
      </c>
      <c r="H1054" s="28" t="n">
        <f aca="false">H1053/H1048</f>
        <v>38.2281847695824</v>
      </c>
      <c r="I1054" s="28" t="n">
        <f aca="false">I1053/I1048</f>
        <v>42.0247904430163</v>
      </c>
      <c r="J1054" s="28" t="n">
        <f aca="false">J1053/J1048</f>
        <v>45.4055302516404</v>
      </c>
    </row>
    <row r="1057" customFormat="false" ht="17.15" hidden="false" customHeight="false" outlineLevel="0" collapsed="false">
      <c r="A1057" s="1" t="s">
        <v>977</v>
      </c>
    </row>
    <row r="1058" customFormat="false" ht="17.15" hidden="false" customHeight="false" outlineLevel="0" collapsed="false">
      <c r="A1058" s="4" t="s">
        <v>17</v>
      </c>
      <c r="B1058" s="4" t="s">
        <v>18</v>
      </c>
      <c r="C1058" s="13" t="s">
        <v>494</v>
      </c>
      <c r="D1058" s="13" t="s">
        <v>581</v>
      </c>
      <c r="E1058" s="13" t="s">
        <v>582</v>
      </c>
      <c r="F1058" s="13" t="s">
        <v>583</v>
      </c>
      <c r="G1058" s="13" t="s">
        <v>584</v>
      </c>
      <c r="H1058" s="13" t="s">
        <v>585</v>
      </c>
      <c r="I1058" s="13" t="s">
        <v>586</v>
      </c>
      <c r="J1058" s="13" t="s">
        <v>587</v>
      </c>
      <c r="K1058" s="4" t="s">
        <v>549</v>
      </c>
    </row>
    <row r="1059" customFormat="false" ht="17.15" hidden="false" customHeight="false" outlineLevel="0" collapsed="false">
      <c r="A1059" s="5" t="s">
        <v>605</v>
      </c>
    </row>
    <row r="1060" customFormat="false" ht="17.15" hidden="false" customHeight="false" outlineLevel="0" collapsed="false">
      <c r="A1060" s="0" t="s">
        <v>606</v>
      </c>
      <c r="B1060" s="3" t="s">
        <v>28</v>
      </c>
      <c r="D1060" s="21" t="n">
        <f aca="false">(u_bw_26+u_rb_26+u_ru_26+u_hp_26)*1</f>
        <v>7.6</v>
      </c>
      <c r="E1060" s="21" t="n">
        <f aca="false">(u_bw_27+u_rb_27+u_ru_27+u_hp_27)*1*1</f>
        <v>9.7</v>
      </c>
      <c r="F1060" s="21" t="n">
        <f aca="false">(u_bw_28+u_rb_28+u_ru_28+u_hp_28)*um28_A*1</f>
        <v>9.5</v>
      </c>
      <c r="G1060" s="21" t="n">
        <f aca="false">(u_bw_28*(1+g29_bw)+u_rb_28*(1+g29_rb)+u_ru_28*(1+g29_ru)+u_hp_28*(1+g29_hp))*um29_A*1</f>
        <v>10.6</v>
      </c>
      <c r="K1060" s="7" t="s">
        <v>607</v>
      </c>
    </row>
    <row r="1061" customFormat="false" ht="17.15" hidden="false" customHeight="false" outlineLevel="0" collapsed="false">
      <c r="A1061" s="3" t="s">
        <v>608</v>
      </c>
      <c r="B1061" s="3" t="s">
        <v>28</v>
      </c>
      <c r="D1061" s="21" t="n">
        <f aca="false">(u_amd_26+u_tpu_26+u_trn_26+u_oth_26)*1</f>
        <v>7.6</v>
      </c>
      <c r="E1061" s="21" t="n">
        <f aca="false">(u_amd_27+u_tpu_27+u_trn_27+u_oth_27)*1*1</f>
        <v>14</v>
      </c>
      <c r="F1061" s="21" t="n">
        <f aca="false">(u_amd_28+u_tpu_28+u_trn_28+u_oth_28)*um28_A*1</f>
        <v>17</v>
      </c>
      <c r="G1061" s="21" t="n">
        <f aca="false">(u_amd_28*(1+g29_amd)+u_tpu_28*(1+g29_tpu)+u_trn_28*(1+g29_trn)+u_oth_28*(1+g29_oth))*um29_A*1</f>
        <v>19.55</v>
      </c>
      <c r="K1061" s="7" t="s">
        <v>609</v>
      </c>
    </row>
    <row r="1062" customFormat="false" ht="17.15" hidden="false" customHeight="false" outlineLevel="0" collapsed="false">
      <c r="A1062" s="3" t="s">
        <v>610</v>
      </c>
      <c r="B1062" s="0" t="s">
        <v>150</v>
      </c>
      <c r="D1062" s="19" t="n">
        <f aca="false">1</f>
        <v>1</v>
      </c>
      <c r="E1062" s="19" t="n">
        <f aca="false">D1062*(1+g_asp)</f>
        <v>1.18</v>
      </c>
      <c r="F1062" s="19" t="n">
        <f aca="false">E1062*(1+g_asp)</f>
        <v>1.3924</v>
      </c>
      <c r="G1062" s="19" t="n">
        <f aca="false">F1062*(1+g_asp)</f>
        <v>1.643032</v>
      </c>
      <c r="K1062" s="7" t="s">
        <v>611</v>
      </c>
    </row>
    <row r="1063" customFormat="false" ht="17.15" hidden="false" customHeight="false" outlineLevel="0" collapsed="false">
      <c r="A1063" s="0" t="s">
        <v>612</v>
      </c>
      <c r="B1063" s="0" t="s">
        <v>150</v>
      </c>
      <c r="D1063" s="18" t="n">
        <f aca="false">1</f>
        <v>1</v>
      </c>
      <c r="E1063" s="18" t="n">
        <f aca="false">ibpp_27</f>
        <v>1</v>
      </c>
      <c r="F1063" s="18" t="n">
        <f aca="false">ibpp_28</f>
        <v>0.95</v>
      </c>
      <c r="G1063" s="18" t="n">
        <f aca="false">ibpp_29</f>
        <v>0.9</v>
      </c>
      <c r="K1063" s="7" t="s">
        <v>613</v>
      </c>
    </row>
    <row r="1064" customFormat="false" ht="17.15" hidden="false" customHeight="false" outlineLevel="0" collapsed="false">
      <c r="A1064" s="3" t="s">
        <v>614</v>
      </c>
      <c r="B1064" s="0" t="s">
        <v>150</v>
      </c>
      <c r="D1064" s="18" t="n">
        <f aca="false">1</f>
        <v>1</v>
      </c>
      <c r="E1064" s="18" t="n">
        <f aca="false">1+carry</f>
        <v>1.15</v>
      </c>
      <c r="F1064" s="18" t="n">
        <f aca="false">1+carry</f>
        <v>1.15</v>
      </c>
      <c r="G1064" s="18" t="n">
        <f aca="false">1+carry</f>
        <v>1.15</v>
      </c>
      <c r="K1064" s="7" t="s">
        <v>615</v>
      </c>
    </row>
    <row r="1065" customFormat="false" ht="17.15" hidden="false" customHeight="false" outlineLevel="0" collapsed="false">
      <c r="A1065" s="3" t="s">
        <v>616</v>
      </c>
      <c r="B1065" s="0" t="s">
        <v>617</v>
      </c>
      <c r="D1065" s="23" t="n">
        <f aca="false">v26*D1062*D1063</f>
        <v>215.308596</v>
      </c>
      <c r="E1065" s="23" t="n">
        <f aca="false">v26*E1062*E1063</f>
        <v>254.06414328</v>
      </c>
      <c r="F1065" s="23" t="n">
        <f aca="false">v26*F1062*F1063</f>
        <v>284.80590461688</v>
      </c>
      <c r="G1065" s="23" t="n">
        <f aca="false">v26*G1062*G1063</f>
        <v>318.383021792765</v>
      </c>
      <c r="K1065" s="7" t="s">
        <v>618</v>
      </c>
    </row>
    <row r="1066" customFormat="false" ht="17.15" hidden="false" customHeight="false" outlineLevel="0" collapsed="false">
      <c r="A1066" s="3" t="s">
        <v>619</v>
      </c>
      <c r="B1066" s="0" t="s">
        <v>40</v>
      </c>
      <c r="D1066" s="20" t="n">
        <f aca="false">sh_nv_26</f>
        <v>0.02</v>
      </c>
      <c r="E1066" s="20" t="n">
        <f aca="false">sh_nv_27</f>
        <v>0.03</v>
      </c>
      <c r="F1066" s="20" t="n">
        <f aca="false">sh_nv_28</f>
        <v>0.04</v>
      </c>
      <c r="G1066" s="20" t="n">
        <f aca="false">sh_nv_29</f>
        <v>0.04</v>
      </c>
    </row>
    <row r="1067" customFormat="false" ht="17.15" hidden="false" customHeight="false" outlineLevel="0" collapsed="false">
      <c r="A1067" s="3" t="s">
        <v>620</v>
      </c>
      <c r="B1067" s="0" t="s">
        <v>40</v>
      </c>
      <c r="D1067" s="20" t="n">
        <f aca="false">sh_ot_26_lo</f>
        <v>0.03</v>
      </c>
      <c r="E1067" s="20" t="n">
        <f aca="false">sh_ot_27_lo</f>
        <v>0.03</v>
      </c>
      <c r="F1067" s="20" t="n">
        <f aca="false">sh_ot_28_lo</f>
        <v>0.03</v>
      </c>
      <c r="G1067" s="20" t="n">
        <f aca="false">sh_ot_29_lo</f>
        <v>0.03</v>
      </c>
    </row>
    <row r="1068" customFormat="false" ht="17.15" hidden="false" customHeight="false" outlineLevel="0" collapsed="false">
      <c r="A1068" s="3" t="s">
        <v>621</v>
      </c>
      <c r="B1068" s="0" t="s">
        <v>571</v>
      </c>
      <c r="D1068" s="22" t="n">
        <f aca="false">(D1060*D1065*D1066+D1061*D1065*v_ot*D1067)*D1064</f>
        <v>71.9991945024</v>
      </c>
      <c r="E1068" s="22" t="n">
        <f aca="false">(E1060*E1065*E1066+E1061*E1065*v_ot*E1067)*E1064</f>
        <v>183.192950512044</v>
      </c>
      <c r="F1068" s="22" t="n">
        <f aca="false">(F1060*F1065*F1066+F1061*F1065*v_ot*F1067)*F1064</f>
        <v>258.091110763817</v>
      </c>
      <c r="G1068" s="22" t="n">
        <f aca="false">(G1060*G1065*G1066+G1061*G1065*v_ot*G1067)*G1064</f>
        <v>327.036672325092</v>
      </c>
    </row>
    <row r="1069" customFormat="false" ht="15" hidden="false" customHeight="false" outlineLevel="0" collapsed="false">
      <c r="A1069" s="3" t="s">
        <v>622</v>
      </c>
      <c r="B1069" s="0" t="s">
        <v>329</v>
      </c>
      <c r="D1069" s="21" t="n">
        <f aca="false">D1068*fx/1000</f>
        <v>2.339973821328</v>
      </c>
      <c r="E1069" s="21" t="n">
        <f aca="false">E1068*fx/1000</f>
        <v>5.95377089164143</v>
      </c>
      <c r="F1069" s="21" t="n">
        <f aca="false">F1068*fx/1000</f>
        <v>8.38796109982404</v>
      </c>
      <c r="G1069" s="21" t="n">
        <f aca="false">G1068*fx/1000</f>
        <v>10.6286918505655</v>
      </c>
    </row>
    <row r="1070" customFormat="false" ht="17.15" hidden="false" customHeight="false" outlineLevel="0" collapsed="false">
      <c r="A1070" s="5" t="s">
        <v>623</v>
      </c>
    </row>
    <row r="1071" customFormat="false" ht="17.15" hidden="false" customHeight="false" outlineLevel="0" collapsed="false">
      <c r="A1071" s="0" t="s">
        <v>624</v>
      </c>
      <c r="B1071" s="0" t="s">
        <v>329</v>
      </c>
      <c r="D1071" s="21" t="n">
        <f aca="false">a26_abf*ai_abf</f>
        <v>22.2987583</v>
      </c>
      <c r="K1071" s="3" t="s">
        <v>625</v>
      </c>
    </row>
    <row r="1072" customFormat="false" ht="17.15" hidden="false" customHeight="false" outlineLevel="0" collapsed="false">
      <c r="A1072" s="3" t="s">
        <v>626</v>
      </c>
      <c r="B1072" s="0" t="s">
        <v>329</v>
      </c>
      <c r="D1072" s="21" t="n">
        <f aca="false">D1071-D1069</f>
        <v>19.958784478672</v>
      </c>
      <c r="E1072" s="21" t="n">
        <f aca="false">$D1072*(swm_27/swm_26)^el_o*1*1*E1063*E1064</f>
        <v>32.1040982299998</v>
      </c>
      <c r="F1072" s="21" t="n">
        <f aca="false">$D1072*(swm_28/swm_26)^el_o*um28_A*1*F1063*F1064</f>
        <v>32.8091471815197</v>
      </c>
      <c r="G1072" s="21" t="n">
        <f aca="false">$D1072*(swm_29/swm_26)^el_o*um29_A*1*G1063*G1064</f>
        <v>33.1588991761169</v>
      </c>
      <c r="K1072" s="7" t="s">
        <v>627</v>
      </c>
    </row>
    <row r="1073" customFormat="false" ht="17.15" hidden="false" customHeight="false" outlineLevel="0" collapsed="false">
      <c r="A1073" s="3" t="s">
        <v>628</v>
      </c>
      <c r="B1073" s="0" t="s">
        <v>329</v>
      </c>
      <c r="D1073" s="21" t="n">
        <f aca="false">a26_abf-D1071</f>
        <v>12.0070237</v>
      </c>
      <c r="E1073" s="21" t="n">
        <f aca="false">D1073*(1+g_nai)</f>
        <v>12.367234411</v>
      </c>
      <c r="F1073" s="21" t="n">
        <f aca="false">E1073*(1+g_nai)</f>
        <v>12.73825144333</v>
      </c>
      <c r="G1073" s="21" t="n">
        <f aca="false">F1073*(1+g_nai)</f>
        <v>13.1203989866299</v>
      </c>
    </row>
    <row r="1074" customFormat="false" ht="17.15" hidden="false" customHeight="false" outlineLevel="0" collapsed="false">
      <c r="A1074" s="0" t="s">
        <v>629</v>
      </c>
      <c r="B1074" s="0" t="s">
        <v>329</v>
      </c>
      <c r="D1074" s="21" t="n">
        <f aca="false">D1069+D1072+D1073</f>
        <v>34.305782</v>
      </c>
      <c r="E1074" s="21" t="n">
        <f aca="false">E1069+E1072+E1073</f>
        <v>50.4251035326412</v>
      </c>
      <c r="F1074" s="21" t="n">
        <f aca="false">F1069+F1072+F1073</f>
        <v>53.9353597246737</v>
      </c>
      <c r="G1074" s="21" t="n">
        <f aca="false">G1069+G1072+G1073</f>
        <v>56.9079900133122</v>
      </c>
    </row>
    <row r="1075" customFormat="false" ht="17.15" hidden="false" customHeight="false" outlineLevel="0" collapsed="false">
      <c r="A1075" s="0" t="s">
        <v>630</v>
      </c>
      <c r="B1075" s="0" t="s">
        <v>329</v>
      </c>
      <c r="D1075" s="21" t="n">
        <f aca="false">a26_abf</f>
        <v>34.305782</v>
      </c>
      <c r="E1075" s="21" t="n">
        <f aca="false">$D1074*cap_27*(1+g_mix)^1*E1063*E1064</f>
        <v>49.709078118</v>
      </c>
      <c r="F1075" s="21" t="n">
        <f aca="false">$D1074*cap_28*(1+g_mix)^2*F1063*F1064</f>
        <v>55.7829061005431</v>
      </c>
      <c r="G1075" s="21" t="n">
        <f aca="false">$D1074*cap_29*(1+g_mix)^3*G1063*G1064</f>
        <v>65.765110350114</v>
      </c>
      <c r="K1075" s="7" t="s">
        <v>631</v>
      </c>
    </row>
    <row r="1076" customFormat="false" ht="17.15" hidden="false" customHeight="false" outlineLevel="0" collapsed="false">
      <c r="A1076" s="0" t="s">
        <v>632</v>
      </c>
      <c r="B1076" s="0" t="s">
        <v>329</v>
      </c>
      <c r="D1076" s="21" t="n">
        <f aca="false">a26_abf</f>
        <v>34.305782</v>
      </c>
      <c r="E1076" s="21" t="n">
        <f aca="false">MIN(E1074,E1075)</f>
        <v>49.709078118</v>
      </c>
      <c r="F1076" s="21" t="n">
        <f aca="false">MIN(F1074,F1075)</f>
        <v>53.9353597246737</v>
      </c>
      <c r="G1076" s="21" t="n">
        <f aca="false">MIN(G1074,G1075)</f>
        <v>56.9079900133122</v>
      </c>
    </row>
    <row r="1077" customFormat="false" ht="17.15" hidden="false" customHeight="false" outlineLevel="0" collapsed="false">
      <c r="A1077" s="3" t="s">
        <v>633</v>
      </c>
      <c r="B1077" s="0" t="s">
        <v>40</v>
      </c>
      <c r="D1077" s="20" t="n">
        <f aca="false">D1076/D1074</f>
        <v>1</v>
      </c>
      <c r="E1077" s="20" t="n">
        <f aca="false">E1076/E1074</f>
        <v>0.985800219246398</v>
      </c>
      <c r="F1077" s="20" t="n">
        <f aca="false">F1076/F1074</f>
        <v>1</v>
      </c>
      <c r="G1077" s="20" t="n">
        <f aca="false">G1076/G1074</f>
        <v>1</v>
      </c>
    </row>
    <row r="1078" customFormat="false" ht="17.15" hidden="false" customHeight="false" outlineLevel="0" collapsed="false">
      <c r="A1078" s="0" t="s">
        <v>634</v>
      </c>
      <c r="B1078" s="0" t="s">
        <v>329</v>
      </c>
      <c r="D1078" s="21" t="n">
        <f aca="false">(D1069+D1072)*D1077</f>
        <v>22.2987583</v>
      </c>
      <c r="E1078" s="21" t="n">
        <f aca="false">(E1069+E1072)*E1077</f>
        <v>37.5174557241646</v>
      </c>
      <c r="F1078" s="21" t="n">
        <f aca="false">(F1069+F1072)*F1077</f>
        <v>41.1971082813437</v>
      </c>
      <c r="G1078" s="21" t="n">
        <f aca="false">(G1069+G1072)*G1077</f>
        <v>43.7875910266823</v>
      </c>
    </row>
    <row r="1079" customFormat="false" ht="17.15" hidden="false" customHeight="false" outlineLevel="0" collapsed="false">
      <c r="A1079" s="3" t="s">
        <v>635</v>
      </c>
      <c r="B1079" s="0" t="s">
        <v>40</v>
      </c>
      <c r="D1079" s="20" t="n">
        <f aca="false">D1069/(D1069+D1072)</f>
        <v>0.104937404578622</v>
      </c>
      <c r="E1079" s="20" t="n">
        <f aca="false">E1069/(E1069+E1072)</f>
        <v>0.156439943408599</v>
      </c>
      <c r="F1079" s="20" t="n">
        <f aca="false">F1069/(F1069+F1072)</f>
        <v>0.203605579365933</v>
      </c>
      <c r="G1079" s="20" t="n">
        <f aca="false">G1069/(G1069+G1072)</f>
        <v>0.242732966152187</v>
      </c>
    </row>
    <row r="1080" customFormat="false" ht="17.15" hidden="false" customHeight="false" outlineLevel="0" collapsed="false">
      <c r="A1080" s="5" t="s">
        <v>636</v>
      </c>
    </row>
    <row r="1081" customFormat="false" ht="17.15" hidden="false" customHeight="false" outlineLevel="0" collapsed="false">
      <c r="A1081" s="0" t="s">
        <v>637</v>
      </c>
      <c r="B1081" s="0" t="s">
        <v>329</v>
      </c>
      <c r="D1081" s="21" t="n">
        <f aca="false">a26_bt</f>
        <v>18.927328</v>
      </c>
      <c r="E1081" s="21" t="n">
        <f aca="false">D1081*(1+g_bt27_A)</f>
        <v>24.6055264</v>
      </c>
      <c r="F1081" s="21" t="n">
        <f aca="false">E1081*(1+g_bt28_A)</f>
        <v>27.06607904</v>
      </c>
      <c r="G1081" s="21" t="n">
        <f aca="false">F1081*(1+g_bt29_A)</f>
        <v>28.419382992</v>
      </c>
      <c r="K1081" s="7" t="s">
        <v>638</v>
      </c>
    </row>
    <row r="1082" customFormat="false" ht="17.15" hidden="false" customHeight="false" outlineLevel="0" collapsed="false">
      <c r="A1082" s="0" t="s">
        <v>536</v>
      </c>
      <c r="B1082" s="0" t="s">
        <v>329</v>
      </c>
      <c r="D1082" s="21" t="n">
        <f aca="false">a26_pcb</f>
        <v>5.91479</v>
      </c>
      <c r="E1082" s="21" t="n">
        <f aca="false">D1082*(1+g_pcb)</f>
        <v>5.91479</v>
      </c>
      <c r="F1082" s="21" t="n">
        <f aca="false">E1082*(1+g_pcb)</f>
        <v>5.91479</v>
      </c>
      <c r="G1082" s="21" t="n">
        <f aca="false">F1082*(1+g_pcb)</f>
        <v>5.91479</v>
      </c>
    </row>
    <row r="1083" customFormat="false" ht="17.15" hidden="false" customHeight="false" outlineLevel="0" collapsed="false">
      <c r="A1083" s="3" t="s">
        <v>501</v>
      </c>
      <c r="B1083" s="0" t="s">
        <v>329</v>
      </c>
      <c r="C1083" s="23" t="n">
        <f aca="false">a25_rev</f>
        <v>40.173</v>
      </c>
      <c r="D1083" s="23" t="n">
        <f aca="false">D1076+D1081+D1082</f>
        <v>59.1479</v>
      </c>
      <c r="E1083" s="23" t="n">
        <f aca="false">E1076+E1081+E1082</f>
        <v>80.229394518</v>
      </c>
      <c r="F1083" s="23" t="n">
        <f aca="false">F1076+F1081+F1082</f>
        <v>86.9162287646737</v>
      </c>
      <c r="G1083" s="23" t="n">
        <f aca="false">G1076+G1081+G1082</f>
        <v>91.2421630053123</v>
      </c>
      <c r="H1083" s="25" t="n">
        <f aca="false">G1083*(1+H1084)</f>
        <v>96.0945006911395</v>
      </c>
      <c r="I1083" s="25" t="n">
        <f aca="false">H1083*(1+I1084)</f>
        <v>101.532530326655</v>
      </c>
      <c r="J1083" s="25" t="n">
        <f aca="false">I1083*(1+J1084)</f>
        <v>107.624482146254</v>
      </c>
      <c r="K1083" s="7" t="s">
        <v>639</v>
      </c>
    </row>
    <row r="1084" customFormat="false" ht="15" hidden="false" customHeight="false" outlineLevel="0" collapsed="false">
      <c r="A1084" s="3" t="s">
        <v>640</v>
      </c>
      <c r="B1084" s="0" t="s">
        <v>40</v>
      </c>
      <c r="D1084" s="20" t="n">
        <f aca="false">D1083/C1083-1</f>
        <v>0.472329674159261</v>
      </c>
      <c r="E1084" s="20" t="n">
        <f aca="false">E1083/D1083-1</f>
        <v>0.35642</v>
      </c>
      <c r="F1084" s="20" t="n">
        <f aca="false">F1083/E1083-1</f>
        <v>0.0833464378841031</v>
      </c>
      <c r="G1084" s="20" t="n">
        <f aca="false">G1083/F1083-1</f>
        <v>0.0497713062580183</v>
      </c>
      <c r="H1084" s="26" t="n">
        <f aca="false">$G1084+(fade_gA-$G1084)*1/3</f>
        <v>0.0531808708386789</v>
      </c>
      <c r="I1084" s="26" t="n">
        <f aca="false">$G1084+(fade_gA-$G1084)*2/3</f>
        <v>0.0565904354193394</v>
      </c>
      <c r="J1084" s="26" t="n">
        <f aca="false">$G1084+(fade_gA-$G1084)*3/3</f>
        <v>0.06</v>
      </c>
    </row>
    <row r="1085" customFormat="false" ht="17.15" hidden="false" customHeight="false" outlineLevel="0" collapsed="false">
      <c r="A1085" s="0" t="s">
        <v>641</v>
      </c>
      <c r="B1085" s="0" t="s">
        <v>40</v>
      </c>
      <c r="D1085" s="20" t="n">
        <f aca="false">D1076/D1083</f>
        <v>0.58</v>
      </c>
      <c r="E1085" s="20" t="n">
        <f aca="false">E1076/E1083</f>
        <v>0.619586853629407</v>
      </c>
      <c r="F1085" s="20" t="n">
        <f aca="false">F1076/F1083</f>
        <v>0.620544177896904</v>
      </c>
      <c r="G1085" s="20" t="n">
        <f aca="false">G1076/G1083</f>
        <v>0.623702772258906</v>
      </c>
    </row>
    <row r="1086" customFormat="false" ht="17.15" hidden="false" customHeight="false" outlineLevel="0" collapsed="false">
      <c r="A1086" s="0" t="s">
        <v>642</v>
      </c>
      <c r="B1086" s="0" t="s">
        <v>40</v>
      </c>
      <c r="D1086" s="20" t="n">
        <f aca="false">D1078/D1083</f>
        <v>0.377</v>
      </c>
      <c r="E1086" s="20" t="n">
        <f aca="false">E1078/E1083</f>
        <v>0.467627307292557</v>
      </c>
      <c r="F1086" s="20" t="n">
        <f aca="false">F1078/F1083</f>
        <v>0.47398637592624</v>
      </c>
      <c r="G1086" s="20" t="n">
        <f aca="false">G1078/G1083</f>
        <v>0.479905227850999</v>
      </c>
      <c r="K1086" s="3" t="s">
        <v>643</v>
      </c>
    </row>
    <row r="1087" customFormat="false" ht="17.15" hidden="false" customHeight="false" outlineLevel="0" collapsed="false">
      <c r="A1087" s="5" t="s">
        <v>644</v>
      </c>
    </row>
    <row r="1088" customFormat="false" ht="15" hidden="false" customHeight="false" outlineLevel="0" collapsed="false">
      <c r="A1088" s="3" t="s">
        <v>645</v>
      </c>
      <c r="B1088" s="0" t="s">
        <v>329</v>
      </c>
      <c r="C1088" s="23" t="n">
        <f aca="false">a25_cx</f>
        <v>2.422</v>
      </c>
      <c r="D1088" s="23" t="n">
        <f aca="false">capex26</f>
        <v>4</v>
      </c>
      <c r="E1088" s="23" t="n">
        <f aca="false">cx27</f>
        <v>14</v>
      </c>
      <c r="F1088" s="23" t="n">
        <f aca="false">cx28</f>
        <v>18</v>
      </c>
      <c r="G1088" s="23" t="n">
        <f aca="false">cx29</f>
        <v>12</v>
      </c>
      <c r="H1088" s="25" t="n">
        <f aca="false">H1083*H1105</f>
        <v>12.0890182207587</v>
      </c>
      <c r="I1088" s="25" t="n">
        <f aca="false">I1083*I1105</f>
        <v>12.1929120325904</v>
      </c>
      <c r="J1088" s="25" t="n">
        <f aca="false">J1083*J1105</f>
        <v>12.309444021888</v>
      </c>
    </row>
    <row r="1089" customFormat="false" ht="17.15" hidden="false" customHeight="false" outlineLevel="0" collapsed="false">
      <c r="A1089" s="3" t="s">
        <v>646</v>
      </c>
      <c r="B1089" s="0" t="s">
        <v>329</v>
      </c>
      <c r="C1089" s="23" t="n">
        <f aca="false">a25_da</f>
        <v>6.894</v>
      </c>
      <c r="D1089" s="23" t="n">
        <f aca="false">da26</f>
        <v>7.1</v>
      </c>
      <c r="E1089" s="23" t="n">
        <f aca="false">D1089*(1-1/life)+D1088/life</f>
        <v>6.7125</v>
      </c>
      <c r="F1089" s="23" t="n">
        <f aca="false">E1089*(1-1/life)+E1088/life</f>
        <v>7.6234375</v>
      </c>
      <c r="G1089" s="23" t="n">
        <f aca="false">F1089*(1-1/life)+F1088/life</f>
        <v>8.9205078125</v>
      </c>
      <c r="H1089" s="25" t="n">
        <f aca="false">H1083*H1090</f>
        <v>9.39490818629199</v>
      </c>
      <c r="I1089" s="25" t="n">
        <f aca="false">I1083*I1090</f>
        <v>9.92657013127897</v>
      </c>
      <c r="J1089" s="25" t="n">
        <f aca="false">J1083*J1090</f>
        <v>10.5221643391557</v>
      </c>
      <c r="K1089" s="3" t="s">
        <v>647</v>
      </c>
    </row>
    <row r="1090" customFormat="false" ht="17.15" hidden="false" customHeight="false" outlineLevel="0" collapsed="false">
      <c r="A1090" s="3" t="s">
        <v>648</v>
      </c>
      <c r="B1090" s="0" t="s">
        <v>40</v>
      </c>
      <c r="C1090" s="20" t="n">
        <f aca="false">C1089/C1083</f>
        <v>0.171607796281084</v>
      </c>
      <c r="D1090" s="20" t="n">
        <f aca="false">D1089/D1083</f>
        <v>0.120038074048276</v>
      </c>
      <c r="E1090" s="20" t="n">
        <f aca="false">E1089/E1083</f>
        <v>0.0836663424961285</v>
      </c>
      <c r="F1090" s="20" t="n">
        <f aca="false">F1089/F1083</f>
        <v>0.0877101734434488</v>
      </c>
      <c r="G1090" s="20" t="n">
        <f aca="false">G1089/G1083</f>
        <v>0.0977673864656259</v>
      </c>
      <c r="H1090" s="26" t="n">
        <f aca="false">$G1090</f>
        <v>0.0977673864656259</v>
      </c>
      <c r="I1090" s="26" t="n">
        <f aca="false">$G1090</f>
        <v>0.0977673864656259</v>
      </c>
      <c r="J1090" s="26" t="n">
        <f aca="false">$G1090</f>
        <v>0.0977673864656259</v>
      </c>
    </row>
    <row r="1091" customFormat="false" ht="17.15" hidden="false" customHeight="false" outlineLevel="0" collapsed="false">
      <c r="A1091" s="3" t="s">
        <v>649</v>
      </c>
      <c r="B1091" s="0" t="s">
        <v>329</v>
      </c>
      <c r="E1091" s="21" t="n">
        <f aca="false">E1078*(1-1/(E1063*E1064))</f>
        <v>4.89358118141277</v>
      </c>
      <c r="F1091" s="21" t="n">
        <f aca="false">F1078*(1-1/(F1063*F1064))</f>
        <v>3.48808468285976</v>
      </c>
      <c r="G1091" s="21" t="n">
        <f aca="false">G1078*(1-1/(G1063*G1064))</f>
        <v>1.48073979317283</v>
      </c>
      <c r="K1091" s="7" t="s">
        <v>650</v>
      </c>
    </row>
    <row r="1092" customFormat="false" ht="17.15" hidden="false" customHeight="false" outlineLevel="0" collapsed="false">
      <c r="A1092" s="3" t="s">
        <v>651</v>
      </c>
      <c r="B1092" s="0" t="s">
        <v>329</v>
      </c>
      <c r="C1092" s="21" t="n">
        <f aca="false">a25_gp</f>
        <v>3.647</v>
      </c>
      <c r="D1092" s="21" t="n">
        <f aca="false">a26_gp</f>
        <v>15.9001925</v>
      </c>
      <c r="E1092" s="21" t="n">
        <f aca="false">$D1092+ft_abf*(E1076-E1091-$D1076)+ft_oth*((E1083-E1076)-($D1083-$D1076))+E1091-(E1089-$D1089)</f>
        <v>28.7074105097064</v>
      </c>
      <c r="F1092" s="21" t="n">
        <f aca="false">$D1092+ft_abf*(F1076-F1091-$D1076)+ft_oth*((F1083-F1076)-($D1083-$D1076))+F1091-(F1089-$D1089)</f>
        <v>30.1910866197667</v>
      </c>
      <c r="G1092" s="21" t="n">
        <f aca="false">$D1092+ft_abf*(G1076-G1091-$D1076)+ft_oth*((G1083-G1076)-($D1083-$D1076))+G1091-(G1089-$D1089)</f>
        <v>29.9179805875425</v>
      </c>
      <c r="K1092" s="3" t="s">
        <v>652</v>
      </c>
    </row>
    <row r="1093" customFormat="false" ht="15" hidden="false" customHeight="false" outlineLevel="0" collapsed="false">
      <c r="A1093" s="3" t="s">
        <v>508</v>
      </c>
      <c r="B1093" s="0" t="s">
        <v>40</v>
      </c>
      <c r="C1093" s="16" t="n">
        <f aca="false">C1092/C1083</f>
        <v>0.0907823662659</v>
      </c>
      <c r="D1093" s="16" t="n">
        <f aca="false">D1092/D1083</f>
        <v>0.268820913337583</v>
      </c>
      <c r="E1093" s="16" t="n">
        <f aca="false">E1092/E1083</f>
        <v>0.357816616742205</v>
      </c>
      <c r="F1093" s="16" t="n">
        <f aca="false">F1092/F1083</f>
        <v>0.347358451337199</v>
      </c>
      <c r="G1093" s="16" t="n">
        <f aca="false">G1092/G1083</f>
        <v>0.327896441755778</v>
      </c>
    </row>
    <row r="1094" customFormat="false" ht="15" hidden="false" customHeight="false" outlineLevel="0" collapsed="false">
      <c r="A1094" s="3" t="s">
        <v>510</v>
      </c>
      <c r="B1094" s="0" t="s">
        <v>329</v>
      </c>
      <c r="C1094" s="21" t="n">
        <f aca="false">a25_opx</f>
        <v>1.665</v>
      </c>
      <c r="D1094" s="21" t="n">
        <f aca="false">a26_opx</f>
        <v>1.9</v>
      </c>
      <c r="E1094" s="21" t="n">
        <f aca="false">D1094*(1+phi*E1084)</f>
        <v>2.3063188</v>
      </c>
      <c r="F1094" s="21" t="n">
        <f aca="false">E1094*(1+phi*F1084)</f>
        <v>2.42165287396308</v>
      </c>
      <c r="G1094" s="21" t="n">
        <f aca="false">F1094*(1+phi*G1084)</f>
        <v>2.49397017006746</v>
      </c>
    </row>
    <row r="1095" customFormat="false" ht="15" hidden="false" customHeight="false" outlineLevel="0" collapsed="false">
      <c r="A1095" s="3" t="s">
        <v>513</v>
      </c>
      <c r="B1095" s="0" t="s">
        <v>329</v>
      </c>
      <c r="C1095" s="21" t="n">
        <f aca="false">C1092-C1094</f>
        <v>1.982</v>
      </c>
      <c r="D1095" s="21" t="n">
        <f aca="false">D1092-D1094</f>
        <v>14.0001925</v>
      </c>
      <c r="E1095" s="21" t="n">
        <f aca="false">E1092-E1094</f>
        <v>26.4010917097064</v>
      </c>
      <c r="F1095" s="21" t="n">
        <f aca="false">F1092-F1094</f>
        <v>27.7694337458036</v>
      </c>
      <c r="G1095" s="21" t="n">
        <f aca="false">G1092-G1094</f>
        <v>27.4240104174751</v>
      </c>
    </row>
    <row r="1096" customFormat="false" ht="15" hidden="false" customHeight="false" outlineLevel="0" collapsed="false">
      <c r="A1096" s="3" t="s">
        <v>594</v>
      </c>
      <c r="B1096" s="0" t="s">
        <v>40</v>
      </c>
      <c r="C1096" s="16" t="n">
        <f aca="false">C1095/C1083</f>
        <v>0.0493366191222961</v>
      </c>
      <c r="D1096" s="16" t="n">
        <f aca="false">D1095/D1083</f>
        <v>0.236698048451424</v>
      </c>
      <c r="E1096" s="16" t="n">
        <f aca="false">E1095/E1083</f>
        <v>0.329070060522308</v>
      </c>
      <c r="F1096" s="16" t="n">
        <f aca="false">F1095/F1083</f>
        <v>0.319496532931607</v>
      </c>
      <c r="G1096" s="16" t="n">
        <f aca="false">G1095/G1083</f>
        <v>0.300562914273289</v>
      </c>
    </row>
    <row r="1097" customFormat="false" ht="15" hidden="false" customHeight="false" outlineLevel="0" collapsed="false">
      <c r="A1097" s="3" t="s">
        <v>516</v>
      </c>
      <c r="B1097" s="0" t="s">
        <v>329</v>
      </c>
      <c r="C1097" s="21" t="n">
        <f aca="false">a25_nonop</f>
        <v>0.364</v>
      </c>
      <c r="D1097" s="21" t="n">
        <f aca="false">a26_nonop</f>
        <v>0.623</v>
      </c>
      <c r="E1097" s="21" t="n">
        <f aca="false">nonop27</f>
        <v>0.6</v>
      </c>
      <c r="F1097" s="21" t="n">
        <f aca="false">nonop28</f>
        <v>0.6</v>
      </c>
      <c r="G1097" s="21" t="n">
        <f aca="false">nonop29</f>
        <v>0.6</v>
      </c>
    </row>
    <row r="1098" customFormat="false" ht="15" hidden="false" customHeight="false" outlineLevel="0" collapsed="false">
      <c r="A1098" s="3" t="s">
        <v>518</v>
      </c>
      <c r="B1098" s="0" t="s">
        <v>329</v>
      </c>
      <c r="C1098" s="21" t="n">
        <f aca="false">C1095+C1097</f>
        <v>2.346</v>
      </c>
      <c r="D1098" s="21" t="n">
        <f aca="false">D1095+D1097</f>
        <v>14.6231925</v>
      </c>
      <c r="E1098" s="21" t="n">
        <f aca="false">E1095+E1097</f>
        <v>27.0010917097064</v>
      </c>
      <c r="F1098" s="21" t="n">
        <f aca="false">F1095+F1097</f>
        <v>28.3694337458036</v>
      </c>
      <c r="G1098" s="21" t="n">
        <f aca="false">G1095+G1097</f>
        <v>28.0240104174751</v>
      </c>
    </row>
    <row r="1099" customFormat="false" ht="15" hidden="false" customHeight="false" outlineLevel="0" collapsed="false">
      <c r="A1099" s="3" t="s">
        <v>521</v>
      </c>
      <c r="B1099" s="0" t="s">
        <v>329</v>
      </c>
      <c r="E1099" s="21" t="n">
        <f aca="false">E1098*tax</f>
        <v>5.67022925903834</v>
      </c>
      <c r="F1099" s="21" t="n">
        <f aca="false">F1098*tax</f>
        <v>5.95758108661877</v>
      </c>
      <c r="G1099" s="21" t="n">
        <f aca="false">G1098*tax</f>
        <v>5.88504218766977</v>
      </c>
    </row>
    <row r="1100" customFormat="false" ht="15" hidden="false" customHeight="false" outlineLevel="0" collapsed="false">
      <c r="A1100" s="3" t="s">
        <v>519</v>
      </c>
      <c r="B1100" s="0" t="s">
        <v>329</v>
      </c>
      <c r="C1100" s="21" t="n">
        <f aca="false">a25_ni</f>
        <v>1.947</v>
      </c>
      <c r="D1100" s="21" t="n">
        <f aca="false">a26_ni</f>
        <v>11.509862075</v>
      </c>
      <c r="E1100" s="21" t="n">
        <f aca="false">E1098-E1099</f>
        <v>21.3308624506681</v>
      </c>
      <c r="F1100" s="21" t="n">
        <f aca="false">F1098-F1099</f>
        <v>22.4118526591849</v>
      </c>
      <c r="G1100" s="21" t="n">
        <f aca="false">G1098-G1099</f>
        <v>22.1389682298053</v>
      </c>
      <c r="H1100" s="30" t="n">
        <f aca="false">H1083*H1104</f>
        <v>23.6192459235577</v>
      </c>
      <c r="I1100" s="30" t="n">
        <f aca="false">I1083*I1104</f>
        <v>25.2759191188252</v>
      </c>
      <c r="J1100" s="30" t="n">
        <f aca="false">J1083*J1104</f>
        <v>27.1317270371823</v>
      </c>
    </row>
    <row r="1101" customFormat="false" ht="15" hidden="false" customHeight="false" outlineLevel="0" collapsed="false">
      <c r="A1101" s="3" t="s">
        <v>653</v>
      </c>
      <c r="B1101" s="3" t="s">
        <v>396</v>
      </c>
      <c r="C1101" s="29" t="n">
        <f aca="false">a25_sh</f>
        <v>0.646843853820598</v>
      </c>
      <c r="D1101" s="29" t="n">
        <f aca="false">a26_sh</f>
        <v>0.645863325123153</v>
      </c>
      <c r="E1101" s="29" t="n">
        <f aca="false">a26_shend*(1+sh_g)</f>
        <v>0.64617</v>
      </c>
      <c r="F1101" s="29" t="n">
        <f aca="false">E1101*(1+sh_g)</f>
        <v>0.64617</v>
      </c>
      <c r="G1101" s="29" t="n">
        <f aca="false">F1101*(1+sh_g)</f>
        <v>0.64617</v>
      </c>
      <c r="H1101" s="31" t="n">
        <f aca="false">G1101*(1+sh_g)</f>
        <v>0.64617</v>
      </c>
      <c r="I1101" s="31" t="n">
        <f aca="false">H1101*(1+sh_g)</f>
        <v>0.64617</v>
      </c>
      <c r="J1101" s="31" t="n">
        <f aca="false">I1101*(1+sh_g)</f>
        <v>0.64617</v>
      </c>
    </row>
    <row r="1102" customFormat="false" ht="17.15" hidden="false" customHeight="false" outlineLevel="0" collapsed="false">
      <c r="A1102" s="0" t="s">
        <v>524</v>
      </c>
      <c r="B1102" s="0" t="s">
        <v>402</v>
      </c>
      <c r="C1102" s="18" t="n">
        <f aca="false">C1100/C1101</f>
        <v>3.01</v>
      </c>
      <c r="D1102" s="18" t="n">
        <f aca="false">D1100/D1101</f>
        <v>17.820894339844</v>
      </c>
      <c r="E1102" s="18" t="n">
        <f aca="false">E1100/E1101</f>
        <v>33.011223750202</v>
      </c>
      <c r="F1102" s="18" t="n">
        <f aca="false">F1100/F1101</f>
        <v>34.684142964212</v>
      </c>
      <c r="G1102" s="18" t="n">
        <f aca="false">G1100/G1101</f>
        <v>34.2618323812701</v>
      </c>
      <c r="H1102" s="28" t="n">
        <f aca="false">H1100/H1101</f>
        <v>36.5526810646698</v>
      </c>
      <c r="I1102" s="28" t="n">
        <f aca="false">I1100/I1101</f>
        <v>39.1165159614733</v>
      </c>
      <c r="J1102" s="28" t="n">
        <f aca="false">J1100/J1101</f>
        <v>41.9885278443479</v>
      </c>
    </row>
    <row r="1103" customFormat="false" ht="17.15" hidden="false" customHeight="false" outlineLevel="0" collapsed="false">
      <c r="A1103" s="0" t="s">
        <v>654</v>
      </c>
      <c r="B1103" s="0" t="s">
        <v>40</v>
      </c>
      <c r="D1103" s="20" t="n">
        <f aca="false">D1102/C1102-1</f>
        <v>4.92056290360265</v>
      </c>
      <c r="E1103" s="20" t="n">
        <f aca="false">E1102/D1102-1</f>
        <v>0.852388725317534</v>
      </c>
      <c r="F1103" s="20" t="n">
        <f aca="false">F1102/E1102-1</f>
        <v>0.0506772856004691</v>
      </c>
      <c r="G1103" s="20" t="n">
        <f aca="false">G1102/F1102-1</f>
        <v>-0.0121758978844494</v>
      </c>
      <c r="H1103" s="26" t="n">
        <f aca="false">H1102/G1102-1</f>
        <v>0.0668629937216076</v>
      </c>
      <c r="I1103" s="26" t="n">
        <f aca="false">I1102/H1102-1</f>
        <v>0.0701408165455097</v>
      </c>
      <c r="J1103" s="26" t="n">
        <f aca="false">J1102/I1102-1</f>
        <v>0.0734219756612091</v>
      </c>
    </row>
    <row r="1104" customFormat="false" ht="17.15" hidden="false" customHeight="false" outlineLevel="0" collapsed="false">
      <c r="A1104" s="3" t="s">
        <v>655</v>
      </c>
      <c r="B1104" s="0" t="s">
        <v>40</v>
      </c>
      <c r="C1104" s="16" t="n">
        <f aca="false">C1100/C1083</f>
        <v>0.0484653872003585</v>
      </c>
      <c r="D1104" s="16" t="n">
        <f aca="false">D1100/D1083</f>
        <v>0.194594602259759</v>
      </c>
      <c r="E1104" s="16" t="n">
        <f aca="false">E1100/E1083</f>
        <v>0.26587340685816</v>
      </c>
      <c r="F1104" s="16" t="n">
        <f aca="false">F1100/F1083</f>
        <v>0.257855788012445</v>
      </c>
      <c r="G1104" s="16" t="n">
        <f aca="false">G1100/G1083</f>
        <v>0.242639668992901</v>
      </c>
      <c r="H1104" s="27" t="n">
        <f aca="false">$G1104+(fade_mA-$G1104)*1/3</f>
        <v>0.245791858573396</v>
      </c>
      <c r="I1104" s="27" t="n">
        <f aca="false">$G1104+(fade_mA-$G1104)*2/3</f>
        <v>0.248944048153891</v>
      </c>
      <c r="J1104" s="27" t="n">
        <f aca="false">$G1104+(fade_mA-$G1104)*3/3</f>
        <v>0.252096237734386</v>
      </c>
    </row>
    <row r="1105" customFormat="false" ht="17.15" hidden="false" customHeight="false" outlineLevel="0" collapsed="false">
      <c r="A1105" s="3" t="s">
        <v>656</v>
      </c>
      <c r="B1105" s="0" t="s">
        <v>40</v>
      </c>
      <c r="C1105" s="20" t="n">
        <f aca="false">C1088/C1083</f>
        <v>0.0602892489980833</v>
      </c>
      <c r="D1105" s="20" t="n">
        <f aca="false">D1088/D1083</f>
        <v>0.0676270839708595</v>
      </c>
      <c r="E1105" s="20" t="n">
        <f aca="false">E1088/E1083</f>
        <v>0.174499634256357</v>
      </c>
      <c r="F1105" s="20" t="n">
        <f aca="false">F1088/F1083</f>
        <v>0.20709596189148</v>
      </c>
      <c r="G1105" s="20" t="n">
        <f aca="false">G1088/G1083</f>
        <v>0.131518144734264</v>
      </c>
      <c r="H1105" s="26" t="n">
        <f aca="false">$G1105+($G1090*(1+tp_g)^(life/2)-$G1105)*1/3</f>
        <v>0.12580343447139</v>
      </c>
      <c r="I1105" s="26" t="n">
        <f aca="false">$G1105+($G1090*(1+tp_g)^(life/2)-$G1105)*2/3</f>
        <v>0.120088724208515</v>
      </c>
      <c r="J1105" s="26" t="n">
        <f aca="false">$G1105+($G1090*(1+tp_g)^(life/2)-$G1105)*3/3</f>
        <v>0.114374013945641</v>
      </c>
      <c r="K1105" s="7" t="s">
        <v>657</v>
      </c>
    </row>
    <row r="1106" customFormat="false" ht="15" hidden="false" customHeight="false" outlineLevel="0" collapsed="false">
      <c r="A1106" s="3" t="s">
        <v>658</v>
      </c>
      <c r="B1106" s="0" t="s">
        <v>329</v>
      </c>
      <c r="E1106" s="21" t="n">
        <f aca="false">E1100+E1089-E1088</f>
        <v>14.043362450668</v>
      </c>
      <c r="F1106" s="21" t="n">
        <f aca="false">F1100+F1089-F1088</f>
        <v>12.0352901591849</v>
      </c>
      <c r="G1106" s="21" t="n">
        <f aca="false">G1100+G1089-G1088</f>
        <v>19.0594760423053</v>
      </c>
      <c r="H1106" s="30" t="n">
        <f aca="false">H1100+H1089-H1088</f>
        <v>20.925135889091</v>
      </c>
      <c r="I1106" s="30" t="n">
        <f aca="false">I1100+I1089-I1088</f>
        <v>23.0095772175138</v>
      </c>
      <c r="J1106" s="30" t="n">
        <f aca="false">J1100+J1089-J1088</f>
        <v>25.3444473544499</v>
      </c>
      <c r="K1106" s="3" t="s">
        <v>659</v>
      </c>
    </row>
    <row r="1107" customFormat="false" ht="15" hidden="false" customHeight="false" outlineLevel="0" collapsed="false">
      <c r="A1107" s="3" t="s">
        <v>660</v>
      </c>
      <c r="B1107" s="0" t="s">
        <v>402</v>
      </c>
      <c r="E1107" s="18" t="n">
        <f aca="false">E1106/E1101</f>
        <v>21.7332318904747</v>
      </c>
      <c r="F1107" s="18" t="n">
        <f aca="false">F1106/F1101</f>
        <v>18.6255786545102</v>
      </c>
      <c r="G1107" s="18" t="n">
        <f aca="false">G1106/G1101</f>
        <v>29.4960707589416</v>
      </c>
      <c r="H1107" s="28" t="n">
        <f aca="false">H1106/H1101</f>
        <v>32.3833292927418</v>
      </c>
      <c r="I1107" s="28" t="n">
        <f aca="false">I1106/I1101</f>
        <v>35.6091697502419</v>
      </c>
      <c r="J1107" s="28" t="n">
        <f aca="false">J1106/J1101</f>
        <v>39.2225689129021</v>
      </c>
    </row>
    <row r="1110" customFormat="false" ht="17.15" hidden="false" customHeight="false" outlineLevel="0" collapsed="false">
      <c r="A1110" s="1" t="s">
        <v>978</v>
      </c>
    </row>
    <row r="1111" customFormat="false" ht="17.15" hidden="false" customHeight="false" outlineLevel="0" collapsed="false">
      <c r="A1111" s="4" t="s">
        <v>17</v>
      </c>
      <c r="B1111" s="4" t="s">
        <v>18</v>
      </c>
      <c r="C1111" s="13" t="s">
        <v>494</v>
      </c>
      <c r="D1111" s="13" t="s">
        <v>581</v>
      </c>
      <c r="E1111" s="13" t="s">
        <v>582</v>
      </c>
      <c r="F1111" s="13" t="s">
        <v>583</v>
      </c>
      <c r="G1111" s="13" t="s">
        <v>584</v>
      </c>
      <c r="H1111" s="13" t="s">
        <v>585</v>
      </c>
      <c r="I1111" s="13" t="s">
        <v>586</v>
      </c>
      <c r="J1111" s="13" t="s">
        <v>587</v>
      </c>
      <c r="K1111" s="4" t="s">
        <v>549</v>
      </c>
    </row>
    <row r="1112" customFormat="false" ht="17.15" hidden="false" customHeight="false" outlineLevel="0" collapsed="false">
      <c r="A1112" s="5" t="s">
        <v>605</v>
      </c>
    </row>
    <row r="1113" customFormat="false" ht="17.15" hidden="false" customHeight="false" outlineLevel="0" collapsed="false">
      <c r="A1113" s="0" t="s">
        <v>606</v>
      </c>
      <c r="B1113" s="3" t="s">
        <v>28</v>
      </c>
      <c r="D1113" s="21" t="n">
        <f aca="false">(u_bw_26+u_rb_26+u_ru_26+u_hp_26)*1</f>
        <v>7.6</v>
      </c>
      <c r="E1113" s="21" t="n">
        <f aca="false">(u_bw_27+u_rb_27+u_ru_27+u_hp_27)*1*1</f>
        <v>9.7</v>
      </c>
      <c r="F1113" s="21" t="n">
        <f aca="false">(u_bw_28+u_rb_28+u_ru_28+u_hp_28)*um28_A*1</f>
        <v>9.5</v>
      </c>
      <c r="G1113" s="21" t="n">
        <f aca="false">(u_bw_28*(1+g29_bw)+u_rb_28*(1+g29_rb)+u_ru_28*(1+g29_ru)+u_hp_28*(1+g29_hp))*um29_A*1</f>
        <v>10.6</v>
      </c>
      <c r="K1113" s="7" t="s">
        <v>607</v>
      </c>
    </row>
    <row r="1114" customFormat="false" ht="17.15" hidden="false" customHeight="false" outlineLevel="0" collapsed="false">
      <c r="A1114" s="3" t="s">
        <v>608</v>
      </c>
      <c r="B1114" s="3" t="s">
        <v>28</v>
      </c>
      <c r="D1114" s="21" t="n">
        <f aca="false">(u_amd_26+u_tpu_26+u_trn_26+u_oth_26)*1</f>
        <v>7.6</v>
      </c>
      <c r="E1114" s="21" t="n">
        <f aca="false">(u_amd_27+u_tpu_27+u_trn_27+u_oth_27)*1*1</f>
        <v>14</v>
      </c>
      <c r="F1114" s="21" t="n">
        <f aca="false">(u_amd_28+u_tpu_28+u_trn_28+u_oth_28)*um28_A*1</f>
        <v>17</v>
      </c>
      <c r="G1114" s="21" t="n">
        <f aca="false">(u_amd_28*(1+g29_amd)+u_tpu_28*(1+g29_tpu)+u_trn_28*(1+g29_trn)+u_oth_28*(1+g29_oth))*um29_A*1</f>
        <v>19.55</v>
      </c>
      <c r="K1114" s="7" t="s">
        <v>609</v>
      </c>
    </row>
    <row r="1115" customFormat="false" ht="17.15" hidden="false" customHeight="false" outlineLevel="0" collapsed="false">
      <c r="A1115" s="3" t="s">
        <v>610</v>
      </c>
      <c r="B1115" s="0" t="s">
        <v>150</v>
      </c>
      <c r="D1115" s="19" t="n">
        <f aca="false">1</f>
        <v>1</v>
      </c>
      <c r="E1115" s="19" t="n">
        <f aca="false">D1115*(1+g_asp)</f>
        <v>1.18</v>
      </c>
      <c r="F1115" s="19" t="n">
        <f aca="false">E1115*(1+g_asp)</f>
        <v>1.3924</v>
      </c>
      <c r="G1115" s="19" t="n">
        <f aca="false">F1115*(1+g_asp)</f>
        <v>1.643032</v>
      </c>
      <c r="K1115" s="7" t="s">
        <v>611</v>
      </c>
    </row>
    <row r="1116" customFormat="false" ht="17.15" hidden="false" customHeight="false" outlineLevel="0" collapsed="false">
      <c r="A1116" s="0" t="s">
        <v>612</v>
      </c>
      <c r="B1116" s="0" t="s">
        <v>150</v>
      </c>
      <c r="D1116" s="18" t="n">
        <f aca="false">1</f>
        <v>1</v>
      </c>
      <c r="E1116" s="18" t="n">
        <f aca="false">ibpp_27</f>
        <v>1</v>
      </c>
      <c r="F1116" s="18" t="n">
        <f aca="false">ibpp_28</f>
        <v>0.95</v>
      </c>
      <c r="G1116" s="18" t="n">
        <f aca="false">ibpp_29</f>
        <v>0.9</v>
      </c>
      <c r="K1116" s="7" t="s">
        <v>613</v>
      </c>
    </row>
    <row r="1117" customFormat="false" ht="17.15" hidden="false" customHeight="false" outlineLevel="0" collapsed="false">
      <c r="A1117" s="3" t="s">
        <v>614</v>
      </c>
      <c r="B1117" s="0" t="s">
        <v>150</v>
      </c>
      <c r="D1117" s="18" t="n">
        <f aca="false">1</f>
        <v>1</v>
      </c>
      <c r="E1117" s="18" t="n">
        <f aca="false">1+carry</f>
        <v>1.15</v>
      </c>
      <c r="F1117" s="18" t="n">
        <f aca="false">1+carry</f>
        <v>1.15</v>
      </c>
      <c r="G1117" s="18" t="n">
        <f aca="false">1+carry</f>
        <v>1.15</v>
      </c>
      <c r="K1117" s="7" t="s">
        <v>615</v>
      </c>
    </row>
    <row r="1118" customFormat="false" ht="17.15" hidden="false" customHeight="false" outlineLevel="0" collapsed="false">
      <c r="A1118" s="3" t="s">
        <v>616</v>
      </c>
      <c r="B1118" s="0" t="s">
        <v>617</v>
      </c>
      <c r="D1118" s="23" t="n">
        <f aca="false">v26*D1115*D1116</f>
        <v>215.308596</v>
      </c>
      <c r="E1118" s="23" t="n">
        <f aca="false">v26*E1115*E1116</f>
        <v>254.06414328</v>
      </c>
      <c r="F1118" s="23" t="n">
        <f aca="false">v26*F1115*F1116</f>
        <v>284.80590461688</v>
      </c>
      <c r="G1118" s="23" t="n">
        <f aca="false">v26*G1115*G1116</f>
        <v>318.383021792765</v>
      </c>
      <c r="K1118" s="7" t="s">
        <v>618</v>
      </c>
    </row>
    <row r="1119" customFormat="false" ht="17.15" hidden="false" customHeight="false" outlineLevel="0" collapsed="false">
      <c r="A1119" s="3" t="s">
        <v>619</v>
      </c>
      <c r="B1119" s="0" t="s">
        <v>40</v>
      </c>
      <c r="D1119" s="20" t="n">
        <f aca="false">sh_nv_26</f>
        <v>0.02</v>
      </c>
      <c r="E1119" s="20" t="n">
        <f aca="false">sh_nv_27</f>
        <v>0.03</v>
      </c>
      <c r="F1119" s="20" t="n">
        <f aca="false">sh_nv_28</f>
        <v>0.04</v>
      </c>
      <c r="G1119" s="20" t="n">
        <f aca="false">sh_nv_29</f>
        <v>0.04</v>
      </c>
    </row>
    <row r="1120" customFormat="false" ht="17.15" hidden="false" customHeight="false" outlineLevel="0" collapsed="false">
      <c r="A1120" s="3" t="s">
        <v>620</v>
      </c>
      <c r="B1120" s="0" t="s">
        <v>40</v>
      </c>
      <c r="D1120" s="20" t="n">
        <f aca="false">sh_ot_26_hi</f>
        <v>0.08</v>
      </c>
      <c r="E1120" s="20" t="n">
        <f aca="false">sh_ot_27_hi</f>
        <v>0.09</v>
      </c>
      <c r="F1120" s="20" t="n">
        <f aca="false">sh_ot_28_hi</f>
        <v>0.1</v>
      </c>
      <c r="G1120" s="20" t="n">
        <f aca="false">sh_ot_29_hi</f>
        <v>0.1</v>
      </c>
    </row>
    <row r="1121" customFormat="false" ht="17.15" hidden="false" customHeight="false" outlineLevel="0" collapsed="false">
      <c r="A1121" s="3" t="s">
        <v>621</v>
      </c>
      <c r="B1121" s="0" t="s">
        <v>571</v>
      </c>
      <c r="D1121" s="22" t="n">
        <f aca="false">(D1113*D1118*D1119+D1114*D1118*v_ot*D1120)*D1117</f>
        <v>137.4530076864</v>
      </c>
      <c r="E1121" s="22" t="n">
        <f aca="false">(E1113*E1118*E1119+E1114*E1118*v_ot*E1120)*E1117</f>
        <v>379.533720438828</v>
      </c>
      <c r="F1121" s="22" t="n">
        <f aca="false">(F1113*F1118*F1119+F1114*F1118*v_ot*F1120)*F1117</f>
        <v>569.896615138377</v>
      </c>
      <c r="G1121" s="22" t="n">
        <f aca="false">(G1113*G1118*G1119+G1114*G1118*v_ot*G1120)*G1117</f>
        <v>727.887264422619</v>
      </c>
    </row>
    <row r="1122" customFormat="false" ht="15" hidden="false" customHeight="false" outlineLevel="0" collapsed="false">
      <c r="A1122" s="3" t="s">
        <v>622</v>
      </c>
      <c r="B1122" s="0" t="s">
        <v>329</v>
      </c>
      <c r="D1122" s="21" t="n">
        <f aca="false">D1121*fx/1000</f>
        <v>4.467222749808</v>
      </c>
      <c r="E1122" s="21" t="n">
        <f aca="false">E1121*fx/1000</f>
        <v>12.3348459142619</v>
      </c>
      <c r="F1122" s="21" t="n">
        <f aca="false">F1121*fx/1000</f>
        <v>18.5216399919972</v>
      </c>
      <c r="G1122" s="21" t="n">
        <f aca="false">G1121*fx/1000</f>
        <v>23.6563360937351</v>
      </c>
    </row>
    <row r="1123" customFormat="false" ht="17.15" hidden="false" customHeight="false" outlineLevel="0" collapsed="false">
      <c r="A1123" s="5" t="s">
        <v>623</v>
      </c>
    </row>
    <row r="1124" customFormat="false" ht="17.15" hidden="false" customHeight="false" outlineLevel="0" collapsed="false">
      <c r="A1124" s="0" t="s">
        <v>624</v>
      </c>
      <c r="B1124" s="0" t="s">
        <v>329</v>
      </c>
      <c r="D1124" s="21" t="n">
        <f aca="false">a26_abf*ai_abf</f>
        <v>22.2987583</v>
      </c>
      <c r="K1124" s="3" t="s">
        <v>625</v>
      </c>
    </row>
    <row r="1125" customFormat="false" ht="17.15" hidden="false" customHeight="false" outlineLevel="0" collapsed="false">
      <c r="A1125" s="3" t="s">
        <v>626</v>
      </c>
      <c r="B1125" s="0" t="s">
        <v>329</v>
      </c>
      <c r="D1125" s="21" t="n">
        <f aca="false">D1124-D1122</f>
        <v>17.831535550192</v>
      </c>
      <c r="E1125" s="21" t="n">
        <f aca="false">$D1125*(swm_27/swm_26)^el_o*1*1*E1116*E1117</f>
        <v>28.6823763995665</v>
      </c>
      <c r="F1125" s="21" t="n">
        <f aca="false">$D1125*(swm_28/swm_26)^el_o*um28_A*1*F1116*F1117</f>
        <v>29.3122797615216</v>
      </c>
      <c r="G1125" s="21" t="n">
        <f aca="false">$D1125*(swm_29/swm_26)^el_o*um29_A*1*G1116*G1117</f>
        <v>29.6247544581684</v>
      </c>
      <c r="K1125" s="7" t="s">
        <v>627</v>
      </c>
    </row>
    <row r="1126" customFormat="false" ht="17.15" hidden="false" customHeight="false" outlineLevel="0" collapsed="false">
      <c r="A1126" s="3" t="s">
        <v>628</v>
      </c>
      <c r="B1126" s="0" t="s">
        <v>329</v>
      </c>
      <c r="D1126" s="21" t="n">
        <f aca="false">a26_abf-D1124</f>
        <v>12.0070237</v>
      </c>
      <c r="E1126" s="21" t="n">
        <f aca="false">D1126*(1+g_nai)</f>
        <v>12.367234411</v>
      </c>
      <c r="F1126" s="21" t="n">
        <f aca="false">E1126*(1+g_nai)</f>
        <v>12.73825144333</v>
      </c>
      <c r="G1126" s="21" t="n">
        <f aca="false">F1126*(1+g_nai)</f>
        <v>13.1203989866299</v>
      </c>
    </row>
    <row r="1127" customFormat="false" ht="17.15" hidden="false" customHeight="false" outlineLevel="0" collapsed="false">
      <c r="A1127" s="0" t="s">
        <v>629</v>
      </c>
      <c r="B1127" s="0" t="s">
        <v>329</v>
      </c>
      <c r="D1127" s="21" t="n">
        <f aca="false">D1122+D1125+D1126</f>
        <v>34.305782</v>
      </c>
      <c r="E1127" s="21" t="n">
        <f aca="false">E1122+E1125+E1126</f>
        <v>53.3844567248284</v>
      </c>
      <c r="F1127" s="21" t="n">
        <f aca="false">F1122+F1125+F1126</f>
        <v>60.5721711968489</v>
      </c>
      <c r="G1127" s="21" t="n">
        <f aca="false">G1122+G1125+G1126</f>
        <v>66.4014895385334</v>
      </c>
    </row>
    <row r="1128" customFormat="false" ht="17.15" hidden="false" customHeight="false" outlineLevel="0" collapsed="false">
      <c r="A1128" s="0" t="s">
        <v>630</v>
      </c>
      <c r="B1128" s="0" t="s">
        <v>329</v>
      </c>
      <c r="D1128" s="21" t="n">
        <f aca="false">a26_abf</f>
        <v>34.305782</v>
      </c>
      <c r="E1128" s="21" t="n">
        <f aca="false">$D1127*cap_27*(1+g_mix)^1*E1116*E1117</f>
        <v>49.709078118</v>
      </c>
      <c r="F1128" s="21" t="n">
        <f aca="false">$D1127*cap_28*(1+g_mix)^2*F1116*F1117</f>
        <v>55.7829061005431</v>
      </c>
      <c r="G1128" s="21" t="n">
        <f aca="false">$D1127*cap_29*(1+g_mix)^3*G1116*G1117</f>
        <v>65.765110350114</v>
      </c>
      <c r="K1128" s="7" t="s">
        <v>631</v>
      </c>
    </row>
    <row r="1129" customFormat="false" ht="17.15" hidden="false" customHeight="false" outlineLevel="0" collapsed="false">
      <c r="A1129" s="0" t="s">
        <v>632</v>
      </c>
      <c r="B1129" s="0" t="s">
        <v>329</v>
      </c>
      <c r="D1129" s="21" t="n">
        <f aca="false">a26_abf</f>
        <v>34.305782</v>
      </c>
      <c r="E1129" s="21" t="n">
        <f aca="false">MIN(E1127,E1128)</f>
        <v>49.709078118</v>
      </c>
      <c r="F1129" s="21" t="n">
        <f aca="false">MIN(F1127,F1128)</f>
        <v>55.7829061005431</v>
      </c>
      <c r="G1129" s="21" t="n">
        <f aca="false">MIN(G1127,G1128)</f>
        <v>65.765110350114</v>
      </c>
    </row>
    <row r="1130" customFormat="false" ht="17.15" hidden="false" customHeight="false" outlineLevel="0" collapsed="false">
      <c r="A1130" s="3" t="s">
        <v>633</v>
      </c>
      <c r="B1130" s="0" t="s">
        <v>40</v>
      </c>
      <c r="D1130" s="20" t="n">
        <f aca="false">D1129/D1127</f>
        <v>1</v>
      </c>
      <c r="E1130" s="20" t="n">
        <f aca="false">E1129/E1127</f>
        <v>0.931152645689114</v>
      </c>
      <c r="F1130" s="20" t="n">
        <f aca="false">F1129/F1127</f>
        <v>0.920932913552967</v>
      </c>
      <c r="G1130" s="20" t="n">
        <f aca="false">G1129/G1127</f>
        <v>0.990416191069779</v>
      </c>
    </row>
    <row r="1131" customFormat="false" ht="17.15" hidden="false" customHeight="false" outlineLevel="0" collapsed="false">
      <c r="A1131" s="0" t="s">
        <v>634</v>
      </c>
      <c r="B1131" s="0" t="s">
        <v>329</v>
      </c>
      <c r="D1131" s="21" t="n">
        <f aca="false">(D1122+D1125)*D1130</f>
        <v>22.2987583</v>
      </c>
      <c r="E1131" s="21" t="n">
        <f aca="false">(E1122+E1125)*E1130</f>
        <v>38.1932950763399</v>
      </c>
      <c r="F1131" s="21" t="n">
        <f aca="false">(F1122+F1125)*F1130</f>
        <v>44.051831085267</v>
      </c>
      <c r="G1131" s="21" t="n">
        <f aca="false">(G1122+G1125)*G1130</f>
        <v>52.7704547604602</v>
      </c>
    </row>
    <row r="1132" customFormat="false" ht="17.15" hidden="false" customHeight="false" outlineLevel="0" collapsed="false">
      <c r="A1132" s="3" t="s">
        <v>635</v>
      </c>
      <c r="B1132" s="0" t="s">
        <v>40</v>
      </c>
      <c r="D1132" s="20" t="n">
        <f aca="false">D1122/(D1122+D1125)</f>
        <v>0.200335045104642</v>
      </c>
      <c r="E1132" s="20" t="n">
        <f aca="false">E1122/(E1122+E1125)</f>
        <v>0.300723579473186</v>
      </c>
      <c r="F1132" s="20" t="n">
        <f aca="false">F1122/(F1122+F1125)</f>
        <v>0.387207238868078</v>
      </c>
      <c r="G1132" s="20" t="n">
        <f aca="false">G1122/(G1122+G1125)</f>
        <v>0.443991214306892</v>
      </c>
    </row>
    <row r="1133" customFormat="false" ht="17.15" hidden="false" customHeight="false" outlineLevel="0" collapsed="false">
      <c r="A1133" s="5" t="s">
        <v>636</v>
      </c>
    </row>
    <row r="1134" customFormat="false" ht="17.15" hidden="false" customHeight="false" outlineLevel="0" collapsed="false">
      <c r="A1134" s="0" t="s">
        <v>637</v>
      </c>
      <c r="B1134" s="0" t="s">
        <v>329</v>
      </c>
      <c r="D1134" s="21" t="n">
        <f aca="false">a26_bt</f>
        <v>18.927328</v>
      </c>
      <c r="E1134" s="21" t="n">
        <f aca="false">D1134*(1+g_bt27_A)</f>
        <v>24.6055264</v>
      </c>
      <c r="F1134" s="21" t="n">
        <f aca="false">E1134*(1+g_bt28_A)</f>
        <v>27.06607904</v>
      </c>
      <c r="G1134" s="21" t="n">
        <f aca="false">F1134*(1+g_bt29_A)</f>
        <v>28.419382992</v>
      </c>
      <c r="K1134" s="7" t="s">
        <v>638</v>
      </c>
    </row>
    <row r="1135" customFormat="false" ht="17.15" hidden="false" customHeight="false" outlineLevel="0" collapsed="false">
      <c r="A1135" s="0" t="s">
        <v>536</v>
      </c>
      <c r="B1135" s="0" t="s">
        <v>329</v>
      </c>
      <c r="D1135" s="21" t="n">
        <f aca="false">a26_pcb</f>
        <v>5.91479</v>
      </c>
      <c r="E1135" s="21" t="n">
        <f aca="false">D1135*(1+g_pcb)</f>
        <v>5.91479</v>
      </c>
      <c r="F1135" s="21" t="n">
        <f aca="false">E1135*(1+g_pcb)</f>
        <v>5.91479</v>
      </c>
      <c r="G1135" s="21" t="n">
        <f aca="false">F1135*(1+g_pcb)</f>
        <v>5.91479</v>
      </c>
    </row>
    <row r="1136" customFormat="false" ht="17.15" hidden="false" customHeight="false" outlineLevel="0" collapsed="false">
      <c r="A1136" s="3" t="s">
        <v>501</v>
      </c>
      <c r="B1136" s="0" t="s">
        <v>329</v>
      </c>
      <c r="C1136" s="23" t="n">
        <f aca="false">a25_rev</f>
        <v>40.173</v>
      </c>
      <c r="D1136" s="23" t="n">
        <f aca="false">D1129+D1134+D1135</f>
        <v>59.1479</v>
      </c>
      <c r="E1136" s="23" t="n">
        <f aca="false">E1129+E1134+E1135</f>
        <v>80.229394518</v>
      </c>
      <c r="F1136" s="23" t="n">
        <f aca="false">F1129+F1134+F1135</f>
        <v>88.7637751405431</v>
      </c>
      <c r="G1136" s="23" t="n">
        <f aca="false">G1129+G1134+G1135</f>
        <v>100.099283342114</v>
      </c>
      <c r="H1136" s="25" t="n">
        <f aca="false">G1136*(1+H1137)</f>
        <v>110.623335925701</v>
      </c>
      <c r="I1136" s="25" t="n">
        <f aca="false">H1136*(1+I1137)</f>
        <v>119.757291444787</v>
      </c>
      <c r="J1136" s="25" t="n">
        <f aca="false">I1136*(1+J1137)</f>
        <v>126.942728931474</v>
      </c>
      <c r="K1136" s="7" t="s">
        <v>639</v>
      </c>
    </row>
    <row r="1137" customFormat="false" ht="15" hidden="false" customHeight="false" outlineLevel="0" collapsed="false">
      <c r="A1137" s="3" t="s">
        <v>640</v>
      </c>
      <c r="B1137" s="0" t="s">
        <v>40</v>
      </c>
      <c r="D1137" s="20" t="n">
        <f aca="false">D1136/C1136-1</f>
        <v>0.472329674159261</v>
      </c>
      <c r="E1137" s="20" t="n">
        <f aca="false">E1136/D1136-1</f>
        <v>0.35642</v>
      </c>
      <c r="F1137" s="20" t="n">
        <f aca="false">F1136/E1136-1</f>
        <v>0.106374735517023</v>
      </c>
      <c r="G1137" s="20" t="n">
        <f aca="false">G1136/F1136-1</f>
        <v>0.127704214738759</v>
      </c>
      <c r="H1137" s="26" t="n">
        <f aca="false">$G1137+(fade_gA-$G1137)*1/3</f>
        <v>0.105136143159173</v>
      </c>
      <c r="I1137" s="26" t="n">
        <f aca="false">$G1137+(fade_gA-$G1137)*2/3</f>
        <v>0.0825680715795865</v>
      </c>
      <c r="J1137" s="26" t="n">
        <f aca="false">$G1137+(fade_gA-$G1137)*3/3</f>
        <v>0.06</v>
      </c>
    </row>
    <row r="1138" customFormat="false" ht="17.15" hidden="false" customHeight="false" outlineLevel="0" collapsed="false">
      <c r="A1138" s="0" t="s">
        <v>641</v>
      </c>
      <c r="B1138" s="0" t="s">
        <v>40</v>
      </c>
      <c r="D1138" s="20" t="n">
        <f aca="false">D1129/D1136</f>
        <v>0.58</v>
      </c>
      <c r="E1138" s="20" t="n">
        <f aca="false">E1129/E1136</f>
        <v>0.619586853629407</v>
      </c>
      <c r="F1138" s="20" t="n">
        <f aca="false">F1129/F1136</f>
        <v>0.62844224473576</v>
      </c>
      <c r="G1138" s="20" t="n">
        <f aca="false">G1129/G1136</f>
        <v>0.656998813121823</v>
      </c>
    </row>
    <row r="1139" customFormat="false" ht="17.15" hidden="false" customHeight="false" outlineLevel="0" collapsed="false">
      <c r="A1139" s="0" t="s">
        <v>642</v>
      </c>
      <c r="B1139" s="0" t="s">
        <v>40</v>
      </c>
      <c r="D1139" s="20" t="n">
        <f aca="false">D1131/D1136</f>
        <v>0.377</v>
      </c>
      <c r="E1139" s="20" t="n">
        <f aca="false">E1131/E1136</f>
        <v>0.476051144419032</v>
      </c>
      <c r="F1139" s="20" t="n">
        <f aca="false">F1131/F1136</f>
        <v>0.49628163082877</v>
      </c>
      <c r="G1139" s="20" t="n">
        <f aca="false">G1131/G1136</f>
        <v>0.527181144545303</v>
      </c>
      <c r="K1139" s="3" t="s">
        <v>643</v>
      </c>
    </row>
    <row r="1140" customFormat="false" ht="17.15" hidden="false" customHeight="false" outlineLevel="0" collapsed="false">
      <c r="A1140" s="5" t="s">
        <v>644</v>
      </c>
    </row>
    <row r="1141" customFormat="false" ht="15" hidden="false" customHeight="false" outlineLevel="0" collapsed="false">
      <c r="A1141" s="3" t="s">
        <v>645</v>
      </c>
      <c r="B1141" s="0" t="s">
        <v>329</v>
      </c>
      <c r="C1141" s="23" t="n">
        <f aca="false">a25_cx</f>
        <v>2.422</v>
      </c>
      <c r="D1141" s="23" t="n">
        <f aca="false">capex26</f>
        <v>4</v>
      </c>
      <c r="E1141" s="23" t="n">
        <f aca="false">cx27</f>
        <v>14</v>
      </c>
      <c r="F1141" s="23" t="n">
        <f aca="false">cx28</f>
        <v>18</v>
      </c>
      <c r="G1141" s="23" t="n">
        <f aca="false">cx29</f>
        <v>12</v>
      </c>
      <c r="H1141" s="25" t="n">
        <f aca="false">H1136*H1158</f>
        <v>12.6853908393069</v>
      </c>
      <c r="I1141" s="25" t="n">
        <f aca="false">I1136*I1158</f>
        <v>13.1089769562909</v>
      </c>
      <c r="J1141" s="25" t="n">
        <f aca="false">J1136*J1158</f>
        <v>13.2342641033063</v>
      </c>
    </row>
    <row r="1142" customFormat="false" ht="17.15" hidden="false" customHeight="false" outlineLevel="0" collapsed="false">
      <c r="A1142" s="3" t="s">
        <v>646</v>
      </c>
      <c r="B1142" s="0" t="s">
        <v>329</v>
      </c>
      <c r="C1142" s="23" t="n">
        <f aca="false">a25_da</f>
        <v>6.894</v>
      </c>
      <c r="D1142" s="23" t="n">
        <f aca="false">da26</f>
        <v>7.1</v>
      </c>
      <c r="E1142" s="23" t="n">
        <f aca="false">D1142*(1-1/life)+D1141/life</f>
        <v>6.7125</v>
      </c>
      <c r="F1142" s="23" t="n">
        <f aca="false">E1142*(1-1/life)+E1141/life</f>
        <v>7.6234375</v>
      </c>
      <c r="G1142" s="23" t="n">
        <f aca="false">F1142*(1-1/life)+F1141/life</f>
        <v>8.9205078125</v>
      </c>
      <c r="H1142" s="25" t="n">
        <f aca="false">H1136*H1143</f>
        <v>9.85837559892752</v>
      </c>
      <c r="I1142" s="25" t="n">
        <f aca="false">I1136*I1143</f>
        <v>10.6723626610382</v>
      </c>
      <c r="J1142" s="25" t="n">
        <f aca="false">J1136*J1143</f>
        <v>11.3127044207005</v>
      </c>
      <c r="K1142" s="3" t="s">
        <v>647</v>
      </c>
    </row>
    <row r="1143" customFormat="false" ht="17.15" hidden="false" customHeight="false" outlineLevel="0" collapsed="false">
      <c r="A1143" s="3" t="s">
        <v>648</v>
      </c>
      <c r="B1143" s="0" t="s">
        <v>40</v>
      </c>
      <c r="C1143" s="20" t="n">
        <f aca="false">C1142/C1136</f>
        <v>0.171607796281084</v>
      </c>
      <c r="D1143" s="20" t="n">
        <f aca="false">D1142/D1136</f>
        <v>0.120038074048276</v>
      </c>
      <c r="E1143" s="20" t="n">
        <f aca="false">E1142/E1136</f>
        <v>0.0836663424961285</v>
      </c>
      <c r="F1143" s="20" t="n">
        <f aca="false">F1142/F1136</f>
        <v>0.0858845569369883</v>
      </c>
      <c r="G1143" s="20" t="n">
        <f aca="false">G1142/G1136</f>
        <v>0.089116600185957</v>
      </c>
      <c r="H1143" s="26" t="n">
        <f aca="false">$G1143</f>
        <v>0.089116600185957</v>
      </c>
      <c r="I1143" s="26" t="n">
        <f aca="false">$G1143</f>
        <v>0.089116600185957</v>
      </c>
      <c r="J1143" s="26" t="n">
        <f aca="false">$G1143</f>
        <v>0.089116600185957</v>
      </c>
    </row>
    <row r="1144" customFormat="false" ht="17.15" hidden="false" customHeight="false" outlineLevel="0" collapsed="false">
      <c r="A1144" s="3" t="s">
        <v>649</v>
      </c>
      <c r="B1144" s="0" t="s">
        <v>329</v>
      </c>
      <c r="E1144" s="21" t="n">
        <f aca="false">E1131*(1-1/(E1116*E1117))</f>
        <v>4.98173414039216</v>
      </c>
      <c r="F1144" s="21" t="n">
        <f aca="false">F1131*(1-1/(F1116*F1117))</f>
        <v>3.72978890195623</v>
      </c>
      <c r="G1144" s="21" t="n">
        <f aca="false">G1131*(1-1/(G1116*G1117))</f>
        <v>1.78450813199624</v>
      </c>
      <c r="K1144" s="7" t="s">
        <v>650</v>
      </c>
    </row>
    <row r="1145" customFormat="false" ht="17.15" hidden="false" customHeight="false" outlineLevel="0" collapsed="false">
      <c r="A1145" s="3" t="s">
        <v>651</v>
      </c>
      <c r="B1145" s="0" t="s">
        <v>329</v>
      </c>
      <c r="C1145" s="21" t="n">
        <f aca="false">a25_gp</f>
        <v>3.647</v>
      </c>
      <c r="D1145" s="21" t="n">
        <f aca="false">a26_gp</f>
        <v>15.9001925</v>
      </c>
      <c r="E1145" s="21" t="n">
        <f aca="false">$D1145+ft_abf*(E1129-E1144-$D1129)+ft_oth*((E1136-E1129)-($D1136-$D1129))+E1144-(E1142-$D1142)</f>
        <v>28.7514869891961</v>
      </c>
      <c r="F1145" s="21" t="n">
        <f aca="false">$D1145+ft_abf*(F1129-F1144-$D1129)+ft_oth*((F1136-F1129)-($D1136-$D1129))+F1144-(F1142-$D1142)</f>
        <v>31.2357119172497</v>
      </c>
      <c r="G1145" s="21" t="n">
        <f aca="false">$D1145+ft_abf*(G1129-G1144-$D1129)+ft_oth*((G1136-G1129)-($D1136-$D1129))+G1144-(G1142-$D1142)</f>
        <v>34.4984249253551</v>
      </c>
      <c r="K1145" s="3" t="s">
        <v>652</v>
      </c>
    </row>
    <row r="1146" customFormat="false" ht="15" hidden="false" customHeight="false" outlineLevel="0" collapsed="false">
      <c r="A1146" s="3" t="s">
        <v>508</v>
      </c>
      <c r="B1146" s="0" t="s">
        <v>40</v>
      </c>
      <c r="C1146" s="16" t="n">
        <f aca="false">C1145/C1136</f>
        <v>0.0907823662659</v>
      </c>
      <c r="D1146" s="16" t="n">
        <f aca="false">D1145/D1136</f>
        <v>0.268820913337583</v>
      </c>
      <c r="E1146" s="16" t="n">
        <f aca="false">E1145/E1136</f>
        <v>0.358365997424367</v>
      </c>
      <c r="F1146" s="16" t="n">
        <f aca="false">F1145/F1136</f>
        <v>0.351897064627918</v>
      </c>
      <c r="G1146" s="16" t="n">
        <f aca="false">G1145/G1136</f>
        <v>0.344642077081094</v>
      </c>
    </row>
    <row r="1147" customFormat="false" ht="15" hidden="false" customHeight="false" outlineLevel="0" collapsed="false">
      <c r="A1147" s="3" t="s">
        <v>510</v>
      </c>
      <c r="B1147" s="0" t="s">
        <v>329</v>
      </c>
      <c r="C1147" s="21" t="n">
        <f aca="false">a25_opx</f>
        <v>1.665</v>
      </c>
      <c r="D1147" s="21" t="n">
        <f aca="false">a26_opx</f>
        <v>1.9</v>
      </c>
      <c r="E1147" s="21" t="n">
        <f aca="false">D1147*(1+phi*E1137)</f>
        <v>2.3063188</v>
      </c>
      <c r="F1147" s="21" t="n">
        <f aca="false">E1147*(1+phi*F1137)</f>
        <v>2.45351923142076</v>
      </c>
      <c r="G1147" s="21" t="n">
        <f aca="false">F1147*(1+phi*G1137)</f>
        <v>2.64151407949778</v>
      </c>
    </row>
    <row r="1148" customFormat="false" ht="15" hidden="false" customHeight="false" outlineLevel="0" collapsed="false">
      <c r="A1148" s="3" t="s">
        <v>513</v>
      </c>
      <c r="B1148" s="0" t="s">
        <v>329</v>
      </c>
      <c r="C1148" s="21" t="n">
        <f aca="false">C1145-C1147</f>
        <v>1.982</v>
      </c>
      <c r="D1148" s="21" t="n">
        <f aca="false">D1145-D1147</f>
        <v>14.0001925</v>
      </c>
      <c r="E1148" s="21" t="n">
        <f aca="false">E1145-E1147</f>
        <v>26.4451681891961</v>
      </c>
      <c r="F1148" s="21" t="n">
        <f aca="false">F1145-F1147</f>
        <v>28.7821926858289</v>
      </c>
      <c r="G1148" s="21" t="n">
        <f aca="false">G1145-G1147</f>
        <v>31.8569108458573</v>
      </c>
    </row>
    <row r="1149" customFormat="false" ht="15" hidden="false" customHeight="false" outlineLevel="0" collapsed="false">
      <c r="A1149" s="3" t="s">
        <v>594</v>
      </c>
      <c r="B1149" s="0" t="s">
        <v>40</v>
      </c>
      <c r="C1149" s="16" t="n">
        <f aca="false">C1148/C1136</f>
        <v>0.0493366191222961</v>
      </c>
      <c r="D1149" s="16" t="n">
        <f aca="false">D1148/D1136</f>
        <v>0.236698048451424</v>
      </c>
      <c r="E1149" s="16" t="n">
        <f aca="false">E1148/E1136</f>
        <v>0.329619441204469</v>
      </c>
      <c r="F1149" s="16" t="n">
        <f aca="false">F1148/F1136</f>
        <v>0.324256067751253</v>
      </c>
      <c r="G1149" s="16" t="n">
        <f aca="false">G1148/G1136</f>
        <v>0.318253136108662</v>
      </c>
    </row>
    <row r="1150" customFormat="false" ht="15" hidden="false" customHeight="false" outlineLevel="0" collapsed="false">
      <c r="A1150" s="3" t="s">
        <v>516</v>
      </c>
      <c r="B1150" s="0" t="s">
        <v>329</v>
      </c>
      <c r="C1150" s="21" t="n">
        <f aca="false">a25_nonop</f>
        <v>0.364</v>
      </c>
      <c r="D1150" s="21" t="n">
        <f aca="false">a26_nonop</f>
        <v>0.623</v>
      </c>
      <c r="E1150" s="21" t="n">
        <f aca="false">nonop27</f>
        <v>0.6</v>
      </c>
      <c r="F1150" s="21" t="n">
        <f aca="false">nonop28</f>
        <v>0.6</v>
      </c>
      <c r="G1150" s="21" t="n">
        <f aca="false">nonop29</f>
        <v>0.6</v>
      </c>
    </row>
    <row r="1151" customFormat="false" ht="15" hidden="false" customHeight="false" outlineLevel="0" collapsed="false">
      <c r="A1151" s="3" t="s">
        <v>518</v>
      </c>
      <c r="B1151" s="0" t="s">
        <v>329</v>
      </c>
      <c r="C1151" s="21" t="n">
        <f aca="false">C1148+C1150</f>
        <v>2.346</v>
      </c>
      <c r="D1151" s="21" t="n">
        <f aca="false">D1148+D1150</f>
        <v>14.6231925</v>
      </c>
      <c r="E1151" s="21" t="n">
        <f aca="false">E1148+E1150</f>
        <v>27.0451681891961</v>
      </c>
      <c r="F1151" s="21" t="n">
        <f aca="false">F1148+F1150</f>
        <v>29.3821926858289</v>
      </c>
      <c r="G1151" s="21" t="n">
        <f aca="false">G1148+G1150</f>
        <v>32.4569108458573</v>
      </c>
    </row>
    <row r="1152" customFormat="false" ht="15" hidden="false" customHeight="false" outlineLevel="0" collapsed="false">
      <c r="A1152" s="3" t="s">
        <v>521</v>
      </c>
      <c r="B1152" s="0" t="s">
        <v>329</v>
      </c>
      <c r="E1152" s="21" t="n">
        <f aca="false">E1151*tax</f>
        <v>5.67948531973118</v>
      </c>
      <c r="F1152" s="21" t="n">
        <f aca="false">F1151*tax</f>
        <v>6.17026046402407</v>
      </c>
      <c r="G1152" s="21" t="n">
        <f aca="false">G1151*tax</f>
        <v>6.81595127763004</v>
      </c>
    </row>
    <row r="1153" customFormat="false" ht="15" hidden="false" customHeight="false" outlineLevel="0" collapsed="false">
      <c r="A1153" s="3" t="s">
        <v>519</v>
      </c>
      <c r="B1153" s="0" t="s">
        <v>329</v>
      </c>
      <c r="C1153" s="21" t="n">
        <f aca="false">a25_ni</f>
        <v>1.947</v>
      </c>
      <c r="D1153" s="21" t="n">
        <f aca="false">a26_ni</f>
        <v>11.509862075</v>
      </c>
      <c r="E1153" s="21" t="n">
        <f aca="false">E1151-E1152</f>
        <v>21.3656828694649</v>
      </c>
      <c r="F1153" s="21" t="n">
        <f aca="false">F1151-F1152</f>
        <v>23.2119322218048</v>
      </c>
      <c r="G1153" s="21" t="n">
        <f aca="false">G1151-G1152</f>
        <v>25.6409595682273</v>
      </c>
      <c r="H1153" s="30" t="n">
        <f aca="false">H1136*H1157</f>
        <v>28.1870763735861</v>
      </c>
      <c r="I1153" s="30" t="n">
        <f aca="false">I1136*I1157</f>
        <v>30.3523957638554</v>
      </c>
      <c r="J1153" s="30" t="n">
        <f aca="false">J1136*J1157</f>
        <v>32.0017843713606</v>
      </c>
    </row>
    <row r="1154" customFormat="false" ht="15" hidden="false" customHeight="false" outlineLevel="0" collapsed="false">
      <c r="A1154" s="3" t="s">
        <v>653</v>
      </c>
      <c r="B1154" s="3" t="s">
        <v>396</v>
      </c>
      <c r="C1154" s="29" t="n">
        <f aca="false">a25_sh</f>
        <v>0.646843853820598</v>
      </c>
      <c r="D1154" s="29" t="n">
        <f aca="false">a26_sh</f>
        <v>0.645863325123153</v>
      </c>
      <c r="E1154" s="29" t="n">
        <f aca="false">a26_shend*(1+sh_g)</f>
        <v>0.64617</v>
      </c>
      <c r="F1154" s="29" t="n">
        <f aca="false">E1154*(1+sh_g)</f>
        <v>0.64617</v>
      </c>
      <c r="G1154" s="29" t="n">
        <f aca="false">F1154*(1+sh_g)</f>
        <v>0.64617</v>
      </c>
      <c r="H1154" s="31" t="n">
        <f aca="false">G1154*(1+sh_g)</f>
        <v>0.64617</v>
      </c>
      <c r="I1154" s="31" t="n">
        <f aca="false">H1154*(1+sh_g)</f>
        <v>0.64617</v>
      </c>
      <c r="J1154" s="31" t="n">
        <f aca="false">I1154*(1+sh_g)</f>
        <v>0.64617</v>
      </c>
    </row>
    <row r="1155" customFormat="false" ht="17.15" hidden="false" customHeight="false" outlineLevel="0" collapsed="false">
      <c r="A1155" s="0" t="s">
        <v>524</v>
      </c>
      <c r="B1155" s="0" t="s">
        <v>402</v>
      </c>
      <c r="C1155" s="18" t="n">
        <f aca="false">C1153/C1154</f>
        <v>3.01</v>
      </c>
      <c r="D1155" s="18" t="n">
        <f aca="false">D1153/D1154</f>
        <v>17.820894339844</v>
      </c>
      <c r="E1155" s="18" t="n">
        <f aca="false">E1153/E1154</f>
        <v>33.0651111463932</v>
      </c>
      <c r="F1155" s="18" t="n">
        <f aca="false">F1153/F1154</f>
        <v>35.922330380248</v>
      </c>
      <c r="G1155" s="18" t="n">
        <f aca="false">G1153/G1154</f>
        <v>39.6814453908837</v>
      </c>
      <c r="H1155" s="28" t="n">
        <f aca="false">H1153/H1154</f>
        <v>43.621765748311</v>
      </c>
      <c r="I1155" s="28" t="n">
        <f aca="false">I1153/I1154</f>
        <v>46.9727715057267</v>
      </c>
      <c r="J1155" s="28" t="n">
        <f aca="false">J1153/J1154</f>
        <v>49.5253329175923</v>
      </c>
    </row>
    <row r="1156" customFormat="false" ht="17.15" hidden="false" customHeight="false" outlineLevel="0" collapsed="false">
      <c r="A1156" s="0" t="s">
        <v>654</v>
      </c>
      <c r="B1156" s="0" t="s">
        <v>40</v>
      </c>
      <c r="D1156" s="20" t="n">
        <f aca="false">D1155/C1155-1</f>
        <v>4.92056290360265</v>
      </c>
      <c r="E1156" s="20" t="n">
        <f aca="false">E1155/D1155-1</f>
        <v>0.855412557632768</v>
      </c>
      <c r="F1156" s="20" t="n">
        <f aca="false">F1155/E1155-1</f>
        <v>0.0864119047174725</v>
      </c>
      <c r="G1156" s="20" t="n">
        <f aca="false">G1155/F1155-1</f>
        <v>0.104645633254981</v>
      </c>
      <c r="H1156" s="26" t="n">
        <f aca="false">H1155/G1155-1</f>
        <v>0.0992988112860571</v>
      </c>
      <c r="I1156" s="26" t="n">
        <f aca="false">I1155/H1155-1</f>
        <v>0.0768195807742009</v>
      </c>
      <c r="J1156" s="26" t="n">
        <f aca="false">J1155/I1155-1</f>
        <v>0.0543412988001875</v>
      </c>
    </row>
    <row r="1157" customFormat="false" ht="17.15" hidden="false" customHeight="false" outlineLevel="0" collapsed="false">
      <c r="A1157" s="3" t="s">
        <v>655</v>
      </c>
      <c r="B1157" s="0" t="s">
        <v>40</v>
      </c>
      <c r="C1157" s="16" t="n">
        <f aca="false">C1153/C1136</f>
        <v>0.0484653872003585</v>
      </c>
      <c r="D1157" s="16" t="n">
        <f aca="false">D1153/D1136</f>
        <v>0.194594602259759</v>
      </c>
      <c r="E1157" s="16" t="n">
        <f aca="false">E1153/E1136</f>
        <v>0.266307417597068</v>
      </c>
      <c r="F1157" s="16" t="n">
        <f aca="false">F1153/F1136</f>
        <v>0.261502309754768</v>
      </c>
      <c r="G1157" s="16" t="n">
        <f aca="false">G1153/G1136</f>
        <v>0.256155276163097</v>
      </c>
      <c r="H1157" s="27" t="n">
        <f aca="false">$G1157+(fade_mA-$G1157)*1/3</f>
        <v>0.254802263353526</v>
      </c>
      <c r="I1157" s="27" t="n">
        <f aca="false">$G1157+(fade_mA-$G1157)*2/3</f>
        <v>0.253449250543956</v>
      </c>
      <c r="J1157" s="27" t="n">
        <f aca="false">$G1157+(fade_mA-$G1157)*3/3</f>
        <v>0.252096237734386</v>
      </c>
    </row>
    <row r="1158" customFormat="false" ht="17.15" hidden="false" customHeight="false" outlineLevel="0" collapsed="false">
      <c r="A1158" s="3" t="s">
        <v>656</v>
      </c>
      <c r="B1158" s="0" t="s">
        <v>40</v>
      </c>
      <c r="C1158" s="20" t="n">
        <f aca="false">C1141/C1136</f>
        <v>0.0602892489980833</v>
      </c>
      <c r="D1158" s="20" t="n">
        <f aca="false">D1141/D1136</f>
        <v>0.0676270839708595</v>
      </c>
      <c r="E1158" s="20" t="n">
        <f aca="false">E1141/E1136</f>
        <v>0.174499634256357</v>
      </c>
      <c r="F1158" s="20" t="n">
        <f aca="false">F1141/F1136</f>
        <v>0.202785426504223</v>
      </c>
      <c r="G1158" s="20" t="n">
        <f aca="false">G1141/G1136</f>
        <v>0.119880978158325</v>
      </c>
      <c r="H1158" s="26" t="n">
        <f aca="false">$G1158+($G1143*(1+tp_g)^(life/2)-$G1158)*1/3</f>
        <v>0.11467192462743</v>
      </c>
      <c r="I1158" s="26" t="n">
        <f aca="false">$G1158+($G1143*(1+tp_g)^(life/2)-$G1158)*2/3</f>
        <v>0.109462871096535</v>
      </c>
      <c r="J1158" s="26" t="n">
        <f aca="false">$G1158+($G1143*(1+tp_g)^(life/2)-$G1158)*3/3</f>
        <v>0.104253817565639</v>
      </c>
      <c r="K1158" s="7" t="s">
        <v>657</v>
      </c>
    </row>
    <row r="1159" customFormat="false" ht="15" hidden="false" customHeight="false" outlineLevel="0" collapsed="false">
      <c r="A1159" s="3" t="s">
        <v>658</v>
      </c>
      <c r="B1159" s="0" t="s">
        <v>329</v>
      </c>
      <c r="E1159" s="21" t="n">
        <f aca="false">E1153+E1142-E1141</f>
        <v>14.0781828694649</v>
      </c>
      <c r="F1159" s="21" t="n">
        <f aca="false">F1153+F1142-F1141</f>
        <v>12.8353697218048</v>
      </c>
      <c r="G1159" s="21" t="n">
        <f aca="false">G1153+G1142-G1141</f>
        <v>22.5614673807273</v>
      </c>
      <c r="H1159" s="30" t="n">
        <f aca="false">H1153+H1142-H1141</f>
        <v>25.3600611332068</v>
      </c>
      <c r="I1159" s="30" t="n">
        <f aca="false">I1153+I1142-I1141</f>
        <v>27.9157814686027</v>
      </c>
      <c r="J1159" s="30" t="n">
        <f aca="false">J1153+J1142-J1141</f>
        <v>30.0802246887548</v>
      </c>
      <c r="K1159" s="3" t="s">
        <v>659</v>
      </c>
    </row>
    <row r="1160" customFormat="false" ht="15" hidden="false" customHeight="false" outlineLevel="0" collapsed="false">
      <c r="A1160" s="3" t="s">
        <v>660</v>
      </c>
      <c r="B1160" s="0" t="s">
        <v>402</v>
      </c>
      <c r="E1160" s="18" t="n">
        <f aca="false">E1159/E1154</f>
        <v>21.7871192866659</v>
      </c>
      <c r="F1160" s="18" t="n">
        <f aca="false">F1159/F1154</f>
        <v>19.8637660705462</v>
      </c>
      <c r="G1160" s="18" t="n">
        <f aca="false">G1159/G1154</f>
        <v>34.9156837685552</v>
      </c>
      <c r="H1160" s="28" t="n">
        <f aca="false">H1159/H1154</f>
        <v>39.246732490222</v>
      </c>
      <c r="I1160" s="28" t="n">
        <f aca="false">I1159/I1154</f>
        <v>43.2019150821034</v>
      </c>
      <c r="J1160" s="28" t="n">
        <f aca="false">J1159/J1154</f>
        <v>46.5515648958552</v>
      </c>
    </row>
    <row r="1163" customFormat="false" ht="17.15" hidden="false" customHeight="false" outlineLevel="0" collapsed="false">
      <c r="A1163" s="1" t="s">
        <v>979</v>
      </c>
    </row>
    <row r="1164" customFormat="false" ht="17.15" hidden="false" customHeight="false" outlineLevel="0" collapsed="false">
      <c r="A1164" s="4" t="s">
        <v>17</v>
      </c>
      <c r="B1164" s="4" t="s">
        <v>18</v>
      </c>
      <c r="C1164" s="13" t="s">
        <v>494</v>
      </c>
      <c r="D1164" s="13" t="s">
        <v>581</v>
      </c>
      <c r="E1164" s="13" t="s">
        <v>582</v>
      </c>
      <c r="F1164" s="13" t="s">
        <v>583</v>
      </c>
      <c r="G1164" s="13" t="s">
        <v>584</v>
      </c>
      <c r="H1164" s="13" t="s">
        <v>585</v>
      </c>
      <c r="I1164" s="13" t="s">
        <v>586</v>
      </c>
      <c r="J1164" s="13" t="s">
        <v>587</v>
      </c>
      <c r="K1164" s="4" t="s">
        <v>549</v>
      </c>
    </row>
    <row r="1165" customFormat="false" ht="17.15" hidden="false" customHeight="false" outlineLevel="0" collapsed="false">
      <c r="A1165" s="5" t="s">
        <v>605</v>
      </c>
    </row>
    <row r="1166" customFormat="false" ht="17.15" hidden="false" customHeight="false" outlineLevel="0" collapsed="false">
      <c r="A1166" s="0" t="s">
        <v>606</v>
      </c>
      <c r="B1166" s="3" t="s">
        <v>28</v>
      </c>
      <c r="D1166" s="21" t="n">
        <f aca="false">(u_bw_26+u_rb_26+u_ru_26+u_hp_26)*1</f>
        <v>7.6</v>
      </c>
      <c r="E1166" s="21" t="n">
        <f aca="false">(u_bw_27+u_rb_27+u_ru_27+u_hp_27)*1*1</f>
        <v>9.7</v>
      </c>
      <c r="F1166" s="21" t="n">
        <f aca="false">(u_bw_28+u_rb_28+u_ru_28+u_hp_28)*um28_A*1</f>
        <v>9.5</v>
      </c>
      <c r="G1166" s="21" t="n">
        <f aca="false">(u_bw_28*(1+g29_bw)+u_rb_28*(1+g29_rb)+u_ru_28*(1+g29_ru)+u_hp_28*(1+g29_hp))*um29_A*1</f>
        <v>10.6</v>
      </c>
      <c r="K1166" s="7" t="s">
        <v>607</v>
      </c>
    </row>
    <row r="1167" customFormat="false" ht="17.15" hidden="false" customHeight="false" outlineLevel="0" collapsed="false">
      <c r="A1167" s="3" t="s">
        <v>608</v>
      </c>
      <c r="B1167" s="3" t="s">
        <v>28</v>
      </c>
      <c r="D1167" s="21" t="n">
        <f aca="false">(u_amd_26+u_tpu_26+u_trn_26+u_oth_26)*1</f>
        <v>7.6</v>
      </c>
      <c r="E1167" s="21" t="n">
        <f aca="false">(u_amd_27+u_tpu_27+u_trn_27+u_oth_27)*1*1</f>
        <v>14</v>
      </c>
      <c r="F1167" s="21" t="n">
        <f aca="false">(u_amd_28+u_tpu_28+u_trn_28+u_oth_28)*um28_A*1</f>
        <v>17</v>
      </c>
      <c r="G1167" s="21" t="n">
        <f aca="false">(u_amd_28*(1+g29_amd)+u_tpu_28*(1+g29_tpu)+u_trn_28*(1+g29_trn)+u_oth_28*(1+g29_oth))*um29_A*1</f>
        <v>19.55</v>
      </c>
      <c r="K1167" s="7" t="s">
        <v>609</v>
      </c>
    </row>
    <row r="1168" customFormat="false" ht="17.15" hidden="false" customHeight="false" outlineLevel="0" collapsed="false">
      <c r="A1168" s="3" t="s">
        <v>610</v>
      </c>
      <c r="B1168" s="0" t="s">
        <v>150</v>
      </c>
      <c r="D1168" s="19" t="n">
        <f aca="false">1</f>
        <v>1</v>
      </c>
      <c r="E1168" s="19" t="n">
        <f aca="false">D1168*(1+g_asp)</f>
        <v>1.18</v>
      </c>
      <c r="F1168" s="19" t="n">
        <f aca="false">E1168*(1+g_asp)</f>
        <v>1.3924</v>
      </c>
      <c r="G1168" s="19" t="n">
        <f aca="false">F1168*(1+g_asp)</f>
        <v>1.643032</v>
      </c>
      <c r="K1168" s="7" t="s">
        <v>611</v>
      </c>
    </row>
    <row r="1169" customFormat="false" ht="17.15" hidden="false" customHeight="false" outlineLevel="0" collapsed="false">
      <c r="A1169" s="0" t="s">
        <v>612</v>
      </c>
      <c r="B1169" s="0" t="s">
        <v>150</v>
      </c>
      <c r="D1169" s="18" t="n">
        <f aca="false">1</f>
        <v>1</v>
      </c>
      <c r="E1169" s="18" t="n">
        <f aca="false">ibpp_27</f>
        <v>1</v>
      </c>
      <c r="F1169" s="18" t="n">
        <f aca="false">ibpp_28</f>
        <v>0.95</v>
      </c>
      <c r="G1169" s="18" t="n">
        <f aca="false">ibpp_29</f>
        <v>0.9</v>
      </c>
      <c r="K1169" s="7" t="s">
        <v>613</v>
      </c>
    </row>
    <row r="1170" customFormat="false" ht="17.15" hidden="false" customHeight="false" outlineLevel="0" collapsed="false">
      <c r="A1170" s="3" t="s">
        <v>614</v>
      </c>
      <c r="B1170" s="0" t="s">
        <v>150</v>
      </c>
      <c r="D1170" s="18" t="n">
        <f aca="false">1</f>
        <v>1</v>
      </c>
      <c r="E1170" s="18" t="n">
        <f aca="false">1+carry</f>
        <v>1.15</v>
      </c>
      <c r="F1170" s="18" t="n">
        <f aca="false">1+carry</f>
        <v>1.15</v>
      </c>
      <c r="G1170" s="18" t="n">
        <f aca="false">1+carry</f>
        <v>1.15</v>
      </c>
      <c r="K1170" s="7" t="s">
        <v>615</v>
      </c>
    </row>
    <row r="1171" customFormat="false" ht="17.15" hidden="false" customHeight="false" outlineLevel="0" collapsed="false">
      <c r="A1171" s="3" t="s">
        <v>616</v>
      </c>
      <c r="B1171" s="0" t="s">
        <v>617</v>
      </c>
      <c r="D1171" s="23" t="n">
        <f aca="false">v26*D1168*D1169</f>
        <v>215.308596</v>
      </c>
      <c r="E1171" s="23" t="n">
        <f aca="false">v26*E1168*E1169</f>
        <v>254.06414328</v>
      </c>
      <c r="F1171" s="23" t="n">
        <f aca="false">v26*F1168*F1169</f>
        <v>284.80590461688</v>
      </c>
      <c r="G1171" s="23" t="n">
        <f aca="false">v26*G1168*G1169</f>
        <v>318.383021792765</v>
      </c>
      <c r="K1171" s="7" t="s">
        <v>618</v>
      </c>
    </row>
    <row r="1172" customFormat="false" ht="17.15" hidden="false" customHeight="false" outlineLevel="0" collapsed="false">
      <c r="A1172" s="3" t="s">
        <v>619</v>
      </c>
      <c r="B1172" s="0" t="s">
        <v>40</v>
      </c>
      <c r="D1172" s="20" t="n">
        <f aca="false">sh_nv_26</f>
        <v>0.02</v>
      </c>
      <c r="E1172" s="20" t="n">
        <f aca="false">sh_nv_27</f>
        <v>0.03</v>
      </c>
      <c r="F1172" s="20" t="n">
        <f aca="false">sh_nv_28</f>
        <v>0.04</v>
      </c>
      <c r="G1172" s="20" t="n">
        <f aca="false">sh_nv_29</f>
        <v>0.04</v>
      </c>
    </row>
    <row r="1173" customFormat="false" ht="17.15" hidden="false" customHeight="false" outlineLevel="0" collapsed="false">
      <c r="A1173" s="3" t="s">
        <v>620</v>
      </c>
      <c r="B1173" s="0" t="s">
        <v>40</v>
      </c>
      <c r="D1173" s="20" t="n">
        <f aca="false">sh_ot_26</f>
        <v>0.05</v>
      </c>
      <c r="E1173" s="20" t="n">
        <f aca="false">sh_ot_27</f>
        <v>0.06</v>
      </c>
      <c r="F1173" s="20" t="n">
        <f aca="false">sh_ot_28</f>
        <v>0.07</v>
      </c>
      <c r="G1173" s="20" t="n">
        <f aca="false">sh_ot_29</f>
        <v>0.07</v>
      </c>
    </row>
    <row r="1174" customFormat="false" ht="17.15" hidden="false" customHeight="false" outlineLevel="0" collapsed="false">
      <c r="A1174" s="3" t="s">
        <v>621</v>
      </c>
      <c r="B1174" s="0" t="s">
        <v>571</v>
      </c>
      <c r="D1174" s="22" t="n">
        <f aca="false">(D1166*D1171*D1172+D1167*D1171*v_ot*D1173)*D1170</f>
        <v>98.180719776</v>
      </c>
      <c r="E1174" s="22" t="n">
        <f aca="false">(E1166*E1171*E1172+E1167*E1171*v_ot*E1173)*E1170</f>
        <v>281.363335475436</v>
      </c>
      <c r="F1174" s="22" t="n">
        <f aca="false">(F1166*F1171*F1172+F1167*F1171*v_ot*F1173)*F1170</f>
        <v>436.265684692137</v>
      </c>
      <c r="G1174" s="22" t="n">
        <f aca="false">(G1166*G1171*G1172+G1167*G1171*v_ot*G1173)*G1170</f>
        <v>556.094153523679</v>
      </c>
    </row>
    <row r="1175" customFormat="false" ht="15" hidden="false" customHeight="false" outlineLevel="0" collapsed="false">
      <c r="A1175" s="3" t="s">
        <v>622</v>
      </c>
      <c r="B1175" s="0" t="s">
        <v>329</v>
      </c>
      <c r="D1175" s="21" t="n">
        <f aca="false">D1174*fx/1000</f>
        <v>3.19087339272</v>
      </c>
      <c r="E1175" s="21" t="n">
        <f aca="false">E1174*fx/1000</f>
        <v>9.14430840295167</v>
      </c>
      <c r="F1175" s="21" t="n">
        <f aca="false">F1174*fx/1000</f>
        <v>14.1786347524944</v>
      </c>
      <c r="G1175" s="21" t="n">
        <f aca="false">G1174*fx/1000</f>
        <v>18.0730599895196</v>
      </c>
    </row>
    <row r="1176" customFormat="false" ht="17.15" hidden="false" customHeight="false" outlineLevel="0" collapsed="false">
      <c r="A1176" s="5" t="s">
        <v>623</v>
      </c>
    </row>
    <row r="1177" customFormat="false" ht="17.15" hidden="false" customHeight="false" outlineLevel="0" collapsed="false">
      <c r="A1177" s="0" t="s">
        <v>624</v>
      </c>
      <c r="B1177" s="0" t="s">
        <v>329</v>
      </c>
      <c r="D1177" s="21" t="n">
        <f aca="false">a26_abf*ai_abf</f>
        <v>22.2987583</v>
      </c>
      <c r="K1177" s="3" t="s">
        <v>625</v>
      </c>
    </row>
    <row r="1178" customFormat="false" ht="17.15" hidden="false" customHeight="false" outlineLevel="0" collapsed="false">
      <c r="A1178" s="3" t="s">
        <v>626</v>
      </c>
      <c r="B1178" s="0" t="s">
        <v>329</v>
      </c>
      <c r="D1178" s="21" t="n">
        <f aca="false">D1177-D1175</f>
        <v>19.10788490728</v>
      </c>
      <c r="E1178" s="21" t="n">
        <f aca="false">$D1178*(swm_27/swm_26)^el_o_lo*1*1*E1169*E1170</f>
        <v>26.874945058409</v>
      </c>
      <c r="F1178" s="21" t="n">
        <f aca="false">$D1178*(swm_28/swm_26)^el_o_lo*um28_A*1*F1169*F1170</f>
        <v>26.6745871793069</v>
      </c>
      <c r="G1178" s="21" t="n">
        <f aca="false">$D1178*(swm_29/swm_26)^el_o_lo*um29_A*1*G1169*G1170</f>
        <v>26.2705016553689</v>
      </c>
      <c r="K1178" s="7" t="s">
        <v>627</v>
      </c>
    </row>
    <row r="1179" customFormat="false" ht="17.15" hidden="false" customHeight="false" outlineLevel="0" collapsed="false">
      <c r="A1179" s="3" t="s">
        <v>628</v>
      </c>
      <c r="B1179" s="0" t="s">
        <v>329</v>
      </c>
      <c r="D1179" s="21" t="n">
        <f aca="false">a26_abf-D1177</f>
        <v>12.0070237</v>
      </c>
      <c r="E1179" s="21" t="n">
        <f aca="false">D1179*(1+g_nai)</f>
        <v>12.367234411</v>
      </c>
      <c r="F1179" s="21" t="n">
        <f aca="false">E1179*(1+g_nai)</f>
        <v>12.73825144333</v>
      </c>
      <c r="G1179" s="21" t="n">
        <f aca="false">F1179*(1+g_nai)</f>
        <v>13.1203989866299</v>
      </c>
    </row>
    <row r="1180" customFormat="false" ht="17.15" hidden="false" customHeight="false" outlineLevel="0" collapsed="false">
      <c r="A1180" s="0" t="s">
        <v>629</v>
      </c>
      <c r="B1180" s="0" t="s">
        <v>329</v>
      </c>
      <c r="D1180" s="21" t="n">
        <f aca="false">D1175+D1178+D1179</f>
        <v>34.305782</v>
      </c>
      <c r="E1180" s="21" t="n">
        <f aca="false">E1175+E1178+E1179</f>
        <v>48.3864878723607</v>
      </c>
      <c r="F1180" s="21" t="n">
        <f aca="false">F1175+F1178+F1179</f>
        <v>53.5914733751314</v>
      </c>
      <c r="G1180" s="21" t="n">
        <f aca="false">G1175+G1178+G1179</f>
        <v>57.4639606315183</v>
      </c>
    </row>
    <row r="1181" customFormat="false" ht="17.15" hidden="false" customHeight="false" outlineLevel="0" collapsed="false">
      <c r="A1181" s="0" t="s">
        <v>630</v>
      </c>
      <c r="B1181" s="0" t="s">
        <v>329</v>
      </c>
      <c r="D1181" s="21" t="n">
        <f aca="false">a26_abf</f>
        <v>34.305782</v>
      </c>
      <c r="E1181" s="21" t="n">
        <f aca="false">$D1180*cap_27*(1+g_mix)^1*E1169*E1170</f>
        <v>49.709078118</v>
      </c>
      <c r="F1181" s="21" t="n">
        <f aca="false">$D1180*cap_28*(1+g_mix)^2*F1169*F1170</f>
        <v>55.7829061005431</v>
      </c>
      <c r="G1181" s="21" t="n">
        <f aca="false">$D1180*cap_29*(1+g_mix)^3*G1169*G1170</f>
        <v>65.765110350114</v>
      </c>
      <c r="K1181" s="7" t="s">
        <v>631</v>
      </c>
    </row>
    <row r="1182" customFormat="false" ht="17.15" hidden="false" customHeight="false" outlineLevel="0" collapsed="false">
      <c r="A1182" s="0" t="s">
        <v>632</v>
      </c>
      <c r="B1182" s="0" t="s">
        <v>329</v>
      </c>
      <c r="D1182" s="21" t="n">
        <f aca="false">a26_abf</f>
        <v>34.305782</v>
      </c>
      <c r="E1182" s="21" t="n">
        <f aca="false">MIN(E1180,E1181)</f>
        <v>48.3864878723607</v>
      </c>
      <c r="F1182" s="21" t="n">
        <f aca="false">MIN(F1180,F1181)</f>
        <v>53.5914733751314</v>
      </c>
      <c r="G1182" s="21" t="n">
        <f aca="false">MIN(G1180,G1181)</f>
        <v>57.4639606315183</v>
      </c>
    </row>
    <row r="1183" customFormat="false" ht="17.15" hidden="false" customHeight="false" outlineLevel="0" collapsed="false">
      <c r="A1183" s="3" t="s">
        <v>633</v>
      </c>
      <c r="B1183" s="0" t="s">
        <v>40</v>
      </c>
      <c r="D1183" s="20" t="n">
        <f aca="false">D1182/D1180</f>
        <v>1</v>
      </c>
      <c r="E1183" s="20" t="n">
        <f aca="false">E1182/E1180</f>
        <v>1</v>
      </c>
      <c r="F1183" s="20" t="n">
        <f aca="false">F1182/F1180</f>
        <v>1</v>
      </c>
      <c r="G1183" s="20" t="n">
        <f aca="false">G1182/G1180</f>
        <v>1</v>
      </c>
    </row>
    <row r="1184" customFormat="false" ht="17.15" hidden="false" customHeight="false" outlineLevel="0" collapsed="false">
      <c r="A1184" s="0" t="s">
        <v>634</v>
      </c>
      <c r="B1184" s="0" t="s">
        <v>329</v>
      </c>
      <c r="D1184" s="21" t="n">
        <f aca="false">(D1175+D1178)*D1183</f>
        <v>22.2987583</v>
      </c>
      <c r="E1184" s="21" t="n">
        <f aca="false">(E1175+E1178)*E1183</f>
        <v>36.0192534613607</v>
      </c>
      <c r="F1184" s="21" t="n">
        <f aca="false">(F1175+F1178)*F1183</f>
        <v>40.8532219318014</v>
      </c>
      <c r="G1184" s="21" t="n">
        <f aca="false">(G1175+G1178)*G1183</f>
        <v>44.3435616448884</v>
      </c>
    </row>
    <row r="1185" customFormat="false" ht="17.15" hidden="false" customHeight="false" outlineLevel="0" collapsed="false">
      <c r="A1185" s="3" t="s">
        <v>635</v>
      </c>
      <c r="B1185" s="0" t="s">
        <v>40</v>
      </c>
      <c r="D1185" s="20" t="n">
        <f aca="false">D1175/(D1175+D1178)</f>
        <v>0.14309646078903</v>
      </c>
      <c r="E1185" s="20" t="n">
        <f aca="false">E1175/(E1175+E1178)</f>
        <v>0.253872790916145</v>
      </c>
      <c r="F1185" s="20" t="n">
        <f aca="false">F1175/(F1175+F1178)</f>
        <v>0.347062828389977</v>
      </c>
      <c r="G1185" s="20" t="n">
        <f aca="false">G1175/(G1175+G1178)</f>
        <v>0.407568975497548</v>
      </c>
    </row>
    <row r="1186" customFormat="false" ht="17.15" hidden="false" customHeight="false" outlineLevel="0" collapsed="false">
      <c r="A1186" s="5" t="s">
        <v>636</v>
      </c>
    </row>
    <row r="1187" customFormat="false" ht="17.15" hidden="false" customHeight="false" outlineLevel="0" collapsed="false">
      <c r="A1187" s="0" t="s">
        <v>637</v>
      </c>
      <c r="B1187" s="0" t="s">
        <v>329</v>
      </c>
      <c r="D1187" s="21" t="n">
        <f aca="false">a26_bt</f>
        <v>18.927328</v>
      </c>
      <c r="E1187" s="21" t="n">
        <f aca="false">D1187*(1+g_bt27_A)</f>
        <v>24.6055264</v>
      </c>
      <c r="F1187" s="21" t="n">
        <f aca="false">E1187*(1+g_bt28_A)</f>
        <v>27.06607904</v>
      </c>
      <c r="G1187" s="21" t="n">
        <f aca="false">F1187*(1+g_bt29_A)</f>
        <v>28.419382992</v>
      </c>
      <c r="K1187" s="7" t="s">
        <v>638</v>
      </c>
    </row>
    <row r="1188" customFormat="false" ht="17.15" hidden="false" customHeight="false" outlineLevel="0" collapsed="false">
      <c r="A1188" s="0" t="s">
        <v>536</v>
      </c>
      <c r="B1188" s="0" t="s">
        <v>329</v>
      </c>
      <c r="D1188" s="21" t="n">
        <f aca="false">a26_pcb</f>
        <v>5.91479</v>
      </c>
      <c r="E1188" s="21" t="n">
        <f aca="false">D1188*(1+g_pcb)</f>
        <v>5.91479</v>
      </c>
      <c r="F1188" s="21" t="n">
        <f aca="false">E1188*(1+g_pcb)</f>
        <v>5.91479</v>
      </c>
      <c r="G1188" s="21" t="n">
        <f aca="false">F1188*(1+g_pcb)</f>
        <v>5.91479</v>
      </c>
    </row>
    <row r="1189" customFormat="false" ht="17.15" hidden="false" customHeight="false" outlineLevel="0" collapsed="false">
      <c r="A1189" s="3" t="s">
        <v>501</v>
      </c>
      <c r="B1189" s="0" t="s">
        <v>329</v>
      </c>
      <c r="C1189" s="23" t="n">
        <f aca="false">a25_rev</f>
        <v>40.173</v>
      </c>
      <c r="D1189" s="23" t="n">
        <f aca="false">D1182+D1187+D1188</f>
        <v>59.1479</v>
      </c>
      <c r="E1189" s="23" t="n">
        <f aca="false">E1182+E1187+E1188</f>
        <v>78.9068042723607</v>
      </c>
      <c r="F1189" s="23" t="n">
        <f aca="false">F1182+F1187+F1188</f>
        <v>86.5723424151314</v>
      </c>
      <c r="G1189" s="23" t="n">
        <f aca="false">G1182+G1187+G1188</f>
        <v>91.7981336235184</v>
      </c>
      <c r="H1189" s="25" t="n">
        <f aca="false">G1189*(1+H1190)</f>
        <v>97.3282543935466</v>
      </c>
      <c r="I1189" s="25" t="n">
        <f aca="false">H1189*(1+I1190)</f>
        <v>103.179735708341</v>
      </c>
      <c r="J1189" s="25" t="n">
        <f aca="false">I1189*(1+J1190)</f>
        <v>109.370519850842</v>
      </c>
      <c r="K1189" s="7" t="s">
        <v>639</v>
      </c>
    </row>
    <row r="1190" customFormat="false" ht="15" hidden="false" customHeight="false" outlineLevel="0" collapsed="false">
      <c r="A1190" s="3" t="s">
        <v>640</v>
      </c>
      <c r="B1190" s="0" t="s">
        <v>40</v>
      </c>
      <c r="D1190" s="20" t="n">
        <f aca="false">D1189/C1189-1</f>
        <v>0.472329674159261</v>
      </c>
      <c r="E1190" s="20" t="n">
        <f aca="false">E1189/D1189-1</f>
        <v>0.334059269599778</v>
      </c>
      <c r="F1190" s="20" t="n">
        <f aca="false">F1189/E1189-1</f>
        <v>0.0971467316850363</v>
      </c>
      <c r="G1190" s="20" t="n">
        <f aca="false">G1189/F1189-1</f>
        <v>0.0603632876574862</v>
      </c>
      <c r="H1190" s="26" t="n">
        <f aca="false">$G1190+(fade_gA-$G1190)*1/3</f>
        <v>0.0602421917716575</v>
      </c>
      <c r="I1190" s="26" t="n">
        <f aca="false">$G1190+(fade_gA-$G1190)*2/3</f>
        <v>0.0601210958858287</v>
      </c>
      <c r="J1190" s="26" t="n">
        <f aca="false">$G1190+(fade_gA-$G1190)*3/3</f>
        <v>0.06</v>
      </c>
    </row>
    <row r="1191" customFormat="false" ht="17.15" hidden="false" customHeight="false" outlineLevel="0" collapsed="false">
      <c r="A1191" s="0" t="s">
        <v>641</v>
      </c>
      <c r="B1191" s="0" t="s">
        <v>40</v>
      </c>
      <c r="D1191" s="20" t="n">
        <f aca="false">D1182/D1189</f>
        <v>0.58</v>
      </c>
      <c r="E1191" s="20" t="n">
        <f aca="false">E1182/E1189</f>
        <v>0.613210588346047</v>
      </c>
      <c r="F1191" s="20" t="n">
        <f aca="false">F1182/F1189</f>
        <v>0.619036887302295</v>
      </c>
      <c r="G1191" s="20" t="n">
        <f aca="false">G1182/G1189</f>
        <v>0.625981796832483</v>
      </c>
    </row>
    <row r="1192" customFormat="false" ht="17.15" hidden="false" customHeight="false" outlineLevel="0" collapsed="false">
      <c r="A1192" s="0" t="s">
        <v>642</v>
      </c>
      <c r="B1192" s="0" t="s">
        <v>40</v>
      </c>
      <c r="D1192" s="20" t="n">
        <f aca="false">D1184/D1189</f>
        <v>0.377</v>
      </c>
      <c r="E1192" s="20" t="n">
        <f aca="false">E1184/E1189</f>
        <v>0.456478421519061</v>
      </c>
      <c r="F1192" s="20" t="n">
        <f aca="false">F1184/F1189</f>
        <v>0.471896922182169</v>
      </c>
      <c r="G1192" s="20" t="n">
        <f aca="false">G1184/G1189</f>
        <v>0.483055154767632</v>
      </c>
      <c r="K1192" s="3" t="s">
        <v>643</v>
      </c>
    </row>
    <row r="1193" customFormat="false" ht="17.15" hidden="false" customHeight="false" outlineLevel="0" collapsed="false">
      <c r="A1193" s="5" t="s">
        <v>644</v>
      </c>
    </row>
    <row r="1194" customFormat="false" ht="15" hidden="false" customHeight="false" outlineLevel="0" collapsed="false">
      <c r="A1194" s="3" t="s">
        <v>645</v>
      </c>
      <c r="B1194" s="0" t="s">
        <v>329</v>
      </c>
      <c r="C1194" s="23" t="n">
        <f aca="false">a25_cx</f>
        <v>2.422</v>
      </c>
      <c r="D1194" s="23" t="n">
        <f aca="false">capex26</f>
        <v>4</v>
      </c>
      <c r="E1194" s="23" t="n">
        <f aca="false">cx27</f>
        <v>14</v>
      </c>
      <c r="F1194" s="23" t="n">
        <f aca="false">cx28</f>
        <v>18</v>
      </c>
      <c r="G1194" s="23" t="n">
        <f aca="false">cx29</f>
        <v>12</v>
      </c>
      <c r="H1194" s="25" t="n">
        <f aca="false">H1189*H1211</f>
        <v>12.1700721401614</v>
      </c>
      <c r="I1194" s="25" t="n">
        <f aca="false">I1189*I1211</f>
        <v>12.3156790575306</v>
      </c>
      <c r="J1194" s="25" t="n">
        <f aca="false">J1189*J1211</f>
        <v>12.4333843748731</v>
      </c>
    </row>
    <row r="1195" customFormat="false" ht="17.15" hidden="false" customHeight="false" outlineLevel="0" collapsed="false">
      <c r="A1195" s="3" t="s">
        <v>646</v>
      </c>
      <c r="B1195" s="0" t="s">
        <v>329</v>
      </c>
      <c r="C1195" s="23" t="n">
        <f aca="false">a25_da</f>
        <v>6.894</v>
      </c>
      <c r="D1195" s="23" t="n">
        <f aca="false">da26</f>
        <v>7.1</v>
      </c>
      <c r="E1195" s="23" t="n">
        <f aca="false">D1195*(1-1/life)+D1194/life</f>
        <v>6.7125</v>
      </c>
      <c r="F1195" s="23" t="n">
        <f aca="false">E1195*(1-1/life)+E1194/life</f>
        <v>7.6234375</v>
      </c>
      <c r="G1195" s="23" t="n">
        <f aca="false">F1195*(1-1/life)+F1194/life</f>
        <v>8.9205078125</v>
      </c>
      <c r="H1195" s="25" t="n">
        <f aca="false">H1189*H1196</f>
        <v>9.45789875484119</v>
      </c>
      <c r="I1195" s="25" t="n">
        <f aca="false">I1189*I1196</f>
        <v>10.0265179927595</v>
      </c>
      <c r="J1195" s="25" t="n">
        <f aca="false">J1189*J1196</f>
        <v>10.628109072325</v>
      </c>
      <c r="K1195" s="3" t="s">
        <v>647</v>
      </c>
    </row>
    <row r="1196" customFormat="false" ht="17.15" hidden="false" customHeight="false" outlineLevel="0" collapsed="false">
      <c r="A1196" s="3" t="s">
        <v>648</v>
      </c>
      <c r="B1196" s="0" t="s">
        <v>40</v>
      </c>
      <c r="C1196" s="20" t="n">
        <f aca="false">C1195/C1189</f>
        <v>0.171607796281084</v>
      </c>
      <c r="D1196" s="20" t="n">
        <f aca="false">D1195/D1189</f>
        <v>0.120038074048276</v>
      </c>
      <c r="E1196" s="20" t="n">
        <f aca="false">E1195/E1189</f>
        <v>0.0850687093704952</v>
      </c>
      <c r="F1196" s="20" t="n">
        <f aca="false">F1195/F1189</f>
        <v>0.088058579533913</v>
      </c>
      <c r="G1196" s="20" t="n">
        <f aca="false">G1195/G1189</f>
        <v>0.0971752633782807</v>
      </c>
      <c r="H1196" s="26" t="n">
        <f aca="false">$G1196</f>
        <v>0.0971752633782807</v>
      </c>
      <c r="I1196" s="26" t="n">
        <f aca="false">$G1196</f>
        <v>0.0971752633782807</v>
      </c>
      <c r="J1196" s="26" t="n">
        <f aca="false">$G1196</f>
        <v>0.0971752633782807</v>
      </c>
    </row>
    <row r="1197" customFormat="false" ht="17.15" hidden="false" customHeight="false" outlineLevel="0" collapsed="false">
      <c r="A1197" s="3" t="s">
        <v>649</v>
      </c>
      <c r="B1197" s="0" t="s">
        <v>329</v>
      </c>
      <c r="E1197" s="21" t="n">
        <f aca="false">E1184*(1-1/(E1169*E1170))</f>
        <v>4.69816349496009</v>
      </c>
      <c r="F1197" s="21" t="n">
        <f aca="false">F1184*(1-1/(F1169*F1170))</f>
        <v>3.45896844731498</v>
      </c>
      <c r="G1197" s="21" t="n">
        <f aca="false">G1184*(1-1/(G1169*G1170))</f>
        <v>1.49954073195275</v>
      </c>
      <c r="K1197" s="7" t="s">
        <v>650</v>
      </c>
    </row>
    <row r="1198" customFormat="false" ht="17.15" hidden="false" customHeight="false" outlineLevel="0" collapsed="false">
      <c r="A1198" s="3" t="s">
        <v>651</v>
      </c>
      <c r="B1198" s="0" t="s">
        <v>329</v>
      </c>
      <c r="C1198" s="21" t="n">
        <f aca="false">a25_gp</f>
        <v>3.647</v>
      </c>
      <c r="D1198" s="21" t="n">
        <f aca="false">a26_gp</f>
        <v>15.9001925</v>
      </c>
      <c r="E1198" s="21" t="n">
        <f aca="false">$D1198+ft_abf*(E1182-E1197-$D1182)+ft_oth*((E1189-E1182)-($D1189-$D1182))+E1197-(E1195-$D1195)</f>
        <v>27.9484065436604</v>
      </c>
      <c r="F1198" s="21" t="n">
        <f aca="false">$D1198+ft_abf*(F1182-F1197-$D1182)+ft_oth*((F1189-F1182)-($D1189-$D1182))+F1197-(F1195-$D1195)</f>
        <v>30.0045853272232</v>
      </c>
      <c r="G1198" s="21" t="n">
        <f aca="false">$D1198+ft_abf*(G1182-G1197-$D1182)+ft_oth*((G1189-G1182)-($D1189-$D1182))+G1197-(G1195-$D1195)</f>
        <v>30.2053663660356</v>
      </c>
      <c r="K1198" s="3" t="s">
        <v>652</v>
      </c>
    </row>
    <row r="1199" customFormat="false" ht="15" hidden="false" customHeight="false" outlineLevel="0" collapsed="false">
      <c r="A1199" s="3" t="s">
        <v>508</v>
      </c>
      <c r="B1199" s="0" t="s">
        <v>40</v>
      </c>
      <c r="C1199" s="16" t="n">
        <f aca="false">C1198/C1189</f>
        <v>0.0907823662659</v>
      </c>
      <c r="D1199" s="16" t="n">
        <f aca="false">D1198/D1189</f>
        <v>0.268820913337583</v>
      </c>
      <c r="E1199" s="16" t="n">
        <f aca="false">E1198/E1189</f>
        <v>0.35419513946087</v>
      </c>
      <c r="F1199" s="16" t="n">
        <f aca="false">F1198/F1189</f>
        <v>0.346583960768271</v>
      </c>
      <c r="G1199" s="16" t="n">
        <f aca="false">G1198/G1189</f>
        <v>0.32904118170761</v>
      </c>
    </row>
    <row r="1200" customFormat="false" ht="15" hidden="false" customHeight="false" outlineLevel="0" collapsed="false">
      <c r="A1200" s="3" t="s">
        <v>510</v>
      </c>
      <c r="B1200" s="0" t="s">
        <v>329</v>
      </c>
      <c r="C1200" s="21" t="n">
        <f aca="false">a25_opx</f>
        <v>1.665</v>
      </c>
      <c r="D1200" s="21" t="n">
        <f aca="false">a26_opx</f>
        <v>1.9</v>
      </c>
      <c r="E1200" s="21" t="n">
        <f aca="false">D1200*(1+phi*E1190)</f>
        <v>2.28082756734375</v>
      </c>
      <c r="F1200" s="21" t="n">
        <f aca="false">E1200*(1+phi*F1190)</f>
        <v>2.41377253356649</v>
      </c>
      <c r="G1200" s="21" t="n">
        <f aca="false">F1200*(1+phi*G1190)</f>
        <v>2.50119448103654</v>
      </c>
    </row>
    <row r="1201" customFormat="false" ht="15" hidden="false" customHeight="false" outlineLevel="0" collapsed="false">
      <c r="A1201" s="3" t="s">
        <v>513</v>
      </c>
      <c r="B1201" s="0" t="s">
        <v>329</v>
      </c>
      <c r="C1201" s="21" t="n">
        <f aca="false">C1198-C1200</f>
        <v>1.982</v>
      </c>
      <c r="D1201" s="21" t="n">
        <f aca="false">D1198-D1200</f>
        <v>14.0001925</v>
      </c>
      <c r="E1201" s="21" t="n">
        <f aca="false">E1198-E1200</f>
        <v>25.6675789763166</v>
      </c>
      <c r="F1201" s="21" t="n">
        <f aca="false">F1198-F1200</f>
        <v>27.5908127936567</v>
      </c>
      <c r="G1201" s="21" t="n">
        <f aca="false">G1198-G1200</f>
        <v>27.704171884999</v>
      </c>
    </row>
    <row r="1202" customFormat="false" ht="15" hidden="false" customHeight="false" outlineLevel="0" collapsed="false">
      <c r="A1202" s="3" t="s">
        <v>594</v>
      </c>
      <c r="B1202" s="0" t="s">
        <v>40</v>
      </c>
      <c r="C1202" s="16" t="n">
        <f aca="false">C1201/C1189</f>
        <v>0.0493366191222961</v>
      </c>
      <c r="D1202" s="16" t="n">
        <f aca="false">D1201/D1189</f>
        <v>0.236698048451424</v>
      </c>
      <c r="E1202" s="16" t="n">
        <f aca="false">E1201/E1189</f>
        <v>0.325289805017581</v>
      </c>
      <c r="F1202" s="16" t="n">
        <f aca="false">F1201/F1189</f>
        <v>0.318702394135916</v>
      </c>
      <c r="G1202" s="16" t="n">
        <f aca="false">G1201/G1189</f>
        <v>0.301794500513693</v>
      </c>
    </row>
    <row r="1203" customFormat="false" ht="15" hidden="false" customHeight="false" outlineLevel="0" collapsed="false">
      <c r="A1203" s="3" t="s">
        <v>516</v>
      </c>
      <c r="B1203" s="0" t="s">
        <v>329</v>
      </c>
      <c r="C1203" s="21" t="n">
        <f aca="false">a25_nonop</f>
        <v>0.364</v>
      </c>
      <c r="D1203" s="21" t="n">
        <f aca="false">a26_nonop</f>
        <v>0.623</v>
      </c>
      <c r="E1203" s="21" t="n">
        <f aca="false">nonop27</f>
        <v>0.6</v>
      </c>
      <c r="F1203" s="21" t="n">
        <f aca="false">nonop28</f>
        <v>0.6</v>
      </c>
      <c r="G1203" s="21" t="n">
        <f aca="false">nonop29</f>
        <v>0.6</v>
      </c>
    </row>
    <row r="1204" customFormat="false" ht="15" hidden="false" customHeight="false" outlineLevel="0" collapsed="false">
      <c r="A1204" s="3" t="s">
        <v>518</v>
      </c>
      <c r="B1204" s="0" t="s">
        <v>329</v>
      </c>
      <c r="C1204" s="21" t="n">
        <f aca="false">C1201+C1203</f>
        <v>2.346</v>
      </c>
      <c r="D1204" s="21" t="n">
        <f aca="false">D1201+D1203</f>
        <v>14.6231925</v>
      </c>
      <c r="E1204" s="21" t="n">
        <f aca="false">E1201+E1203</f>
        <v>26.2675789763166</v>
      </c>
      <c r="F1204" s="21" t="n">
        <f aca="false">F1201+F1203</f>
        <v>28.1908127936567</v>
      </c>
      <c r="G1204" s="21" t="n">
        <f aca="false">G1201+G1203</f>
        <v>28.304171884999</v>
      </c>
    </row>
    <row r="1205" customFormat="false" ht="15" hidden="false" customHeight="false" outlineLevel="0" collapsed="false">
      <c r="A1205" s="3" t="s">
        <v>521</v>
      </c>
      <c r="B1205" s="0" t="s">
        <v>329</v>
      </c>
      <c r="E1205" s="21" t="n">
        <f aca="false">E1204*tax</f>
        <v>5.5161915850265</v>
      </c>
      <c r="F1205" s="21" t="n">
        <f aca="false">F1204*tax</f>
        <v>5.92007068666791</v>
      </c>
      <c r="G1205" s="21" t="n">
        <f aca="false">G1204*tax</f>
        <v>5.94387609584979</v>
      </c>
    </row>
    <row r="1206" customFormat="false" ht="15" hidden="false" customHeight="false" outlineLevel="0" collapsed="false">
      <c r="A1206" s="3" t="s">
        <v>519</v>
      </c>
      <c r="B1206" s="0" t="s">
        <v>329</v>
      </c>
      <c r="C1206" s="21" t="n">
        <f aca="false">a25_ni</f>
        <v>1.947</v>
      </c>
      <c r="D1206" s="21" t="n">
        <f aca="false">a26_ni</f>
        <v>11.509862075</v>
      </c>
      <c r="E1206" s="21" t="n">
        <f aca="false">E1204-E1205</f>
        <v>20.7513873912902</v>
      </c>
      <c r="F1206" s="21" t="n">
        <f aca="false">F1204-F1205</f>
        <v>22.2707421069888</v>
      </c>
      <c r="G1206" s="21" t="n">
        <f aca="false">G1204-G1205</f>
        <v>22.3602957891492</v>
      </c>
      <c r="H1206" s="30" t="n">
        <f aca="false">H1189*H1210</f>
        <v>23.9835815967228</v>
      </c>
      <c r="I1206" s="30" t="n">
        <f aca="false">I1189*I1210</f>
        <v>25.7183619940431</v>
      </c>
      <c r="J1206" s="30" t="n">
        <f aca="false">J1189*J1210</f>
        <v>27.5718965734512</v>
      </c>
    </row>
    <row r="1207" customFormat="false" ht="15" hidden="false" customHeight="false" outlineLevel="0" collapsed="false">
      <c r="A1207" s="3" t="s">
        <v>653</v>
      </c>
      <c r="B1207" s="3" t="s">
        <v>396</v>
      </c>
      <c r="C1207" s="29" t="n">
        <f aca="false">a25_sh</f>
        <v>0.646843853820598</v>
      </c>
      <c r="D1207" s="29" t="n">
        <f aca="false">a26_sh</f>
        <v>0.645863325123153</v>
      </c>
      <c r="E1207" s="29" t="n">
        <f aca="false">a26_shend*(1+sh_g)</f>
        <v>0.64617</v>
      </c>
      <c r="F1207" s="29" t="n">
        <f aca="false">E1207*(1+sh_g)</f>
        <v>0.64617</v>
      </c>
      <c r="G1207" s="29" t="n">
        <f aca="false">F1207*(1+sh_g)</f>
        <v>0.64617</v>
      </c>
      <c r="H1207" s="31" t="n">
        <f aca="false">G1207*(1+sh_g)</f>
        <v>0.64617</v>
      </c>
      <c r="I1207" s="31" t="n">
        <f aca="false">H1207*(1+sh_g)</f>
        <v>0.64617</v>
      </c>
      <c r="J1207" s="31" t="n">
        <f aca="false">I1207*(1+sh_g)</f>
        <v>0.64617</v>
      </c>
    </row>
    <row r="1208" customFormat="false" ht="17.15" hidden="false" customHeight="false" outlineLevel="0" collapsed="false">
      <c r="A1208" s="0" t="s">
        <v>524</v>
      </c>
      <c r="B1208" s="0" t="s">
        <v>402</v>
      </c>
      <c r="C1208" s="18" t="n">
        <f aca="false">C1206/C1207</f>
        <v>3.01</v>
      </c>
      <c r="D1208" s="18" t="n">
        <f aca="false">D1206/D1207</f>
        <v>17.820894339844</v>
      </c>
      <c r="E1208" s="18" t="n">
        <f aca="false">E1206/E1207</f>
        <v>32.1144395302941</v>
      </c>
      <c r="F1208" s="18" t="n">
        <f aca="false">F1206/F1207</f>
        <v>34.4657630453113</v>
      </c>
      <c r="G1208" s="18" t="n">
        <f aca="false">G1206/G1207</f>
        <v>34.6043545648192</v>
      </c>
      <c r="H1208" s="28" t="n">
        <f aca="false">H1206/H1207</f>
        <v>37.116519796219</v>
      </c>
      <c r="I1208" s="28" t="n">
        <f aca="false">I1206/I1207</f>
        <v>39.8012318647462</v>
      </c>
      <c r="J1208" s="28" t="n">
        <f aca="false">J1206/J1207</f>
        <v>42.669725572916</v>
      </c>
    </row>
    <row r="1209" customFormat="false" ht="17.15" hidden="false" customHeight="false" outlineLevel="0" collapsed="false">
      <c r="A1209" s="0" t="s">
        <v>654</v>
      </c>
      <c r="B1209" s="0" t="s">
        <v>40</v>
      </c>
      <c r="D1209" s="20" t="n">
        <f aca="false">D1208/C1208-1</f>
        <v>4.92056290360265</v>
      </c>
      <c r="E1209" s="20" t="n">
        <f aca="false">E1208/D1208-1</f>
        <v>0.802066659387157</v>
      </c>
      <c r="F1209" s="20" t="n">
        <f aca="false">F1208/E1208-1</f>
        <v>0.0732170185563756</v>
      </c>
      <c r="G1209" s="20" t="n">
        <f aca="false">G1208/F1208-1</f>
        <v>0.00402113596979459</v>
      </c>
      <c r="H1209" s="26" t="n">
        <f aca="false">H1208/G1208-1</f>
        <v>0.0725967949118704</v>
      </c>
      <c r="I1209" s="26" t="n">
        <f aca="false">I1208/H1208-1</f>
        <v>0.0723319988853228</v>
      </c>
      <c r="J1209" s="26" t="n">
        <f aca="false">J1208/I1208-1</f>
        <v>0.0720704755550694</v>
      </c>
    </row>
    <row r="1210" customFormat="false" ht="17.15" hidden="false" customHeight="false" outlineLevel="0" collapsed="false">
      <c r="A1210" s="3" t="s">
        <v>655</v>
      </c>
      <c r="B1210" s="0" t="s">
        <v>40</v>
      </c>
      <c r="C1210" s="16" t="n">
        <f aca="false">C1206/C1189</f>
        <v>0.0484653872003585</v>
      </c>
      <c r="D1210" s="16" t="n">
        <f aca="false">D1206/D1189</f>
        <v>0.194594602259759</v>
      </c>
      <c r="E1210" s="16" t="n">
        <f aca="false">E1206/E1189</f>
        <v>0.262986032480331</v>
      </c>
      <c r="F1210" s="16" t="n">
        <f aca="false">F1206/F1189</f>
        <v>0.257250081096295</v>
      </c>
      <c r="G1210" s="16" t="n">
        <f aca="false">G1206/G1189</f>
        <v>0.243581159077297</v>
      </c>
      <c r="H1210" s="27" t="n">
        <f aca="false">$G1210+(fade_mA-$G1210)*1/3</f>
        <v>0.24641951862966</v>
      </c>
      <c r="I1210" s="27" t="n">
        <f aca="false">$G1210+(fade_mA-$G1210)*2/3</f>
        <v>0.249257878182023</v>
      </c>
      <c r="J1210" s="27" t="n">
        <f aca="false">$G1210+(fade_mA-$G1210)*3/3</f>
        <v>0.252096237734386</v>
      </c>
    </row>
    <row r="1211" customFormat="false" ht="17.15" hidden="false" customHeight="false" outlineLevel="0" collapsed="false">
      <c r="A1211" s="3" t="s">
        <v>656</v>
      </c>
      <c r="B1211" s="0" t="s">
        <v>40</v>
      </c>
      <c r="C1211" s="20" t="n">
        <f aca="false">C1194/C1189</f>
        <v>0.0602892489980833</v>
      </c>
      <c r="D1211" s="20" t="n">
        <f aca="false">D1194/D1189</f>
        <v>0.0676270839708595</v>
      </c>
      <c r="E1211" s="20" t="n">
        <f aca="false">E1194/E1189</f>
        <v>0.17742449626621</v>
      </c>
      <c r="F1211" s="20" t="n">
        <f aca="false">F1194/F1189</f>
        <v>0.207918597300815</v>
      </c>
      <c r="G1211" s="20" t="n">
        <f aca="false">G1194/G1189</f>
        <v>0.130721611936189</v>
      </c>
      <c r="H1211" s="26" t="n">
        <f aca="false">$G1211+($G1196*(1+tp_g)^(life/2)-$G1211)*1/3</f>
        <v>0.125041512518571</v>
      </c>
      <c r="I1211" s="26" t="n">
        <f aca="false">$G1211+($G1196*(1+tp_g)^(life/2)-$G1211)*2/3</f>
        <v>0.119361413100954</v>
      </c>
      <c r="J1211" s="26" t="n">
        <f aca="false">$G1211+($G1196*(1+tp_g)^(life/2)-$G1211)*3/3</f>
        <v>0.113681313683336</v>
      </c>
      <c r="K1211" s="7" t="s">
        <v>657</v>
      </c>
    </row>
    <row r="1212" customFormat="false" ht="15" hidden="false" customHeight="false" outlineLevel="0" collapsed="false">
      <c r="A1212" s="3" t="s">
        <v>658</v>
      </c>
      <c r="B1212" s="0" t="s">
        <v>329</v>
      </c>
      <c r="E1212" s="21" t="n">
        <f aca="false">E1206+E1195-E1194</f>
        <v>13.4638873912902</v>
      </c>
      <c r="F1212" s="21" t="n">
        <f aca="false">F1206+F1195-F1194</f>
        <v>11.8941796069888</v>
      </c>
      <c r="G1212" s="21" t="n">
        <f aca="false">G1206+G1195-G1194</f>
        <v>19.2808036016492</v>
      </c>
      <c r="H1212" s="30" t="n">
        <f aca="false">H1206+H1195-H1194</f>
        <v>21.2714082114027</v>
      </c>
      <c r="I1212" s="30" t="n">
        <f aca="false">I1206+I1195-I1194</f>
        <v>23.4292009292719</v>
      </c>
      <c r="J1212" s="30" t="n">
        <f aca="false">J1206+J1195-J1194</f>
        <v>25.7666212709031</v>
      </c>
      <c r="K1212" s="3" t="s">
        <v>659</v>
      </c>
    </row>
    <row r="1213" customFormat="false" ht="15" hidden="false" customHeight="false" outlineLevel="0" collapsed="false">
      <c r="A1213" s="3" t="s">
        <v>660</v>
      </c>
      <c r="B1213" s="0" t="s">
        <v>402</v>
      </c>
      <c r="E1213" s="18" t="n">
        <f aca="false">E1212/E1207</f>
        <v>20.8364476705668</v>
      </c>
      <c r="F1213" s="18" t="n">
        <f aca="false">F1212/F1207</f>
        <v>18.4071987356095</v>
      </c>
      <c r="G1213" s="18" t="n">
        <f aca="false">G1212/G1207</f>
        <v>29.8385929424907</v>
      </c>
      <c r="H1213" s="28" t="n">
        <f aca="false">H1212/H1207</f>
        <v>32.9192135373086</v>
      </c>
      <c r="I1213" s="28" t="n">
        <f aca="false">I1212/I1207</f>
        <v>36.258571164356</v>
      </c>
      <c r="J1213" s="28" t="n">
        <f aca="false">J1212/J1207</f>
        <v>39.8759169737114</v>
      </c>
    </row>
    <row r="1216" customFormat="false" ht="17.15" hidden="false" customHeight="false" outlineLevel="0" collapsed="false">
      <c r="A1216" s="1" t="s">
        <v>980</v>
      </c>
    </row>
    <row r="1217" customFormat="false" ht="17.15" hidden="false" customHeight="false" outlineLevel="0" collapsed="false">
      <c r="A1217" s="4" t="s">
        <v>17</v>
      </c>
      <c r="B1217" s="4" t="s">
        <v>18</v>
      </c>
      <c r="C1217" s="13" t="s">
        <v>494</v>
      </c>
      <c r="D1217" s="13" t="s">
        <v>581</v>
      </c>
      <c r="E1217" s="13" t="s">
        <v>582</v>
      </c>
      <c r="F1217" s="13" t="s">
        <v>583</v>
      </c>
      <c r="G1217" s="13" t="s">
        <v>584</v>
      </c>
      <c r="H1217" s="13" t="s">
        <v>585</v>
      </c>
      <c r="I1217" s="13" t="s">
        <v>586</v>
      </c>
      <c r="J1217" s="13" t="s">
        <v>587</v>
      </c>
      <c r="K1217" s="4" t="s">
        <v>549</v>
      </c>
    </row>
    <row r="1218" customFormat="false" ht="17.15" hidden="false" customHeight="false" outlineLevel="0" collapsed="false">
      <c r="A1218" s="5" t="s">
        <v>605</v>
      </c>
    </row>
    <row r="1219" customFormat="false" ht="17.15" hidden="false" customHeight="false" outlineLevel="0" collapsed="false">
      <c r="A1219" s="0" t="s">
        <v>606</v>
      </c>
      <c r="B1219" s="3" t="s">
        <v>28</v>
      </c>
      <c r="D1219" s="21" t="n">
        <f aca="false">(u_bw_26+u_rb_26+u_ru_26+u_hp_26)*1</f>
        <v>7.6</v>
      </c>
      <c r="E1219" s="21" t="n">
        <f aca="false">(u_bw_27+u_rb_27+u_ru_27+u_hp_27)*1*1</f>
        <v>9.7</v>
      </c>
      <c r="F1219" s="21" t="n">
        <f aca="false">(u_bw_28+u_rb_28+u_ru_28+u_hp_28)*um28_A*1</f>
        <v>9.5</v>
      </c>
      <c r="G1219" s="21" t="n">
        <f aca="false">(u_bw_28*(1+g29_bw)+u_rb_28*(1+g29_rb)+u_ru_28*(1+g29_ru)+u_hp_28*(1+g29_hp))*um29_A*1</f>
        <v>10.6</v>
      </c>
      <c r="K1219" s="7" t="s">
        <v>607</v>
      </c>
    </row>
    <row r="1220" customFormat="false" ht="17.15" hidden="false" customHeight="false" outlineLevel="0" collapsed="false">
      <c r="A1220" s="3" t="s">
        <v>608</v>
      </c>
      <c r="B1220" s="3" t="s">
        <v>28</v>
      </c>
      <c r="D1220" s="21" t="n">
        <f aca="false">(u_amd_26+u_tpu_26+u_trn_26+u_oth_26)*1</f>
        <v>7.6</v>
      </c>
      <c r="E1220" s="21" t="n">
        <f aca="false">(u_amd_27+u_tpu_27+u_trn_27+u_oth_27)*1*1</f>
        <v>14</v>
      </c>
      <c r="F1220" s="21" t="n">
        <f aca="false">(u_amd_28+u_tpu_28+u_trn_28+u_oth_28)*um28_A*1</f>
        <v>17</v>
      </c>
      <c r="G1220" s="21" t="n">
        <f aca="false">(u_amd_28*(1+g29_amd)+u_tpu_28*(1+g29_tpu)+u_trn_28*(1+g29_trn)+u_oth_28*(1+g29_oth))*um29_A*1</f>
        <v>19.55</v>
      </c>
      <c r="K1220" s="7" t="s">
        <v>609</v>
      </c>
    </row>
    <row r="1221" customFormat="false" ht="17.15" hidden="false" customHeight="false" outlineLevel="0" collapsed="false">
      <c r="A1221" s="3" t="s">
        <v>610</v>
      </c>
      <c r="B1221" s="0" t="s">
        <v>150</v>
      </c>
      <c r="D1221" s="19" t="n">
        <f aca="false">1</f>
        <v>1</v>
      </c>
      <c r="E1221" s="19" t="n">
        <f aca="false">D1221*(1+g_asp)</f>
        <v>1.18</v>
      </c>
      <c r="F1221" s="19" t="n">
        <f aca="false">E1221*(1+g_asp)</f>
        <v>1.3924</v>
      </c>
      <c r="G1221" s="19" t="n">
        <f aca="false">F1221*(1+g_asp)</f>
        <v>1.643032</v>
      </c>
      <c r="K1221" s="7" t="s">
        <v>611</v>
      </c>
    </row>
    <row r="1222" customFormat="false" ht="17.15" hidden="false" customHeight="false" outlineLevel="0" collapsed="false">
      <c r="A1222" s="0" t="s">
        <v>612</v>
      </c>
      <c r="B1222" s="0" t="s">
        <v>150</v>
      </c>
      <c r="D1222" s="18" t="n">
        <f aca="false">1</f>
        <v>1</v>
      </c>
      <c r="E1222" s="18" t="n">
        <f aca="false">ibpp_27</f>
        <v>1</v>
      </c>
      <c r="F1222" s="18" t="n">
        <f aca="false">ibpp_28</f>
        <v>0.95</v>
      </c>
      <c r="G1222" s="18" t="n">
        <f aca="false">ibpp_29</f>
        <v>0.9</v>
      </c>
      <c r="K1222" s="7" t="s">
        <v>613</v>
      </c>
    </row>
    <row r="1223" customFormat="false" ht="17.15" hidden="false" customHeight="false" outlineLevel="0" collapsed="false">
      <c r="A1223" s="3" t="s">
        <v>614</v>
      </c>
      <c r="B1223" s="0" t="s">
        <v>150</v>
      </c>
      <c r="D1223" s="18" t="n">
        <f aca="false">1</f>
        <v>1</v>
      </c>
      <c r="E1223" s="18" t="n">
        <f aca="false">1+carry</f>
        <v>1.15</v>
      </c>
      <c r="F1223" s="18" t="n">
        <f aca="false">1+carry</f>
        <v>1.15</v>
      </c>
      <c r="G1223" s="18" t="n">
        <f aca="false">1+carry</f>
        <v>1.15</v>
      </c>
      <c r="K1223" s="7" t="s">
        <v>615</v>
      </c>
    </row>
    <row r="1224" customFormat="false" ht="17.15" hidden="false" customHeight="false" outlineLevel="0" collapsed="false">
      <c r="A1224" s="3" t="s">
        <v>616</v>
      </c>
      <c r="B1224" s="0" t="s">
        <v>617</v>
      </c>
      <c r="D1224" s="23" t="n">
        <f aca="false">v26*D1221*D1222</f>
        <v>215.308596</v>
      </c>
      <c r="E1224" s="23" t="n">
        <f aca="false">v26*E1221*E1222</f>
        <v>254.06414328</v>
      </c>
      <c r="F1224" s="23" t="n">
        <f aca="false">v26*F1221*F1222</f>
        <v>284.80590461688</v>
      </c>
      <c r="G1224" s="23" t="n">
        <f aca="false">v26*G1221*G1222</f>
        <v>318.383021792765</v>
      </c>
      <c r="K1224" s="7" t="s">
        <v>618</v>
      </c>
    </row>
    <row r="1225" customFormat="false" ht="17.15" hidden="false" customHeight="false" outlineLevel="0" collapsed="false">
      <c r="A1225" s="3" t="s">
        <v>619</v>
      </c>
      <c r="B1225" s="0" t="s">
        <v>40</v>
      </c>
      <c r="D1225" s="20" t="n">
        <f aca="false">sh_nv_26</f>
        <v>0.02</v>
      </c>
      <c r="E1225" s="20" t="n">
        <f aca="false">sh_nv_27</f>
        <v>0.03</v>
      </c>
      <c r="F1225" s="20" t="n">
        <f aca="false">sh_nv_28</f>
        <v>0.04</v>
      </c>
      <c r="G1225" s="20" t="n">
        <f aca="false">sh_nv_29</f>
        <v>0.04</v>
      </c>
    </row>
    <row r="1226" customFormat="false" ht="17.15" hidden="false" customHeight="false" outlineLevel="0" collapsed="false">
      <c r="A1226" s="3" t="s">
        <v>620</v>
      </c>
      <c r="B1226" s="0" t="s">
        <v>40</v>
      </c>
      <c r="D1226" s="20" t="n">
        <f aca="false">sh_ot_26</f>
        <v>0.05</v>
      </c>
      <c r="E1226" s="20" t="n">
        <f aca="false">sh_ot_27</f>
        <v>0.06</v>
      </c>
      <c r="F1226" s="20" t="n">
        <f aca="false">sh_ot_28</f>
        <v>0.07</v>
      </c>
      <c r="G1226" s="20" t="n">
        <f aca="false">sh_ot_29</f>
        <v>0.07</v>
      </c>
    </row>
    <row r="1227" customFormat="false" ht="17.15" hidden="false" customHeight="false" outlineLevel="0" collapsed="false">
      <c r="A1227" s="3" t="s">
        <v>621</v>
      </c>
      <c r="B1227" s="0" t="s">
        <v>571</v>
      </c>
      <c r="D1227" s="22" t="n">
        <f aca="false">(D1219*D1224*D1225+D1220*D1224*v_ot*D1226)*D1223</f>
        <v>98.180719776</v>
      </c>
      <c r="E1227" s="22" t="n">
        <f aca="false">(E1219*E1224*E1225+E1220*E1224*v_ot*E1226)*E1223</f>
        <v>281.363335475436</v>
      </c>
      <c r="F1227" s="22" t="n">
        <f aca="false">(F1219*F1224*F1225+F1220*F1224*v_ot*F1226)*F1223</f>
        <v>436.265684692137</v>
      </c>
      <c r="G1227" s="22" t="n">
        <f aca="false">(G1219*G1224*G1225+G1220*G1224*v_ot*G1226)*G1223</f>
        <v>556.094153523679</v>
      </c>
    </row>
    <row r="1228" customFormat="false" ht="15" hidden="false" customHeight="false" outlineLevel="0" collapsed="false">
      <c r="A1228" s="3" t="s">
        <v>622</v>
      </c>
      <c r="B1228" s="0" t="s">
        <v>329</v>
      </c>
      <c r="D1228" s="21" t="n">
        <f aca="false">D1227*fx/1000</f>
        <v>3.19087339272</v>
      </c>
      <c r="E1228" s="21" t="n">
        <f aca="false">E1227*fx/1000</f>
        <v>9.14430840295167</v>
      </c>
      <c r="F1228" s="21" t="n">
        <f aca="false">F1227*fx/1000</f>
        <v>14.1786347524944</v>
      </c>
      <c r="G1228" s="21" t="n">
        <f aca="false">G1227*fx/1000</f>
        <v>18.0730599895196</v>
      </c>
    </row>
    <row r="1229" customFormat="false" ht="17.15" hidden="false" customHeight="false" outlineLevel="0" collapsed="false">
      <c r="A1229" s="5" t="s">
        <v>623</v>
      </c>
    </row>
    <row r="1230" customFormat="false" ht="17.15" hidden="false" customHeight="false" outlineLevel="0" collapsed="false">
      <c r="A1230" s="0" t="s">
        <v>624</v>
      </c>
      <c r="B1230" s="0" t="s">
        <v>329</v>
      </c>
      <c r="D1230" s="21" t="n">
        <f aca="false">a26_abf*ai_abf</f>
        <v>22.2987583</v>
      </c>
      <c r="K1230" s="3" t="s">
        <v>625</v>
      </c>
    </row>
    <row r="1231" customFormat="false" ht="17.15" hidden="false" customHeight="false" outlineLevel="0" collapsed="false">
      <c r="A1231" s="3" t="s">
        <v>626</v>
      </c>
      <c r="B1231" s="0" t="s">
        <v>329</v>
      </c>
      <c r="D1231" s="21" t="n">
        <f aca="false">D1230-D1228</f>
        <v>19.10788490728</v>
      </c>
      <c r="E1231" s="21" t="n">
        <f aca="false">$D1231*(swm_27/swm_26)^el_o_hi*1*1*E1222*E1223</f>
        <v>37.5903294286499</v>
      </c>
      <c r="F1231" s="21" t="n">
        <f aca="false">$D1231*(swm_28/swm_26)^el_o_hi*um28_A*1*F1222*F1223</f>
        <v>40.1362797002601</v>
      </c>
      <c r="G1231" s="21" t="n">
        <f aca="false">$D1231*(swm_29/swm_26)^el_o_hi*um29_A*1*G1222*G1223</f>
        <v>42.1690708523601</v>
      </c>
      <c r="K1231" s="7" t="s">
        <v>627</v>
      </c>
    </row>
    <row r="1232" customFormat="false" ht="17.15" hidden="false" customHeight="false" outlineLevel="0" collapsed="false">
      <c r="A1232" s="3" t="s">
        <v>628</v>
      </c>
      <c r="B1232" s="0" t="s">
        <v>329</v>
      </c>
      <c r="D1232" s="21" t="n">
        <f aca="false">a26_abf-D1230</f>
        <v>12.0070237</v>
      </c>
      <c r="E1232" s="21" t="n">
        <f aca="false">D1232*(1+g_nai)</f>
        <v>12.367234411</v>
      </c>
      <c r="F1232" s="21" t="n">
        <f aca="false">E1232*(1+g_nai)</f>
        <v>12.73825144333</v>
      </c>
      <c r="G1232" s="21" t="n">
        <f aca="false">F1232*(1+g_nai)</f>
        <v>13.1203989866299</v>
      </c>
    </row>
    <row r="1233" customFormat="false" ht="17.15" hidden="false" customHeight="false" outlineLevel="0" collapsed="false">
      <c r="A1233" s="0" t="s">
        <v>629</v>
      </c>
      <c r="B1233" s="0" t="s">
        <v>329</v>
      </c>
      <c r="D1233" s="21" t="n">
        <f aca="false">D1228+D1231+D1232</f>
        <v>34.305782</v>
      </c>
      <c r="E1233" s="21" t="n">
        <f aca="false">E1228+E1231+E1232</f>
        <v>59.1018722426015</v>
      </c>
      <c r="F1233" s="21" t="n">
        <f aca="false">F1228+F1231+F1232</f>
        <v>67.0531658960845</v>
      </c>
      <c r="G1233" s="21" t="n">
        <f aca="false">G1228+G1231+G1232</f>
        <v>73.3625298285095</v>
      </c>
    </row>
    <row r="1234" customFormat="false" ht="17.15" hidden="false" customHeight="false" outlineLevel="0" collapsed="false">
      <c r="A1234" s="0" t="s">
        <v>630</v>
      </c>
      <c r="B1234" s="0" t="s">
        <v>329</v>
      </c>
      <c r="D1234" s="21" t="n">
        <f aca="false">a26_abf</f>
        <v>34.305782</v>
      </c>
      <c r="E1234" s="21" t="n">
        <f aca="false">$D1233*cap_27*(1+g_mix)^1*E1222*E1223</f>
        <v>49.709078118</v>
      </c>
      <c r="F1234" s="21" t="n">
        <f aca="false">$D1233*cap_28*(1+g_mix)^2*F1222*F1223</f>
        <v>55.7829061005431</v>
      </c>
      <c r="G1234" s="21" t="n">
        <f aca="false">$D1233*cap_29*(1+g_mix)^3*G1222*G1223</f>
        <v>65.765110350114</v>
      </c>
      <c r="K1234" s="7" t="s">
        <v>631</v>
      </c>
    </row>
    <row r="1235" customFormat="false" ht="17.15" hidden="false" customHeight="false" outlineLevel="0" collapsed="false">
      <c r="A1235" s="0" t="s">
        <v>632</v>
      </c>
      <c r="B1235" s="0" t="s">
        <v>329</v>
      </c>
      <c r="D1235" s="21" t="n">
        <f aca="false">a26_abf</f>
        <v>34.305782</v>
      </c>
      <c r="E1235" s="21" t="n">
        <f aca="false">MIN(E1233,E1234)</f>
        <v>49.709078118</v>
      </c>
      <c r="F1235" s="21" t="n">
        <f aca="false">MIN(F1233,F1234)</f>
        <v>55.7829061005431</v>
      </c>
      <c r="G1235" s="21" t="n">
        <f aca="false">MIN(G1233,G1234)</f>
        <v>65.765110350114</v>
      </c>
    </row>
    <row r="1236" customFormat="false" ht="17.15" hidden="false" customHeight="false" outlineLevel="0" collapsed="false">
      <c r="A1236" s="3" t="s">
        <v>633</v>
      </c>
      <c r="B1236" s="0" t="s">
        <v>40</v>
      </c>
      <c r="D1236" s="20" t="n">
        <f aca="false">D1235/D1233</f>
        <v>1</v>
      </c>
      <c r="E1236" s="20" t="n">
        <f aca="false">E1235/E1233</f>
        <v>0.841074507994502</v>
      </c>
      <c r="F1236" s="20" t="n">
        <f aca="false">F1235/F1233</f>
        <v>0.831920541783106</v>
      </c>
      <c r="G1236" s="20" t="n">
        <f aca="false">G1235/G1233</f>
        <v>0.896440056031941</v>
      </c>
    </row>
    <row r="1237" customFormat="false" ht="17.15" hidden="false" customHeight="false" outlineLevel="0" collapsed="false">
      <c r="A1237" s="0" t="s">
        <v>634</v>
      </c>
      <c r="B1237" s="0" t="s">
        <v>329</v>
      </c>
      <c r="D1237" s="21" t="n">
        <f aca="false">(D1228+D1231)*D1236</f>
        <v>22.2987583</v>
      </c>
      <c r="E1237" s="21" t="n">
        <f aca="false">(E1228+E1231)*E1236</f>
        <v>39.3073125205155</v>
      </c>
      <c r="F1237" s="21" t="n">
        <f aca="false">(F1228+F1231)*F1236</f>
        <v>45.1856930584386</v>
      </c>
      <c r="G1237" s="21" t="n">
        <f aca="false">(G1228+G1231)*G1236</f>
        <v>54.0034591473781</v>
      </c>
    </row>
    <row r="1238" customFormat="false" ht="17.15" hidden="false" customHeight="false" outlineLevel="0" collapsed="false">
      <c r="A1238" s="3" t="s">
        <v>635</v>
      </c>
      <c r="B1238" s="0" t="s">
        <v>40</v>
      </c>
      <c r="D1238" s="20" t="n">
        <f aca="false">D1228/(D1228+D1231)</f>
        <v>0.14309646078903</v>
      </c>
      <c r="E1238" s="20" t="n">
        <f aca="false">E1228/(E1228+E1231)</f>
        <v>0.195664475584496</v>
      </c>
      <c r="F1238" s="20" t="n">
        <f aca="false">F1228/(F1228+F1231)</f>
        <v>0.261044961505511</v>
      </c>
      <c r="G1238" s="20" t="n">
        <f aca="false">G1228/(G1228+G1231)</f>
        <v>0.300006984098168</v>
      </c>
    </row>
    <row r="1239" customFormat="false" ht="17.15" hidden="false" customHeight="false" outlineLevel="0" collapsed="false">
      <c r="A1239" s="5" t="s">
        <v>636</v>
      </c>
    </row>
    <row r="1240" customFormat="false" ht="17.15" hidden="false" customHeight="false" outlineLevel="0" collapsed="false">
      <c r="A1240" s="0" t="s">
        <v>637</v>
      </c>
      <c r="B1240" s="0" t="s">
        <v>329</v>
      </c>
      <c r="D1240" s="21" t="n">
        <f aca="false">a26_bt</f>
        <v>18.927328</v>
      </c>
      <c r="E1240" s="21" t="n">
        <f aca="false">D1240*(1+g_bt27_A)</f>
        <v>24.6055264</v>
      </c>
      <c r="F1240" s="21" t="n">
        <f aca="false">E1240*(1+g_bt28_A)</f>
        <v>27.06607904</v>
      </c>
      <c r="G1240" s="21" t="n">
        <f aca="false">F1240*(1+g_bt29_A)</f>
        <v>28.419382992</v>
      </c>
      <c r="K1240" s="7" t="s">
        <v>638</v>
      </c>
    </row>
    <row r="1241" customFormat="false" ht="17.15" hidden="false" customHeight="false" outlineLevel="0" collapsed="false">
      <c r="A1241" s="0" t="s">
        <v>536</v>
      </c>
      <c r="B1241" s="0" t="s">
        <v>329</v>
      </c>
      <c r="D1241" s="21" t="n">
        <f aca="false">a26_pcb</f>
        <v>5.91479</v>
      </c>
      <c r="E1241" s="21" t="n">
        <f aca="false">D1241*(1+g_pcb)</f>
        <v>5.91479</v>
      </c>
      <c r="F1241" s="21" t="n">
        <f aca="false">E1241*(1+g_pcb)</f>
        <v>5.91479</v>
      </c>
      <c r="G1241" s="21" t="n">
        <f aca="false">F1241*(1+g_pcb)</f>
        <v>5.91479</v>
      </c>
    </row>
    <row r="1242" customFormat="false" ht="17.15" hidden="false" customHeight="false" outlineLevel="0" collapsed="false">
      <c r="A1242" s="3" t="s">
        <v>501</v>
      </c>
      <c r="B1242" s="0" t="s">
        <v>329</v>
      </c>
      <c r="C1242" s="23" t="n">
        <f aca="false">a25_rev</f>
        <v>40.173</v>
      </c>
      <c r="D1242" s="23" t="n">
        <f aca="false">D1235+D1240+D1241</f>
        <v>59.1479</v>
      </c>
      <c r="E1242" s="23" t="n">
        <f aca="false">E1235+E1240+E1241</f>
        <v>80.229394518</v>
      </c>
      <c r="F1242" s="23" t="n">
        <f aca="false">F1235+F1240+F1241</f>
        <v>88.7637751405431</v>
      </c>
      <c r="G1242" s="23" t="n">
        <f aca="false">G1235+G1240+G1241</f>
        <v>100.099283342114</v>
      </c>
      <c r="H1242" s="25" t="n">
        <f aca="false">G1242*(1+H1243)</f>
        <v>110.623335925701</v>
      </c>
      <c r="I1242" s="25" t="n">
        <f aca="false">H1242*(1+I1243)</f>
        <v>119.757291444787</v>
      </c>
      <c r="J1242" s="25" t="n">
        <f aca="false">I1242*(1+J1243)</f>
        <v>126.942728931474</v>
      </c>
      <c r="K1242" s="7" t="s">
        <v>639</v>
      </c>
    </row>
    <row r="1243" customFormat="false" ht="15" hidden="false" customHeight="false" outlineLevel="0" collapsed="false">
      <c r="A1243" s="3" t="s">
        <v>640</v>
      </c>
      <c r="B1243" s="0" t="s">
        <v>40</v>
      </c>
      <c r="D1243" s="20" t="n">
        <f aca="false">D1242/C1242-1</f>
        <v>0.472329674159261</v>
      </c>
      <c r="E1243" s="20" t="n">
        <f aca="false">E1242/D1242-1</f>
        <v>0.35642</v>
      </c>
      <c r="F1243" s="20" t="n">
        <f aca="false">F1242/E1242-1</f>
        <v>0.106374735517023</v>
      </c>
      <c r="G1243" s="20" t="n">
        <f aca="false">G1242/F1242-1</f>
        <v>0.127704214738759</v>
      </c>
      <c r="H1243" s="26" t="n">
        <f aca="false">$G1243+(fade_gA-$G1243)*1/3</f>
        <v>0.105136143159173</v>
      </c>
      <c r="I1243" s="26" t="n">
        <f aca="false">$G1243+(fade_gA-$G1243)*2/3</f>
        <v>0.0825680715795865</v>
      </c>
      <c r="J1243" s="26" t="n">
        <f aca="false">$G1243+(fade_gA-$G1243)*3/3</f>
        <v>0.06</v>
      </c>
    </row>
    <row r="1244" customFormat="false" ht="17.15" hidden="false" customHeight="false" outlineLevel="0" collapsed="false">
      <c r="A1244" s="0" t="s">
        <v>641</v>
      </c>
      <c r="B1244" s="0" t="s">
        <v>40</v>
      </c>
      <c r="D1244" s="20" t="n">
        <f aca="false">D1235/D1242</f>
        <v>0.58</v>
      </c>
      <c r="E1244" s="20" t="n">
        <f aca="false">E1235/E1242</f>
        <v>0.619586853629407</v>
      </c>
      <c r="F1244" s="20" t="n">
        <f aca="false">F1235/F1242</f>
        <v>0.62844224473576</v>
      </c>
      <c r="G1244" s="20" t="n">
        <f aca="false">G1235/G1242</f>
        <v>0.656998813121823</v>
      </c>
    </row>
    <row r="1245" customFormat="false" ht="17.15" hidden="false" customHeight="false" outlineLevel="0" collapsed="false">
      <c r="A1245" s="0" t="s">
        <v>642</v>
      </c>
      <c r="B1245" s="0" t="s">
        <v>40</v>
      </c>
      <c r="D1245" s="20" t="n">
        <f aca="false">D1237/D1242</f>
        <v>0.377</v>
      </c>
      <c r="E1245" s="20" t="n">
        <f aca="false">E1237/E1242</f>
        <v>0.489936547030735</v>
      </c>
      <c r="F1245" s="20" t="n">
        <f aca="false">F1237/F1242</f>
        <v>0.509055557708022</v>
      </c>
      <c r="G1245" s="20" t="n">
        <f aca="false">G1237/G1242</f>
        <v>0.539498958876738</v>
      </c>
      <c r="K1245" s="3" t="s">
        <v>643</v>
      </c>
    </row>
    <row r="1246" customFormat="false" ht="17.15" hidden="false" customHeight="false" outlineLevel="0" collapsed="false">
      <c r="A1246" s="5" t="s">
        <v>644</v>
      </c>
    </row>
    <row r="1247" customFormat="false" ht="15" hidden="false" customHeight="false" outlineLevel="0" collapsed="false">
      <c r="A1247" s="3" t="s">
        <v>645</v>
      </c>
      <c r="B1247" s="0" t="s">
        <v>329</v>
      </c>
      <c r="C1247" s="23" t="n">
        <f aca="false">a25_cx</f>
        <v>2.422</v>
      </c>
      <c r="D1247" s="23" t="n">
        <f aca="false">capex26</f>
        <v>4</v>
      </c>
      <c r="E1247" s="23" t="n">
        <f aca="false">cx27</f>
        <v>14</v>
      </c>
      <c r="F1247" s="23" t="n">
        <f aca="false">cx28</f>
        <v>18</v>
      </c>
      <c r="G1247" s="23" t="n">
        <f aca="false">cx29</f>
        <v>12</v>
      </c>
      <c r="H1247" s="25" t="n">
        <f aca="false">H1242*H1264</f>
        <v>12.6853908393069</v>
      </c>
      <c r="I1247" s="25" t="n">
        <f aca="false">I1242*I1264</f>
        <v>13.1089769562909</v>
      </c>
      <c r="J1247" s="25" t="n">
        <f aca="false">J1242*J1264</f>
        <v>13.2342641033063</v>
      </c>
    </row>
    <row r="1248" customFormat="false" ht="17.15" hidden="false" customHeight="false" outlineLevel="0" collapsed="false">
      <c r="A1248" s="3" t="s">
        <v>646</v>
      </c>
      <c r="B1248" s="0" t="s">
        <v>329</v>
      </c>
      <c r="C1248" s="23" t="n">
        <f aca="false">a25_da</f>
        <v>6.894</v>
      </c>
      <c r="D1248" s="23" t="n">
        <f aca="false">da26</f>
        <v>7.1</v>
      </c>
      <c r="E1248" s="23" t="n">
        <f aca="false">D1248*(1-1/life)+D1247/life</f>
        <v>6.7125</v>
      </c>
      <c r="F1248" s="23" t="n">
        <f aca="false">E1248*(1-1/life)+E1247/life</f>
        <v>7.6234375</v>
      </c>
      <c r="G1248" s="23" t="n">
        <f aca="false">F1248*(1-1/life)+F1247/life</f>
        <v>8.9205078125</v>
      </c>
      <c r="H1248" s="25" t="n">
        <f aca="false">H1242*H1249</f>
        <v>9.85837559892752</v>
      </c>
      <c r="I1248" s="25" t="n">
        <f aca="false">I1242*I1249</f>
        <v>10.6723626610382</v>
      </c>
      <c r="J1248" s="25" t="n">
        <f aca="false">J1242*J1249</f>
        <v>11.3127044207005</v>
      </c>
      <c r="K1248" s="3" t="s">
        <v>647</v>
      </c>
    </row>
    <row r="1249" customFormat="false" ht="17.15" hidden="false" customHeight="false" outlineLevel="0" collapsed="false">
      <c r="A1249" s="3" t="s">
        <v>648</v>
      </c>
      <c r="B1249" s="0" t="s">
        <v>40</v>
      </c>
      <c r="C1249" s="20" t="n">
        <f aca="false">C1248/C1242</f>
        <v>0.171607796281084</v>
      </c>
      <c r="D1249" s="20" t="n">
        <f aca="false">D1248/D1242</f>
        <v>0.120038074048276</v>
      </c>
      <c r="E1249" s="20" t="n">
        <f aca="false">E1248/E1242</f>
        <v>0.0836663424961285</v>
      </c>
      <c r="F1249" s="20" t="n">
        <f aca="false">F1248/F1242</f>
        <v>0.0858845569369883</v>
      </c>
      <c r="G1249" s="20" t="n">
        <f aca="false">G1248/G1242</f>
        <v>0.089116600185957</v>
      </c>
      <c r="H1249" s="26" t="n">
        <f aca="false">$G1249</f>
        <v>0.089116600185957</v>
      </c>
      <c r="I1249" s="26" t="n">
        <f aca="false">$G1249</f>
        <v>0.089116600185957</v>
      </c>
      <c r="J1249" s="26" t="n">
        <f aca="false">$G1249</f>
        <v>0.089116600185957</v>
      </c>
    </row>
    <row r="1250" customFormat="false" ht="17.15" hidden="false" customHeight="false" outlineLevel="0" collapsed="false">
      <c r="A1250" s="3" t="s">
        <v>649</v>
      </c>
      <c r="B1250" s="0" t="s">
        <v>329</v>
      </c>
      <c r="E1250" s="21" t="n">
        <f aca="false">E1237*(1-1/(E1222*E1223))</f>
        <v>5.1270407635455</v>
      </c>
      <c r="F1250" s="21" t="n">
        <f aca="false">F1237*(1-1/(F1222*F1223))</f>
        <v>3.82579094545132</v>
      </c>
      <c r="G1250" s="21" t="n">
        <f aca="false">G1237*(1-1/(G1222*G1223))</f>
        <v>1.82620393252003</v>
      </c>
      <c r="K1250" s="7" t="s">
        <v>650</v>
      </c>
    </row>
    <row r="1251" customFormat="false" ht="17.15" hidden="false" customHeight="false" outlineLevel="0" collapsed="false">
      <c r="A1251" s="3" t="s">
        <v>651</v>
      </c>
      <c r="B1251" s="0" t="s">
        <v>329</v>
      </c>
      <c r="C1251" s="21" t="n">
        <f aca="false">a25_gp</f>
        <v>3.647</v>
      </c>
      <c r="D1251" s="21" t="n">
        <f aca="false">a26_gp</f>
        <v>15.9001925</v>
      </c>
      <c r="E1251" s="21" t="n">
        <f aca="false">$D1251+ft_abf*(E1235-E1250-$D1235)+ft_oth*((E1242-E1235)-($D1242-$D1235))+E1250-(E1248-$D1248)</f>
        <v>28.8241403007728</v>
      </c>
      <c r="F1251" s="21" t="n">
        <f aca="false">$D1251+ft_abf*(F1235-F1250-$D1235)+ft_oth*((F1242-F1235)-($D1242-$D1235))+F1250-(F1248-$D1248)</f>
        <v>31.2837129389972</v>
      </c>
      <c r="G1251" s="21" t="n">
        <f aca="false">$D1251+ft_abf*(G1235-G1250-$D1235)+ft_oth*((G1242-G1235)-($D1242-$D1235))+G1250-(G1248-$D1248)</f>
        <v>34.519272825617</v>
      </c>
      <c r="K1251" s="3" t="s">
        <v>652</v>
      </c>
    </row>
    <row r="1252" customFormat="false" ht="15" hidden="false" customHeight="false" outlineLevel="0" collapsed="false">
      <c r="A1252" s="3" t="s">
        <v>508</v>
      </c>
      <c r="B1252" s="0" t="s">
        <v>40</v>
      </c>
      <c r="C1252" s="16" t="n">
        <f aca="false">C1251/C1242</f>
        <v>0.0907823662659</v>
      </c>
      <c r="D1252" s="16" t="n">
        <f aca="false">D1251/D1242</f>
        <v>0.268820913337583</v>
      </c>
      <c r="E1252" s="16" t="n">
        <f aca="false">E1251/E1242</f>
        <v>0.359271567159912</v>
      </c>
      <c r="F1252" s="16" t="n">
        <f aca="false">F1251/F1242</f>
        <v>0.352437837276124</v>
      </c>
      <c r="G1252" s="16" t="n">
        <f aca="false">G1251/G1242</f>
        <v>0.344850349304089</v>
      </c>
    </row>
    <row r="1253" customFormat="false" ht="15" hidden="false" customHeight="false" outlineLevel="0" collapsed="false">
      <c r="A1253" s="3" t="s">
        <v>510</v>
      </c>
      <c r="B1253" s="0" t="s">
        <v>329</v>
      </c>
      <c r="C1253" s="21" t="n">
        <f aca="false">a25_opx</f>
        <v>1.665</v>
      </c>
      <c r="D1253" s="21" t="n">
        <f aca="false">a26_opx</f>
        <v>1.9</v>
      </c>
      <c r="E1253" s="21" t="n">
        <f aca="false">D1253*(1+phi*E1243)</f>
        <v>2.3063188</v>
      </c>
      <c r="F1253" s="21" t="n">
        <f aca="false">E1253*(1+phi*F1243)</f>
        <v>2.45351923142076</v>
      </c>
      <c r="G1253" s="21" t="n">
        <f aca="false">F1253*(1+phi*G1243)</f>
        <v>2.64151407949778</v>
      </c>
    </row>
    <row r="1254" customFormat="false" ht="15" hidden="false" customHeight="false" outlineLevel="0" collapsed="false">
      <c r="A1254" s="3" t="s">
        <v>513</v>
      </c>
      <c r="B1254" s="0" t="s">
        <v>329</v>
      </c>
      <c r="C1254" s="21" t="n">
        <f aca="false">C1251-C1253</f>
        <v>1.982</v>
      </c>
      <c r="D1254" s="21" t="n">
        <f aca="false">D1251-D1253</f>
        <v>14.0001925</v>
      </c>
      <c r="E1254" s="21" t="n">
        <f aca="false">E1251-E1253</f>
        <v>26.5178215007728</v>
      </c>
      <c r="F1254" s="21" t="n">
        <f aca="false">F1251-F1253</f>
        <v>28.8301937075765</v>
      </c>
      <c r="G1254" s="21" t="n">
        <f aca="false">G1251-G1253</f>
        <v>31.8777587461192</v>
      </c>
    </row>
    <row r="1255" customFormat="false" ht="15" hidden="false" customHeight="false" outlineLevel="0" collapsed="false">
      <c r="A1255" s="3" t="s">
        <v>594</v>
      </c>
      <c r="B1255" s="0" t="s">
        <v>40</v>
      </c>
      <c r="C1255" s="16" t="n">
        <f aca="false">C1254/C1242</f>
        <v>0.0493366191222961</v>
      </c>
      <c r="D1255" s="16" t="n">
        <f aca="false">D1254/D1242</f>
        <v>0.236698048451424</v>
      </c>
      <c r="E1255" s="16" t="n">
        <f aca="false">E1254/E1242</f>
        <v>0.330525010940015</v>
      </c>
      <c r="F1255" s="16" t="n">
        <f aca="false">F1254/F1242</f>
        <v>0.324796840399459</v>
      </c>
      <c r="G1255" s="16" t="n">
        <f aca="false">G1254/G1242</f>
        <v>0.318461408331657</v>
      </c>
    </row>
    <row r="1256" customFormat="false" ht="15" hidden="false" customHeight="false" outlineLevel="0" collapsed="false">
      <c r="A1256" s="3" t="s">
        <v>516</v>
      </c>
      <c r="B1256" s="0" t="s">
        <v>329</v>
      </c>
      <c r="C1256" s="21" t="n">
        <f aca="false">a25_nonop</f>
        <v>0.364</v>
      </c>
      <c r="D1256" s="21" t="n">
        <f aca="false">a26_nonop</f>
        <v>0.623</v>
      </c>
      <c r="E1256" s="21" t="n">
        <f aca="false">nonop27</f>
        <v>0.6</v>
      </c>
      <c r="F1256" s="21" t="n">
        <f aca="false">nonop28</f>
        <v>0.6</v>
      </c>
      <c r="G1256" s="21" t="n">
        <f aca="false">nonop29</f>
        <v>0.6</v>
      </c>
    </row>
    <row r="1257" customFormat="false" ht="15" hidden="false" customHeight="false" outlineLevel="0" collapsed="false">
      <c r="A1257" s="3" t="s">
        <v>518</v>
      </c>
      <c r="B1257" s="0" t="s">
        <v>329</v>
      </c>
      <c r="C1257" s="21" t="n">
        <f aca="false">C1254+C1256</f>
        <v>2.346</v>
      </c>
      <c r="D1257" s="21" t="n">
        <f aca="false">D1254+D1256</f>
        <v>14.6231925</v>
      </c>
      <c r="E1257" s="21" t="n">
        <f aca="false">E1254+E1256</f>
        <v>27.1178215007728</v>
      </c>
      <c r="F1257" s="21" t="n">
        <f aca="false">F1254+F1256</f>
        <v>29.4301937075765</v>
      </c>
      <c r="G1257" s="21" t="n">
        <f aca="false">G1254+G1256</f>
        <v>32.4777587461192</v>
      </c>
    </row>
    <row r="1258" customFormat="false" ht="15" hidden="false" customHeight="false" outlineLevel="0" collapsed="false">
      <c r="A1258" s="3" t="s">
        <v>521</v>
      </c>
      <c r="B1258" s="0" t="s">
        <v>329</v>
      </c>
      <c r="E1258" s="21" t="n">
        <f aca="false">E1257*tax</f>
        <v>5.69474251516228</v>
      </c>
      <c r="F1258" s="21" t="n">
        <f aca="false">F1257*tax</f>
        <v>6.18034067859106</v>
      </c>
      <c r="G1258" s="21" t="n">
        <f aca="false">G1257*tax</f>
        <v>6.82032933668504</v>
      </c>
    </row>
    <row r="1259" customFormat="false" ht="15" hidden="false" customHeight="false" outlineLevel="0" collapsed="false">
      <c r="A1259" s="3" t="s">
        <v>519</v>
      </c>
      <c r="B1259" s="0" t="s">
        <v>329</v>
      </c>
      <c r="C1259" s="21" t="n">
        <f aca="false">a25_ni</f>
        <v>1.947</v>
      </c>
      <c r="D1259" s="21" t="n">
        <f aca="false">a26_ni</f>
        <v>11.509862075</v>
      </c>
      <c r="E1259" s="21" t="n">
        <f aca="false">E1257-E1258</f>
        <v>21.4230789856105</v>
      </c>
      <c r="F1259" s="21" t="n">
        <f aca="false">F1257-F1258</f>
        <v>23.2498530289854</v>
      </c>
      <c r="G1259" s="21" t="n">
        <f aca="false">G1257-G1258</f>
        <v>25.6574294094342</v>
      </c>
      <c r="H1259" s="30" t="n">
        <f aca="false">H1242*H1263</f>
        <v>28.199210651446</v>
      </c>
      <c r="I1259" s="30" t="n">
        <f aca="false">I1242*I1263</f>
        <v>30.3589638547468</v>
      </c>
      <c r="J1259" s="30" t="n">
        <f aca="false">J1242*J1263</f>
        <v>32.0017843713606</v>
      </c>
    </row>
    <row r="1260" customFormat="false" ht="15" hidden="false" customHeight="false" outlineLevel="0" collapsed="false">
      <c r="A1260" s="3" t="s">
        <v>653</v>
      </c>
      <c r="B1260" s="3" t="s">
        <v>396</v>
      </c>
      <c r="C1260" s="29" t="n">
        <f aca="false">a25_sh</f>
        <v>0.646843853820598</v>
      </c>
      <c r="D1260" s="29" t="n">
        <f aca="false">a26_sh</f>
        <v>0.645863325123153</v>
      </c>
      <c r="E1260" s="29" t="n">
        <f aca="false">a26_shend*(1+sh_g)</f>
        <v>0.64617</v>
      </c>
      <c r="F1260" s="29" t="n">
        <f aca="false">E1260*(1+sh_g)</f>
        <v>0.64617</v>
      </c>
      <c r="G1260" s="29" t="n">
        <f aca="false">F1260*(1+sh_g)</f>
        <v>0.64617</v>
      </c>
      <c r="H1260" s="31" t="n">
        <f aca="false">G1260*(1+sh_g)</f>
        <v>0.64617</v>
      </c>
      <c r="I1260" s="31" t="n">
        <f aca="false">H1260*(1+sh_g)</f>
        <v>0.64617</v>
      </c>
      <c r="J1260" s="31" t="n">
        <f aca="false">I1260*(1+sh_g)</f>
        <v>0.64617</v>
      </c>
    </row>
    <row r="1261" customFormat="false" ht="17.15" hidden="false" customHeight="false" outlineLevel="0" collapsed="false">
      <c r="A1261" s="0" t="s">
        <v>524</v>
      </c>
      <c r="B1261" s="0" t="s">
        <v>402</v>
      </c>
      <c r="C1261" s="18" t="n">
        <f aca="false">C1259/C1260</f>
        <v>3.01</v>
      </c>
      <c r="D1261" s="18" t="n">
        <f aca="false">D1259/D1260</f>
        <v>17.820894339844</v>
      </c>
      <c r="E1261" s="18" t="n">
        <f aca="false">E1259/E1260</f>
        <v>33.1539362483719</v>
      </c>
      <c r="F1261" s="18" t="n">
        <f aca="false">F1259/F1260</f>
        <v>35.9810158766043</v>
      </c>
      <c r="G1261" s="18" t="n">
        <f aca="false">G1259/G1260</f>
        <v>39.7069337936367</v>
      </c>
      <c r="H1261" s="28" t="n">
        <f aca="false">H1259/H1260</f>
        <v>43.6405445183868</v>
      </c>
      <c r="I1261" s="28" t="n">
        <f aca="false">I1259/I1260</f>
        <v>46.9829361541805</v>
      </c>
      <c r="J1261" s="28" t="n">
        <f aca="false">J1259/J1260</f>
        <v>49.5253329175923</v>
      </c>
    </row>
    <row r="1262" customFormat="false" ht="17.15" hidden="false" customHeight="false" outlineLevel="0" collapsed="false">
      <c r="A1262" s="0" t="s">
        <v>654</v>
      </c>
      <c r="B1262" s="0" t="s">
        <v>40</v>
      </c>
      <c r="D1262" s="20" t="n">
        <f aca="false">D1261/C1261-1</f>
        <v>4.92056290360265</v>
      </c>
      <c r="E1262" s="20" t="n">
        <f aca="false">E1261/D1261-1</f>
        <v>0.860396881106371</v>
      </c>
      <c r="F1262" s="20" t="n">
        <f aca="false">F1261/E1261-1</f>
        <v>0.0852713115888686</v>
      </c>
      <c r="G1262" s="20" t="n">
        <f aca="false">G1261/F1261-1</f>
        <v>0.103552326866208</v>
      </c>
      <c r="H1262" s="26" t="n">
        <f aca="false">H1261/G1261-1</f>
        <v>0.0990660912069861</v>
      </c>
      <c r="I1262" s="26" t="n">
        <f aca="false">I1261/H1261-1</f>
        <v>0.0765891368377727</v>
      </c>
      <c r="J1262" s="26" t="n">
        <f aca="false">J1261/I1261-1</f>
        <v>0.0541131945238291</v>
      </c>
    </row>
    <row r="1263" customFormat="false" ht="17.15" hidden="false" customHeight="false" outlineLevel="0" collapsed="false">
      <c r="A1263" s="3" t="s">
        <v>655</v>
      </c>
      <c r="B1263" s="0" t="s">
        <v>40</v>
      </c>
      <c r="C1263" s="16" t="n">
        <f aca="false">C1259/C1242</f>
        <v>0.0484653872003585</v>
      </c>
      <c r="D1263" s="16" t="n">
        <f aca="false">D1259/D1242</f>
        <v>0.194594602259759</v>
      </c>
      <c r="E1263" s="16" t="n">
        <f aca="false">E1259/E1242</f>
        <v>0.267022817688149</v>
      </c>
      <c r="F1263" s="16" t="n">
        <f aca="false">F1259/F1242</f>
        <v>0.261929520146851</v>
      </c>
      <c r="G1263" s="16" t="n">
        <f aca="false">G1259/G1242</f>
        <v>0.256319811219263</v>
      </c>
      <c r="H1263" s="27" t="n">
        <f aca="false">$G1263+(fade_mA-$G1263)*1/3</f>
        <v>0.254911953390971</v>
      </c>
      <c r="I1263" s="27" t="n">
        <f aca="false">$G1263+(fade_mA-$G1263)*2/3</f>
        <v>0.253504095562678</v>
      </c>
      <c r="J1263" s="27" t="n">
        <f aca="false">$G1263+(fade_mA-$G1263)*3/3</f>
        <v>0.252096237734386</v>
      </c>
    </row>
    <row r="1264" customFormat="false" ht="17.15" hidden="false" customHeight="false" outlineLevel="0" collapsed="false">
      <c r="A1264" s="3" t="s">
        <v>656</v>
      </c>
      <c r="B1264" s="0" t="s">
        <v>40</v>
      </c>
      <c r="C1264" s="20" t="n">
        <f aca="false">C1247/C1242</f>
        <v>0.0602892489980833</v>
      </c>
      <c r="D1264" s="20" t="n">
        <f aca="false">D1247/D1242</f>
        <v>0.0676270839708595</v>
      </c>
      <c r="E1264" s="20" t="n">
        <f aca="false">E1247/E1242</f>
        <v>0.174499634256357</v>
      </c>
      <c r="F1264" s="20" t="n">
        <f aca="false">F1247/F1242</f>
        <v>0.202785426504223</v>
      </c>
      <c r="G1264" s="20" t="n">
        <f aca="false">G1247/G1242</f>
        <v>0.119880978158325</v>
      </c>
      <c r="H1264" s="26" t="n">
        <f aca="false">$G1264+($G1249*(1+tp_g)^(life/2)-$G1264)*1/3</f>
        <v>0.11467192462743</v>
      </c>
      <c r="I1264" s="26" t="n">
        <f aca="false">$G1264+($G1249*(1+tp_g)^(life/2)-$G1264)*2/3</f>
        <v>0.109462871096535</v>
      </c>
      <c r="J1264" s="26" t="n">
        <f aca="false">$G1264+($G1249*(1+tp_g)^(life/2)-$G1264)*3/3</f>
        <v>0.104253817565639</v>
      </c>
      <c r="K1264" s="7" t="s">
        <v>657</v>
      </c>
    </row>
    <row r="1265" customFormat="false" ht="15" hidden="false" customHeight="false" outlineLevel="0" collapsed="false">
      <c r="A1265" s="3" t="s">
        <v>658</v>
      </c>
      <c r="B1265" s="0" t="s">
        <v>329</v>
      </c>
      <c r="E1265" s="21" t="n">
        <f aca="false">E1259+E1248-E1247</f>
        <v>14.1355789856105</v>
      </c>
      <c r="F1265" s="21" t="n">
        <f aca="false">F1259+F1248-F1247</f>
        <v>12.8732905289854</v>
      </c>
      <c r="G1265" s="21" t="n">
        <f aca="false">G1259+G1248-G1247</f>
        <v>22.5779372219342</v>
      </c>
      <c r="H1265" s="30" t="n">
        <f aca="false">H1259+H1248-H1247</f>
        <v>25.3721954110667</v>
      </c>
      <c r="I1265" s="30" t="n">
        <f aca="false">I1259+I1248-I1247</f>
        <v>27.9223495594941</v>
      </c>
      <c r="J1265" s="30" t="n">
        <f aca="false">J1259+J1248-J1247</f>
        <v>30.0802246887548</v>
      </c>
      <c r="K1265" s="3" t="s">
        <v>659</v>
      </c>
    </row>
    <row r="1266" customFormat="false" ht="15" hidden="false" customHeight="false" outlineLevel="0" collapsed="false">
      <c r="A1266" s="3" t="s">
        <v>660</v>
      </c>
      <c r="B1266" s="0" t="s">
        <v>402</v>
      </c>
      <c r="E1266" s="18" t="n">
        <f aca="false">E1265/E1260</f>
        <v>21.8759443886446</v>
      </c>
      <c r="F1266" s="18" t="n">
        <f aca="false">F1265/F1260</f>
        <v>19.9224515669025</v>
      </c>
      <c r="G1266" s="18" t="n">
        <f aca="false">G1265/G1260</f>
        <v>34.9411721713082</v>
      </c>
      <c r="H1266" s="28" t="n">
        <f aca="false">H1265/H1260</f>
        <v>39.2655112602978</v>
      </c>
      <c r="I1266" s="28" t="n">
        <f aca="false">I1265/I1260</f>
        <v>43.2120797305572</v>
      </c>
      <c r="J1266" s="28" t="n">
        <f aca="false">J1265/J1260</f>
        <v>46.5515648958552</v>
      </c>
    </row>
    <row r="1269" customFormat="false" ht="17.15" hidden="false" customHeight="false" outlineLevel="0" collapsed="false">
      <c r="A1269" s="1" t="s">
        <v>981</v>
      </c>
    </row>
    <row r="1270" customFormat="false" ht="17.15" hidden="false" customHeight="false" outlineLevel="0" collapsed="false">
      <c r="A1270" s="4" t="s">
        <v>17</v>
      </c>
      <c r="B1270" s="4" t="s">
        <v>18</v>
      </c>
      <c r="C1270" s="13" t="s">
        <v>494</v>
      </c>
      <c r="D1270" s="13" t="s">
        <v>581</v>
      </c>
      <c r="E1270" s="13" t="s">
        <v>582</v>
      </c>
      <c r="F1270" s="13" t="s">
        <v>583</v>
      </c>
      <c r="G1270" s="13" t="s">
        <v>584</v>
      </c>
      <c r="H1270" s="13" t="s">
        <v>585</v>
      </c>
      <c r="I1270" s="13" t="s">
        <v>586</v>
      </c>
      <c r="J1270" s="13" t="s">
        <v>587</v>
      </c>
      <c r="K1270" s="4" t="s">
        <v>549</v>
      </c>
    </row>
    <row r="1271" customFormat="false" ht="17.15" hidden="false" customHeight="false" outlineLevel="0" collapsed="false">
      <c r="A1271" s="5" t="s">
        <v>605</v>
      </c>
    </row>
    <row r="1272" customFormat="false" ht="17.15" hidden="false" customHeight="false" outlineLevel="0" collapsed="false">
      <c r="A1272" s="0" t="s">
        <v>606</v>
      </c>
      <c r="B1272" s="3" t="s">
        <v>28</v>
      </c>
      <c r="D1272" s="21" t="n">
        <f aca="false">(u_bw_26+u_rb_26+u_ru_26+u_hp_26)*1</f>
        <v>7.6</v>
      </c>
      <c r="E1272" s="21" t="n">
        <f aca="false">(u_bw_27+u_rb_27+u_ru_27+u_hp_27)*1*1</f>
        <v>9.7</v>
      </c>
      <c r="F1272" s="21" t="n">
        <f aca="false">(u_bw_28+u_rb_28+u_ru_28+u_hp_28)*um28_A*1</f>
        <v>9.5</v>
      </c>
      <c r="G1272" s="21" t="n">
        <f aca="false">(u_bw_28*(1+g29_bw)+u_rb_28*(1+g29_rb)+u_ru_28*(1+g29_ru)+u_hp_28*(1+g29_hp))*um29_A*1</f>
        <v>10.6</v>
      </c>
      <c r="K1272" s="7" t="s">
        <v>607</v>
      </c>
    </row>
    <row r="1273" customFormat="false" ht="17.15" hidden="false" customHeight="false" outlineLevel="0" collapsed="false">
      <c r="A1273" s="3" t="s">
        <v>608</v>
      </c>
      <c r="B1273" s="3" t="s">
        <v>28</v>
      </c>
      <c r="D1273" s="21" t="n">
        <f aca="false">(u_amd_26+u_tpu_26+u_trn_26+u_oth_26)*1</f>
        <v>7.6</v>
      </c>
      <c r="E1273" s="21" t="n">
        <f aca="false">(u_amd_27+u_tpu_27+u_trn_27+u_oth_27)*1*1</f>
        <v>14</v>
      </c>
      <c r="F1273" s="21" t="n">
        <f aca="false">(u_amd_28+u_tpu_28+u_trn_28+u_oth_28)*um28_A*1</f>
        <v>17</v>
      </c>
      <c r="G1273" s="21" t="n">
        <f aca="false">(u_amd_28*(1+g29_amd)+u_tpu_28*(1+g29_tpu)+u_trn_28*(1+g29_trn)+u_oth_28*(1+g29_oth))*um29_A*1</f>
        <v>19.55</v>
      </c>
      <c r="K1273" s="7" t="s">
        <v>609</v>
      </c>
    </row>
    <row r="1274" customFormat="false" ht="17.15" hidden="false" customHeight="false" outlineLevel="0" collapsed="false">
      <c r="A1274" s="3" t="s">
        <v>610</v>
      </c>
      <c r="B1274" s="0" t="s">
        <v>150</v>
      </c>
      <c r="D1274" s="19" t="n">
        <f aca="false">1</f>
        <v>1</v>
      </c>
      <c r="E1274" s="19" t="n">
        <f aca="false">D1274*(1+g_asp)</f>
        <v>1.18</v>
      </c>
      <c r="F1274" s="19" t="n">
        <f aca="false">E1274*(1+g_asp)</f>
        <v>1.3924</v>
      </c>
      <c r="G1274" s="19" t="n">
        <f aca="false">F1274*(1+g_asp)</f>
        <v>1.643032</v>
      </c>
      <c r="K1274" s="7" t="s">
        <v>611</v>
      </c>
    </row>
    <row r="1275" customFormat="false" ht="17.15" hidden="false" customHeight="false" outlineLevel="0" collapsed="false">
      <c r="A1275" s="0" t="s">
        <v>612</v>
      </c>
      <c r="B1275" s="0" t="s">
        <v>150</v>
      </c>
      <c r="D1275" s="18" t="n">
        <f aca="false">1</f>
        <v>1</v>
      </c>
      <c r="E1275" s="18" t="n">
        <f aca="false">ibpp_27</f>
        <v>1</v>
      </c>
      <c r="F1275" s="18" t="n">
        <f aca="false">ibpp_28</f>
        <v>0.95</v>
      </c>
      <c r="G1275" s="18" t="n">
        <f aca="false">ibpp_29</f>
        <v>0.9</v>
      </c>
      <c r="K1275" s="7" t="s">
        <v>613</v>
      </c>
    </row>
    <row r="1276" customFormat="false" ht="17.15" hidden="false" customHeight="false" outlineLevel="0" collapsed="false">
      <c r="A1276" s="3" t="s">
        <v>614</v>
      </c>
      <c r="B1276" s="0" t="s">
        <v>150</v>
      </c>
      <c r="D1276" s="18" t="n">
        <f aca="false">1</f>
        <v>1</v>
      </c>
      <c r="E1276" s="18" t="n">
        <f aca="false">1+carry</f>
        <v>1.15</v>
      </c>
      <c r="F1276" s="18" t="n">
        <f aca="false">1+carry</f>
        <v>1.15</v>
      </c>
      <c r="G1276" s="18" t="n">
        <f aca="false">1+carry</f>
        <v>1.15</v>
      </c>
      <c r="K1276" s="7" t="s">
        <v>615</v>
      </c>
    </row>
    <row r="1277" customFormat="false" ht="17.15" hidden="false" customHeight="false" outlineLevel="0" collapsed="false">
      <c r="A1277" s="3" t="s">
        <v>616</v>
      </c>
      <c r="B1277" s="0" t="s">
        <v>617</v>
      </c>
      <c r="D1277" s="23" t="n">
        <f aca="false">v26*D1274*D1275</f>
        <v>215.308596</v>
      </c>
      <c r="E1277" s="23" t="n">
        <f aca="false">v26*E1274*E1275</f>
        <v>254.06414328</v>
      </c>
      <c r="F1277" s="23" t="n">
        <f aca="false">v26*F1274*F1275</f>
        <v>284.80590461688</v>
      </c>
      <c r="G1277" s="23" t="n">
        <f aca="false">v26*G1274*G1275</f>
        <v>318.383021792765</v>
      </c>
      <c r="K1277" s="7" t="s">
        <v>618</v>
      </c>
    </row>
    <row r="1278" customFormat="false" ht="17.15" hidden="false" customHeight="false" outlineLevel="0" collapsed="false">
      <c r="A1278" s="3" t="s">
        <v>619</v>
      </c>
      <c r="B1278" s="0" t="s">
        <v>40</v>
      </c>
      <c r="D1278" s="20" t="n">
        <f aca="false">sh_nv_26</f>
        <v>0.02</v>
      </c>
      <c r="E1278" s="20" t="n">
        <f aca="false">sh_nv_27</f>
        <v>0.03</v>
      </c>
      <c r="F1278" s="20" t="n">
        <f aca="false">sh_nv_28</f>
        <v>0.04</v>
      </c>
      <c r="G1278" s="20" t="n">
        <f aca="false">sh_nv_29</f>
        <v>0.04</v>
      </c>
    </row>
    <row r="1279" customFormat="false" ht="17.15" hidden="false" customHeight="false" outlineLevel="0" collapsed="false">
      <c r="A1279" s="3" t="s">
        <v>620</v>
      </c>
      <c r="B1279" s="0" t="s">
        <v>40</v>
      </c>
      <c r="D1279" s="20" t="n">
        <f aca="false">sh_ot_26</f>
        <v>0.05</v>
      </c>
      <c r="E1279" s="20" t="n">
        <f aca="false">sh_ot_27</f>
        <v>0.06</v>
      </c>
      <c r="F1279" s="20" t="n">
        <f aca="false">sh_ot_28</f>
        <v>0.07</v>
      </c>
      <c r="G1279" s="20" t="n">
        <f aca="false">sh_ot_29</f>
        <v>0.07</v>
      </c>
    </row>
    <row r="1280" customFormat="false" ht="17.15" hidden="false" customHeight="false" outlineLevel="0" collapsed="false">
      <c r="A1280" s="3" t="s">
        <v>621</v>
      </c>
      <c r="B1280" s="0" t="s">
        <v>571</v>
      </c>
      <c r="D1280" s="22" t="n">
        <f aca="false">(D1272*D1277*D1278+D1273*D1277*v_ot*D1279)*D1276</f>
        <v>98.180719776</v>
      </c>
      <c r="E1280" s="22" t="n">
        <f aca="false">(E1272*E1277*E1278+E1273*E1277*v_ot*E1279)*E1276</f>
        <v>281.363335475436</v>
      </c>
      <c r="F1280" s="22" t="n">
        <f aca="false">(F1272*F1277*F1278+F1273*F1277*v_ot*F1279)*F1276</f>
        <v>436.265684692137</v>
      </c>
      <c r="G1280" s="22" t="n">
        <f aca="false">(G1272*G1277*G1278+G1273*G1277*v_ot*G1279)*G1276</f>
        <v>556.094153523679</v>
      </c>
    </row>
    <row r="1281" customFormat="false" ht="15" hidden="false" customHeight="false" outlineLevel="0" collapsed="false">
      <c r="A1281" s="3" t="s">
        <v>622</v>
      </c>
      <c r="B1281" s="0" t="s">
        <v>329</v>
      </c>
      <c r="D1281" s="21" t="n">
        <f aca="false">D1280*fx/1000</f>
        <v>3.19087339272</v>
      </c>
      <c r="E1281" s="21" t="n">
        <f aca="false">E1280*fx/1000</f>
        <v>9.14430840295167</v>
      </c>
      <c r="F1281" s="21" t="n">
        <f aca="false">F1280*fx/1000</f>
        <v>14.1786347524944</v>
      </c>
      <c r="G1281" s="21" t="n">
        <f aca="false">G1280*fx/1000</f>
        <v>18.0730599895196</v>
      </c>
    </row>
    <row r="1282" customFormat="false" ht="17.15" hidden="false" customHeight="false" outlineLevel="0" collapsed="false">
      <c r="A1282" s="5" t="s">
        <v>623</v>
      </c>
    </row>
    <row r="1283" customFormat="false" ht="17.15" hidden="false" customHeight="false" outlineLevel="0" collapsed="false">
      <c r="A1283" s="0" t="s">
        <v>624</v>
      </c>
      <c r="B1283" s="0" t="s">
        <v>329</v>
      </c>
      <c r="D1283" s="21" t="n">
        <f aca="false">a26_abf*ai_abf</f>
        <v>22.2987583</v>
      </c>
      <c r="K1283" s="3" t="s">
        <v>625</v>
      </c>
    </row>
    <row r="1284" customFormat="false" ht="17.15" hidden="false" customHeight="false" outlineLevel="0" collapsed="false">
      <c r="A1284" s="3" t="s">
        <v>626</v>
      </c>
      <c r="B1284" s="0" t="s">
        <v>329</v>
      </c>
      <c r="D1284" s="21" t="n">
        <f aca="false">D1283-D1281</f>
        <v>19.10788490728</v>
      </c>
      <c r="E1284" s="21" t="n">
        <f aca="false">$D1284*(swm_27/swm_26)^el_o*1*1*E1275*E1276</f>
        <v>30.7354094978265</v>
      </c>
      <c r="F1284" s="21" t="n">
        <f aca="false">$D1284*(swm_28/swm_26)^el_o*um28_A*1*F1275*F1276</f>
        <v>31.4104002135205</v>
      </c>
      <c r="G1284" s="21" t="n">
        <f aca="false">$D1284*(swm_29/swm_26)^el_o*um29_A*1*G1275*G1276</f>
        <v>31.7452412889375</v>
      </c>
      <c r="K1284" s="7" t="s">
        <v>627</v>
      </c>
    </row>
    <row r="1285" customFormat="false" ht="17.15" hidden="false" customHeight="false" outlineLevel="0" collapsed="false">
      <c r="A1285" s="3" t="s">
        <v>628</v>
      </c>
      <c r="B1285" s="0" t="s">
        <v>329</v>
      </c>
      <c r="D1285" s="21" t="n">
        <f aca="false">a26_abf-D1283</f>
        <v>12.0070237</v>
      </c>
      <c r="E1285" s="21" t="n">
        <f aca="false">D1285*(1+g_nai)</f>
        <v>12.367234411</v>
      </c>
      <c r="F1285" s="21" t="n">
        <f aca="false">E1285*(1+g_nai)</f>
        <v>12.73825144333</v>
      </c>
      <c r="G1285" s="21" t="n">
        <f aca="false">F1285*(1+g_nai)</f>
        <v>13.1203989866299</v>
      </c>
    </row>
    <row r="1286" customFormat="false" ht="17.15" hidden="false" customHeight="false" outlineLevel="0" collapsed="false">
      <c r="A1286" s="0" t="s">
        <v>629</v>
      </c>
      <c r="B1286" s="0" t="s">
        <v>329</v>
      </c>
      <c r="D1286" s="21" t="n">
        <f aca="false">D1281+D1284+D1285</f>
        <v>34.305782</v>
      </c>
      <c r="E1286" s="21" t="n">
        <f aca="false">E1281+E1284+E1285</f>
        <v>52.2469523117781</v>
      </c>
      <c r="F1286" s="21" t="n">
        <f aca="false">F1281+F1284+F1285</f>
        <v>58.3272864093449</v>
      </c>
      <c r="G1286" s="21" t="n">
        <f aca="false">G1281+G1284+G1285</f>
        <v>62.9387002650869</v>
      </c>
    </row>
    <row r="1287" customFormat="false" ht="17.15" hidden="false" customHeight="false" outlineLevel="0" collapsed="false">
      <c r="A1287" s="0" t="s">
        <v>630</v>
      </c>
      <c r="B1287" s="0" t="s">
        <v>329</v>
      </c>
      <c r="D1287" s="21" t="n">
        <f aca="false">a26_abf</f>
        <v>34.305782</v>
      </c>
      <c r="E1287" s="21" t="n">
        <f aca="false">$D1286*cap_27*(1+g_mix)^1*E1275*E1276</f>
        <v>49.709078118</v>
      </c>
      <c r="F1287" s="21" t="n">
        <f aca="false">$D1286*cap_28*(1+g_mix)^2*F1275*F1276</f>
        <v>55.7829061005431</v>
      </c>
      <c r="G1287" s="21" t="n">
        <f aca="false">$D1286*cap_29*(1+g_mix)^3*G1275*G1276</f>
        <v>65.765110350114</v>
      </c>
      <c r="K1287" s="7" t="s">
        <v>631</v>
      </c>
    </row>
    <row r="1288" customFormat="false" ht="17.15" hidden="false" customHeight="false" outlineLevel="0" collapsed="false">
      <c r="A1288" s="0" t="s">
        <v>632</v>
      </c>
      <c r="B1288" s="0" t="s">
        <v>329</v>
      </c>
      <c r="D1288" s="21" t="n">
        <f aca="false">a26_abf</f>
        <v>34.305782</v>
      </c>
      <c r="E1288" s="21" t="n">
        <f aca="false">MIN(E1286,E1287)</f>
        <v>49.709078118</v>
      </c>
      <c r="F1288" s="21" t="n">
        <f aca="false">MIN(F1286,F1287)</f>
        <v>55.7829061005431</v>
      </c>
      <c r="G1288" s="21" t="n">
        <f aca="false">MIN(G1286,G1287)</f>
        <v>62.9387002650869</v>
      </c>
    </row>
    <row r="1289" customFormat="false" ht="17.15" hidden="false" customHeight="false" outlineLevel="0" collapsed="false">
      <c r="A1289" s="3" t="s">
        <v>633</v>
      </c>
      <c r="B1289" s="0" t="s">
        <v>40</v>
      </c>
      <c r="D1289" s="20" t="n">
        <f aca="false">D1288/D1286</f>
        <v>1</v>
      </c>
      <c r="E1289" s="20" t="n">
        <f aca="false">E1288/E1286</f>
        <v>0.951425411789885</v>
      </c>
      <c r="F1289" s="20" t="n">
        <f aca="false">F1288/F1286</f>
        <v>0.956377529876066</v>
      </c>
      <c r="G1289" s="20" t="n">
        <f aca="false">G1288/G1286</f>
        <v>1</v>
      </c>
    </row>
    <row r="1290" customFormat="false" ht="17.15" hidden="false" customHeight="false" outlineLevel="0" collapsed="false">
      <c r="A1290" s="0" t="s">
        <v>634</v>
      </c>
      <c r="B1290" s="0" t="s">
        <v>329</v>
      </c>
      <c r="D1290" s="21" t="n">
        <f aca="false">(D1281+D1284)*D1289</f>
        <v>22.2987583</v>
      </c>
      <c r="E1290" s="21" t="n">
        <f aca="false">(E1281+E1284)*E1289</f>
        <v>37.9425770258123</v>
      </c>
      <c r="F1290" s="21" t="n">
        <f aca="false">(F1281+F1284)*F1289</f>
        <v>43.6003286502309</v>
      </c>
      <c r="G1290" s="21" t="n">
        <f aca="false">(G1281+G1284)*G1289</f>
        <v>49.818301278457</v>
      </c>
    </row>
    <row r="1291" customFormat="false" ht="17.15" hidden="false" customHeight="false" outlineLevel="0" collapsed="false">
      <c r="A1291" s="3" t="s">
        <v>635</v>
      </c>
      <c r="B1291" s="0" t="s">
        <v>40</v>
      </c>
      <c r="D1291" s="20" t="n">
        <f aca="false">D1281/(D1281+D1284)</f>
        <v>0.14309646078903</v>
      </c>
      <c r="E1291" s="20" t="n">
        <f aca="false">E1281/(E1281+E1284)</f>
        <v>0.229297218844501</v>
      </c>
      <c r="F1291" s="20" t="n">
        <f aca="false">F1281/(F1281+F1284)</f>
        <v>0.311009758444419</v>
      </c>
      <c r="G1291" s="20" t="n">
        <f aca="false">G1281/(G1281+G1284)</f>
        <v>0.362779531331288</v>
      </c>
    </row>
    <row r="1292" customFormat="false" ht="17.15" hidden="false" customHeight="false" outlineLevel="0" collapsed="false">
      <c r="A1292" s="5" t="s">
        <v>636</v>
      </c>
    </row>
    <row r="1293" customFormat="false" ht="17.15" hidden="false" customHeight="false" outlineLevel="0" collapsed="false">
      <c r="A1293" s="0" t="s">
        <v>637</v>
      </c>
      <c r="B1293" s="0" t="s">
        <v>329</v>
      </c>
      <c r="D1293" s="21" t="n">
        <f aca="false">a26_bt</f>
        <v>18.927328</v>
      </c>
      <c r="E1293" s="21" t="n">
        <f aca="false">D1293*(1+g_bt27_A)</f>
        <v>24.6055264</v>
      </c>
      <c r="F1293" s="21" t="n">
        <f aca="false">E1293*(1+g_bt28_A)</f>
        <v>27.06607904</v>
      </c>
      <c r="G1293" s="21" t="n">
        <f aca="false">F1293*(1+g_bt29_A)</f>
        <v>28.419382992</v>
      </c>
      <c r="K1293" s="7" t="s">
        <v>638</v>
      </c>
    </row>
    <row r="1294" customFormat="false" ht="17.15" hidden="false" customHeight="false" outlineLevel="0" collapsed="false">
      <c r="A1294" s="0" t="s">
        <v>536</v>
      </c>
      <c r="B1294" s="0" t="s">
        <v>329</v>
      </c>
      <c r="D1294" s="21" t="n">
        <f aca="false">a26_pcb</f>
        <v>5.91479</v>
      </c>
      <c r="E1294" s="21" t="n">
        <f aca="false">D1294*(1+g_pcb)</f>
        <v>5.91479</v>
      </c>
      <c r="F1294" s="21" t="n">
        <f aca="false">E1294*(1+g_pcb)</f>
        <v>5.91479</v>
      </c>
      <c r="G1294" s="21" t="n">
        <f aca="false">F1294*(1+g_pcb)</f>
        <v>5.91479</v>
      </c>
    </row>
    <row r="1295" customFormat="false" ht="17.15" hidden="false" customHeight="false" outlineLevel="0" collapsed="false">
      <c r="A1295" s="3" t="s">
        <v>501</v>
      </c>
      <c r="B1295" s="0" t="s">
        <v>329</v>
      </c>
      <c r="C1295" s="23" t="n">
        <f aca="false">a25_rev</f>
        <v>40.173</v>
      </c>
      <c r="D1295" s="23" t="n">
        <f aca="false">D1288+D1293+D1294</f>
        <v>59.1479</v>
      </c>
      <c r="E1295" s="23" t="n">
        <f aca="false">E1288+E1293+E1294</f>
        <v>80.229394518</v>
      </c>
      <c r="F1295" s="23" t="n">
        <f aca="false">F1288+F1293+F1294</f>
        <v>88.7637751405431</v>
      </c>
      <c r="G1295" s="23" t="n">
        <f aca="false">G1288+G1293+G1294</f>
        <v>97.2728732570869</v>
      </c>
      <c r="H1295" s="25" t="n">
        <f aca="false">G1295*(1+H1296)</f>
        <v>105.434863846709</v>
      </c>
      <c r="I1295" s="25" t="n">
        <f aca="false">H1295*(1+I1296)</f>
        <v>113.021333979572</v>
      </c>
      <c r="J1295" s="25" t="n">
        <f aca="false">I1295*(1+J1296)</f>
        <v>119.802614018346</v>
      </c>
      <c r="K1295" s="7" t="s">
        <v>639</v>
      </c>
    </row>
    <row r="1296" customFormat="false" ht="15" hidden="false" customHeight="false" outlineLevel="0" collapsed="false">
      <c r="A1296" s="3" t="s">
        <v>640</v>
      </c>
      <c r="B1296" s="0" t="s">
        <v>40</v>
      </c>
      <c r="D1296" s="20" t="n">
        <f aca="false">D1295/C1295-1</f>
        <v>0.472329674159261</v>
      </c>
      <c r="E1296" s="20" t="n">
        <f aca="false">E1295/D1295-1</f>
        <v>0.35642</v>
      </c>
      <c r="F1296" s="20" t="n">
        <f aca="false">F1295/E1295-1</f>
        <v>0.106374735517023</v>
      </c>
      <c r="G1296" s="20" t="n">
        <f aca="false">G1295/F1295-1</f>
        <v>0.0958622828183122</v>
      </c>
      <c r="H1296" s="26" t="n">
        <f aca="false">$G1296+(fade_gA-$G1296)*1/3</f>
        <v>0.0839081885455415</v>
      </c>
      <c r="I1296" s="26" t="n">
        <f aca="false">$G1296+(fade_gA-$G1296)*2/3</f>
        <v>0.0719540942727707</v>
      </c>
      <c r="J1296" s="26" t="n">
        <f aca="false">$G1296+(fade_gA-$G1296)*3/3</f>
        <v>0.06</v>
      </c>
    </row>
    <row r="1297" customFormat="false" ht="17.15" hidden="false" customHeight="false" outlineLevel="0" collapsed="false">
      <c r="A1297" s="0" t="s">
        <v>641</v>
      </c>
      <c r="B1297" s="0" t="s">
        <v>40</v>
      </c>
      <c r="D1297" s="20" t="n">
        <f aca="false">D1288/D1295</f>
        <v>0.58</v>
      </c>
      <c r="E1297" s="20" t="n">
        <f aca="false">E1288/E1295</f>
        <v>0.619586853629407</v>
      </c>
      <c r="F1297" s="20" t="n">
        <f aca="false">F1288/F1295</f>
        <v>0.62844224473576</v>
      </c>
      <c r="G1297" s="20" t="n">
        <f aca="false">G1288/G1295</f>
        <v>0.647032396161912</v>
      </c>
    </row>
    <row r="1298" customFormat="false" ht="17.15" hidden="false" customHeight="false" outlineLevel="0" collapsed="false">
      <c r="A1298" s="0" t="s">
        <v>642</v>
      </c>
      <c r="B1298" s="0" t="s">
        <v>40</v>
      </c>
      <c r="D1298" s="20" t="n">
        <f aca="false">D1290/D1295</f>
        <v>0.377</v>
      </c>
      <c r="E1298" s="20" t="n">
        <f aca="false">E1290/E1295</f>
        <v>0.472926129553422</v>
      </c>
      <c r="F1298" s="20" t="n">
        <f aca="false">F1290/F1295</f>
        <v>0.491195068947855</v>
      </c>
      <c r="G1298" s="20" t="n">
        <f aca="false">G1290/G1295</f>
        <v>0.512149992185282</v>
      </c>
      <c r="K1298" s="3" t="s">
        <v>643</v>
      </c>
    </row>
    <row r="1299" customFormat="false" ht="17.15" hidden="false" customHeight="false" outlineLevel="0" collapsed="false">
      <c r="A1299" s="5" t="s">
        <v>644</v>
      </c>
    </row>
    <row r="1300" customFormat="false" ht="15" hidden="false" customHeight="false" outlineLevel="0" collapsed="false">
      <c r="A1300" s="3" t="s">
        <v>645</v>
      </c>
      <c r="B1300" s="0" t="s">
        <v>329</v>
      </c>
      <c r="C1300" s="23" t="n">
        <f aca="false">a25_cx</f>
        <v>2.422</v>
      </c>
      <c r="D1300" s="23" t="n">
        <f aca="false">capex26</f>
        <v>4</v>
      </c>
      <c r="E1300" s="23" t="n">
        <f aca="false">cx27</f>
        <v>14</v>
      </c>
      <c r="F1300" s="23" t="n">
        <f aca="false">cx28</f>
        <v>18</v>
      </c>
      <c r="G1300" s="23" t="n">
        <f aca="false">cx29</f>
        <v>12</v>
      </c>
      <c r="H1300" s="25" t="n">
        <f aca="false">H1295*H1317</f>
        <v>12.4417241176456</v>
      </c>
      <c r="I1300" s="25" t="n">
        <f aca="false">I1295*I1317</f>
        <v>12.7311163691189</v>
      </c>
      <c r="J1300" s="25" t="n">
        <f aca="false">J1295*J1317</f>
        <v>12.8527921683461</v>
      </c>
    </row>
    <row r="1301" customFormat="false" ht="17.15" hidden="false" customHeight="false" outlineLevel="0" collapsed="false">
      <c r="A1301" s="3" t="s">
        <v>646</v>
      </c>
      <c r="B1301" s="0" t="s">
        <v>329</v>
      </c>
      <c r="C1301" s="23" t="n">
        <f aca="false">a25_da</f>
        <v>6.894</v>
      </c>
      <c r="D1301" s="23" t="n">
        <f aca="false">da26</f>
        <v>7.1</v>
      </c>
      <c r="E1301" s="23" t="n">
        <f aca="false">D1301*(1-1/life)+D1300/life</f>
        <v>6.7125</v>
      </c>
      <c r="F1301" s="23" t="n">
        <f aca="false">E1301*(1-1/life)+E1300/life</f>
        <v>7.6234375</v>
      </c>
      <c r="G1301" s="23" t="n">
        <f aca="false">F1301*(1-1/life)+F1300/life</f>
        <v>8.9205078125</v>
      </c>
      <c r="H1301" s="25" t="n">
        <f aca="false">H1295*H1302</f>
        <v>9.66901146395322</v>
      </c>
      <c r="I1301" s="25" t="n">
        <f aca="false">I1295*I1302</f>
        <v>10.364736426355</v>
      </c>
      <c r="J1301" s="25" t="n">
        <f aca="false">J1295*J1302</f>
        <v>10.9866206119363</v>
      </c>
      <c r="K1301" s="3" t="s">
        <v>647</v>
      </c>
    </row>
    <row r="1302" customFormat="false" ht="17.15" hidden="false" customHeight="false" outlineLevel="0" collapsed="false">
      <c r="A1302" s="3" t="s">
        <v>648</v>
      </c>
      <c r="B1302" s="0" t="s">
        <v>40</v>
      </c>
      <c r="C1302" s="20" t="n">
        <f aca="false">C1301/C1295</f>
        <v>0.171607796281084</v>
      </c>
      <c r="D1302" s="20" t="n">
        <f aca="false">D1301/D1295</f>
        <v>0.120038074048276</v>
      </c>
      <c r="E1302" s="20" t="n">
        <f aca="false">E1301/E1295</f>
        <v>0.0836663424961285</v>
      </c>
      <c r="F1302" s="20" t="n">
        <f aca="false">F1301/F1295</f>
        <v>0.0858845569369883</v>
      </c>
      <c r="G1302" s="20" t="n">
        <f aca="false">G1301/G1295</f>
        <v>0.0917060174517882</v>
      </c>
      <c r="H1302" s="26" t="n">
        <f aca="false">$G1302</f>
        <v>0.0917060174517882</v>
      </c>
      <c r="I1302" s="26" t="n">
        <f aca="false">$G1302</f>
        <v>0.0917060174517882</v>
      </c>
      <c r="J1302" s="26" t="n">
        <f aca="false">$G1302</f>
        <v>0.0917060174517882</v>
      </c>
    </row>
    <row r="1303" customFormat="false" ht="17.15" hidden="false" customHeight="false" outlineLevel="0" collapsed="false">
      <c r="A1303" s="3" t="s">
        <v>649</v>
      </c>
      <c r="B1303" s="0" t="s">
        <v>329</v>
      </c>
      <c r="E1303" s="21" t="n">
        <f aca="false">E1290*(1-1/(E1275*E1276))</f>
        <v>4.94903178597551</v>
      </c>
      <c r="F1303" s="21" t="n">
        <f aca="false">F1290*(1-1/(F1275*F1276))</f>
        <v>3.69156100699895</v>
      </c>
      <c r="G1303" s="21" t="n">
        <f aca="false">G1290*(1-1/(G1275*G1276))</f>
        <v>1.68467685482705</v>
      </c>
      <c r="K1303" s="7" t="s">
        <v>650</v>
      </c>
    </row>
    <row r="1304" customFormat="false" ht="17.15" hidden="false" customHeight="false" outlineLevel="0" collapsed="false">
      <c r="A1304" s="3" t="s">
        <v>651</v>
      </c>
      <c r="B1304" s="0" t="s">
        <v>329</v>
      </c>
      <c r="C1304" s="21" t="n">
        <f aca="false">a25_gp</f>
        <v>3.647</v>
      </c>
      <c r="D1304" s="21" t="n">
        <f aca="false">a26_gp</f>
        <v>15.9001925</v>
      </c>
      <c r="E1304" s="21" t="n">
        <f aca="false">$D1304+ft_abf*(E1288-E1303-$D1288)+ft_oth*((E1295-E1288)-($D1295-$D1288))+E1303-(E1301-$D1301)</f>
        <v>28.7351358119878</v>
      </c>
      <c r="F1304" s="21" t="n">
        <f aca="false">$D1304+ft_abf*(F1288-F1303-$D1288)+ft_oth*((F1295-F1288)-($D1295-$D1288))+F1303-(F1301-$D1301)</f>
        <v>31.216597969771</v>
      </c>
      <c r="G1304" s="21" t="n">
        <f aca="false">$D1304+ft_abf*(G1288-G1303-$D1288)+ft_oth*((G1295-G1288)-($D1295-$D1288))+G1303-(G1301-$D1301)</f>
        <v>33.035304244257</v>
      </c>
      <c r="K1304" s="3" t="s">
        <v>652</v>
      </c>
    </row>
    <row r="1305" customFormat="false" ht="15" hidden="false" customHeight="false" outlineLevel="0" collapsed="false">
      <c r="A1305" s="3" t="s">
        <v>508</v>
      </c>
      <c r="B1305" s="0" t="s">
        <v>40</v>
      </c>
      <c r="C1305" s="16" t="n">
        <f aca="false">C1304/C1295</f>
        <v>0.0907823662659</v>
      </c>
      <c r="D1305" s="16" t="n">
        <f aca="false">D1304/D1295</f>
        <v>0.268820913337583</v>
      </c>
      <c r="E1305" s="16" t="n">
        <f aca="false">E1304/E1295</f>
        <v>0.358162192107044</v>
      </c>
      <c r="F1305" s="16" t="n">
        <f aca="false">F1304/F1295</f>
        <v>0.351681729628383</v>
      </c>
      <c r="G1305" s="16" t="n">
        <f aca="false">G1304/G1295</f>
        <v>0.339614767592466</v>
      </c>
    </row>
    <row r="1306" customFormat="false" ht="15" hidden="false" customHeight="false" outlineLevel="0" collapsed="false">
      <c r="A1306" s="3" t="s">
        <v>510</v>
      </c>
      <c r="B1306" s="0" t="s">
        <v>329</v>
      </c>
      <c r="C1306" s="21" t="n">
        <f aca="false">a25_opx</f>
        <v>1.665</v>
      </c>
      <c r="D1306" s="21" t="n">
        <f aca="false">a26_opx</f>
        <v>1.9</v>
      </c>
      <c r="E1306" s="21" t="n">
        <f aca="false">D1306*(1+phi_hi*E1296)</f>
        <v>2.577198</v>
      </c>
      <c r="F1306" s="21" t="n">
        <f aca="false">E1306*(1+phi_hi*F1296)</f>
        <v>2.851346755625</v>
      </c>
      <c r="G1306" s="21" t="n">
        <f aca="false">F1306*(1+phi_hi*G1296)</f>
        <v>3.1246833647258</v>
      </c>
    </row>
    <row r="1307" customFormat="false" ht="15" hidden="false" customHeight="false" outlineLevel="0" collapsed="false">
      <c r="A1307" s="3" t="s">
        <v>513</v>
      </c>
      <c r="B1307" s="0" t="s">
        <v>329</v>
      </c>
      <c r="C1307" s="21" t="n">
        <f aca="false">C1304-C1306</f>
        <v>1.982</v>
      </c>
      <c r="D1307" s="21" t="n">
        <f aca="false">D1304-D1306</f>
        <v>14.0001925</v>
      </c>
      <c r="E1307" s="21" t="n">
        <f aca="false">E1304-E1306</f>
        <v>26.1579378119878</v>
      </c>
      <c r="F1307" s="21" t="n">
        <f aca="false">F1304-F1306</f>
        <v>28.365251214146</v>
      </c>
      <c r="G1307" s="21" t="n">
        <f aca="false">G1304-G1306</f>
        <v>29.9106208795312</v>
      </c>
    </row>
    <row r="1308" customFormat="false" ht="15" hidden="false" customHeight="false" outlineLevel="0" collapsed="false">
      <c r="A1308" s="3" t="s">
        <v>594</v>
      </c>
      <c r="B1308" s="0" t="s">
        <v>40</v>
      </c>
      <c r="C1308" s="16" t="n">
        <f aca="false">C1307/C1295</f>
        <v>0.0493366191222961</v>
      </c>
      <c r="D1308" s="16" t="n">
        <f aca="false">D1307/D1295</f>
        <v>0.236698048451424</v>
      </c>
      <c r="E1308" s="16" t="n">
        <f aca="false">E1307/E1295</f>
        <v>0.326039327220886</v>
      </c>
      <c r="F1308" s="16" t="n">
        <f aca="false">F1307/F1295</f>
        <v>0.319558864742224</v>
      </c>
      <c r="G1308" s="16" t="n">
        <f aca="false">G1307/G1295</f>
        <v>0.307491902706308</v>
      </c>
    </row>
    <row r="1309" customFormat="false" ht="15" hidden="false" customHeight="false" outlineLevel="0" collapsed="false">
      <c r="A1309" s="3" t="s">
        <v>516</v>
      </c>
      <c r="B1309" s="0" t="s">
        <v>329</v>
      </c>
      <c r="C1309" s="21" t="n">
        <f aca="false">a25_nonop</f>
        <v>0.364</v>
      </c>
      <c r="D1309" s="21" t="n">
        <f aca="false">a26_nonop</f>
        <v>0.623</v>
      </c>
      <c r="E1309" s="21" t="n">
        <f aca="false">nonop27</f>
        <v>0.6</v>
      </c>
      <c r="F1309" s="21" t="n">
        <f aca="false">nonop28</f>
        <v>0.6</v>
      </c>
      <c r="G1309" s="21" t="n">
        <f aca="false">nonop29</f>
        <v>0.6</v>
      </c>
    </row>
    <row r="1310" customFormat="false" ht="15" hidden="false" customHeight="false" outlineLevel="0" collapsed="false">
      <c r="A1310" s="3" t="s">
        <v>518</v>
      </c>
      <c r="B1310" s="0" t="s">
        <v>329</v>
      </c>
      <c r="C1310" s="21" t="n">
        <f aca="false">C1307+C1309</f>
        <v>2.346</v>
      </c>
      <c r="D1310" s="21" t="n">
        <f aca="false">D1307+D1309</f>
        <v>14.6231925</v>
      </c>
      <c r="E1310" s="21" t="n">
        <f aca="false">E1307+E1309</f>
        <v>26.7579378119878</v>
      </c>
      <c r="F1310" s="21" t="n">
        <f aca="false">F1307+F1309</f>
        <v>28.965251214146</v>
      </c>
      <c r="G1310" s="21" t="n">
        <f aca="false">G1307+G1309</f>
        <v>30.5106208795312</v>
      </c>
    </row>
    <row r="1311" customFormat="false" ht="15" hidden="false" customHeight="false" outlineLevel="0" collapsed="false">
      <c r="A1311" s="3" t="s">
        <v>521</v>
      </c>
      <c r="B1311" s="0" t="s">
        <v>329</v>
      </c>
      <c r="E1311" s="21" t="n">
        <f aca="false">E1310*tax</f>
        <v>5.61916694051743</v>
      </c>
      <c r="F1311" s="21" t="n">
        <f aca="false">F1310*tax</f>
        <v>6.08270275497067</v>
      </c>
      <c r="G1311" s="21" t="n">
        <f aca="false">G1310*tax</f>
        <v>6.40723038470155</v>
      </c>
    </row>
    <row r="1312" customFormat="false" ht="15" hidden="false" customHeight="false" outlineLevel="0" collapsed="false">
      <c r="A1312" s="3" t="s">
        <v>519</v>
      </c>
      <c r="B1312" s="0" t="s">
        <v>329</v>
      </c>
      <c r="C1312" s="21" t="n">
        <f aca="false">a25_ni</f>
        <v>1.947</v>
      </c>
      <c r="D1312" s="21" t="n">
        <f aca="false">a26_ni</f>
        <v>11.509862075</v>
      </c>
      <c r="E1312" s="21" t="n">
        <f aca="false">E1310-E1311</f>
        <v>21.1387708714703</v>
      </c>
      <c r="F1312" s="21" t="n">
        <f aca="false">F1310-F1311</f>
        <v>22.8825484591754</v>
      </c>
      <c r="G1312" s="21" t="n">
        <f aca="false">G1310-G1311</f>
        <v>24.1033904948296</v>
      </c>
      <c r="H1312" s="30" t="n">
        <f aca="false">H1295*H1316</f>
        <v>26.2771523866353</v>
      </c>
      <c r="I1312" s="30" t="n">
        <f aca="false">I1295*I1316</f>
        <v>28.3300770833274</v>
      </c>
      <c r="J1312" s="30" t="n">
        <f aca="false">J1295*J1316</f>
        <v>30.2017882647699</v>
      </c>
    </row>
    <row r="1313" customFormat="false" ht="15" hidden="false" customHeight="false" outlineLevel="0" collapsed="false">
      <c r="A1313" s="3" t="s">
        <v>653</v>
      </c>
      <c r="B1313" s="3" t="s">
        <v>396</v>
      </c>
      <c r="C1313" s="29" t="n">
        <f aca="false">a25_sh</f>
        <v>0.646843853820598</v>
      </c>
      <c r="D1313" s="29" t="n">
        <f aca="false">a26_sh</f>
        <v>0.645863325123153</v>
      </c>
      <c r="E1313" s="29" t="n">
        <f aca="false">a26_shend*(1+sh_g)</f>
        <v>0.64617</v>
      </c>
      <c r="F1313" s="29" t="n">
        <f aca="false">E1313*(1+sh_g)</f>
        <v>0.64617</v>
      </c>
      <c r="G1313" s="29" t="n">
        <f aca="false">F1313*(1+sh_g)</f>
        <v>0.64617</v>
      </c>
      <c r="H1313" s="31" t="n">
        <f aca="false">G1313*(1+sh_g)</f>
        <v>0.64617</v>
      </c>
      <c r="I1313" s="31" t="n">
        <f aca="false">H1313*(1+sh_g)</f>
        <v>0.64617</v>
      </c>
      <c r="J1313" s="31" t="n">
        <f aca="false">I1313*(1+sh_g)</f>
        <v>0.64617</v>
      </c>
    </row>
    <row r="1314" customFormat="false" ht="17.15" hidden="false" customHeight="false" outlineLevel="0" collapsed="false">
      <c r="A1314" s="0" t="s">
        <v>524</v>
      </c>
      <c r="B1314" s="0" t="s">
        <v>402</v>
      </c>
      <c r="C1314" s="18" t="n">
        <f aca="false">C1312/C1313</f>
        <v>3.01</v>
      </c>
      <c r="D1314" s="18" t="n">
        <f aca="false">D1312/D1313</f>
        <v>17.820894339844</v>
      </c>
      <c r="E1314" s="18" t="n">
        <f aca="false">E1312/E1313</f>
        <v>32.7139465952773</v>
      </c>
      <c r="F1314" s="18" t="n">
        <f aca="false">F1312/F1313</f>
        <v>35.4125825389222</v>
      </c>
      <c r="G1314" s="18" t="n">
        <f aca="false">G1312/G1313</f>
        <v>37.3019336936559</v>
      </c>
      <c r="H1314" s="28" t="n">
        <f aca="false">H1312/H1313</f>
        <v>40.6660049006225</v>
      </c>
      <c r="I1314" s="28" t="n">
        <f aca="false">I1312/I1313</f>
        <v>43.8430708379024</v>
      </c>
      <c r="J1314" s="28" t="n">
        <f aca="false">J1312/J1313</f>
        <v>46.7396942983578</v>
      </c>
    </row>
    <row r="1315" customFormat="false" ht="17.15" hidden="false" customHeight="false" outlineLevel="0" collapsed="false">
      <c r="A1315" s="0" t="s">
        <v>654</v>
      </c>
      <c r="B1315" s="0" t="s">
        <v>40</v>
      </c>
      <c r="D1315" s="20" t="n">
        <f aca="false">D1314/C1314-1</f>
        <v>4.92056290360265</v>
      </c>
      <c r="E1315" s="20" t="n">
        <f aca="false">E1314/D1314-1</f>
        <v>0.835707342820356</v>
      </c>
      <c r="F1315" s="20" t="n">
        <f aca="false">F1314/E1314-1</f>
        <v>0.0824919101639212</v>
      </c>
      <c r="G1315" s="20" t="n">
        <f aca="false">G1314/F1314-1</f>
        <v>0.0533525379759323</v>
      </c>
      <c r="H1315" s="26" t="n">
        <f aca="false">H1314/G1314-1</f>
        <v>0.090184901259925</v>
      </c>
      <c r="I1315" s="26" t="n">
        <f aca="false">I1314/H1314-1</f>
        <v>0.0781258435650067</v>
      </c>
      <c r="J1315" s="26" t="n">
        <f aca="false">J1314/I1314-1</f>
        <v>0.066067987599794</v>
      </c>
    </row>
    <row r="1316" customFormat="false" ht="17.15" hidden="false" customHeight="false" outlineLevel="0" collapsed="false">
      <c r="A1316" s="3" t="s">
        <v>655</v>
      </c>
      <c r="B1316" s="0" t="s">
        <v>40</v>
      </c>
      <c r="C1316" s="16" t="n">
        <f aca="false">C1312/C1295</f>
        <v>0.0484653872003585</v>
      </c>
      <c r="D1316" s="16" t="n">
        <f aca="false">D1312/D1295</f>
        <v>0.194594602259759</v>
      </c>
      <c r="E1316" s="16" t="n">
        <f aca="false">E1312/E1295</f>
        <v>0.263479127550037</v>
      </c>
      <c r="F1316" s="16" t="n">
        <f aca="false">F1312/F1295</f>
        <v>0.257791519377635</v>
      </c>
      <c r="G1316" s="16" t="n">
        <f aca="false">G1312/G1295</f>
        <v>0.24779149302114</v>
      </c>
      <c r="H1316" s="27" t="n">
        <f aca="false">$G1316+(fade_mA-$G1316)*1/3</f>
        <v>0.249226407925555</v>
      </c>
      <c r="I1316" s="27" t="n">
        <f aca="false">$G1316+(fade_mA-$G1316)*2/3</f>
        <v>0.25066132282997</v>
      </c>
      <c r="J1316" s="27" t="n">
        <f aca="false">$G1316+(fade_mA-$G1316)*3/3</f>
        <v>0.252096237734386</v>
      </c>
    </row>
    <row r="1317" customFormat="false" ht="17.15" hidden="false" customHeight="false" outlineLevel="0" collapsed="false">
      <c r="A1317" s="3" t="s">
        <v>656</v>
      </c>
      <c r="B1317" s="0" t="s">
        <v>40</v>
      </c>
      <c r="C1317" s="20" t="n">
        <f aca="false">C1300/C1295</f>
        <v>0.0602892489980833</v>
      </c>
      <c r="D1317" s="20" t="n">
        <f aca="false">D1300/D1295</f>
        <v>0.0676270839708595</v>
      </c>
      <c r="E1317" s="20" t="n">
        <f aca="false">E1300/E1295</f>
        <v>0.174499634256357</v>
      </c>
      <c r="F1317" s="20" t="n">
        <f aca="false">F1300/F1295</f>
        <v>0.202785426504223</v>
      </c>
      <c r="G1317" s="20" t="n">
        <f aca="false">G1300/G1295</f>
        <v>0.123364300839399</v>
      </c>
      <c r="H1317" s="26" t="n">
        <f aca="false">$G1317+($G1302*(1+tp_g)^(life/2)-$G1317)*1/3</f>
        <v>0.118003890399427</v>
      </c>
      <c r="I1317" s="26" t="n">
        <f aca="false">$G1317+($G1302*(1+tp_g)^(life/2)-$G1317)*2/3</f>
        <v>0.112643479959456</v>
      </c>
      <c r="J1317" s="26" t="n">
        <f aca="false">$G1317+($G1302*(1+tp_g)^(life/2)-$G1317)*3/3</f>
        <v>0.107283069519484</v>
      </c>
      <c r="K1317" s="7" t="s">
        <v>657</v>
      </c>
    </row>
    <row r="1318" customFormat="false" ht="15" hidden="false" customHeight="false" outlineLevel="0" collapsed="false">
      <c r="A1318" s="3" t="s">
        <v>658</v>
      </c>
      <c r="B1318" s="0" t="s">
        <v>329</v>
      </c>
      <c r="E1318" s="21" t="n">
        <f aca="false">E1312+E1301-E1300</f>
        <v>13.8512708714703</v>
      </c>
      <c r="F1318" s="21" t="n">
        <f aca="false">F1312+F1301-F1300</f>
        <v>12.5059859591754</v>
      </c>
      <c r="G1318" s="21" t="n">
        <f aca="false">G1312+G1301-G1300</f>
        <v>21.0238983073296</v>
      </c>
      <c r="H1318" s="30" t="n">
        <f aca="false">H1312+H1301-H1300</f>
        <v>23.5044397329429</v>
      </c>
      <c r="I1318" s="30" t="n">
        <f aca="false">I1312+I1301-I1300</f>
        <v>25.9636971405635</v>
      </c>
      <c r="J1318" s="30" t="n">
        <f aca="false">J1312+J1301-J1300</f>
        <v>28.33561670836</v>
      </c>
      <c r="K1318" s="3" t="s">
        <v>659</v>
      </c>
    </row>
    <row r="1319" customFormat="false" ht="15" hidden="false" customHeight="false" outlineLevel="0" collapsed="false">
      <c r="A1319" s="3" t="s">
        <v>660</v>
      </c>
      <c r="B1319" s="0" t="s">
        <v>402</v>
      </c>
      <c r="E1319" s="18" t="n">
        <f aca="false">E1318/E1313</f>
        <v>21.43595473555</v>
      </c>
      <c r="F1319" s="18" t="n">
        <f aca="false">F1318/F1313</f>
        <v>19.3540182292204</v>
      </c>
      <c r="G1319" s="18" t="n">
        <f aca="false">G1318/G1313</f>
        <v>32.5361720713274</v>
      </c>
      <c r="H1319" s="28" t="n">
        <f aca="false">H1318/H1313</f>
        <v>36.3750092590849</v>
      </c>
      <c r="I1319" s="28" t="n">
        <f aca="false">I1318/I1313</f>
        <v>40.1809077186554</v>
      </c>
      <c r="J1319" s="28" t="n">
        <f aca="false">J1318/J1313</f>
        <v>43.8516438527942</v>
      </c>
    </row>
    <row r="1322" customFormat="false" ht="17.15" hidden="false" customHeight="false" outlineLevel="0" collapsed="false">
      <c r="A1322" s="1" t="s">
        <v>982</v>
      </c>
    </row>
    <row r="1323" customFormat="false" ht="17.15" hidden="false" customHeight="false" outlineLevel="0" collapsed="false">
      <c r="A1323" s="4" t="s">
        <v>17</v>
      </c>
      <c r="B1323" s="4" t="s">
        <v>18</v>
      </c>
      <c r="C1323" s="13" t="s">
        <v>494</v>
      </c>
      <c r="D1323" s="13" t="s">
        <v>581</v>
      </c>
      <c r="E1323" s="13" t="s">
        <v>582</v>
      </c>
      <c r="F1323" s="13" t="s">
        <v>583</v>
      </c>
      <c r="G1323" s="13" t="s">
        <v>584</v>
      </c>
      <c r="H1323" s="13" t="s">
        <v>585</v>
      </c>
      <c r="I1323" s="13" t="s">
        <v>586</v>
      </c>
      <c r="J1323" s="13" t="s">
        <v>587</v>
      </c>
      <c r="K1323" s="4" t="s">
        <v>549</v>
      </c>
    </row>
    <row r="1324" customFormat="false" ht="17.15" hidden="false" customHeight="false" outlineLevel="0" collapsed="false">
      <c r="A1324" s="5" t="s">
        <v>605</v>
      </c>
    </row>
    <row r="1325" customFormat="false" ht="17.15" hidden="false" customHeight="false" outlineLevel="0" collapsed="false">
      <c r="A1325" s="0" t="s">
        <v>606</v>
      </c>
      <c r="B1325" s="3" t="s">
        <v>28</v>
      </c>
      <c r="D1325" s="21" t="n">
        <f aca="false">(u_bw_26+u_rb_26+u_ru_26+u_hp_26)*1</f>
        <v>7.6</v>
      </c>
      <c r="E1325" s="21" t="n">
        <f aca="false">(u_bw_27+u_rb_27+u_ru_27+u_hp_27)*1*1</f>
        <v>9.7</v>
      </c>
      <c r="F1325" s="21" t="n">
        <f aca="false">(u_bw_28+u_rb_28+u_ru_28+u_hp_28)*um28_A*1</f>
        <v>9.5</v>
      </c>
      <c r="G1325" s="21" t="n">
        <f aca="false">(u_bw_28*(1+g29_bw)+u_rb_28*(1+g29_rb)+u_ru_28*(1+g29_ru)+u_hp_28*(1+g29_hp))*um29_A*1</f>
        <v>10.6</v>
      </c>
      <c r="K1325" s="7" t="s">
        <v>607</v>
      </c>
    </row>
    <row r="1326" customFormat="false" ht="17.15" hidden="false" customHeight="false" outlineLevel="0" collapsed="false">
      <c r="A1326" s="3" t="s">
        <v>608</v>
      </c>
      <c r="B1326" s="3" t="s">
        <v>28</v>
      </c>
      <c r="D1326" s="21" t="n">
        <f aca="false">(u_amd_26+u_tpu_26+u_trn_26+u_oth_26)*1</f>
        <v>7.6</v>
      </c>
      <c r="E1326" s="21" t="n">
        <f aca="false">(u_amd_27+u_tpu_27+u_trn_27+u_oth_27)*1*1</f>
        <v>14</v>
      </c>
      <c r="F1326" s="21" t="n">
        <f aca="false">(u_amd_28+u_tpu_28+u_trn_28+u_oth_28)*um28_A*1</f>
        <v>17</v>
      </c>
      <c r="G1326" s="21" t="n">
        <f aca="false">(u_amd_28*(1+g29_amd)+u_tpu_28*(1+g29_tpu)+u_trn_28*(1+g29_trn)+u_oth_28*(1+g29_oth))*um29_A*1</f>
        <v>19.55</v>
      </c>
      <c r="K1326" s="7" t="s">
        <v>609</v>
      </c>
    </row>
    <row r="1327" customFormat="false" ht="17.15" hidden="false" customHeight="false" outlineLevel="0" collapsed="false">
      <c r="A1327" s="3" t="s">
        <v>610</v>
      </c>
      <c r="B1327" s="0" t="s">
        <v>150</v>
      </c>
      <c r="D1327" s="19" t="n">
        <f aca="false">1</f>
        <v>1</v>
      </c>
      <c r="E1327" s="19" t="n">
        <f aca="false">D1327*(1+g_asp)</f>
        <v>1.18</v>
      </c>
      <c r="F1327" s="19" t="n">
        <f aca="false">E1327*(1+g_asp)</f>
        <v>1.3924</v>
      </c>
      <c r="G1327" s="19" t="n">
        <f aca="false">F1327*(1+g_asp)</f>
        <v>1.643032</v>
      </c>
      <c r="K1327" s="7" t="s">
        <v>611</v>
      </c>
    </row>
    <row r="1328" customFormat="false" ht="17.15" hidden="false" customHeight="false" outlineLevel="0" collapsed="false">
      <c r="A1328" s="0" t="s">
        <v>612</v>
      </c>
      <c r="B1328" s="0" t="s">
        <v>150</v>
      </c>
      <c r="D1328" s="18" t="n">
        <f aca="false">1</f>
        <v>1</v>
      </c>
      <c r="E1328" s="18" t="n">
        <f aca="false">ibpp_27</f>
        <v>1</v>
      </c>
      <c r="F1328" s="18" t="n">
        <f aca="false">ibpp_28</f>
        <v>0.95</v>
      </c>
      <c r="G1328" s="18" t="n">
        <f aca="false">ibpp_29</f>
        <v>0.9</v>
      </c>
      <c r="K1328" s="7" t="s">
        <v>613</v>
      </c>
    </row>
    <row r="1329" customFormat="false" ht="17.15" hidden="false" customHeight="false" outlineLevel="0" collapsed="false">
      <c r="A1329" s="3" t="s">
        <v>614</v>
      </c>
      <c r="B1329" s="0" t="s">
        <v>150</v>
      </c>
      <c r="D1329" s="18" t="n">
        <f aca="false">1</f>
        <v>1</v>
      </c>
      <c r="E1329" s="18" t="n">
        <f aca="false">1+carry</f>
        <v>1.15</v>
      </c>
      <c r="F1329" s="18" t="n">
        <f aca="false">1+carry</f>
        <v>1.15</v>
      </c>
      <c r="G1329" s="18" t="n">
        <f aca="false">1+carry</f>
        <v>1.15</v>
      </c>
      <c r="K1329" s="7" t="s">
        <v>615</v>
      </c>
    </row>
    <row r="1330" customFormat="false" ht="17.15" hidden="false" customHeight="false" outlineLevel="0" collapsed="false">
      <c r="A1330" s="3" t="s">
        <v>616</v>
      </c>
      <c r="B1330" s="0" t="s">
        <v>617</v>
      </c>
      <c r="D1330" s="23" t="n">
        <f aca="false">v26*D1327*D1328</f>
        <v>215.308596</v>
      </c>
      <c r="E1330" s="23" t="n">
        <f aca="false">v26*E1327*E1328</f>
        <v>254.06414328</v>
      </c>
      <c r="F1330" s="23" t="n">
        <f aca="false">v26*F1327*F1328</f>
        <v>284.80590461688</v>
      </c>
      <c r="G1330" s="23" t="n">
        <f aca="false">v26*G1327*G1328</f>
        <v>318.383021792765</v>
      </c>
      <c r="K1330" s="7" t="s">
        <v>618</v>
      </c>
    </row>
    <row r="1331" customFormat="false" ht="17.15" hidden="false" customHeight="false" outlineLevel="0" collapsed="false">
      <c r="A1331" s="3" t="s">
        <v>619</v>
      </c>
      <c r="B1331" s="0" t="s">
        <v>40</v>
      </c>
      <c r="D1331" s="20" t="n">
        <f aca="false">sh_nv_26</f>
        <v>0.02</v>
      </c>
      <c r="E1331" s="20" t="n">
        <f aca="false">sh_nv_27</f>
        <v>0.03</v>
      </c>
      <c r="F1331" s="20" t="n">
        <f aca="false">sh_nv_28</f>
        <v>0.04</v>
      </c>
      <c r="G1331" s="20" t="n">
        <f aca="false">sh_nv_29</f>
        <v>0.04</v>
      </c>
    </row>
    <row r="1332" customFormat="false" ht="17.15" hidden="false" customHeight="false" outlineLevel="0" collapsed="false">
      <c r="A1332" s="3" t="s">
        <v>620</v>
      </c>
      <c r="B1332" s="0" t="s">
        <v>40</v>
      </c>
      <c r="D1332" s="20" t="n">
        <f aca="false">sh_ot_26</f>
        <v>0.05</v>
      </c>
      <c r="E1332" s="20" t="n">
        <f aca="false">sh_ot_27</f>
        <v>0.06</v>
      </c>
      <c r="F1332" s="20" t="n">
        <f aca="false">sh_ot_28</f>
        <v>0.07</v>
      </c>
      <c r="G1332" s="20" t="n">
        <f aca="false">sh_ot_29</f>
        <v>0.07</v>
      </c>
    </row>
    <row r="1333" customFormat="false" ht="17.15" hidden="false" customHeight="false" outlineLevel="0" collapsed="false">
      <c r="A1333" s="3" t="s">
        <v>621</v>
      </c>
      <c r="B1333" s="0" t="s">
        <v>571</v>
      </c>
      <c r="D1333" s="22" t="n">
        <f aca="false">(D1325*D1330*D1331+D1326*D1330*v_ot*D1332)*D1329</f>
        <v>98.180719776</v>
      </c>
      <c r="E1333" s="22" t="n">
        <f aca="false">(E1325*E1330*E1331+E1326*E1330*v_ot*E1332)*E1329</f>
        <v>281.363335475436</v>
      </c>
      <c r="F1333" s="22" t="n">
        <f aca="false">(F1325*F1330*F1331+F1326*F1330*v_ot*F1332)*F1329</f>
        <v>436.265684692137</v>
      </c>
      <c r="G1333" s="22" t="n">
        <f aca="false">(G1325*G1330*G1331+G1326*G1330*v_ot*G1332)*G1329</f>
        <v>556.094153523679</v>
      </c>
    </row>
    <row r="1334" customFormat="false" ht="15" hidden="false" customHeight="false" outlineLevel="0" collapsed="false">
      <c r="A1334" s="3" t="s">
        <v>622</v>
      </c>
      <c r="B1334" s="0" t="s">
        <v>329</v>
      </c>
      <c r="D1334" s="21" t="n">
        <f aca="false">D1333*fx/1000</f>
        <v>3.19087339272</v>
      </c>
      <c r="E1334" s="21" t="n">
        <f aca="false">E1333*fx/1000</f>
        <v>9.14430840295167</v>
      </c>
      <c r="F1334" s="21" t="n">
        <f aca="false">F1333*fx/1000</f>
        <v>14.1786347524944</v>
      </c>
      <c r="G1334" s="21" t="n">
        <f aca="false">G1333*fx/1000</f>
        <v>18.0730599895196</v>
      </c>
    </row>
    <row r="1335" customFormat="false" ht="17.15" hidden="false" customHeight="false" outlineLevel="0" collapsed="false">
      <c r="A1335" s="5" t="s">
        <v>623</v>
      </c>
    </row>
    <row r="1336" customFormat="false" ht="17.15" hidden="false" customHeight="false" outlineLevel="0" collapsed="false">
      <c r="A1336" s="0" t="s">
        <v>624</v>
      </c>
      <c r="B1336" s="0" t="s">
        <v>329</v>
      </c>
      <c r="D1336" s="21" t="n">
        <f aca="false">a26_abf*ai_abf</f>
        <v>22.2987583</v>
      </c>
      <c r="K1336" s="3" t="s">
        <v>625</v>
      </c>
    </row>
    <row r="1337" customFormat="false" ht="17.15" hidden="false" customHeight="false" outlineLevel="0" collapsed="false">
      <c r="A1337" s="3" t="s">
        <v>626</v>
      </c>
      <c r="B1337" s="0" t="s">
        <v>329</v>
      </c>
      <c r="D1337" s="21" t="n">
        <f aca="false">D1336-D1334</f>
        <v>19.10788490728</v>
      </c>
      <c r="E1337" s="21" t="n">
        <f aca="false">$D1337*(swm_27/swm_26)^el_o*1*1*E1328*E1329</f>
        <v>30.7354094978265</v>
      </c>
      <c r="F1337" s="21" t="n">
        <f aca="false">$D1337*(swm_28/swm_26)^el_o*um28_A*1*F1328*F1329</f>
        <v>31.4104002135205</v>
      </c>
      <c r="G1337" s="21" t="n">
        <f aca="false">$D1337*(swm_29/swm_26)^el_o*um29_A*1*G1328*G1329</f>
        <v>31.7452412889375</v>
      </c>
      <c r="K1337" s="7" t="s">
        <v>627</v>
      </c>
    </row>
    <row r="1338" customFormat="false" ht="17.15" hidden="false" customHeight="false" outlineLevel="0" collapsed="false">
      <c r="A1338" s="3" t="s">
        <v>628</v>
      </c>
      <c r="B1338" s="0" t="s">
        <v>329</v>
      </c>
      <c r="D1338" s="21" t="n">
        <f aca="false">a26_abf-D1336</f>
        <v>12.0070237</v>
      </c>
      <c r="E1338" s="21" t="n">
        <f aca="false">D1338*(1+g_nai)</f>
        <v>12.367234411</v>
      </c>
      <c r="F1338" s="21" t="n">
        <f aca="false">E1338*(1+g_nai)</f>
        <v>12.73825144333</v>
      </c>
      <c r="G1338" s="21" t="n">
        <f aca="false">F1338*(1+g_nai)</f>
        <v>13.1203989866299</v>
      </c>
    </row>
    <row r="1339" customFormat="false" ht="17.15" hidden="false" customHeight="false" outlineLevel="0" collapsed="false">
      <c r="A1339" s="0" t="s">
        <v>629</v>
      </c>
      <c r="B1339" s="0" t="s">
        <v>329</v>
      </c>
      <c r="D1339" s="21" t="n">
        <f aca="false">D1334+D1337+D1338</f>
        <v>34.305782</v>
      </c>
      <c r="E1339" s="21" t="n">
        <f aca="false">E1334+E1337+E1338</f>
        <v>52.2469523117781</v>
      </c>
      <c r="F1339" s="21" t="n">
        <f aca="false">F1334+F1337+F1338</f>
        <v>58.3272864093449</v>
      </c>
      <c r="G1339" s="21" t="n">
        <f aca="false">G1334+G1337+G1338</f>
        <v>62.9387002650869</v>
      </c>
    </row>
    <row r="1340" customFormat="false" ht="17.15" hidden="false" customHeight="false" outlineLevel="0" collapsed="false">
      <c r="A1340" s="0" t="s">
        <v>630</v>
      </c>
      <c r="B1340" s="0" t="s">
        <v>329</v>
      </c>
      <c r="D1340" s="21" t="n">
        <f aca="false">a26_abf</f>
        <v>34.305782</v>
      </c>
      <c r="E1340" s="21" t="n">
        <f aca="false">$D1339*cap_27*(1+g_mix)^1*E1328*E1329</f>
        <v>49.709078118</v>
      </c>
      <c r="F1340" s="21" t="n">
        <f aca="false">$D1339*cap_28*(1+g_mix)^2*F1328*F1329</f>
        <v>55.7829061005431</v>
      </c>
      <c r="G1340" s="21" t="n">
        <f aca="false">$D1339*cap_29*(1+g_mix)^3*G1328*G1329</f>
        <v>65.765110350114</v>
      </c>
      <c r="K1340" s="7" t="s">
        <v>631</v>
      </c>
    </row>
    <row r="1341" customFormat="false" ht="17.15" hidden="false" customHeight="false" outlineLevel="0" collapsed="false">
      <c r="A1341" s="0" t="s">
        <v>632</v>
      </c>
      <c r="B1341" s="0" t="s">
        <v>329</v>
      </c>
      <c r="D1341" s="21" t="n">
        <f aca="false">a26_abf</f>
        <v>34.305782</v>
      </c>
      <c r="E1341" s="21" t="n">
        <f aca="false">MIN(E1339,E1340)</f>
        <v>49.709078118</v>
      </c>
      <c r="F1341" s="21" t="n">
        <f aca="false">MIN(F1339,F1340)</f>
        <v>55.7829061005431</v>
      </c>
      <c r="G1341" s="21" t="n">
        <f aca="false">MIN(G1339,G1340)</f>
        <v>62.9387002650869</v>
      </c>
    </row>
    <row r="1342" customFormat="false" ht="17.15" hidden="false" customHeight="false" outlineLevel="0" collapsed="false">
      <c r="A1342" s="3" t="s">
        <v>633</v>
      </c>
      <c r="B1342" s="0" t="s">
        <v>40</v>
      </c>
      <c r="D1342" s="20" t="n">
        <f aca="false">D1341/D1339</f>
        <v>1</v>
      </c>
      <c r="E1342" s="20" t="n">
        <f aca="false">E1341/E1339</f>
        <v>0.951425411789885</v>
      </c>
      <c r="F1342" s="20" t="n">
        <f aca="false">F1341/F1339</f>
        <v>0.956377529876066</v>
      </c>
      <c r="G1342" s="20" t="n">
        <f aca="false">G1341/G1339</f>
        <v>1</v>
      </c>
    </row>
    <row r="1343" customFormat="false" ht="17.15" hidden="false" customHeight="false" outlineLevel="0" collapsed="false">
      <c r="A1343" s="0" t="s">
        <v>634</v>
      </c>
      <c r="B1343" s="0" t="s">
        <v>329</v>
      </c>
      <c r="D1343" s="21" t="n">
        <f aca="false">(D1334+D1337)*D1342</f>
        <v>22.2987583</v>
      </c>
      <c r="E1343" s="21" t="n">
        <f aca="false">(E1334+E1337)*E1342</f>
        <v>37.9425770258123</v>
      </c>
      <c r="F1343" s="21" t="n">
        <f aca="false">(F1334+F1337)*F1342</f>
        <v>43.6003286502309</v>
      </c>
      <c r="G1343" s="21" t="n">
        <f aca="false">(G1334+G1337)*G1342</f>
        <v>49.818301278457</v>
      </c>
    </row>
    <row r="1344" customFormat="false" ht="17.15" hidden="false" customHeight="false" outlineLevel="0" collapsed="false">
      <c r="A1344" s="3" t="s">
        <v>635</v>
      </c>
      <c r="B1344" s="0" t="s">
        <v>40</v>
      </c>
      <c r="D1344" s="20" t="n">
        <f aca="false">D1334/(D1334+D1337)</f>
        <v>0.14309646078903</v>
      </c>
      <c r="E1344" s="20" t="n">
        <f aca="false">E1334/(E1334+E1337)</f>
        <v>0.229297218844501</v>
      </c>
      <c r="F1344" s="20" t="n">
        <f aca="false">F1334/(F1334+F1337)</f>
        <v>0.311009758444419</v>
      </c>
      <c r="G1344" s="20" t="n">
        <f aca="false">G1334/(G1334+G1337)</f>
        <v>0.362779531331288</v>
      </c>
    </row>
    <row r="1345" customFormat="false" ht="17.15" hidden="false" customHeight="false" outlineLevel="0" collapsed="false">
      <c r="A1345" s="5" t="s">
        <v>636</v>
      </c>
    </row>
    <row r="1346" customFormat="false" ht="17.15" hidden="false" customHeight="false" outlineLevel="0" collapsed="false">
      <c r="A1346" s="0" t="s">
        <v>637</v>
      </c>
      <c r="B1346" s="0" t="s">
        <v>329</v>
      </c>
      <c r="D1346" s="21" t="n">
        <f aca="false">a26_bt</f>
        <v>18.927328</v>
      </c>
      <c r="E1346" s="21" t="n">
        <f aca="false">D1346*(1+g_bt27_A)</f>
        <v>24.6055264</v>
      </c>
      <c r="F1346" s="21" t="n">
        <f aca="false">E1346*(1+g_bt28_A)</f>
        <v>27.06607904</v>
      </c>
      <c r="G1346" s="21" t="n">
        <f aca="false">F1346*(1+g_bt29_A)</f>
        <v>28.419382992</v>
      </c>
      <c r="K1346" s="7" t="s">
        <v>638</v>
      </c>
    </row>
    <row r="1347" customFormat="false" ht="17.15" hidden="false" customHeight="false" outlineLevel="0" collapsed="false">
      <c r="A1347" s="0" t="s">
        <v>536</v>
      </c>
      <c r="B1347" s="0" t="s">
        <v>329</v>
      </c>
      <c r="D1347" s="21" t="n">
        <f aca="false">a26_pcb</f>
        <v>5.91479</v>
      </c>
      <c r="E1347" s="21" t="n">
        <f aca="false">D1347*(1+g_pcb)</f>
        <v>5.91479</v>
      </c>
      <c r="F1347" s="21" t="n">
        <f aca="false">E1347*(1+g_pcb)</f>
        <v>5.91479</v>
      </c>
      <c r="G1347" s="21" t="n">
        <f aca="false">F1347*(1+g_pcb)</f>
        <v>5.91479</v>
      </c>
    </row>
    <row r="1348" customFormat="false" ht="17.15" hidden="false" customHeight="false" outlineLevel="0" collapsed="false">
      <c r="A1348" s="3" t="s">
        <v>501</v>
      </c>
      <c r="B1348" s="0" t="s">
        <v>329</v>
      </c>
      <c r="C1348" s="23" t="n">
        <f aca="false">a25_rev</f>
        <v>40.173</v>
      </c>
      <c r="D1348" s="23" t="n">
        <f aca="false">D1341+D1346+D1347</f>
        <v>59.1479</v>
      </c>
      <c r="E1348" s="23" t="n">
        <f aca="false">E1341+E1346+E1347</f>
        <v>80.229394518</v>
      </c>
      <c r="F1348" s="23" t="n">
        <f aca="false">F1341+F1346+F1347</f>
        <v>88.7637751405431</v>
      </c>
      <c r="G1348" s="23" t="n">
        <f aca="false">G1341+G1346+G1347</f>
        <v>97.2728732570869</v>
      </c>
      <c r="H1348" s="25" t="n">
        <f aca="false">G1348*(1+H1349)</f>
        <v>105.434863846709</v>
      </c>
      <c r="I1348" s="25" t="n">
        <f aca="false">H1348*(1+I1349)</f>
        <v>113.021333979572</v>
      </c>
      <c r="J1348" s="25" t="n">
        <f aca="false">I1348*(1+J1349)</f>
        <v>119.802614018346</v>
      </c>
      <c r="K1348" s="7" t="s">
        <v>639</v>
      </c>
    </row>
    <row r="1349" customFormat="false" ht="15" hidden="false" customHeight="false" outlineLevel="0" collapsed="false">
      <c r="A1349" s="3" t="s">
        <v>640</v>
      </c>
      <c r="B1349" s="0" t="s">
        <v>40</v>
      </c>
      <c r="D1349" s="20" t="n">
        <f aca="false">D1348/C1348-1</f>
        <v>0.472329674159261</v>
      </c>
      <c r="E1349" s="20" t="n">
        <f aca="false">E1348/D1348-1</f>
        <v>0.35642</v>
      </c>
      <c r="F1349" s="20" t="n">
        <f aca="false">F1348/E1348-1</f>
        <v>0.106374735517023</v>
      </c>
      <c r="G1349" s="20" t="n">
        <f aca="false">G1348/F1348-1</f>
        <v>0.0958622828183122</v>
      </c>
      <c r="H1349" s="26" t="n">
        <f aca="false">$G1349+(fade_gA-$G1349)*1/3</f>
        <v>0.0839081885455415</v>
      </c>
      <c r="I1349" s="26" t="n">
        <f aca="false">$G1349+(fade_gA-$G1349)*2/3</f>
        <v>0.0719540942727707</v>
      </c>
      <c r="J1349" s="26" t="n">
        <f aca="false">$G1349+(fade_gA-$G1349)*3/3</f>
        <v>0.06</v>
      </c>
    </row>
    <row r="1350" customFormat="false" ht="17.15" hidden="false" customHeight="false" outlineLevel="0" collapsed="false">
      <c r="A1350" s="0" t="s">
        <v>641</v>
      </c>
      <c r="B1350" s="0" t="s">
        <v>40</v>
      </c>
      <c r="D1350" s="20" t="n">
        <f aca="false">D1341/D1348</f>
        <v>0.58</v>
      </c>
      <c r="E1350" s="20" t="n">
        <f aca="false">E1341/E1348</f>
        <v>0.619586853629407</v>
      </c>
      <c r="F1350" s="20" t="n">
        <f aca="false">F1341/F1348</f>
        <v>0.62844224473576</v>
      </c>
      <c r="G1350" s="20" t="n">
        <f aca="false">G1341/G1348</f>
        <v>0.647032396161912</v>
      </c>
    </row>
    <row r="1351" customFormat="false" ht="17.15" hidden="false" customHeight="false" outlineLevel="0" collapsed="false">
      <c r="A1351" s="0" t="s">
        <v>642</v>
      </c>
      <c r="B1351" s="0" t="s">
        <v>40</v>
      </c>
      <c r="D1351" s="20" t="n">
        <f aca="false">D1343/D1348</f>
        <v>0.377</v>
      </c>
      <c r="E1351" s="20" t="n">
        <f aca="false">E1343/E1348</f>
        <v>0.472926129553422</v>
      </c>
      <c r="F1351" s="20" t="n">
        <f aca="false">F1343/F1348</f>
        <v>0.491195068947855</v>
      </c>
      <c r="G1351" s="20" t="n">
        <f aca="false">G1343/G1348</f>
        <v>0.512149992185282</v>
      </c>
      <c r="K1351" s="3" t="s">
        <v>643</v>
      </c>
    </row>
    <row r="1352" customFormat="false" ht="17.15" hidden="false" customHeight="false" outlineLevel="0" collapsed="false">
      <c r="A1352" s="5" t="s">
        <v>644</v>
      </c>
    </row>
    <row r="1353" customFormat="false" ht="15" hidden="false" customHeight="false" outlineLevel="0" collapsed="false">
      <c r="A1353" s="3" t="s">
        <v>645</v>
      </c>
      <c r="B1353" s="0" t="s">
        <v>329</v>
      </c>
      <c r="C1353" s="23" t="n">
        <f aca="false">a25_cx</f>
        <v>2.422</v>
      </c>
      <c r="D1353" s="23" t="n">
        <f aca="false">capex26</f>
        <v>4</v>
      </c>
      <c r="E1353" s="23" t="n">
        <f aca="false">cx27</f>
        <v>14</v>
      </c>
      <c r="F1353" s="23" t="n">
        <f aca="false">cx28</f>
        <v>18</v>
      </c>
      <c r="G1353" s="23" t="n">
        <f aca="false">cx29</f>
        <v>12</v>
      </c>
      <c r="H1353" s="25" t="n">
        <f aca="false">H1348*H1370</f>
        <v>12.4417241176456</v>
      </c>
      <c r="I1353" s="25" t="n">
        <f aca="false">I1348*I1370</f>
        <v>12.7311163691189</v>
      </c>
      <c r="J1353" s="25" t="n">
        <f aca="false">J1348*J1370</f>
        <v>12.8527921683461</v>
      </c>
    </row>
    <row r="1354" customFormat="false" ht="17.15" hidden="false" customHeight="false" outlineLevel="0" collapsed="false">
      <c r="A1354" s="3" t="s">
        <v>646</v>
      </c>
      <c r="B1354" s="0" t="s">
        <v>329</v>
      </c>
      <c r="C1354" s="23" t="n">
        <f aca="false">a25_da</f>
        <v>6.894</v>
      </c>
      <c r="D1354" s="23" t="n">
        <f aca="false">da26</f>
        <v>7.1</v>
      </c>
      <c r="E1354" s="23" t="n">
        <f aca="false">D1354*(1-1/life)+D1353/life</f>
        <v>6.7125</v>
      </c>
      <c r="F1354" s="23" t="n">
        <f aca="false">E1354*(1-1/life)+E1353/life</f>
        <v>7.6234375</v>
      </c>
      <c r="G1354" s="23" t="n">
        <f aca="false">F1354*(1-1/life)+F1353/life</f>
        <v>8.9205078125</v>
      </c>
      <c r="H1354" s="25" t="n">
        <f aca="false">H1348*H1355</f>
        <v>9.66901146395322</v>
      </c>
      <c r="I1354" s="25" t="n">
        <f aca="false">I1348*I1355</f>
        <v>10.364736426355</v>
      </c>
      <c r="J1354" s="25" t="n">
        <f aca="false">J1348*J1355</f>
        <v>10.9866206119363</v>
      </c>
      <c r="K1354" s="3" t="s">
        <v>647</v>
      </c>
    </row>
    <row r="1355" customFormat="false" ht="17.15" hidden="false" customHeight="false" outlineLevel="0" collapsed="false">
      <c r="A1355" s="3" t="s">
        <v>648</v>
      </c>
      <c r="B1355" s="0" t="s">
        <v>40</v>
      </c>
      <c r="C1355" s="20" t="n">
        <f aca="false">C1354/C1348</f>
        <v>0.171607796281084</v>
      </c>
      <c r="D1355" s="20" t="n">
        <f aca="false">D1354/D1348</f>
        <v>0.120038074048276</v>
      </c>
      <c r="E1355" s="20" t="n">
        <f aca="false">E1354/E1348</f>
        <v>0.0836663424961285</v>
      </c>
      <c r="F1355" s="20" t="n">
        <f aca="false">F1354/F1348</f>
        <v>0.0858845569369883</v>
      </c>
      <c r="G1355" s="20" t="n">
        <f aca="false">G1354/G1348</f>
        <v>0.0917060174517882</v>
      </c>
      <c r="H1355" s="26" t="n">
        <f aca="false">$G1355</f>
        <v>0.0917060174517882</v>
      </c>
      <c r="I1355" s="26" t="n">
        <f aca="false">$G1355</f>
        <v>0.0917060174517882</v>
      </c>
      <c r="J1355" s="26" t="n">
        <f aca="false">$G1355</f>
        <v>0.0917060174517882</v>
      </c>
    </row>
    <row r="1356" customFormat="false" ht="17.15" hidden="false" customHeight="false" outlineLevel="0" collapsed="false">
      <c r="A1356" s="3" t="s">
        <v>649</v>
      </c>
      <c r="B1356" s="0" t="s">
        <v>329</v>
      </c>
      <c r="E1356" s="21" t="n">
        <f aca="false">E1343*(1-1/(E1328*E1329))</f>
        <v>4.94903178597551</v>
      </c>
      <c r="F1356" s="21" t="n">
        <f aca="false">F1343*(1-1/(F1328*F1329))</f>
        <v>3.69156100699895</v>
      </c>
      <c r="G1356" s="21" t="n">
        <f aca="false">G1343*(1-1/(G1328*G1329))</f>
        <v>1.68467685482705</v>
      </c>
      <c r="K1356" s="7" t="s">
        <v>650</v>
      </c>
    </row>
    <row r="1357" customFormat="false" ht="17.15" hidden="false" customHeight="false" outlineLevel="0" collapsed="false">
      <c r="A1357" s="3" t="s">
        <v>651</v>
      </c>
      <c r="B1357" s="0" t="s">
        <v>329</v>
      </c>
      <c r="C1357" s="21" t="n">
        <f aca="false">a25_gp</f>
        <v>3.647</v>
      </c>
      <c r="D1357" s="21" t="n">
        <f aca="false">a26_gp</f>
        <v>15.9001925</v>
      </c>
      <c r="E1357" s="21" t="n">
        <f aca="false">$D1357+ft_abf*(E1341-E1356-$D1341)+ft_oth*((E1348-E1341)-($D1348-$D1341))+E1356-(E1354-$D1354)</f>
        <v>28.7351358119878</v>
      </c>
      <c r="F1357" s="21" t="n">
        <f aca="false">$D1357+ft_abf*(F1341-F1356-$D1341)+ft_oth*((F1348-F1341)-($D1348-$D1341))+F1356-(F1354-$D1354)</f>
        <v>31.216597969771</v>
      </c>
      <c r="G1357" s="21" t="n">
        <f aca="false">$D1357+ft_abf*(G1341-G1356-$D1341)+ft_oth*((G1348-G1341)-($D1348-$D1341))+G1356-(G1354-$D1354)</f>
        <v>33.035304244257</v>
      </c>
      <c r="K1357" s="3" t="s">
        <v>652</v>
      </c>
    </row>
    <row r="1358" customFormat="false" ht="15" hidden="false" customHeight="false" outlineLevel="0" collapsed="false">
      <c r="A1358" s="3" t="s">
        <v>508</v>
      </c>
      <c r="B1358" s="0" t="s">
        <v>40</v>
      </c>
      <c r="C1358" s="16" t="n">
        <f aca="false">C1357/C1348</f>
        <v>0.0907823662659</v>
      </c>
      <c r="D1358" s="16" t="n">
        <f aca="false">D1357/D1348</f>
        <v>0.268820913337583</v>
      </c>
      <c r="E1358" s="16" t="n">
        <f aca="false">E1357/E1348</f>
        <v>0.358162192107044</v>
      </c>
      <c r="F1358" s="16" t="n">
        <f aca="false">F1357/F1348</f>
        <v>0.351681729628383</v>
      </c>
      <c r="G1358" s="16" t="n">
        <f aca="false">G1357/G1348</f>
        <v>0.339614767592466</v>
      </c>
    </row>
    <row r="1359" customFormat="false" ht="15" hidden="false" customHeight="false" outlineLevel="0" collapsed="false">
      <c r="A1359" s="3" t="s">
        <v>510</v>
      </c>
      <c r="B1359" s="0" t="s">
        <v>329</v>
      </c>
      <c r="C1359" s="21" t="n">
        <f aca="false">a25_opx</f>
        <v>1.665</v>
      </c>
      <c r="D1359" s="21" t="n">
        <f aca="false">a26_opx</f>
        <v>1.9</v>
      </c>
      <c r="E1359" s="21" t="n">
        <f aca="false">D1359*(1+phi*E1349)</f>
        <v>2.3063188</v>
      </c>
      <c r="F1359" s="21" t="n">
        <f aca="false">E1359*(1+phi*F1349)</f>
        <v>2.45351923142076</v>
      </c>
      <c r="G1359" s="21" t="n">
        <f aca="false">F1359*(1+phi*G1349)</f>
        <v>2.59463920409834</v>
      </c>
    </row>
    <row r="1360" customFormat="false" ht="15" hidden="false" customHeight="false" outlineLevel="0" collapsed="false">
      <c r="A1360" s="3" t="s">
        <v>513</v>
      </c>
      <c r="B1360" s="0" t="s">
        <v>329</v>
      </c>
      <c r="C1360" s="21" t="n">
        <f aca="false">C1357-C1359</f>
        <v>1.982</v>
      </c>
      <c r="D1360" s="21" t="n">
        <f aca="false">D1357-D1359</f>
        <v>14.0001925</v>
      </c>
      <c r="E1360" s="21" t="n">
        <f aca="false">E1357-E1359</f>
        <v>26.4288170119878</v>
      </c>
      <c r="F1360" s="21" t="n">
        <f aca="false">F1357-F1359</f>
        <v>28.7630787383503</v>
      </c>
      <c r="G1360" s="21" t="n">
        <f aca="false">G1357-G1359</f>
        <v>30.4406650401587</v>
      </c>
    </row>
    <row r="1361" customFormat="false" ht="15" hidden="false" customHeight="false" outlineLevel="0" collapsed="false">
      <c r="A1361" s="3" t="s">
        <v>594</v>
      </c>
      <c r="B1361" s="0" t="s">
        <v>40</v>
      </c>
      <c r="C1361" s="16" t="n">
        <f aca="false">C1360/C1348</f>
        <v>0.0493366191222961</v>
      </c>
      <c r="D1361" s="16" t="n">
        <f aca="false">D1360/D1348</f>
        <v>0.236698048451424</v>
      </c>
      <c r="E1361" s="16" t="n">
        <f aca="false">E1360/E1348</f>
        <v>0.329415635887147</v>
      </c>
      <c r="F1361" s="16" t="n">
        <f aca="false">F1360/F1348</f>
        <v>0.324040732751717</v>
      </c>
      <c r="G1361" s="16" t="n">
        <f aca="false">G1360/G1348</f>
        <v>0.312940946647126</v>
      </c>
    </row>
    <row r="1362" customFormat="false" ht="15" hidden="false" customHeight="false" outlineLevel="0" collapsed="false">
      <c r="A1362" s="3" t="s">
        <v>516</v>
      </c>
      <c r="B1362" s="0" t="s">
        <v>329</v>
      </c>
      <c r="C1362" s="21" t="n">
        <f aca="false">a25_nonop</f>
        <v>0.364</v>
      </c>
      <c r="D1362" s="21" t="n">
        <f aca="false">a26_nonop</f>
        <v>0.623</v>
      </c>
      <c r="E1362" s="21" t="n">
        <f aca="false">nonop27</f>
        <v>0.6</v>
      </c>
      <c r="F1362" s="21" t="n">
        <f aca="false">nonop28</f>
        <v>0.6</v>
      </c>
      <c r="G1362" s="21" t="n">
        <f aca="false">nonop29</f>
        <v>0.6</v>
      </c>
    </row>
    <row r="1363" customFormat="false" ht="15" hidden="false" customHeight="false" outlineLevel="0" collapsed="false">
      <c r="A1363" s="3" t="s">
        <v>518</v>
      </c>
      <c r="B1363" s="0" t="s">
        <v>329</v>
      </c>
      <c r="C1363" s="21" t="n">
        <f aca="false">C1360+C1362</f>
        <v>2.346</v>
      </c>
      <c r="D1363" s="21" t="n">
        <f aca="false">D1360+D1362</f>
        <v>14.6231925</v>
      </c>
      <c r="E1363" s="21" t="n">
        <f aca="false">E1360+E1362</f>
        <v>27.0288170119878</v>
      </c>
      <c r="F1363" s="21" t="n">
        <f aca="false">F1360+F1362</f>
        <v>29.3630787383503</v>
      </c>
      <c r="G1363" s="21" t="n">
        <f aca="false">G1360+G1362</f>
        <v>31.0406650401587</v>
      </c>
    </row>
    <row r="1364" customFormat="false" ht="15" hidden="false" customHeight="false" outlineLevel="0" collapsed="false">
      <c r="A1364" s="3" t="s">
        <v>521</v>
      </c>
      <c r="B1364" s="0" t="s">
        <v>329</v>
      </c>
      <c r="E1364" s="21" t="n">
        <f aca="false">E1363*tax_hi</f>
        <v>6.48691608287706</v>
      </c>
      <c r="F1364" s="21" t="n">
        <f aca="false">F1363*tax_hi</f>
        <v>7.04713889720407</v>
      </c>
      <c r="G1364" s="21" t="n">
        <f aca="false">G1363*tax_hi</f>
        <v>7.44975960963808</v>
      </c>
    </row>
    <row r="1365" customFormat="false" ht="15" hidden="false" customHeight="false" outlineLevel="0" collapsed="false">
      <c r="A1365" s="3" t="s">
        <v>519</v>
      </c>
      <c r="B1365" s="0" t="s">
        <v>329</v>
      </c>
      <c r="C1365" s="21" t="n">
        <f aca="false">a25_ni</f>
        <v>1.947</v>
      </c>
      <c r="D1365" s="21" t="n">
        <f aca="false">a26_ni</f>
        <v>11.509862075</v>
      </c>
      <c r="E1365" s="21" t="n">
        <f aca="false">E1363-E1364</f>
        <v>20.5419009291107</v>
      </c>
      <c r="F1365" s="21" t="n">
        <f aca="false">F1363-F1364</f>
        <v>22.3159398411462</v>
      </c>
      <c r="G1365" s="21" t="n">
        <f aca="false">G1363-G1364</f>
        <v>23.5909054305206</v>
      </c>
      <c r="H1365" s="30" t="n">
        <f aca="false">H1348*H1369</f>
        <v>25.906827881494</v>
      </c>
      <c r="I1365" s="30" t="n">
        <f aca="false">I1348*I1369</f>
        <v>28.1315916485795</v>
      </c>
      <c r="J1365" s="30" t="n">
        <f aca="false">J1348*J1369</f>
        <v>30.2017882647699</v>
      </c>
    </row>
    <row r="1366" customFormat="false" ht="15" hidden="false" customHeight="false" outlineLevel="0" collapsed="false">
      <c r="A1366" s="3" t="s">
        <v>653</v>
      </c>
      <c r="B1366" s="3" t="s">
        <v>396</v>
      </c>
      <c r="C1366" s="29" t="n">
        <f aca="false">a25_sh</f>
        <v>0.646843853820598</v>
      </c>
      <c r="D1366" s="29" t="n">
        <f aca="false">a26_sh</f>
        <v>0.645863325123153</v>
      </c>
      <c r="E1366" s="29" t="n">
        <f aca="false">a26_shend*(1+sh_g)</f>
        <v>0.64617</v>
      </c>
      <c r="F1366" s="29" t="n">
        <f aca="false">E1366*(1+sh_g)</f>
        <v>0.64617</v>
      </c>
      <c r="G1366" s="29" t="n">
        <f aca="false">F1366*(1+sh_g)</f>
        <v>0.64617</v>
      </c>
      <c r="H1366" s="31" t="n">
        <f aca="false">G1366*(1+sh_g)</f>
        <v>0.64617</v>
      </c>
      <c r="I1366" s="31" t="n">
        <f aca="false">H1366*(1+sh_g)</f>
        <v>0.64617</v>
      </c>
      <c r="J1366" s="31" t="n">
        <f aca="false">I1366*(1+sh_g)</f>
        <v>0.64617</v>
      </c>
    </row>
    <row r="1367" customFormat="false" ht="17.15" hidden="false" customHeight="false" outlineLevel="0" collapsed="false">
      <c r="A1367" s="0" t="s">
        <v>524</v>
      </c>
      <c r="B1367" s="0" t="s">
        <v>402</v>
      </c>
      <c r="C1367" s="18" t="n">
        <f aca="false">C1365/C1366</f>
        <v>3.01</v>
      </c>
      <c r="D1367" s="18" t="n">
        <f aca="false">D1365/D1366</f>
        <v>17.820894339844</v>
      </c>
      <c r="E1367" s="18" t="n">
        <f aca="false">E1365/E1366</f>
        <v>31.7902423961352</v>
      </c>
      <c r="F1367" s="18" t="n">
        <f aca="false">F1365/F1366</f>
        <v>34.5357101709244</v>
      </c>
      <c r="G1367" s="18" t="n">
        <f aca="false">G1365/G1366</f>
        <v>36.5088218743064</v>
      </c>
      <c r="H1367" s="28" t="n">
        <f aca="false">H1365/H1366</f>
        <v>40.0928979703391</v>
      </c>
      <c r="I1367" s="28" t="n">
        <f aca="false">I1365/I1366</f>
        <v>43.5358986777157</v>
      </c>
      <c r="J1367" s="28" t="n">
        <f aca="false">J1365/J1366</f>
        <v>46.7396942983578</v>
      </c>
    </row>
    <row r="1368" customFormat="false" ht="17.15" hidden="false" customHeight="false" outlineLevel="0" collapsed="false">
      <c r="A1368" s="0" t="s">
        <v>654</v>
      </c>
      <c r="B1368" s="0" t="s">
        <v>40</v>
      </c>
      <c r="D1368" s="20" t="n">
        <f aca="false">D1367/C1367-1</f>
        <v>4.92056290360265</v>
      </c>
      <c r="E1368" s="20" t="n">
        <f aca="false">E1367/D1367-1</f>
        <v>0.783874691690336</v>
      </c>
      <c r="F1368" s="20" t="n">
        <f aca="false">F1367/E1367-1</f>
        <v>0.0863619641705824</v>
      </c>
      <c r="G1368" s="20" t="n">
        <f aca="false">G1367/F1367-1</f>
        <v>0.0571325070084472</v>
      </c>
      <c r="H1368" s="26" t="n">
        <f aca="false">H1367/G1367-1</f>
        <v>0.098170138394825</v>
      </c>
      <c r="I1368" s="26" t="n">
        <f aca="false">I1367/H1367-1</f>
        <v>0.0858755760165728</v>
      </c>
      <c r="J1368" s="26" t="n">
        <f aca="false">J1367/I1367-1</f>
        <v>0.0735897435897437</v>
      </c>
    </row>
    <row r="1369" customFormat="false" ht="17.15" hidden="false" customHeight="false" outlineLevel="0" collapsed="false">
      <c r="A1369" s="3" t="s">
        <v>655</v>
      </c>
      <c r="B1369" s="0" t="s">
        <v>40</v>
      </c>
      <c r="C1369" s="16" t="n">
        <f aca="false">C1365/C1348</f>
        <v>0.0484653872003585</v>
      </c>
      <c r="D1369" s="16" t="n">
        <f aca="false">D1365/D1348</f>
        <v>0.194594602259759</v>
      </c>
      <c r="E1369" s="16" t="n">
        <f aca="false">E1365/E1348</f>
        <v>0.256039585647153</v>
      </c>
      <c r="F1369" s="16" t="n">
        <f aca="false">F1365/F1348</f>
        <v>0.251408187696079</v>
      </c>
      <c r="G1369" s="16" t="n">
        <f aca="false">G1365/G1348</f>
        <v>0.242522962883713</v>
      </c>
      <c r="H1369" s="27" t="n">
        <f aca="false">$G1369+(fade_mA-$G1369)*1/3</f>
        <v>0.245714054500604</v>
      </c>
      <c r="I1369" s="27" t="n">
        <f aca="false">$G1369+(fade_mA-$G1369)*2/3</f>
        <v>0.248905146117495</v>
      </c>
      <c r="J1369" s="27" t="n">
        <f aca="false">$G1369+(fade_mA-$G1369)*3/3</f>
        <v>0.252096237734386</v>
      </c>
    </row>
    <row r="1370" customFormat="false" ht="17.15" hidden="false" customHeight="false" outlineLevel="0" collapsed="false">
      <c r="A1370" s="3" t="s">
        <v>656</v>
      </c>
      <c r="B1370" s="0" t="s">
        <v>40</v>
      </c>
      <c r="C1370" s="20" t="n">
        <f aca="false">C1353/C1348</f>
        <v>0.0602892489980833</v>
      </c>
      <c r="D1370" s="20" t="n">
        <f aca="false">D1353/D1348</f>
        <v>0.0676270839708595</v>
      </c>
      <c r="E1370" s="20" t="n">
        <f aca="false">E1353/E1348</f>
        <v>0.174499634256357</v>
      </c>
      <c r="F1370" s="20" t="n">
        <f aca="false">F1353/F1348</f>
        <v>0.202785426504223</v>
      </c>
      <c r="G1370" s="20" t="n">
        <f aca="false">G1353/G1348</f>
        <v>0.123364300839399</v>
      </c>
      <c r="H1370" s="26" t="n">
        <f aca="false">$G1370+($G1355*(1+tp_g)^(life/2)-$G1370)*1/3</f>
        <v>0.118003890399427</v>
      </c>
      <c r="I1370" s="26" t="n">
        <f aca="false">$G1370+($G1355*(1+tp_g)^(life/2)-$G1370)*2/3</f>
        <v>0.112643479959456</v>
      </c>
      <c r="J1370" s="26" t="n">
        <f aca="false">$G1370+($G1355*(1+tp_g)^(life/2)-$G1370)*3/3</f>
        <v>0.107283069519484</v>
      </c>
      <c r="K1370" s="7" t="s">
        <v>657</v>
      </c>
    </row>
    <row r="1371" customFormat="false" ht="15" hidden="false" customHeight="false" outlineLevel="0" collapsed="false">
      <c r="A1371" s="3" t="s">
        <v>658</v>
      </c>
      <c r="B1371" s="0" t="s">
        <v>329</v>
      </c>
      <c r="E1371" s="21" t="n">
        <f aca="false">E1365+E1354-E1353</f>
        <v>13.2544009291107</v>
      </c>
      <c r="F1371" s="21" t="n">
        <f aca="false">F1365+F1354-F1353</f>
        <v>11.9393773411462</v>
      </c>
      <c r="G1371" s="21" t="n">
        <f aca="false">G1365+G1354-G1353</f>
        <v>20.5114132430206</v>
      </c>
      <c r="H1371" s="30" t="n">
        <f aca="false">H1365+H1354-H1353</f>
        <v>23.1341152278016</v>
      </c>
      <c r="I1371" s="30" t="n">
        <f aca="false">I1365+I1354-I1353</f>
        <v>25.7652117058157</v>
      </c>
      <c r="J1371" s="30" t="n">
        <f aca="false">J1365+J1354-J1353</f>
        <v>28.33561670836</v>
      </c>
      <c r="K1371" s="3" t="s">
        <v>659</v>
      </c>
    </row>
    <row r="1372" customFormat="false" ht="15" hidden="false" customHeight="false" outlineLevel="0" collapsed="false">
      <c r="A1372" s="3" t="s">
        <v>660</v>
      </c>
      <c r="B1372" s="0" t="s">
        <v>402</v>
      </c>
      <c r="E1372" s="18" t="n">
        <f aca="false">E1371/E1366</f>
        <v>20.5122505364079</v>
      </c>
      <c r="F1372" s="18" t="n">
        <f aca="false">F1371/F1366</f>
        <v>18.4771458612226</v>
      </c>
      <c r="G1372" s="18" t="n">
        <f aca="false">G1371/G1366</f>
        <v>31.7430602519779</v>
      </c>
      <c r="H1372" s="28" t="n">
        <f aca="false">H1371/H1366</f>
        <v>35.8019023288015</v>
      </c>
      <c r="I1372" s="28" t="n">
        <f aca="false">I1371/I1366</f>
        <v>39.8737355584686</v>
      </c>
      <c r="J1372" s="28" t="n">
        <f aca="false">J1371/J1366</f>
        <v>43.8516438527942</v>
      </c>
    </row>
    <row r="1375" customFormat="false" ht="17.15" hidden="false" customHeight="false" outlineLevel="0" collapsed="false">
      <c r="A1375" s="1" t="s">
        <v>983</v>
      </c>
    </row>
    <row r="1376" customFormat="false" ht="17.15" hidden="false" customHeight="false" outlineLevel="0" collapsed="false">
      <c r="A1376" s="4" t="s">
        <v>17</v>
      </c>
      <c r="B1376" s="4" t="s">
        <v>18</v>
      </c>
      <c r="C1376" s="13" t="s">
        <v>494</v>
      </c>
      <c r="D1376" s="13" t="s">
        <v>581</v>
      </c>
      <c r="E1376" s="13" t="s">
        <v>582</v>
      </c>
      <c r="F1376" s="13" t="s">
        <v>583</v>
      </c>
      <c r="G1376" s="13" t="s">
        <v>584</v>
      </c>
      <c r="H1376" s="13" t="s">
        <v>585</v>
      </c>
      <c r="I1376" s="13" t="s">
        <v>586</v>
      </c>
      <c r="J1376" s="13" t="s">
        <v>587</v>
      </c>
      <c r="K1376" s="4" t="s">
        <v>549</v>
      </c>
    </row>
    <row r="1377" customFormat="false" ht="17.15" hidden="false" customHeight="false" outlineLevel="0" collapsed="false">
      <c r="A1377" s="5" t="s">
        <v>605</v>
      </c>
    </row>
    <row r="1378" customFormat="false" ht="17.15" hidden="false" customHeight="false" outlineLevel="0" collapsed="false">
      <c r="A1378" s="0" t="s">
        <v>606</v>
      </c>
      <c r="B1378" s="3" t="s">
        <v>28</v>
      </c>
      <c r="D1378" s="21" t="n">
        <f aca="false">(u_bw_26+u_rb_26+u_ru_26+u_hp_26)*1</f>
        <v>7.6</v>
      </c>
      <c r="E1378" s="21" t="n">
        <f aca="false">(u_bw_27+u_rb_27+u_ru_27+u_hp_27)*1*1</f>
        <v>9.7</v>
      </c>
      <c r="F1378" s="21" t="n">
        <f aca="false">(u_bw_28+u_rb_28+u_ru_28+u_hp_28)*um28_A*1</f>
        <v>9.5</v>
      </c>
      <c r="G1378" s="21" t="n">
        <f aca="false">(u_bw_28*(1+g29_bw)+u_rb_28*(1+g29_rb)+u_ru_28*(1+g29_ru)+u_hp_28*(1+g29_hp))*um29_A*1</f>
        <v>10.6</v>
      </c>
      <c r="K1378" s="7" t="s">
        <v>607</v>
      </c>
    </row>
    <row r="1379" customFormat="false" ht="17.15" hidden="false" customHeight="false" outlineLevel="0" collapsed="false">
      <c r="A1379" s="3" t="s">
        <v>608</v>
      </c>
      <c r="B1379" s="3" t="s">
        <v>28</v>
      </c>
      <c r="D1379" s="21" t="n">
        <f aca="false">(u_amd_26+u_tpu_26+u_trn_26+u_oth_26)*1</f>
        <v>7.6</v>
      </c>
      <c r="E1379" s="21" t="n">
        <f aca="false">(u_amd_27+u_tpu_27+u_trn_27+u_oth_27)*1*1</f>
        <v>14</v>
      </c>
      <c r="F1379" s="21" t="n">
        <f aca="false">(u_amd_28+u_tpu_28+u_trn_28+u_oth_28)*um28_A*1</f>
        <v>17</v>
      </c>
      <c r="G1379" s="21" t="n">
        <f aca="false">(u_amd_28*(1+g29_amd)+u_tpu_28*(1+g29_tpu)+u_trn_28*(1+g29_trn)+u_oth_28*(1+g29_oth))*um29_A*1</f>
        <v>19.55</v>
      </c>
      <c r="K1379" s="7" t="s">
        <v>609</v>
      </c>
    </row>
    <row r="1380" customFormat="false" ht="17.15" hidden="false" customHeight="false" outlineLevel="0" collapsed="false">
      <c r="A1380" s="3" t="s">
        <v>610</v>
      </c>
      <c r="B1380" s="0" t="s">
        <v>150</v>
      </c>
      <c r="D1380" s="19" t="n">
        <f aca="false">1</f>
        <v>1</v>
      </c>
      <c r="E1380" s="19" t="n">
        <f aca="false">D1380*(1+g_asp)</f>
        <v>1.18</v>
      </c>
      <c r="F1380" s="19" t="n">
        <f aca="false">E1380*(1+g_asp)</f>
        <v>1.3924</v>
      </c>
      <c r="G1380" s="19" t="n">
        <f aca="false">F1380*(1+g_asp)</f>
        <v>1.643032</v>
      </c>
      <c r="K1380" s="7" t="s">
        <v>611</v>
      </c>
    </row>
    <row r="1381" customFormat="false" ht="17.15" hidden="false" customHeight="false" outlineLevel="0" collapsed="false">
      <c r="A1381" s="0" t="s">
        <v>612</v>
      </c>
      <c r="B1381" s="0" t="s">
        <v>150</v>
      </c>
      <c r="D1381" s="18" t="n">
        <f aca="false">1</f>
        <v>1</v>
      </c>
      <c r="E1381" s="18" t="n">
        <f aca="false">ibpp_27</f>
        <v>1</v>
      </c>
      <c r="F1381" s="18" t="n">
        <f aca="false">ibpp_28</f>
        <v>0.95</v>
      </c>
      <c r="G1381" s="18" t="n">
        <f aca="false">ibpp_29</f>
        <v>0.9</v>
      </c>
      <c r="K1381" s="7" t="s">
        <v>613</v>
      </c>
    </row>
    <row r="1382" customFormat="false" ht="17.15" hidden="false" customHeight="false" outlineLevel="0" collapsed="false">
      <c r="A1382" s="3" t="s">
        <v>614</v>
      </c>
      <c r="B1382" s="0" t="s">
        <v>150</v>
      </c>
      <c r="D1382" s="18" t="n">
        <f aca="false">1</f>
        <v>1</v>
      </c>
      <c r="E1382" s="18" t="n">
        <f aca="false">1+carry</f>
        <v>1.15</v>
      </c>
      <c r="F1382" s="18" t="n">
        <f aca="false">1+carry</f>
        <v>1.15</v>
      </c>
      <c r="G1382" s="18" t="n">
        <f aca="false">1+carry</f>
        <v>1.15</v>
      </c>
      <c r="K1382" s="7" t="s">
        <v>615</v>
      </c>
    </row>
    <row r="1383" customFormat="false" ht="17.15" hidden="false" customHeight="false" outlineLevel="0" collapsed="false">
      <c r="A1383" s="3" t="s">
        <v>616</v>
      </c>
      <c r="B1383" s="0" t="s">
        <v>617</v>
      </c>
      <c r="D1383" s="23" t="n">
        <f aca="false">v26*D1380*D1381</f>
        <v>215.308596</v>
      </c>
      <c r="E1383" s="23" t="n">
        <f aca="false">v26*E1380*E1381</f>
        <v>254.06414328</v>
      </c>
      <c r="F1383" s="23" t="n">
        <f aca="false">v26*F1380*F1381</f>
        <v>284.80590461688</v>
      </c>
      <c r="G1383" s="23" t="n">
        <f aca="false">v26*G1380*G1381</f>
        <v>318.383021792765</v>
      </c>
      <c r="K1383" s="7" t="s">
        <v>618</v>
      </c>
    </row>
    <row r="1384" customFormat="false" ht="17.15" hidden="false" customHeight="false" outlineLevel="0" collapsed="false">
      <c r="A1384" s="3" t="s">
        <v>619</v>
      </c>
      <c r="B1384" s="0" t="s">
        <v>40</v>
      </c>
      <c r="D1384" s="20" t="n">
        <f aca="false">sh_nv_26</f>
        <v>0.02</v>
      </c>
      <c r="E1384" s="20" t="n">
        <f aca="false">sh_nv_27</f>
        <v>0.03</v>
      </c>
      <c r="F1384" s="20" t="n">
        <f aca="false">sh_nv_28</f>
        <v>0.04</v>
      </c>
      <c r="G1384" s="20" t="n">
        <f aca="false">sh_nv_29</f>
        <v>0.04</v>
      </c>
    </row>
    <row r="1385" customFormat="false" ht="17.15" hidden="false" customHeight="false" outlineLevel="0" collapsed="false">
      <c r="A1385" s="3" t="s">
        <v>620</v>
      </c>
      <c r="B1385" s="0" t="s">
        <v>40</v>
      </c>
      <c r="D1385" s="20" t="n">
        <f aca="false">sh_ot_26</f>
        <v>0.05</v>
      </c>
      <c r="E1385" s="20" t="n">
        <f aca="false">sh_ot_27</f>
        <v>0.06</v>
      </c>
      <c r="F1385" s="20" t="n">
        <f aca="false">sh_ot_28</f>
        <v>0.07</v>
      </c>
      <c r="G1385" s="20" t="n">
        <f aca="false">sh_ot_29</f>
        <v>0.07</v>
      </c>
    </row>
    <row r="1386" customFormat="false" ht="17.15" hidden="false" customHeight="false" outlineLevel="0" collapsed="false">
      <c r="A1386" s="3" t="s">
        <v>621</v>
      </c>
      <c r="B1386" s="0" t="s">
        <v>571</v>
      </c>
      <c r="D1386" s="22" t="n">
        <f aca="false">(D1378*D1383*D1384+D1379*D1383*v_ot*D1385)*D1382</f>
        <v>98.180719776</v>
      </c>
      <c r="E1386" s="22" t="n">
        <f aca="false">(E1378*E1383*E1384+E1379*E1383*v_ot*E1385)*E1382</f>
        <v>281.363335475436</v>
      </c>
      <c r="F1386" s="22" t="n">
        <f aca="false">(F1378*F1383*F1384+F1379*F1383*v_ot*F1385)*F1382</f>
        <v>436.265684692137</v>
      </c>
      <c r="G1386" s="22" t="n">
        <f aca="false">(G1378*G1383*G1384+G1379*G1383*v_ot*G1385)*G1382</f>
        <v>556.094153523679</v>
      </c>
    </row>
    <row r="1387" customFormat="false" ht="15" hidden="false" customHeight="false" outlineLevel="0" collapsed="false">
      <c r="A1387" s="3" t="s">
        <v>622</v>
      </c>
      <c r="B1387" s="0" t="s">
        <v>329</v>
      </c>
      <c r="D1387" s="21" t="n">
        <f aca="false">D1386*fx/1000</f>
        <v>3.19087339272</v>
      </c>
      <c r="E1387" s="21" t="n">
        <f aca="false">E1386*fx/1000</f>
        <v>9.14430840295167</v>
      </c>
      <c r="F1387" s="21" t="n">
        <f aca="false">F1386*fx/1000</f>
        <v>14.1786347524944</v>
      </c>
      <c r="G1387" s="21" t="n">
        <f aca="false">G1386*fx/1000</f>
        <v>18.0730599895196</v>
      </c>
    </row>
    <row r="1388" customFormat="false" ht="17.15" hidden="false" customHeight="false" outlineLevel="0" collapsed="false">
      <c r="A1388" s="5" t="s">
        <v>623</v>
      </c>
    </row>
    <row r="1389" customFormat="false" ht="17.15" hidden="false" customHeight="false" outlineLevel="0" collapsed="false">
      <c r="A1389" s="0" t="s">
        <v>624</v>
      </c>
      <c r="B1389" s="0" t="s">
        <v>329</v>
      </c>
      <c r="D1389" s="21" t="n">
        <f aca="false">a26_abf*ai_abf</f>
        <v>22.2987583</v>
      </c>
      <c r="K1389" s="3" t="s">
        <v>625</v>
      </c>
    </row>
    <row r="1390" customFormat="false" ht="17.15" hidden="false" customHeight="false" outlineLevel="0" collapsed="false">
      <c r="A1390" s="3" t="s">
        <v>626</v>
      </c>
      <c r="B1390" s="0" t="s">
        <v>329</v>
      </c>
      <c r="D1390" s="21" t="n">
        <f aca="false">D1389-D1387</f>
        <v>19.10788490728</v>
      </c>
      <c r="E1390" s="21" t="n">
        <f aca="false">$D1390*(swm_27/swm_26)^el_o*1*1*E1381*E1382</f>
        <v>30.7354094978265</v>
      </c>
      <c r="F1390" s="21" t="n">
        <f aca="false">$D1390*(swm_28/swm_26)^el_o*um28_A*1*F1381*F1382</f>
        <v>31.4104002135205</v>
      </c>
      <c r="G1390" s="21" t="n">
        <f aca="false">$D1390*(swm_29/swm_26)^el_o*um29_A*1*G1381*G1382</f>
        <v>31.7452412889375</v>
      </c>
      <c r="K1390" s="7" t="s">
        <v>627</v>
      </c>
    </row>
    <row r="1391" customFormat="false" ht="17.15" hidden="false" customHeight="false" outlineLevel="0" collapsed="false">
      <c r="A1391" s="3" t="s">
        <v>628</v>
      </c>
      <c r="B1391" s="0" t="s">
        <v>329</v>
      </c>
      <c r="D1391" s="21" t="n">
        <f aca="false">a26_abf-D1389</f>
        <v>12.0070237</v>
      </c>
      <c r="E1391" s="21" t="n">
        <f aca="false">D1391*(1+g_nai)</f>
        <v>12.367234411</v>
      </c>
      <c r="F1391" s="21" t="n">
        <f aca="false">E1391*(1+g_nai)</f>
        <v>12.73825144333</v>
      </c>
      <c r="G1391" s="21" t="n">
        <f aca="false">F1391*(1+g_nai)</f>
        <v>13.1203989866299</v>
      </c>
    </row>
    <row r="1392" customFormat="false" ht="17.15" hidden="false" customHeight="false" outlineLevel="0" collapsed="false">
      <c r="A1392" s="0" t="s">
        <v>629</v>
      </c>
      <c r="B1392" s="0" t="s">
        <v>329</v>
      </c>
      <c r="D1392" s="21" t="n">
        <f aca="false">D1387+D1390+D1391</f>
        <v>34.305782</v>
      </c>
      <c r="E1392" s="21" t="n">
        <f aca="false">E1387+E1390+E1391</f>
        <v>52.2469523117781</v>
      </c>
      <c r="F1392" s="21" t="n">
        <f aca="false">F1387+F1390+F1391</f>
        <v>58.3272864093449</v>
      </c>
      <c r="G1392" s="21" t="n">
        <f aca="false">G1387+G1390+G1391</f>
        <v>62.9387002650869</v>
      </c>
    </row>
    <row r="1393" customFormat="false" ht="17.15" hidden="false" customHeight="false" outlineLevel="0" collapsed="false">
      <c r="A1393" s="0" t="s">
        <v>630</v>
      </c>
      <c r="B1393" s="0" t="s">
        <v>329</v>
      </c>
      <c r="D1393" s="21" t="n">
        <f aca="false">a26_abf</f>
        <v>34.305782</v>
      </c>
      <c r="E1393" s="21" t="n">
        <f aca="false">$D1392*cap_27*(1+g_mix)^1*E1381*E1382</f>
        <v>49.709078118</v>
      </c>
      <c r="F1393" s="21" t="n">
        <f aca="false">$D1392*cap_28*(1+g_mix)^2*F1381*F1382</f>
        <v>55.7829061005431</v>
      </c>
      <c r="G1393" s="21" t="n">
        <f aca="false">$D1392*cap_29*(1+g_mix)^3*G1381*G1382</f>
        <v>65.765110350114</v>
      </c>
      <c r="K1393" s="7" t="s">
        <v>631</v>
      </c>
    </row>
    <row r="1394" customFormat="false" ht="17.15" hidden="false" customHeight="false" outlineLevel="0" collapsed="false">
      <c r="A1394" s="0" t="s">
        <v>632</v>
      </c>
      <c r="B1394" s="0" t="s">
        <v>329</v>
      </c>
      <c r="D1394" s="21" t="n">
        <f aca="false">a26_abf</f>
        <v>34.305782</v>
      </c>
      <c r="E1394" s="21" t="n">
        <f aca="false">MIN(E1392,E1393)</f>
        <v>49.709078118</v>
      </c>
      <c r="F1394" s="21" t="n">
        <f aca="false">MIN(F1392,F1393)</f>
        <v>55.7829061005431</v>
      </c>
      <c r="G1394" s="21" t="n">
        <f aca="false">MIN(G1392,G1393)</f>
        <v>62.9387002650869</v>
      </c>
    </row>
    <row r="1395" customFormat="false" ht="17.15" hidden="false" customHeight="false" outlineLevel="0" collapsed="false">
      <c r="A1395" s="3" t="s">
        <v>633</v>
      </c>
      <c r="B1395" s="0" t="s">
        <v>40</v>
      </c>
      <c r="D1395" s="20" t="n">
        <f aca="false">D1394/D1392</f>
        <v>1</v>
      </c>
      <c r="E1395" s="20" t="n">
        <f aca="false">E1394/E1392</f>
        <v>0.951425411789885</v>
      </c>
      <c r="F1395" s="20" t="n">
        <f aca="false">F1394/F1392</f>
        <v>0.956377529876066</v>
      </c>
      <c r="G1395" s="20" t="n">
        <f aca="false">G1394/G1392</f>
        <v>1</v>
      </c>
    </row>
    <row r="1396" customFormat="false" ht="17.15" hidden="false" customHeight="false" outlineLevel="0" collapsed="false">
      <c r="A1396" s="0" t="s">
        <v>634</v>
      </c>
      <c r="B1396" s="0" t="s">
        <v>329</v>
      </c>
      <c r="D1396" s="21" t="n">
        <f aca="false">(D1387+D1390)*D1395</f>
        <v>22.2987583</v>
      </c>
      <c r="E1396" s="21" t="n">
        <f aca="false">(E1387+E1390)*E1395</f>
        <v>37.9425770258123</v>
      </c>
      <c r="F1396" s="21" t="n">
        <f aca="false">(F1387+F1390)*F1395</f>
        <v>43.6003286502309</v>
      </c>
      <c r="G1396" s="21" t="n">
        <f aca="false">(G1387+G1390)*G1395</f>
        <v>49.818301278457</v>
      </c>
    </row>
    <row r="1397" customFormat="false" ht="17.15" hidden="false" customHeight="false" outlineLevel="0" collapsed="false">
      <c r="A1397" s="3" t="s">
        <v>635</v>
      </c>
      <c r="B1397" s="0" t="s">
        <v>40</v>
      </c>
      <c r="D1397" s="20" t="n">
        <f aca="false">D1387/(D1387+D1390)</f>
        <v>0.14309646078903</v>
      </c>
      <c r="E1397" s="20" t="n">
        <f aca="false">E1387/(E1387+E1390)</f>
        <v>0.229297218844501</v>
      </c>
      <c r="F1397" s="20" t="n">
        <f aca="false">F1387/(F1387+F1390)</f>
        <v>0.311009758444419</v>
      </c>
      <c r="G1397" s="20" t="n">
        <f aca="false">G1387/(G1387+G1390)</f>
        <v>0.362779531331288</v>
      </c>
    </row>
    <row r="1398" customFormat="false" ht="17.15" hidden="false" customHeight="false" outlineLevel="0" collapsed="false">
      <c r="A1398" s="5" t="s">
        <v>636</v>
      </c>
    </row>
    <row r="1399" customFormat="false" ht="17.15" hidden="false" customHeight="false" outlineLevel="0" collapsed="false">
      <c r="A1399" s="0" t="s">
        <v>637</v>
      </c>
      <c r="B1399" s="0" t="s">
        <v>329</v>
      </c>
      <c r="D1399" s="21" t="n">
        <f aca="false">a26_bt</f>
        <v>18.927328</v>
      </c>
      <c r="E1399" s="21" t="n">
        <f aca="false">D1399*(1+g_bt27_A)</f>
        <v>24.6055264</v>
      </c>
      <c r="F1399" s="21" t="n">
        <f aca="false">E1399*(1+g_bt28_A)</f>
        <v>27.06607904</v>
      </c>
      <c r="G1399" s="21" t="n">
        <f aca="false">F1399*(1+g_bt29_A)</f>
        <v>28.419382992</v>
      </c>
      <c r="K1399" s="7" t="s">
        <v>638</v>
      </c>
    </row>
    <row r="1400" customFormat="false" ht="17.15" hidden="false" customHeight="false" outlineLevel="0" collapsed="false">
      <c r="A1400" s="0" t="s">
        <v>536</v>
      </c>
      <c r="B1400" s="0" t="s">
        <v>329</v>
      </c>
      <c r="D1400" s="21" t="n">
        <f aca="false">a26_pcb</f>
        <v>5.91479</v>
      </c>
      <c r="E1400" s="21" t="n">
        <f aca="false">D1400*(1+g_pcb)</f>
        <v>5.91479</v>
      </c>
      <c r="F1400" s="21" t="n">
        <f aca="false">E1400*(1+g_pcb)</f>
        <v>5.91479</v>
      </c>
      <c r="G1400" s="21" t="n">
        <f aca="false">F1400*(1+g_pcb)</f>
        <v>5.91479</v>
      </c>
    </row>
    <row r="1401" customFormat="false" ht="17.15" hidden="false" customHeight="false" outlineLevel="0" collapsed="false">
      <c r="A1401" s="3" t="s">
        <v>501</v>
      </c>
      <c r="B1401" s="0" t="s">
        <v>329</v>
      </c>
      <c r="C1401" s="23" t="n">
        <f aca="false">a25_rev</f>
        <v>40.173</v>
      </c>
      <c r="D1401" s="23" t="n">
        <f aca="false">D1394+D1399+D1400</f>
        <v>59.1479</v>
      </c>
      <c r="E1401" s="23" t="n">
        <f aca="false">E1394+E1399+E1400</f>
        <v>80.229394518</v>
      </c>
      <c r="F1401" s="23" t="n">
        <f aca="false">F1394+F1399+F1400</f>
        <v>88.7637751405431</v>
      </c>
      <c r="G1401" s="23" t="n">
        <f aca="false">G1394+G1399+G1400</f>
        <v>97.2728732570869</v>
      </c>
      <c r="H1401" s="25" t="n">
        <f aca="false">G1401*(1+H1402)</f>
        <v>105.434863846709</v>
      </c>
      <c r="I1401" s="25" t="n">
        <f aca="false">H1401*(1+I1402)</f>
        <v>113.021333979572</v>
      </c>
      <c r="J1401" s="25" t="n">
        <f aca="false">I1401*(1+J1402)</f>
        <v>119.802614018346</v>
      </c>
      <c r="K1401" s="7" t="s">
        <v>639</v>
      </c>
    </row>
    <row r="1402" customFormat="false" ht="15" hidden="false" customHeight="false" outlineLevel="0" collapsed="false">
      <c r="A1402" s="3" t="s">
        <v>640</v>
      </c>
      <c r="B1402" s="0" t="s">
        <v>40</v>
      </c>
      <c r="D1402" s="20" t="n">
        <f aca="false">D1401/C1401-1</f>
        <v>0.472329674159261</v>
      </c>
      <c r="E1402" s="20" t="n">
        <f aca="false">E1401/D1401-1</f>
        <v>0.35642</v>
      </c>
      <c r="F1402" s="20" t="n">
        <f aca="false">F1401/E1401-1</f>
        <v>0.106374735517023</v>
      </c>
      <c r="G1402" s="20" t="n">
        <f aca="false">G1401/F1401-1</f>
        <v>0.0958622828183122</v>
      </c>
      <c r="H1402" s="26" t="n">
        <f aca="false">$G1402+(fade_gA-$G1402)*1/3</f>
        <v>0.0839081885455415</v>
      </c>
      <c r="I1402" s="26" t="n">
        <f aca="false">$G1402+(fade_gA-$G1402)*2/3</f>
        <v>0.0719540942727707</v>
      </c>
      <c r="J1402" s="26" t="n">
        <f aca="false">$G1402+(fade_gA-$G1402)*3/3</f>
        <v>0.06</v>
      </c>
    </row>
    <row r="1403" customFormat="false" ht="17.15" hidden="false" customHeight="false" outlineLevel="0" collapsed="false">
      <c r="A1403" s="0" t="s">
        <v>641</v>
      </c>
      <c r="B1403" s="0" t="s">
        <v>40</v>
      </c>
      <c r="D1403" s="20" t="n">
        <f aca="false">D1394/D1401</f>
        <v>0.58</v>
      </c>
      <c r="E1403" s="20" t="n">
        <f aca="false">E1394/E1401</f>
        <v>0.619586853629407</v>
      </c>
      <c r="F1403" s="20" t="n">
        <f aca="false">F1394/F1401</f>
        <v>0.62844224473576</v>
      </c>
      <c r="G1403" s="20" t="n">
        <f aca="false">G1394/G1401</f>
        <v>0.647032396161912</v>
      </c>
    </row>
    <row r="1404" customFormat="false" ht="17.15" hidden="false" customHeight="false" outlineLevel="0" collapsed="false">
      <c r="A1404" s="0" t="s">
        <v>642</v>
      </c>
      <c r="B1404" s="0" t="s">
        <v>40</v>
      </c>
      <c r="D1404" s="20" t="n">
        <f aca="false">D1396/D1401</f>
        <v>0.377</v>
      </c>
      <c r="E1404" s="20" t="n">
        <f aca="false">E1396/E1401</f>
        <v>0.472926129553422</v>
      </c>
      <c r="F1404" s="20" t="n">
        <f aca="false">F1396/F1401</f>
        <v>0.491195068947855</v>
      </c>
      <c r="G1404" s="20" t="n">
        <f aca="false">G1396/G1401</f>
        <v>0.512149992185282</v>
      </c>
      <c r="K1404" s="3" t="s">
        <v>643</v>
      </c>
    </row>
    <row r="1405" customFormat="false" ht="17.15" hidden="false" customHeight="false" outlineLevel="0" collapsed="false">
      <c r="A1405" s="5" t="s">
        <v>644</v>
      </c>
    </row>
    <row r="1406" customFormat="false" ht="15" hidden="false" customHeight="false" outlineLevel="0" collapsed="false">
      <c r="A1406" s="3" t="s">
        <v>645</v>
      </c>
      <c r="B1406" s="0" t="s">
        <v>329</v>
      </c>
      <c r="C1406" s="23" t="n">
        <f aca="false">a25_cx</f>
        <v>2.422</v>
      </c>
      <c r="D1406" s="23" t="n">
        <f aca="false">capex26</f>
        <v>4</v>
      </c>
      <c r="E1406" s="23" t="n">
        <f aca="false">cx27</f>
        <v>14</v>
      </c>
      <c r="F1406" s="23" t="n">
        <f aca="false">cx28</f>
        <v>18</v>
      </c>
      <c r="G1406" s="23" t="n">
        <f aca="false">cx29</f>
        <v>12</v>
      </c>
      <c r="H1406" s="25" t="n">
        <f aca="false">H1401*H1423</f>
        <v>12.4417241176456</v>
      </c>
      <c r="I1406" s="25" t="n">
        <f aca="false">I1401*I1423</f>
        <v>12.7311163691189</v>
      </c>
      <c r="J1406" s="25" t="n">
        <f aca="false">J1401*J1423</f>
        <v>12.8527921683461</v>
      </c>
    </row>
    <row r="1407" customFormat="false" ht="17.15" hidden="false" customHeight="false" outlineLevel="0" collapsed="false">
      <c r="A1407" s="3" t="s">
        <v>646</v>
      </c>
      <c r="B1407" s="0" t="s">
        <v>329</v>
      </c>
      <c r="C1407" s="23" t="n">
        <f aca="false">a25_da</f>
        <v>6.894</v>
      </c>
      <c r="D1407" s="23" t="n">
        <f aca="false">da26</f>
        <v>7.1</v>
      </c>
      <c r="E1407" s="23" t="n">
        <f aca="false">D1407*(1-1/life)+D1406/life</f>
        <v>6.7125</v>
      </c>
      <c r="F1407" s="23" t="n">
        <f aca="false">E1407*(1-1/life)+E1406/life</f>
        <v>7.6234375</v>
      </c>
      <c r="G1407" s="23" t="n">
        <f aca="false">F1407*(1-1/life)+F1406/life</f>
        <v>8.9205078125</v>
      </c>
      <c r="H1407" s="25" t="n">
        <f aca="false">H1401*H1408</f>
        <v>9.66901146395322</v>
      </c>
      <c r="I1407" s="25" t="n">
        <f aca="false">I1401*I1408</f>
        <v>10.364736426355</v>
      </c>
      <c r="J1407" s="25" t="n">
        <f aca="false">J1401*J1408</f>
        <v>10.9866206119363</v>
      </c>
      <c r="K1407" s="3" t="s">
        <v>647</v>
      </c>
    </row>
    <row r="1408" customFormat="false" ht="17.15" hidden="false" customHeight="false" outlineLevel="0" collapsed="false">
      <c r="A1408" s="3" t="s">
        <v>648</v>
      </c>
      <c r="B1408" s="0" t="s">
        <v>40</v>
      </c>
      <c r="C1408" s="20" t="n">
        <f aca="false">C1407/C1401</f>
        <v>0.171607796281084</v>
      </c>
      <c r="D1408" s="20" t="n">
        <f aca="false">D1407/D1401</f>
        <v>0.120038074048276</v>
      </c>
      <c r="E1408" s="20" t="n">
        <f aca="false">E1407/E1401</f>
        <v>0.0836663424961285</v>
      </c>
      <c r="F1408" s="20" t="n">
        <f aca="false">F1407/F1401</f>
        <v>0.0858845569369883</v>
      </c>
      <c r="G1408" s="20" t="n">
        <f aca="false">G1407/G1401</f>
        <v>0.0917060174517882</v>
      </c>
      <c r="H1408" s="26" t="n">
        <f aca="false">$G1408</f>
        <v>0.0917060174517882</v>
      </c>
      <c r="I1408" s="26" t="n">
        <f aca="false">$G1408</f>
        <v>0.0917060174517882</v>
      </c>
      <c r="J1408" s="26" t="n">
        <f aca="false">$G1408</f>
        <v>0.0917060174517882</v>
      </c>
    </row>
    <row r="1409" customFormat="false" ht="17.15" hidden="false" customHeight="false" outlineLevel="0" collapsed="false">
      <c r="A1409" s="3" t="s">
        <v>649</v>
      </c>
      <c r="B1409" s="0" t="s">
        <v>329</v>
      </c>
      <c r="E1409" s="21" t="n">
        <f aca="false">E1396*(1-1/(E1381*E1382))</f>
        <v>4.94903178597551</v>
      </c>
      <c r="F1409" s="21" t="n">
        <f aca="false">F1396*(1-1/(F1381*F1382))</f>
        <v>3.69156100699895</v>
      </c>
      <c r="G1409" s="21" t="n">
        <f aca="false">G1396*(1-1/(G1381*G1382))</f>
        <v>1.68467685482705</v>
      </c>
      <c r="K1409" s="7" t="s">
        <v>650</v>
      </c>
    </row>
    <row r="1410" customFormat="false" ht="17.15" hidden="false" customHeight="false" outlineLevel="0" collapsed="false">
      <c r="A1410" s="3" t="s">
        <v>651</v>
      </c>
      <c r="B1410" s="0" t="s">
        <v>329</v>
      </c>
      <c r="C1410" s="21" t="n">
        <f aca="false">a25_gp</f>
        <v>3.647</v>
      </c>
      <c r="D1410" s="21" t="n">
        <f aca="false">a26_gp</f>
        <v>15.9001925</v>
      </c>
      <c r="E1410" s="21" t="n">
        <f aca="false">$D1410+ft_abf*(E1394-E1409-$D1394)+ft_oth*((E1401-E1394)-($D1401-$D1394))+E1409-(E1407-$D1407)</f>
        <v>28.7351358119878</v>
      </c>
      <c r="F1410" s="21" t="n">
        <f aca="false">$D1410+ft_abf*(F1394-F1409-$D1394)+ft_oth*((F1401-F1394)-($D1401-$D1394))+F1409-(F1407-$D1407)</f>
        <v>31.216597969771</v>
      </c>
      <c r="G1410" s="21" t="n">
        <f aca="false">$D1410+ft_abf*(G1394-G1409-$D1394)+ft_oth*((G1401-G1394)-($D1401-$D1394))+G1409-(G1407-$D1407)</f>
        <v>33.035304244257</v>
      </c>
      <c r="K1410" s="3" t="s">
        <v>652</v>
      </c>
    </row>
    <row r="1411" customFormat="false" ht="15" hidden="false" customHeight="false" outlineLevel="0" collapsed="false">
      <c r="A1411" s="3" t="s">
        <v>508</v>
      </c>
      <c r="B1411" s="0" t="s">
        <v>40</v>
      </c>
      <c r="C1411" s="16" t="n">
        <f aca="false">C1410/C1401</f>
        <v>0.0907823662659</v>
      </c>
      <c r="D1411" s="16" t="n">
        <f aca="false">D1410/D1401</f>
        <v>0.268820913337583</v>
      </c>
      <c r="E1411" s="16" t="n">
        <f aca="false">E1410/E1401</f>
        <v>0.358162192107044</v>
      </c>
      <c r="F1411" s="16" t="n">
        <f aca="false">F1410/F1401</f>
        <v>0.351681729628383</v>
      </c>
      <c r="G1411" s="16" t="n">
        <f aca="false">G1410/G1401</f>
        <v>0.339614767592466</v>
      </c>
    </row>
    <row r="1412" customFormat="false" ht="15" hidden="false" customHeight="false" outlineLevel="0" collapsed="false">
      <c r="A1412" s="3" t="s">
        <v>510</v>
      </c>
      <c r="B1412" s="0" t="s">
        <v>329</v>
      </c>
      <c r="C1412" s="21" t="n">
        <f aca="false">a25_opx</f>
        <v>1.665</v>
      </c>
      <c r="D1412" s="21" t="n">
        <f aca="false">a26_opx</f>
        <v>1.9</v>
      </c>
      <c r="E1412" s="21" t="n">
        <f aca="false">D1412*(1+phi*E1402)</f>
        <v>2.3063188</v>
      </c>
      <c r="F1412" s="21" t="n">
        <f aca="false">E1412*(1+phi*F1402)</f>
        <v>2.45351923142076</v>
      </c>
      <c r="G1412" s="21" t="n">
        <f aca="false">F1412*(1+phi*G1402)</f>
        <v>2.59463920409834</v>
      </c>
    </row>
    <row r="1413" customFormat="false" ht="15" hidden="false" customHeight="false" outlineLevel="0" collapsed="false">
      <c r="A1413" s="3" t="s">
        <v>513</v>
      </c>
      <c r="B1413" s="0" t="s">
        <v>329</v>
      </c>
      <c r="C1413" s="21" t="n">
        <f aca="false">C1410-C1412</f>
        <v>1.982</v>
      </c>
      <c r="D1413" s="21" t="n">
        <f aca="false">D1410-D1412</f>
        <v>14.0001925</v>
      </c>
      <c r="E1413" s="21" t="n">
        <f aca="false">E1410-E1412</f>
        <v>26.4288170119878</v>
      </c>
      <c r="F1413" s="21" t="n">
        <f aca="false">F1410-F1412</f>
        <v>28.7630787383503</v>
      </c>
      <c r="G1413" s="21" t="n">
        <f aca="false">G1410-G1412</f>
        <v>30.4406650401587</v>
      </c>
    </row>
    <row r="1414" customFormat="false" ht="15" hidden="false" customHeight="false" outlineLevel="0" collapsed="false">
      <c r="A1414" s="3" t="s">
        <v>594</v>
      </c>
      <c r="B1414" s="0" t="s">
        <v>40</v>
      </c>
      <c r="C1414" s="16" t="n">
        <f aca="false">C1413/C1401</f>
        <v>0.0493366191222961</v>
      </c>
      <c r="D1414" s="16" t="n">
        <f aca="false">D1413/D1401</f>
        <v>0.236698048451424</v>
      </c>
      <c r="E1414" s="16" t="n">
        <f aca="false">E1413/E1401</f>
        <v>0.329415635887147</v>
      </c>
      <c r="F1414" s="16" t="n">
        <f aca="false">F1413/F1401</f>
        <v>0.324040732751717</v>
      </c>
      <c r="G1414" s="16" t="n">
        <f aca="false">G1413/G1401</f>
        <v>0.312940946647126</v>
      </c>
    </row>
    <row r="1415" customFormat="false" ht="15" hidden="false" customHeight="false" outlineLevel="0" collapsed="false">
      <c r="A1415" s="3" t="s">
        <v>516</v>
      </c>
      <c r="B1415" s="0" t="s">
        <v>329</v>
      </c>
      <c r="C1415" s="21" t="n">
        <f aca="false">a25_nonop</f>
        <v>0.364</v>
      </c>
      <c r="D1415" s="21" t="n">
        <f aca="false">a26_nonop</f>
        <v>0.623</v>
      </c>
      <c r="E1415" s="21" t="n">
        <f aca="false">nonop27_lo</f>
        <v>0</v>
      </c>
      <c r="F1415" s="21" t="n">
        <f aca="false">nonop28_lo</f>
        <v>0</v>
      </c>
      <c r="G1415" s="21" t="n">
        <f aca="false">nonop29_lo</f>
        <v>0</v>
      </c>
    </row>
    <row r="1416" customFormat="false" ht="15" hidden="false" customHeight="false" outlineLevel="0" collapsed="false">
      <c r="A1416" s="3" t="s">
        <v>518</v>
      </c>
      <c r="B1416" s="0" t="s">
        <v>329</v>
      </c>
      <c r="C1416" s="21" t="n">
        <f aca="false">C1413+C1415</f>
        <v>2.346</v>
      </c>
      <c r="D1416" s="21" t="n">
        <f aca="false">D1413+D1415</f>
        <v>14.6231925</v>
      </c>
      <c r="E1416" s="21" t="n">
        <f aca="false">E1413+E1415</f>
        <v>26.4288170119878</v>
      </c>
      <c r="F1416" s="21" t="n">
        <f aca="false">F1413+F1415</f>
        <v>28.7630787383503</v>
      </c>
      <c r="G1416" s="21" t="n">
        <f aca="false">G1413+G1415</f>
        <v>30.4406650401587</v>
      </c>
    </row>
    <row r="1417" customFormat="false" ht="15" hidden="false" customHeight="false" outlineLevel="0" collapsed="false">
      <c r="A1417" s="3" t="s">
        <v>521</v>
      </c>
      <c r="B1417" s="0" t="s">
        <v>329</v>
      </c>
      <c r="E1417" s="21" t="n">
        <f aca="false">E1416*tax</f>
        <v>5.55005157251743</v>
      </c>
      <c r="F1417" s="21" t="n">
        <f aca="false">F1416*tax</f>
        <v>6.04024653505356</v>
      </c>
      <c r="G1417" s="21" t="n">
        <f aca="false">G1416*tax</f>
        <v>6.39253965843332</v>
      </c>
    </row>
    <row r="1418" customFormat="false" ht="15" hidden="false" customHeight="false" outlineLevel="0" collapsed="false">
      <c r="A1418" s="3" t="s">
        <v>519</v>
      </c>
      <c r="B1418" s="0" t="s">
        <v>329</v>
      </c>
      <c r="C1418" s="21" t="n">
        <f aca="false">a25_ni</f>
        <v>1.947</v>
      </c>
      <c r="D1418" s="21" t="n">
        <f aca="false">a26_ni</f>
        <v>11.509862075</v>
      </c>
      <c r="E1418" s="21" t="n">
        <f aca="false">E1416-E1417</f>
        <v>20.8787654394703</v>
      </c>
      <c r="F1418" s="21" t="n">
        <f aca="false">F1416-F1417</f>
        <v>22.7228322032967</v>
      </c>
      <c r="G1418" s="21" t="n">
        <f aca="false">G1416-G1417</f>
        <v>24.0481253817253</v>
      </c>
      <c r="H1418" s="30" t="n">
        <f aca="false">H1401*H1422</f>
        <v>26.2372175142122</v>
      </c>
      <c r="I1418" s="30" t="n">
        <f aca="false">I1401*I1422</f>
        <v>28.3086729083283</v>
      </c>
      <c r="J1418" s="30" t="n">
        <f aca="false">J1401*J1422</f>
        <v>30.2017882647699</v>
      </c>
    </row>
    <row r="1419" customFormat="false" ht="15" hidden="false" customHeight="false" outlineLevel="0" collapsed="false">
      <c r="A1419" s="3" t="s">
        <v>653</v>
      </c>
      <c r="B1419" s="3" t="s">
        <v>396</v>
      </c>
      <c r="C1419" s="29" t="n">
        <f aca="false">a25_sh</f>
        <v>0.646843853820598</v>
      </c>
      <c r="D1419" s="29" t="n">
        <f aca="false">a26_sh</f>
        <v>0.645863325123153</v>
      </c>
      <c r="E1419" s="29" t="n">
        <f aca="false">a26_shend*(1+sh_g)</f>
        <v>0.64617</v>
      </c>
      <c r="F1419" s="29" t="n">
        <f aca="false">E1419*(1+sh_g)</f>
        <v>0.64617</v>
      </c>
      <c r="G1419" s="29" t="n">
        <f aca="false">F1419*(1+sh_g)</f>
        <v>0.64617</v>
      </c>
      <c r="H1419" s="31" t="n">
        <f aca="false">G1419*(1+sh_g)</f>
        <v>0.64617</v>
      </c>
      <c r="I1419" s="31" t="n">
        <f aca="false">H1419*(1+sh_g)</f>
        <v>0.64617</v>
      </c>
      <c r="J1419" s="31" t="n">
        <f aca="false">I1419*(1+sh_g)</f>
        <v>0.64617</v>
      </c>
    </row>
    <row r="1420" customFormat="false" ht="17.15" hidden="false" customHeight="false" outlineLevel="0" collapsed="false">
      <c r="A1420" s="0" t="s">
        <v>524</v>
      </c>
      <c r="B1420" s="0" t="s">
        <v>402</v>
      </c>
      <c r="C1420" s="18" t="n">
        <f aca="false">C1418/C1419</f>
        <v>3.01</v>
      </c>
      <c r="D1420" s="18" t="n">
        <f aca="false">D1418/D1419</f>
        <v>17.820894339844</v>
      </c>
      <c r="E1420" s="18" t="n">
        <f aca="false">E1418/E1419</f>
        <v>32.3115672957122</v>
      </c>
      <c r="F1420" s="18" t="n">
        <f aca="false">F1418/F1419</f>
        <v>35.1654087984535</v>
      </c>
      <c r="G1420" s="18" t="n">
        <f aca="false">G1418/G1419</f>
        <v>37.216406490127</v>
      </c>
      <c r="H1420" s="28" t="n">
        <f aca="false">H1418/H1419</f>
        <v>40.6042024764569</v>
      </c>
      <c r="I1420" s="28" t="n">
        <f aca="false">I1418/I1419</f>
        <v>43.8099461570922</v>
      </c>
      <c r="J1420" s="28" t="n">
        <f aca="false">J1418/J1419</f>
        <v>46.7396942983578</v>
      </c>
    </row>
    <row r="1421" customFormat="false" ht="17.15" hidden="false" customHeight="false" outlineLevel="0" collapsed="false">
      <c r="A1421" s="0" t="s">
        <v>654</v>
      </c>
      <c r="B1421" s="0" t="s">
        <v>40</v>
      </c>
      <c r="D1421" s="20" t="n">
        <f aca="false">D1420/C1420-1</f>
        <v>4.92056290360265</v>
      </c>
      <c r="E1421" s="20" t="n">
        <f aca="false">E1420/D1420-1</f>
        <v>0.813128268398401</v>
      </c>
      <c r="F1421" s="20" t="n">
        <f aca="false">F1420/E1420-1</f>
        <v>0.088322595949101</v>
      </c>
      <c r="G1421" s="20" t="n">
        <f aca="false">G1420/F1420-1</f>
        <v>0.0583242954298782</v>
      </c>
      <c r="H1421" s="26" t="n">
        <f aca="false">H1420/G1420-1</f>
        <v>0.0910296373517066</v>
      </c>
      <c r="I1421" s="26" t="n">
        <f aca="false">I1420/H1420-1</f>
        <v>0.0789510317926832</v>
      </c>
      <c r="J1421" s="26" t="n">
        <f aca="false">J1420/I1420-1</f>
        <v>0.0668740411312125</v>
      </c>
    </row>
    <row r="1422" customFormat="false" ht="17.15" hidden="false" customHeight="false" outlineLevel="0" collapsed="false">
      <c r="A1422" s="3" t="s">
        <v>655</v>
      </c>
      <c r="B1422" s="0" t="s">
        <v>40</v>
      </c>
      <c r="C1422" s="16" t="n">
        <f aca="false">C1418/C1401</f>
        <v>0.0484653872003585</v>
      </c>
      <c r="D1422" s="16" t="n">
        <f aca="false">D1418/D1401</f>
        <v>0.194594602259759</v>
      </c>
      <c r="E1422" s="16" t="n">
        <f aca="false">E1418/E1401</f>
        <v>0.260238352350846</v>
      </c>
      <c r="F1422" s="16" t="n">
        <f aca="false">F1418/F1401</f>
        <v>0.255992178873857</v>
      </c>
      <c r="G1422" s="16" t="n">
        <f aca="false">G1418/G1401</f>
        <v>0.247223347851229</v>
      </c>
      <c r="H1422" s="27" t="n">
        <f aca="false">$G1422+(fade_mA-$G1422)*1/3</f>
        <v>0.248847644478948</v>
      </c>
      <c r="I1422" s="27" t="n">
        <f aca="false">$G1422+(fade_mA-$G1422)*2/3</f>
        <v>0.250471941106667</v>
      </c>
      <c r="J1422" s="27" t="n">
        <f aca="false">$G1422+(fade_mA-$G1422)*3/3</f>
        <v>0.252096237734386</v>
      </c>
    </row>
    <row r="1423" customFormat="false" ht="17.15" hidden="false" customHeight="false" outlineLevel="0" collapsed="false">
      <c r="A1423" s="3" t="s">
        <v>656</v>
      </c>
      <c r="B1423" s="0" t="s">
        <v>40</v>
      </c>
      <c r="C1423" s="20" t="n">
        <f aca="false">C1406/C1401</f>
        <v>0.0602892489980833</v>
      </c>
      <c r="D1423" s="20" t="n">
        <f aca="false">D1406/D1401</f>
        <v>0.0676270839708595</v>
      </c>
      <c r="E1423" s="20" t="n">
        <f aca="false">E1406/E1401</f>
        <v>0.174499634256357</v>
      </c>
      <c r="F1423" s="20" t="n">
        <f aca="false">F1406/F1401</f>
        <v>0.202785426504223</v>
      </c>
      <c r="G1423" s="20" t="n">
        <f aca="false">G1406/G1401</f>
        <v>0.123364300839399</v>
      </c>
      <c r="H1423" s="26" t="n">
        <f aca="false">$G1423+($G1408*(1+tp_g)^(life/2)-$G1423)*1/3</f>
        <v>0.118003890399427</v>
      </c>
      <c r="I1423" s="26" t="n">
        <f aca="false">$G1423+($G1408*(1+tp_g)^(life/2)-$G1423)*2/3</f>
        <v>0.112643479959456</v>
      </c>
      <c r="J1423" s="26" t="n">
        <f aca="false">$G1423+($G1408*(1+tp_g)^(life/2)-$G1423)*3/3</f>
        <v>0.107283069519484</v>
      </c>
      <c r="K1423" s="7" t="s">
        <v>657</v>
      </c>
    </row>
    <row r="1424" customFormat="false" ht="15" hidden="false" customHeight="false" outlineLevel="0" collapsed="false">
      <c r="A1424" s="3" t="s">
        <v>658</v>
      </c>
      <c r="B1424" s="0" t="s">
        <v>329</v>
      </c>
      <c r="E1424" s="21" t="n">
        <f aca="false">E1418+E1407-E1406</f>
        <v>13.5912654394703</v>
      </c>
      <c r="F1424" s="21" t="n">
        <f aca="false">F1418+F1407-F1406</f>
        <v>12.3462697032967</v>
      </c>
      <c r="G1424" s="21" t="n">
        <f aca="false">G1418+G1407-G1406</f>
        <v>20.9686331942253</v>
      </c>
      <c r="H1424" s="30" t="n">
        <f aca="false">H1418+H1407-H1406</f>
        <v>23.4645048605198</v>
      </c>
      <c r="I1424" s="30" t="n">
        <f aca="false">I1418+I1407-I1406</f>
        <v>25.9422929655644</v>
      </c>
      <c r="J1424" s="30" t="n">
        <f aca="false">J1418+J1407-J1406</f>
        <v>28.33561670836</v>
      </c>
      <c r="K1424" s="3" t="s">
        <v>659</v>
      </c>
    </row>
    <row r="1425" customFormat="false" ht="15" hidden="false" customHeight="false" outlineLevel="0" collapsed="false">
      <c r="A1425" s="3" t="s">
        <v>660</v>
      </c>
      <c r="B1425" s="0" t="s">
        <v>402</v>
      </c>
      <c r="E1425" s="18" t="n">
        <f aca="false">E1424/E1419</f>
        <v>21.0335754359848</v>
      </c>
      <c r="F1425" s="18" t="n">
        <f aca="false">F1424/F1419</f>
        <v>19.1068444887518</v>
      </c>
      <c r="G1425" s="18" t="n">
        <f aca="false">G1424/G1419</f>
        <v>32.4506448677985</v>
      </c>
      <c r="H1425" s="28" t="n">
        <f aca="false">H1424/H1419</f>
        <v>36.3132068349193</v>
      </c>
      <c r="I1425" s="28" t="n">
        <f aca="false">I1424/I1419</f>
        <v>40.1477830378452</v>
      </c>
      <c r="J1425" s="28" t="n">
        <f aca="false">J1424/J1419</f>
        <v>43.8516438527942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984</v>
      </c>
    </row>
    <row r="2" customFormat="false" ht="17.15" hidden="false" customHeight="false" outlineLevel="0" collapsed="false">
      <c r="A2" s="3" t="s">
        <v>985</v>
      </c>
      <c r="B2" s="0" t="s">
        <v>986</v>
      </c>
    </row>
    <row r="3" customFormat="false" ht="17.15" hidden="false" customHeight="false" outlineLevel="0" collapsed="false">
      <c r="A3" s="3" t="s">
        <v>987</v>
      </c>
      <c r="B3" s="0" t="s">
        <v>988</v>
      </c>
    </row>
    <row r="4" customFormat="false" ht="17.15" hidden="false" customHeight="false" outlineLevel="0" collapsed="false">
      <c r="A4" s="3" t="s">
        <v>989</v>
      </c>
      <c r="B4" s="0" t="s">
        <v>990</v>
      </c>
    </row>
    <row r="5" customFormat="false" ht="17.15" hidden="false" customHeight="false" outlineLevel="0" collapsed="false">
      <c r="A5" s="3" t="s">
        <v>991</v>
      </c>
      <c r="B5" s="0" t="s">
        <v>992</v>
      </c>
    </row>
    <row r="6" customFormat="false" ht="17.15" hidden="false" customHeight="false" outlineLevel="0" collapsed="false">
      <c r="A6" s="3" t="s">
        <v>993</v>
      </c>
      <c r="B6" s="0" t="s">
        <v>994</v>
      </c>
    </row>
    <row r="7" customFormat="false" ht="17.15" hidden="false" customHeight="false" outlineLevel="0" collapsed="false">
      <c r="A7" s="3" t="s">
        <v>995</v>
      </c>
      <c r="B7" s="0" t="s">
        <v>996</v>
      </c>
    </row>
    <row r="8" customFormat="false" ht="17.15" hidden="false" customHeight="false" outlineLevel="0" collapsed="false">
      <c r="A8" s="3" t="s">
        <v>997</v>
      </c>
      <c r="B8" s="0" t="s">
        <v>998</v>
      </c>
    </row>
    <row r="9" customFormat="false" ht="17.15" hidden="false" customHeight="false" outlineLevel="0" collapsed="false">
      <c r="A9" s="3" t="s">
        <v>999</v>
      </c>
      <c r="B9" s="0" t="s">
        <v>1000</v>
      </c>
    </row>
    <row r="10" customFormat="false" ht="17.15" hidden="false" customHeight="false" outlineLevel="0" collapsed="false">
      <c r="A10" s="3" t="s">
        <v>1001</v>
      </c>
      <c r="B10" s="0" t="s">
        <v>1002</v>
      </c>
    </row>
    <row r="11" customFormat="false" ht="17.15" hidden="false" customHeight="false" outlineLevel="0" collapsed="false">
      <c r="A11" s="3" t="s">
        <v>1003</v>
      </c>
      <c r="B11" s="0" t="s">
        <v>1004</v>
      </c>
    </row>
    <row r="12" customFormat="false" ht="17.15" hidden="false" customHeight="false" outlineLevel="0" collapsed="false">
      <c r="A12" s="3" t="s">
        <v>1005</v>
      </c>
      <c r="B12" s="0" t="s">
        <v>1006</v>
      </c>
    </row>
    <row r="13" customFormat="false" ht="17.15" hidden="false" customHeight="false" outlineLevel="0" collapsed="false">
      <c r="A13" s="3" t="s">
        <v>1007</v>
      </c>
      <c r="B13" s="0" t="s">
        <v>1008</v>
      </c>
    </row>
    <row r="14" customFormat="false" ht="17.15" hidden="false" customHeight="false" outlineLevel="0" collapsed="false">
      <c r="A14" s="3" t="s">
        <v>1009</v>
      </c>
      <c r="B14" s="0" t="s">
        <v>1010</v>
      </c>
    </row>
    <row r="15" customFormat="false" ht="17.15" hidden="false" customHeight="false" outlineLevel="0" collapsed="false">
      <c r="A15" s="3" t="s">
        <v>1011</v>
      </c>
      <c r="B15" s="0" t="s">
        <v>1012</v>
      </c>
    </row>
    <row r="16" customFormat="false" ht="17.15" hidden="false" customHeight="false" outlineLevel="0" collapsed="false">
      <c r="A16" s="3" t="s">
        <v>1013</v>
      </c>
      <c r="B16" s="0" t="s">
        <v>1014</v>
      </c>
    </row>
    <row r="17" customFormat="false" ht="17.15" hidden="false" customHeight="false" outlineLevel="0" collapsed="false">
      <c r="A17" s="3" t="s">
        <v>1015</v>
      </c>
      <c r="B17" s="0" t="s">
        <v>1016</v>
      </c>
    </row>
    <row r="18" customFormat="false" ht="17.15" hidden="false" customHeight="false" outlineLevel="0" collapsed="false">
      <c r="A18" s="3" t="s">
        <v>1017</v>
      </c>
      <c r="B18" s="0" t="s">
        <v>1018</v>
      </c>
    </row>
    <row r="19" customFormat="false" ht="17.15" hidden="false" customHeight="false" outlineLevel="0" collapsed="false">
      <c r="A19" s="3" t="s">
        <v>1019</v>
      </c>
      <c r="B19" s="0" t="s">
        <v>1020</v>
      </c>
    </row>
    <row r="20" customFormat="false" ht="17.15" hidden="false" customHeight="false" outlineLevel="0" collapsed="false">
      <c r="A20" s="3" t="s">
        <v>1021</v>
      </c>
      <c r="B20" s="3" t="s">
        <v>1022</v>
      </c>
    </row>
    <row r="21" customFormat="false" ht="15" hidden="false" customHeight="false" outlineLevel="0" collapsed="false">
      <c r="A21" s="0" t="s">
        <v>1023</v>
      </c>
      <c r="B21" s="3" t="s">
        <v>1024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2026-10-25T05:24:38Z</dcterms:created>
  <dc:creator>openpyxl</dc:creator>
  <dc:description/>
  <dc:language>en-US</dc:language>
  <cp:lastModifiedBy/>
  <dcterms:modified xsi:type="dcterms:W3CDTF">2026-10-25T05:24:38Z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