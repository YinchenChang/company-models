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<sst xmlns="http://schemas.openxmlformats.org/spreadsheetml/2006/main" count="3834" uniqueCount="865">
  <si>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</si>
  <si>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</si>
  <si>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</si>
  <si>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</si>
  <si>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</si>
  <si>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</si>
  <si>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</si>
  <si>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</si>
  <si>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</si>
  <si>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</si>
  <si>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</si>
  <si>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</si>
  <si>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</si>
  <si>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</si>
  <si>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€</t>
    </r>
    <r>
      <rPr>
        <sz val="11"/>
        <color theme="1"/>
        <rFont val="Calibri"/>
        <family val="2"/>
        <charset val="1"/>
      </rPr>
      <t xml:space="preserve">133.69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97.68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169.71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低是情境分歧造成：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158.4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1.09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B 82.4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44.8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6.59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</si>
  <si>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</si>
  <si>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</si>
  <si>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</si>
  <si>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</si>
  <si>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</si>
  <si>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</si>
  <si>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</si>
  <si>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</si>
  <si>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</si>
  <si>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</si>
  <si>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</si>
  <si>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</si>
  <si>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</si>
  <si>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</si>
  <si>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</si>
  <si>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</si>
  <si>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</si>
  <si>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</si>
  <si>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</si>
  <si>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</si>
  <si>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</si>
  <si>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</si>
  <si>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</si>
  <si>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</si>
  <si>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</si>
  <si>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</si>
  <si>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</si>
  <si>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</si>
  <si>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</si>
  <si>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</si>
  <si>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</si>
  <si>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</si>
  <si>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</si>
  <si>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</si>
  <si>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</si>
  <si>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</si>
  <si>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</si>
  <si>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</si>
  <si>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</si>
  <si>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</si>
  <si>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</si>
  <si>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</si>
  <si>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</si>
  <si>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</si>
  <si>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</si>
  <si>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</si>
  <si>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</si>
  <si>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</si>
  <si>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</si>
  <si>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</si>
  <si>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</si>
  <si>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</si>
  <si>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</si>
  <si>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</si>
  <si>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</si>
  <si>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</si>
  <si>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</si>
  <si>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</si>
  <si>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</si>
  <si>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</si>
  <si>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</si>
  <si>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</si>
  <si>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</si>
  <si>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</si>
  <si>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</si>
  <si>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</si>
  <si>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</si>
  <si>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</si>
  <si>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</si>
  <si>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</si>
  <si>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</si>
  <si>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</si>
  <si>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</si>
  <si>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</si>
  <si>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</si>
  <si>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</si>
  <si>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</si>
  <si>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</si>
  <si>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</si>
  <si>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</si>
  <si>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</si>
  <si>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In!D43:F43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</si>
  <si>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</si>
  <si>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</si>
  <si>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</si>
  <si>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In!D44:F44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</si>
  <si>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</si>
  <si>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</si>
  <si>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In!D45:F45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</si>
  <si>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</si>
  <si>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</si>
  <si>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In!D46:F46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</si>
  <si>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</si>
  <si>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</si>
  <si>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</si>
  <si>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</si>
  <si>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</si>
  <si>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In!D48:F48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</si>
  <si>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</si>
  <si>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</si>
  <si>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</si>
  <si>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</si>
  <si>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</si>
  <si>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</si>
  <si>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</si>
  <si>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In!D66:F66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</si>
  <si>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</si>
  <si>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</si>
  <si>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</si>
  <si>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In!D67:F67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</si>
  <si>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</si>
  <si>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</si>
  <si>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In!D68:F68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</si>
  <si>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</si>
  <si>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</si>
  <si>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In!D69:F69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</si>
  <si>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</si>
  <si>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</si>
  <si>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In!D70:F70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</si>
  <si>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</si>
  <si>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</si>
  <si>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In!D71:F71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</si>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</sst>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tp_w_dcf*B97+(1-tp_w_dcf)*B108</f>
        <v>133.694918094684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-0.0786015293267841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0%～−25%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708</v>
      </c>
    </row>
    <row r="3" customFormat="false" ht="17.15" hidden="false" customHeight="false" outlineLevel="0" collapsed="false">
      <c r="A3" s="6" t="s">
        <v>20</v>
      </c>
      <c r="B3" s="6" t="s">
        <v>709</v>
      </c>
      <c r="C3" s="6" t="s">
        <v>710</v>
      </c>
      <c r="D3" s="6" t="s">
        <v>711</v>
      </c>
      <c r="E3" s="6" t="s">
        <v>712</v>
      </c>
      <c r="F3" s="6" t="s">
        <v>713</v>
      </c>
      <c r="G3" s="6" t="s">
        <v>714</v>
      </c>
      <c r="H3" s="6" t="s">
        <v>715</v>
      </c>
      <c r="I3" s="6" t="s">
        <v>716</v>
      </c>
      <c r="J3" s="6" t="s">
        <v>464</v>
      </c>
    </row>
    <row r="4" customFormat="false" ht="17.15" hidden="false" customHeight="false" outlineLevel="0" collapsed="false">
      <c r="A4" s="1" t="s">
        <v>717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718</v>
      </c>
    </row>
    <row r="6" customFormat="false" ht="17.15" hidden="false" customHeight="false" outlineLevel="0" collapsed="false">
      <c r="A6" s="0" t="s">
        <v>719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720</v>
      </c>
    </row>
    <row r="7" customFormat="false" ht="17.15" hidden="false" customHeight="false" outlineLevel="0" collapsed="false">
      <c r="A7" s="1" t="s">
        <v>721</v>
      </c>
    </row>
    <row r="8" customFormat="false" ht="17.15" hidden="false" customHeight="false" outlineLevel="0" collapsed="false">
      <c r="A8" s="0" t="s">
        <v>722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723</v>
      </c>
    </row>
    <row r="9" customFormat="false" ht="17.15" hidden="false" customHeight="false" outlineLevel="0" collapsed="false">
      <c r="A9" s="0" t="s">
        <v>724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723</v>
      </c>
    </row>
    <row r="10" customFormat="false" ht="17.15" hidden="false" customHeight="false" outlineLevel="0" collapsed="false">
      <c r="A10" s="0" t="s">
        <v>725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723</v>
      </c>
    </row>
    <row r="11" customFormat="false" ht="17.15" hidden="false" customHeight="false" outlineLevel="0" collapsed="false">
      <c r="A11" s="0" t="s">
        <v>726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723</v>
      </c>
    </row>
    <row r="12" customFormat="false" ht="17.15" hidden="false" customHeight="false" outlineLevel="0" collapsed="false">
      <c r="A12" s="1" t="s">
        <v>727</v>
      </c>
    </row>
    <row r="13" customFormat="false" ht="17.15" hidden="false" customHeight="false" outlineLevel="0" collapsed="false">
      <c r="A13" s="0" t="s">
        <v>728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729</v>
      </c>
      <c r="J13" s="8" t="s">
        <v>240</v>
      </c>
    </row>
    <row r="14" customFormat="false" ht="17.15" hidden="false" customHeight="false" outlineLevel="0" collapsed="false">
      <c r="A14" s="0" t="s">
        <v>730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731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732</v>
      </c>
      <c r="J15" s="5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6" t="s">
        <v>735</v>
      </c>
      <c r="B3" s="6" t="s">
        <v>736</v>
      </c>
      <c r="C3" s="14" t="s">
        <v>737</v>
      </c>
      <c r="D3" s="14" t="s">
        <v>738</v>
      </c>
      <c r="E3" s="6" t="s">
        <v>739</v>
      </c>
      <c r="F3" s="14" t="s">
        <v>740</v>
      </c>
      <c r="G3" s="14" t="s">
        <v>741</v>
      </c>
      <c r="H3" s="6" t="s">
        <v>739</v>
      </c>
    </row>
    <row r="4" customFormat="false" ht="17.15" hidden="false" customHeight="false" outlineLevel="0" collapsed="false">
      <c r="A4" s="5" t="s">
        <v>742</v>
      </c>
      <c r="B4" s="0" t="s">
        <v>743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744</v>
      </c>
      <c r="B5" s="0" t="s">
        <v>745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746</v>
      </c>
      <c r="B6" s="0" t="s">
        <v>747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748</v>
      </c>
      <c r="B7" s="0" t="s">
        <v>749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750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751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752</v>
      </c>
      <c r="B10" s="0" t="s">
        <v>753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754</v>
      </c>
      <c r="B11" s="0" t="s">
        <v>755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756</v>
      </c>
      <c r="B12" s="5" t="s">
        <v>757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758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759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760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761</v>
      </c>
      <c r="B16" s="0" t="s">
        <v>762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763</v>
      </c>
      <c r="B17" s="0" t="s">
        <v>764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765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766</v>
      </c>
      <c r="B19" s="5" t="s">
        <v>767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768</v>
      </c>
      <c r="B20" s="5" t="s">
        <v>769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770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771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772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773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774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775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776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777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778</v>
      </c>
      <c r="B29" s="5" t="s">
        <v>779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780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781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782</v>
      </c>
      <c r="B32" s="5" t="s">
        <v>783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784</v>
      </c>
      <c r="B33" s="5" t="s">
        <v>785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786</v>
      </c>
    </row>
    <row r="60" customFormat="false" ht="17.15" hidden="false" customHeight="false" outlineLevel="0" collapsed="false">
      <c r="A60" s="4" t="s">
        <v>787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788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789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790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791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792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793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794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795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796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797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798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799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800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801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802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803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804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805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806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807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808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809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810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811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812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813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814</v>
      </c>
    </row>
    <row r="1266" customFormat="false" ht="17.15" hidden="false" customHeight="false" outlineLevel="0" collapsed="false">
      <c r="A1266" s="6" t="s">
        <v>735</v>
      </c>
      <c r="B1266" s="6" t="s">
        <v>736</v>
      </c>
      <c r="C1266" s="14" t="s">
        <v>815</v>
      </c>
      <c r="D1266" s="14" t="s">
        <v>816</v>
      </c>
      <c r="E1266" s="6" t="s">
        <v>817</v>
      </c>
      <c r="F1266" s="6" t="s">
        <v>739</v>
      </c>
    </row>
    <row r="1267" customFormat="false" ht="17.15" hidden="false" customHeight="false" outlineLevel="0" collapsed="false">
      <c r="A1267" s="5" t="s">
        <v>23</v>
      </c>
      <c r="B1267" s="0" t="s">
        <v>818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Val!B108</f>
        <v>169.709967769164</v>
      </c>
      <c r="E1267" s="13" t="n">
        <f aca="false">tp_w_dcf*C1267+(1-tp_w_dcf)*D1267</f>
        <v>133.694918094684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819</v>
      </c>
      <c r="B1268" s="0" t="s">
        <v>820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Val!B108</f>
        <v>169.709967769164</v>
      </c>
      <c r="E1268" s="13" t="n">
        <f aca="false">tp_w_dcf*C1268+(1-tp_w_dcf)*D1268</f>
        <v>127.119985645</v>
      </c>
      <c r="F1268" s="10" t="n">
        <f aca="false">E1268/E$1267-1</f>
        <v>-0.0491786265580213</v>
      </c>
    </row>
    <row r="1269" customFormat="false" ht="17.15" hidden="false" customHeight="false" outlineLevel="0" collapsed="false">
      <c r="A1269" s="5" t="s">
        <v>821</v>
      </c>
      <c r="B1269" s="0" t="s">
        <v>822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Val!B108</f>
        <v>169.709967769164</v>
      </c>
      <c r="E1269" s="13" t="n">
        <f aca="false">tp_w_dcf*C1269+(1-tp_w_dcf)*D1269</f>
        <v>142.896566307362</v>
      </c>
      <c r="F1269" s="10" t="n">
        <f aca="false">E1269/E$1267-1</f>
        <v>0.0688257141244664</v>
      </c>
    </row>
    <row r="1270" customFormat="false" ht="17.15" hidden="false" customHeight="false" outlineLevel="0" collapsed="false">
      <c r="A1270" s="5" t="s">
        <v>823</v>
      </c>
      <c r="B1270" s="0" t="s">
        <v>824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Val!B108</f>
        <v>169.709967769164</v>
      </c>
      <c r="E1270" s="13" t="n">
        <f aca="false">tp_w_dcf*C1270+(1-tp_w_dcf)*D1270</f>
        <v>139.164480183885</v>
      </c>
      <c r="F1270" s="10" t="n">
        <f aca="false">E1270/E$1267-1</f>
        <v>0.0409107703355471</v>
      </c>
    </row>
    <row r="1271" customFormat="false" ht="17.15" hidden="false" customHeight="false" outlineLevel="0" collapsed="false">
      <c r="A1271" s="5" t="s">
        <v>825</v>
      </c>
      <c r="B1271" s="0" t="s">
        <v>826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Val!B108</f>
        <v>169.709967769164</v>
      </c>
      <c r="E1271" s="13" t="n">
        <f aca="false">tp_w_dcf*C1271+(1-tp_w_dcf)*D1271</f>
        <v>129.903630209246</v>
      </c>
      <c r="F1271" s="10" t="n">
        <f aca="false">E1271/E$1267-1</f>
        <v>-0.0283577561471154</v>
      </c>
    </row>
    <row r="1272" customFormat="false" ht="17.15" hidden="false" customHeight="false" outlineLevel="0" collapsed="false">
      <c r="A1272" s="0" t="s">
        <v>827</v>
      </c>
      <c r="B1272" s="0" t="s">
        <v>828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Val!B108</f>
        <v>169.709967769164</v>
      </c>
      <c r="E1272" s="13" t="n">
        <f aca="false">0.3*C1272+(1-0.3)*D1272</f>
        <v>148.100937964476</v>
      </c>
      <c r="F1272" s="10" t="n">
        <f aca="false">E1272/E$1267-1</f>
        <v>0.107752935377767</v>
      </c>
    </row>
    <row r="1273" customFormat="false" ht="17.15" hidden="false" customHeight="false" outlineLevel="0" collapsed="false">
      <c r="A1273" s="0" t="s">
        <v>829</v>
      </c>
      <c r="B1273" s="0" t="s">
        <v>830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Val!B108</f>
        <v>169.709967769164</v>
      </c>
      <c r="E1273" s="13" t="n">
        <f aca="false">0.7*C1273+(1-0.7)*D1273</f>
        <v>119.288898224891</v>
      </c>
      <c r="F1273" s="10" t="n">
        <f aca="false">E1273/E$1267-1</f>
        <v>-0.107752935377767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831</v>
      </c>
    </row>
    <row r="2" customFormat="false" ht="17.15" hidden="false" customHeight="false" outlineLevel="0" collapsed="false">
      <c r="A2" s="5" t="s">
        <v>832</v>
      </c>
      <c r="B2" s="0" t="s">
        <v>833</v>
      </c>
    </row>
    <row r="3" customFormat="false" ht="17.15" hidden="false" customHeight="false" outlineLevel="0" collapsed="false">
      <c r="A3" s="0" t="s">
        <v>834</v>
      </c>
      <c r="B3" s="0" t="s">
        <v>835</v>
      </c>
    </row>
    <row r="4" customFormat="false" ht="17.15" hidden="false" customHeight="false" outlineLevel="0" collapsed="false">
      <c r="A4" s="5" t="s">
        <v>836</v>
      </c>
      <c r="B4" s="0" t="s">
        <v>837</v>
      </c>
    </row>
    <row r="5" customFormat="false" ht="17.15" hidden="false" customHeight="false" outlineLevel="0" collapsed="false">
      <c r="A5" s="5" t="s">
        <v>838</v>
      </c>
      <c r="B5" s="0" t="s">
        <v>839</v>
      </c>
    </row>
    <row r="6" customFormat="false" ht="17.15" hidden="false" customHeight="false" outlineLevel="0" collapsed="false">
      <c r="A6" s="5" t="s">
        <v>840</v>
      </c>
      <c r="B6" s="0" t="s">
        <v>841</v>
      </c>
    </row>
    <row r="7" customFormat="false" ht="17.15" hidden="false" customHeight="false" outlineLevel="0" collapsed="false">
      <c r="A7" s="5" t="s">
        <v>842</v>
      </c>
      <c r="B7" s="0" t="s">
        <v>843</v>
      </c>
    </row>
    <row r="8" customFormat="false" ht="17.15" hidden="false" customHeight="false" outlineLevel="0" collapsed="false">
      <c r="A8" s="0" t="s">
        <v>844</v>
      </c>
      <c r="B8" s="0" t="s">
        <v>845</v>
      </c>
    </row>
    <row r="9" customFormat="false" ht="17.15" hidden="false" customHeight="false" outlineLevel="0" collapsed="false">
      <c r="A9" s="5" t="s">
        <v>846</v>
      </c>
      <c r="B9" s="0" t="s">
        <v>847</v>
      </c>
    </row>
    <row r="10" customFormat="false" ht="17.15" hidden="false" customHeight="false" outlineLevel="0" collapsed="false">
      <c r="A10" s="0" t="s">
        <v>848</v>
      </c>
      <c r="B10" s="0" t="s">
        <v>849</v>
      </c>
    </row>
    <row r="11" customFormat="false" ht="17.15" hidden="false" customHeight="false" outlineLevel="0" collapsed="false">
      <c r="A11" s="0" t="s">
        <v>850</v>
      </c>
      <c r="B11" s="0" t="s">
        <v>851</v>
      </c>
    </row>
    <row r="12" customFormat="false" ht="17.15" hidden="false" customHeight="false" outlineLevel="0" collapsed="false">
      <c r="A12" s="0" t="s">
        <v>852</v>
      </c>
      <c r="B12" s="0" t="s">
        <v>853</v>
      </c>
    </row>
    <row r="13" customFormat="false" ht="17.15" hidden="false" customHeight="false" outlineLevel="0" collapsed="false">
      <c r="A13" s="0" t="s">
        <v>854</v>
      </c>
      <c r="B13" s="0" t="s">
        <v>855</v>
      </c>
    </row>
    <row r="14" customFormat="false" ht="17.15" hidden="false" customHeight="false" outlineLevel="0" collapsed="false">
      <c r="A14" s="0" t="s">
        <v>856</v>
      </c>
      <c r="B14" s="0" t="s">
        <v>857</v>
      </c>
    </row>
    <row r="15" customFormat="false" ht="17.15" hidden="false" customHeight="false" outlineLevel="0" collapsed="false">
      <c r="A15" s="0" t="s">
        <v>858</v>
      </c>
      <c r="B15" s="0" t="s">
        <v>859</v>
      </c>
    </row>
    <row r="16" customFormat="false" ht="17.15" hidden="false" customHeight="false" outlineLevel="0" collapsed="false">
      <c r="A16" s="0" t="s">
        <v>860</v>
      </c>
      <c r="B16" s="0" t="s">
        <v>861</v>
      </c>
    </row>
    <row r="17" customFormat="false" ht="17.15" hidden="false" customHeight="false" outlineLevel="0" collapsed="false">
      <c r="A17" s="5" t="s">
        <v>862</v>
      </c>
    </row>
    <row r="18" customFormat="false" ht="15" hidden="false" customHeight="false" outlineLevel="0" collapsed="false">
      <c r="A18" s="0" t="s">
        <v>863</v>
      </c>
      <c r="B18" s="5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2026-10-25T07:49:56Z</dcterms:created>
  <dc:creator>openpyxl</dc:creator>
  <dc:description/>
  <dc:language>en-US</dc:language>
  <cp:lastModifiedBy/>
  <dcterms:modified xsi:type="dcterms:W3CDTF">2026-10-25T07:49:56Z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