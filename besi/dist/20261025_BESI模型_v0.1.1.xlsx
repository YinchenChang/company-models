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<sst xmlns="http://schemas.openxmlformats.org/spreadsheetml/2006/main" count="3834" uniqueCount="865">
  <si>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</si>
  <si>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</si>
  <si>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</si>
  <si>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</si>
  <si>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</si>
  <si>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</si>
  <si>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</si>
  <si>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</si>
  <si>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</si>
  <si>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</si>
  <si>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</si>
  <si>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</si>
  <si>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</si>
  <si>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</si>
  <si>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€</t>
    </r>
    <r>
      <rPr>
        <sz val="11"/>
        <color theme="1"/>
        <rFont val="Calibri"/>
        <family val="2"/>
        <charset val="1"/>
      </rPr>
      <t xml:space="preserve">133.69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97.68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169.71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+17.0%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低是情境分歧造成：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158.4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1.09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B 82.4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44.8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6.59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9.37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</si>
  <si>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6.52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8.14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270.57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33.2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26.0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+27.7%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</si>
  <si>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：最敏感的是邏輯（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類）混合鍵合導入速度：導入比例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FY2027 EPS −22.0%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+22.0%</t>
    </r>
    <r>
      <rPr>
        <sz val="11"/>
        <color theme="1"/>
        <rFont val="Noto Sans CJK SC"/>
        <family val="2"/>
      </rPr>
      <t xml:space="preserve">，改走情境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混合鍵合取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 −</t>
    </r>
    <r>
      <rPr>
        <sz val="11"/>
        <color theme="1"/>
        <rFont val="Calibri"/>
        <family val="2"/>
        <charset val="1"/>
      </rPr>
      <t xml:space="preserve">7.2%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Q4-26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2027-02 </t>
    </r>
    <r>
      <rPr>
        <sz val="11"/>
        <color theme="1"/>
        <rFont val="Noto Sans CJK SC"/>
        <family val="2"/>
      </rPr>
      <t xml:space="preserve">下旬）的混合鍵合訂單（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訂單 €</t>
    </r>
    <r>
      <rPr>
        <sz val="11"/>
        <color theme="1"/>
        <rFont val="Calibri"/>
        <family val="2"/>
        <charset val="1"/>
      </rPr>
      <t xml:space="preserve">342.6M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</si>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</sst>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"投資建議："&amp;Val!B124&amp;"（依上檔空間固定規則）"</f>
        <v>投資建議：中立（依上檔空間固定規則）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2.22511470588235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3.782695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5.86317725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8.5016070125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11.477169466875</v>
      </c>
      <c r="G9" s="8" t="s">
        <v>32</v>
      </c>
      <c r="H9" s="8" t="s">
        <v>33</v>
      </c>
      <c r="I9" s="5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0" t="s">
        <v>31</v>
      </c>
      <c r="E10" s="7" t="n">
        <v>2.22511470588235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31</v>
      </c>
      <c r="E11" s="7" t="n">
        <v>3.782695</v>
      </c>
      <c r="G11" s="8" t="s">
        <v>32</v>
      </c>
      <c r="H11" s="8" t="s">
        <v>46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31</v>
      </c>
      <c r="E12" s="7" t="n">
        <v>5.86317725</v>
      </c>
      <c r="G12" s="8" t="s">
        <v>32</v>
      </c>
      <c r="H12" s="8" t="s">
        <v>46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31</v>
      </c>
      <c r="E13" s="7" t="n">
        <v>8.22296</v>
      </c>
      <c r="G13" s="8" t="s">
        <v>32</v>
      </c>
      <c r="H13" s="8" t="s">
        <v>46</v>
      </c>
      <c r="I13" s="5" t="s">
        <v>37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31</v>
      </c>
      <c r="E14" s="7" t="n">
        <v>11.3579635</v>
      </c>
      <c r="G14" s="8" t="s">
        <v>32</v>
      </c>
      <c r="H14" s="8" t="s">
        <v>46</v>
      </c>
      <c r="I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2.22511470588235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3.782695</v>
      </c>
      <c r="G16" s="8" t="s">
        <v>32</v>
      </c>
      <c r="H16" s="8" t="s">
        <v>57</v>
      </c>
      <c r="I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5.86317725</v>
      </c>
      <c r="G17" s="8" t="s">
        <v>32</v>
      </c>
      <c r="H17" s="8" t="s">
        <v>57</v>
      </c>
      <c r="I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6.16722</v>
      </c>
      <c r="G18" s="8" t="s">
        <v>32</v>
      </c>
      <c r="H18" s="8" t="s">
        <v>57</v>
      </c>
      <c r="I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8.017386</v>
      </c>
      <c r="G19" s="8" t="s">
        <v>32</v>
      </c>
      <c r="H19" s="8" t="s">
        <v>57</v>
      </c>
      <c r="I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68</v>
      </c>
      <c r="D20" s="7" t="n">
        <v>0</v>
      </c>
      <c r="E20" s="7" t="n">
        <v>0.1</v>
      </c>
      <c r="F20" s="7" t="n">
        <v>0.2</v>
      </c>
      <c r="G20" s="8" t="s">
        <v>69</v>
      </c>
      <c r="H20" s="8" t="s">
        <v>70</v>
      </c>
      <c r="I20" s="5" t="s">
        <v>71</v>
      </c>
    </row>
    <row r="21" customFormat="false" ht="17.15" hidden="false" customHeight="false" outlineLevel="0" collapsed="false">
      <c r="A21" s="1" t="s">
        <v>72</v>
      </c>
    </row>
    <row r="22" customFormat="false" ht="17.15" hidden="false" customHeight="false" outlineLevel="0" collapsed="false">
      <c r="A22" s="0" t="s">
        <v>73</v>
      </c>
      <c r="B22" s="0" t="s">
        <v>74</v>
      </c>
      <c r="C22" s="0" t="s">
        <v>75</v>
      </c>
      <c r="D22" s="7" t="n">
        <v>22</v>
      </c>
      <c r="E22" s="7" t="n">
        <v>24</v>
      </c>
      <c r="F22" s="7" t="n">
        <v>24</v>
      </c>
      <c r="G22" s="8" t="s">
        <v>69</v>
      </c>
      <c r="H22" s="8" t="s">
        <v>76</v>
      </c>
      <c r="I22" s="5" t="s">
        <v>77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0" t="s">
        <v>75</v>
      </c>
      <c r="D23" s="7" t="n">
        <v>24</v>
      </c>
      <c r="E23" s="7" t="n">
        <v>24</v>
      </c>
      <c r="F23" s="7" t="n">
        <v>26</v>
      </c>
      <c r="G23" s="8" t="s">
        <v>69</v>
      </c>
      <c r="H23" s="8" t="s">
        <v>80</v>
      </c>
      <c r="I23" s="5" t="s">
        <v>37</v>
      </c>
    </row>
    <row r="24" customFormat="false" ht="17.15" hidden="false" customHeight="false" outlineLevel="0" collapsed="false">
      <c r="A24" s="0" t="s">
        <v>81</v>
      </c>
      <c r="B24" s="0" t="s">
        <v>82</v>
      </c>
      <c r="C24" s="0" t="s">
        <v>75</v>
      </c>
      <c r="D24" s="7" t="n">
        <v>24</v>
      </c>
      <c r="E24" s="7" t="n">
        <v>26</v>
      </c>
      <c r="F24" s="7" t="n">
        <v>28</v>
      </c>
      <c r="G24" s="8" t="s">
        <v>69</v>
      </c>
      <c r="H24" s="8" t="s">
        <v>83</v>
      </c>
      <c r="I24" s="5" t="s">
        <v>37</v>
      </c>
    </row>
    <row r="25" customFormat="false" ht="17.15" hidden="false" customHeight="false" outlineLevel="0" collapsed="false">
      <c r="A25" s="0" t="s">
        <v>84</v>
      </c>
      <c r="B25" s="0" t="s">
        <v>85</v>
      </c>
      <c r="C25" s="0" t="s">
        <v>75</v>
      </c>
      <c r="D25" s="7" t="n">
        <v>24</v>
      </c>
      <c r="E25" s="7" t="n">
        <v>28</v>
      </c>
      <c r="F25" s="7" t="n">
        <v>32</v>
      </c>
      <c r="G25" s="8" t="s">
        <v>69</v>
      </c>
      <c r="H25" s="8" t="s">
        <v>86</v>
      </c>
      <c r="I25" s="5" t="s">
        <v>37</v>
      </c>
    </row>
    <row r="26" customFormat="false" ht="17.15" hidden="false" customHeight="false" outlineLevel="0" collapsed="false">
      <c r="A26" s="0" t="s">
        <v>87</v>
      </c>
      <c r="B26" s="0" t="s">
        <v>88</v>
      </c>
      <c r="C26" s="0" t="s">
        <v>75</v>
      </c>
      <c r="D26" s="7" t="n">
        <v>26</v>
      </c>
      <c r="E26" s="7" t="n">
        <v>30</v>
      </c>
      <c r="F26" s="7" t="n">
        <v>32</v>
      </c>
      <c r="G26" s="8" t="s">
        <v>69</v>
      </c>
      <c r="H26" s="8" t="s">
        <v>89</v>
      </c>
      <c r="I26" s="5" t="s">
        <v>37</v>
      </c>
    </row>
    <row r="27" customFormat="false" ht="17.15" hidden="false" customHeight="false" outlineLevel="0" collapsed="false">
      <c r="A27" s="0" t="s">
        <v>90</v>
      </c>
      <c r="B27" s="0" t="s">
        <v>91</v>
      </c>
      <c r="C27" s="0" t="s">
        <v>75</v>
      </c>
      <c r="D27" s="7" t="n">
        <v>28</v>
      </c>
      <c r="E27" s="7" t="n">
        <v>32</v>
      </c>
      <c r="F27" s="7" t="n">
        <v>32</v>
      </c>
      <c r="G27" s="8" t="s">
        <v>69</v>
      </c>
      <c r="H27" s="8" t="s">
        <v>92</v>
      </c>
      <c r="I27" s="5" t="s">
        <v>37</v>
      </c>
    </row>
    <row r="28" customFormat="false" ht="17.15" hidden="false" customHeight="false" outlineLevel="0" collapsed="false">
      <c r="A28" s="0" t="s">
        <v>93</v>
      </c>
      <c r="B28" s="0" t="s">
        <v>94</v>
      </c>
      <c r="C28" s="5" t="s">
        <v>95</v>
      </c>
      <c r="D28" s="7" t="n">
        <v>8</v>
      </c>
      <c r="E28" s="7" t="n">
        <v>10</v>
      </c>
      <c r="F28" s="7" t="n">
        <v>12</v>
      </c>
      <c r="G28" s="8" t="s">
        <v>69</v>
      </c>
      <c r="H28" s="8" t="s">
        <v>96</v>
      </c>
      <c r="I28" s="5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95</v>
      </c>
      <c r="D29" s="7" t="n">
        <v>10</v>
      </c>
      <c r="E29" s="7" t="n">
        <v>12</v>
      </c>
      <c r="F29" s="7" t="n">
        <v>12</v>
      </c>
      <c r="G29" s="8" t="s">
        <v>69</v>
      </c>
      <c r="H29" s="8" t="s">
        <v>100</v>
      </c>
      <c r="I29" s="5" t="s">
        <v>37</v>
      </c>
    </row>
    <row r="30" customFormat="false" ht="17.15" hidden="false" customHeight="false" outlineLevel="0" collapsed="false">
      <c r="A30" s="0" t="s">
        <v>101</v>
      </c>
      <c r="B30" s="0" t="s">
        <v>102</v>
      </c>
      <c r="C30" s="5" t="s">
        <v>95</v>
      </c>
      <c r="D30" s="7" t="n">
        <v>12</v>
      </c>
      <c r="E30" s="7" t="n">
        <v>12.5</v>
      </c>
      <c r="F30" s="7" t="n">
        <v>14</v>
      </c>
      <c r="G30" s="8" t="s">
        <v>69</v>
      </c>
      <c r="H30" s="8" t="s">
        <v>103</v>
      </c>
      <c r="I30" s="5" t="s">
        <v>37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95</v>
      </c>
      <c r="D31" s="7" t="n">
        <v>12</v>
      </c>
      <c r="E31" s="7" t="n">
        <v>14</v>
      </c>
      <c r="F31" s="7" t="n">
        <v>16</v>
      </c>
      <c r="G31" s="8" t="s">
        <v>69</v>
      </c>
      <c r="H31" s="8" t="s">
        <v>106</v>
      </c>
      <c r="I31" s="5" t="s">
        <v>37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5" t="s">
        <v>95</v>
      </c>
      <c r="D32" s="7" t="n">
        <v>12</v>
      </c>
      <c r="E32" s="7" t="n">
        <v>15</v>
      </c>
      <c r="F32" s="7" t="n">
        <v>16</v>
      </c>
      <c r="G32" s="8" t="s">
        <v>69</v>
      </c>
      <c r="H32" s="8" t="s">
        <v>109</v>
      </c>
      <c r="I32" s="5" t="s">
        <v>37</v>
      </c>
    </row>
    <row r="33" customFormat="false" ht="17.15" hidden="false" customHeight="false" outlineLevel="0" collapsed="false">
      <c r="A33" s="0" t="s">
        <v>110</v>
      </c>
      <c r="B33" s="0" t="s">
        <v>111</v>
      </c>
      <c r="C33" s="5" t="s">
        <v>95</v>
      </c>
      <c r="D33" s="7" t="n">
        <v>14</v>
      </c>
      <c r="E33" s="7" t="n">
        <v>16</v>
      </c>
      <c r="F33" s="7" t="n">
        <v>16</v>
      </c>
      <c r="G33" s="8" t="s">
        <v>69</v>
      </c>
      <c r="H33" s="8" t="s">
        <v>112</v>
      </c>
      <c r="I33" s="5" t="s">
        <v>37</v>
      </c>
    </row>
    <row r="34" customFormat="false" ht="17.15" hidden="false" customHeight="false" outlineLevel="0" collapsed="false">
      <c r="A34" s="0" t="s">
        <v>113</v>
      </c>
      <c r="B34" s="5" t="s">
        <v>114</v>
      </c>
      <c r="C34" s="0" t="s">
        <v>115</v>
      </c>
      <c r="D34" s="7" t="n">
        <v>0</v>
      </c>
      <c r="E34" s="7" t="n">
        <v>0.1</v>
      </c>
      <c r="F34" s="7" t="n">
        <v>0.25</v>
      </c>
      <c r="G34" s="8" t="s">
        <v>69</v>
      </c>
      <c r="H34" s="5" t="s">
        <v>116</v>
      </c>
      <c r="I34" s="5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68</v>
      </c>
      <c r="D35" s="7" t="n">
        <v>0</v>
      </c>
      <c r="E35" s="7" t="n">
        <v>0</v>
      </c>
      <c r="F35" s="7" t="n">
        <v>0</v>
      </c>
      <c r="G35" s="8" t="s">
        <v>69</v>
      </c>
      <c r="H35" s="8" t="s">
        <v>120</v>
      </c>
      <c r="I35" s="5" t="s">
        <v>121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68</v>
      </c>
      <c r="D36" s="7" t="n">
        <v>0</v>
      </c>
      <c r="E36" s="7" t="n">
        <v>0</v>
      </c>
      <c r="F36" s="7" t="n">
        <v>0</v>
      </c>
      <c r="G36" s="8" t="s">
        <v>69</v>
      </c>
      <c r="H36" s="8" t="s">
        <v>124</v>
      </c>
      <c r="I36" s="5" t="s">
        <v>37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68</v>
      </c>
      <c r="D37" s="7" t="n">
        <v>0</v>
      </c>
      <c r="E37" s="7" t="n">
        <v>0</v>
      </c>
      <c r="F37" s="7" t="n">
        <v>0.05</v>
      </c>
      <c r="G37" s="8" t="s">
        <v>69</v>
      </c>
      <c r="H37" s="8" t="s">
        <v>127</v>
      </c>
      <c r="I37" s="5" t="s">
        <v>37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68</v>
      </c>
      <c r="D38" s="7" t="n">
        <v>0</v>
      </c>
      <c r="E38" s="7" t="n">
        <v>0.05</v>
      </c>
      <c r="F38" s="7" t="n">
        <v>0.15</v>
      </c>
      <c r="G38" s="8" t="s">
        <v>69</v>
      </c>
      <c r="H38" s="8" t="s">
        <v>130</v>
      </c>
      <c r="I38" s="5" t="s">
        <v>37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68</v>
      </c>
      <c r="D39" s="7" t="n">
        <v>0.05</v>
      </c>
      <c r="E39" s="7" t="n">
        <v>0.15</v>
      </c>
      <c r="F39" s="7" t="n">
        <v>0.3</v>
      </c>
      <c r="G39" s="8" t="s">
        <v>69</v>
      </c>
      <c r="H39" s="8" t="s">
        <v>133</v>
      </c>
      <c r="I39" s="5" t="s">
        <v>37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68</v>
      </c>
      <c r="D40" s="7" t="n">
        <v>0.1</v>
      </c>
      <c r="E40" s="7" t="n">
        <v>0.25</v>
      </c>
      <c r="F40" s="7" t="n">
        <v>0.4</v>
      </c>
      <c r="G40" s="8" t="s">
        <v>69</v>
      </c>
      <c r="H40" s="8" t="s">
        <v>136</v>
      </c>
      <c r="I40" s="5" t="s">
        <v>37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139</v>
      </c>
      <c r="D41" s="7" t="n">
        <v>0.05</v>
      </c>
      <c r="E41" s="7" t="n">
        <v>0.1</v>
      </c>
      <c r="F41" s="7" t="n">
        <v>0.15</v>
      </c>
      <c r="G41" s="8" t="s">
        <v>69</v>
      </c>
      <c r="H41" s="5" t="s">
        <v>140</v>
      </c>
      <c r="I41" s="5" t="s">
        <v>141</v>
      </c>
    </row>
    <row r="42" customFormat="false" ht="17.15" hidden="false" customHeight="false" outlineLevel="0" collapsed="false">
      <c r="A42" s="1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1107.85762580894</v>
      </c>
      <c r="G43" s="8" t="s">
        <v>32</v>
      </c>
      <c r="H43" s="8" t="s">
        <v>146</v>
      </c>
      <c r="I43" s="5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5" t="s">
        <v>145</v>
      </c>
      <c r="E44" s="7" t="n">
        <v>2096.42857142857</v>
      </c>
      <c r="G44" s="8" t="s">
        <v>32</v>
      </c>
      <c r="H44" s="8" t="s">
        <v>146</v>
      </c>
      <c r="I44" s="5" t="s">
        <v>37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5" t="s">
        <v>145</v>
      </c>
      <c r="E45" s="7" t="n">
        <v>2620.08928571429</v>
      </c>
      <c r="G45" s="8" t="s">
        <v>32</v>
      </c>
      <c r="H45" s="8" t="s">
        <v>146</v>
      </c>
      <c r="I45" s="5" t="s">
        <v>37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5" t="s">
        <v>145</v>
      </c>
      <c r="E46" s="7" t="n">
        <v>3013.32589285714</v>
      </c>
      <c r="G46" s="8" t="s">
        <v>32</v>
      </c>
      <c r="H46" s="8" t="s">
        <v>146</v>
      </c>
      <c r="I46" s="5" t="s">
        <v>37</v>
      </c>
    </row>
    <row r="47" customFormat="false" ht="17.15" hidden="false" customHeight="false" outlineLevel="0" collapsed="false">
      <c r="A47" s="0" t="s">
        <v>154</v>
      </c>
      <c r="B47" s="5" t="s">
        <v>155</v>
      </c>
      <c r="C47" s="0" t="s">
        <v>115</v>
      </c>
      <c r="E47" s="7" t="n">
        <v>1</v>
      </c>
      <c r="G47" s="8" t="s">
        <v>32</v>
      </c>
      <c r="H47" s="8" t="s">
        <v>156</v>
      </c>
      <c r="I47" s="5" t="s">
        <v>157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0" t="s">
        <v>115</v>
      </c>
      <c r="E48" s="7" t="n">
        <v>1</v>
      </c>
      <c r="G48" s="8" t="s">
        <v>32</v>
      </c>
      <c r="H48" s="8" t="s">
        <v>160</v>
      </c>
      <c r="I48" s="5" t="s">
        <v>37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115</v>
      </c>
      <c r="E49" s="7" t="n">
        <v>0.8</v>
      </c>
      <c r="G49" s="8" t="s">
        <v>32</v>
      </c>
      <c r="H49" s="8" t="s">
        <v>163</v>
      </c>
      <c r="I49" s="5" t="s">
        <v>37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115</v>
      </c>
      <c r="E50" s="7" t="n">
        <v>0.85</v>
      </c>
      <c r="G50" s="8" t="s">
        <v>32</v>
      </c>
      <c r="H50" s="8" t="s">
        <v>166</v>
      </c>
      <c r="I50" s="5" t="s">
        <v>37</v>
      </c>
    </row>
    <row r="51" customFormat="false" ht="17.15" hidden="false" customHeight="false" outlineLevel="0" collapsed="false">
      <c r="A51" s="0" t="s">
        <v>167</v>
      </c>
      <c r="B51" s="5" t="s">
        <v>168</v>
      </c>
      <c r="C51" s="0" t="s">
        <v>115</v>
      </c>
      <c r="E51" s="7" t="n">
        <v>0.6</v>
      </c>
      <c r="G51" s="8" t="s">
        <v>32</v>
      </c>
      <c r="H51" s="8" t="s">
        <v>169</v>
      </c>
      <c r="I51" s="5" t="s">
        <v>37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115</v>
      </c>
      <c r="E52" s="7" t="n">
        <v>0.6</v>
      </c>
      <c r="G52" s="8" t="s">
        <v>32</v>
      </c>
      <c r="H52" s="8" t="s">
        <v>172</v>
      </c>
      <c r="I52" s="5" t="s">
        <v>37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68</v>
      </c>
      <c r="D53" s="7" t="n">
        <v>0.08</v>
      </c>
      <c r="E53" s="7" t="n">
        <v>0.08</v>
      </c>
      <c r="F53" s="7" t="n">
        <v>0.08</v>
      </c>
      <c r="G53" s="8" t="s">
        <v>69</v>
      </c>
      <c r="H53" s="5" t="s">
        <v>175</v>
      </c>
      <c r="I53" s="8" t="s">
        <v>176</v>
      </c>
    </row>
    <row r="54" customFormat="false" ht="17.15" hidden="false" customHeight="false" outlineLevel="0" collapsed="false">
      <c r="A54" s="0" t="s">
        <v>177</v>
      </c>
      <c r="B54" s="5" t="s">
        <v>178</v>
      </c>
      <c r="C54" s="0" t="s">
        <v>68</v>
      </c>
      <c r="D54" s="7" t="n">
        <v>0.11</v>
      </c>
      <c r="E54" s="7" t="n">
        <v>0.11</v>
      </c>
      <c r="F54" s="7" t="n">
        <v>0.11</v>
      </c>
      <c r="G54" s="8" t="s">
        <v>69</v>
      </c>
      <c r="H54" s="5" t="s">
        <v>37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68</v>
      </c>
      <c r="D55" s="7" t="n">
        <v>0.126</v>
      </c>
      <c r="E55" s="7" t="n">
        <v>0.18</v>
      </c>
      <c r="F55" s="7" t="n">
        <v>0.234</v>
      </c>
      <c r="G55" s="8" t="s">
        <v>69</v>
      </c>
      <c r="H55" s="5" t="s">
        <v>37</v>
      </c>
      <c r="I55" s="8" t="s">
        <v>179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68</v>
      </c>
      <c r="D56" s="7" t="n">
        <v>0.182</v>
      </c>
      <c r="E56" s="7" t="n">
        <v>0.26</v>
      </c>
      <c r="F56" s="7" t="n">
        <v>0.338</v>
      </c>
      <c r="G56" s="8" t="s">
        <v>69</v>
      </c>
      <c r="H56" s="5" t="s">
        <v>37</v>
      </c>
      <c r="I56" s="8" t="s">
        <v>179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68</v>
      </c>
      <c r="D57" s="7" t="n">
        <v>0.238</v>
      </c>
      <c r="E57" s="7" t="n">
        <v>0.34</v>
      </c>
      <c r="F57" s="7" t="n">
        <v>0.442</v>
      </c>
      <c r="G57" s="8" t="s">
        <v>69</v>
      </c>
      <c r="H57" s="5" t="s">
        <v>37</v>
      </c>
      <c r="I57" s="8" t="s">
        <v>179</v>
      </c>
    </row>
    <row r="58" customFormat="false" ht="17.15" hidden="false" customHeight="false" outlineLevel="0" collapsed="false">
      <c r="A58" s="0" t="s">
        <v>186</v>
      </c>
      <c r="B58" s="5" t="s">
        <v>187</v>
      </c>
      <c r="C58" s="0" t="s">
        <v>68</v>
      </c>
      <c r="D58" s="7" t="n">
        <v>0.08</v>
      </c>
      <c r="E58" s="7" t="n">
        <v>0.08</v>
      </c>
      <c r="F58" s="7" t="n">
        <v>0.08</v>
      </c>
      <c r="G58" s="8" t="s">
        <v>69</v>
      </c>
      <c r="H58" s="5" t="s">
        <v>37</v>
      </c>
      <c r="I58" s="8" t="s">
        <v>176</v>
      </c>
    </row>
    <row r="59" customFormat="false" ht="17.15" hidden="false" customHeight="false" outlineLevel="0" collapsed="false">
      <c r="A59" s="0" t="s">
        <v>188</v>
      </c>
      <c r="B59" s="5" t="s">
        <v>189</v>
      </c>
      <c r="C59" s="0" t="s">
        <v>68</v>
      </c>
      <c r="D59" s="7" t="n">
        <v>0.11</v>
      </c>
      <c r="E59" s="7" t="n">
        <v>0.11</v>
      </c>
      <c r="F59" s="7" t="n">
        <v>0.11</v>
      </c>
      <c r="G59" s="8" t="s">
        <v>69</v>
      </c>
      <c r="H59" s="5" t="s">
        <v>37</v>
      </c>
      <c r="I59" s="8" t="s">
        <v>179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0" t="s">
        <v>68</v>
      </c>
      <c r="D60" s="7" t="n">
        <v>0.105</v>
      </c>
      <c r="E60" s="7" t="n">
        <v>0.15</v>
      </c>
      <c r="F60" s="7" t="n">
        <v>0.195</v>
      </c>
      <c r="G60" s="8" t="s">
        <v>69</v>
      </c>
      <c r="H60" s="5" t="s">
        <v>37</v>
      </c>
      <c r="I60" s="8" t="s">
        <v>179</v>
      </c>
    </row>
    <row r="61" customFormat="false" ht="17.15" hidden="false" customHeight="false" outlineLevel="0" collapsed="false">
      <c r="A61" s="0" t="s">
        <v>192</v>
      </c>
      <c r="B61" s="5" t="s">
        <v>193</v>
      </c>
      <c r="C61" s="0" t="s">
        <v>68</v>
      </c>
      <c r="D61" s="7" t="n">
        <v>0.14</v>
      </c>
      <c r="E61" s="7" t="n">
        <v>0.2</v>
      </c>
      <c r="F61" s="7" t="n">
        <v>0.26</v>
      </c>
      <c r="G61" s="8" t="s">
        <v>69</v>
      </c>
      <c r="H61" s="5" t="s">
        <v>37</v>
      </c>
      <c r="I61" s="8" t="s">
        <v>179</v>
      </c>
    </row>
    <row r="62" customFormat="false" ht="17.15" hidden="false" customHeight="false" outlineLevel="0" collapsed="false">
      <c r="A62" s="0" t="s">
        <v>194</v>
      </c>
      <c r="B62" s="5" t="s">
        <v>195</v>
      </c>
      <c r="C62" s="0" t="s">
        <v>68</v>
      </c>
      <c r="D62" s="7" t="n">
        <v>0.175</v>
      </c>
      <c r="E62" s="7" t="n">
        <v>0.25</v>
      </c>
      <c r="F62" s="7" t="n">
        <v>0.325</v>
      </c>
      <c r="G62" s="8" t="s">
        <v>69</v>
      </c>
      <c r="H62" s="5" t="s">
        <v>37</v>
      </c>
      <c r="I62" s="8" t="s">
        <v>179</v>
      </c>
    </row>
    <row r="63" customFormat="false" ht="17.15" hidden="false" customHeight="false" outlineLevel="0" collapsed="false">
      <c r="A63" s="0" t="s">
        <v>196</v>
      </c>
      <c r="B63" s="5" t="s">
        <v>197</v>
      </c>
      <c r="C63" s="0" t="s">
        <v>68</v>
      </c>
      <c r="D63" s="7" t="n">
        <v>0.08</v>
      </c>
      <c r="E63" s="7" t="n">
        <v>0.08</v>
      </c>
      <c r="F63" s="7" t="n">
        <v>0.08</v>
      </c>
      <c r="G63" s="8" t="s">
        <v>69</v>
      </c>
      <c r="H63" s="5" t="s">
        <v>37</v>
      </c>
      <c r="I63" s="8" t="s">
        <v>176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0" t="s">
        <v>68</v>
      </c>
      <c r="D64" s="7" t="n">
        <v>0.11</v>
      </c>
      <c r="E64" s="7" t="n">
        <v>0.11</v>
      </c>
      <c r="F64" s="7" t="n">
        <v>0.11</v>
      </c>
      <c r="G64" s="8" t="s">
        <v>69</v>
      </c>
      <c r="H64" s="5" t="s">
        <v>37</v>
      </c>
      <c r="I64" s="8" t="s">
        <v>179</v>
      </c>
    </row>
    <row r="65" customFormat="false" ht="17.15" hidden="false" customHeight="false" outlineLevel="0" collapsed="false">
      <c r="A65" s="0" t="s">
        <v>200</v>
      </c>
      <c r="B65" s="5" t="s">
        <v>201</v>
      </c>
      <c r="C65" s="0" t="s">
        <v>68</v>
      </c>
      <c r="D65" s="7" t="n">
        <v>0.084</v>
      </c>
      <c r="E65" s="7" t="n">
        <v>0.12</v>
      </c>
      <c r="F65" s="7" t="n">
        <v>0.156</v>
      </c>
      <c r="G65" s="8" t="s">
        <v>69</v>
      </c>
      <c r="H65" s="5" t="s">
        <v>37</v>
      </c>
      <c r="I65" s="8" t="s">
        <v>179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68</v>
      </c>
      <c r="D66" s="7" t="n">
        <v>0.098</v>
      </c>
      <c r="E66" s="7" t="n">
        <v>0.14</v>
      </c>
      <c r="F66" s="7" t="n">
        <v>0.182</v>
      </c>
      <c r="G66" s="8" t="s">
        <v>69</v>
      </c>
      <c r="H66" s="5" t="s">
        <v>37</v>
      </c>
      <c r="I66" s="8" t="s">
        <v>179</v>
      </c>
    </row>
    <row r="67" customFormat="false" ht="17.15" hidden="false" customHeight="false" outlineLevel="0" collapsed="false">
      <c r="A67" s="0" t="s">
        <v>204</v>
      </c>
      <c r="B67" s="5" t="s">
        <v>205</v>
      </c>
      <c r="C67" s="0" t="s">
        <v>68</v>
      </c>
      <c r="D67" s="7" t="n">
        <v>0.112</v>
      </c>
      <c r="E67" s="7" t="n">
        <v>0.16</v>
      </c>
      <c r="F67" s="7" t="n">
        <v>0.208</v>
      </c>
      <c r="G67" s="8" t="s">
        <v>69</v>
      </c>
      <c r="H67" s="5" t="s">
        <v>37</v>
      </c>
      <c r="I67" s="8" t="s">
        <v>179</v>
      </c>
    </row>
    <row r="68" customFormat="false" ht="17.15" hidden="false" customHeight="false" outlineLevel="0" collapsed="false">
      <c r="A68" s="1" t="s">
        <v>206</v>
      </c>
    </row>
    <row r="69" customFormat="false" ht="17.15" hidden="false" customHeight="false" outlineLevel="0" collapsed="false">
      <c r="A69" s="0" t="s">
        <v>207</v>
      </c>
      <c r="B69" s="5" t="s">
        <v>208</v>
      </c>
      <c r="C69" s="5" t="s">
        <v>209</v>
      </c>
      <c r="D69" s="7" t="n">
        <v>600</v>
      </c>
      <c r="E69" s="7" t="n">
        <v>1000</v>
      </c>
      <c r="F69" s="7" t="n">
        <v>1500</v>
      </c>
      <c r="G69" s="8" t="s">
        <v>69</v>
      </c>
      <c r="H69" s="5" t="s">
        <v>210</v>
      </c>
      <c r="I69" s="5" t="s">
        <v>117</v>
      </c>
    </row>
    <row r="70" customFormat="false" ht="17.15" hidden="false" customHeight="false" outlineLevel="0" collapsed="false">
      <c r="A70" s="0" t="s">
        <v>211</v>
      </c>
      <c r="B70" s="5" t="s">
        <v>212</v>
      </c>
      <c r="C70" s="0" t="s">
        <v>68</v>
      </c>
      <c r="D70" s="7" t="n">
        <v>0.6</v>
      </c>
      <c r="E70" s="7" t="n">
        <v>0.7</v>
      </c>
      <c r="F70" s="7" t="n">
        <v>0.8</v>
      </c>
      <c r="G70" s="8" t="s">
        <v>69</v>
      </c>
      <c r="H70" s="5" t="s">
        <v>213</v>
      </c>
      <c r="I70" s="8" t="s">
        <v>179</v>
      </c>
    </row>
    <row r="71" customFormat="false" ht="17.15" hidden="false" customHeight="false" outlineLevel="0" collapsed="false">
      <c r="A71" s="0" t="s">
        <v>214</v>
      </c>
      <c r="B71" s="5" t="s">
        <v>215</v>
      </c>
      <c r="C71" s="5" t="s">
        <v>216</v>
      </c>
      <c r="E71" s="0" t="n">
        <f aca="false">uph*8760*util/1000000</f>
        <v>6.132</v>
      </c>
      <c r="G71" s="0" t="s">
        <v>32</v>
      </c>
      <c r="H71" s="0" t="s">
        <v>179</v>
      </c>
      <c r="I71" s="0" t="s">
        <v>179</v>
      </c>
    </row>
    <row r="72" customFormat="false" ht="17.15" hidden="false" customHeight="false" outlineLevel="0" collapsed="false">
      <c r="A72" s="0" t="s">
        <v>217</v>
      </c>
      <c r="B72" s="5" t="s">
        <v>218</v>
      </c>
      <c r="C72" s="0" t="s">
        <v>219</v>
      </c>
      <c r="D72" s="7" t="n">
        <v>2</v>
      </c>
      <c r="E72" s="7" t="n">
        <v>2.5</v>
      </c>
      <c r="F72" s="7" t="n">
        <v>3.5</v>
      </c>
      <c r="G72" s="8" t="s">
        <v>69</v>
      </c>
      <c r="H72" s="5" t="s">
        <v>220</v>
      </c>
      <c r="I72" s="5" t="s">
        <v>117</v>
      </c>
    </row>
    <row r="73" customFormat="false" ht="17.15" hidden="false" customHeight="false" outlineLevel="0" collapsed="false">
      <c r="A73" s="0" t="s">
        <v>221</v>
      </c>
      <c r="B73" s="0" t="s">
        <v>222</v>
      </c>
      <c r="C73" s="0" t="s">
        <v>68</v>
      </c>
      <c r="D73" s="7" t="n">
        <v>0.5</v>
      </c>
      <c r="E73" s="7" t="n">
        <v>0.6</v>
      </c>
      <c r="F73" s="7" t="n">
        <v>0.7</v>
      </c>
      <c r="G73" s="8" t="s">
        <v>69</v>
      </c>
      <c r="H73" s="5" t="s">
        <v>223</v>
      </c>
      <c r="I73" s="8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68</v>
      </c>
      <c r="D74" s="7" t="n">
        <v>0.4</v>
      </c>
      <c r="E74" s="7" t="n">
        <v>0.5</v>
      </c>
      <c r="F74" s="7" t="n">
        <v>0.6</v>
      </c>
      <c r="G74" s="8" t="s">
        <v>69</v>
      </c>
      <c r="H74" s="5" t="s">
        <v>37</v>
      </c>
      <c r="I74" s="8" t="s">
        <v>224</v>
      </c>
    </row>
    <row r="75" customFormat="false" ht="17.15" hidden="false" customHeight="false" outlineLevel="0" collapsed="false">
      <c r="A75" s="0" t="s">
        <v>227</v>
      </c>
      <c r="B75" s="0" t="s">
        <v>228</v>
      </c>
      <c r="C75" s="0" t="s">
        <v>68</v>
      </c>
      <c r="D75" s="7" t="n">
        <v>0.25</v>
      </c>
      <c r="E75" s="7" t="n">
        <v>0.35</v>
      </c>
      <c r="F75" s="7" t="n">
        <v>0.45</v>
      </c>
      <c r="G75" s="8" t="s">
        <v>69</v>
      </c>
      <c r="H75" s="5" t="s">
        <v>37</v>
      </c>
      <c r="I75" s="8" t="s">
        <v>224</v>
      </c>
    </row>
    <row r="76" customFormat="false" ht="17.15" hidden="false" customHeight="false" outlineLevel="0" collapsed="false">
      <c r="A76" s="0" t="s">
        <v>229</v>
      </c>
      <c r="B76" s="0" t="s">
        <v>230</v>
      </c>
      <c r="C76" s="0" t="s">
        <v>115</v>
      </c>
      <c r="D76" s="7" t="n">
        <v>0.9</v>
      </c>
      <c r="E76" s="7" t="n">
        <v>1</v>
      </c>
      <c r="F76" s="7" t="n">
        <v>1.1</v>
      </c>
      <c r="G76" s="8" t="s">
        <v>69</v>
      </c>
      <c r="H76" s="8" t="s">
        <v>231</v>
      </c>
      <c r="I76" s="8" t="s">
        <v>232</v>
      </c>
    </row>
    <row r="77" customFormat="false" ht="17.15" hidden="false" customHeight="false" outlineLevel="0" collapsed="false">
      <c r="A77" s="0" t="s">
        <v>233</v>
      </c>
      <c r="B77" s="0" t="s">
        <v>234</v>
      </c>
      <c r="C77" s="0" t="s">
        <v>115</v>
      </c>
      <c r="D77" s="7" t="n">
        <v>0.85</v>
      </c>
      <c r="E77" s="7" t="n">
        <v>0.95</v>
      </c>
      <c r="F77" s="7" t="n">
        <v>1.05</v>
      </c>
      <c r="G77" s="8" t="s">
        <v>69</v>
      </c>
      <c r="H77" s="5" t="s">
        <v>37</v>
      </c>
      <c r="I77" s="8" t="s">
        <v>232</v>
      </c>
    </row>
    <row r="78" customFormat="false" ht="17.15" hidden="false" customHeight="false" outlineLevel="0" collapsed="false">
      <c r="A78" s="0" t="s">
        <v>235</v>
      </c>
      <c r="B78" s="0" t="s">
        <v>236</v>
      </c>
      <c r="C78" s="0" t="s">
        <v>115</v>
      </c>
      <c r="D78" s="7" t="n">
        <v>0.7</v>
      </c>
      <c r="E78" s="7" t="n">
        <v>0.8</v>
      </c>
      <c r="F78" s="7" t="n">
        <v>0.9</v>
      </c>
      <c r="G78" s="8" t="s">
        <v>69</v>
      </c>
      <c r="H78" s="5" t="s">
        <v>37</v>
      </c>
      <c r="I78" s="8" t="s">
        <v>232</v>
      </c>
    </row>
    <row r="79" customFormat="false" ht="17.15" hidden="false" customHeight="false" outlineLevel="0" collapsed="false">
      <c r="A79" s="1" t="s">
        <v>237</v>
      </c>
    </row>
    <row r="80" customFormat="false" ht="17.15" hidden="false" customHeight="false" outlineLevel="0" collapsed="false">
      <c r="A80" s="0" t="s">
        <v>238</v>
      </c>
      <c r="B80" s="5" t="s">
        <v>239</v>
      </c>
      <c r="C80" s="0" t="s">
        <v>68</v>
      </c>
      <c r="D80" s="7" t="n">
        <v>-0.05</v>
      </c>
      <c r="E80" s="7" t="n">
        <v>0</v>
      </c>
      <c r="F80" s="7" t="n">
        <v>0.05</v>
      </c>
      <c r="G80" s="8" t="s">
        <v>240</v>
      </c>
      <c r="H80" s="5" t="s">
        <v>241</v>
      </c>
      <c r="I80" s="8" t="s">
        <v>242</v>
      </c>
    </row>
    <row r="81" customFormat="false" ht="17.15" hidden="false" customHeight="false" outlineLevel="0" collapsed="false">
      <c r="A81" s="0" t="s">
        <v>243</v>
      </c>
      <c r="B81" s="5" t="s">
        <v>244</v>
      </c>
      <c r="C81" s="0" t="s">
        <v>68</v>
      </c>
      <c r="D81" s="7" t="n">
        <v>0.63</v>
      </c>
      <c r="E81" s="7" t="n">
        <v>0.64</v>
      </c>
      <c r="F81" s="7" t="n">
        <v>0.65</v>
      </c>
      <c r="G81" s="8" t="s">
        <v>240</v>
      </c>
      <c r="H81" s="5" t="s">
        <v>37</v>
      </c>
      <c r="I81" s="5" t="s">
        <v>245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68</v>
      </c>
      <c r="D82" s="7" t="n">
        <v>0.05</v>
      </c>
      <c r="E82" s="7" t="n">
        <v>0.075</v>
      </c>
      <c r="F82" s="7" t="n">
        <v>0.1</v>
      </c>
      <c r="G82" s="8" t="s">
        <v>240</v>
      </c>
      <c r="H82" s="5" t="s">
        <v>248</v>
      </c>
      <c r="I82" s="8" t="s">
        <v>179</v>
      </c>
    </row>
    <row r="83" customFormat="false" ht="17.15" hidden="false" customHeight="false" outlineLevel="0" collapsed="false">
      <c r="A83" s="0" t="s">
        <v>249</v>
      </c>
      <c r="B83" s="5" t="s">
        <v>250</v>
      </c>
      <c r="C83" s="0" t="s">
        <v>251</v>
      </c>
      <c r="D83" s="7" t="n">
        <v>4</v>
      </c>
      <c r="E83" s="7" t="n">
        <v>6</v>
      </c>
      <c r="F83" s="7" t="n">
        <v>8</v>
      </c>
      <c r="G83" s="8" t="s">
        <v>69</v>
      </c>
      <c r="H83" s="5" t="s">
        <v>252</v>
      </c>
      <c r="I83" s="8" t="s">
        <v>253</v>
      </c>
    </row>
    <row r="84" customFormat="false" ht="17.15" hidden="false" customHeight="false" outlineLevel="0" collapsed="false">
      <c r="A84" s="0" t="s">
        <v>254</v>
      </c>
      <c r="B84" s="0" t="s">
        <v>255</v>
      </c>
      <c r="C84" s="0" t="s">
        <v>251</v>
      </c>
      <c r="E84" s="0" t="n">
        <f aca="false">q1_rev+q2_rev+q3_rev+q3_rev*(1+q4g)</f>
        <v>1001.6</v>
      </c>
      <c r="G84" s="0" t="s">
        <v>32</v>
      </c>
      <c r="H84" s="5" t="s">
        <v>256</v>
      </c>
      <c r="I84" s="5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251</v>
      </c>
      <c r="E85" s="0" t="n">
        <f aca="false">q1_gp+q2_gp+q3_gp+q3_rev*(1+q4g)*q4gm</f>
        <v>647.676</v>
      </c>
      <c r="G85" s="0" t="s">
        <v>32</v>
      </c>
      <c r="H85" s="0" t="s">
        <v>179</v>
      </c>
      <c r="I85" s="0" t="s">
        <v>179</v>
      </c>
    </row>
    <row r="86" customFormat="false" ht="17.15" hidden="false" customHeight="false" outlineLevel="0" collapsed="false">
      <c r="A86" s="0" t="s">
        <v>260</v>
      </c>
      <c r="B86" s="0" t="s">
        <v>261</v>
      </c>
      <c r="C86" s="0" t="s">
        <v>251</v>
      </c>
      <c r="E86" s="0" t="n">
        <f aca="false">q1_opx+q2_opx+q3_opx+q3_opx*(1+q4opx)</f>
        <v>223.1325</v>
      </c>
      <c r="G86" s="0" t="s">
        <v>32</v>
      </c>
      <c r="H86" s="5" t="s">
        <v>262</v>
      </c>
      <c r="I86" s="0" t="s">
        <v>179</v>
      </c>
    </row>
    <row r="87" customFormat="false" ht="17.15" hidden="false" customHeight="false" outlineLevel="0" collapsed="false">
      <c r="A87" s="0" t="s">
        <v>263</v>
      </c>
      <c r="B87" s="0" t="s">
        <v>264</v>
      </c>
      <c r="C87" s="0" t="s">
        <v>251</v>
      </c>
      <c r="E87" s="0" t="n">
        <f aca="false">gp26-opx26</f>
        <v>424.5435</v>
      </c>
      <c r="G87" s="0" t="s">
        <v>32</v>
      </c>
      <c r="H87" s="0" t="s">
        <v>179</v>
      </c>
      <c r="I87" s="0" t="s">
        <v>179</v>
      </c>
    </row>
    <row r="88" customFormat="false" ht="17.15" hidden="false" customHeight="false" outlineLevel="0" collapsed="false">
      <c r="A88" s="0" t="s">
        <v>265</v>
      </c>
      <c r="B88" s="0" t="s">
        <v>266</v>
      </c>
      <c r="C88" s="0" t="s">
        <v>251</v>
      </c>
      <c r="E88" s="0" t="n">
        <f aca="false">q1_ni+q2_ni+q3_ni+(q3_rev*(1+q4g)*q4gm-q3_opx*(1+q4opx)-q4fin)*(1-tax)</f>
        <v>348.2641275</v>
      </c>
      <c r="G88" s="0" t="s">
        <v>32</v>
      </c>
      <c r="H88" s="5" t="s">
        <v>267</v>
      </c>
      <c r="I88" s="0" t="s">
        <v>179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270</v>
      </c>
      <c r="E89" s="0" t="n">
        <f aca="false">q1_eps+q2_eps+q3_eps+(ni26-q1_ni-q2_ni-q3_ni)/shares</f>
        <v>4.3364299400653</v>
      </c>
      <c r="G89" s="0" t="s">
        <v>32</v>
      </c>
      <c r="H89" s="5" t="s">
        <v>271</v>
      </c>
      <c r="I89" s="5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251</v>
      </c>
      <c r="D90" s="7" t="n">
        <v>90</v>
      </c>
      <c r="E90" s="7" t="n">
        <v>120</v>
      </c>
      <c r="F90" s="7" t="n">
        <v>160</v>
      </c>
      <c r="G90" s="8" t="s">
        <v>69</v>
      </c>
      <c r="H90" s="5" t="s">
        <v>275</v>
      </c>
      <c r="I90" s="8" t="s">
        <v>276</v>
      </c>
    </row>
    <row r="91" customFormat="false" ht="17.15" hidden="false" customHeight="false" outlineLevel="0" collapsed="false">
      <c r="A91" s="0" t="s">
        <v>277</v>
      </c>
      <c r="B91" s="0" t="s">
        <v>278</v>
      </c>
      <c r="C91" s="0" t="s">
        <v>68</v>
      </c>
      <c r="D91" s="7" t="n">
        <v>0.18</v>
      </c>
      <c r="E91" s="7" t="n">
        <v>0.25</v>
      </c>
      <c r="F91" s="7" t="n">
        <v>0.35</v>
      </c>
      <c r="G91" s="8" t="s">
        <v>69</v>
      </c>
      <c r="H91" s="5" t="s">
        <v>279</v>
      </c>
      <c r="I91" s="8" t="s">
        <v>280</v>
      </c>
    </row>
    <row r="92" customFormat="false" ht="17.15" hidden="false" customHeight="false" outlineLevel="0" collapsed="false">
      <c r="A92" s="0" t="s">
        <v>281</v>
      </c>
      <c r="B92" s="0" t="s">
        <v>282</v>
      </c>
      <c r="C92" s="0" t="s">
        <v>251</v>
      </c>
      <c r="E92" s="7" t="n">
        <v>0</v>
      </c>
      <c r="G92" s="8" t="s">
        <v>69</v>
      </c>
      <c r="H92" s="5" t="s">
        <v>283</v>
      </c>
      <c r="I92" s="8" t="s">
        <v>179</v>
      </c>
    </row>
    <row r="93" customFormat="false" ht="17.15" hidden="false" customHeight="false" outlineLevel="0" collapsed="false">
      <c r="A93" s="1" t="s">
        <v>284</v>
      </c>
    </row>
    <row r="94" customFormat="false" ht="17.15" hidden="false" customHeight="false" outlineLevel="0" collapsed="false">
      <c r="A94" s="0" t="s">
        <v>285</v>
      </c>
      <c r="B94" s="5" t="s">
        <v>286</v>
      </c>
      <c r="C94" s="0" t="s">
        <v>68</v>
      </c>
      <c r="E94" s="7" t="n">
        <v>0.224905413856655</v>
      </c>
      <c r="G94" s="8" t="s">
        <v>32</v>
      </c>
      <c r="H94" s="8" t="s">
        <v>287</v>
      </c>
      <c r="I94" s="8" t="s">
        <v>288</v>
      </c>
    </row>
    <row r="95" customFormat="false" ht="17.15" hidden="false" customHeight="false" outlineLevel="0" collapsed="false">
      <c r="A95" s="0" t="s">
        <v>289</v>
      </c>
      <c r="B95" s="5" t="s">
        <v>290</v>
      </c>
      <c r="C95" s="0" t="s">
        <v>68</v>
      </c>
      <c r="E95" s="7" t="n">
        <v>0.127405303197159</v>
      </c>
      <c r="G95" s="8" t="s">
        <v>32</v>
      </c>
      <c r="H95" s="8" t="s">
        <v>287</v>
      </c>
      <c r="I95" s="5" t="s">
        <v>37</v>
      </c>
    </row>
    <row r="96" customFormat="false" ht="17.15" hidden="false" customHeight="false" outlineLevel="0" collapsed="false">
      <c r="A96" s="0" t="s">
        <v>291</v>
      </c>
      <c r="B96" s="5" t="s">
        <v>292</v>
      </c>
      <c r="C96" s="0" t="s">
        <v>68</v>
      </c>
      <c r="E96" s="7" t="n">
        <v>0.0594526733157439</v>
      </c>
      <c r="G96" s="8" t="s">
        <v>32</v>
      </c>
      <c r="H96" s="8" t="s">
        <v>287</v>
      </c>
      <c r="I96" s="5" t="s">
        <v>37</v>
      </c>
    </row>
    <row r="97" customFormat="false" ht="17.15" hidden="false" customHeight="false" outlineLevel="0" collapsed="false">
      <c r="A97" s="0" t="s">
        <v>293</v>
      </c>
      <c r="B97" s="5" t="s">
        <v>294</v>
      </c>
      <c r="C97" s="0" t="s">
        <v>68</v>
      </c>
      <c r="E97" s="7" t="n">
        <v>0.224905413856655</v>
      </c>
      <c r="G97" s="8" t="s">
        <v>32</v>
      </c>
      <c r="H97" s="8" t="s">
        <v>295</v>
      </c>
      <c r="I97" s="5" t="s">
        <v>37</v>
      </c>
    </row>
    <row r="98" customFormat="false" ht="17.15" hidden="false" customHeight="false" outlineLevel="0" collapsed="false">
      <c r="A98" s="0" t="s">
        <v>296</v>
      </c>
      <c r="B98" s="5" t="s">
        <v>297</v>
      </c>
      <c r="C98" s="0" t="s">
        <v>68</v>
      </c>
      <c r="E98" s="7" t="n">
        <v>0</v>
      </c>
      <c r="G98" s="8" t="s">
        <v>32</v>
      </c>
      <c r="H98" s="8" t="s">
        <v>295</v>
      </c>
      <c r="I98" s="5" t="s">
        <v>37</v>
      </c>
    </row>
    <row r="99" customFormat="false" ht="17.15" hidden="false" customHeight="false" outlineLevel="0" collapsed="false">
      <c r="A99" s="0" t="s">
        <v>298</v>
      </c>
      <c r="B99" s="5" t="s">
        <v>299</v>
      </c>
      <c r="C99" s="0" t="s">
        <v>68</v>
      </c>
      <c r="E99" s="7" t="n">
        <v>-0.05</v>
      </c>
      <c r="G99" s="8" t="s">
        <v>32</v>
      </c>
      <c r="H99" s="8" t="s">
        <v>295</v>
      </c>
      <c r="I99" s="5" t="s">
        <v>37</v>
      </c>
    </row>
    <row r="100" customFormat="false" ht="17.15" hidden="false" customHeight="false" outlineLevel="0" collapsed="false">
      <c r="A100" s="0" t="s">
        <v>300</v>
      </c>
      <c r="B100" s="5" t="s">
        <v>301</v>
      </c>
      <c r="C100" s="0" t="s">
        <v>68</v>
      </c>
      <c r="E100" s="7" t="n">
        <v>0.224905413856655</v>
      </c>
      <c r="G100" s="8" t="s">
        <v>32</v>
      </c>
      <c r="H100" s="8" t="s">
        <v>302</v>
      </c>
      <c r="I100" s="5" t="s">
        <v>37</v>
      </c>
    </row>
    <row r="101" customFormat="false" ht="17.15" hidden="false" customHeight="false" outlineLevel="0" collapsed="false">
      <c r="A101" s="0" t="s">
        <v>303</v>
      </c>
      <c r="B101" s="5" t="s">
        <v>304</v>
      </c>
      <c r="C101" s="0" t="s">
        <v>68</v>
      </c>
      <c r="E101" s="7" t="n">
        <v>-0.2</v>
      </c>
      <c r="G101" s="8" t="s">
        <v>32</v>
      </c>
      <c r="H101" s="8" t="s">
        <v>302</v>
      </c>
      <c r="I101" s="5" t="s">
        <v>37</v>
      </c>
    </row>
    <row r="102" customFormat="false" ht="17.15" hidden="false" customHeight="false" outlineLevel="0" collapsed="false">
      <c r="A102" s="0" t="s">
        <v>305</v>
      </c>
      <c r="B102" s="5" t="s">
        <v>306</v>
      </c>
      <c r="C102" s="0" t="s">
        <v>68</v>
      </c>
      <c r="E102" s="7" t="n">
        <v>0</v>
      </c>
      <c r="G102" s="8" t="s">
        <v>32</v>
      </c>
      <c r="H102" s="8" t="s">
        <v>302</v>
      </c>
      <c r="I102" s="5" t="s">
        <v>37</v>
      </c>
    </row>
    <row r="103" customFormat="false" ht="17.15" hidden="false" customHeight="false" outlineLevel="0" collapsed="false">
      <c r="A103" s="0" t="s">
        <v>307</v>
      </c>
      <c r="B103" s="5" t="s">
        <v>308</v>
      </c>
      <c r="C103" s="0" t="s">
        <v>115</v>
      </c>
      <c r="D103" s="7" t="n">
        <v>0.5</v>
      </c>
      <c r="E103" s="7" t="n">
        <v>1</v>
      </c>
      <c r="F103" s="7" t="n">
        <v>1.5</v>
      </c>
      <c r="G103" s="8" t="s">
        <v>69</v>
      </c>
      <c r="H103" s="5" t="s">
        <v>309</v>
      </c>
      <c r="I103" s="8" t="s">
        <v>310</v>
      </c>
    </row>
    <row r="104" customFormat="false" ht="17.15" hidden="false" customHeight="false" outlineLevel="0" collapsed="false">
      <c r="A104" s="1" t="s">
        <v>311</v>
      </c>
    </row>
    <row r="105" customFormat="false" ht="17.15" hidden="false" customHeight="false" outlineLevel="0" collapsed="false">
      <c r="A105" s="0" t="s">
        <v>312</v>
      </c>
      <c r="B105" s="5" t="s">
        <v>313</v>
      </c>
      <c r="C105" s="0" t="s">
        <v>314</v>
      </c>
      <c r="D105" s="7" t="n">
        <v>0</v>
      </c>
      <c r="E105" s="7" t="n">
        <v>0.08</v>
      </c>
      <c r="F105" s="7" t="n">
        <v>0.15</v>
      </c>
      <c r="G105" s="8" t="s">
        <v>69</v>
      </c>
      <c r="H105" s="5" t="s">
        <v>315</v>
      </c>
      <c r="I105" s="8" t="s">
        <v>316</v>
      </c>
    </row>
    <row r="106" customFormat="false" ht="17.15" hidden="false" customHeight="false" outlineLevel="0" collapsed="false">
      <c r="A106" s="0" t="s">
        <v>317</v>
      </c>
      <c r="B106" s="5" t="s">
        <v>318</v>
      </c>
      <c r="C106" s="0" t="s">
        <v>314</v>
      </c>
      <c r="D106" s="7" t="n">
        <v>-0.04</v>
      </c>
      <c r="E106" s="7" t="n">
        <v>-0.02</v>
      </c>
      <c r="F106" s="7" t="n">
        <v>0</v>
      </c>
      <c r="G106" s="8" t="s">
        <v>69</v>
      </c>
      <c r="H106" s="5" t="s">
        <v>319</v>
      </c>
      <c r="I106" s="8" t="s">
        <v>179</v>
      </c>
    </row>
    <row r="107" customFormat="false" ht="17.15" hidden="false" customHeight="false" outlineLevel="0" collapsed="false">
      <c r="A107" s="0" t="s">
        <v>320</v>
      </c>
      <c r="B107" s="5" t="s">
        <v>321</v>
      </c>
      <c r="C107" s="0" t="s">
        <v>68</v>
      </c>
      <c r="D107" s="7" t="n">
        <v>0.25</v>
      </c>
      <c r="E107" s="7" t="n">
        <v>0.4</v>
      </c>
      <c r="F107" s="7" t="n">
        <v>0.6</v>
      </c>
      <c r="G107" s="8" t="s">
        <v>69</v>
      </c>
      <c r="H107" s="8" t="s">
        <v>322</v>
      </c>
      <c r="I107" s="5" t="s">
        <v>323</v>
      </c>
    </row>
    <row r="108" customFormat="false" ht="15" hidden="false" customHeight="false" outlineLevel="0" collapsed="false">
      <c r="A108" s="0" t="s">
        <v>324</v>
      </c>
      <c r="B108" s="5" t="s">
        <v>325</v>
      </c>
      <c r="C108" s="0" t="s">
        <v>251</v>
      </c>
      <c r="E108" s="0" t="n">
        <f aca="false">(1-phi)*opx26</f>
        <v>133.8795</v>
      </c>
      <c r="G108" s="0" t="s">
        <v>32</v>
      </c>
      <c r="H108" s="0" t="s">
        <v>179</v>
      </c>
      <c r="I108" s="0" t="s">
        <v>179</v>
      </c>
    </row>
    <row r="109" customFormat="false" ht="15" hidden="false" customHeight="false" outlineLevel="0" collapsed="false">
      <c r="A109" s="0" t="s">
        <v>326</v>
      </c>
      <c r="B109" s="5" t="s">
        <v>327</v>
      </c>
      <c r="C109" s="0" t="s">
        <v>68</v>
      </c>
      <c r="E109" s="0" t="n">
        <f aca="false">phi*opx26/rev26</f>
        <v>0.0891104233226837</v>
      </c>
      <c r="G109" s="0" t="s">
        <v>32</v>
      </c>
      <c r="H109" s="0" t="s">
        <v>179</v>
      </c>
      <c r="I109" s="0" t="s">
        <v>179</v>
      </c>
    </row>
    <row r="110" customFormat="false" ht="17.15" hidden="false" customHeight="false" outlineLevel="0" collapsed="false">
      <c r="A110" s="0" t="s">
        <v>328</v>
      </c>
      <c r="B110" s="5" t="s">
        <v>329</v>
      </c>
      <c r="C110" s="0" t="s">
        <v>251</v>
      </c>
      <c r="D110" s="7" t="n">
        <v>10</v>
      </c>
      <c r="E110" s="7" t="n">
        <v>20</v>
      </c>
      <c r="F110" s="7" t="n">
        <v>30</v>
      </c>
      <c r="G110" s="8" t="s">
        <v>69</v>
      </c>
      <c r="H110" s="8" t="s">
        <v>330</v>
      </c>
      <c r="I110" s="8" t="s">
        <v>179</v>
      </c>
    </row>
    <row r="111" customFormat="false" ht="17.15" hidden="false" customHeight="false" outlineLevel="0" collapsed="false">
      <c r="A111" s="0" t="s">
        <v>331</v>
      </c>
      <c r="B111" s="5" t="s">
        <v>332</v>
      </c>
      <c r="C111" s="0" t="s">
        <v>68</v>
      </c>
      <c r="D111" s="7" t="n">
        <v>0.12</v>
      </c>
      <c r="E111" s="7" t="n">
        <v>0.135</v>
      </c>
      <c r="F111" s="7" t="n">
        <v>0.16</v>
      </c>
      <c r="G111" s="8" t="s">
        <v>333</v>
      </c>
      <c r="H111" s="5" t="s">
        <v>334</v>
      </c>
      <c r="I111" s="8" t="s">
        <v>335</v>
      </c>
    </row>
    <row r="112" customFormat="false" ht="17.15" hidden="false" customHeight="false" outlineLevel="0" collapsed="false">
      <c r="A112" s="0" t="s">
        <v>336</v>
      </c>
      <c r="B112" s="5" t="s">
        <v>337</v>
      </c>
      <c r="C112" s="5" t="s">
        <v>338</v>
      </c>
      <c r="E112" s="0" t="n">
        <f aca="false">q3_ni/q3_eps</f>
        <v>80.6015037593985</v>
      </c>
      <c r="G112" s="0" t="s">
        <v>32</v>
      </c>
      <c r="H112" s="0" t="s">
        <v>339</v>
      </c>
      <c r="I112" s="5" t="s">
        <v>340</v>
      </c>
    </row>
    <row r="113" customFormat="false" ht="17.15" hidden="false" customHeight="false" outlineLevel="0" collapsed="false">
      <c r="A113" s="1" t="s">
        <v>341</v>
      </c>
    </row>
    <row r="114" customFormat="false" ht="17.15" hidden="false" customHeight="false" outlineLevel="0" collapsed="false">
      <c r="A114" s="0" t="s">
        <v>342</v>
      </c>
      <c r="B114" s="5" t="s">
        <v>343</v>
      </c>
      <c r="C114" s="5" t="s">
        <v>344</v>
      </c>
      <c r="E114" s="7" t="n">
        <v>2029</v>
      </c>
      <c r="G114" s="8" t="s">
        <v>32</v>
      </c>
      <c r="H114" s="8" t="s">
        <v>345</v>
      </c>
      <c r="I114" s="5" t="s">
        <v>346</v>
      </c>
    </row>
    <row r="115" customFormat="false" ht="17.15" hidden="false" customHeight="false" outlineLevel="0" collapsed="false">
      <c r="A115" s="0" t="s">
        <v>347</v>
      </c>
      <c r="B115" s="5" t="s">
        <v>348</v>
      </c>
      <c r="C115" s="5" t="s">
        <v>344</v>
      </c>
      <c r="E115" s="7" t="n">
        <v>2028</v>
      </c>
      <c r="G115" s="8" t="s">
        <v>32</v>
      </c>
      <c r="H115" s="8" t="s">
        <v>349</v>
      </c>
      <c r="I115" s="5" t="s">
        <v>37</v>
      </c>
    </row>
    <row r="116" customFormat="false" ht="17.15" hidden="false" customHeight="false" outlineLevel="0" collapsed="false">
      <c r="A116" s="0" t="s">
        <v>350</v>
      </c>
      <c r="B116" s="5" t="s">
        <v>351</v>
      </c>
      <c r="C116" s="5" t="s">
        <v>344</v>
      </c>
      <c r="E116" s="7" t="n">
        <v>2027</v>
      </c>
      <c r="G116" s="8" t="s">
        <v>32</v>
      </c>
      <c r="H116" s="8" t="s">
        <v>352</v>
      </c>
      <c r="I116" s="5" t="s">
        <v>37</v>
      </c>
    </row>
    <row r="117" customFormat="false" ht="17.15" hidden="false" customHeight="false" outlineLevel="0" collapsed="false">
      <c r="A117" s="0" t="s">
        <v>353</v>
      </c>
      <c r="B117" s="5" t="s">
        <v>354</v>
      </c>
      <c r="C117" s="0" t="s">
        <v>270</v>
      </c>
      <c r="E117" s="7" t="n">
        <v>145.1</v>
      </c>
      <c r="G117" s="8" t="s">
        <v>333</v>
      </c>
      <c r="H117" s="8" t="s">
        <v>355</v>
      </c>
      <c r="I117" s="8" t="s">
        <v>356</v>
      </c>
    </row>
    <row r="118" customFormat="false" ht="17.15" hidden="false" customHeight="false" outlineLevel="0" collapsed="false">
      <c r="A118" s="0" t="s">
        <v>357</v>
      </c>
      <c r="B118" s="5" t="s">
        <v>358</v>
      </c>
      <c r="C118" s="0" t="s">
        <v>68</v>
      </c>
      <c r="E118" s="7" t="n">
        <v>0.3</v>
      </c>
      <c r="G118" s="8" t="s">
        <v>69</v>
      </c>
      <c r="H118" s="8" t="s">
        <v>359</v>
      </c>
      <c r="I118" s="8" t="s">
        <v>179</v>
      </c>
    </row>
    <row r="119" customFormat="false" ht="17.15" hidden="false" customHeight="false" outlineLevel="0" collapsed="false">
      <c r="A119" s="0" t="s">
        <v>360</v>
      </c>
      <c r="B119" s="5" t="s">
        <v>361</v>
      </c>
      <c r="C119" s="0" t="s">
        <v>68</v>
      </c>
      <c r="E119" s="7" t="n">
        <v>0.5</v>
      </c>
      <c r="G119" s="8" t="s">
        <v>69</v>
      </c>
      <c r="H119" s="8" t="s">
        <v>359</v>
      </c>
      <c r="I119" s="8" t="s">
        <v>179</v>
      </c>
    </row>
    <row r="120" customFormat="false" ht="17.15" hidden="false" customHeight="false" outlineLevel="0" collapsed="false">
      <c r="A120" s="0" t="s">
        <v>362</v>
      </c>
      <c r="B120" s="5" t="s">
        <v>363</v>
      </c>
      <c r="C120" s="0" t="s">
        <v>68</v>
      </c>
      <c r="E120" s="7" t="n">
        <v>0.2</v>
      </c>
      <c r="G120" s="8" t="s">
        <v>69</v>
      </c>
      <c r="H120" s="8" t="s">
        <v>359</v>
      </c>
      <c r="I120" s="8" t="s">
        <v>179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251</v>
      </c>
      <c r="E121" s="7" t="n">
        <v>1002</v>
      </c>
      <c r="G121" s="8" t="s">
        <v>240</v>
      </c>
      <c r="H121" s="8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270</v>
      </c>
      <c r="E122" s="7" t="n">
        <v>4.334</v>
      </c>
      <c r="G122" s="8" t="s">
        <v>240</v>
      </c>
      <c r="H122" s="8" t="s">
        <v>370</v>
      </c>
      <c r="I122" s="8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251</v>
      </c>
      <c r="E123" s="7" t="n">
        <v>1345</v>
      </c>
      <c r="G123" s="8" t="s">
        <v>240</v>
      </c>
      <c r="H123" s="8" t="s">
        <v>374</v>
      </c>
      <c r="I123" s="5" t="s">
        <v>117</v>
      </c>
    </row>
    <row r="124" customFormat="false" ht="17.15" hidden="false" customHeight="false" outlineLevel="0" collapsed="false">
      <c r="A124" s="0" t="s">
        <v>375</v>
      </c>
      <c r="B124" s="5" t="s">
        <v>376</v>
      </c>
      <c r="C124" s="0" t="s">
        <v>270</v>
      </c>
      <c r="E124" s="7" t="n">
        <v>6.448</v>
      </c>
      <c r="G124" s="8" t="s">
        <v>240</v>
      </c>
      <c r="H124" s="8" t="s">
        <v>370</v>
      </c>
      <c r="I124" s="5" t="s">
        <v>117</v>
      </c>
    </row>
    <row r="125" customFormat="false" ht="17.15" hidden="false" customHeight="false" outlineLevel="0" collapsed="false">
      <c r="A125" s="0" t="s">
        <v>377</v>
      </c>
      <c r="B125" s="5" t="s">
        <v>378</v>
      </c>
      <c r="C125" s="0" t="s">
        <v>251</v>
      </c>
      <c r="E125" s="7" t="n">
        <v>1649</v>
      </c>
      <c r="G125" s="8" t="s">
        <v>240</v>
      </c>
      <c r="H125" s="8" t="s">
        <v>370</v>
      </c>
      <c r="I125" s="5" t="s">
        <v>117</v>
      </c>
    </row>
    <row r="126" customFormat="false" ht="17.15" hidden="false" customHeight="false" outlineLevel="0" collapsed="false">
      <c r="A126" s="0" t="s">
        <v>379</v>
      </c>
      <c r="B126" s="5" t="s">
        <v>380</v>
      </c>
      <c r="C126" s="0" t="s">
        <v>270</v>
      </c>
      <c r="E126" s="7" t="n">
        <v>8.483</v>
      </c>
      <c r="G126" s="8" t="s">
        <v>240</v>
      </c>
      <c r="H126" s="8" t="s">
        <v>370</v>
      </c>
      <c r="I126" s="5" t="s">
        <v>117</v>
      </c>
    </row>
    <row r="127" customFormat="false" ht="17.15" hidden="false" customHeight="false" outlineLevel="0" collapsed="false">
      <c r="A127" s="0" t="s">
        <v>381</v>
      </c>
      <c r="B127" s="5" t="s">
        <v>382</v>
      </c>
      <c r="C127" s="0" t="s">
        <v>251</v>
      </c>
      <c r="E127" s="7" t="n">
        <v>1700</v>
      </c>
      <c r="G127" s="8" t="s">
        <v>240</v>
      </c>
      <c r="H127" s="5" t="s">
        <v>383</v>
      </c>
      <c r="I127" s="8" t="s">
        <v>384</v>
      </c>
    </row>
    <row r="128" customFormat="false" ht="15" hidden="false" customHeight="false" outlineLevel="0" collapsed="false">
      <c r="A128" s="0" t="s">
        <v>385</v>
      </c>
      <c r="B128" s="5" t="s">
        <v>386</v>
      </c>
      <c r="C128" s="0" t="s">
        <v>251</v>
      </c>
      <c r="E128" s="7" t="n">
        <v>2200</v>
      </c>
      <c r="G128" s="8" t="s">
        <v>240</v>
      </c>
      <c r="H128" s="5" t="s">
        <v>37</v>
      </c>
      <c r="I128" s="8" t="s">
        <v>179</v>
      </c>
    </row>
    <row r="129" customFormat="false" ht="17.15" hidden="false" customHeight="false" outlineLevel="0" collapsed="false">
      <c r="A129" s="0" t="s">
        <v>387</v>
      </c>
      <c r="B129" s="5" t="s">
        <v>388</v>
      </c>
      <c r="C129" s="5" t="s">
        <v>389</v>
      </c>
      <c r="E129" s="7" t="n">
        <v>150</v>
      </c>
      <c r="G129" s="8" t="s">
        <v>333</v>
      </c>
      <c r="H129" s="5" t="s">
        <v>390</v>
      </c>
      <c r="I129" s="8" t="s">
        <v>179</v>
      </c>
    </row>
    <row r="130" customFormat="false" ht="17.15" hidden="false" customHeight="false" outlineLevel="0" collapsed="false">
      <c r="A130" s="0" t="s">
        <v>391</v>
      </c>
      <c r="B130" s="5" t="s">
        <v>392</v>
      </c>
      <c r="C130" s="5" t="s">
        <v>389</v>
      </c>
      <c r="E130" s="7" t="n">
        <v>215</v>
      </c>
      <c r="G130" s="8" t="s">
        <v>240</v>
      </c>
      <c r="H130" s="8" t="s">
        <v>393</v>
      </c>
      <c r="I130" s="8" t="s">
        <v>394</v>
      </c>
    </row>
    <row r="132" customFormat="false" ht="17.15" hidden="false" customHeight="false" outlineLevel="0" collapsed="false">
      <c r="A132" s="1" t="s">
        <v>395</v>
      </c>
    </row>
    <row r="133" customFormat="false" ht="17.15" hidden="false" customHeight="false" outlineLevel="0" collapsed="false">
      <c r="A133" s="0" t="s">
        <v>396</v>
      </c>
      <c r="B133" s="5" t="s">
        <v>397</v>
      </c>
      <c r="C133" s="0" t="s">
        <v>68</v>
      </c>
      <c r="E133" s="9" t="n">
        <v>0.1</v>
      </c>
      <c r="G133" s="8" t="s">
        <v>69</v>
      </c>
      <c r="H133" s="8" t="s">
        <v>398</v>
      </c>
      <c r="I133" s="5" t="s">
        <v>399</v>
      </c>
    </row>
    <row r="134" customFormat="false" ht="17.15" hidden="false" customHeight="false" outlineLevel="0" collapsed="false">
      <c r="A134" s="0" t="s">
        <v>400</v>
      </c>
      <c r="B134" s="5" t="s">
        <v>401</v>
      </c>
      <c r="C134" s="0" t="s">
        <v>68</v>
      </c>
      <c r="E134" s="9" t="n">
        <v>0.04</v>
      </c>
      <c r="G134" s="8" t="s">
        <v>69</v>
      </c>
      <c r="H134" s="8" t="s">
        <v>402</v>
      </c>
      <c r="I134" s="5" t="s">
        <v>403</v>
      </c>
    </row>
    <row r="135" customFormat="false" ht="17.15" hidden="false" customHeight="false" outlineLevel="0" collapsed="false">
      <c r="A135" s="0" t="s">
        <v>404</v>
      </c>
      <c r="B135" s="0" t="s">
        <v>405</v>
      </c>
      <c r="C135" s="0" t="s">
        <v>68</v>
      </c>
      <c r="E135" s="10" t="n">
        <f aca="false">AVERAGE(0.3373,0.3945,0.2869)</f>
        <v>0.339566666666667</v>
      </c>
      <c r="G135" s="8" t="s">
        <v>32</v>
      </c>
      <c r="H135" s="8" t="s">
        <v>406</v>
      </c>
      <c r="I135" s="5" t="s">
        <v>407</v>
      </c>
    </row>
    <row r="136" customFormat="false" ht="17.15" hidden="false" customHeight="false" outlineLevel="0" collapsed="false">
      <c r="A136" s="0" t="s">
        <v>408</v>
      </c>
      <c r="B136" s="5" t="s">
        <v>409</v>
      </c>
      <c r="C136" s="0" t="s">
        <v>68</v>
      </c>
      <c r="E136" s="11" t="n">
        <v>0.5</v>
      </c>
      <c r="G136" s="8" t="s">
        <v>69</v>
      </c>
      <c r="H136" s="8" t="s">
        <v>410</v>
      </c>
      <c r="I136" s="8" t="s">
        <v>179</v>
      </c>
    </row>
    <row r="137" customFormat="false" ht="17.15" hidden="false" customHeight="false" outlineLevel="0" collapsed="false">
      <c r="A137" s="0" t="s">
        <v>411</v>
      </c>
      <c r="B137" s="5" t="s">
        <v>412</v>
      </c>
      <c r="C137" s="0" t="s">
        <v>68</v>
      </c>
      <c r="E137" s="10" t="n">
        <f aca="false">AVERAGE(0.1735,0.293,0.2597,0.2281,0.3044,0.3766,0.332,0.3051,0.2979,0.2227)</f>
        <v>0.2793</v>
      </c>
      <c r="G137" s="8" t="s">
        <v>32</v>
      </c>
      <c r="H137" s="8" t="s">
        <v>413</v>
      </c>
      <c r="I137" s="8" t="s">
        <v>414</v>
      </c>
    </row>
    <row r="138" customFormat="false" ht="17.15" hidden="false" customHeight="false" outlineLevel="0" collapsed="false">
      <c r="A138" s="0" t="s">
        <v>415</v>
      </c>
      <c r="B138" s="5" t="s">
        <v>416</v>
      </c>
      <c r="C138" s="0" t="s">
        <v>270</v>
      </c>
      <c r="E138" s="12" t="n">
        <v>270.57</v>
      </c>
      <c r="G138" s="8" t="s">
        <v>240</v>
      </c>
      <c r="H138" s="8" t="s">
        <v>417</v>
      </c>
      <c r="I138" s="8" t="s">
        <v>418</v>
      </c>
    </row>
    <row r="139" customFormat="false" ht="17.15" hidden="false" customHeight="false" outlineLevel="0" collapsed="false">
      <c r="A139" s="0" t="s">
        <v>419</v>
      </c>
      <c r="B139" s="5" t="s">
        <v>420</v>
      </c>
      <c r="C139" s="0" t="s">
        <v>270</v>
      </c>
      <c r="E139" s="13" t="n">
        <f aca="false">2/12*cons_eps27+10/12*cons_eps28</f>
        <v>8.14383333333334</v>
      </c>
      <c r="G139" s="8" t="s">
        <v>240</v>
      </c>
      <c r="H139" s="5" t="s">
        <v>421</v>
      </c>
      <c r="I139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0" t="s">
        <v>423</v>
      </c>
    </row>
    <row r="3" customFormat="false" ht="17.15" hidden="false" customHeight="false" outlineLevel="0" collapsed="false">
      <c r="A3" s="6" t="s">
        <v>20</v>
      </c>
      <c r="B3" s="14" t="s">
        <v>424</v>
      </c>
      <c r="C3" s="14" t="s">
        <v>425</v>
      </c>
      <c r="D3" s="14" t="s">
        <v>426</v>
      </c>
      <c r="E3" s="14" t="s">
        <v>427</v>
      </c>
      <c r="F3" s="14" t="s">
        <v>428</v>
      </c>
      <c r="G3" s="14" t="s">
        <v>429</v>
      </c>
      <c r="H3" s="14" t="s">
        <v>430</v>
      </c>
      <c r="I3" s="14" t="s">
        <v>431</v>
      </c>
      <c r="J3" s="14" t="s">
        <v>432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5" t="s">
        <v>433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333</v>
      </c>
      <c r="L4" s="5" t="s">
        <v>434</v>
      </c>
      <c r="M4" s="8" t="s">
        <v>435</v>
      </c>
    </row>
    <row r="5" customFormat="false" ht="17.15" hidden="false" customHeight="false" outlineLevel="0" collapsed="false">
      <c r="A5" s="5" t="s">
        <v>436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437</v>
      </c>
      <c r="L5" s="5" t="s">
        <v>438</v>
      </c>
      <c r="M5" s="8" t="s">
        <v>439</v>
      </c>
    </row>
    <row r="6" customFormat="false" ht="17.15" hidden="false" customHeight="false" outlineLevel="0" collapsed="false">
      <c r="A6" s="5" t="s">
        <v>440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32</v>
      </c>
      <c r="L6" s="8" t="s">
        <v>179</v>
      </c>
      <c r="M6" s="5" t="s">
        <v>441</v>
      </c>
    </row>
    <row r="7" customFormat="false" ht="17.15" hidden="false" customHeight="false" outlineLevel="0" collapsed="false">
      <c r="A7" s="5" t="s">
        <v>442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32</v>
      </c>
      <c r="L7" s="8" t="s">
        <v>179</v>
      </c>
      <c r="M7" s="5" t="s">
        <v>443</v>
      </c>
    </row>
    <row r="8" customFormat="false" ht="17.15" hidden="false" customHeight="false" outlineLevel="0" collapsed="false">
      <c r="A8" s="5" t="s">
        <v>444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333</v>
      </c>
      <c r="L8" s="5" t="s">
        <v>445</v>
      </c>
      <c r="M8" s="8" t="s">
        <v>446</v>
      </c>
    </row>
    <row r="9" customFormat="false" ht="17.15" hidden="false" customHeight="false" outlineLevel="0" collapsed="false">
      <c r="A9" s="5" t="s">
        <v>447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437</v>
      </c>
      <c r="L9" s="5" t="s">
        <v>448</v>
      </c>
      <c r="M9" s="8" t="s">
        <v>179</v>
      </c>
    </row>
    <row r="10" customFormat="false" ht="17.15" hidden="false" customHeight="false" outlineLevel="0" collapsed="false">
      <c r="A10" s="5" t="s">
        <v>449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333</v>
      </c>
      <c r="L10" s="5" t="s">
        <v>450</v>
      </c>
      <c r="M10" s="8" t="s">
        <v>451</v>
      </c>
    </row>
    <row r="11" customFormat="false" ht="17.15" hidden="false" customHeight="false" outlineLevel="0" collapsed="false">
      <c r="A11" s="0" t="s">
        <v>452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333</v>
      </c>
      <c r="L11" s="5" t="s">
        <v>445</v>
      </c>
      <c r="M11" s="8" t="s">
        <v>453</v>
      </c>
    </row>
    <row r="12" customFormat="false" ht="17.15" hidden="false" customHeight="false" outlineLevel="0" collapsed="false">
      <c r="A12" s="5" t="s">
        <v>454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333</v>
      </c>
      <c r="L12" s="5" t="s">
        <v>445</v>
      </c>
      <c r="M12" s="5" t="s">
        <v>455</v>
      </c>
    </row>
    <row r="13" customFormat="false" ht="17.15" hidden="false" customHeight="false" outlineLevel="0" collapsed="false">
      <c r="A13" s="5" t="s">
        <v>456</v>
      </c>
      <c r="B13" s="16" t="n">
        <f aca="false">SUM(C4:F4)-G4</f>
        <v>0</v>
      </c>
      <c r="C13" s="16" t="n">
        <f aca="false">SUM(C10:F10)-G10</f>
        <v>0.0999999999999943</v>
      </c>
      <c r="K13" s="8" t="s">
        <v>179</v>
      </c>
      <c r="L13" s="8" t="s">
        <v>179</v>
      </c>
      <c r="M13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458</v>
      </c>
      <c r="D3" s="14" t="s">
        <v>459</v>
      </c>
      <c r="E3" s="14" t="s">
        <v>460</v>
      </c>
      <c r="F3" s="14" t="s">
        <v>461</v>
      </c>
      <c r="G3" s="14" t="s">
        <v>462</v>
      </c>
      <c r="H3" s="14" t="s">
        <v>463</v>
      </c>
      <c r="I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0" t="s">
        <v>466</v>
      </c>
      <c r="B5" s="0" t="s">
        <v>31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467</v>
      </c>
      <c r="B6" s="5" t="s">
        <v>468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469</v>
      </c>
      <c r="B7" s="0" t="s">
        <v>68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470</v>
      </c>
      <c r="B8" s="5" t="s">
        <v>389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471</v>
      </c>
      <c r="B9" s="5" t="s">
        <v>389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472</v>
      </c>
      <c r="B10" s="5" t="s">
        <v>145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473</v>
      </c>
      <c r="B11" s="5" t="s">
        <v>474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475</v>
      </c>
      <c r="B12" s="5" t="s">
        <v>474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476</v>
      </c>
      <c r="B13" s="5" t="s">
        <v>389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477</v>
      </c>
    </row>
    <row r="16" customFormat="false" ht="17.15" hidden="false" customHeight="false" outlineLevel="0" collapsed="false">
      <c r="A16" s="0" t="s">
        <v>466</v>
      </c>
      <c r="B16" s="0" t="s">
        <v>31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467</v>
      </c>
      <c r="B17" s="5" t="s">
        <v>468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469</v>
      </c>
      <c r="B18" s="0" t="s">
        <v>68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470</v>
      </c>
      <c r="B19" s="5" t="s">
        <v>389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471</v>
      </c>
      <c r="B20" s="5" t="s">
        <v>389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472</v>
      </c>
      <c r="B21" s="5" t="s">
        <v>145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473</v>
      </c>
      <c r="B22" s="5" t="s">
        <v>474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475</v>
      </c>
      <c r="B23" s="5" t="s">
        <v>474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476</v>
      </c>
      <c r="B24" s="5" t="s">
        <v>389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478</v>
      </c>
    </row>
    <row r="27" customFormat="false" ht="17.15" hidden="false" customHeight="false" outlineLevel="0" collapsed="false">
      <c r="A27" s="0" t="s">
        <v>466</v>
      </c>
      <c r="B27" s="0" t="s">
        <v>31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469</v>
      </c>
      <c r="B29" s="0" t="s">
        <v>68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470</v>
      </c>
      <c r="B30" s="5" t="s">
        <v>389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471</v>
      </c>
      <c r="B31" s="5" t="s">
        <v>389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472</v>
      </c>
      <c r="B32" s="5" t="s">
        <v>145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473</v>
      </c>
      <c r="B33" s="5" t="s">
        <v>474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475</v>
      </c>
      <c r="B34" s="5" t="s">
        <v>474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476</v>
      </c>
      <c r="B35" s="5" t="s">
        <v>389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480</v>
      </c>
    </row>
    <row r="3" customFormat="false" ht="17.15" hidden="false" customHeight="false" outlineLevel="0" collapsed="false">
      <c r="A3" s="6" t="s">
        <v>481</v>
      </c>
      <c r="B3" s="6" t="s">
        <v>21</v>
      </c>
      <c r="C3" s="14" t="s">
        <v>482</v>
      </c>
      <c r="D3" s="14" t="s">
        <v>483</v>
      </c>
      <c r="E3" s="14" t="s">
        <v>484</v>
      </c>
      <c r="F3" s="14" t="s">
        <v>485</v>
      </c>
      <c r="G3" s="14" t="s">
        <v>486</v>
      </c>
      <c r="H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5" t="s">
        <v>433</v>
      </c>
      <c r="B5" s="0" t="s">
        <v>251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487</v>
      </c>
    </row>
    <row r="6" customFormat="false" ht="15" hidden="false" customHeight="false" outlineLevel="0" collapsed="false">
      <c r="A6" s="5" t="s">
        <v>488</v>
      </c>
      <c r="B6" s="0" t="s">
        <v>251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489</v>
      </c>
      <c r="B7" s="0" t="s">
        <v>251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440</v>
      </c>
      <c r="B8" s="0" t="s">
        <v>68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444</v>
      </c>
      <c r="B9" s="0" t="s">
        <v>251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490</v>
      </c>
      <c r="B10" s="0" t="s">
        <v>68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449</v>
      </c>
      <c r="B11" s="0" t="s">
        <v>251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491</v>
      </c>
      <c r="B12" s="0" t="s">
        <v>270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477</v>
      </c>
    </row>
    <row r="15" customFormat="false" ht="15" hidden="false" customHeight="false" outlineLevel="0" collapsed="false">
      <c r="A15" s="5" t="s">
        <v>433</v>
      </c>
      <c r="B15" s="0" t="s">
        <v>251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488</v>
      </c>
      <c r="B16" s="0" t="s">
        <v>251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489</v>
      </c>
      <c r="B17" s="0" t="s">
        <v>251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440</v>
      </c>
      <c r="B18" s="0" t="s">
        <v>68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444</v>
      </c>
      <c r="B19" s="0" t="s">
        <v>251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490</v>
      </c>
      <c r="B20" s="0" t="s">
        <v>68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449</v>
      </c>
      <c r="B21" s="0" t="s">
        <v>251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491</v>
      </c>
      <c r="B22" s="0" t="s">
        <v>270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478</v>
      </c>
    </row>
    <row r="25" customFormat="false" ht="15" hidden="false" customHeight="false" outlineLevel="0" collapsed="false">
      <c r="A25" s="5" t="s">
        <v>433</v>
      </c>
      <c r="B25" s="0" t="s">
        <v>251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488</v>
      </c>
      <c r="B26" s="0" t="s">
        <v>251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489</v>
      </c>
      <c r="B27" s="0" t="s">
        <v>251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440</v>
      </c>
      <c r="B28" s="0" t="s">
        <v>68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444</v>
      </c>
      <c r="B29" s="0" t="s">
        <v>251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490</v>
      </c>
      <c r="B30" s="0" t="s">
        <v>68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449</v>
      </c>
      <c r="B31" s="0" t="s">
        <v>251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491</v>
      </c>
      <c r="B32" s="0" t="s">
        <v>270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492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493</v>
      </c>
    </row>
    <row r="41" customFormat="false" ht="15" hidden="false" customHeight="false" outlineLevel="0" collapsed="false">
      <c r="A41" s="6" t="s">
        <v>20</v>
      </c>
      <c r="B41" s="6" t="s">
        <v>21</v>
      </c>
      <c r="C41" s="14" t="s">
        <v>458</v>
      </c>
      <c r="D41" s="14" t="s">
        <v>459</v>
      </c>
      <c r="E41" s="14" t="s">
        <v>460</v>
      </c>
      <c r="F41" s="14" t="s">
        <v>461</v>
      </c>
      <c r="G41" s="14" t="s">
        <v>462</v>
      </c>
      <c r="H41" s="14" t="s">
        <v>463</v>
      </c>
      <c r="I41" s="6" t="s">
        <v>464</v>
      </c>
    </row>
    <row r="42" customFormat="false" ht="17.15" hidden="false" customHeight="false" outlineLevel="0" collapsed="false">
      <c r="A42" s="1" t="s">
        <v>494</v>
      </c>
    </row>
    <row r="43" customFormat="false" ht="17.15" hidden="false" customHeight="false" outlineLevel="0" collapsed="false">
      <c r="A43" s="0" t="s">
        <v>495</v>
      </c>
      <c r="B43" s="0" t="s">
        <v>31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496</v>
      </c>
    </row>
    <row r="44" customFormat="false" ht="17.15" hidden="false" customHeight="false" outlineLevel="0" collapsed="false">
      <c r="A44" s="0" t="s">
        <v>497</v>
      </c>
      <c r="B44" s="0" t="s">
        <v>498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499</v>
      </c>
      <c r="B45" s="5" t="s">
        <v>468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500</v>
      </c>
    </row>
    <row r="46" customFormat="false" ht="15" hidden="false" customHeight="false" outlineLevel="0" collapsed="false">
      <c r="A46" s="5" t="s">
        <v>501</v>
      </c>
      <c r="B46" s="5" t="s">
        <v>95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502</v>
      </c>
      <c r="B47" s="0" t="s">
        <v>115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503</v>
      </c>
      <c r="B48" s="0" t="s">
        <v>68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504</v>
      </c>
    </row>
    <row r="49" customFormat="false" ht="17.15" hidden="false" customHeight="false" outlineLevel="0" collapsed="false">
      <c r="A49" s="5" t="s">
        <v>505</v>
      </c>
      <c r="B49" s="5" t="s">
        <v>506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507</v>
      </c>
      <c r="B50" s="5" t="s">
        <v>389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508</v>
      </c>
      <c r="B51" s="5" t="s">
        <v>389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509</v>
      </c>
    </row>
    <row r="52" customFormat="false" ht="17.15" hidden="false" customHeight="false" outlineLevel="0" collapsed="false">
      <c r="A52" s="1" t="s">
        <v>510</v>
      </c>
    </row>
    <row r="53" customFormat="false" ht="17.15" hidden="false" customHeight="false" outlineLevel="0" collapsed="false">
      <c r="A53" s="0" t="s">
        <v>511</v>
      </c>
      <c r="B53" s="5" t="s">
        <v>145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512</v>
      </c>
    </row>
    <row r="54" customFormat="false" ht="17.15" hidden="false" customHeight="false" outlineLevel="0" collapsed="false">
      <c r="A54" s="5" t="s">
        <v>513</v>
      </c>
      <c r="B54" s="0" t="s">
        <v>68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514</v>
      </c>
      <c r="B55" s="5" t="s">
        <v>474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515</v>
      </c>
      <c r="B56" s="5" t="s">
        <v>474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516</v>
      </c>
    </row>
    <row r="58" customFormat="false" ht="17.15" hidden="false" customHeight="false" outlineLevel="0" collapsed="false">
      <c r="A58" s="0" t="s">
        <v>517</v>
      </c>
      <c r="B58" s="0" t="s">
        <v>251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518</v>
      </c>
    </row>
    <row r="59" customFormat="false" ht="17.15" hidden="false" customHeight="false" outlineLevel="0" collapsed="false">
      <c r="A59" s="5" t="s">
        <v>519</v>
      </c>
      <c r="B59" s="0" t="s">
        <v>251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520</v>
      </c>
    </row>
    <row r="60" customFormat="false" ht="17.15" hidden="false" customHeight="false" outlineLevel="0" collapsed="false">
      <c r="A60" s="5" t="s">
        <v>521</v>
      </c>
      <c r="B60" s="0" t="s">
        <v>522</v>
      </c>
      <c r="D60" s="21" t="n">
        <f aca="false">D59/D56</f>
        <v>1.66002178641913</v>
      </c>
      <c r="I60" s="5" t="s">
        <v>523</v>
      </c>
    </row>
    <row r="61" customFormat="false" ht="15" hidden="false" customHeight="false" outlineLevel="0" collapsed="false">
      <c r="A61" s="5" t="s">
        <v>524</v>
      </c>
      <c r="B61" s="0" t="s">
        <v>251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525</v>
      </c>
      <c r="B62" s="0" t="s">
        <v>251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526</v>
      </c>
    </row>
    <row r="63" customFormat="false" ht="15" hidden="false" customHeight="false" outlineLevel="0" collapsed="false">
      <c r="A63" s="5" t="s">
        <v>433</v>
      </c>
      <c r="B63" s="0" t="s">
        <v>251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527</v>
      </c>
      <c r="B64" s="0" t="s">
        <v>68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440</v>
      </c>
      <c r="B65" s="0" t="s">
        <v>68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528</v>
      </c>
    </row>
    <row r="66" customFormat="false" ht="15" hidden="false" customHeight="false" outlineLevel="0" collapsed="false">
      <c r="A66" s="5" t="s">
        <v>436</v>
      </c>
      <c r="B66" s="0" t="s">
        <v>251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529</v>
      </c>
      <c r="B67" s="0" t="s">
        <v>251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530</v>
      </c>
    </row>
    <row r="68" customFormat="false" ht="15" hidden="false" customHeight="false" outlineLevel="0" collapsed="false">
      <c r="A68" s="5" t="s">
        <v>444</v>
      </c>
      <c r="B68" s="0" t="s">
        <v>251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490</v>
      </c>
      <c r="B69" s="0" t="s">
        <v>68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449</v>
      </c>
      <c r="B70" s="0" t="s">
        <v>251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491</v>
      </c>
      <c r="B71" s="0" t="s">
        <v>270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531</v>
      </c>
      <c r="B72" s="5" t="s">
        <v>389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532</v>
      </c>
    </row>
    <row r="76" customFormat="false" ht="15" hidden="false" customHeight="false" outlineLevel="0" collapsed="false">
      <c r="A76" s="6" t="s">
        <v>20</v>
      </c>
      <c r="B76" s="6" t="s">
        <v>21</v>
      </c>
      <c r="C76" s="14" t="s">
        <v>458</v>
      </c>
      <c r="D76" s="14" t="s">
        <v>459</v>
      </c>
      <c r="E76" s="14" t="s">
        <v>460</v>
      </c>
      <c r="F76" s="14" t="s">
        <v>461</v>
      </c>
      <c r="G76" s="14" t="s">
        <v>462</v>
      </c>
      <c r="H76" s="14" t="s">
        <v>463</v>
      </c>
      <c r="I76" s="6" t="s">
        <v>464</v>
      </c>
    </row>
    <row r="77" customFormat="false" ht="17.15" hidden="false" customHeight="false" outlineLevel="0" collapsed="false">
      <c r="A77" s="1" t="s">
        <v>494</v>
      </c>
    </row>
    <row r="78" customFormat="false" ht="17.15" hidden="false" customHeight="false" outlineLevel="0" collapsed="false">
      <c r="A78" s="0" t="s">
        <v>495</v>
      </c>
      <c r="B78" s="0" t="s">
        <v>31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496</v>
      </c>
    </row>
    <row r="79" customFormat="false" ht="17.15" hidden="false" customHeight="false" outlineLevel="0" collapsed="false">
      <c r="A79" s="0" t="s">
        <v>497</v>
      </c>
      <c r="B79" s="0" t="s">
        <v>498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499</v>
      </c>
      <c r="B80" s="5" t="s">
        <v>468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500</v>
      </c>
    </row>
    <row r="81" customFormat="false" ht="15" hidden="false" customHeight="false" outlineLevel="0" collapsed="false">
      <c r="A81" s="5" t="s">
        <v>501</v>
      </c>
      <c r="B81" s="5" t="s">
        <v>95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502</v>
      </c>
      <c r="B82" s="0" t="s">
        <v>115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503</v>
      </c>
      <c r="B83" s="0" t="s">
        <v>68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533</v>
      </c>
    </row>
    <row r="84" customFormat="false" ht="17.15" hidden="false" customHeight="false" outlineLevel="0" collapsed="false">
      <c r="A84" s="5" t="s">
        <v>505</v>
      </c>
      <c r="B84" s="5" t="s">
        <v>506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507</v>
      </c>
      <c r="B85" s="5" t="s">
        <v>389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508</v>
      </c>
      <c r="B86" s="5" t="s">
        <v>389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509</v>
      </c>
    </row>
    <row r="87" customFormat="false" ht="17.15" hidden="false" customHeight="false" outlineLevel="0" collapsed="false">
      <c r="A87" s="1" t="s">
        <v>510</v>
      </c>
    </row>
    <row r="88" customFormat="false" ht="17.15" hidden="false" customHeight="false" outlineLevel="0" collapsed="false">
      <c r="A88" s="0" t="s">
        <v>511</v>
      </c>
      <c r="B88" s="5" t="s">
        <v>145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512</v>
      </c>
    </row>
    <row r="89" customFormat="false" ht="17.15" hidden="false" customHeight="false" outlineLevel="0" collapsed="false">
      <c r="A89" s="5" t="s">
        <v>513</v>
      </c>
      <c r="B89" s="0" t="s">
        <v>68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514</v>
      </c>
      <c r="B90" s="5" t="s">
        <v>474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515</v>
      </c>
      <c r="B91" s="5" t="s">
        <v>474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516</v>
      </c>
    </row>
    <row r="93" customFormat="false" ht="17.15" hidden="false" customHeight="false" outlineLevel="0" collapsed="false">
      <c r="A93" s="0" t="s">
        <v>517</v>
      </c>
      <c r="B93" s="0" t="s">
        <v>251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518</v>
      </c>
    </row>
    <row r="94" customFormat="false" ht="17.15" hidden="false" customHeight="false" outlineLevel="0" collapsed="false">
      <c r="A94" s="5" t="s">
        <v>519</v>
      </c>
      <c r="B94" s="0" t="s">
        <v>251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520</v>
      </c>
    </row>
    <row r="95" customFormat="false" ht="17.15" hidden="false" customHeight="false" outlineLevel="0" collapsed="false">
      <c r="A95" s="5" t="s">
        <v>521</v>
      </c>
      <c r="B95" s="0" t="s">
        <v>522</v>
      </c>
      <c r="D95" s="21" t="n">
        <f aca="false">D94/D91</f>
        <v>1.66002178641913</v>
      </c>
      <c r="I95" s="5" t="s">
        <v>523</v>
      </c>
    </row>
    <row r="96" customFormat="false" ht="15" hidden="false" customHeight="false" outlineLevel="0" collapsed="false">
      <c r="A96" s="5" t="s">
        <v>524</v>
      </c>
      <c r="B96" s="0" t="s">
        <v>251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525</v>
      </c>
      <c r="B97" s="0" t="s">
        <v>251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526</v>
      </c>
    </row>
    <row r="98" customFormat="false" ht="15" hidden="false" customHeight="false" outlineLevel="0" collapsed="false">
      <c r="A98" s="5" t="s">
        <v>433</v>
      </c>
      <c r="B98" s="0" t="s">
        <v>251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527</v>
      </c>
      <c r="B99" s="0" t="s">
        <v>68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440</v>
      </c>
      <c r="B100" s="0" t="s">
        <v>68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528</v>
      </c>
    </row>
    <row r="101" customFormat="false" ht="15" hidden="false" customHeight="false" outlineLevel="0" collapsed="false">
      <c r="A101" s="5" t="s">
        <v>436</v>
      </c>
      <c r="B101" s="0" t="s">
        <v>251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529</v>
      </c>
      <c r="B102" s="0" t="s">
        <v>251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530</v>
      </c>
    </row>
    <row r="103" customFormat="false" ht="15" hidden="false" customHeight="false" outlineLevel="0" collapsed="false">
      <c r="A103" s="5" t="s">
        <v>444</v>
      </c>
      <c r="B103" s="0" t="s">
        <v>251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490</v>
      </c>
      <c r="B104" s="0" t="s">
        <v>68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449</v>
      </c>
      <c r="B105" s="0" t="s">
        <v>251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491</v>
      </c>
      <c r="B106" s="0" t="s">
        <v>270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531</v>
      </c>
      <c r="B107" s="5" t="s">
        <v>389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534</v>
      </c>
    </row>
    <row r="111" customFormat="false" ht="15" hidden="false" customHeight="false" outlineLevel="0" collapsed="false">
      <c r="A111" s="6" t="s">
        <v>20</v>
      </c>
      <c r="B111" s="6" t="s">
        <v>21</v>
      </c>
      <c r="C111" s="14" t="s">
        <v>458</v>
      </c>
      <c r="D111" s="14" t="s">
        <v>459</v>
      </c>
      <c r="E111" s="14" t="s">
        <v>460</v>
      </c>
      <c r="F111" s="14" t="s">
        <v>461</v>
      </c>
      <c r="G111" s="14" t="s">
        <v>462</v>
      </c>
      <c r="H111" s="14" t="s">
        <v>463</v>
      </c>
      <c r="I111" s="6" t="s">
        <v>464</v>
      </c>
    </row>
    <row r="112" customFormat="false" ht="17.15" hidden="false" customHeight="false" outlineLevel="0" collapsed="false">
      <c r="A112" s="1" t="s">
        <v>494</v>
      </c>
    </row>
    <row r="113" customFormat="false" ht="17.15" hidden="false" customHeight="false" outlineLevel="0" collapsed="false">
      <c r="A113" s="0" t="s">
        <v>495</v>
      </c>
      <c r="B113" s="0" t="s">
        <v>31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496</v>
      </c>
    </row>
    <row r="114" customFormat="false" ht="17.15" hidden="false" customHeight="false" outlineLevel="0" collapsed="false">
      <c r="A114" s="0" t="s">
        <v>497</v>
      </c>
      <c r="B114" s="0" t="s">
        <v>498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499</v>
      </c>
      <c r="B115" s="5" t="s">
        <v>468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500</v>
      </c>
    </row>
    <row r="116" customFormat="false" ht="15" hidden="false" customHeight="false" outlineLevel="0" collapsed="false">
      <c r="A116" s="5" t="s">
        <v>501</v>
      </c>
      <c r="B116" s="5" t="s">
        <v>95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502</v>
      </c>
      <c r="B117" s="0" t="s">
        <v>115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503</v>
      </c>
      <c r="B118" s="0" t="s">
        <v>68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535</v>
      </c>
    </row>
    <row r="119" customFormat="false" ht="17.15" hidden="false" customHeight="false" outlineLevel="0" collapsed="false">
      <c r="A119" s="5" t="s">
        <v>505</v>
      </c>
      <c r="B119" s="5" t="s">
        <v>506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507</v>
      </c>
      <c r="B120" s="5" t="s">
        <v>389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508</v>
      </c>
      <c r="B121" s="5" t="s">
        <v>389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509</v>
      </c>
    </row>
    <row r="122" customFormat="false" ht="17.15" hidden="false" customHeight="false" outlineLevel="0" collapsed="false">
      <c r="A122" s="1" t="s">
        <v>510</v>
      </c>
    </row>
    <row r="123" customFormat="false" ht="17.15" hidden="false" customHeight="false" outlineLevel="0" collapsed="false">
      <c r="A123" s="0" t="s">
        <v>511</v>
      </c>
      <c r="B123" s="5" t="s">
        <v>145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512</v>
      </c>
    </row>
    <row r="124" customFormat="false" ht="17.15" hidden="false" customHeight="false" outlineLevel="0" collapsed="false">
      <c r="A124" s="5" t="s">
        <v>513</v>
      </c>
      <c r="B124" s="0" t="s">
        <v>68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514</v>
      </c>
      <c r="B125" s="5" t="s">
        <v>474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515</v>
      </c>
      <c r="B126" s="5" t="s">
        <v>474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516</v>
      </c>
    </row>
    <row r="128" customFormat="false" ht="17.15" hidden="false" customHeight="false" outlineLevel="0" collapsed="false">
      <c r="A128" s="0" t="s">
        <v>517</v>
      </c>
      <c r="B128" s="0" t="s">
        <v>251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518</v>
      </c>
    </row>
    <row r="129" customFormat="false" ht="17.15" hidden="false" customHeight="false" outlineLevel="0" collapsed="false">
      <c r="A129" s="5" t="s">
        <v>519</v>
      </c>
      <c r="B129" s="0" t="s">
        <v>251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520</v>
      </c>
    </row>
    <row r="130" customFormat="false" ht="17.15" hidden="false" customHeight="false" outlineLevel="0" collapsed="false">
      <c r="A130" s="5" t="s">
        <v>521</v>
      </c>
      <c r="B130" s="0" t="s">
        <v>522</v>
      </c>
      <c r="D130" s="21" t="n">
        <f aca="false">D129/D126</f>
        <v>1.66002178641913</v>
      </c>
      <c r="I130" s="5" t="s">
        <v>523</v>
      </c>
    </row>
    <row r="131" customFormat="false" ht="15" hidden="false" customHeight="false" outlineLevel="0" collapsed="false">
      <c r="A131" s="5" t="s">
        <v>524</v>
      </c>
      <c r="B131" s="0" t="s">
        <v>251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525</v>
      </c>
      <c r="B132" s="0" t="s">
        <v>251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526</v>
      </c>
    </row>
    <row r="133" customFormat="false" ht="15" hidden="false" customHeight="false" outlineLevel="0" collapsed="false">
      <c r="A133" s="5" t="s">
        <v>433</v>
      </c>
      <c r="B133" s="0" t="s">
        <v>251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527</v>
      </c>
      <c r="B134" s="0" t="s">
        <v>68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440</v>
      </c>
      <c r="B135" s="0" t="s">
        <v>68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528</v>
      </c>
    </row>
    <row r="136" customFormat="false" ht="15" hidden="false" customHeight="false" outlineLevel="0" collapsed="false">
      <c r="A136" s="5" t="s">
        <v>436</v>
      </c>
      <c r="B136" s="0" t="s">
        <v>251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529</v>
      </c>
      <c r="B137" s="0" t="s">
        <v>251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530</v>
      </c>
    </row>
    <row r="138" customFormat="false" ht="15" hidden="false" customHeight="false" outlineLevel="0" collapsed="false">
      <c r="A138" s="5" t="s">
        <v>444</v>
      </c>
      <c r="B138" s="0" t="s">
        <v>251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490</v>
      </c>
      <c r="B139" s="0" t="s">
        <v>68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449</v>
      </c>
      <c r="B140" s="0" t="s">
        <v>251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491</v>
      </c>
      <c r="B141" s="0" t="s">
        <v>270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531</v>
      </c>
      <c r="B142" s="5" t="s">
        <v>389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536</v>
      </c>
    </row>
    <row r="146" customFormat="false" ht="17.15" hidden="false" customHeight="false" outlineLevel="0" collapsed="false">
      <c r="A146" s="5" t="s">
        <v>537</v>
      </c>
    </row>
    <row r="147" customFormat="false" ht="17.15" hidden="false" customHeight="false" outlineLevel="0" collapsed="false">
      <c r="A147" s="6" t="s">
        <v>538</v>
      </c>
      <c r="B147" s="6" t="s">
        <v>21</v>
      </c>
      <c r="C147" s="14" t="s">
        <v>482</v>
      </c>
      <c r="D147" s="14" t="s">
        <v>483</v>
      </c>
      <c r="E147" s="14" t="s">
        <v>484</v>
      </c>
      <c r="F147" s="14" t="s">
        <v>485</v>
      </c>
      <c r="G147" s="14" t="s">
        <v>486</v>
      </c>
      <c r="H147" s="14" t="s">
        <v>539</v>
      </c>
      <c r="I147" s="14" t="s">
        <v>540</v>
      </c>
      <c r="J147" s="14" t="s">
        <v>541</v>
      </c>
      <c r="K147" s="6" t="s">
        <v>464</v>
      </c>
    </row>
    <row r="148" customFormat="false" ht="17.15" hidden="false" customHeight="false" outlineLevel="0" collapsed="false">
      <c r="A148" s="4" t="s">
        <v>542</v>
      </c>
    </row>
    <row r="149" customFormat="false" ht="17.15" hidden="false" customHeight="false" outlineLevel="0" collapsed="false">
      <c r="A149" s="5" t="s">
        <v>433</v>
      </c>
      <c r="B149" s="0" t="s">
        <v>251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543</v>
      </c>
    </row>
    <row r="150" customFormat="false" ht="15" hidden="false" customHeight="false" outlineLevel="0" collapsed="false">
      <c r="A150" s="5" t="s">
        <v>544</v>
      </c>
      <c r="B150" s="0" t="s">
        <v>68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545</v>
      </c>
      <c r="B151" s="0" t="s">
        <v>68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546</v>
      </c>
      <c r="B152" s="0" t="s">
        <v>251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547</v>
      </c>
      <c r="B153" s="0" t="s">
        <v>270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548</v>
      </c>
    </row>
    <row r="156" customFormat="false" ht="17.15" hidden="false" customHeight="false" outlineLevel="0" collapsed="false">
      <c r="A156" s="5" t="s">
        <v>433</v>
      </c>
      <c r="B156" s="0" t="s">
        <v>251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543</v>
      </c>
    </row>
    <row r="157" customFormat="false" ht="15" hidden="false" customHeight="false" outlineLevel="0" collapsed="false">
      <c r="A157" s="5" t="s">
        <v>544</v>
      </c>
      <c r="B157" s="0" t="s">
        <v>68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545</v>
      </c>
      <c r="B158" s="0" t="s">
        <v>68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546</v>
      </c>
      <c r="B159" s="0" t="s">
        <v>251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547</v>
      </c>
      <c r="B160" s="0" t="s">
        <v>270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549</v>
      </c>
    </row>
    <row r="163" customFormat="false" ht="17.15" hidden="false" customHeight="false" outlineLevel="0" collapsed="false">
      <c r="A163" s="5" t="s">
        <v>433</v>
      </c>
      <c r="B163" s="0" t="s">
        <v>251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543</v>
      </c>
    </row>
    <row r="164" customFormat="false" ht="15" hidden="false" customHeight="false" outlineLevel="0" collapsed="false">
      <c r="A164" s="5" t="s">
        <v>544</v>
      </c>
      <c r="B164" s="0" t="s">
        <v>68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545</v>
      </c>
      <c r="B165" s="0" t="s">
        <v>68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546</v>
      </c>
      <c r="B166" s="0" t="s">
        <v>251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547</v>
      </c>
      <c r="B167" s="0" t="s">
        <v>270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552</v>
      </c>
    </row>
    <row r="4" customFormat="false" ht="15" hidden="false" customHeight="false" outlineLevel="0" collapsed="false">
      <c r="A4" s="4" t="s">
        <v>553</v>
      </c>
    </row>
    <row r="5" customFormat="false" ht="15" hidden="false" customHeight="false" outlineLevel="0" collapsed="false">
      <c r="A5" s="6" t="s">
        <v>20</v>
      </c>
      <c r="B5" s="6" t="s">
        <v>554</v>
      </c>
      <c r="C5" s="14"/>
      <c r="D5" s="14"/>
      <c r="E5" s="6" t="s">
        <v>464</v>
      </c>
    </row>
    <row r="6" customFormat="false" ht="17.15" hidden="false" customHeight="false" outlineLevel="0" collapsed="false">
      <c r="A6" s="25" t="s">
        <v>555</v>
      </c>
      <c r="B6" s="26" t="n">
        <f aca="false">tp_wA*B8+tp_wB*B9+tp_wC*B10</f>
        <v>188.684289175905</v>
      </c>
      <c r="C6" s="25"/>
      <c r="D6" s="25"/>
      <c r="E6" s="25" t="s">
        <v>556</v>
      </c>
    </row>
    <row r="7" customFormat="false" ht="17.15" hidden="false" customHeight="false" outlineLevel="0" collapsed="false">
      <c r="A7" s="5" t="s">
        <v>557</v>
      </c>
      <c r="B7" s="10" t="n">
        <f aca="false">B6/px-1</f>
        <v>0.300374150075154</v>
      </c>
      <c r="E7" s="5" t="s">
        <v>558</v>
      </c>
    </row>
    <row r="8" customFormat="false" ht="17.15" hidden="false" customHeight="false" outlineLevel="0" collapsed="false">
      <c r="A8" s="5" t="s">
        <v>559</v>
      </c>
      <c r="B8" s="16" t="n">
        <f aca="false">F44</f>
        <v>270.773933406267</v>
      </c>
      <c r="E8" s="8" t="s">
        <v>560</v>
      </c>
    </row>
    <row r="9" customFormat="false" ht="17.15" hidden="false" customHeight="false" outlineLevel="0" collapsed="false">
      <c r="A9" s="5" t="s">
        <v>561</v>
      </c>
      <c r="B9" s="16" t="n">
        <f aca="false">F51</f>
        <v>189.461747286632</v>
      </c>
      <c r="E9" s="8" t="s">
        <v>562</v>
      </c>
    </row>
    <row r="10" customFormat="false" ht="17.15" hidden="false" customHeight="false" outlineLevel="0" collapsed="false">
      <c r="A10" s="5" t="s">
        <v>563</v>
      </c>
      <c r="B10" s="16" t="n">
        <f aca="false">F58</f>
        <v>63.606177553543</v>
      </c>
      <c r="E10" s="8" t="s">
        <v>564</v>
      </c>
    </row>
    <row r="11" customFormat="false" ht="17.15" hidden="false" customHeight="false" outlineLevel="0" collapsed="false">
      <c r="A11" s="5" t="s">
        <v>565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566</v>
      </c>
    </row>
    <row r="12" customFormat="false" ht="17.15" hidden="false" customHeight="false" outlineLevel="0" collapsed="false">
      <c r="A12" s="5" t="s">
        <v>567</v>
      </c>
      <c r="B12" s="0" t="s">
        <v>568</v>
      </c>
    </row>
    <row r="14" customFormat="false" ht="17.15" hidden="false" customHeight="false" outlineLevel="0" collapsed="false">
      <c r="A14" s="1" t="s">
        <v>569</v>
      </c>
    </row>
    <row r="15" customFormat="false" ht="17.15" hidden="false" customHeight="false" outlineLevel="0" collapsed="false">
      <c r="A15" s="6" t="s">
        <v>570</v>
      </c>
      <c r="B15" s="6" t="s">
        <v>571</v>
      </c>
      <c r="C15" s="6" t="s">
        <v>572</v>
      </c>
      <c r="D15" s="6" t="s">
        <v>573</v>
      </c>
      <c r="E15" s="6" t="s">
        <v>25</v>
      </c>
      <c r="F15" s="6" t="s">
        <v>574</v>
      </c>
    </row>
    <row r="16" customFormat="false" ht="17.15" hidden="false" customHeight="false" outlineLevel="0" collapsed="false">
      <c r="A16" s="0" t="s">
        <v>575</v>
      </c>
      <c r="B16" s="28" t="n">
        <v>12.14</v>
      </c>
      <c r="C16" s="20"/>
      <c r="D16" s="20" t="str">
        <f aca="false">IF(OR(B16="",C16=""),"",B16-C16)</f>
        <v/>
      </c>
      <c r="E16" s="8" t="s">
        <v>576</v>
      </c>
      <c r="F16" s="5" t="s">
        <v>577</v>
      </c>
    </row>
    <row r="17" customFormat="false" ht="17.15" hidden="false" customHeight="false" outlineLevel="0" collapsed="false">
      <c r="A17" s="0" t="s">
        <v>578</v>
      </c>
      <c r="B17" s="28" t="n">
        <v>12.33</v>
      </c>
      <c r="C17" s="20"/>
      <c r="D17" s="20" t="str">
        <f aca="false">IF(OR(B17="",C17=""),"",B17-C17)</f>
        <v/>
      </c>
      <c r="E17" s="8" t="s">
        <v>576</v>
      </c>
      <c r="F17" s="5" t="s">
        <v>579</v>
      </c>
    </row>
    <row r="18" customFormat="false" ht="17.15" hidden="false" customHeight="false" outlineLevel="0" collapsed="false">
      <c r="A18" s="0" t="s">
        <v>580</v>
      </c>
      <c r="B18" s="28" t="n">
        <v>8.01</v>
      </c>
      <c r="C18" s="20"/>
      <c r="D18" s="20" t="str">
        <f aca="false">IF(OR(B18="",C18=""),"",B18-C18)</f>
        <v/>
      </c>
      <c r="E18" s="8" t="s">
        <v>576</v>
      </c>
      <c r="F18" s="5" t="s">
        <v>579</v>
      </c>
    </row>
    <row r="19" customFormat="false" ht="17.15" hidden="false" customHeight="false" outlineLevel="0" collapsed="false">
      <c r="A19" s="0" t="s">
        <v>581</v>
      </c>
      <c r="B19" s="28" t="n">
        <v>27.37</v>
      </c>
      <c r="C19" s="20"/>
      <c r="D19" s="20" t="str">
        <f aca="false">IF(OR(B19="",C19=""),"",B19-C19)</f>
        <v/>
      </c>
      <c r="E19" s="8" t="s">
        <v>576</v>
      </c>
      <c r="F19" s="5" t="s">
        <v>579</v>
      </c>
    </row>
    <row r="20" customFormat="false" ht="17.15" hidden="false" customHeight="false" outlineLevel="0" collapsed="false">
      <c r="A20" s="0" t="s">
        <v>582</v>
      </c>
      <c r="B20" s="28" t="n">
        <v>26.94</v>
      </c>
      <c r="C20" s="20"/>
      <c r="D20" s="20" t="str">
        <f aca="false">IF(OR(B20="",C20=""),"",B20-C20)</f>
        <v/>
      </c>
      <c r="E20" s="8" t="s">
        <v>576</v>
      </c>
      <c r="F20" s="5" t="s">
        <v>579</v>
      </c>
    </row>
    <row r="21" customFormat="false" ht="17.15" hidden="false" customHeight="false" outlineLevel="0" collapsed="false">
      <c r="A21" s="0" t="s">
        <v>583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576</v>
      </c>
      <c r="F21" s="8" t="s">
        <v>584</v>
      </c>
    </row>
    <row r="22" customFormat="false" ht="17.15" hidden="false" customHeight="false" outlineLevel="0" collapsed="false">
      <c r="A22" s="0" t="s">
        <v>585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576</v>
      </c>
      <c r="F22" s="8" t="s">
        <v>586</v>
      </c>
    </row>
    <row r="23" customFormat="false" ht="17.15" hidden="false" customHeight="false" outlineLevel="0" collapsed="false">
      <c r="A23" s="0" t="s">
        <v>587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576</v>
      </c>
      <c r="F23" s="8" t="s">
        <v>586</v>
      </c>
    </row>
    <row r="24" customFormat="false" ht="17.15" hidden="false" customHeight="false" outlineLevel="0" collapsed="false">
      <c r="A24" s="0" t="s">
        <v>588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576</v>
      </c>
      <c r="F24" s="8" t="s">
        <v>586</v>
      </c>
    </row>
    <row r="25" customFormat="false" ht="17.15" hidden="false" customHeight="false" outlineLevel="0" collapsed="false">
      <c r="A25" s="0" t="s">
        <v>589</v>
      </c>
      <c r="B25" s="20"/>
      <c r="C25" s="28" t="n">
        <v>80.1</v>
      </c>
      <c r="D25" s="20" t="str">
        <f aca="false">IF(OR(B25="",C25=""),"",B25-C25)</f>
        <v/>
      </c>
      <c r="E25" s="8" t="s">
        <v>576</v>
      </c>
      <c r="F25" s="8" t="s">
        <v>590</v>
      </c>
    </row>
    <row r="26" customFormat="false" ht="17.15" hidden="false" customHeight="false" outlineLevel="0" collapsed="false">
      <c r="A26" s="5" t="s">
        <v>591</v>
      </c>
    </row>
    <row r="28" customFormat="false" ht="17.15" hidden="false" customHeight="false" outlineLevel="0" collapsed="false">
      <c r="A28" s="1" t="s">
        <v>592</v>
      </c>
    </row>
    <row r="29" customFormat="false" ht="17.15" hidden="false" customHeight="false" outlineLevel="0" collapsed="false">
      <c r="A29" s="6" t="s">
        <v>593</v>
      </c>
      <c r="B29" s="6" t="s">
        <v>594</v>
      </c>
      <c r="C29" s="6" t="s">
        <v>26</v>
      </c>
      <c r="D29" s="6" t="s">
        <v>595</v>
      </c>
      <c r="E29" s="6" t="s">
        <v>596</v>
      </c>
    </row>
    <row r="30" customFormat="false" ht="17.15" hidden="false" customHeight="false" outlineLevel="0" collapsed="false">
      <c r="A30" s="0" t="s">
        <v>597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598</v>
      </c>
    </row>
    <row r="31" customFormat="false" ht="15" hidden="false" customHeight="false" outlineLevel="0" collapsed="false">
      <c r="A31" s="5" t="s">
        <v>599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600</v>
      </c>
    </row>
    <row r="32" customFormat="false" ht="17.15" hidden="false" customHeight="false" outlineLevel="0" collapsed="false">
      <c r="A32" s="0" t="s">
        <v>601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602</v>
      </c>
    </row>
    <row r="33" customFormat="false" ht="15" hidden="false" customHeight="false" outlineLevel="0" collapsed="false">
      <c r="A33" s="5" t="s">
        <v>603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604</v>
      </c>
    </row>
    <row r="36" customFormat="false" ht="17.15" hidden="false" customHeight="false" outlineLevel="0" collapsed="false">
      <c r="A36" s="5" t="s">
        <v>605</v>
      </c>
    </row>
    <row r="37" customFormat="false" ht="17.15" hidden="false" customHeight="false" outlineLevel="0" collapsed="false">
      <c r="A37" s="6" t="s">
        <v>606</v>
      </c>
      <c r="B37" s="6" t="s">
        <v>607</v>
      </c>
      <c r="C37" s="14" t="s">
        <v>608</v>
      </c>
      <c r="D37" s="6" t="s">
        <v>609</v>
      </c>
      <c r="E37" s="6" t="s">
        <v>610</v>
      </c>
      <c r="F37" s="6" t="s">
        <v>611</v>
      </c>
    </row>
    <row r="38" customFormat="false" ht="15" hidden="false" customHeight="false" outlineLevel="0" collapsed="false">
      <c r="A38" s="0" t="s">
        <v>612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613</v>
      </c>
    </row>
    <row r="39" customFormat="false" ht="15" hidden="false" customHeight="false" outlineLevel="0" collapsed="false">
      <c r="A39" s="0" t="s">
        <v>614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613</v>
      </c>
    </row>
    <row r="40" customFormat="false" ht="15" hidden="false" customHeight="false" outlineLevel="0" collapsed="false">
      <c r="A40" s="0" t="s">
        <v>615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613</v>
      </c>
    </row>
    <row r="42" customFormat="false" ht="17.15" hidden="false" customHeight="false" outlineLevel="0" collapsed="false">
      <c r="A42" s="1" t="s">
        <v>616</v>
      </c>
    </row>
    <row r="43" customFormat="false" ht="17.15" hidden="false" customHeight="false" outlineLevel="0" collapsed="false">
      <c r="A43" s="6" t="s">
        <v>606</v>
      </c>
      <c r="B43" s="14" t="s">
        <v>617</v>
      </c>
      <c r="C43" s="14" t="s">
        <v>491</v>
      </c>
      <c r="D43" s="6" t="s">
        <v>618</v>
      </c>
      <c r="E43" s="6" t="s">
        <v>610</v>
      </c>
      <c r="F43" s="6" t="s">
        <v>619</v>
      </c>
      <c r="G43" s="6" t="s">
        <v>620</v>
      </c>
      <c r="H43" s="6" t="s">
        <v>621</v>
      </c>
    </row>
    <row r="44" customFormat="false" ht="15" hidden="false" customHeight="false" outlineLevel="0" collapsed="false">
      <c r="A44" s="29" t="s">
        <v>612</v>
      </c>
      <c r="B44" s="29" t="s">
        <v>484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612</v>
      </c>
      <c r="B45" s="0" t="s">
        <v>484</v>
      </c>
      <c r="C45" s="18" t="n">
        <f aca="false">PL!E12</f>
        <v>7.07166188055019</v>
      </c>
      <c r="D45" s="5" t="s">
        <v>622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612</v>
      </c>
      <c r="B46" s="0" t="s">
        <v>484</v>
      </c>
      <c r="C46" s="18" t="n">
        <f aca="false">PL!E12</f>
        <v>7.07166188055019</v>
      </c>
      <c r="D46" s="5" t="s">
        <v>623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612</v>
      </c>
      <c r="B47" s="0" t="s">
        <v>484</v>
      </c>
      <c r="C47" s="18" t="n">
        <f aca="false">PL!E12</f>
        <v>7.07166188055019</v>
      </c>
      <c r="D47" s="5" t="s">
        <v>624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612</v>
      </c>
      <c r="B48" s="0" t="s">
        <v>485</v>
      </c>
      <c r="C48" s="18" t="n">
        <f aca="false">PL!F12</f>
        <v>9.37229177092922</v>
      </c>
      <c r="D48" s="5" t="s">
        <v>622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612</v>
      </c>
      <c r="B49" s="0" t="s">
        <v>485</v>
      </c>
      <c r="C49" s="18" t="n">
        <f aca="false">PL!F12</f>
        <v>9.37229177092922</v>
      </c>
      <c r="D49" s="5" t="s">
        <v>623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612</v>
      </c>
      <c r="B50" s="0" t="s">
        <v>485</v>
      </c>
      <c r="C50" s="18" t="n">
        <f aca="false">PL!F12</f>
        <v>9.37229177092922</v>
      </c>
      <c r="D50" s="5" t="s">
        <v>624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614</v>
      </c>
      <c r="B51" s="29" t="s">
        <v>484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614</v>
      </c>
      <c r="B52" s="0" t="s">
        <v>484</v>
      </c>
      <c r="C52" s="18" t="n">
        <f aca="false">PL!E22</f>
        <v>4.94807383877337</v>
      </c>
      <c r="D52" s="5" t="s">
        <v>622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614</v>
      </c>
      <c r="B53" s="0" t="s">
        <v>484</v>
      </c>
      <c r="C53" s="18" t="n">
        <f aca="false">PL!E22</f>
        <v>4.94807383877337</v>
      </c>
      <c r="D53" s="5" t="s">
        <v>623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614</v>
      </c>
      <c r="B54" s="0" t="s">
        <v>484</v>
      </c>
      <c r="C54" s="18" t="n">
        <f aca="false">PL!E22</f>
        <v>4.94807383877337</v>
      </c>
      <c r="D54" s="5" t="s">
        <v>624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614</v>
      </c>
      <c r="B55" s="0" t="s">
        <v>485</v>
      </c>
      <c r="C55" s="18" t="n">
        <f aca="false">PL!F22</f>
        <v>6.5864430824055</v>
      </c>
      <c r="D55" s="5" t="s">
        <v>622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614</v>
      </c>
      <c r="B56" s="0" t="s">
        <v>485</v>
      </c>
      <c r="C56" s="18" t="n">
        <f aca="false">PL!F22</f>
        <v>6.5864430824055</v>
      </c>
      <c r="D56" s="5" t="s">
        <v>623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614</v>
      </c>
      <c r="B57" s="0" t="s">
        <v>485</v>
      </c>
      <c r="C57" s="18" t="n">
        <f aca="false">PL!F22</f>
        <v>6.5864430824055</v>
      </c>
      <c r="D57" s="5" t="s">
        <v>624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615</v>
      </c>
      <c r="B58" s="29" t="s">
        <v>484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615</v>
      </c>
      <c r="B59" s="0" t="s">
        <v>484</v>
      </c>
      <c r="C59" s="18" t="n">
        <f aca="false">PL!E32</f>
        <v>3.85959815252081</v>
      </c>
      <c r="D59" s="5" t="s">
        <v>622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615</v>
      </c>
      <c r="B60" s="0" t="s">
        <v>484</v>
      </c>
      <c r="C60" s="18" t="n">
        <f aca="false">PL!E32</f>
        <v>3.85959815252081</v>
      </c>
      <c r="D60" s="5" t="s">
        <v>623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615</v>
      </c>
      <c r="B61" s="0" t="s">
        <v>484</v>
      </c>
      <c r="C61" s="18" t="n">
        <f aca="false">PL!E32</f>
        <v>3.85959815252081</v>
      </c>
      <c r="D61" s="5" t="s">
        <v>624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615</v>
      </c>
      <c r="B62" s="0" t="s">
        <v>485</v>
      </c>
      <c r="C62" s="18" t="n">
        <f aca="false">PL!F32</f>
        <v>3.25678101584663</v>
      </c>
      <c r="D62" s="5" t="s">
        <v>622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615</v>
      </c>
      <c r="B63" s="0" t="s">
        <v>485</v>
      </c>
      <c r="C63" s="18" t="n">
        <f aca="false">PL!F32</f>
        <v>3.25678101584663</v>
      </c>
      <c r="D63" s="5" t="s">
        <v>623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615</v>
      </c>
      <c r="B64" s="0" t="s">
        <v>485</v>
      </c>
      <c r="C64" s="18" t="n">
        <f aca="false">PL!F32</f>
        <v>3.25678101584663</v>
      </c>
      <c r="D64" s="5" t="s">
        <v>624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625</v>
      </c>
    </row>
    <row r="67" customFormat="false" ht="15" hidden="false" customHeight="false" outlineLevel="0" collapsed="false">
      <c r="A67" s="6" t="s">
        <v>20</v>
      </c>
      <c r="B67" s="14" t="s">
        <v>612</v>
      </c>
      <c r="C67" s="14" t="s">
        <v>614</v>
      </c>
      <c r="D67" s="14" t="s">
        <v>615</v>
      </c>
      <c r="E67" s="6" t="s">
        <v>621</v>
      </c>
    </row>
    <row r="68" customFormat="false" ht="17.15" hidden="false" customHeight="false" outlineLevel="0" collapsed="false">
      <c r="A68" s="5" t="s">
        <v>626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627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628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629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630</v>
      </c>
      <c r="B72" s="7" t="n">
        <v>39.84</v>
      </c>
      <c r="E72" s="5" t="s">
        <v>631</v>
      </c>
    </row>
    <row r="73" customFormat="false" ht="17.15" hidden="false" customHeight="false" outlineLevel="0" collapsed="false">
      <c r="A73" s="5" t="s">
        <v>632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633</v>
      </c>
      <c r="B74" s="18" t="n">
        <f aca="false">B70/E38</f>
        <v>0.535871374968333</v>
      </c>
      <c r="E74" s="8" t="s">
        <v>634</v>
      </c>
    </row>
    <row r="77" customFormat="false" ht="17.15" hidden="false" customHeight="false" outlineLevel="0" collapsed="false">
      <c r="A77" s="1" t="s">
        <v>635</v>
      </c>
    </row>
    <row r="78" customFormat="false" ht="17.15" hidden="false" customHeight="false" outlineLevel="0" collapsed="false">
      <c r="A78" s="1" t="s">
        <v>636</v>
      </c>
    </row>
    <row r="79" customFormat="false" ht="17.15" hidden="false" customHeight="false" outlineLevel="0" collapsed="false">
      <c r="A79" s="6" t="s">
        <v>20</v>
      </c>
      <c r="B79" s="14" t="s">
        <v>637</v>
      </c>
      <c r="C79" s="14" t="s">
        <v>638</v>
      </c>
      <c r="D79" s="14" t="s">
        <v>639</v>
      </c>
      <c r="E79" s="6" t="s">
        <v>464</v>
      </c>
    </row>
    <row r="80" customFormat="false" ht="17.15" hidden="false" customHeight="false" outlineLevel="0" collapsed="false">
      <c r="A80" s="5" t="s">
        <v>640</v>
      </c>
      <c r="E80" s="0" t="s">
        <v>641</v>
      </c>
    </row>
    <row r="81" customFormat="false" ht="15" hidden="false" customHeight="false" outlineLevel="0" collapsed="false">
      <c r="A81" s="0" t="s">
        <v>642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643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644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645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646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647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648</v>
      </c>
      <c r="E87" s="5" t="s">
        <v>649</v>
      </c>
    </row>
    <row r="88" customFormat="false" ht="17.15" hidden="false" customHeight="false" outlineLevel="0" collapsed="false">
      <c r="A88" s="5" t="s">
        <v>650</v>
      </c>
      <c r="B88" s="10" t="n">
        <f aca="false">MIN(tp_g/tp_roe,0.8)</f>
        <v>0.117797192500245</v>
      </c>
      <c r="E88" s="8" t="s">
        <v>651</v>
      </c>
    </row>
    <row r="89" customFormat="false" ht="15" hidden="false" customHeight="false" outlineLevel="0" collapsed="false">
      <c r="A89" s="0" t="s">
        <v>642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643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644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645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646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647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652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653</v>
      </c>
    </row>
    <row r="96" customFormat="false" ht="17.15" hidden="false" customHeight="false" outlineLevel="0" collapsed="false">
      <c r="A96" s="0" t="s">
        <v>654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655</v>
      </c>
      <c r="B97" s="33" t="n">
        <f aca="false">tp_wA*B96+tp_wB*C96+tp_wC*D96</f>
        <v>97.6798684202028</v>
      </c>
      <c r="E97" s="8" t="s">
        <v>656</v>
      </c>
    </row>
    <row r="99" customFormat="false" ht="17.15" hidden="false" customHeight="false" outlineLevel="0" collapsed="false">
      <c r="A99" s="1" t="s">
        <v>657</v>
      </c>
    </row>
    <row r="100" customFormat="false" ht="17.15" hidden="false" customHeight="false" outlineLevel="0" collapsed="false">
      <c r="A100" s="6" t="s">
        <v>658</v>
      </c>
      <c r="B100" s="6" t="s">
        <v>659</v>
      </c>
      <c r="C100" s="6" t="s">
        <v>660</v>
      </c>
      <c r="D100" s="6" t="s">
        <v>661</v>
      </c>
      <c r="E100" s="6" t="s">
        <v>662</v>
      </c>
      <c r="F100" s="6" t="s">
        <v>25</v>
      </c>
    </row>
    <row r="101" customFormat="false" ht="17.15" hidden="false" customHeight="false" outlineLevel="0" collapsed="false">
      <c r="A101" s="0" t="s">
        <v>663</v>
      </c>
      <c r="B101" s="0" t="s">
        <v>664</v>
      </c>
      <c r="C101" s="28" t="n">
        <v>25.77</v>
      </c>
      <c r="D101" s="8" t="s">
        <v>665</v>
      </c>
      <c r="E101" s="8" t="s">
        <v>666</v>
      </c>
      <c r="F101" s="8" t="s">
        <v>240</v>
      </c>
    </row>
    <row r="102" customFormat="false" ht="17.15" hidden="false" customHeight="false" outlineLevel="0" collapsed="false">
      <c r="A102" s="0" t="s">
        <v>667</v>
      </c>
      <c r="B102" s="0" t="s">
        <v>668</v>
      </c>
      <c r="C102" s="28" t="n">
        <v>30.26</v>
      </c>
      <c r="D102" s="8" t="s">
        <v>669</v>
      </c>
      <c r="E102" s="8" t="s">
        <v>670</v>
      </c>
      <c r="F102" s="8" t="s">
        <v>240</v>
      </c>
    </row>
    <row r="103" customFormat="false" ht="17.15" hidden="false" customHeight="false" outlineLevel="0" collapsed="false">
      <c r="A103" s="0" t="s">
        <v>671</v>
      </c>
      <c r="B103" s="0" t="s">
        <v>672</v>
      </c>
      <c r="C103" s="28" t="n">
        <v>12.61</v>
      </c>
      <c r="D103" s="8" t="s">
        <v>665</v>
      </c>
      <c r="E103" s="8" t="s">
        <v>673</v>
      </c>
      <c r="F103" s="8" t="s">
        <v>240</v>
      </c>
    </row>
    <row r="104" customFormat="false" ht="17.15" hidden="false" customHeight="false" outlineLevel="0" collapsed="false">
      <c r="A104" s="0" t="s">
        <v>674</v>
      </c>
      <c r="B104" s="0" t="s">
        <v>675</v>
      </c>
      <c r="C104" s="28" t="n">
        <v>26.01</v>
      </c>
      <c r="D104" s="8" t="s">
        <v>665</v>
      </c>
      <c r="E104" s="8" t="s">
        <v>673</v>
      </c>
      <c r="F104" s="8" t="s">
        <v>240</v>
      </c>
    </row>
    <row r="105" customFormat="false" ht="17.15" hidden="false" customHeight="false" outlineLevel="0" collapsed="false">
      <c r="A105" s="5" t="s">
        <v>676</v>
      </c>
      <c r="B105" s="0" t="s">
        <v>677</v>
      </c>
      <c r="C105" s="28" t="n">
        <v>44.63</v>
      </c>
      <c r="D105" s="8" t="s">
        <v>678</v>
      </c>
      <c r="E105" s="8" t="s">
        <v>679</v>
      </c>
      <c r="F105" s="8" t="s">
        <v>240</v>
      </c>
    </row>
    <row r="106" customFormat="false" ht="17.15" hidden="false" customHeight="false" outlineLevel="0" collapsed="false">
      <c r="A106" s="5" t="s">
        <v>680</v>
      </c>
      <c r="B106" s="20" t="n">
        <f aca="false">MEDIAN(C101:C105)</f>
        <v>26.01</v>
      </c>
      <c r="E106" s="5" t="s">
        <v>681</v>
      </c>
    </row>
    <row r="107" customFormat="false" ht="17.15" hidden="false" customHeight="false" outlineLevel="0" collapsed="false">
      <c r="A107" s="0" t="s">
        <v>682</v>
      </c>
      <c r="B107" s="13" t="n">
        <f aca="false">tp_wA*(2/12*B81+10/12*B82)+tp_wB*(2/12*C81+10/12*C82)+tp_wC*(2/12*D81+10/12*D82)</f>
        <v>6.52479691538502</v>
      </c>
      <c r="E107" s="5" t="s">
        <v>683</v>
      </c>
    </row>
    <row r="108" customFormat="false" ht="17.15" hidden="false" customHeight="false" outlineLevel="0" collapsed="false">
      <c r="A108" s="0" t="s">
        <v>684</v>
      </c>
      <c r="B108" s="33" t="n">
        <f aca="false">B106*B107</f>
        <v>169.709967769164</v>
      </c>
      <c r="E108" s="5" t="s">
        <v>685</v>
      </c>
    </row>
    <row r="110" customFormat="false" ht="17.15" hidden="false" customHeight="false" outlineLevel="0" collapsed="false">
      <c r="A110" s="1" t="s">
        <v>686</v>
      </c>
    </row>
    <row r="111" customFormat="false" ht="15" hidden="false" customHeight="false" outlineLevel="0" collapsed="false">
      <c r="A111" s="6" t="s">
        <v>20</v>
      </c>
      <c r="B111" s="6" t="s">
        <v>554</v>
      </c>
      <c r="C111" s="14"/>
      <c r="D111" s="14"/>
      <c r="E111" s="6" t="s">
        <v>464</v>
      </c>
    </row>
    <row r="112" customFormat="false" ht="17.15" hidden="false" customHeight="false" outlineLevel="0" collapsed="false">
      <c r="A112" s="5" t="s">
        <v>687</v>
      </c>
      <c r="B112" s="33" t="n">
        <f aca="false">tp_w_dcf*B97+(1-tp_w_dcf)*B108</f>
        <v>133.694918094684</v>
      </c>
      <c r="E112" s="8" t="s">
        <v>688</v>
      </c>
    </row>
    <row r="113" customFormat="false" ht="17.15" hidden="false" customHeight="false" outlineLevel="0" collapsed="false">
      <c r="A113" s="0" t="s">
        <v>689</v>
      </c>
      <c r="B113" s="13" t="n">
        <f aca="false">B108</f>
        <v>169.709967769164</v>
      </c>
      <c r="E113" s="5" t="s">
        <v>690</v>
      </c>
    </row>
    <row r="114" customFormat="false" ht="17.15" hidden="false" customHeight="false" outlineLevel="0" collapsed="false">
      <c r="A114" s="5" t="s">
        <v>691</v>
      </c>
      <c r="B114" s="13" t="n">
        <f aca="false">cons_tp</f>
        <v>270.57</v>
      </c>
      <c r="E114" s="8" t="s">
        <v>417</v>
      </c>
    </row>
    <row r="115" customFormat="false" ht="17.15" hidden="false" customHeight="false" outlineLevel="0" collapsed="false">
      <c r="A115" s="5" t="s">
        <v>692</v>
      </c>
      <c r="B115" s="10" t="n">
        <f aca="false">B112/px-1</f>
        <v>-0.0786015293267841</v>
      </c>
      <c r="E115" s="5" t="s">
        <v>693</v>
      </c>
    </row>
    <row r="116" customFormat="false" ht="17.15" hidden="false" customHeight="false" outlineLevel="0" collapsed="false">
      <c r="A116" s="5" t="s">
        <v>694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695</v>
      </c>
      <c r="B117" s="10" t="n">
        <f aca="false">B107/cons_feps-1</f>
        <v>-0.198805200411147</v>
      </c>
      <c r="E117" s="5" t="s">
        <v>696</v>
      </c>
    </row>
    <row r="118" customFormat="false" ht="17.15" hidden="false" customHeight="false" outlineLevel="0" collapsed="false">
      <c r="A118" s="5" t="s">
        <v>697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698</v>
      </c>
      <c r="B119" s="34" t="str">
        <f aca="false">TEXT(D96,"#,##0.0")&amp;"～"&amp;TEXT(B96,"#,##0.0")</f>
        <v>44.8～158.4</v>
      </c>
      <c r="E119" s="8" t="s">
        <v>699</v>
      </c>
    </row>
    <row r="120" customFormat="false" ht="17.15" hidden="false" customHeight="false" outlineLevel="0" collapsed="false">
      <c r="A120" s="5" t="s">
        <v>700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701</v>
      </c>
    </row>
    <row r="121" customFormat="false" ht="17.15" hidden="false" customHeight="false" outlineLevel="0" collapsed="false">
      <c r="A121" s="5" t="s">
        <v>702</v>
      </c>
      <c r="B121" s="0" t="s">
        <v>703</v>
      </c>
    </row>
    <row r="123" customFormat="false" ht="17.15" hidden="false" customHeight="false" outlineLevel="0" collapsed="false">
      <c r="A123" s="5" t="s">
        <v>704</v>
      </c>
      <c r="B123" s="34" t="str">
        <f aca="false">IF(B115&gt;0.5,"大於 50%",IF(B115&gt;0.25,"25%–50%",IF(B115&gt;=0,"0%–25%",IF(B115&gt;=-0.25,"0%～−25%",IF(B115&gt;=-0.5,"−25%～−50%","小於 −50%")))))</f>
        <v>0%～−25%</v>
      </c>
      <c r="E123" s="5" t="s">
        <v>705</v>
      </c>
    </row>
    <row r="124" customFormat="false" ht="17.15" hidden="false" customHeight="false" outlineLevel="0" collapsed="false">
      <c r="A124" s="5" t="s">
        <v>706</v>
      </c>
      <c r="B124" s="34" t="str">
        <f aca="false">IF(B115&gt;0.5,"強力買進",IF(B115&gt;0.25,"買進",IF(B115&gt;=-0.25,"中立",IF(B115&gt;=-0.5,"放空","強力放空"))))</f>
        <v>中立</v>
      </c>
      <c r="E124" s="5" t="s">
        <v>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708</v>
      </c>
    </row>
    <row r="3" customFormat="false" ht="17.15" hidden="false" customHeight="false" outlineLevel="0" collapsed="false">
      <c r="A3" s="6" t="s">
        <v>20</v>
      </c>
      <c r="B3" s="6" t="s">
        <v>709</v>
      </c>
      <c r="C3" s="6" t="s">
        <v>710</v>
      </c>
      <c r="D3" s="6" t="s">
        <v>711</v>
      </c>
      <c r="E3" s="6" t="s">
        <v>712</v>
      </c>
      <c r="F3" s="6" t="s">
        <v>713</v>
      </c>
      <c r="G3" s="6" t="s">
        <v>714</v>
      </c>
      <c r="H3" s="6" t="s">
        <v>715</v>
      </c>
      <c r="I3" s="6" t="s">
        <v>716</v>
      </c>
      <c r="J3" s="6" t="s">
        <v>464</v>
      </c>
    </row>
    <row r="4" customFormat="false" ht="17.15" hidden="false" customHeight="false" outlineLevel="0" collapsed="false">
      <c r="A4" s="1" t="s">
        <v>717</v>
      </c>
    </row>
    <row r="5" customFormat="false" ht="17.15" hidden="false" customHeight="false" outlineLevel="0" collapsed="false">
      <c r="A5" s="5" t="s">
        <v>433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370</v>
      </c>
      <c r="J5" s="5" t="s">
        <v>718</v>
      </c>
    </row>
    <row r="6" customFormat="false" ht="17.15" hidden="false" customHeight="false" outlineLevel="0" collapsed="false">
      <c r="A6" s="0" t="s">
        <v>719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370</v>
      </c>
      <c r="J6" s="8" t="s">
        <v>720</v>
      </c>
    </row>
    <row r="7" customFormat="false" ht="17.15" hidden="false" customHeight="false" outlineLevel="0" collapsed="false">
      <c r="A7" s="1" t="s">
        <v>721</v>
      </c>
    </row>
    <row r="8" customFormat="false" ht="17.15" hidden="false" customHeight="false" outlineLevel="0" collapsed="false">
      <c r="A8" s="0" t="s">
        <v>722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723</v>
      </c>
    </row>
    <row r="9" customFormat="false" ht="17.15" hidden="false" customHeight="false" outlineLevel="0" collapsed="false">
      <c r="A9" s="0" t="s">
        <v>724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723</v>
      </c>
    </row>
    <row r="10" customFormat="false" ht="17.15" hidden="false" customHeight="false" outlineLevel="0" collapsed="false">
      <c r="A10" s="0" t="s">
        <v>725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723</v>
      </c>
    </row>
    <row r="11" customFormat="false" ht="17.15" hidden="false" customHeight="false" outlineLevel="0" collapsed="false">
      <c r="A11" s="0" t="s">
        <v>726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723</v>
      </c>
    </row>
    <row r="12" customFormat="false" ht="17.15" hidden="false" customHeight="false" outlineLevel="0" collapsed="false">
      <c r="A12" s="1" t="s">
        <v>727</v>
      </c>
    </row>
    <row r="13" customFormat="false" ht="17.15" hidden="false" customHeight="false" outlineLevel="0" collapsed="false">
      <c r="A13" s="0" t="s">
        <v>728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729</v>
      </c>
      <c r="J13" s="8" t="s">
        <v>240</v>
      </c>
    </row>
    <row r="14" customFormat="false" ht="17.15" hidden="false" customHeight="false" outlineLevel="0" collapsed="false">
      <c r="A14" s="0" t="s">
        <v>730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37</v>
      </c>
    </row>
    <row r="15" customFormat="false" ht="17.15" hidden="false" customHeight="false" outlineLevel="0" collapsed="false">
      <c r="A15" s="0" t="s">
        <v>731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732</v>
      </c>
      <c r="J15" s="5" t="s">
        <v>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734</v>
      </c>
    </row>
    <row r="3" customFormat="false" ht="17.15" hidden="false" customHeight="false" outlineLevel="0" collapsed="false">
      <c r="A3" s="6" t="s">
        <v>735</v>
      </c>
      <c r="B3" s="6" t="s">
        <v>736</v>
      </c>
      <c r="C3" s="14" t="s">
        <v>737</v>
      </c>
      <c r="D3" s="14" t="s">
        <v>738</v>
      </c>
      <c r="E3" s="6" t="s">
        <v>739</v>
      </c>
      <c r="F3" s="14" t="s">
        <v>740</v>
      </c>
      <c r="G3" s="14" t="s">
        <v>741</v>
      </c>
      <c r="H3" s="6" t="s">
        <v>739</v>
      </c>
    </row>
    <row r="4" customFormat="false" ht="17.15" hidden="false" customHeight="false" outlineLevel="0" collapsed="false">
      <c r="A4" s="5" t="s">
        <v>742</v>
      </c>
      <c r="B4" s="0" t="s">
        <v>743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744</v>
      </c>
      <c r="B5" s="0" t="s">
        <v>745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746</v>
      </c>
      <c r="B6" s="0" t="s">
        <v>747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748</v>
      </c>
      <c r="B7" s="0" t="s">
        <v>749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750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751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752</v>
      </c>
      <c r="B10" s="0" t="s">
        <v>753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754</v>
      </c>
      <c r="B11" s="0" t="s">
        <v>755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756</v>
      </c>
      <c r="B12" s="5" t="s">
        <v>757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758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759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760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761</v>
      </c>
      <c r="B16" s="0" t="s">
        <v>762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763</v>
      </c>
      <c r="B17" s="0" t="s">
        <v>764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765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766</v>
      </c>
      <c r="B19" s="5" t="s">
        <v>767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768</v>
      </c>
      <c r="B20" s="5" t="s">
        <v>769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770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771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772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773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774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775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776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777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778</v>
      </c>
      <c r="B29" s="5" t="s">
        <v>779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780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781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782</v>
      </c>
      <c r="B32" s="5" t="s">
        <v>783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784</v>
      </c>
      <c r="B33" s="5" t="s">
        <v>785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786</v>
      </c>
    </row>
    <row r="60" customFormat="false" ht="17.15" hidden="false" customHeight="false" outlineLevel="0" collapsed="false">
      <c r="A60" s="4" t="s">
        <v>787</v>
      </c>
    </row>
    <row r="61" customFormat="false" ht="15" hidden="false" customHeight="false" outlineLevel="0" collapsed="false">
      <c r="A61" s="6" t="s">
        <v>20</v>
      </c>
      <c r="B61" s="6" t="s">
        <v>21</v>
      </c>
      <c r="C61" s="14" t="s">
        <v>458</v>
      </c>
      <c r="D61" s="14" t="s">
        <v>459</v>
      </c>
      <c r="E61" s="14" t="s">
        <v>460</v>
      </c>
      <c r="F61" s="14" t="s">
        <v>461</v>
      </c>
      <c r="G61" s="14" t="s">
        <v>462</v>
      </c>
      <c r="H61" s="14" t="s">
        <v>463</v>
      </c>
      <c r="I61" s="6" t="s">
        <v>464</v>
      </c>
    </row>
    <row r="62" customFormat="false" ht="17.15" hidden="false" customHeight="false" outlineLevel="0" collapsed="false">
      <c r="A62" s="1" t="s">
        <v>494</v>
      </c>
    </row>
    <row r="63" customFormat="false" ht="17.15" hidden="false" customHeight="false" outlineLevel="0" collapsed="false">
      <c r="A63" s="0" t="s">
        <v>495</v>
      </c>
      <c r="B63" s="0" t="s">
        <v>31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496</v>
      </c>
    </row>
    <row r="64" customFormat="false" ht="17.15" hidden="false" customHeight="false" outlineLevel="0" collapsed="false">
      <c r="A64" s="0" t="s">
        <v>497</v>
      </c>
      <c r="B64" s="0" t="s">
        <v>498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499</v>
      </c>
      <c r="B65" s="5" t="s">
        <v>468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500</v>
      </c>
    </row>
    <row r="66" customFormat="false" ht="15" hidden="false" customHeight="false" outlineLevel="0" collapsed="false">
      <c r="A66" s="5" t="s">
        <v>501</v>
      </c>
      <c r="B66" s="5" t="s">
        <v>95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502</v>
      </c>
      <c r="B67" s="0" t="s">
        <v>115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503</v>
      </c>
      <c r="B68" s="0" t="s">
        <v>68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505</v>
      </c>
      <c r="B69" s="5" t="s">
        <v>506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507</v>
      </c>
      <c r="B70" s="5" t="s">
        <v>389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508</v>
      </c>
      <c r="B71" s="5" t="s">
        <v>389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509</v>
      </c>
    </row>
    <row r="72" customFormat="false" ht="17.15" hidden="false" customHeight="false" outlineLevel="0" collapsed="false">
      <c r="A72" s="1" t="s">
        <v>510</v>
      </c>
    </row>
    <row r="73" customFormat="false" ht="17.15" hidden="false" customHeight="false" outlineLevel="0" collapsed="false">
      <c r="A73" s="0" t="s">
        <v>511</v>
      </c>
      <c r="B73" s="5" t="s">
        <v>145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512</v>
      </c>
    </row>
    <row r="74" customFormat="false" ht="17.15" hidden="false" customHeight="false" outlineLevel="0" collapsed="false">
      <c r="A74" s="5" t="s">
        <v>513</v>
      </c>
      <c r="B74" s="0" t="s">
        <v>68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514</v>
      </c>
      <c r="B75" s="5" t="s">
        <v>474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515</v>
      </c>
      <c r="B76" s="5" t="s">
        <v>474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516</v>
      </c>
    </row>
    <row r="78" customFormat="false" ht="17.15" hidden="false" customHeight="false" outlineLevel="0" collapsed="false">
      <c r="A78" s="0" t="s">
        <v>517</v>
      </c>
      <c r="B78" s="0" t="s">
        <v>251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518</v>
      </c>
    </row>
    <row r="79" customFormat="false" ht="17.15" hidden="false" customHeight="false" outlineLevel="0" collapsed="false">
      <c r="A79" s="5" t="s">
        <v>519</v>
      </c>
      <c r="B79" s="0" t="s">
        <v>251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520</v>
      </c>
    </row>
    <row r="80" customFormat="false" ht="17.15" hidden="false" customHeight="false" outlineLevel="0" collapsed="false">
      <c r="A80" s="5" t="s">
        <v>521</v>
      </c>
      <c r="B80" s="0" t="s">
        <v>522</v>
      </c>
      <c r="D80" s="21" t="n">
        <f aca="false">D79/D76</f>
        <v>1.66002178641913</v>
      </c>
      <c r="I80" s="5" t="s">
        <v>523</v>
      </c>
    </row>
    <row r="81" customFormat="false" ht="15" hidden="false" customHeight="false" outlineLevel="0" collapsed="false">
      <c r="A81" s="5" t="s">
        <v>524</v>
      </c>
      <c r="B81" s="0" t="s">
        <v>251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525</v>
      </c>
      <c r="B82" s="0" t="s">
        <v>251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526</v>
      </c>
    </row>
    <row r="83" customFormat="false" ht="15" hidden="false" customHeight="false" outlineLevel="0" collapsed="false">
      <c r="A83" s="5" t="s">
        <v>433</v>
      </c>
      <c r="B83" s="0" t="s">
        <v>251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527</v>
      </c>
      <c r="B84" s="0" t="s">
        <v>68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440</v>
      </c>
      <c r="B85" s="0" t="s">
        <v>68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528</v>
      </c>
    </row>
    <row r="86" customFormat="false" ht="15" hidden="false" customHeight="false" outlineLevel="0" collapsed="false">
      <c r="A86" s="5" t="s">
        <v>436</v>
      </c>
      <c r="B86" s="0" t="s">
        <v>251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529</v>
      </c>
      <c r="B87" s="0" t="s">
        <v>251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530</v>
      </c>
    </row>
    <row r="88" customFormat="false" ht="15" hidden="false" customHeight="false" outlineLevel="0" collapsed="false">
      <c r="A88" s="5" t="s">
        <v>444</v>
      </c>
      <c r="B88" s="0" t="s">
        <v>251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490</v>
      </c>
      <c r="B89" s="0" t="s">
        <v>68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449</v>
      </c>
      <c r="B90" s="0" t="s">
        <v>251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491</v>
      </c>
      <c r="B91" s="0" t="s">
        <v>270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531</v>
      </c>
      <c r="B92" s="5" t="s">
        <v>389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788</v>
      </c>
    </row>
    <row r="106" customFormat="false" ht="15" hidden="false" customHeight="false" outlineLevel="0" collapsed="false">
      <c r="A106" s="6" t="s">
        <v>20</v>
      </c>
      <c r="B106" s="6" t="s">
        <v>21</v>
      </c>
      <c r="C106" s="14" t="s">
        <v>458</v>
      </c>
      <c r="D106" s="14" t="s">
        <v>459</v>
      </c>
      <c r="E106" s="14" t="s">
        <v>460</v>
      </c>
      <c r="F106" s="14" t="s">
        <v>461</v>
      </c>
      <c r="G106" s="14" t="s">
        <v>462</v>
      </c>
      <c r="H106" s="14" t="s">
        <v>463</v>
      </c>
      <c r="I106" s="6" t="s">
        <v>464</v>
      </c>
    </row>
    <row r="107" customFormat="false" ht="17.15" hidden="false" customHeight="false" outlineLevel="0" collapsed="false">
      <c r="A107" s="1" t="s">
        <v>494</v>
      </c>
    </row>
    <row r="108" customFormat="false" ht="17.15" hidden="false" customHeight="false" outlineLevel="0" collapsed="false">
      <c r="A108" s="0" t="s">
        <v>495</v>
      </c>
      <c r="B108" s="0" t="s">
        <v>31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496</v>
      </c>
    </row>
    <row r="109" customFormat="false" ht="17.15" hidden="false" customHeight="false" outlineLevel="0" collapsed="false">
      <c r="A109" s="0" t="s">
        <v>497</v>
      </c>
      <c r="B109" s="0" t="s">
        <v>498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499</v>
      </c>
      <c r="B110" s="5" t="s">
        <v>468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500</v>
      </c>
    </row>
    <row r="111" customFormat="false" ht="15" hidden="false" customHeight="false" outlineLevel="0" collapsed="false">
      <c r="A111" s="5" t="s">
        <v>501</v>
      </c>
      <c r="B111" s="5" t="s">
        <v>95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502</v>
      </c>
      <c r="B112" s="0" t="s">
        <v>115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503</v>
      </c>
      <c r="B113" s="0" t="s">
        <v>68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505</v>
      </c>
      <c r="B114" s="5" t="s">
        <v>506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507</v>
      </c>
      <c r="B115" s="5" t="s">
        <v>389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508</v>
      </c>
      <c r="B116" s="5" t="s">
        <v>389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509</v>
      </c>
    </row>
    <row r="117" customFormat="false" ht="17.15" hidden="false" customHeight="false" outlineLevel="0" collapsed="false">
      <c r="A117" s="1" t="s">
        <v>510</v>
      </c>
    </row>
    <row r="118" customFormat="false" ht="17.15" hidden="false" customHeight="false" outlineLevel="0" collapsed="false">
      <c r="A118" s="0" t="s">
        <v>511</v>
      </c>
      <c r="B118" s="5" t="s">
        <v>145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512</v>
      </c>
    </row>
    <row r="119" customFormat="false" ht="17.15" hidden="false" customHeight="false" outlineLevel="0" collapsed="false">
      <c r="A119" s="5" t="s">
        <v>513</v>
      </c>
      <c r="B119" s="0" t="s">
        <v>68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514</v>
      </c>
      <c r="B120" s="5" t="s">
        <v>474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515</v>
      </c>
      <c r="B121" s="5" t="s">
        <v>474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516</v>
      </c>
    </row>
    <row r="123" customFormat="false" ht="17.15" hidden="false" customHeight="false" outlineLevel="0" collapsed="false">
      <c r="A123" s="0" t="s">
        <v>517</v>
      </c>
      <c r="B123" s="0" t="s">
        <v>251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518</v>
      </c>
    </row>
    <row r="124" customFormat="false" ht="17.15" hidden="false" customHeight="false" outlineLevel="0" collapsed="false">
      <c r="A124" s="5" t="s">
        <v>519</v>
      </c>
      <c r="B124" s="0" t="s">
        <v>251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520</v>
      </c>
    </row>
    <row r="125" customFormat="false" ht="17.15" hidden="false" customHeight="false" outlineLevel="0" collapsed="false">
      <c r="A125" s="5" t="s">
        <v>521</v>
      </c>
      <c r="B125" s="0" t="s">
        <v>522</v>
      </c>
      <c r="D125" s="21" t="n">
        <f aca="false">D124/D121</f>
        <v>1.66002178641913</v>
      </c>
      <c r="I125" s="5" t="s">
        <v>523</v>
      </c>
    </row>
    <row r="126" customFormat="false" ht="15" hidden="false" customHeight="false" outlineLevel="0" collapsed="false">
      <c r="A126" s="5" t="s">
        <v>524</v>
      </c>
      <c r="B126" s="0" t="s">
        <v>251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525</v>
      </c>
      <c r="B127" s="0" t="s">
        <v>251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526</v>
      </c>
    </row>
    <row r="128" customFormat="false" ht="15" hidden="false" customHeight="false" outlineLevel="0" collapsed="false">
      <c r="A128" s="5" t="s">
        <v>433</v>
      </c>
      <c r="B128" s="0" t="s">
        <v>251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527</v>
      </c>
      <c r="B129" s="0" t="s">
        <v>68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440</v>
      </c>
      <c r="B130" s="0" t="s">
        <v>68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528</v>
      </c>
    </row>
    <row r="131" customFormat="false" ht="15" hidden="false" customHeight="false" outlineLevel="0" collapsed="false">
      <c r="A131" s="5" t="s">
        <v>436</v>
      </c>
      <c r="B131" s="0" t="s">
        <v>251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529</v>
      </c>
      <c r="B132" s="0" t="s">
        <v>251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530</v>
      </c>
    </row>
    <row r="133" customFormat="false" ht="15" hidden="false" customHeight="false" outlineLevel="0" collapsed="false">
      <c r="A133" s="5" t="s">
        <v>444</v>
      </c>
      <c r="B133" s="0" t="s">
        <v>251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490</v>
      </c>
      <c r="B134" s="0" t="s">
        <v>68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449</v>
      </c>
      <c r="B135" s="0" t="s">
        <v>251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491</v>
      </c>
      <c r="B136" s="0" t="s">
        <v>270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531</v>
      </c>
      <c r="B137" s="5" t="s">
        <v>389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789</v>
      </c>
    </row>
    <row r="151" customFormat="false" ht="15" hidden="false" customHeight="false" outlineLevel="0" collapsed="false">
      <c r="A151" s="6" t="s">
        <v>20</v>
      </c>
      <c r="B151" s="6" t="s">
        <v>21</v>
      </c>
      <c r="C151" s="14" t="s">
        <v>458</v>
      </c>
      <c r="D151" s="14" t="s">
        <v>459</v>
      </c>
      <c r="E151" s="14" t="s">
        <v>460</v>
      </c>
      <c r="F151" s="14" t="s">
        <v>461</v>
      </c>
      <c r="G151" s="14" t="s">
        <v>462</v>
      </c>
      <c r="H151" s="14" t="s">
        <v>463</v>
      </c>
      <c r="I151" s="6" t="s">
        <v>464</v>
      </c>
    </row>
    <row r="152" customFormat="false" ht="17.15" hidden="false" customHeight="false" outlineLevel="0" collapsed="false">
      <c r="A152" s="1" t="s">
        <v>494</v>
      </c>
    </row>
    <row r="153" customFormat="false" ht="17.15" hidden="false" customHeight="false" outlineLevel="0" collapsed="false">
      <c r="A153" s="0" t="s">
        <v>495</v>
      </c>
      <c r="B153" s="0" t="s">
        <v>31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496</v>
      </c>
    </row>
    <row r="154" customFormat="false" ht="17.15" hidden="false" customHeight="false" outlineLevel="0" collapsed="false">
      <c r="A154" s="0" t="s">
        <v>497</v>
      </c>
      <c r="B154" s="0" t="s">
        <v>498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499</v>
      </c>
      <c r="B155" s="5" t="s">
        <v>468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500</v>
      </c>
    </row>
    <row r="156" customFormat="false" ht="15" hidden="false" customHeight="false" outlineLevel="0" collapsed="false">
      <c r="A156" s="5" t="s">
        <v>501</v>
      </c>
      <c r="B156" s="5" t="s">
        <v>95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502</v>
      </c>
      <c r="B157" s="0" t="s">
        <v>115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503</v>
      </c>
      <c r="B158" s="0" t="s">
        <v>68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504</v>
      </c>
    </row>
    <row r="159" customFormat="false" ht="17.15" hidden="false" customHeight="false" outlineLevel="0" collapsed="false">
      <c r="A159" s="5" t="s">
        <v>505</v>
      </c>
      <c r="B159" s="5" t="s">
        <v>506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507</v>
      </c>
      <c r="B160" s="5" t="s">
        <v>389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508</v>
      </c>
      <c r="B161" s="5" t="s">
        <v>389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509</v>
      </c>
    </row>
    <row r="162" customFormat="false" ht="17.15" hidden="false" customHeight="false" outlineLevel="0" collapsed="false">
      <c r="A162" s="1" t="s">
        <v>510</v>
      </c>
    </row>
    <row r="163" customFormat="false" ht="17.15" hidden="false" customHeight="false" outlineLevel="0" collapsed="false">
      <c r="A163" s="0" t="s">
        <v>511</v>
      </c>
      <c r="B163" s="5" t="s">
        <v>145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512</v>
      </c>
    </row>
    <row r="164" customFormat="false" ht="17.15" hidden="false" customHeight="false" outlineLevel="0" collapsed="false">
      <c r="A164" s="5" t="s">
        <v>513</v>
      </c>
      <c r="B164" s="0" t="s">
        <v>68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514</v>
      </c>
      <c r="B165" s="5" t="s">
        <v>474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515</v>
      </c>
      <c r="B166" s="5" t="s">
        <v>474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516</v>
      </c>
    </row>
    <row r="168" customFormat="false" ht="17.15" hidden="false" customHeight="false" outlineLevel="0" collapsed="false">
      <c r="A168" s="0" t="s">
        <v>517</v>
      </c>
      <c r="B168" s="0" t="s">
        <v>251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518</v>
      </c>
    </row>
    <row r="169" customFormat="false" ht="17.15" hidden="false" customHeight="false" outlineLevel="0" collapsed="false">
      <c r="A169" s="5" t="s">
        <v>519</v>
      </c>
      <c r="B169" s="0" t="s">
        <v>251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520</v>
      </c>
    </row>
    <row r="170" customFormat="false" ht="17.15" hidden="false" customHeight="false" outlineLevel="0" collapsed="false">
      <c r="A170" s="5" t="s">
        <v>521</v>
      </c>
      <c r="B170" s="0" t="s">
        <v>522</v>
      </c>
      <c r="D170" s="21" t="n">
        <f aca="false">D169/D166</f>
        <v>1.66002178641913</v>
      </c>
      <c r="I170" s="5" t="s">
        <v>523</v>
      </c>
    </row>
    <row r="171" customFormat="false" ht="15" hidden="false" customHeight="false" outlineLevel="0" collapsed="false">
      <c r="A171" s="5" t="s">
        <v>524</v>
      </c>
      <c r="B171" s="0" t="s">
        <v>251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525</v>
      </c>
      <c r="B172" s="0" t="s">
        <v>251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526</v>
      </c>
    </row>
    <row r="173" customFormat="false" ht="15" hidden="false" customHeight="false" outlineLevel="0" collapsed="false">
      <c r="A173" s="5" t="s">
        <v>433</v>
      </c>
      <c r="B173" s="0" t="s">
        <v>251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527</v>
      </c>
      <c r="B174" s="0" t="s">
        <v>68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440</v>
      </c>
      <c r="B175" s="0" t="s">
        <v>68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528</v>
      </c>
    </row>
    <row r="176" customFormat="false" ht="15" hidden="false" customHeight="false" outlineLevel="0" collapsed="false">
      <c r="A176" s="5" t="s">
        <v>436</v>
      </c>
      <c r="B176" s="0" t="s">
        <v>251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529</v>
      </c>
      <c r="B177" s="0" t="s">
        <v>251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530</v>
      </c>
    </row>
    <row r="178" customFormat="false" ht="15" hidden="false" customHeight="false" outlineLevel="0" collapsed="false">
      <c r="A178" s="5" t="s">
        <v>444</v>
      </c>
      <c r="B178" s="0" t="s">
        <v>251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490</v>
      </c>
      <c r="B179" s="0" t="s">
        <v>68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449</v>
      </c>
      <c r="B180" s="0" t="s">
        <v>251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491</v>
      </c>
      <c r="B181" s="0" t="s">
        <v>270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531</v>
      </c>
      <c r="B182" s="5" t="s">
        <v>389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790</v>
      </c>
    </row>
    <row r="196" customFormat="false" ht="15" hidden="false" customHeight="false" outlineLevel="0" collapsed="false">
      <c r="A196" s="6" t="s">
        <v>20</v>
      </c>
      <c r="B196" s="6" t="s">
        <v>21</v>
      </c>
      <c r="C196" s="14" t="s">
        <v>458</v>
      </c>
      <c r="D196" s="14" t="s">
        <v>459</v>
      </c>
      <c r="E196" s="14" t="s">
        <v>460</v>
      </c>
      <c r="F196" s="14" t="s">
        <v>461</v>
      </c>
      <c r="G196" s="14" t="s">
        <v>462</v>
      </c>
      <c r="H196" s="14" t="s">
        <v>463</v>
      </c>
      <c r="I196" s="6" t="s">
        <v>464</v>
      </c>
    </row>
    <row r="197" customFormat="false" ht="17.15" hidden="false" customHeight="false" outlineLevel="0" collapsed="false">
      <c r="A197" s="1" t="s">
        <v>494</v>
      </c>
    </row>
    <row r="198" customFormat="false" ht="17.15" hidden="false" customHeight="false" outlineLevel="0" collapsed="false">
      <c r="A198" s="0" t="s">
        <v>495</v>
      </c>
      <c r="B198" s="0" t="s">
        <v>31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499</v>
      </c>
      <c r="B200" s="5" t="s">
        <v>468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500</v>
      </c>
    </row>
    <row r="201" customFormat="false" ht="15" hidden="false" customHeight="false" outlineLevel="0" collapsed="false">
      <c r="A201" s="5" t="s">
        <v>501</v>
      </c>
      <c r="B201" s="5" t="s">
        <v>95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502</v>
      </c>
      <c r="B202" s="0" t="s">
        <v>115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503</v>
      </c>
      <c r="B203" s="0" t="s">
        <v>68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504</v>
      </c>
    </row>
    <row r="204" customFormat="false" ht="17.15" hidden="false" customHeight="false" outlineLevel="0" collapsed="false">
      <c r="A204" s="5" t="s">
        <v>505</v>
      </c>
      <c r="B204" s="5" t="s">
        <v>506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507</v>
      </c>
      <c r="B205" s="5" t="s">
        <v>389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508</v>
      </c>
      <c r="B206" s="5" t="s">
        <v>389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509</v>
      </c>
    </row>
    <row r="207" customFormat="false" ht="17.15" hidden="false" customHeight="false" outlineLevel="0" collapsed="false">
      <c r="A207" s="1" t="s">
        <v>510</v>
      </c>
    </row>
    <row r="208" customFormat="false" ht="17.15" hidden="false" customHeight="false" outlineLevel="0" collapsed="false">
      <c r="A208" s="0" t="s">
        <v>511</v>
      </c>
      <c r="B208" s="5" t="s">
        <v>145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512</v>
      </c>
    </row>
    <row r="209" customFormat="false" ht="17.15" hidden="false" customHeight="false" outlineLevel="0" collapsed="false">
      <c r="A209" s="5" t="s">
        <v>513</v>
      </c>
      <c r="B209" s="0" t="s">
        <v>68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514</v>
      </c>
      <c r="B210" s="5" t="s">
        <v>474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515</v>
      </c>
      <c r="B211" s="5" t="s">
        <v>474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516</v>
      </c>
    </row>
    <row r="213" customFormat="false" ht="17.15" hidden="false" customHeight="false" outlineLevel="0" collapsed="false">
      <c r="A213" s="0" t="s">
        <v>517</v>
      </c>
      <c r="B213" s="0" t="s">
        <v>251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518</v>
      </c>
    </row>
    <row r="214" customFormat="false" ht="17.15" hidden="false" customHeight="false" outlineLevel="0" collapsed="false">
      <c r="A214" s="5" t="s">
        <v>519</v>
      </c>
      <c r="B214" s="0" t="s">
        <v>251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520</v>
      </c>
    </row>
    <row r="215" customFormat="false" ht="17.15" hidden="false" customHeight="false" outlineLevel="0" collapsed="false">
      <c r="A215" s="5" t="s">
        <v>521</v>
      </c>
      <c r="B215" s="0" t="s">
        <v>522</v>
      </c>
      <c r="D215" s="21" t="n">
        <f aca="false">D214/D211</f>
        <v>1.66002178641913</v>
      </c>
      <c r="I215" s="5" t="s">
        <v>523</v>
      </c>
    </row>
    <row r="216" customFormat="false" ht="15" hidden="false" customHeight="false" outlineLevel="0" collapsed="false">
      <c r="A216" s="5" t="s">
        <v>524</v>
      </c>
      <c r="B216" s="0" t="s">
        <v>251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525</v>
      </c>
      <c r="B217" s="0" t="s">
        <v>251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526</v>
      </c>
    </row>
    <row r="218" customFormat="false" ht="15" hidden="false" customHeight="false" outlineLevel="0" collapsed="false">
      <c r="A218" s="5" t="s">
        <v>433</v>
      </c>
      <c r="B218" s="0" t="s">
        <v>251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527</v>
      </c>
      <c r="B219" s="0" t="s">
        <v>68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440</v>
      </c>
      <c r="B220" s="0" t="s">
        <v>68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528</v>
      </c>
    </row>
    <row r="221" customFormat="false" ht="15" hidden="false" customHeight="false" outlineLevel="0" collapsed="false">
      <c r="A221" s="5" t="s">
        <v>436</v>
      </c>
      <c r="B221" s="0" t="s">
        <v>251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529</v>
      </c>
      <c r="B222" s="0" t="s">
        <v>251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530</v>
      </c>
    </row>
    <row r="223" customFormat="false" ht="15" hidden="false" customHeight="false" outlineLevel="0" collapsed="false">
      <c r="A223" s="5" t="s">
        <v>444</v>
      </c>
      <c r="B223" s="0" t="s">
        <v>251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490</v>
      </c>
      <c r="B224" s="0" t="s">
        <v>68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449</v>
      </c>
      <c r="B225" s="0" t="s">
        <v>251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491</v>
      </c>
      <c r="B226" s="0" t="s">
        <v>270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531</v>
      </c>
      <c r="B227" s="5" t="s">
        <v>389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791</v>
      </c>
    </row>
    <row r="241" customFormat="false" ht="15" hidden="false" customHeight="false" outlineLevel="0" collapsed="false">
      <c r="A241" s="6" t="s">
        <v>20</v>
      </c>
      <c r="B241" s="6" t="s">
        <v>21</v>
      </c>
      <c r="C241" s="14" t="s">
        <v>458</v>
      </c>
      <c r="D241" s="14" t="s">
        <v>459</v>
      </c>
      <c r="E241" s="14" t="s">
        <v>460</v>
      </c>
      <c r="F241" s="14" t="s">
        <v>461</v>
      </c>
      <c r="G241" s="14" t="s">
        <v>462</v>
      </c>
      <c r="H241" s="14" t="s">
        <v>463</v>
      </c>
      <c r="I241" s="6" t="s">
        <v>464</v>
      </c>
    </row>
    <row r="242" customFormat="false" ht="17.15" hidden="false" customHeight="false" outlineLevel="0" collapsed="false">
      <c r="A242" s="1" t="s">
        <v>494</v>
      </c>
    </row>
    <row r="243" customFormat="false" ht="17.15" hidden="false" customHeight="false" outlineLevel="0" collapsed="false">
      <c r="A243" s="0" t="s">
        <v>495</v>
      </c>
      <c r="B243" s="0" t="s">
        <v>31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496</v>
      </c>
    </row>
    <row r="244" customFormat="false" ht="17.15" hidden="false" customHeight="false" outlineLevel="0" collapsed="false">
      <c r="A244" s="0" t="s">
        <v>497</v>
      </c>
      <c r="B244" s="0" t="s">
        <v>498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499</v>
      </c>
      <c r="B245" s="5" t="s">
        <v>468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500</v>
      </c>
    </row>
    <row r="246" customFormat="false" ht="15" hidden="false" customHeight="false" outlineLevel="0" collapsed="false">
      <c r="A246" s="5" t="s">
        <v>501</v>
      </c>
      <c r="B246" s="5" t="s">
        <v>95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502</v>
      </c>
      <c r="B247" s="0" t="s">
        <v>115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503</v>
      </c>
      <c r="B248" s="0" t="s">
        <v>68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504</v>
      </c>
    </row>
    <row r="249" customFormat="false" ht="17.15" hidden="false" customHeight="false" outlineLevel="0" collapsed="false">
      <c r="A249" s="5" t="s">
        <v>505</v>
      </c>
      <c r="B249" s="5" t="s">
        <v>506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507</v>
      </c>
      <c r="B250" s="5" t="s">
        <v>389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508</v>
      </c>
      <c r="B251" s="5" t="s">
        <v>389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509</v>
      </c>
    </row>
    <row r="252" customFormat="false" ht="17.15" hidden="false" customHeight="false" outlineLevel="0" collapsed="false">
      <c r="A252" s="1" t="s">
        <v>510</v>
      </c>
    </row>
    <row r="253" customFormat="false" ht="17.15" hidden="false" customHeight="false" outlineLevel="0" collapsed="false">
      <c r="A253" s="0" t="s">
        <v>511</v>
      </c>
      <c r="B253" s="5" t="s">
        <v>145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512</v>
      </c>
    </row>
    <row r="254" customFormat="false" ht="17.15" hidden="false" customHeight="false" outlineLevel="0" collapsed="false">
      <c r="A254" s="5" t="s">
        <v>513</v>
      </c>
      <c r="B254" s="0" t="s">
        <v>68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514</v>
      </c>
      <c r="B255" s="5" t="s">
        <v>474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515</v>
      </c>
      <c r="B256" s="5" t="s">
        <v>474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516</v>
      </c>
    </row>
    <row r="258" customFormat="false" ht="17.15" hidden="false" customHeight="false" outlineLevel="0" collapsed="false">
      <c r="A258" s="0" t="s">
        <v>517</v>
      </c>
      <c r="B258" s="0" t="s">
        <v>251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518</v>
      </c>
    </row>
    <row r="259" customFormat="false" ht="17.15" hidden="false" customHeight="false" outlineLevel="0" collapsed="false">
      <c r="A259" s="5" t="s">
        <v>519</v>
      </c>
      <c r="B259" s="0" t="s">
        <v>251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520</v>
      </c>
    </row>
    <row r="260" customFormat="false" ht="17.15" hidden="false" customHeight="false" outlineLevel="0" collapsed="false">
      <c r="A260" s="5" t="s">
        <v>521</v>
      </c>
      <c r="B260" s="0" t="s">
        <v>522</v>
      </c>
      <c r="D260" s="21" t="n">
        <f aca="false">D259/D256</f>
        <v>1.66002178641913</v>
      </c>
      <c r="I260" s="5" t="s">
        <v>523</v>
      </c>
    </row>
    <row r="261" customFormat="false" ht="15" hidden="false" customHeight="false" outlineLevel="0" collapsed="false">
      <c r="A261" s="5" t="s">
        <v>524</v>
      </c>
      <c r="B261" s="0" t="s">
        <v>251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525</v>
      </c>
      <c r="B262" s="0" t="s">
        <v>251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526</v>
      </c>
    </row>
    <row r="263" customFormat="false" ht="15" hidden="false" customHeight="false" outlineLevel="0" collapsed="false">
      <c r="A263" s="5" t="s">
        <v>433</v>
      </c>
      <c r="B263" s="0" t="s">
        <v>251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527</v>
      </c>
      <c r="B264" s="0" t="s">
        <v>68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440</v>
      </c>
      <c r="B265" s="0" t="s">
        <v>68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528</v>
      </c>
    </row>
    <row r="266" customFormat="false" ht="15" hidden="false" customHeight="false" outlineLevel="0" collapsed="false">
      <c r="A266" s="5" t="s">
        <v>436</v>
      </c>
      <c r="B266" s="0" t="s">
        <v>251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529</v>
      </c>
      <c r="B267" s="0" t="s">
        <v>251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530</v>
      </c>
    </row>
    <row r="268" customFormat="false" ht="15" hidden="false" customHeight="false" outlineLevel="0" collapsed="false">
      <c r="A268" s="5" t="s">
        <v>444</v>
      </c>
      <c r="B268" s="0" t="s">
        <v>251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490</v>
      </c>
      <c r="B269" s="0" t="s">
        <v>68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449</v>
      </c>
      <c r="B270" s="0" t="s">
        <v>251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491</v>
      </c>
      <c r="B271" s="0" t="s">
        <v>270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531</v>
      </c>
      <c r="B272" s="5" t="s">
        <v>389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792</v>
      </c>
    </row>
    <row r="286" customFormat="false" ht="15" hidden="false" customHeight="false" outlineLevel="0" collapsed="false">
      <c r="A286" s="6" t="s">
        <v>20</v>
      </c>
      <c r="B286" s="6" t="s">
        <v>21</v>
      </c>
      <c r="C286" s="14" t="s">
        <v>458</v>
      </c>
      <c r="D286" s="14" t="s">
        <v>459</v>
      </c>
      <c r="E286" s="14" t="s">
        <v>460</v>
      </c>
      <c r="F286" s="14" t="s">
        <v>461</v>
      </c>
      <c r="G286" s="14" t="s">
        <v>462</v>
      </c>
      <c r="H286" s="14" t="s">
        <v>463</v>
      </c>
      <c r="I286" s="6" t="s">
        <v>464</v>
      </c>
    </row>
    <row r="287" customFormat="false" ht="17.15" hidden="false" customHeight="false" outlineLevel="0" collapsed="false">
      <c r="A287" s="1" t="s">
        <v>494</v>
      </c>
    </row>
    <row r="288" customFormat="false" ht="17.15" hidden="false" customHeight="false" outlineLevel="0" collapsed="false">
      <c r="A288" s="0" t="s">
        <v>495</v>
      </c>
      <c r="B288" s="0" t="s">
        <v>31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496</v>
      </c>
    </row>
    <row r="289" customFormat="false" ht="17.15" hidden="false" customHeight="false" outlineLevel="0" collapsed="false">
      <c r="A289" s="0" t="s">
        <v>497</v>
      </c>
      <c r="B289" s="0" t="s">
        <v>498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499</v>
      </c>
      <c r="B290" s="5" t="s">
        <v>468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500</v>
      </c>
    </row>
    <row r="291" customFormat="false" ht="15" hidden="false" customHeight="false" outlineLevel="0" collapsed="false">
      <c r="A291" s="5" t="s">
        <v>501</v>
      </c>
      <c r="B291" s="5" t="s">
        <v>95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502</v>
      </c>
      <c r="B292" s="0" t="s">
        <v>115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503</v>
      </c>
      <c r="B293" s="0" t="s">
        <v>68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504</v>
      </c>
    </row>
    <row r="294" customFormat="false" ht="17.15" hidden="false" customHeight="false" outlineLevel="0" collapsed="false">
      <c r="A294" s="5" t="s">
        <v>505</v>
      </c>
      <c r="B294" s="5" t="s">
        <v>506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507</v>
      </c>
      <c r="B295" s="5" t="s">
        <v>389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508</v>
      </c>
      <c r="B296" s="5" t="s">
        <v>389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509</v>
      </c>
    </row>
    <row r="297" customFormat="false" ht="17.15" hidden="false" customHeight="false" outlineLevel="0" collapsed="false">
      <c r="A297" s="1" t="s">
        <v>510</v>
      </c>
    </row>
    <row r="298" customFormat="false" ht="17.15" hidden="false" customHeight="false" outlineLevel="0" collapsed="false">
      <c r="A298" s="0" t="s">
        <v>511</v>
      </c>
      <c r="B298" s="5" t="s">
        <v>145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512</v>
      </c>
    </row>
    <row r="299" customFormat="false" ht="17.15" hidden="false" customHeight="false" outlineLevel="0" collapsed="false">
      <c r="A299" s="5" t="s">
        <v>513</v>
      </c>
      <c r="B299" s="0" t="s">
        <v>68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514</v>
      </c>
      <c r="B300" s="5" t="s">
        <v>474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515</v>
      </c>
      <c r="B301" s="5" t="s">
        <v>474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516</v>
      </c>
    </row>
    <row r="303" customFormat="false" ht="17.15" hidden="false" customHeight="false" outlineLevel="0" collapsed="false">
      <c r="A303" s="0" t="s">
        <v>517</v>
      </c>
      <c r="B303" s="0" t="s">
        <v>251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518</v>
      </c>
    </row>
    <row r="304" customFormat="false" ht="17.15" hidden="false" customHeight="false" outlineLevel="0" collapsed="false">
      <c r="A304" s="5" t="s">
        <v>519</v>
      </c>
      <c r="B304" s="0" t="s">
        <v>251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520</v>
      </c>
    </row>
    <row r="305" customFormat="false" ht="17.15" hidden="false" customHeight="false" outlineLevel="0" collapsed="false">
      <c r="A305" s="5" t="s">
        <v>521</v>
      </c>
      <c r="B305" s="0" t="s">
        <v>522</v>
      </c>
      <c r="D305" s="21" t="n">
        <f aca="false">D304/D301</f>
        <v>1.19521568622177</v>
      </c>
      <c r="I305" s="5" t="s">
        <v>523</v>
      </c>
    </row>
    <row r="306" customFormat="false" ht="15" hidden="false" customHeight="false" outlineLevel="0" collapsed="false">
      <c r="A306" s="5" t="s">
        <v>524</v>
      </c>
      <c r="B306" s="0" t="s">
        <v>251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525</v>
      </c>
      <c r="B307" s="0" t="s">
        <v>251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526</v>
      </c>
    </row>
    <row r="308" customFormat="false" ht="15" hidden="false" customHeight="false" outlineLevel="0" collapsed="false">
      <c r="A308" s="5" t="s">
        <v>433</v>
      </c>
      <c r="B308" s="0" t="s">
        <v>251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527</v>
      </c>
      <c r="B309" s="0" t="s">
        <v>68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440</v>
      </c>
      <c r="B310" s="0" t="s">
        <v>68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528</v>
      </c>
    </row>
    <row r="311" customFormat="false" ht="15" hidden="false" customHeight="false" outlineLevel="0" collapsed="false">
      <c r="A311" s="5" t="s">
        <v>436</v>
      </c>
      <c r="B311" s="0" t="s">
        <v>251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529</v>
      </c>
      <c r="B312" s="0" t="s">
        <v>251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530</v>
      </c>
    </row>
    <row r="313" customFormat="false" ht="15" hidden="false" customHeight="false" outlineLevel="0" collapsed="false">
      <c r="A313" s="5" t="s">
        <v>444</v>
      </c>
      <c r="B313" s="0" t="s">
        <v>251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490</v>
      </c>
      <c r="B314" s="0" t="s">
        <v>68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449</v>
      </c>
      <c r="B315" s="0" t="s">
        <v>251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491</v>
      </c>
      <c r="B316" s="0" t="s">
        <v>270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531</v>
      </c>
      <c r="B317" s="5" t="s">
        <v>389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793</v>
      </c>
    </row>
    <row r="331" customFormat="false" ht="15" hidden="false" customHeight="false" outlineLevel="0" collapsed="false">
      <c r="A331" s="6" t="s">
        <v>20</v>
      </c>
      <c r="B331" s="6" t="s">
        <v>21</v>
      </c>
      <c r="C331" s="14" t="s">
        <v>458</v>
      </c>
      <c r="D331" s="14" t="s">
        <v>459</v>
      </c>
      <c r="E331" s="14" t="s">
        <v>460</v>
      </c>
      <c r="F331" s="14" t="s">
        <v>461</v>
      </c>
      <c r="G331" s="14" t="s">
        <v>462</v>
      </c>
      <c r="H331" s="14" t="s">
        <v>463</v>
      </c>
      <c r="I331" s="6" t="s">
        <v>464</v>
      </c>
    </row>
    <row r="332" customFormat="false" ht="17.15" hidden="false" customHeight="false" outlineLevel="0" collapsed="false">
      <c r="A332" s="1" t="s">
        <v>494</v>
      </c>
    </row>
    <row r="333" customFormat="false" ht="17.15" hidden="false" customHeight="false" outlineLevel="0" collapsed="false">
      <c r="A333" s="0" t="s">
        <v>495</v>
      </c>
      <c r="B333" s="0" t="s">
        <v>31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496</v>
      </c>
    </row>
    <row r="334" customFormat="false" ht="17.15" hidden="false" customHeight="false" outlineLevel="0" collapsed="false">
      <c r="A334" s="0" t="s">
        <v>497</v>
      </c>
      <c r="B334" s="0" t="s">
        <v>498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499</v>
      </c>
      <c r="B335" s="5" t="s">
        <v>468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500</v>
      </c>
    </row>
    <row r="336" customFormat="false" ht="15" hidden="false" customHeight="false" outlineLevel="0" collapsed="false">
      <c r="A336" s="5" t="s">
        <v>501</v>
      </c>
      <c r="B336" s="5" t="s">
        <v>95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502</v>
      </c>
      <c r="B337" s="0" t="s">
        <v>115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503</v>
      </c>
      <c r="B338" s="0" t="s">
        <v>68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504</v>
      </c>
    </row>
    <row r="339" customFormat="false" ht="17.15" hidden="false" customHeight="false" outlineLevel="0" collapsed="false">
      <c r="A339" s="5" t="s">
        <v>505</v>
      </c>
      <c r="B339" s="5" t="s">
        <v>506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507</v>
      </c>
      <c r="B340" s="5" t="s">
        <v>389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508</v>
      </c>
      <c r="B341" s="5" t="s">
        <v>389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509</v>
      </c>
    </row>
    <row r="342" customFormat="false" ht="17.15" hidden="false" customHeight="false" outlineLevel="0" collapsed="false">
      <c r="A342" s="1" t="s">
        <v>510</v>
      </c>
    </row>
    <row r="343" customFormat="false" ht="17.15" hidden="false" customHeight="false" outlineLevel="0" collapsed="false">
      <c r="A343" s="0" t="s">
        <v>511</v>
      </c>
      <c r="B343" s="5" t="s">
        <v>145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512</v>
      </c>
    </row>
    <row r="344" customFormat="false" ht="17.15" hidden="false" customHeight="false" outlineLevel="0" collapsed="false">
      <c r="A344" s="5" t="s">
        <v>513</v>
      </c>
      <c r="B344" s="0" t="s">
        <v>68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514</v>
      </c>
      <c r="B345" s="5" t="s">
        <v>474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515</v>
      </c>
      <c r="B346" s="5" t="s">
        <v>474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516</v>
      </c>
    </row>
    <row r="348" customFormat="false" ht="17.15" hidden="false" customHeight="false" outlineLevel="0" collapsed="false">
      <c r="A348" s="0" t="s">
        <v>517</v>
      </c>
      <c r="B348" s="0" t="s">
        <v>251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518</v>
      </c>
    </row>
    <row r="349" customFormat="false" ht="17.15" hidden="false" customHeight="false" outlineLevel="0" collapsed="false">
      <c r="A349" s="5" t="s">
        <v>519</v>
      </c>
      <c r="B349" s="0" t="s">
        <v>251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520</v>
      </c>
    </row>
    <row r="350" customFormat="false" ht="17.15" hidden="false" customHeight="false" outlineLevel="0" collapsed="false">
      <c r="A350" s="5" t="s">
        <v>521</v>
      </c>
      <c r="B350" s="0" t="s">
        <v>522</v>
      </c>
      <c r="D350" s="21" t="n">
        <f aca="false">D349/D346</f>
        <v>2.32403050098678</v>
      </c>
      <c r="I350" s="5" t="s">
        <v>523</v>
      </c>
    </row>
    <row r="351" customFormat="false" ht="15" hidden="false" customHeight="false" outlineLevel="0" collapsed="false">
      <c r="A351" s="5" t="s">
        <v>524</v>
      </c>
      <c r="B351" s="0" t="s">
        <v>251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525</v>
      </c>
      <c r="B352" s="0" t="s">
        <v>251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526</v>
      </c>
    </row>
    <row r="353" customFormat="false" ht="15" hidden="false" customHeight="false" outlineLevel="0" collapsed="false">
      <c r="A353" s="5" t="s">
        <v>433</v>
      </c>
      <c r="B353" s="0" t="s">
        <v>251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527</v>
      </c>
      <c r="B354" s="0" t="s">
        <v>68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440</v>
      </c>
      <c r="B355" s="0" t="s">
        <v>68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528</v>
      </c>
    </row>
    <row r="356" customFormat="false" ht="15" hidden="false" customHeight="false" outlineLevel="0" collapsed="false">
      <c r="A356" s="5" t="s">
        <v>436</v>
      </c>
      <c r="B356" s="0" t="s">
        <v>251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529</v>
      </c>
      <c r="B357" s="0" t="s">
        <v>251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530</v>
      </c>
    </row>
    <row r="358" customFormat="false" ht="15" hidden="false" customHeight="false" outlineLevel="0" collapsed="false">
      <c r="A358" s="5" t="s">
        <v>444</v>
      </c>
      <c r="B358" s="0" t="s">
        <v>251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490</v>
      </c>
      <c r="B359" s="0" t="s">
        <v>68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449</v>
      </c>
      <c r="B360" s="0" t="s">
        <v>251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491</v>
      </c>
      <c r="B361" s="0" t="s">
        <v>270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531</v>
      </c>
      <c r="B362" s="5" t="s">
        <v>389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794</v>
      </c>
    </row>
    <row r="376" customFormat="false" ht="15" hidden="false" customHeight="false" outlineLevel="0" collapsed="false">
      <c r="A376" s="6" t="s">
        <v>20</v>
      </c>
      <c r="B376" s="6" t="s">
        <v>21</v>
      </c>
      <c r="C376" s="14" t="s">
        <v>458</v>
      </c>
      <c r="D376" s="14" t="s">
        <v>459</v>
      </c>
      <c r="E376" s="14" t="s">
        <v>460</v>
      </c>
      <c r="F376" s="14" t="s">
        <v>461</v>
      </c>
      <c r="G376" s="14" t="s">
        <v>462</v>
      </c>
      <c r="H376" s="14" t="s">
        <v>463</v>
      </c>
      <c r="I376" s="6" t="s">
        <v>464</v>
      </c>
    </row>
    <row r="377" customFormat="false" ht="17.15" hidden="false" customHeight="false" outlineLevel="0" collapsed="false">
      <c r="A377" s="1" t="s">
        <v>494</v>
      </c>
    </row>
    <row r="378" customFormat="false" ht="17.15" hidden="false" customHeight="false" outlineLevel="0" collapsed="false">
      <c r="A378" s="0" t="s">
        <v>495</v>
      </c>
      <c r="B378" s="0" t="s">
        <v>31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496</v>
      </c>
    </row>
    <row r="379" customFormat="false" ht="17.15" hidden="false" customHeight="false" outlineLevel="0" collapsed="false">
      <c r="A379" s="0" t="s">
        <v>497</v>
      </c>
      <c r="B379" s="0" t="s">
        <v>498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499</v>
      </c>
      <c r="B380" s="5" t="s">
        <v>468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500</v>
      </c>
    </row>
    <row r="381" customFormat="false" ht="15" hidden="false" customHeight="false" outlineLevel="0" collapsed="false">
      <c r="A381" s="5" t="s">
        <v>501</v>
      </c>
      <c r="B381" s="5" t="s">
        <v>95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502</v>
      </c>
      <c r="B382" s="0" t="s">
        <v>115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503</v>
      </c>
      <c r="B383" s="0" t="s">
        <v>68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504</v>
      </c>
    </row>
    <row r="384" customFormat="false" ht="17.15" hidden="false" customHeight="false" outlineLevel="0" collapsed="false">
      <c r="A384" s="5" t="s">
        <v>505</v>
      </c>
      <c r="B384" s="5" t="s">
        <v>506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507</v>
      </c>
      <c r="B385" s="5" t="s">
        <v>389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508</v>
      </c>
      <c r="B386" s="5" t="s">
        <v>389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509</v>
      </c>
    </row>
    <row r="387" customFormat="false" ht="17.15" hidden="false" customHeight="false" outlineLevel="0" collapsed="false">
      <c r="A387" s="1" t="s">
        <v>510</v>
      </c>
    </row>
    <row r="388" customFormat="false" ht="17.15" hidden="false" customHeight="false" outlineLevel="0" collapsed="false">
      <c r="A388" s="0" t="s">
        <v>511</v>
      </c>
      <c r="B388" s="5" t="s">
        <v>145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512</v>
      </c>
    </row>
    <row r="389" customFormat="false" ht="17.15" hidden="false" customHeight="false" outlineLevel="0" collapsed="false">
      <c r="A389" s="5" t="s">
        <v>513</v>
      </c>
      <c r="B389" s="0" t="s">
        <v>68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514</v>
      </c>
      <c r="B390" s="5" t="s">
        <v>474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515</v>
      </c>
      <c r="B391" s="5" t="s">
        <v>474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516</v>
      </c>
    </row>
    <row r="393" customFormat="false" ht="17.15" hidden="false" customHeight="false" outlineLevel="0" collapsed="false">
      <c r="A393" s="0" t="s">
        <v>517</v>
      </c>
      <c r="B393" s="0" t="s">
        <v>251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518</v>
      </c>
    </row>
    <row r="394" customFormat="false" ht="17.15" hidden="false" customHeight="false" outlineLevel="0" collapsed="false">
      <c r="A394" s="5" t="s">
        <v>519</v>
      </c>
      <c r="B394" s="0" t="s">
        <v>251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520</v>
      </c>
    </row>
    <row r="395" customFormat="false" ht="17.15" hidden="false" customHeight="false" outlineLevel="0" collapsed="false">
      <c r="A395" s="5" t="s">
        <v>521</v>
      </c>
      <c r="B395" s="0" t="s">
        <v>522</v>
      </c>
      <c r="D395" s="21" t="n">
        <f aca="false">D394/D391</f>
        <v>1.66002178641913</v>
      </c>
      <c r="I395" s="5" t="s">
        <v>523</v>
      </c>
    </row>
    <row r="396" customFormat="false" ht="15" hidden="false" customHeight="false" outlineLevel="0" collapsed="false">
      <c r="A396" s="5" t="s">
        <v>524</v>
      </c>
      <c r="B396" s="0" t="s">
        <v>251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525</v>
      </c>
      <c r="B397" s="0" t="s">
        <v>251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526</v>
      </c>
    </row>
    <row r="398" customFormat="false" ht="15" hidden="false" customHeight="false" outlineLevel="0" collapsed="false">
      <c r="A398" s="5" t="s">
        <v>433</v>
      </c>
      <c r="B398" s="0" t="s">
        <v>251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527</v>
      </c>
      <c r="B399" s="0" t="s">
        <v>68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440</v>
      </c>
      <c r="B400" s="0" t="s">
        <v>68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528</v>
      </c>
    </row>
    <row r="401" customFormat="false" ht="15" hidden="false" customHeight="false" outlineLevel="0" collapsed="false">
      <c r="A401" s="5" t="s">
        <v>436</v>
      </c>
      <c r="B401" s="0" t="s">
        <v>251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529</v>
      </c>
      <c r="B402" s="0" t="s">
        <v>251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530</v>
      </c>
    </row>
    <row r="403" customFormat="false" ht="15" hidden="false" customHeight="false" outlineLevel="0" collapsed="false">
      <c r="A403" s="5" t="s">
        <v>444</v>
      </c>
      <c r="B403" s="0" t="s">
        <v>251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490</v>
      </c>
      <c r="B404" s="0" t="s">
        <v>68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449</v>
      </c>
      <c r="B405" s="0" t="s">
        <v>251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491</v>
      </c>
      <c r="B406" s="0" t="s">
        <v>270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531</v>
      </c>
      <c r="B407" s="5" t="s">
        <v>389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795</v>
      </c>
    </row>
    <row r="421" customFormat="false" ht="15" hidden="false" customHeight="false" outlineLevel="0" collapsed="false">
      <c r="A421" s="6" t="s">
        <v>20</v>
      </c>
      <c r="B421" s="6" t="s">
        <v>21</v>
      </c>
      <c r="C421" s="14" t="s">
        <v>458</v>
      </c>
      <c r="D421" s="14" t="s">
        <v>459</v>
      </c>
      <c r="E421" s="14" t="s">
        <v>460</v>
      </c>
      <c r="F421" s="14" t="s">
        <v>461</v>
      </c>
      <c r="G421" s="14" t="s">
        <v>462</v>
      </c>
      <c r="H421" s="14" t="s">
        <v>463</v>
      </c>
      <c r="I421" s="6" t="s">
        <v>464</v>
      </c>
    </row>
    <row r="422" customFormat="false" ht="17.15" hidden="false" customHeight="false" outlineLevel="0" collapsed="false">
      <c r="A422" s="1" t="s">
        <v>494</v>
      </c>
    </row>
    <row r="423" customFormat="false" ht="17.15" hidden="false" customHeight="false" outlineLevel="0" collapsed="false">
      <c r="A423" s="0" t="s">
        <v>495</v>
      </c>
      <c r="B423" s="0" t="s">
        <v>31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496</v>
      </c>
    </row>
    <row r="424" customFormat="false" ht="17.15" hidden="false" customHeight="false" outlineLevel="0" collapsed="false">
      <c r="A424" s="0" t="s">
        <v>497</v>
      </c>
      <c r="B424" s="0" t="s">
        <v>498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499</v>
      </c>
      <c r="B425" s="5" t="s">
        <v>468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500</v>
      </c>
    </row>
    <row r="426" customFormat="false" ht="15" hidden="false" customHeight="false" outlineLevel="0" collapsed="false">
      <c r="A426" s="5" t="s">
        <v>501</v>
      </c>
      <c r="B426" s="5" t="s">
        <v>95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502</v>
      </c>
      <c r="B427" s="0" t="s">
        <v>115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503</v>
      </c>
      <c r="B428" s="0" t="s">
        <v>68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504</v>
      </c>
    </row>
    <row r="429" customFormat="false" ht="17.15" hidden="false" customHeight="false" outlineLevel="0" collapsed="false">
      <c r="A429" s="5" t="s">
        <v>505</v>
      </c>
      <c r="B429" s="5" t="s">
        <v>506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507</v>
      </c>
      <c r="B430" s="5" t="s">
        <v>389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508</v>
      </c>
      <c r="B431" s="5" t="s">
        <v>389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509</v>
      </c>
    </row>
    <row r="432" customFormat="false" ht="17.15" hidden="false" customHeight="false" outlineLevel="0" collapsed="false">
      <c r="A432" s="1" t="s">
        <v>510</v>
      </c>
    </row>
    <row r="433" customFormat="false" ht="17.15" hidden="false" customHeight="false" outlineLevel="0" collapsed="false">
      <c r="A433" s="0" t="s">
        <v>511</v>
      </c>
      <c r="B433" s="5" t="s">
        <v>145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512</v>
      </c>
    </row>
    <row r="434" customFormat="false" ht="17.15" hidden="false" customHeight="false" outlineLevel="0" collapsed="false">
      <c r="A434" s="5" t="s">
        <v>513</v>
      </c>
      <c r="B434" s="0" t="s">
        <v>68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514</v>
      </c>
      <c r="B435" s="5" t="s">
        <v>474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515</v>
      </c>
      <c r="B436" s="5" t="s">
        <v>474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516</v>
      </c>
    </row>
    <row r="438" customFormat="false" ht="17.15" hidden="false" customHeight="false" outlineLevel="0" collapsed="false">
      <c r="A438" s="0" t="s">
        <v>517</v>
      </c>
      <c r="B438" s="0" t="s">
        <v>251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518</v>
      </c>
    </row>
    <row r="439" customFormat="false" ht="17.15" hidden="false" customHeight="false" outlineLevel="0" collapsed="false">
      <c r="A439" s="5" t="s">
        <v>519</v>
      </c>
      <c r="B439" s="0" t="s">
        <v>251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520</v>
      </c>
    </row>
    <row r="440" customFormat="false" ht="17.15" hidden="false" customHeight="false" outlineLevel="0" collapsed="false">
      <c r="A440" s="5" t="s">
        <v>521</v>
      </c>
      <c r="B440" s="0" t="s">
        <v>522</v>
      </c>
      <c r="D440" s="21" t="n">
        <f aca="false">D439/D436</f>
        <v>1.66002178641913</v>
      </c>
      <c r="I440" s="5" t="s">
        <v>523</v>
      </c>
    </row>
    <row r="441" customFormat="false" ht="15" hidden="false" customHeight="false" outlineLevel="0" collapsed="false">
      <c r="A441" s="5" t="s">
        <v>524</v>
      </c>
      <c r="B441" s="0" t="s">
        <v>251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525</v>
      </c>
      <c r="B442" s="0" t="s">
        <v>251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526</v>
      </c>
    </row>
    <row r="443" customFormat="false" ht="15" hidden="false" customHeight="false" outlineLevel="0" collapsed="false">
      <c r="A443" s="5" t="s">
        <v>433</v>
      </c>
      <c r="B443" s="0" t="s">
        <v>251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527</v>
      </c>
      <c r="B444" s="0" t="s">
        <v>68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440</v>
      </c>
      <c r="B445" s="0" t="s">
        <v>68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528</v>
      </c>
    </row>
    <row r="446" customFormat="false" ht="15" hidden="false" customHeight="false" outlineLevel="0" collapsed="false">
      <c r="A446" s="5" t="s">
        <v>436</v>
      </c>
      <c r="B446" s="0" t="s">
        <v>251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529</v>
      </c>
      <c r="B447" s="0" t="s">
        <v>251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530</v>
      </c>
    </row>
    <row r="448" customFormat="false" ht="15" hidden="false" customHeight="false" outlineLevel="0" collapsed="false">
      <c r="A448" s="5" t="s">
        <v>444</v>
      </c>
      <c r="B448" s="0" t="s">
        <v>251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490</v>
      </c>
      <c r="B449" s="0" t="s">
        <v>68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449</v>
      </c>
      <c r="B450" s="0" t="s">
        <v>251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491</v>
      </c>
      <c r="B451" s="0" t="s">
        <v>270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531</v>
      </c>
      <c r="B452" s="5" t="s">
        <v>389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796</v>
      </c>
    </row>
    <row r="466" customFormat="false" ht="15" hidden="false" customHeight="false" outlineLevel="0" collapsed="false">
      <c r="A466" s="6" t="s">
        <v>20</v>
      </c>
      <c r="B466" s="6" t="s">
        <v>21</v>
      </c>
      <c r="C466" s="14" t="s">
        <v>458</v>
      </c>
      <c r="D466" s="14" t="s">
        <v>459</v>
      </c>
      <c r="E466" s="14" t="s">
        <v>460</v>
      </c>
      <c r="F466" s="14" t="s">
        <v>461</v>
      </c>
      <c r="G466" s="14" t="s">
        <v>462</v>
      </c>
      <c r="H466" s="14" t="s">
        <v>463</v>
      </c>
      <c r="I466" s="6" t="s">
        <v>464</v>
      </c>
    </row>
    <row r="467" customFormat="false" ht="17.15" hidden="false" customHeight="false" outlineLevel="0" collapsed="false">
      <c r="A467" s="1" t="s">
        <v>494</v>
      </c>
    </row>
    <row r="468" customFormat="false" ht="17.15" hidden="false" customHeight="false" outlineLevel="0" collapsed="false">
      <c r="A468" s="0" t="s">
        <v>495</v>
      </c>
      <c r="B468" s="0" t="s">
        <v>31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496</v>
      </c>
    </row>
    <row r="469" customFormat="false" ht="17.15" hidden="false" customHeight="false" outlineLevel="0" collapsed="false">
      <c r="A469" s="0" t="s">
        <v>497</v>
      </c>
      <c r="B469" s="0" t="s">
        <v>498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499</v>
      </c>
      <c r="B470" s="5" t="s">
        <v>468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500</v>
      </c>
    </row>
    <row r="471" customFormat="false" ht="15" hidden="false" customHeight="false" outlineLevel="0" collapsed="false">
      <c r="A471" s="5" t="s">
        <v>501</v>
      </c>
      <c r="B471" s="5" t="s">
        <v>95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502</v>
      </c>
      <c r="B472" s="0" t="s">
        <v>115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503</v>
      </c>
      <c r="B473" s="0" t="s">
        <v>68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504</v>
      </c>
    </row>
    <row r="474" customFormat="false" ht="17.15" hidden="false" customHeight="false" outlineLevel="0" collapsed="false">
      <c r="A474" s="5" t="s">
        <v>505</v>
      </c>
      <c r="B474" s="5" t="s">
        <v>506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507</v>
      </c>
      <c r="B475" s="5" t="s">
        <v>389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508</v>
      </c>
      <c r="B476" s="5" t="s">
        <v>389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509</v>
      </c>
    </row>
    <row r="477" customFormat="false" ht="17.15" hidden="false" customHeight="false" outlineLevel="0" collapsed="false">
      <c r="A477" s="1" t="s">
        <v>510</v>
      </c>
    </row>
    <row r="478" customFormat="false" ht="17.15" hidden="false" customHeight="false" outlineLevel="0" collapsed="false">
      <c r="A478" s="0" t="s">
        <v>511</v>
      </c>
      <c r="B478" s="5" t="s">
        <v>145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512</v>
      </c>
    </row>
    <row r="479" customFormat="false" ht="17.15" hidden="false" customHeight="false" outlineLevel="0" collapsed="false">
      <c r="A479" s="5" t="s">
        <v>513</v>
      </c>
      <c r="B479" s="0" t="s">
        <v>68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514</v>
      </c>
      <c r="B480" s="5" t="s">
        <v>474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515</v>
      </c>
      <c r="B481" s="5" t="s">
        <v>474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516</v>
      </c>
    </row>
    <row r="483" customFormat="false" ht="17.15" hidden="false" customHeight="false" outlineLevel="0" collapsed="false">
      <c r="A483" s="0" t="s">
        <v>517</v>
      </c>
      <c r="B483" s="0" t="s">
        <v>251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518</v>
      </c>
    </row>
    <row r="484" customFormat="false" ht="17.15" hidden="false" customHeight="false" outlineLevel="0" collapsed="false">
      <c r="A484" s="5" t="s">
        <v>519</v>
      </c>
      <c r="B484" s="0" t="s">
        <v>251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520</v>
      </c>
    </row>
    <row r="485" customFormat="false" ht="17.15" hidden="false" customHeight="false" outlineLevel="0" collapsed="false">
      <c r="A485" s="5" t="s">
        <v>521</v>
      </c>
      <c r="B485" s="0" t="s">
        <v>522</v>
      </c>
      <c r="D485" s="21" t="n">
        <f aca="false">D484/D481</f>
        <v>1.66002178641913</v>
      </c>
      <c r="I485" s="5" t="s">
        <v>523</v>
      </c>
    </row>
    <row r="486" customFormat="false" ht="15" hidden="false" customHeight="false" outlineLevel="0" collapsed="false">
      <c r="A486" s="5" t="s">
        <v>524</v>
      </c>
      <c r="B486" s="0" t="s">
        <v>251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525</v>
      </c>
      <c r="B487" s="0" t="s">
        <v>251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526</v>
      </c>
    </row>
    <row r="488" customFormat="false" ht="15" hidden="false" customHeight="false" outlineLevel="0" collapsed="false">
      <c r="A488" s="5" t="s">
        <v>433</v>
      </c>
      <c r="B488" s="0" t="s">
        <v>251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527</v>
      </c>
      <c r="B489" s="0" t="s">
        <v>68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440</v>
      </c>
      <c r="B490" s="0" t="s">
        <v>68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528</v>
      </c>
    </row>
    <row r="491" customFormat="false" ht="15" hidden="false" customHeight="false" outlineLevel="0" collapsed="false">
      <c r="A491" s="5" t="s">
        <v>436</v>
      </c>
      <c r="B491" s="0" t="s">
        <v>251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529</v>
      </c>
      <c r="B492" s="0" t="s">
        <v>251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530</v>
      </c>
    </row>
    <row r="493" customFormat="false" ht="15" hidden="false" customHeight="false" outlineLevel="0" collapsed="false">
      <c r="A493" s="5" t="s">
        <v>444</v>
      </c>
      <c r="B493" s="0" t="s">
        <v>251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490</v>
      </c>
      <c r="B494" s="0" t="s">
        <v>68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449</v>
      </c>
      <c r="B495" s="0" t="s">
        <v>251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491</v>
      </c>
      <c r="B496" s="0" t="s">
        <v>270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531</v>
      </c>
      <c r="B497" s="5" t="s">
        <v>389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797</v>
      </c>
    </row>
    <row r="511" customFormat="false" ht="15" hidden="false" customHeight="false" outlineLevel="0" collapsed="false">
      <c r="A511" s="6" t="s">
        <v>20</v>
      </c>
      <c r="B511" s="6" t="s">
        <v>21</v>
      </c>
      <c r="C511" s="14" t="s">
        <v>458</v>
      </c>
      <c r="D511" s="14" t="s">
        <v>459</v>
      </c>
      <c r="E511" s="14" t="s">
        <v>460</v>
      </c>
      <c r="F511" s="14" t="s">
        <v>461</v>
      </c>
      <c r="G511" s="14" t="s">
        <v>462</v>
      </c>
      <c r="H511" s="14" t="s">
        <v>463</v>
      </c>
      <c r="I511" s="6" t="s">
        <v>464</v>
      </c>
    </row>
    <row r="512" customFormat="false" ht="17.15" hidden="false" customHeight="false" outlineLevel="0" collapsed="false">
      <c r="A512" s="1" t="s">
        <v>494</v>
      </c>
    </row>
    <row r="513" customFormat="false" ht="17.15" hidden="false" customHeight="false" outlineLevel="0" collapsed="false">
      <c r="A513" s="0" t="s">
        <v>495</v>
      </c>
      <c r="B513" s="0" t="s">
        <v>31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496</v>
      </c>
    </row>
    <row r="514" customFormat="false" ht="17.15" hidden="false" customHeight="false" outlineLevel="0" collapsed="false">
      <c r="A514" s="0" t="s">
        <v>497</v>
      </c>
      <c r="B514" s="0" t="s">
        <v>498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499</v>
      </c>
      <c r="B515" s="5" t="s">
        <v>468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500</v>
      </c>
    </row>
    <row r="516" customFormat="false" ht="15" hidden="false" customHeight="false" outlineLevel="0" collapsed="false">
      <c r="A516" s="5" t="s">
        <v>501</v>
      </c>
      <c r="B516" s="5" t="s">
        <v>95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502</v>
      </c>
      <c r="B517" s="0" t="s">
        <v>115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503</v>
      </c>
      <c r="B518" s="0" t="s">
        <v>68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504</v>
      </c>
    </row>
    <row r="519" customFormat="false" ht="17.15" hidden="false" customHeight="false" outlineLevel="0" collapsed="false">
      <c r="A519" s="5" t="s">
        <v>505</v>
      </c>
      <c r="B519" s="5" t="s">
        <v>506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507</v>
      </c>
      <c r="B520" s="5" t="s">
        <v>389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508</v>
      </c>
      <c r="B521" s="5" t="s">
        <v>389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509</v>
      </c>
    </row>
    <row r="522" customFormat="false" ht="17.15" hidden="false" customHeight="false" outlineLevel="0" collapsed="false">
      <c r="A522" s="1" t="s">
        <v>510</v>
      </c>
    </row>
    <row r="523" customFormat="false" ht="17.15" hidden="false" customHeight="false" outlineLevel="0" collapsed="false">
      <c r="A523" s="0" t="s">
        <v>511</v>
      </c>
      <c r="B523" s="5" t="s">
        <v>145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512</v>
      </c>
    </row>
    <row r="524" customFormat="false" ht="17.15" hidden="false" customHeight="false" outlineLevel="0" collapsed="false">
      <c r="A524" s="5" t="s">
        <v>513</v>
      </c>
      <c r="B524" s="0" t="s">
        <v>68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514</v>
      </c>
      <c r="B525" s="5" t="s">
        <v>474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515</v>
      </c>
      <c r="B526" s="5" t="s">
        <v>474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516</v>
      </c>
    </row>
    <row r="528" customFormat="false" ht="17.15" hidden="false" customHeight="false" outlineLevel="0" collapsed="false">
      <c r="A528" s="0" t="s">
        <v>517</v>
      </c>
      <c r="B528" s="0" t="s">
        <v>251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518</v>
      </c>
    </row>
    <row r="529" customFormat="false" ht="17.15" hidden="false" customHeight="false" outlineLevel="0" collapsed="false">
      <c r="A529" s="5" t="s">
        <v>519</v>
      </c>
      <c r="B529" s="0" t="s">
        <v>251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520</v>
      </c>
    </row>
    <row r="530" customFormat="false" ht="17.15" hidden="false" customHeight="false" outlineLevel="0" collapsed="false">
      <c r="A530" s="5" t="s">
        <v>521</v>
      </c>
      <c r="B530" s="0" t="s">
        <v>522</v>
      </c>
      <c r="D530" s="21" t="n">
        <f aca="false">D529/D526</f>
        <v>1.66002178641913</v>
      </c>
      <c r="I530" s="5" t="s">
        <v>523</v>
      </c>
    </row>
    <row r="531" customFormat="false" ht="15" hidden="false" customHeight="false" outlineLevel="0" collapsed="false">
      <c r="A531" s="5" t="s">
        <v>524</v>
      </c>
      <c r="B531" s="0" t="s">
        <v>251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525</v>
      </c>
      <c r="B532" s="0" t="s">
        <v>251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526</v>
      </c>
    </row>
    <row r="533" customFormat="false" ht="15" hidden="false" customHeight="false" outlineLevel="0" collapsed="false">
      <c r="A533" s="5" t="s">
        <v>433</v>
      </c>
      <c r="B533" s="0" t="s">
        <v>251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527</v>
      </c>
      <c r="B534" s="0" t="s">
        <v>68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440</v>
      </c>
      <c r="B535" s="0" t="s">
        <v>68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528</v>
      </c>
    </row>
    <row r="536" customFormat="false" ht="15" hidden="false" customHeight="false" outlineLevel="0" collapsed="false">
      <c r="A536" s="5" t="s">
        <v>436</v>
      </c>
      <c r="B536" s="0" t="s">
        <v>251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529</v>
      </c>
      <c r="B537" s="0" t="s">
        <v>251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530</v>
      </c>
    </row>
    <row r="538" customFormat="false" ht="15" hidden="false" customHeight="false" outlineLevel="0" collapsed="false">
      <c r="A538" s="5" t="s">
        <v>444</v>
      </c>
      <c r="B538" s="0" t="s">
        <v>251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490</v>
      </c>
      <c r="B539" s="0" t="s">
        <v>68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449</v>
      </c>
      <c r="B540" s="0" t="s">
        <v>251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491</v>
      </c>
      <c r="B541" s="0" t="s">
        <v>270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531</v>
      </c>
      <c r="B542" s="5" t="s">
        <v>389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798</v>
      </c>
    </row>
    <row r="556" customFormat="false" ht="15" hidden="false" customHeight="false" outlineLevel="0" collapsed="false">
      <c r="A556" s="6" t="s">
        <v>20</v>
      </c>
      <c r="B556" s="6" t="s">
        <v>21</v>
      </c>
      <c r="C556" s="14" t="s">
        <v>458</v>
      </c>
      <c r="D556" s="14" t="s">
        <v>459</v>
      </c>
      <c r="E556" s="14" t="s">
        <v>460</v>
      </c>
      <c r="F556" s="14" t="s">
        <v>461</v>
      </c>
      <c r="G556" s="14" t="s">
        <v>462</v>
      </c>
      <c r="H556" s="14" t="s">
        <v>463</v>
      </c>
      <c r="I556" s="6" t="s">
        <v>464</v>
      </c>
    </row>
    <row r="557" customFormat="false" ht="17.15" hidden="false" customHeight="false" outlineLevel="0" collapsed="false">
      <c r="A557" s="1" t="s">
        <v>494</v>
      </c>
    </row>
    <row r="558" customFormat="false" ht="17.15" hidden="false" customHeight="false" outlineLevel="0" collapsed="false">
      <c r="A558" s="0" t="s">
        <v>495</v>
      </c>
      <c r="B558" s="0" t="s">
        <v>31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496</v>
      </c>
    </row>
    <row r="559" customFormat="false" ht="17.15" hidden="false" customHeight="false" outlineLevel="0" collapsed="false">
      <c r="A559" s="0" t="s">
        <v>497</v>
      </c>
      <c r="B559" s="0" t="s">
        <v>498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499</v>
      </c>
      <c r="B560" s="5" t="s">
        <v>468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500</v>
      </c>
    </row>
    <row r="561" customFormat="false" ht="15" hidden="false" customHeight="false" outlineLevel="0" collapsed="false">
      <c r="A561" s="5" t="s">
        <v>501</v>
      </c>
      <c r="B561" s="5" t="s">
        <v>95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502</v>
      </c>
      <c r="B562" s="0" t="s">
        <v>115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503</v>
      </c>
      <c r="B563" s="0" t="s">
        <v>68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504</v>
      </c>
    </row>
    <row r="564" customFormat="false" ht="17.15" hidden="false" customHeight="false" outlineLevel="0" collapsed="false">
      <c r="A564" s="5" t="s">
        <v>505</v>
      </c>
      <c r="B564" s="5" t="s">
        <v>506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507</v>
      </c>
      <c r="B565" s="5" t="s">
        <v>389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508</v>
      </c>
      <c r="B566" s="5" t="s">
        <v>389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509</v>
      </c>
    </row>
    <row r="567" customFormat="false" ht="17.15" hidden="false" customHeight="false" outlineLevel="0" collapsed="false">
      <c r="A567" s="1" t="s">
        <v>510</v>
      </c>
    </row>
    <row r="568" customFormat="false" ht="17.15" hidden="false" customHeight="false" outlineLevel="0" collapsed="false">
      <c r="A568" s="0" t="s">
        <v>511</v>
      </c>
      <c r="B568" s="5" t="s">
        <v>145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512</v>
      </c>
    </row>
    <row r="569" customFormat="false" ht="17.15" hidden="false" customHeight="false" outlineLevel="0" collapsed="false">
      <c r="A569" s="5" t="s">
        <v>513</v>
      </c>
      <c r="B569" s="0" t="s">
        <v>68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514</v>
      </c>
      <c r="B570" s="5" t="s">
        <v>474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515</v>
      </c>
      <c r="B571" s="5" t="s">
        <v>474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516</v>
      </c>
    </row>
    <row r="573" customFormat="false" ht="17.15" hidden="false" customHeight="false" outlineLevel="0" collapsed="false">
      <c r="A573" s="0" t="s">
        <v>517</v>
      </c>
      <c r="B573" s="0" t="s">
        <v>251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518</v>
      </c>
    </row>
    <row r="574" customFormat="false" ht="17.15" hidden="false" customHeight="false" outlineLevel="0" collapsed="false">
      <c r="A574" s="5" t="s">
        <v>519</v>
      </c>
      <c r="B574" s="0" t="s">
        <v>251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520</v>
      </c>
    </row>
    <row r="575" customFormat="false" ht="17.15" hidden="false" customHeight="false" outlineLevel="0" collapsed="false">
      <c r="A575" s="5" t="s">
        <v>521</v>
      </c>
      <c r="B575" s="0" t="s">
        <v>522</v>
      </c>
      <c r="D575" s="21" t="n">
        <f aca="false">D574/D571</f>
        <v>1.66002178641913</v>
      </c>
      <c r="I575" s="5" t="s">
        <v>523</v>
      </c>
    </row>
    <row r="576" customFormat="false" ht="15" hidden="false" customHeight="false" outlineLevel="0" collapsed="false">
      <c r="A576" s="5" t="s">
        <v>524</v>
      </c>
      <c r="B576" s="0" t="s">
        <v>251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525</v>
      </c>
      <c r="B577" s="0" t="s">
        <v>251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526</v>
      </c>
    </row>
    <row r="578" customFormat="false" ht="15" hidden="false" customHeight="false" outlineLevel="0" collapsed="false">
      <c r="A578" s="5" t="s">
        <v>433</v>
      </c>
      <c r="B578" s="0" t="s">
        <v>251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527</v>
      </c>
      <c r="B579" s="0" t="s">
        <v>68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440</v>
      </c>
      <c r="B580" s="0" t="s">
        <v>68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528</v>
      </c>
    </row>
    <row r="581" customFormat="false" ht="15" hidden="false" customHeight="false" outlineLevel="0" collapsed="false">
      <c r="A581" s="5" t="s">
        <v>436</v>
      </c>
      <c r="B581" s="0" t="s">
        <v>251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529</v>
      </c>
      <c r="B582" s="0" t="s">
        <v>251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530</v>
      </c>
    </row>
    <row r="583" customFormat="false" ht="15" hidden="false" customHeight="false" outlineLevel="0" collapsed="false">
      <c r="A583" s="5" t="s">
        <v>444</v>
      </c>
      <c r="B583" s="0" t="s">
        <v>251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490</v>
      </c>
      <c r="B584" s="0" t="s">
        <v>68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449</v>
      </c>
      <c r="B585" s="0" t="s">
        <v>251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491</v>
      </c>
      <c r="B586" s="0" t="s">
        <v>270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531</v>
      </c>
      <c r="B587" s="5" t="s">
        <v>389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799</v>
      </c>
    </row>
    <row r="601" customFormat="false" ht="15" hidden="false" customHeight="false" outlineLevel="0" collapsed="false">
      <c r="A601" s="6" t="s">
        <v>20</v>
      </c>
      <c r="B601" s="6" t="s">
        <v>21</v>
      </c>
      <c r="C601" s="14" t="s">
        <v>458</v>
      </c>
      <c r="D601" s="14" t="s">
        <v>459</v>
      </c>
      <c r="E601" s="14" t="s">
        <v>460</v>
      </c>
      <c r="F601" s="14" t="s">
        <v>461</v>
      </c>
      <c r="G601" s="14" t="s">
        <v>462</v>
      </c>
      <c r="H601" s="14" t="s">
        <v>463</v>
      </c>
      <c r="I601" s="6" t="s">
        <v>464</v>
      </c>
    </row>
    <row r="602" customFormat="false" ht="17.15" hidden="false" customHeight="false" outlineLevel="0" collapsed="false">
      <c r="A602" s="1" t="s">
        <v>494</v>
      </c>
    </row>
    <row r="603" customFormat="false" ht="17.15" hidden="false" customHeight="false" outlineLevel="0" collapsed="false">
      <c r="A603" s="0" t="s">
        <v>495</v>
      </c>
      <c r="B603" s="0" t="s">
        <v>31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496</v>
      </c>
    </row>
    <row r="604" customFormat="false" ht="17.15" hidden="false" customHeight="false" outlineLevel="0" collapsed="false">
      <c r="A604" s="0" t="s">
        <v>497</v>
      </c>
      <c r="B604" s="0" t="s">
        <v>498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499</v>
      </c>
      <c r="B605" s="5" t="s">
        <v>468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500</v>
      </c>
    </row>
    <row r="606" customFormat="false" ht="15" hidden="false" customHeight="false" outlineLevel="0" collapsed="false">
      <c r="A606" s="5" t="s">
        <v>501</v>
      </c>
      <c r="B606" s="5" t="s">
        <v>95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502</v>
      </c>
      <c r="B607" s="0" t="s">
        <v>115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503</v>
      </c>
      <c r="B608" s="0" t="s">
        <v>68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504</v>
      </c>
    </row>
    <row r="609" customFormat="false" ht="17.15" hidden="false" customHeight="false" outlineLevel="0" collapsed="false">
      <c r="A609" s="5" t="s">
        <v>505</v>
      </c>
      <c r="B609" s="5" t="s">
        <v>506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507</v>
      </c>
      <c r="B610" s="5" t="s">
        <v>389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508</v>
      </c>
      <c r="B611" s="5" t="s">
        <v>389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509</v>
      </c>
    </row>
    <row r="612" customFormat="false" ht="17.15" hidden="false" customHeight="false" outlineLevel="0" collapsed="false">
      <c r="A612" s="1" t="s">
        <v>510</v>
      </c>
    </row>
    <row r="613" customFormat="false" ht="17.15" hidden="false" customHeight="false" outlineLevel="0" collapsed="false">
      <c r="A613" s="0" t="s">
        <v>511</v>
      </c>
      <c r="B613" s="5" t="s">
        <v>145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512</v>
      </c>
    </row>
    <row r="614" customFormat="false" ht="17.15" hidden="false" customHeight="false" outlineLevel="0" collapsed="false">
      <c r="A614" s="5" t="s">
        <v>513</v>
      </c>
      <c r="B614" s="0" t="s">
        <v>68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514</v>
      </c>
      <c r="B615" s="5" t="s">
        <v>474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515</v>
      </c>
      <c r="B616" s="5" t="s">
        <v>474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516</v>
      </c>
    </row>
    <row r="618" customFormat="false" ht="17.15" hidden="false" customHeight="false" outlineLevel="0" collapsed="false">
      <c r="A618" s="0" t="s">
        <v>517</v>
      </c>
      <c r="B618" s="0" t="s">
        <v>251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518</v>
      </c>
    </row>
    <row r="619" customFormat="false" ht="17.15" hidden="false" customHeight="false" outlineLevel="0" collapsed="false">
      <c r="A619" s="5" t="s">
        <v>519</v>
      </c>
      <c r="B619" s="0" t="s">
        <v>251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520</v>
      </c>
    </row>
    <row r="620" customFormat="false" ht="17.15" hidden="false" customHeight="false" outlineLevel="0" collapsed="false">
      <c r="A620" s="5" t="s">
        <v>521</v>
      </c>
      <c r="B620" s="0" t="s">
        <v>522</v>
      </c>
      <c r="D620" s="21" t="n">
        <f aca="false">D619/D616</f>
        <v>1.66002178641913</v>
      </c>
      <c r="I620" s="5" t="s">
        <v>523</v>
      </c>
    </row>
    <row r="621" customFormat="false" ht="15" hidden="false" customHeight="false" outlineLevel="0" collapsed="false">
      <c r="A621" s="5" t="s">
        <v>524</v>
      </c>
      <c r="B621" s="0" t="s">
        <v>251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525</v>
      </c>
      <c r="B622" s="0" t="s">
        <v>251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526</v>
      </c>
    </row>
    <row r="623" customFormat="false" ht="15" hidden="false" customHeight="false" outlineLevel="0" collapsed="false">
      <c r="A623" s="5" t="s">
        <v>433</v>
      </c>
      <c r="B623" s="0" t="s">
        <v>251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527</v>
      </c>
      <c r="B624" s="0" t="s">
        <v>68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440</v>
      </c>
      <c r="B625" s="0" t="s">
        <v>68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528</v>
      </c>
    </row>
    <row r="626" customFormat="false" ht="15" hidden="false" customHeight="false" outlineLevel="0" collapsed="false">
      <c r="A626" s="5" t="s">
        <v>436</v>
      </c>
      <c r="B626" s="0" t="s">
        <v>251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529</v>
      </c>
      <c r="B627" s="0" t="s">
        <v>251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530</v>
      </c>
    </row>
    <row r="628" customFormat="false" ht="15" hidden="false" customHeight="false" outlineLevel="0" collapsed="false">
      <c r="A628" s="5" t="s">
        <v>444</v>
      </c>
      <c r="B628" s="0" t="s">
        <v>251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490</v>
      </c>
      <c r="B629" s="0" t="s">
        <v>68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449</v>
      </c>
      <c r="B630" s="0" t="s">
        <v>251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491</v>
      </c>
      <c r="B631" s="0" t="s">
        <v>270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531</v>
      </c>
      <c r="B632" s="5" t="s">
        <v>389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800</v>
      </c>
    </row>
    <row r="646" customFormat="false" ht="15" hidden="false" customHeight="false" outlineLevel="0" collapsed="false">
      <c r="A646" s="6" t="s">
        <v>20</v>
      </c>
      <c r="B646" s="6" t="s">
        <v>21</v>
      </c>
      <c r="C646" s="14" t="s">
        <v>458</v>
      </c>
      <c r="D646" s="14" t="s">
        <v>459</v>
      </c>
      <c r="E646" s="14" t="s">
        <v>460</v>
      </c>
      <c r="F646" s="14" t="s">
        <v>461</v>
      </c>
      <c r="G646" s="14" t="s">
        <v>462</v>
      </c>
      <c r="H646" s="14" t="s">
        <v>463</v>
      </c>
      <c r="I646" s="6" t="s">
        <v>464</v>
      </c>
    </row>
    <row r="647" customFormat="false" ht="17.15" hidden="false" customHeight="false" outlineLevel="0" collapsed="false">
      <c r="A647" s="1" t="s">
        <v>494</v>
      </c>
    </row>
    <row r="648" customFormat="false" ht="17.15" hidden="false" customHeight="false" outlineLevel="0" collapsed="false">
      <c r="A648" s="0" t="s">
        <v>495</v>
      </c>
      <c r="B648" s="0" t="s">
        <v>31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496</v>
      </c>
    </row>
    <row r="649" customFormat="false" ht="17.15" hidden="false" customHeight="false" outlineLevel="0" collapsed="false">
      <c r="A649" s="0" t="s">
        <v>497</v>
      </c>
      <c r="B649" s="0" t="s">
        <v>498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499</v>
      </c>
      <c r="B650" s="5" t="s">
        <v>468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500</v>
      </c>
    </row>
    <row r="651" customFormat="false" ht="15" hidden="false" customHeight="false" outlineLevel="0" collapsed="false">
      <c r="A651" s="5" t="s">
        <v>501</v>
      </c>
      <c r="B651" s="5" t="s">
        <v>95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502</v>
      </c>
      <c r="B652" s="0" t="s">
        <v>115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503</v>
      </c>
      <c r="B653" s="0" t="s">
        <v>68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504</v>
      </c>
    </row>
    <row r="654" customFormat="false" ht="17.15" hidden="false" customHeight="false" outlineLevel="0" collapsed="false">
      <c r="A654" s="5" t="s">
        <v>505</v>
      </c>
      <c r="B654" s="5" t="s">
        <v>506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507</v>
      </c>
      <c r="B655" s="5" t="s">
        <v>389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508</v>
      </c>
      <c r="B656" s="5" t="s">
        <v>389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509</v>
      </c>
    </row>
    <row r="657" customFormat="false" ht="17.15" hidden="false" customHeight="false" outlineLevel="0" collapsed="false">
      <c r="A657" s="1" t="s">
        <v>510</v>
      </c>
    </row>
    <row r="658" customFormat="false" ht="17.15" hidden="false" customHeight="false" outlineLevel="0" collapsed="false">
      <c r="A658" s="0" t="s">
        <v>511</v>
      </c>
      <c r="B658" s="5" t="s">
        <v>145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512</v>
      </c>
    </row>
    <row r="659" customFormat="false" ht="17.15" hidden="false" customHeight="false" outlineLevel="0" collapsed="false">
      <c r="A659" s="5" t="s">
        <v>513</v>
      </c>
      <c r="B659" s="0" t="s">
        <v>68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514</v>
      </c>
      <c r="B660" s="5" t="s">
        <v>474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515</v>
      </c>
      <c r="B661" s="5" t="s">
        <v>474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516</v>
      </c>
    </row>
    <row r="663" customFormat="false" ht="17.15" hidden="false" customHeight="false" outlineLevel="0" collapsed="false">
      <c r="A663" s="0" t="s">
        <v>517</v>
      </c>
      <c r="B663" s="0" t="s">
        <v>251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518</v>
      </c>
    </row>
    <row r="664" customFormat="false" ht="17.15" hidden="false" customHeight="false" outlineLevel="0" collapsed="false">
      <c r="A664" s="5" t="s">
        <v>519</v>
      </c>
      <c r="B664" s="0" t="s">
        <v>251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520</v>
      </c>
    </row>
    <row r="665" customFormat="false" ht="17.15" hidden="false" customHeight="false" outlineLevel="0" collapsed="false">
      <c r="A665" s="5" t="s">
        <v>521</v>
      </c>
      <c r="B665" s="0" t="s">
        <v>522</v>
      </c>
      <c r="D665" s="21" t="n">
        <f aca="false">D664/D661</f>
        <v>1.66002178641913</v>
      </c>
      <c r="I665" s="5" t="s">
        <v>523</v>
      </c>
    </row>
    <row r="666" customFormat="false" ht="15" hidden="false" customHeight="false" outlineLevel="0" collapsed="false">
      <c r="A666" s="5" t="s">
        <v>524</v>
      </c>
      <c r="B666" s="0" t="s">
        <v>251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525</v>
      </c>
      <c r="B667" s="0" t="s">
        <v>251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526</v>
      </c>
    </row>
    <row r="668" customFormat="false" ht="15" hidden="false" customHeight="false" outlineLevel="0" collapsed="false">
      <c r="A668" s="5" t="s">
        <v>433</v>
      </c>
      <c r="B668" s="0" t="s">
        <v>251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527</v>
      </c>
      <c r="B669" s="0" t="s">
        <v>68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440</v>
      </c>
      <c r="B670" s="0" t="s">
        <v>68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528</v>
      </c>
    </row>
    <row r="671" customFormat="false" ht="15" hidden="false" customHeight="false" outlineLevel="0" collapsed="false">
      <c r="A671" s="5" t="s">
        <v>436</v>
      </c>
      <c r="B671" s="0" t="s">
        <v>251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529</v>
      </c>
      <c r="B672" s="0" t="s">
        <v>251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530</v>
      </c>
    </row>
    <row r="673" customFormat="false" ht="15" hidden="false" customHeight="false" outlineLevel="0" collapsed="false">
      <c r="A673" s="5" t="s">
        <v>444</v>
      </c>
      <c r="B673" s="0" t="s">
        <v>251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490</v>
      </c>
      <c r="B674" s="0" t="s">
        <v>68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449</v>
      </c>
      <c r="B675" s="0" t="s">
        <v>251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491</v>
      </c>
      <c r="B676" s="0" t="s">
        <v>270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531</v>
      </c>
      <c r="B677" s="5" t="s">
        <v>389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801</v>
      </c>
    </row>
    <row r="691" customFormat="false" ht="15" hidden="false" customHeight="false" outlineLevel="0" collapsed="false">
      <c r="A691" s="6" t="s">
        <v>20</v>
      </c>
      <c r="B691" s="6" t="s">
        <v>21</v>
      </c>
      <c r="C691" s="14" t="s">
        <v>458</v>
      </c>
      <c r="D691" s="14" t="s">
        <v>459</v>
      </c>
      <c r="E691" s="14" t="s">
        <v>460</v>
      </c>
      <c r="F691" s="14" t="s">
        <v>461</v>
      </c>
      <c r="G691" s="14" t="s">
        <v>462</v>
      </c>
      <c r="H691" s="14" t="s">
        <v>463</v>
      </c>
      <c r="I691" s="6" t="s">
        <v>464</v>
      </c>
    </row>
    <row r="692" customFormat="false" ht="17.15" hidden="false" customHeight="false" outlineLevel="0" collapsed="false">
      <c r="A692" s="1" t="s">
        <v>494</v>
      </c>
    </row>
    <row r="693" customFormat="false" ht="17.15" hidden="false" customHeight="false" outlineLevel="0" collapsed="false">
      <c r="A693" s="0" t="s">
        <v>495</v>
      </c>
      <c r="B693" s="0" t="s">
        <v>31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496</v>
      </c>
    </row>
    <row r="694" customFormat="false" ht="17.15" hidden="false" customHeight="false" outlineLevel="0" collapsed="false">
      <c r="A694" s="0" t="s">
        <v>497</v>
      </c>
      <c r="B694" s="0" t="s">
        <v>498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499</v>
      </c>
      <c r="B695" s="5" t="s">
        <v>468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500</v>
      </c>
    </row>
    <row r="696" customFormat="false" ht="15" hidden="false" customHeight="false" outlineLevel="0" collapsed="false">
      <c r="A696" s="5" t="s">
        <v>501</v>
      </c>
      <c r="B696" s="5" t="s">
        <v>95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502</v>
      </c>
      <c r="B697" s="0" t="s">
        <v>115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503</v>
      </c>
      <c r="B698" s="0" t="s">
        <v>68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504</v>
      </c>
    </row>
    <row r="699" customFormat="false" ht="17.15" hidden="false" customHeight="false" outlineLevel="0" collapsed="false">
      <c r="A699" s="5" t="s">
        <v>505</v>
      </c>
      <c r="B699" s="5" t="s">
        <v>506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507</v>
      </c>
      <c r="B700" s="5" t="s">
        <v>389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508</v>
      </c>
      <c r="B701" s="5" t="s">
        <v>389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509</v>
      </c>
    </row>
    <row r="702" customFormat="false" ht="17.15" hidden="false" customHeight="false" outlineLevel="0" collapsed="false">
      <c r="A702" s="1" t="s">
        <v>510</v>
      </c>
    </row>
    <row r="703" customFormat="false" ht="17.15" hidden="false" customHeight="false" outlineLevel="0" collapsed="false">
      <c r="A703" s="0" t="s">
        <v>511</v>
      </c>
      <c r="B703" s="5" t="s">
        <v>145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512</v>
      </c>
    </row>
    <row r="704" customFormat="false" ht="17.15" hidden="false" customHeight="false" outlineLevel="0" collapsed="false">
      <c r="A704" s="5" t="s">
        <v>513</v>
      </c>
      <c r="B704" s="0" t="s">
        <v>68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514</v>
      </c>
      <c r="B705" s="5" t="s">
        <v>474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515</v>
      </c>
      <c r="B706" s="5" t="s">
        <v>474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516</v>
      </c>
    </row>
    <row r="708" customFormat="false" ht="17.15" hidden="false" customHeight="false" outlineLevel="0" collapsed="false">
      <c r="A708" s="0" t="s">
        <v>517</v>
      </c>
      <c r="B708" s="0" t="s">
        <v>251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518</v>
      </c>
    </row>
    <row r="709" customFormat="false" ht="17.15" hidden="false" customHeight="false" outlineLevel="0" collapsed="false">
      <c r="A709" s="5" t="s">
        <v>519</v>
      </c>
      <c r="B709" s="0" t="s">
        <v>251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520</v>
      </c>
    </row>
    <row r="710" customFormat="false" ht="17.15" hidden="false" customHeight="false" outlineLevel="0" collapsed="false">
      <c r="A710" s="5" t="s">
        <v>521</v>
      </c>
      <c r="B710" s="0" t="s">
        <v>522</v>
      </c>
      <c r="D710" s="21" t="n">
        <f aca="false">D709/D706</f>
        <v>1.66002178641913</v>
      </c>
      <c r="I710" s="5" t="s">
        <v>523</v>
      </c>
    </row>
    <row r="711" customFormat="false" ht="15" hidden="false" customHeight="false" outlineLevel="0" collapsed="false">
      <c r="A711" s="5" t="s">
        <v>524</v>
      </c>
      <c r="B711" s="0" t="s">
        <v>251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525</v>
      </c>
      <c r="B712" s="0" t="s">
        <v>251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526</v>
      </c>
    </row>
    <row r="713" customFormat="false" ht="15" hidden="false" customHeight="false" outlineLevel="0" collapsed="false">
      <c r="A713" s="5" t="s">
        <v>433</v>
      </c>
      <c r="B713" s="0" t="s">
        <v>251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527</v>
      </c>
      <c r="B714" s="0" t="s">
        <v>68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440</v>
      </c>
      <c r="B715" s="0" t="s">
        <v>68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528</v>
      </c>
    </row>
    <row r="716" customFormat="false" ht="15" hidden="false" customHeight="false" outlineLevel="0" collapsed="false">
      <c r="A716" s="5" t="s">
        <v>436</v>
      </c>
      <c r="B716" s="0" t="s">
        <v>251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529</v>
      </c>
      <c r="B717" s="0" t="s">
        <v>251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530</v>
      </c>
    </row>
    <row r="718" customFormat="false" ht="15" hidden="false" customHeight="false" outlineLevel="0" collapsed="false">
      <c r="A718" s="5" t="s">
        <v>444</v>
      </c>
      <c r="B718" s="0" t="s">
        <v>251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490</v>
      </c>
      <c r="B719" s="0" t="s">
        <v>68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449</v>
      </c>
      <c r="B720" s="0" t="s">
        <v>251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491</v>
      </c>
      <c r="B721" s="0" t="s">
        <v>270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531</v>
      </c>
      <c r="B722" s="5" t="s">
        <v>389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802</v>
      </c>
    </row>
    <row r="736" customFormat="false" ht="15" hidden="false" customHeight="false" outlineLevel="0" collapsed="false">
      <c r="A736" s="6" t="s">
        <v>20</v>
      </c>
      <c r="B736" s="6" t="s">
        <v>21</v>
      </c>
      <c r="C736" s="14" t="s">
        <v>458</v>
      </c>
      <c r="D736" s="14" t="s">
        <v>459</v>
      </c>
      <c r="E736" s="14" t="s">
        <v>460</v>
      </c>
      <c r="F736" s="14" t="s">
        <v>461</v>
      </c>
      <c r="G736" s="14" t="s">
        <v>462</v>
      </c>
      <c r="H736" s="14" t="s">
        <v>463</v>
      </c>
      <c r="I736" s="6" t="s">
        <v>464</v>
      </c>
    </row>
    <row r="737" customFormat="false" ht="17.15" hidden="false" customHeight="false" outlineLevel="0" collapsed="false">
      <c r="A737" s="1" t="s">
        <v>494</v>
      </c>
    </row>
    <row r="738" customFormat="false" ht="17.15" hidden="false" customHeight="false" outlineLevel="0" collapsed="false">
      <c r="A738" s="0" t="s">
        <v>495</v>
      </c>
      <c r="B738" s="0" t="s">
        <v>31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496</v>
      </c>
    </row>
    <row r="739" customFormat="false" ht="17.15" hidden="false" customHeight="false" outlineLevel="0" collapsed="false">
      <c r="A739" s="0" t="s">
        <v>497</v>
      </c>
      <c r="B739" s="0" t="s">
        <v>498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499</v>
      </c>
      <c r="B740" s="5" t="s">
        <v>468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500</v>
      </c>
    </row>
    <row r="741" customFormat="false" ht="15" hidden="false" customHeight="false" outlineLevel="0" collapsed="false">
      <c r="A741" s="5" t="s">
        <v>501</v>
      </c>
      <c r="B741" s="5" t="s">
        <v>95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502</v>
      </c>
      <c r="B742" s="0" t="s">
        <v>115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503</v>
      </c>
      <c r="B743" s="0" t="s">
        <v>68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504</v>
      </c>
    </row>
    <row r="744" customFormat="false" ht="17.15" hidden="false" customHeight="false" outlineLevel="0" collapsed="false">
      <c r="A744" s="5" t="s">
        <v>505</v>
      </c>
      <c r="B744" s="5" t="s">
        <v>506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507</v>
      </c>
      <c r="B745" s="5" t="s">
        <v>389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508</v>
      </c>
      <c r="B746" s="5" t="s">
        <v>389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509</v>
      </c>
    </row>
    <row r="747" customFormat="false" ht="17.15" hidden="false" customHeight="false" outlineLevel="0" collapsed="false">
      <c r="A747" s="1" t="s">
        <v>510</v>
      </c>
    </row>
    <row r="748" customFormat="false" ht="17.15" hidden="false" customHeight="false" outlineLevel="0" collapsed="false">
      <c r="A748" s="0" t="s">
        <v>511</v>
      </c>
      <c r="B748" s="5" t="s">
        <v>145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512</v>
      </c>
    </row>
    <row r="749" customFormat="false" ht="17.15" hidden="false" customHeight="false" outlineLevel="0" collapsed="false">
      <c r="A749" s="5" t="s">
        <v>513</v>
      </c>
      <c r="B749" s="0" t="s">
        <v>68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514</v>
      </c>
      <c r="B750" s="5" t="s">
        <v>474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515</v>
      </c>
      <c r="B751" s="5" t="s">
        <v>474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516</v>
      </c>
    </row>
    <row r="753" customFormat="false" ht="17.15" hidden="false" customHeight="false" outlineLevel="0" collapsed="false">
      <c r="A753" s="0" t="s">
        <v>517</v>
      </c>
      <c r="B753" s="0" t="s">
        <v>251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518</v>
      </c>
    </row>
    <row r="754" customFormat="false" ht="17.15" hidden="false" customHeight="false" outlineLevel="0" collapsed="false">
      <c r="A754" s="5" t="s">
        <v>519</v>
      </c>
      <c r="B754" s="0" t="s">
        <v>251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520</v>
      </c>
    </row>
    <row r="755" customFormat="false" ht="17.15" hidden="false" customHeight="false" outlineLevel="0" collapsed="false">
      <c r="A755" s="5" t="s">
        <v>521</v>
      </c>
      <c r="B755" s="0" t="s">
        <v>522</v>
      </c>
      <c r="D755" s="21" t="n">
        <f aca="false">D754/D751</f>
        <v>1.66002178641913</v>
      </c>
      <c r="I755" s="5" t="s">
        <v>523</v>
      </c>
    </row>
    <row r="756" customFormat="false" ht="15" hidden="false" customHeight="false" outlineLevel="0" collapsed="false">
      <c r="A756" s="5" t="s">
        <v>524</v>
      </c>
      <c r="B756" s="0" t="s">
        <v>251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525</v>
      </c>
      <c r="B757" s="0" t="s">
        <v>251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526</v>
      </c>
    </row>
    <row r="758" customFormat="false" ht="15" hidden="false" customHeight="false" outlineLevel="0" collapsed="false">
      <c r="A758" s="5" t="s">
        <v>433</v>
      </c>
      <c r="B758" s="0" t="s">
        <v>251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527</v>
      </c>
      <c r="B759" s="0" t="s">
        <v>68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440</v>
      </c>
      <c r="B760" s="0" t="s">
        <v>68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528</v>
      </c>
    </row>
    <row r="761" customFormat="false" ht="15" hidden="false" customHeight="false" outlineLevel="0" collapsed="false">
      <c r="A761" s="5" t="s">
        <v>436</v>
      </c>
      <c r="B761" s="0" t="s">
        <v>251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529</v>
      </c>
      <c r="B762" s="0" t="s">
        <v>251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530</v>
      </c>
    </row>
    <row r="763" customFormat="false" ht="15" hidden="false" customHeight="false" outlineLevel="0" collapsed="false">
      <c r="A763" s="5" t="s">
        <v>444</v>
      </c>
      <c r="B763" s="0" t="s">
        <v>251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490</v>
      </c>
      <c r="B764" s="0" t="s">
        <v>68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449</v>
      </c>
      <c r="B765" s="0" t="s">
        <v>251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491</v>
      </c>
      <c r="B766" s="0" t="s">
        <v>270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531</v>
      </c>
      <c r="B767" s="5" t="s">
        <v>389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803</v>
      </c>
    </row>
    <row r="781" customFormat="false" ht="15" hidden="false" customHeight="false" outlineLevel="0" collapsed="false">
      <c r="A781" s="6" t="s">
        <v>20</v>
      </c>
      <c r="B781" s="6" t="s">
        <v>21</v>
      </c>
      <c r="C781" s="14" t="s">
        <v>458</v>
      </c>
      <c r="D781" s="14" t="s">
        <v>459</v>
      </c>
      <c r="E781" s="14" t="s">
        <v>460</v>
      </c>
      <c r="F781" s="14" t="s">
        <v>461</v>
      </c>
      <c r="G781" s="14" t="s">
        <v>462</v>
      </c>
      <c r="H781" s="14" t="s">
        <v>463</v>
      </c>
      <c r="I781" s="6" t="s">
        <v>464</v>
      </c>
    </row>
    <row r="782" customFormat="false" ht="17.15" hidden="false" customHeight="false" outlineLevel="0" collapsed="false">
      <c r="A782" s="1" t="s">
        <v>494</v>
      </c>
    </row>
    <row r="783" customFormat="false" ht="17.15" hidden="false" customHeight="false" outlineLevel="0" collapsed="false">
      <c r="A783" s="0" t="s">
        <v>495</v>
      </c>
      <c r="B783" s="0" t="s">
        <v>31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496</v>
      </c>
    </row>
    <row r="784" customFormat="false" ht="17.15" hidden="false" customHeight="false" outlineLevel="0" collapsed="false">
      <c r="A784" s="0" t="s">
        <v>497</v>
      </c>
      <c r="B784" s="0" t="s">
        <v>498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499</v>
      </c>
      <c r="B785" s="5" t="s">
        <v>468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500</v>
      </c>
    </row>
    <row r="786" customFormat="false" ht="15" hidden="false" customHeight="false" outlineLevel="0" collapsed="false">
      <c r="A786" s="5" t="s">
        <v>501</v>
      </c>
      <c r="B786" s="5" t="s">
        <v>95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502</v>
      </c>
      <c r="B787" s="0" t="s">
        <v>115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503</v>
      </c>
      <c r="B788" s="0" t="s">
        <v>68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504</v>
      </c>
    </row>
    <row r="789" customFormat="false" ht="17.15" hidden="false" customHeight="false" outlineLevel="0" collapsed="false">
      <c r="A789" s="5" t="s">
        <v>505</v>
      </c>
      <c r="B789" s="5" t="s">
        <v>506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507</v>
      </c>
      <c r="B790" s="5" t="s">
        <v>389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508</v>
      </c>
      <c r="B791" s="5" t="s">
        <v>389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509</v>
      </c>
    </row>
    <row r="792" customFormat="false" ht="17.15" hidden="false" customHeight="false" outlineLevel="0" collapsed="false">
      <c r="A792" s="1" t="s">
        <v>510</v>
      </c>
    </row>
    <row r="793" customFormat="false" ht="17.15" hidden="false" customHeight="false" outlineLevel="0" collapsed="false">
      <c r="A793" s="0" t="s">
        <v>511</v>
      </c>
      <c r="B793" s="5" t="s">
        <v>145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512</v>
      </c>
    </row>
    <row r="794" customFormat="false" ht="17.15" hidden="false" customHeight="false" outlineLevel="0" collapsed="false">
      <c r="A794" s="5" t="s">
        <v>513</v>
      </c>
      <c r="B794" s="0" t="s">
        <v>68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514</v>
      </c>
      <c r="B795" s="5" t="s">
        <v>474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515</v>
      </c>
      <c r="B796" s="5" t="s">
        <v>474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516</v>
      </c>
    </row>
    <row r="798" customFormat="false" ht="17.15" hidden="false" customHeight="false" outlineLevel="0" collapsed="false">
      <c r="A798" s="0" t="s">
        <v>517</v>
      </c>
      <c r="B798" s="0" t="s">
        <v>251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518</v>
      </c>
    </row>
    <row r="799" customFormat="false" ht="17.15" hidden="false" customHeight="false" outlineLevel="0" collapsed="false">
      <c r="A799" s="5" t="s">
        <v>519</v>
      </c>
      <c r="B799" s="0" t="s">
        <v>251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520</v>
      </c>
    </row>
    <row r="800" customFormat="false" ht="17.15" hidden="false" customHeight="false" outlineLevel="0" collapsed="false">
      <c r="A800" s="5" t="s">
        <v>521</v>
      </c>
      <c r="B800" s="0" t="s">
        <v>522</v>
      </c>
      <c r="D800" s="21" t="n">
        <f aca="false">D799/D796</f>
        <v>1.71026612099026</v>
      </c>
      <c r="I800" s="5" t="s">
        <v>523</v>
      </c>
    </row>
    <row r="801" customFormat="false" ht="15" hidden="false" customHeight="false" outlineLevel="0" collapsed="false">
      <c r="A801" s="5" t="s">
        <v>524</v>
      </c>
      <c r="B801" s="0" t="s">
        <v>251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525</v>
      </c>
      <c r="B802" s="0" t="s">
        <v>251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526</v>
      </c>
    </row>
    <row r="803" customFormat="false" ht="15" hidden="false" customHeight="false" outlineLevel="0" collapsed="false">
      <c r="A803" s="5" t="s">
        <v>433</v>
      </c>
      <c r="B803" s="0" t="s">
        <v>251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527</v>
      </c>
      <c r="B804" s="0" t="s">
        <v>68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440</v>
      </c>
      <c r="B805" s="0" t="s">
        <v>68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528</v>
      </c>
    </row>
    <row r="806" customFormat="false" ht="15" hidden="false" customHeight="false" outlineLevel="0" collapsed="false">
      <c r="A806" s="5" t="s">
        <v>436</v>
      </c>
      <c r="B806" s="0" t="s">
        <v>251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529</v>
      </c>
      <c r="B807" s="0" t="s">
        <v>251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530</v>
      </c>
    </row>
    <row r="808" customFormat="false" ht="15" hidden="false" customHeight="false" outlineLevel="0" collapsed="false">
      <c r="A808" s="5" t="s">
        <v>444</v>
      </c>
      <c r="B808" s="0" t="s">
        <v>251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490</v>
      </c>
      <c r="B809" s="0" t="s">
        <v>68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449</v>
      </c>
      <c r="B810" s="0" t="s">
        <v>251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491</v>
      </c>
      <c r="B811" s="0" t="s">
        <v>270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531</v>
      </c>
      <c r="B812" s="5" t="s">
        <v>389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804</v>
      </c>
    </row>
    <row r="826" customFormat="false" ht="15" hidden="false" customHeight="false" outlineLevel="0" collapsed="false">
      <c r="A826" s="6" t="s">
        <v>20</v>
      </c>
      <c r="B826" s="6" t="s">
        <v>21</v>
      </c>
      <c r="C826" s="14" t="s">
        <v>458</v>
      </c>
      <c r="D826" s="14" t="s">
        <v>459</v>
      </c>
      <c r="E826" s="14" t="s">
        <v>460</v>
      </c>
      <c r="F826" s="14" t="s">
        <v>461</v>
      </c>
      <c r="G826" s="14" t="s">
        <v>462</v>
      </c>
      <c r="H826" s="14" t="s">
        <v>463</v>
      </c>
      <c r="I826" s="6" t="s">
        <v>464</v>
      </c>
    </row>
    <row r="827" customFormat="false" ht="17.15" hidden="false" customHeight="false" outlineLevel="0" collapsed="false">
      <c r="A827" s="1" t="s">
        <v>494</v>
      </c>
    </row>
    <row r="828" customFormat="false" ht="17.15" hidden="false" customHeight="false" outlineLevel="0" collapsed="false">
      <c r="A828" s="0" t="s">
        <v>495</v>
      </c>
      <c r="B828" s="0" t="s">
        <v>31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496</v>
      </c>
    </row>
    <row r="829" customFormat="false" ht="17.15" hidden="false" customHeight="false" outlineLevel="0" collapsed="false">
      <c r="A829" s="0" t="s">
        <v>497</v>
      </c>
      <c r="B829" s="0" t="s">
        <v>498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499</v>
      </c>
      <c r="B830" s="5" t="s">
        <v>468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500</v>
      </c>
    </row>
    <row r="831" customFormat="false" ht="15" hidden="false" customHeight="false" outlineLevel="0" collapsed="false">
      <c r="A831" s="5" t="s">
        <v>501</v>
      </c>
      <c r="B831" s="5" t="s">
        <v>95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502</v>
      </c>
      <c r="B832" s="0" t="s">
        <v>115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503</v>
      </c>
      <c r="B833" s="0" t="s">
        <v>68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504</v>
      </c>
    </row>
    <row r="834" customFormat="false" ht="17.15" hidden="false" customHeight="false" outlineLevel="0" collapsed="false">
      <c r="A834" s="5" t="s">
        <v>505</v>
      </c>
      <c r="B834" s="5" t="s">
        <v>506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507</v>
      </c>
      <c r="B835" s="5" t="s">
        <v>389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508</v>
      </c>
      <c r="B836" s="5" t="s">
        <v>389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509</v>
      </c>
    </row>
    <row r="837" customFormat="false" ht="17.15" hidden="false" customHeight="false" outlineLevel="0" collapsed="false">
      <c r="A837" s="1" t="s">
        <v>510</v>
      </c>
    </row>
    <row r="838" customFormat="false" ht="17.15" hidden="false" customHeight="false" outlineLevel="0" collapsed="false">
      <c r="A838" s="0" t="s">
        <v>511</v>
      </c>
      <c r="B838" s="5" t="s">
        <v>145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512</v>
      </c>
    </row>
    <row r="839" customFormat="false" ht="17.15" hidden="false" customHeight="false" outlineLevel="0" collapsed="false">
      <c r="A839" s="5" t="s">
        <v>513</v>
      </c>
      <c r="B839" s="0" t="s">
        <v>68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514</v>
      </c>
      <c r="B840" s="5" t="s">
        <v>474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515</v>
      </c>
      <c r="B841" s="5" t="s">
        <v>474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516</v>
      </c>
    </row>
    <row r="843" customFormat="false" ht="17.15" hidden="false" customHeight="false" outlineLevel="0" collapsed="false">
      <c r="A843" s="0" t="s">
        <v>517</v>
      </c>
      <c r="B843" s="0" t="s">
        <v>251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518</v>
      </c>
    </row>
    <row r="844" customFormat="false" ht="17.15" hidden="false" customHeight="false" outlineLevel="0" collapsed="false">
      <c r="A844" s="5" t="s">
        <v>519</v>
      </c>
      <c r="B844" s="0" t="s">
        <v>251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520</v>
      </c>
    </row>
    <row r="845" customFormat="false" ht="17.15" hidden="false" customHeight="false" outlineLevel="0" collapsed="false">
      <c r="A845" s="5" t="s">
        <v>521</v>
      </c>
      <c r="B845" s="0" t="s">
        <v>522</v>
      </c>
      <c r="D845" s="21" t="n">
        <f aca="false">D844/D841</f>
        <v>1.61264536228673</v>
      </c>
      <c r="I845" s="5" t="s">
        <v>523</v>
      </c>
    </row>
    <row r="846" customFormat="false" ht="15" hidden="false" customHeight="false" outlineLevel="0" collapsed="false">
      <c r="A846" s="5" t="s">
        <v>524</v>
      </c>
      <c r="B846" s="0" t="s">
        <v>251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525</v>
      </c>
      <c r="B847" s="0" t="s">
        <v>251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526</v>
      </c>
    </row>
    <row r="848" customFormat="false" ht="15" hidden="false" customHeight="false" outlineLevel="0" collapsed="false">
      <c r="A848" s="5" t="s">
        <v>433</v>
      </c>
      <c r="B848" s="0" t="s">
        <v>251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527</v>
      </c>
      <c r="B849" s="0" t="s">
        <v>68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440</v>
      </c>
      <c r="B850" s="0" t="s">
        <v>68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528</v>
      </c>
    </row>
    <row r="851" customFormat="false" ht="15" hidden="false" customHeight="false" outlineLevel="0" collapsed="false">
      <c r="A851" s="5" t="s">
        <v>436</v>
      </c>
      <c r="B851" s="0" t="s">
        <v>251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529</v>
      </c>
      <c r="B852" s="0" t="s">
        <v>251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530</v>
      </c>
    </row>
    <row r="853" customFormat="false" ht="15" hidden="false" customHeight="false" outlineLevel="0" collapsed="false">
      <c r="A853" s="5" t="s">
        <v>444</v>
      </c>
      <c r="B853" s="0" t="s">
        <v>251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490</v>
      </c>
      <c r="B854" s="0" t="s">
        <v>68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449</v>
      </c>
      <c r="B855" s="0" t="s">
        <v>251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491</v>
      </c>
      <c r="B856" s="0" t="s">
        <v>270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531</v>
      </c>
      <c r="B857" s="5" t="s">
        <v>389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805</v>
      </c>
    </row>
    <row r="871" customFormat="false" ht="15" hidden="false" customHeight="false" outlineLevel="0" collapsed="false">
      <c r="A871" s="6" t="s">
        <v>20</v>
      </c>
      <c r="B871" s="6" t="s">
        <v>21</v>
      </c>
      <c r="C871" s="14" t="s">
        <v>458</v>
      </c>
      <c r="D871" s="14" t="s">
        <v>459</v>
      </c>
      <c r="E871" s="14" t="s">
        <v>460</v>
      </c>
      <c r="F871" s="14" t="s">
        <v>461</v>
      </c>
      <c r="G871" s="14" t="s">
        <v>462</v>
      </c>
      <c r="H871" s="14" t="s">
        <v>463</v>
      </c>
      <c r="I871" s="6" t="s">
        <v>464</v>
      </c>
    </row>
    <row r="872" customFormat="false" ht="17.15" hidden="false" customHeight="false" outlineLevel="0" collapsed="false">
      <c r="A872" s="1" t="s">
        <v>494</v>
      </c>
    </row>
    <row r="873" customFormat="false" ht="17.15" hidden="false" customHeight="false" outlineLevel="0" collapsed="false">
      <c r="A873" s="0" t="s">
        <v>495</v>
      </c>
      <c r="B873" s="0" t="s">
        <v>31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496</v>
      </c>
    </row>
    <row r="874" customFormat="false" ht="17.15" hidden="false" customHeight="false" outlineLevel="0" collapsed="false">
      <c r="A874" s="0" t="s">
        <v>497</v>
      </c>
      <c r="B874" s="0" t="s">
        <v>498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499</v>
      </c>
      <c r="B875" s="5" t="s">
        <v>468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500</v>
      </c>
    </row>
    <row r="876" customFormat="false" ht="15" hidden="false" customHeight="false" outlineLevel="0" collapsed="false">
      <c r="A876" s="5" t="s">
        <v>501</v>
      </c>
      <c r="B876" s="5" t="s">
        <v>95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502</v>
      </c>
      <c r="B877" s="0" t="s">
        <v>115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503</v>
      </c>
      <c r="B878" s="0" t="s">
        <v>68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504</v>
      </c>
    </row>
    <row r="879" customFormat="false" ht="17.15" hidden="false" customHeight="false" outlineLevel="0" collapsed="false">
      <c r="A879" s="5" t="s">
        <v>505</v>
      </c>
      <c r="B879" s="5" t="s">
        <v>506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507</v>
      </c>
      <c r="B880" s="5" t="s">
        <v>389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508</v>
      </c>
      <c r="B881" s="5" t="s">
        <v>389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509</v>
      </c>
    </row>
    <row r="882" customFormat="false" ht="17.15" hidden="false" customHeight="false" outlineLevel="0" collapsed="false">
      <c r="A882" s="1" t="s">
        <v>510</v>
      </c>
    </row>
    <row r="883" customFormat="false" ht="17.15" hidden="false" customHeight="false" outlineLevel="0" collapsed="false">
      <c r="A883" s="0" t="s">
        <v>511</v>
      </c>
      <c r="B883" s="5" t="s">
        <v>145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512</v>
      </c>
    </row>
    <row r="884" customFormat="false" ht="17.15" hidden="false" customHeight="false" outlineLevel="0" collapsed="false">
      <c r="A884" s="5" t="s">
        <v>513</v>
      </c>
      <c r="B884" s="0" t="s">
        <v>68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514</v>
      </c>
      <c r="B885" s="5" t="s">
        <v>474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515</v>
      </c>
      <c r="B886" s="5" t="s">
        <v>474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516</v>
      </c>
    </row>
    <row r="888" customFormat="false" ht="17.15" hidden="false" customHeight="false" outlineLevel="0" collapsed="false">
      <c r="A888" s="0" t="s">
        <v>517</v>
      </c>
      <c r="B888" s="0" t="s">
        <v>251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518</v>
      </c>
    </row>
    <row r="889" customFormat="false" ht="17.15" hidden="false" customHeight="false" outlineLevel="0" collapsed="false">
      <c r="A889" s="5" t="s">
        <v>519</v>
      </c>
      <c r="B889" s="0" t="s">
        <v>251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520</v>
      </c>
    </row>
    <row r="890" customFormat="false" ht="17.15" hidden="false" customHeight="false" outlineLevel="0" collapsed="false">
      <c r="A890" s="5" t="s">
        <v>521</v>
      </c>
      <c r="B890" s="0" t="s">
        <v>522</v>
      </c>
      <c r="D890" s="21" t="n">
        <f aca="false">D889/D886</f>
        <v>1.66002178641913</v>
      </c>
      <c r="I890" s="5" t="s">
        <v>523</v>
      </c>
    </row>
    <row r="891" customFormat="false" ht="15" hidden="false" customHeight="false" outlineLevel="0" collapsed="false">
      <c r="A891" s="5" t="s">
        <v>524</v>
      </c>
      <c r="B891" s="0" t="s">
        <v>251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525</v>
      </c>
      <c r="B892" s="0" t="s">
        <v>251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526</v>
      </c>
    </row>
    <row r="893" customFormat="false" ht="15" hidden="false" customHeight="false" outlineLevel="0" collapsed="false">
      <c r="A893" s="5" t="s">
        <v>433</v>
      </c>
      <c r="B893" s="0" t="s">
        <v>251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527</v>
      </c>
      <c r="B894" s="0" t="s">
        <v>68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440</v>
      </c>
      <c r="B895" s="0" t="s">
        <v>68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528</v>
      </c>
    </row>
    <row r="896" customFormat="false" ht="15" hidden="false" customHeight="false" outlineLevel="0" collapsed="false">
      <c r="A896" s="5" t="s">
        <v>436</v>
      </c>
      <c r="B896" s="0" t="s">
        <v>251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529</v>
      </c>
      <c r="B897" s="0" t="s">
        <v>251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530</v>
      </c>
    </row>
    <row r="898" customFormat="false" ht="15" hidden="false" customHeight="false" outlineLevel="0" collapsed="false">
      <c r="A898" s="5" t="s">
        <v>444</v>
      </c>
      <c r="B898" s="0" t="s">
        <v>251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490</v>
      </c>
      <c r="B899" s="0" t="s">
        <v>68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449</v>
      </c>
      <c r="B900" s="0" t="s">
        <v>251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491</v>
      </c>
      <c r="B901" s="0" t="s">
        <v>270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531</v>
      </c>
      <c r="B902" s="5" t="s">
        <v>389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806</v>
      </c>
    </row>
    <row r="916" customFormat="false" ht="15" hidden="false" customHeight="false" outlineLevel="0" collapsed="false">
      <c r="A916" s="6" t="s">
        <v>20</v>
      </c>
      <c r="B916" s="6" t="s">
        <v>21</v>
      </c>
      <c r="C916" s="14" t="s">
        <v>458</v>
      </c>
      <c r="D916" s="14" t="s">
        <v>459</v>
      </c>
      <c r="E916" s="14" t="s">
        <v>460</v>
      </c>
      <c r="F916" s="14" t="s">
        <v>461</v>
      </c>
      <c r="G916" s="14" t="s">
        <v>462</v>
      </c>
      <c r="H916" s="14" t="s">
        <v>463</v>
      </c>
      <c r="I916" s="6" t="s">
        <v>464</v>
      </c>
    </row>
    <row r="917" customFormat="false" ht="17.15" hidden="false" customHeight="false" outlineLevel="0" collapsed="false">
      <c r="A917" s="1" t="s">
        <v>494</v>
      </c>
    </row>
    <row r="918" customFormat="false" ht="17.15" hidden="false" customHeight="false" outlineLevel="0" collapsed="false">
      <c r="A918" s="0" t="s">
        <v>495</v>
      </c>
      <c r="B918" s="0" t="s">
        <v>31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496</v>
      </c>
    </row>
    <row r="919" customFormat="false" ht="17.15" hidden="false" customHeight="false" outlineLevel="0" collapsed="false">
      <c r="A919" s="0" t="s">
        <v>497</v>
      </c>
      <c r="B919" s="0" t="s">
        <v>498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499</v>
      </c>
      <c r="B920" s="5" t="s">
        <v>468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500</v>
      </c>
    </row>
    <row r="921" customFormat="false" ht="15" hidden="false" customHeight="false" outlineLevel="0" collapsed="false">
      <c r="A921" s="5" t="s">
        <v>501</v>
      </c>
      <c r="B921" s="5" t="s">
        <v>95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502</v>
      </c>
      <c r="B922" s="0" t="s">
        <v>115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503</v>
      </c>
      <c r="B923" s="0" t="s">
        <v>68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504</v>
      </c>
    </row>
    <row r="924" customFormat="false" ht="17.15" hidden="false" customHeight="false" outlineLevel="0" collapsed="false">
      <c r="A924" s="5" t="s">
        <v>505</v>
      </c>
      <c r="B924" s="5" t="s">
        <v>506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507</v>
      </c>
      <c r="B925" s="5" t="s">
        <v>389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508</v>
      </c>
      <c r="B926" s="5" t="s">
        <v>389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509</v>
      </c>
    </row>
    <row r="927" customFormat="false" ht="17.15" hidden="false" customHeight="false" outlineLevel="0" collapsed="false">
      <c r="A927" s="1" t="s">
        <v>510</v>
      </c>
    </row>
    <row r="928" customFormat="false" ht="17.15" hidden="false" customHeight="false" outlineLevel="0" collapsed="false">
      <c r="A928" s="0" t="s">
        <v>511</v>
      </c>
      <c r="B928" s="5" t="s">
        <v>145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512</v>
      </c>
    </row>
    <row r="929" customFormat="false" ht="17.15" hidden="false" customHeight="false" outlineLevel="0" collapsed="false">
      <c r="A929" s="5" t="s">
        <v>513</v>
      </c>
      <c r="B929" s="0" t="s">
        <v>68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514</v>
      </c>
      <c r="B930" s="5" t="s">
        <v>474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515</v>
      </c>
      <c r="B931" s="5" t="s">
        <v>474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516</v>
      </c>
    </row>
    <row r="933" customFormat="false" ht="17.15" hidden="false" customHeight="false" outlineLevel="0" collapsed="false">
      <c r="A933" s="0" t="s">
        <v>517</v>
      </c>
      <c r="B933" s="0" t="s">
        <v>251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518</v>
      </c>
    </row>
    <row r="934" customFormat="false" ht="17.15" hidden="false" customHeight="false" outlineLevel="0" collapsed="false">
      <c r="A934" s="5" t="s">
        <v>519</v>
      </c>
      <c r="B934" s="0" t="s">
        <v>251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520</v>
      </c>
    </row>
    <row r="935" customFormat="false" ht="17.15" hidden="false" customHeight="false" outlineLevel="0" collapsed="false">
      <c r="A935" s="5" t="s">
        <v>521</v>
      </c>
      <c r="B935" s="0" t="s">
        <v>522</v>
      </c>
      <c r="D935" s="21" t="n">
        <f aca="false">D934/D931</f>
        <v>1.66002178641913</v>
      </c>
      <c r="I935" s="5" t="s">
        <v>523</v>
      </c>
    </row>
    <row r="936" customFormat="false" ht="15" hidden="false" customHeight="false" outlineLevel="0" collapsed="false">
      <c r="A936" s="5" t="s">
        <v>524</v>
      </c>
      <c r="B936" s="0" t="s">
        <v>251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525</v>
      </c>
      <c r="B937" s="0" t="s">
        <v>251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526</v>
      </c>
    </row>
    <row r="938" customFormat="false" ht="15" hidden="false" customHeight="false" outlineLevel="0" collapsed="false">
      <c r="A938" s="5" t="s">
        <v>433</v>
      </c>
      <c r="B938" s="0" t="s">
        <v>251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527</v>
      </c>
      <c r="B939" s="0" t="s">
        <v>68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440</v>
      </c>
      <c r="B940" s="0" t="s">
        <v>68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528</v>
      </c>
    </row>
    <row r="941" customFormat="false" ht="15" hidden="false" customHeight="false" outlineLevel="0" collapsed="false">
      <c r="A941" s="5" t="s">
        <v>436</v>
      </c>
      <c r="B941" s="0" t="s">
        <v>251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529</v>
      </c>
      <c r="B942" s="0" t="s">
        <v>251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530</v>
      </c>
    </row>
    <row r="943" customFormat="false" ht="15" hidden="false" customHeight="false" outlineLevel="0" collapsed="false">
      <c r="A943" s="5" t="s">
        <v>444</v>
      </c>
      <c r="B943" s="0" t="s">
        <v>251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490</v>
      </c>
      <c r="B944" s="0" t="s">
        <v>68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449</v>
      </c>
      <c r="B945" s="0" t="s">
        <v>251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491</v>
      </c>
      <c r="B946" s="0" t="s">
        <v>270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531</v>
      </c>
      <c r="B947" s="5" t="s">
        <v>389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807</v>
      </c>
    </row>
    <row r="961" customFormat="false" ht="15" hidden="false" customHeight="false" outlineLevel="0" collapsed="false">
      <c r="A961" s="6" t="s">
        <v>20</v>
      </c>
      <c r="B961" s="6" t="s">
        <v>21</v>
      </c>
      <c r="C961" s="14" t="s">
        <v>458</v>
      </c>
      <c r="D961" s="14" t="s">
        <v>459</v>
      </c>
      <c r="E961" s="14" t="s">
        <v>460</v>
      </c>
      <c r="F961" s="14" t="s">
        <v>461</v>
      </c>
      <c r="G961" s="14" t="s">
        <v>462</v>
      </c>
      <c r="H961" s="14" t="s">
        <v>463</v>
      </c>
      <c r="I961" s="6" t="s">
        <v>464</v>
      </c>
    </row>
    <row r="962" customFormat="false" ht="17.15" hidden="false" customHeight="false" outlineLevel="0" collapsed="false">
      <c r="A962" s="1" t="s">
        <v>494</v>
      </c>
    </row>
    <row r="963" customFormat="false" ht="17.15" hidden="false" customHeight="false" outlineLevel="0" collapsed="false">
      <c r="A963" s="0" t="s">
        <v>495</v>
      </c>
      <c r="B963" s="0" t="s">
        <v>31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496</v>
      </c>
    </row>
    <row r="964" customFormat="false" ht="17.15" hidden="false" customHeight="false" outlineLevel="0" collapsed="false">
      <c r="A964" s="0" t="s">
        <v>497</v>
      </c>
      <c r="B964" s="0" t="s">
        <v>498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499</v>
      </c>
      <c r="B965" s="5" t="s">
        <v>468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500</v>
      </c>
    </row>
    <row r="966" customFormat="false" ht="15" hidden="false" customHeight="false" outlineLevel="0" collapsed="false">
      <c r="A966" s="5" t="s">
        <v>501</v>
      </c>
      <c r="B966" s="5" t="s">
        <v>95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502</v>
      </c>
      <c r="B967" s="0" t="s">
        <v>115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503</v>
      </c>
      <c r="B968" s="0" t="s">
        <v>68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504</v>
      </c>
    </row>
    <row r="969" customFormat="false" ht="17.15" hidden="false" customHeight="false" outlineLevel="0" collapsed="false">
      <c r="A969" s="5" t="s">
        <v>505</v>
      </c>
      <c r="B969" s="5" t="s">
        <v>506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507</v>
      </c>
      <c r="B970" s="5" t="s">
        <v>389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508</v>
      </c>
      <c r="B971" s="5" t="s">
        <v>389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509</v>
      </c>
    </row>
    <row r="972" customFormat="false" ht="17.15" hidden="false" customHeight="false" outlineLevel="0" collapsed="false">
      <c r="A972" s="1" t="s">
        <v>510</v>
      </c>
    </row>
    <row r="973" customFormat="false" ht="17.15" hidden="false" customHeight="false" outlineLevel="0" collapsed="false">
      <c r="A973" s="0" t="s">
        <v>511</v>
      </c>
      <c r="B973" s="5" t="s">
        <v>145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512</v>
      </c>
    </row>
    <row r="974" customFormat="false" ht="17.15" hidden="false" customHeight="false" outlineLevel="0" collapsed="false">
      <c r="A974" s="5" t="s">
        <v>513</v>
      </c>
      <c r="B974" s="0" t="s">
        <v>68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514</v>
      </c>
      <c r="B975" s="5" t="s">
        <v>474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515</v>
      </c>
      <c r="B976" s="5" t="s">
        <v>474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516</v>
      </c>
    </row>
    <row r="978" customFormat="false" ht="17.15" hidden="false" customHeight="false" outlineLevel="0" collapsed="false">
      <c r="A978" s="0" t="s">
        <v>517</v>
      </c>
      <c r="B978" s="0" t="s">
        <v>251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518</v>
      </c>
    </row>
    <row r="979" customFormat="false" ht="17.15" hidden="false" customHeight="false" outlineLevel="0" collapsed="false">
      <c r="A979" s="5" t="s">
        <v>519</v>
      </c>
      <c r="B979" s="0" t="s">
        <v>251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520</v>
      </c>
    </row>
    <row r="980" customFormat="false" ht="17.15" hidden="false" customHeight="false" outlineLevel="0" collapsed="false">
      <c r="A980" s="5" t="s">
        <v>521</v>
      </c>
      <c r="B980" s="0" t="s">
        <v>522</v>
      </c>
      <c r="D980" s="21" t="n">
        <f aca="false">D979/D976</f>
        <v>1.66002178641913</v>
      </c>
      <c r="I980" s="5" t="s">
        <v>523</v>
      </c>
    </row>
    <row r="981" customFormat="false" ht="15" hidden="false" customHeight="false" outlineLevel="0" collapsed="false">
      <c r="A981" s="5" t="s">
        <v>524</v>
      </c>
      <c r="B981" s="0" t="s">
        <v>251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525</v>
      </c>
      <c r="B982" s="0" t="s">
        <v>251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526</v>
      </c>
    </row>
    <row r="983" customFormat="false" ht="15" hidden="false" customHeight="false" outlineLevel="0" collapsed="false">
      <c r="A983" s="5" t="s">
        <v>433</v>
      </c>
      <c r="B983" s="0" t="s">
        <v>251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527</v>
      </c>
      <c r="B984" s="0" t="s">
        <v>68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440</v>
      </c>
      <c r="B985" s="0" t="s">
        <v>68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528</v>
      </c>
    </row>
    <row r="986" customFormat="false" ht="15" hidden="false" customHeight="false" outlineLevel="0" collapsed="false">
      <c r="A986" s="5" t="s">
        <v>436</v>
      </c>
      <c r="B986" s="0" t="s">
        <v>251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529</v>
      </c>
      <c r="B987" s="0" t="s">
        <v>251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530</v>
      </c>
    </row>
    <row r="988" customFormat="false" ht="15" hidden="false" customHeight="false" outlineLevel="0" collapsed="false">
      <c r="A988" s="5" t="s">
        <v>444</v>
      </c>
      <c r="B988" s="0" t="s">
        <v>251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490</v>
      </c>
      <c r="B989" s="0" t="s">
        <v>68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449</v>
      </c>
      <c r="B990" s="0" t="s">
        <v>251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491</v>
      </c>
      <c r="B991" s="0" t="s">
        <v>270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531</v>
      </c>
      <c r="B992" s="5" t="s">
        <v>389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808</v>
      </c>
    </row>
    <row r="1006" customFormat="false" ht="15" hidden="false" customHeight="false" outlineLevel="0" collapsed="false">
      <c r="A1006" s="6" t="s">
        <v>20</v>
      </c>
      <c r="B1006" s="6" t="s">
        <v>21</v>
      </c>
      <c r="C1006" s="14" t="s">
        <v>458</v>
      </c>
      <c r="D1006" s="14" t="s">
        <v>459</v>
      </c>
      <c r="E1006" s="14" t="s">
        <v>460</v>
      </c>
      <c r="F1006" s="14" t="s">
        <v>461</v>
      </c>
      <c r="G1006" s="14" t="s">
        <v>462</v>
      </c>
      <c r="H1006" s="14" t="s">
        <v>463</v>
      </c>
      <c r="I1006" s="6" t="s">
        <v>464</v>
      </c>
    </row>
    <row r="1007" customFormat="false" ht="17.15" hidden="false" customHeight="false" outlineLevel="0" collapsed="false">
      <c r="A1007" s="1" t="s">
        <v>494</v>
      </c>
    </row>
    <row r="1008" customFormat="false" ht="17.15" hidden="false" customHeight="false" outlineLevel="0" collapsed="false">
      <c r="A1008" s="0" t="s">
        <v>495</v>
      </c>
      <c r="B1008" s="0" t="s">
        <v>31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496</v>
      </c>
    </row>
    <row r="1009" customFormat="false" ht="17.15" hidden="false" customHeight="false" outlineLevel="0" collapsed="false">
      <c r="A1009" s="0" t="s">
        <v>497</v>
      </c>
      <c r="B1009" s="0" t="s">
        <v>498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499</v>
      </c>
      <c r="B1010" s="5" t="s">
        <v>468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500</v>
      </c>
    </row>
    <row r="1011" customFormat="false" ht="15" hidden="false" customHeight="false" outlineLevel="0" collapsed="false">
      <c r="A1011" s="5" t="s">
        <v>501</v>
      </c>
      <c r="B1011" s="5" t="s">
        <v>95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502</v>
      </c>
      <c r="B1012" s="0" t="s">
        <v>115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503</v>
      </c>
      <c r="B1013" s="0" t="s">
        <v>68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504</v>
      </c>
    </row>
    <row r="1014" customFormat="false" ht="17.15" hidden="false" customHeight="false" outlineLevel="0" collapsed="false">
      <c r="A1014" s="5" t="s">
        <v>505</v>
      </c>
      <c r="B1014" s="5" t="s">
        <v>506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507</v>
      </c>
      <c r="B1015" s="5" t="s">
        <v>389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508</v>
      </c>
      <c r="B1016" s="5" t="s">
        <v>389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509</v>
      </c>
    </row>
    <row r="1017" customFormat="false" ht="17.15" hidden="false" customHeight="false" outlineLevel="0" collapsed="false">
      <c r="A1017" s="1" t="s">
        <v>510</v>
      </c>
    </row>
    <row r="1018" customFormat="false" ht="17.15" hidden="false" customHeight="false" outlineLevel="0" collapsed="false">
      <c r="A1018" s="0" t="s">
        <v>511</v>
      </c>
      <c r="B1018" s="5" t="s">
        <v>145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512</v>
      </c>
    </row>
    <row r="1019" customFormat="false" ht="17.15" hidden="false" customHeight="false" outlineLevel="0" collapsed="false">
      <c r="A1019" s="5" t="s">
        <v>513</v>
      </c>
      <c r="B1019" s="0" t="s">
        <v>68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514</v>
      </c>
      <c r="B1020" s="5" t="s">
        <v>474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515</v>
      </c>
      <c r="B1021" s="5" t="s">
        <v>474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516</v>
      </c>
    </row>
    <row r="1023" customFormat="false" ht="17.15" hidden="false" customHeight="false" outlineLevel="0" collapsed="false">
      <c r="A1023" s="0" t="s">
        <v>517</v>
      </c>
      <c r="B1023" s="0" t="s">
        <v>251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518</v>
      </c>
    </row>
    <row r="1024" customFormat="false" ht="17.15" hidden="false" customHeight="false" outlineLevel="0" collapsed="false">
      <c r="A1024" s="5" t="s">
        <v>519</v>
      </c>
      <c r="B1024" s="0" t="s">
        <v>251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520</v>
      </c>
    </row>
    <row r="1025" customFormat="false" ht="17.15" hidden="false" customHeight="false" outlineLevel="0" collapsed="false">
      <c r="A1025" s="5" t="s">
        <v>521</v>
      </c>
      <c r="B1025" s="0" t="s">
        <v>522</v>
      </c>
      <c r="D1025" s="21" t="n">
        <f aca="false">D1024/D1021</f>
        <v>1.66002178641913</v>
      </c>
      <c r="I1025" s="5" t="s">
        <v>523</v>
      </c>
    </row>
    <row r="1026" customFormat="false" ht="15" hidden="false" customHeight="false" outlineLevel="0" collapsed="false">
      <c r="A1026" s="5" t="s">
        <v>524</v>
      </c>
      <c r="B1026" s="0" t="s">
        <v>251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525</v>
      </c>
      <c r="B1027" s="0" t="s">
        <v>251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526</v>
      </c>
    </row>
    <row r="1028" customFormat="false" ht="15" hidden="false" customHeight="false" outlineLevel="0" collapsed="false">
      <c r="A1028" s="5" t="s">
        <v>433</v>
      </c>
      <c r="B1028" s="0" t="s">
        <v>251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527</v>
      </c>
      <c r="B1029" s="0" t="s">
        <v>68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440</v>
      </c>
      <c r="B1030" s="0" t="s">
        <v>68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528</v>
      </c>
    </row>
    <row r="1031" customFormat="false" ht="15" hidden="false" customHeight="false" outlineLevel="0" collapsed="false">
      <c r="A1031" s="5" t="s">
        <v>436</v>
      </c>
      <c r="B1031" s="0" t="s">
        <v>251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529</v>
      </c>
      <c r="B1032" s="0" t="s">
        <v>251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530</v>
      </c>
    </row>
    <row r="1033" customFormat="false" ht="15" hidden="false" customHeight="false" outlineLevel="0" collapsed="false">
      <c r="A1033" s="5" t="s">
        <v>444</v>
      </c>
      <c r="B1033" s="0" t="s">
        <v>251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490</v>
      </c>
      <c r="B1034" s="0" t="s">
        <v>68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449</v>
      </c>
      <c r="B1035" s="0" t="s">
        <v>251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491</v>
      </c>
      <c r="B1036" s="0" t="s">
        <v>270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531</v>
      </c>
      <c r="B1037" s="5" t="s">
        <v>389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809</v>
      </c>
    </row>
    <row r="1051" customFormat="false" ht="15" hidden="false" customHeight="false" outlineLevel="0" collapsed="false">
      <c r="A1051" s="6" t="s">
        <v>20</v>
      </c>
      <c r="B1051" s="6" t="s">
        <v>21</v>
      </c>
      <c r="C1051" s="14" t="s">
        <v>458</v>
      </c>
      <c r="D1051" s="14" t="s">
        <v>459</v>
      </c>
      <c r="E1051" s="14" t="s">
        <v>460</v>
      </c>
      <c r="F1051" s="14" t="s">
        <v>461</v>
      </c>
      <c r="G1051" s="14" t="s">
        <v>462</v>
      </c>
      <c r="H1051" s="14" t="s">
        <v>463</v>
      </c>
      <c r="I1051" s="6" t="s">
        <v>464</v>
      </c>
    </row>
    <row r="1052" customFormat="false" ht="17.15" hidden="false" customHeight="false" outlineLevel="0" collapsed="false">
      <c r="A1052" s="1" t="s">
        <v>494</v>
      </c>
    </row>
    <row r="1053" customFormat="false" ht="17.15" hidden="false" customHeight="false" outlineLevel="0" collapsed="false">
      <c r="A1053" s="0" t="s">
        <v>495</v>
      </c>
      <c r="B1053" s="0" t="s">
        <v>31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496</v>
      </c>
    </row>
    <row r="1054" customFormat="false" ht="17.15" hidden="false" customHeight="false" outlineLevel="0" collapsed="false">
      <c r="A1054" s="0" t="s">
        <v>497</v>
      </c>
      <c r="B1054" s="0" t="s">
        <v>498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499</v>
      </c>
      <c r="B1055" s="5" t="s">
        <v>468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500</v>
      </c>
    </row>
    <row r="1056" customFormat="false" ht="15" hidden="false" customHeight="false" outlineLevel="0" collapsed="false">
      <c r="A1056" s="5" t="s">
        <v>501</v>
      </c>
      <c r="B1056" s="5" t="s">
        <v>95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502</v>
      </c>
      <c r="B1057" s="0" t="s">
        <v>115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503</v>
      </c>
      <c r="B1058" s="0" t="s">
        <v>68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504</v>
      </c>
    </row>
    <row r="1059" customFormat="false" ht="17.15" hidden="false" customHeight="false" outlineLevel="0" collapsed="false">
      <c r="A1059" s="5" t="s">
        <v>505</v>
      </c>
      <c r="B1059" s="5" t="s">
        <v>506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507</v>
      </c>
      <c r="B1060" s="5" t="s">
        <v>389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508</v>
      </c>
      <c r="B1061" s="5" t="s">
        <v>389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509</v>
      </c>
    </row>
    <row r="1062" customFormat="false" ht="17.15" hidden="false" customHeight="false" outlineLevel="0" collapsed="false">
      <c r="A1062" s="1" t="s">
        <v>510</v>
      </c>
    </row>
    <row r="1063" customFormat="false" ht="17.15" hidden="false" customHeight="false" outlineLevel="0" collapsed="false">
      <c r="A1063" s="0" t="s">
        <v>511</v>
      </c>
      <c r="B1063" s="5" t="s">
        <v>145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512</v>
      </c>
    </row>
    <row r="1064" customFormat="false" ht="17.15" hidden="false" customHeight="false" outlineLevel="0" collapsed="false">
      <c r="A1064" s="5" t="s">
        <v>513</v>
      </c>
      <c r="B1064" s="0" t="s">
        <v>68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514</v>
      </c>
      <c r="B1065" s="5" t="s">
        <v>474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515</v>
      </c>
      <c r="B1066" s="5" t="s">
        <v>474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516</v>
      </c>
    </row>
    <row r="1068" customFormat="false" ht="17.15" hidden="false" customHeight="false" outlineLevel="0" collapsed="false">
      <c r="A1068" s="0" t="s">
        <v>517</v>
      </c>
      <c r="B1068" s="0" t="s">
        <v>251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518</v>
      </c>
    </row>
    <row r="1069" customFormat="false" ht="17.15" hidden="false" customHeight="false" outlineLevel="0" collapsed="false">
      <c r="A1069" s="5" t="s">
        <v>519</v>
      </c>
      <c r="B1069" s="0" t="s">
        <v>251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520</v>
      </c>
    </row>
    <row r="1070" customFormat="false" ht="17.15" hidden="false" customHeight="false" outlineLevel="0" collapsed="false">
      <c r="A1070" s="5" t="s">
        <v>521</v>
      </c>
      <c r="B1070" s="0" t="s">
        <v>522</v>
      </c>
      <c r="D1070" s="21" t="n">
        <f aca="false">D1069/D1066</f>
        <v>1.66002178641913</v>
      </c>
      <c r="I1070" s="5" t="s">
        <v>523</v>
      </c>
    </row>
    <row r="1071" customFormat="false" ht="15" hidden="false" customHeight="false" outlineLevel="0" collapsed="false">
      <c r="A1071" s="5" t="s">
        <v>524</v>
      </c>
      <c r="B1071" s="0" t="s">
        <v>251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525</v>
      </c>
      <c r="B1072" s="0" t="s">
        <v>251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526</v>
      </c>
    </row>
    <row r="1073" customFormat="false" ht="15" hidden="false" customHeight="false" outlineLevel="0" collapsed="false">
      <c r="A1073" s="5" t="s">
        <v>433</v>
      </c>
      <c r="B1073" s="0" t="s">
        <v>251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527</v>
      </c>
      <c r="B1074" s="0" t="s">
        <v>68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440</v>
      </c>
      <c r="B1075" s="0" t="s">
        <v>68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528</v>
      </c>
    </row>
    <row r="1076" customFormat="false" ht="15" hidden="false" customHeight="false" outlineLevel="0" collapsed="false">
      <c r="A1076" s="5" t="s">
        <v>436</v>
      </c>
      <c r="B1076" s="0" t="s">
        <v>251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529</v>
      </c>
      <c r="B1077" s="0" t="s">
        <v>251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530</v>
      </c>
    </row>
    <row r="1078" customFormat="false" ht="15" hidden="false" customHeight="false" outlineLevel="0" collapsed="false">
      <c r="A1078" s="5" t="s">
        <v>444</v>
      </c>
      <c r="B1078" s="0" t="s">
        <v>251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490</v>
      </c>
      <c r="B1079" s="0" t="s">
        <v>68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449</v>
      </c>
      <c r="B1080" s="0" t="s">
        <v>251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491</v>
      </c>
      <c r="B1081" s="0" t="s">
        <v>270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531</v>
      </c>
      <c r="B1082" s="5" t="s">
        <v>389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810</v>
      </c>
    </row>
    <row r="1096" customFormat="false" ht="15" hidden="false" customHeight="false" outlineLevel="0" collapsed="false">
      <c r="A1096" s="6" t="s">
        <v>20</v>
      </c>
      <c r="B1096" s="6" t="s">
        <v>21</v>
      </c>
      <c r="C1096" s="14" t="s">
        <v>458</v>
      </c>
      <c r="D1096" s="14" t="s">
        <v>459</v>
      </c>
      <c r="E1096" s="14" t="s">
        <v>460</v>
      </c>
      <c r="F1096" s="14" t="s">
        <v>461</v>
      </c>
      <c r="G1096" s="14" t="s">
        <v>462</v>
      </c>
      <c r="H1096" s="14" t="s">
        <v>463</v>
      </c>
      <c r="I1096" s="6" t="s">
        <v>464</v>
      </c>
    </row>
    <row r="1097" customFormat="false" ht="17.15" hidden="false" customHeight="false" outlineLevel="0" collapsed="false">
      <c r="A1097" s="1" t="s">
        <v>494</v>
      </c>
    </row>
    <row r="1098" customFormat="false" ht="17.15" hidden="false" customHeight="false" outlineLevel="0" collapsed="false">
      <c r="A1098" s="0" t="s">
        <v>495</v>
      </c>
      <c r="B1098" s="0" t="s">
        <v>31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496</v>
      </c>
    </row>
    <row r="1099" customFormat="false" ht="17.15" hidden="false" customHeight="false" outlineLevel="0" collapsed="false">
      <c r="A1099" s="0" t="s">
        <v>497</v>
      </c>
      <c r="B1099" s="0" t="s">
        <v>498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499</v>
      </c>
      <c r="B1100" s="5" t="s">
        <v>468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500</v>
      </c>
    </row>
    <row r="1101" customFormat="false" ht="15" hidden="false" customHeight="false" outlineLevel="0" collapsed="false">
      <c r="A1101" s="5" t="s">
        <v>501</v>
      </c>
      <c r="B1101" s="5" t="s">
        <v>95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502</v>
      </c>
      <c r="B1102" s="0" t="s">
        <v>115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503</v>
      </c>
      <c r="B1103" s="0" t="s">
        <v>68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504</v>
      </c>
    </row>
    <row r="1104" customFormat="false" ht="17.15" hidden="false" customHeight="false" outlineLevel="0" collapsed="false">
      <c r="A1104" s="5" t="s">
        <v>505</v>
      </c>
      <c r="B1104" s="5" t="s">
        <v>506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507</v>
      </c>
      <c r="B1105" s="5" t="s">
        <v>389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508</v>
      </c>
      <c r="B1106" s="5" t="s">
        <v>389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509</v>
      </c>
    </row>
    <row r="1107" customFormat="false" ht="17.15" hidden="false" customHeight="false" outlineLevel="0" collapsed="false">
      <c r="A1107" s="1" t="s">
        <v>510</v>
      </c>
    </row>
    <row r="1108" customFormat="false" ht="17.15" hidden="false" customHeight="false" outlineLevel="0" collapsed="false">
      <c r="A1108" s="0" t="s">
        <v>511</v>
      </c>
      <c r="B1108" s="5" t="s">
        <v>145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512</v>
      </c>
    </row>
    <row r="1109" customFormat="false" ht="17.15" hidden="false" customHeight="false" outlineLevel="0" collapsed="false">
      <c r="A1109" s="5" t="s">
        <v>513</v>
      </c>
      <c r="B1109" s="0" t="s">
        <v>68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514</v>
      </c>
      <c r="B1110" s="5" t="s">
        <v>474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515</v>
      </c>
      <c r="B1111" s="5" t="s">
        <v>474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516</v>
      </c>
    </row>
    <row r="1113" customFormat="false" ht="17.15" hidden="false" customHeight="false" outlineLevel="0" collapsed="false">
      <c r="A1113" s="0" t="s">
        <v>517</v>
      </c>
      <c r="B1113" s="0" t="s">
        <v>251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518</v>
      </c>
    </row>
    <row r="1114" customFormat="false" ht="17.15" hidden="false" customHeight="false" outlineLevel="0" collapsed="false">
      <c r="A1114" s="5" t="s">
        <v>519</v>
      </c>
      <c r="B1114" s="0" t="s">
        <v>251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520</v>
      </c>
    </row>
    <row r="1115" customFormat="false" ht="17.15" hidden="false" customHeight="false" outlineLevel="0" collapsed="false">
      <c r="A1115" s="5" t="s">
        <v>521</v>
      </c>
      <c r="B1115" s="0" t="s">
        <v>522</v>
      </c>
      <c r="D1115" s="21" t="n">
        <f aca="false">D1114/D1111</f>
        <v>1.66002178641913</v>
      </c>
      <c r="I1115" s="5" t="s">
        <v>523</v>
      </c>
    </row>
    <row r="1116" customFormat="false" ht="15" hidden="false" customHeight="false" outlineLevel="0" collapsed="false">
      <c r="A1116" s="5" t="s">
        <v>524</v>
      </c>
      <c r="B1116" s="0" t="s">
        <v>251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525</v>
      </c>
      <c r="B1117" s="0" t="s">
        <v>251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526</v>
      </c>
    </row>
    <row r="1118" customFormat="false" ht="15" hidden="false" customHeight="false" outlineLevel="0" collapsed="false">
      <c r="A1118" s="5" t="s">
        <v>433</v>
      </c>
      <c r="B1118" s="0" t="s">
        <v>251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527</v>
      </c>
      <c r="B1119" s="0" t="s">
        <v>68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440</v>
      </c>
      <c r="B1120" s="0" t="s">
        <v>68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528</v>
      </c>
    </row>
    <row r="1121" customFormat="false" ht="15" hidden="false" customHeight="false" outlineLevel="0" collapsed="false">
      <c r="A1121" s="5" t="s">
        <v>436</v>
      </c>
      <c r="B1121" s="0" t="s">
        <v>251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529</v>
      </c>
      <c r="B1122" s="0" t="s">
        <v>251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530</v>
      </c>
    </row>
    <row r="1123" customFormat="false" ht="15" hidden="false" customHeight="false" outlineLevel="0" collapsed="false">
      <c r="A1123" s="5" t="s">
        <v>444</v>
      </c>
      <c r="B1123" s="0" t="s">
        <v>251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490</v>
      </c>
      <c r="B1124" s="0" t="s">
        <v>68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449</v>
      </c>
      <c r="B1125" s="0" t="s">
        <v>251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491</v>
      </c>
      <c r="B1126" s="0" t="s">
        <v>270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531</v>
      </c>
      <c r="B1127" s="5" t="s">
        <v>389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811</v>
      </c>
    </row>
    <row r="1141" customFormat="false" ht="15" hidden="false" customHeight="false" outlineLevel="0" collapsed="false">
      <c r="A1141" s="6" t="s">
        <v>20</v>
      </c>
      <c r="B1141" s="6" t="s">
        <v>21</v>
      </c>
      <c r="C1141" s="14" t="s">
        <v>458</v>
      </c>
      <c r="D1141" s="14" t="s">
        <v>459</v>
      </c>
      <c r="E1141" s="14" t="s">
        <v>460</v>
      </c>
      <c r="F1141" s="14" t="s">
        <v>461</v>
      </c>
      <c r="G1141" s="14" t="s">
        <v>462</v>
      </c>
      <c r="H1141" s="14" t="s">
        <v>463</v>
      </c>
      <c r="I1141" s="6" t="s">
        <v>464</v>
      </c>
    </row>
    <row r="1142" customFormat="false" ht="17.15" hidden="false" customHeight="false" outlineLevel="0" collapsed="false">
      <c r="A1142" s="1" t="s">
        <v>494</v>
      </c>
    </row>
    <row r="1143" customFormat="false" ht="17.15" hidden="false" customHeight="false" outlineLevel="0" collapsed="false">
      <c r="A1143" s="0" t="s">
        <v>495</v>
      </c>
      <c r="B1143" s="0" t="s">
        <v>31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496</v>
      </c>
    </row>
    <row r="1144" customFormat="false" ht="17.15" hidden="false" customHeight="false" outlineLevel="0" collapsed="false">
      <c r="A1144" s="0" t="s">
        <v>497</v>
      </c>
      <c r="B1144" s="0" t="s">
        <v>498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499</v>
      </c>
      <c r="B1145" s="5" t="s">
        <v>468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500</v>
      </c>
    </row>
    <row r="1146" customFormat="false" ht="15" hidden="false" customHeight="false" outlineLevel="0" collapsed="false">
      <c r="A1146" s="5" t="s">
        <v>501</v>
      </c>
      <c r="B1146" s="5" t="s">
        <v>95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502</v>
      </c>
      <c r="B1147" s="0" t="s">
        <v>115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503</v>
      </c>
      <c r="B1148" s="0" t="s">
        <v>68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504</v>
      </c>
    </row>
    <row r="1149" customFormat="false" ht="17.15" hidden="false" customHeight="false" outlineLevel="0" collapsed="false">
      <c r="A1149" s="5" t="s">
        <v>505</v>
      </c>
      <c r="B1149" s="5" t="s">
        <v>506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507</v>
      </c>
      <c r="B1150" s="5" t="s">
        <v>389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508</v>
      </c>
      <c r="B1151" s="5" t="s">
        <v>389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509</v>
      </c>
    </row>
    <row r="1152" customFormat="false" ht="17.15" hidden="false" customHeight="false" outlineLevel="0" collapsed="false">
      <c r="A1152" s="1" t="s">
        <v>510</v>
      </c>
    </row>
    <row r="1153" customFormat="false" ht="17.15" hidden="false" customHeight="false" outlineLevel="0" collapsed="false">
      <c r="A1153" s="0" t="s">
        <v>511</v>
      </c>
      <c r="B1153" s="5" t="s">
        <v>145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512</v>
      </c>
    </row>
    <row r="1154" customFormat="false" ht="17.15" hidden="false" customHeight="false" outlineLevel="0" collapsed="false">
      <c r="A1154" s="5" t="s">
        <v>513</v>
      </c>
      <c r="B1154" s="0" t="s">
        <v>68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514</v>
      </c>
      <c r="B1155" s="5" t="s">
        <v>474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515</v>
      </c>
      <c r="B1156" s="5" t="s">
        <v>474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516</v>
      </c>
    </row>
    <row r="1158" customFormat="false" ht="17.15" hidden="false" customHeight="false" outlineLevel="0" collapsed="false">
      <c r="A1158" s="0" t="s">
        <v>517</v>
      </c>
      <c r="B1158" s="0" t="s">
        <v>251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518</v>
      </c>
    </row>
    <row r="1159" customFormat="false" ht="17.15" hidden="false" customHeight="false" outlineLevel="0" collapsed="false">
      <c r="A1159" s="5" t="s">
        <v>519</v>
      </c>
      <c r="B1159" s="0" t="s">
        <v>251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520</v>
      </c>
    </row>
    <row r="1160" customFormat="false" ht="17.15" hidden="false" customHeight="false" outlineLevel="0" collapsed="false">
      <c r="A1160" s="5" t="s">
        <v>521</v>
      </c>
      <c r="B1160" s="0" t="s">
        <v>522</v>
      </c>
      <c r="D1160" s="21" t="n">
        <f aca="false">D1159/D1156</f>
        <v>1.63653685359809</v>
      </c>
      <c r="I1160" s="5" t="s">
        <v>523</v>
      </c>
    </row>
    <row r="1161" customFormat="false" ht="15" hidden="false" customHeight="false" outlineLevel="0" collapsed="false">
      <c r="A1161" s="5" t="s">
        <v>524</v>
      </c>
      <c r="B1161" s="0" t="s">
        <v>251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525</v>
      </c>
      <c r="B1162" s="0" t="s">
        <v>251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526</v>
      </c>
    </row>
    <row r="1163" customFormat="false" ht="15" hidden="false" customHeight="false" outlineLevel="0" collapsed="false">
      <c r="A1163" s="5" t="s">
        <v>433</v>
      </c>
      <c r="B1163" s="0" t="s">
        <v>251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527</v>
      </c>
      <c r="B1164" s="0" t="s">
        <v>68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440</v>
      </c>
      <c r="B1165" s="0" t="s">
        <v>68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528</v>
      </c>
    </row>
    <row r="1166" customFormat="false" ht="15" hidden="false" customHeight="false" outlineLevel="0" collapsed="false">
      <c r="A1166" s="5" t="s">
        <v>436</v>
      </c>
      <c r="B1166" s="0" t="s">
        <v>251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529</v>
      </c>
      <c r="B1167" s="0" t="s">
        <v>251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530</v>
      </c>
    </row>
    <row r="1168" customFormat="false" ht="15" hidden="false" customHeight="false" outlineLevel="0" collapsed="false">
      <c r="A1168" s="5" t="s">
        <v>444</v>
      </c>
      <c r="B1168" s="0" t="s">
        <v>251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490</v>
      </c>
      <c r="B1169" s="0" t="s">
        <v>68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449</v>
      </c>
      <c r="B1170" s="0" t="s">
        <v>251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491</v>
      </c>
      <c r="B1171" s="0" t="s">
        <v>270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531</v>
      </c>
      <c r="B1172" s="5" t="s">
        <v>389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812</v>
      </c>
    </row>
    <row r="1186" customFormat="false" ht="15" hidden="false" customHeight="false" outlineLevel="0" collapsed="false">
      <c r="A1186" s="6" t="s">
        <v>20</v>
      </c>
      <c r="B1186" s="6" t="s">
        <v>21</v>
      </c>
      <c r="C1186" s="14" t="s">
        <v>458</v>
      </c>
      <c r="D1186" s="14" t="s">
        <v>459</v>
      </c>
      <c r="E1186" s="14" t="s">
        <v>460</v>
      </c>
      <c r="F1186" s="14" t="s">
        <v>461</v>
      </c>
      <c r="G1186" s="14" t="s">
        <v>462</v>
      </c>
      <c r="H1186" s="14" t="s">
        <v>463</v>
      </c>
      <c r="I1186" s="6" t="s">
        <v>464</v>
      </c>
    </row>
    <row r="1187" customFormat="false" ht="17.15" hidden="false" customHeight="false" outlineLevel="0" collapsed="false">
      <c r="A1187" s="1" t="s">
        <v>494</v>
      </c>
    </row>
    <row r="1188" customFormat="false" ht="17.15" hidden="false" customHeight="false" outlineLevel="0" collapsed="false">
      <c r="A1188" s="0" t="s">
        <v>495</v>
      </c>
      <c r="B1188" s="0" t="s">
        <v>31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496</v>
      </c>
    </row>
    <row r="1189" customFormat="false" ht="17.15" hidden="false" customHeight="false" outlineLevel="0" collapsed="false">
      <c r="A1189" s="0" t="s">
        <v>497</v>
      </c>
      <c r="B1189" s="0" t="s">
        <v>498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499</v>
      </c>
      <c r="B1190" s="5" t="s">
        <v>468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500</v>
      </c>
    </row>
    <row r="1191" customFormat="false" ht="15" hidden="false" customHeight="false" outlineLevel="0" collapsed="false">
      <c r="A1191" s="5" t="s">
        <v>501</v>
      </c>
      <c r="B1191" s="5" t="s">
        <v>95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502</v>
      </c>
      <c r="B1192" s="0" t="s">
        <v>115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503</v>
      </c>
      <c r="B1193" s="0" t="s">
        <v>68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504</v>
      </c>
    </row>
    <row r="1194" customFormat="false" ht="17.15" hidden="false" customHeight="false" outlineLevel="0" collapsed="false">
      <c r="A1194" s="5" t="s">
        <v>505</v>
      </c>
      <c r="B1194" s="5" t="s">
        <v>506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507</v>
      </c>
      <c r="B1195" s="5" t="s">
        <v>389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508</v>
      </c>
      <c r="B1196" s="5" t="s">
        <v>389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509</v>
      </c>
    </row>
    <row r="1197" customFormat="false" ht="17.15" hidden="false" customHeight="false" outlineLevel="0" collapsed="false">
      <c r="A1197" s="1" t="s">
        <v>510</v>
      </c>
    </row>
    <row r="1198" customFormat="false" ht="17.15" hidden="false" customHeight="false" outlineLevel="0" collapsed="false">
      <c r="A1198" s="0" t="s">
        <v>511</v>
      </c>
      <c r="B1198" s="5" t="s">
        <v>145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512</v>
      </c>
    </row>
    <row r="1199" customFormat="false" ht="17.15" hidden="false" customHeight="false" outlineLevel="0" collapsed="false">
      <c r="A1199" s="5" t="s">
        <v>513</v>
      </c>
      <c r="B1199" s="0" t="s">
        <v>68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514</v>
      </c>
      <c r="B1200" s="5" t="s">
        <v>474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515</v>
      </c>
      <c r="B1201" s="5" t="s">
        <v>474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516</v>
      </c>
    </row>
    <row r="1203" customFormat="false" ht="17.15" hidden="false" customHeight="false" outlineLevel="0" collapsed="false">
      <c r="A1203" s="0" t="s">
        <v>517</v>
      </c>
      <c r="B1203" s="0" t="s">
        <v>251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518</v>
      </c>
    </row>
    <row r="1204" customFormat="false" ht="17.15" hidden="false" customHeight="false" outlineLevel="0" collapsed="false">
      <c r="A1204" s="5" t="s">
        <v>519</v>
      </c>
      <c r="B1204" s="0" t="s">
        <v>251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520</v>
      </c>
    </row>
    <row r="1205" customFormat="false" ht="17.15" hidden="false" customHeight="false" outlineLevel="0" collapsed="false">
      <c r="A1205" s="5" t="s">
        <v>521</v>
      </c>
      <c r="B1205" s="0" t="s">
        <v>522</v>
      </c>
      <c r="D1205" s="21" t="n">
        <f aca="false">D1204/D1201</f>
        <v>1.68350671924018</v>
      </c>
      <c r="I1205" s="5" t="s">
        <v>523</v>
      </c>
    </row>
    <row r="1206" customFormat="false" ht="15" hidden="false" customHeight="false" outlineLevel="0" collapsed="false">
      <c r="A1206" s="5" t="s">
        <v>524</v>
      </c>
      <c r="B1206" s="0" t="s">
        <v>251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525</v>
      </c>
      <c r="B1207" s="0" t="s">
        <v>251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526</v>
      </c>
    </row>
    <row r="1208" customFormat="false" ht="15" hidden="false" customHeight="false" outlineLevel="0" collapsed="false">
      <c r="A1208" s="5" t="s">
        <v>433</v>
      </c>
      <c r="B1208" s="0" t="s">
        <v>251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527</v>
      </c>
      <c r="B1209" s="0" t="s">
        <v>68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440</v>
      </c>
      <c r="B1210" s="0" t="s">
        <v>68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528</v>
      </c>
    </row>
    <row r="1211" customFormat="false" ht="15" hidden="false" customHeight="false" outlineLevel="0" collapsed="false">
      <c r="A1211" s="5" t="s">
        <v>436</v>
      </c>
      <c r="B1211" s="0" t="s">
        <v>251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529</v>
      </c>
      <c r="B1212" s="0" t="s">
        <v>251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530</v>
      </c>
    </row>
    <row r="1213" customFormat="false" ht="15" hidden="false" customHeight="false" outlineLevel="0" collapsed="false">
      <c r="A1213" s="5" t="s">
        <v>444</v>
      </c>
      <c r="B1213" s="0" t="s">
        <v>251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490</v>
      </c>
      <c r="B1214" s="0" t="s">
        <v>68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449</v>
      </c>
      <c r="B1215" s="0" t="s">
        <v>251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491</v>
      </c>
      <c r="B1216" s="0" t="s">
        <v>270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531</v>
      </c>
      <c r="B1217" s="5" t="s">
        <v>389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813</v>
      </c>
    </row>
    <row r="1231" customFormat="false" ht="15" hidden="false" customHeight="false" outlineLevel="0" collapsed="false">
      <c r="A1231" s="6" t="s">
        <v>20</v>
      </c>
      <c r="B1231" s="6" t="s">
        <v>21</v>
      </c>
      <c r="C1231" s="14" t="s">
        <v>458</v>
      </c>
      <c r="D1231" s="14" t="s">
        <v>459</v>
      </c>
      <c r="E1231" s="14" t="s">
        <v>460</v>
      </c>
      <c r="F1231" s="14" t="s">
        <v>461</v>
      </c>
      <c r="G1231" s="14" t="s">
        <v>462</v>
      </c>
      <c r="H1231" s="14" t="s">
        <v>463</v>
      </c>
      <c r="I1231" s="6" t="s">
        <v>464</v>
      </c>
    </row>
    <row r="1232" customFormat="false" ht="17.15" hidden="false" customHeight="false" outlineLevel="0" collapsed="false">
      <c r="A1232" s="1" t="s">
        <v>494</v>
      </c>
    </row>
    <row r="1233" customFormat="false" ht="17.15" hidden="false" customHeight="false" outlineLevel="0" collapsed="false">
      <c r="A1233" s="0" t="s">
        <v>495</v>
      </c>
      <c r="B1233" s="0" t="s">
        <v>31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496</v>
      </c>
    </row>
    <row r="1234" customFormat="false" ht="17.15" hidden="false" customHeight="false" outlineLevel="0" collapsed="false">
      <c r="A1234" s="0" t="s">
        <v>497</v>
      </c>
      <c r="B1234" s="0" t="s">
        <v>498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499</v>
      </c>
      <c r="B1235" s="5" t="s">
        <v>468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500</v>
      </c>
    </row>
    <row r="1236" customFormat="false" ht="15" hidden="false" customHeight="false" outlineLevel="0" collapsed="false">
      <c r="A1236" s="5" t="s">
        <v>501</v>
      </c>
      <c r="B1236" s="5" t="s">
        <v>95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502</v>
      </c>
      <c r="B1237" s="0" t="s">
        <v>115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503</v>
      </c>
      <c r="B1238" s="0" t="s">
        <v>68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504</v>
      </c>
    </row>
    <row r="1239" customFormat="false" ht="17.15" hidden="false" customHeight="false" outlineLevel="0" collapsed="false">
      <c r="A1239" s="5" t="s">
        <v>505</v>
      </c>
      <c r="B1239" s="5" t="s">
        <v>506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507</v>
      </c>
      <c r="B1240" s="5" t="s">
        <v>389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508</v>
      </c>
      <c r="B1241" s="5" t="s">
        <v>389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509</v>
      </c>
    </row>
    <row r="1242" customFormat="false" ht="17.15" hidden="false" customHeight="false" outlineLevel="0" collapsed="false">
      <c r="A1242" s="1" t="s">
        <v>510</v>
      </c>
    </row>
    <row r="1243" customFormat="false" ht="17.15" hidden="false" customHeight="false" outlineLevel="0" collapsed="false">
      <c r="A1243" s="0" t="s">
        <v>511</v>
      </c>
      <c r="B1243" s="5" t="s">
        <v>145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512</v>
      </c>
    </row>
    <row r="1244" customFormat="false" ht="17.15" hidden="false" customHeight="false" outlineLevel="0" collapsed="false">
      <c r="A1244" s="5" t="s">
        <v>513</v>
      </c>
      <c r="B1244" s="0" t="s">
        <v>68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514</v>
      </c>
      <c r="B1245" s="5" t="s">
        <v>474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515</v>
      </c>
      <c r="B1246" s="5" t="s">
        <v>474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516</v>
      </c>
    </row>
    <row r="1248" customFormat="false" ht="17.15" hidden="false" customHeight="false" outlineLevel="0" collapsed="false">
      <c r="A1248" s="0" t="s">
        <v>517</v>
      </c>
      <c r="B1248" s="0" t="s">
        <v>251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518</v>
      </c>
    </row>
    <row r="1249" customFormat="false" ht="17.15" hidden="false" customHeight="false" outlineLevel="0" collapsed="false">
      <c r="A1249" s="5" t="s">
        <v>519</v>
      </c>
      <c r="B1249" s="0" t="s">
        <v>251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520</v>
      </c>
    </row>
    <row r="1250" customFormat="false" ht="17.15" hidden="false" customHeight="false" outlineLevel="0" collapsed="false">
      <c r="A1250" s="5" t="s">
        <v>521</v>
      </c>
      <c r="B1250" s="0" t="s">
        <v>522</v>
      </c>
      <c r="D1250" s="21" t="n">
        <f aca="false">D1249/D1246</f>
        <v>1.66002178641913</v>
      </c>
      <c r="I1250" s="5" t="s">
        <v>523</v>
      </c>
    </row>
    <row r="1251" customFormat="false" ht="15" hidden="false" customHeight="false" outlineLevel="0" collapsed="false">
      <c r="A1251" s="5" t="s">
        <v>524</v>
      </c>
      <c r="B1251" s="0" t="s">
        <v>251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525</v>
      </c>
      <c r="B1252" s="0" t="s">
        <v>251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526</v>
      </c>
    </row>
    <row r="1253" customFormat="false" ht="15" hidden="false" customHeight="false" outlineLevel="0" collapsed="false">
      <c r="A1253" s="5" t="s">
        <v>433</v>
      </c>
      <c r="B1253" s="0" t="s">
        <v>251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527</v>
      </c>
      <c r="B1254" s="0" t="s">
        <v>68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440</v>
      </c>
      <c r="B1255" s="0" t="s">
        <v>68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528</v>
      </c>
    </row>
    <row r="1256" customFormat="false" ht="15" hidden="false" customHeight="false" outlineLevel="0" collapsed="false">
      <c r="A1256" s="5" t="s">
        <v>436</v>
      </c>
      <c r="B1256" s="0" t="s">
        <v>251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529</v>
      </c>
      <c r="B1257" s="0" t="s">
        <v>251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530</v>
      </c>
    </row>
    <row r="1258" customFormat="false" ht="15" hidden="false" customHeight="false" outlineLevel="0" collapsed="false">
      <c r="A1258" s="5" t="s">
        <v>444</v>
      </c>
      <c r="B1258" s="0" t="s">
        <v>251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490</v>
      </c>
      <c r="B1259" s="0" t="s">
        <v>68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449</v>
      </c>
      <c r="B1260" s="0" t="s">
        <v>251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491</v>
      </c>
      <c r="B1261" s="0" t="s">
        <v>270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531</v>
      </c>
      <c r="B1262" s="5" t="s">
        <v>389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814</v>
      </c>
    </row>
    <row r="1266" customFormat="false" ht="17.15" hidden="false" customHeight="false" outlineLevel="0" collapsed="false">
      <c r="A1266" s="6" t="s">
        <v>735</v>
      </c>
      <c r="B1266" s="6" t="s">
        <v>736</v>
      </c>
      <c r="C1266" s="14" t="s">
        <v>815</v>
      </c>
      <c r="D1266" s="14" t="s">
        <v>816</v>
      </c>
      <c r="E1266" s="6" t="s">
        <v>817</v>
      </c>
      <c r="F1266" s="6" t="s">
        <v>739</v>
      </c>
    </row>
    <row r="1267" customFormat="false" ht="17.15" hidden="false" customHeight="false" outlineLevel="0" collapsed="false">
      <c r="A1267" s="5" t="s">
        <v>23</v>
      </c>
      <c r="B1267" s="0" t="s">
        <v>818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Val!B108</f>
        <v>169.709967769164</v>
      </c>
      <c r="E1267" s="13" t="n">
        <f aca="false">tp_w_dcf*C1267+(1-tp_w_dcf)*D1267</f>
        <v>133.694918094684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819</v>
      </c>
      <c r="B1268" s="0" t="s">
        <v>820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Val!B108</f>
        <v>169.709967769164</v>
      </c>
      <c r="E1268" s="13" t="n">
        <f aca="false">tp_w_dcf*C1268+(1-tp_w_dcf)*D1268</f>
        <v>127.119985645</v>
      </c>
      <c r="F1268" s="10" t="n">
        <f aca="false">E1268/E$1267-1</f>
        <v>-0.0491786265580213</v>
      </c>
    </row>
    <row r="1269" customFormat="false" ht="17.15" hidden="false" customHeight="false" outlineLevel="0" collapsed="false">
      <c r="A1269" s="5" t="s">
        <v>821</v>
      </c>
      <c r="B1269" s="0" t="s">
        <v>822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Val!B108</f>
        <v>169.709967769164</v>
      </c>
      <c r="E1269" s="13" t="n">
        <f aca="false">tp_w_dcf*C1269+(1-tp_w_dcf)*D1269</f>
        <v>142.896566307362</v>
      </c>
      <c r="F1269" s="10" t="n">
        <f aca="false">E1269/E$1267-1</f>
        <v>0.0688257141244664</v>
      </c>
    </row>
    <row r="1270" customFormat="false" ht="17.15" hidden="false" customHeight="false" outlineLevel="0" collapsed="false">
      <c r="A1270" s="5" t="s">
        <v>823</v>
      </c>
      <c r="B1270" s="0" t="s">
        <v>824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Val!B108</f>
        <v>169.709967769164</v>
      </c>
      <c r="E1270" s="13" t="n">
        <f aca="false">tp_w_dcf*C1270+(1-tp_w_dcf)*D1270</f>
        <v>139.164480183885</v>
      </c>
      <c r="F1270" s="10" t="n">
        <f aca="false">E1270/E$1267-1</f>
        <v>0.0409107703355471</v>
      </c>
    </row>
    <row r="1271" customFormat="false" ht="17.15" hidden="false" customHeight="false" outlineLevel="0" collapsed="false">
      <c r="A1271" s="5" t="s">
        <v>825</v>
      </c>
      <c r="B1271" s="0" t="s">
        <v>826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Val!B108</f>
        <v>169.709967769164</v>
      </c>
      <c r="E1271" s="13" t="n">
        <f aca="false">tp_w_dcf*C1271+(1-tp_w_dcf)*D1271</f>
        <v>129.903630209246</v>
      </c>
      <c r="F1271" s="10" t="n">
        <f aca="false">E1271/E$1267-1</f>
        <v>-0.0283577561471154</v>
      </c>
    </row>
    <row r="1272" customFormat="false" ht="17.15" hidden="false" customHeight="false" outlineLevel="0" collapsed="false">
      <c r="A1272" s="0" t="s">
        <v>827</v>
      </c>
      <c r="B1272" s="0" t="s">
        <v>828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Val!B108</f>
        <v>169.709967769164</v>
      </c>
      <c r="E1272" s="13" t="n">
        <f aca="false">0.3*C1272+(1-0.3)*D1272</f>
        <v>148.100937964476</v>
      </c>
      <c r="F1272" s="10" t="n">
        <f aca="false">E1272/E$1267-1</f>
        <v>0.107752935377767</v>
      </c>
    </row>
    <row r="1273" customFormat="false" ht="17.15" hidden="false" customHeight="false" outlineLevel="0" collapsed="false">
      <c r="A1273" s="0" t="s">
        <v>829</v>
      </c>
      <c r="B1273" s="0" t="s">
        <v>830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Val!B108</f>
        <v>169.709967769164</v>
      </c>
      <c r="E1273" s="13" t="n">
        <f aca="false">0.7*C1273+(1-0.7)*D1273</f>
        <v>119.288898224891</v>
      </c>
      <c r="F1273" s="10" t="n">
        <f aca="false">E1273/E$1267-1</f>
        <v>-0.107752935377767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831</v>
      </c>
    </row>
    <row r="2" customFormat="false" ht="17.15" hidden="false" customHeight="false" outlineLevel="0" collapsed="false">
      <c r="A2" s="5" t="s">
        <v>832</v>
      </c>
      <c r="B2" s="0" t="s">
        <v>833</v>
      </c>
    </row>
    <row r="3" customFormat="false" ht="17.15" hidden="false" customHeight="false" outlineLevel="0" collapsed="false">
      <c r="A3" s="0" t="s">
        <v>834</v>
      </c>
      <c r="B3" s="0" t="s">
        <v>835</v>
      </c>
    </row>
    <row r="4" customFormat="false" ht="17.15" hidden="false" customHeight="false" outlineLevel="0" collapsed="false">
      <c r="A4" s="5" t="s">
        <v>836</v>
      </c>
      <c r="B4" s="0" t="s">
        <v>837</v>
      </c>
    </row>
    <row r="5" customFormat="false" ht="17.15" hidden="false" customHeight="false" outlineLevel="0" collapsed="false">
      <c r="A5" s="5" t="s">
        <v>838</v>
      </c>
      <c r="B5" s="0" t="s">
        <v>839</v>
      </c>
    </row>
    <row r="6" customFormat="false" ht="17.15" hidden="false" customHeight="false" outlineLevel="0" collapsed="false">
      <c r="A6" s="5" t="s">
        <v>840</v>
      </c>
      <c r="B6" s="0" t="s">
        <v>841</v>
      </c>
    </row>
    <row r="7" customFormat="false" ht="17.15" hidden="false" customHeight="false" outlineLevel="0" collapsed="false">
      <c r="A7" s="5" t="s">
        <v>842</v>
      </c>
      <c r="B7" s="0" t="s">
        <v>843</v>
      </c>
    </row>
    <row r="8" customFormat="false" ht="17.15" hidden="false" customHeight="false" outlineLevel="0" collapsed="false">
      <c r="A8" s="0" t="s">
        <v>844</v>
      </c>
      <c r="B8" s="0" t="s">
        <v>845</v>
      </c>
    </row>
    <row r="9" customFormat="false" ht="17.15" hidden="false" customHeight="false" outlineLevel="0" collapsed="false">
      <c r="A9" s="5" t="s">
        <v>846</v>
      </c>
      <c r="B9" s="0" t="s">
        <v>847</v>
      </c>
    </row>
    <row r="10" customFormat="false" ht="17.15" hidden="false" customHeight="false" outlineLevel="0" collapsed="false">
      <c r="A10" s="0" t="s">
        <v>848</v>
      </c>
      <c r="B10" s="0" t="s">
        <v>849</v>
      </c>
    </row>
    <row r="11" customFormat="false" ht="17.15" hidden="false" customHeight="false" outlineLevel="0" collapsed="false">
      <c r="A11" s="0" t="s">
        <v>850</v>
      </c>
      <c r="B11" s="0" t="s">
        <v>851</v>
      </c>
    </row>
    <row r="12" customFormat="false" ht="17.15" hidden="false" customHeight="false" outlineLevel="0" collapsed="false">
      <c r="A12" s="0" t="s">
        <v>852</v>
      </c>
      <c r="B12" s="0" t="s">
        <v>853</v>
      </c>
    </row>
    <row r="13" customFormat="false" ht="17.15" hidden="false" customHeight="false" outlineLevel="0" collapsed="false">
      <c r="A13" s="0" t="s">
        <v>854</v>
      </c>
      <c r="B13" s="0" t="s">
        <v>855</v>
      </c>
    </row>
    <row r="14" customFormat="false" ht="17.15" hidden="false" customHeight="false" outlineLevel="0" collapsed="false">
      <c r="A14" s="0" t="s">
        <v>856</v>
      </c>
      <c r="B14" s="0" t="s">
        <v>857</v>
      </c>
    </row>
    <row r="15" customFormat="false" ht="17.15" hidden="false" customHeight="false" outlineLevel="0" collapsed="false">
      <c r="A15" s="0" t="s">
        <v>858</v>
      </c>
      <c r="B15" s="0" t="s">
        <v>859</v>
      </c>
    </row>
    <row r="16" customFormat="false" ht="17.15" hidden="false" customHeight="false" outlineLevel="0" collapsed="false">
      <c r="A16" s="0" t="s">
        <v>860</v>
      </c>
      <c r="B16" s="0" t="s">
        <v>861</v>
      </c>
    </row>
    <row r="17" customFormat="false" ht="17.15" hidden="false" customHeight="false" outlineLevel="0" collapsed="false">
      <c r="A17" s="5" t="s">
        <v>862</v>
      </c>
    </row>
    <row r="18" customFormat="false" ht="15" hidden="false" customHeight="false" outlineLevel="0" collapsed="false">
      <c r="A18" s="0" t="s">
        <v>863</v>
      </c>
      <c r="B18" s="5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2026-10-27T22:54:46Z</dcterms:created>
  <dc:creator>openpyxl</dc:creator>
  <dc:description/>
  <dc:language>en-US</dc:language>
  <cp:lastModifiedBy/>
  <dcterms:modified xsi:type="dcterms:W3CDTF">2026-10-27T22:54:48Z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