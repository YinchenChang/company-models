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Q!$G$11</definedName>
    <definedName function="false" hidden="false" name="a25_gp" vbProcedure="false">Q!$G$5</definedName>
    <definedName function="false" hidden="false" name="a25_ni" vbProcedure="false">Q!$G$10</definedName>
    <definedName function="false" hidden="false" name="a25_oi" vbProcedure="false">Q!$G$8</definedName>
    <definedName function="false" hidden="false" name="a25_opx" vbProcedure="false">Q!$G$7</definedName>
    <definedName function="false" hidden="false" name="a25_rev" vbProcedure="false">Q!$G$4</definedName>
    <definedName function="false" hidden="false" name="asp" vbProcedure="false">In!$E$72</definedName>
    <definedName function="false" hidden="false" name="asp_hi" vbProcedure="false">In!$F$72</definedName>
    <definedName function="false" hidden="false" name="asp_lo" vbProcedure="false">In!$D$72</definedName>
    <definedName function="false" hidden="false" name="attA_26" vbProcedure="false">In!$E$53</definedName>
    <definedName function="false" hidden="false" name="attA_26_hi" vbProcedure="false">In!$F$53</definedName>
    <definedName function="false" hidden="false" name="attA_26_lo" vbProcedure="false">In!$D$53</definedName>
    <definedName function="false" hidden="false" name="attA_27" vbProcedure="false">In!$E$54</definedName>
    <definedName function="false" hidden="false" name="attA_27_hi" vbProcedure="false">In!$F$54</definedName>
    <definedName function="false" hidden="false" name="attA_27_lo" vbProcedure="false">In!$D$54</definedName>
    <definedName function="false" hidden="false" name="attA_28" vbProcedure="false">In!$E$55</definedName>
    <definedName function="false" hidden="false" name="attA_28_hi" vbProcedure="false">In!$F$55</definedName>
    <definedName function="false" hidden="false" name="attA_28_lo" vbProcedure="false">In!$D$55</definedName>
    <definedName function="false" hidden="false" name="attA_29" vbProcedure="false">In!$E$56</definedName>
    <definedName function="false" hidden="false" name="attA_29_hi" vbProcedure="false">In!$F$56</definedName>
    <definedName function="false" hidden="false" name="attA_29_lo" vbProcedure="false">In!$D$56</definedName>
    <definedName function="false" hidden="false" name="attA_30" vbProcedure="false">In!$E$57</definedName>
    <definedName function="false" hidden="false" name="attA_30_hi" vbProcedure="false">In!$F$57</definedName>
    <definedName function="false" hidden="false" name="attA_30_lo" vbProcedure="false">In!$D$57</definedName>
    <definedName function="false" hidden="false" name="attB_26" vbProcedure="false">In!$E$58</definedName>
    <definedName function="false" hidden="false" name="attB_26_hi" vbProcedure="false">In!$F$58</definedName>
    <definedName function="false" hidden="false" name="attB_26_lo" vbProcedure="false">In!$D$58</definedName>
    <definedName function="false" hidden="false" name="attB_27" vbProcedure="false">In!$E$59</definedName>
    <definedName function="false" hidden="false" name="attB_27_hi" vbProcedure="false">In!$F$59</definedName>
    <definedName function="false" hidden="false" name="attB_27_lo" vbProcedure="false">In!$D$59</definedName>
    <definedName function="false" hidden="false" name="attB_28" vbProcedure="false">In!$E$60</definedName>
    <definedName function="false" hidden="false" name="attB_28_hi" vbProcedure="false">In!$F$60</definedName>
    <definedName function="false" hidden="false" name="attB_28_lo" vbProcedure="false">In!$D$60</definedName>
    <definedName function="false" hidden="false" name="attB_29" vbProcedure="false">In!$E$61</definedName>
    <definedName function="false" hidden="false" name="attB_29_hi" vbProcedure="false">In!$F$61</definedName>
    <definedName function="false" hidden="false" name="attB_29_lo" vbProcedure="false">In!$D$61</definedName>
    <definedName function="false" hidden="false" name="attB_30" vbProcedure="false">In!$E$62</definedName>
    <definedName function="false" hidden="false" name="attB_30_hi" vbProcedure="false">In!$F$62</definedName>
    <definedName function="false" hidden="false" name="attB_30_lo" vbProcedure="false">In!$D$62</definedName>
    <definedName function="false" hidden="false" name="attC_26" vbProcedure="false">In!$E$63</definedName>
    <definedName function="false" hidden="false" name="attC_26_hi" vbProcedure="false">In!$F$63</definedName>
    <definedName function="false" hidden="false" name="attC_26_lo" vbProcedure="false">In!$D$63</definedName>
    <definedName function="false" hidden="false" name="attC_27" vbProcedure="false">In!$E$64</definedName>
    <definedName function="false" hidden="false" name="attC_27_hi" vbProcedure="false">In!$F$64</definedName>
    <definedName function="false" hidden="false" name="attC_27_lo" vbProcedure="false">In!$D$64</definedName>
    <definedName function="false" hidden="false" name="attC_28" vbProcedure="false">In!$E$65</definedName>
    <definedName function="false" hidden="false" name="attC_28_hi" vbProcedure="false">In!$F$65</definedName>
    <definedName function="false" hidden="false" name="attC_28_lo" vbProcedure="false">In!$D$65</definedName>
    <definedName function="false" hidden="false" name="attC_29" vbProcedure="false">In!$E$66</definedName>
    <definedName function="false" hidden="false" name="attC_29_hi" vbProcedure="false">In!$F$66</definedName>
    <definedName function="false" hidden="false" name="attC_29_lo" vbProcedure="false">In!$D$66</definedName>
    <definedName function="false" hidden="false" name="attC_30" vbProcedure="false">In!$E$67</definedName>
    <definedName function="false" hidden="false" name="attC_30_hi" vbProcedure="false">In!$F$67</definedName>
    <definedName function="false" hidden="false" name="attC_30_lo" vbProcedure="false">In!$D$67</definedName>
    <definedName function="false" hidden="false" name="beta" vbProcedure="false">In!$E$34</definedName>
    <definedName function="false" hidden="false" name="beta_hi" vbProcedure="false">In!$F$34</definedName>
    <definedName function="false" hidden="false" name="beta_lo" vbProcedure="false">In!$D$34</definedName>
    <definedName function="false" hidden="false" name="cons_eps26" vbProcedure="false">In!$E$122</definedName>
    <definedName function="false" hidden="false" name="cons_eps27" vbProcedure="false">In!$E$124</definedName>
    <definedName function="false" hidden="false" name="cons_eps28" vbProcedure="false">In!$E$126</definedName>
    <definedName function="false" hidden="false" name="cons_feps" vbProcedure="false">In!$E$139</definedName>
    <definedName function="false" hidden="false" name="cons_rev26" vbProcedure="false">In!$E$121</definedName>
    <definedName function="false" hidden="false" name="cons_rev27" vbProcedure="false">In!$E$123</definedName>
    <definedName function="false" hidden="false" name="cons_rev28" vbProcedure="false">In!$E$125</definedName>
    <definedName function="false" hidden="false" name="cons_tp" vbProcedure="false">In!$E$138</definedName>
    <definedName function="false" hidden="false" name="cow_26" vbProcedure="false">In!$E$43</definedName>
    <definedName function="false" hidden="false" name="cow_27" vbProcedure="false">In!$E$44</definedName>
    <definedName function="false" hidden="false" name="cow_28" vbProcedure="false">In!$E$45</definedName>
    <definedName function="false" hidden="false" name="cow_29" vbProcedure="false">In!$E$46</definedName>
    <definedName function="false" hidden="false" name="den_25" vbProcedure="false">In!$E$22</definedName>
    <definedName function="false" hidden="false" name="den_25_hi" vbProcedure="false">In!$F$22</definedName>
    <definedName function="false" hidden="false" name="den_25_lo" vbProcedure="false">In!$D$22</definedName>
    <definedName function="false" hidden="false" name="den_26" vbProcedure="false">In!$E$23</definedName>
    <definedName function="false" hidden="false" name="den_26_hi" vbProcedure="false">In!$F$23</definedName>
    <definedName function="false" hidden="false" name="den_26_lo" vbProcedure="false">In!$D$23</definedName>
    <definedName function="false" hidden="false" name="den_27" vbProcedure="false">In!$E$24</definedName>
    <definedName function="false" hidden="false" name="den_27_hi" vbProcedure="false">In!$F$24</definedName>
    <definedName function="false" hidden="false" name="den_27_lo" vbProcedure="false">In!$D$24</definedName>
    <definedName function="false" hidden="false" name="den_28" vbProcedure="false">In!$E$25</definedName>
    <definedName function="false" hidden="false" name="den_28_hi" vbProcedure="false">In!$F$25</definedName>
    <definedName function="false" hidden="false" name="den_28_lo" vbProcedure="false">In!$D$25</definedName>
    <definedName function="false" hidden="false" name="den_29" vbProcedure="false">In!$E$26</definedName>
    <definedName function="false" hidden="false" name="den_29_hi" vbProcedure="false">In!$F$26</definedName>
    <definedName function="false" hidden="false" name="den_29_lo" vbProcedure="false">In!$D$26</definedName>
    <definedName function="false" hidden="false" name="den_30" vbProcedure="false">In!$E$27</definedName>
    <definedName function="false" hidden="false" name="den_30_hi" vbProcedure="false">In!$F$27</definedName>
    <definedName function="false" hidden="false" name="den_30_lo" vbProcedure="false">In!$D$27</definedName>
    <definedName function="false" hidden="false" name="dlt" vbProcedure="false">In!$E$41</definedName>
    <definedName function="false" hidden="false" name="dlt_hi" vbProcedure="false">In!$F$41</definedName>
    <definedName function="false" hidden="false" name="dlt_lo" vbProcedure="false">In!$D$41</definedName>
    <definedName function="false" hidden="false" name="el" vbProcedure="false">In!$E$103</definedName>
    <definedName function="false" hidden="false" name="el_hi" vbProcedure="false">In!$F$103</definedName>
    <definedName function="false" hidden="false" name="el_lo" vbProcedure="false">In!$D$103</definedName>
    <definedName function="false" hidden="false" name="eps26" vbProcedure="false">In!$E$89</definedName>
    <definedName function="false" hidden="false" name="eqgA_27" vbProcedure="false">In!$E$94</definedName>
    <definedName function="false" hidden="false" name="eqgA_28" vbProcedure="false">In!$E$95</definedName>
    <definedName function="false" hidden="false" name="eqgA_29" vbProcedure="false">In!$E$96</definedName>
    <definedName function="false" hidden="false" name="eqgB_27" vbProcedure="false">In!$E$97</definedName>
    <definedName function="false" hidden="false" name="eqgB_28" vbProcedure="false">In!$E$98</definedName>
    <definedName function="false" hidden="false" name="eqgB_29" vbProcedure="false">In!$E$99</definedName>
    <definedName function="false" hidden="false" name="eqgC_27" vbProcedure="false">In!$E$100</definedName>
    <definedName function="false" hidden="false" name="eqgC_28" vbProcedure="false">In!$E$101</definedName>
    <definedName function="false" hidden="false" name="eqgC_29" vbProcedure="false">In!$E$102</definedName>
    <definedName function="false" hidden="false" name="fin" vbProcedure="false">In!$E$110</definedName>
    <definedName function="false" hidden="false" name="fin_hi" vbProcedure="false">In!$F$110</definedName>
    <definedName function="false" hidden="false" name="fin_lo" vbProcedure="false">In!$D$110</definedName>
    <definedName function="false" hidden="false" name="gm_adj_C" vbProcedure="false">In!$E$106</definedName>
    <definedName function="false" hidden="false" name="gm_adj_C_hi" vbProcedure="false">In!$F$106</definedName>
    <definedName function="false" hidden="false" name="gm_adj_C_lo" vbProcedure="false">In!$D$106</definedName>
    <definedName function="false" hidden="false" name="gm_prem" vbProcedure="false">In!$E$105</definedName>
    <definedName function="false" hidden="false" name="gm_prem_hi" vbProcedure="false">In!$F$105</definedName>
    <definedName function="false" hidden="false" name="gm_prem_lo" vbProcedure="false">In!$D$105</definedName>
    <definedName function="false" hidden="false" name="gp26" vbProcedure="false">In!$E$85</definedName>
    <definedName function="false" hidden="false" name="g_tail" vbProcedure="false">In!$E$20</definedName>
    <definedName function="false" hidden="false" name="g_tail_hi" vbProcedure="false">In!$F$20</definedName>
    <definedName function="false" hidden="false" name="g_tail_lo" vbProcedure="false">In!$D$20</definedName>
    <definedName function="false" hidden="false" name="hb25" vbProcedure="false">In!$E$90</definedName>
    <definedName function="false" hidden="false" name="hb25_hi" vbProcedure="false">In!$F$90</definedName>
    <definedName function="false" hidden="false" name="hb25_lo" vbProcedure="false">In!$D$90</definedName>
    <definedName function="false" hidden="false" name="hbm26" vbProcedure="false">In!$E$92</definedName>
    <definedName function="false" hidden="false" name="hbp_25" vbProcedure="false">In!$E$35</definedName>
    <definedName function="false" hidden="false" name="hbp_25_hi" vbProcedure="false">In!$F$35</definedName>
    <definedName function="false" hidden="false" name="hbp_25_lo" vbProcedure="false">In!$D$35</definedName>
    <definedName function="false" hidden="false" name="hbp_26" vbProcedure="false">In!$E$36</definedName>
    <definedName function="false" hidden="false" name="hbp_26_hi" vbProcedure="false">In!$F$36</definedName>
    <definedName function="false" hidden="false" name="hbp_26_lo" vbProcedure="false">In!$D$36</definedName>
    <definedName function="false" hidden="false" name="hbp_27" vbProcedure="false">In!$E$37</definedName>
    <definedName function="false" hidden="false" name="hbp_27_hi" vbProcedure="false">In!$F$37</definedName>
    <definedName function="false" hidden="false" name="hbp_27_lo" vbProcedure="false">In!$D$37</definedName>
    <definedName function="false" hidden="false" name="hbp_28" vbProcedure="false">In!$E$38</definedName>
    <definedName function="false" hidden="false" name="hbp_28_hi" vbProcedure="false">In!$F$38</definedName>
    <definedName function="false" hidden="false" name="hbp_28_lo" vbProcedure="false">In!$D$38</definedName>
    <definedName function="false" hidden="false" name="hbp_29" vbProcedure="false">In!$E$39</definedName>
    <definedName function="false" hidden="false" name="hbp_29_hi" vbProcedure="false">In!$F$39</definedName>
    <definedName function="false" hidden="false" name="hbp_29_lo" vbProcedure="false">In!$D$39</definedName>
    <definedName function="false" hidden="false" name="hbp_30" vbProcedure="false">In!$E$40</definedName>
    <definedName function="false" hidden="false" name="hbp_30_hi" vbProcedure="false">In!$F$40</definedName>
    <definedName function="false" hidden="false" name="hbp_30_lo" vbProcedure="false">In!$D$40</definedName>
    <definedName function="false" hidden="false" name="hb_cum25" vbProcedure="false">In!$E$129</definedName>
    <definedName function="false" hidden="false" name="hb_cum26q3" vbProcedure="false">In!$E$130</definedName>
    <definedName function="false" hidden="false" name="hb_sh26" vbProcedure="false">In!$E$91</definedName>
    <definedName function="false" hidden="false" name="hb_sh26_hi" vbProcedure="false">In!$F$91</definedName>
    <definedName function="false" hidden="false" name="hb_sh26_lo" vbProcedure="false">In!$D$91</definedName>
    <definedName function="false" hidden="false" name="hsA_25" vbProcedure="false">In!$E$5</definedName>
    <definedName function="false" hidden="false" name="hsA_26" vbProcedure="false">In!$E$6</definedName>
    <definedName function="false" hidden="false" name="hsA_27" vbProcedure="false">In!$E$7</definedName>
    <definedName function="false" hidden="false" name="hsA_28" vbProcedure="false">In!$E$8</definedName>
    <definedName function="false" hidden="false" name="hsA_29" vbProcedure="false">In!$E$9</definedName>
    <definedName function="false" hidden="false" name="hsB_25" vbProcedure="false">In!$E$10</definedName>
    <definedName function="false" hidden="false" name="hsB_26" vbProcedure="false">In!$E$11</definedName>
    <definedName function="false" hidden="false" name="hsB_27" vbProcedure="false">In!$E$12</definedName>
    <definedName function="false" hidden="false" name="hsB_28" vbProcedure="false">In!$E$13</definedName>
    <definedName function="false" hidden="false" name="hsB_29" vbProcedure="false">In!$E$14</definedName>
    <definedName function="false" hidden="false" name="hsC_25" vbProcedure="false">In!$E$15</definedName>
    <definedName function="false" hidden="false" name="hsC_26" vbProcedure="false">In!$E$16</definedName>
    <definedName function="false" hidden="false" name="hsC_27" vbProcedure="false">In!$E$17</definedName>
    <definedName function="false" hidden="false" name="hsC_28" vbProcedure="false">In!$E$18</definedName>
    <definedName function="false" hidden="false" name="hsC_29" vbProcedure="false">In!$E$19</definedName>
    <definedName function="false" hidden="false" name="lt_hi" vbProcedure="false">In!$E$128</definedName>
    <definedName function="false" hidden="false" name="lt_lo" vbProcedure="false">In!$E$127</definedName>
    <definedName function="false" hidden="false" name="ni26" vbProcedure="false">In!$E$88</definedName>
    <definedName function="false" hidden="false" name="nim10" vbProcedure="false">In!$E$137</definedName>
    <definedName function="false" hidden="false" name="oi26" vbProcedure="false">In!$E$87</definedName>
    <definedName function="false" hidden="false" name="opex_fix" vbProcedure="false">In!$E$108</definedName>
    <definedName function="false" hidden="false" name="opex_var" vbProcedure="false">In!$E$109</definedName>
    <definedName function="false" hidden="false" name="opx26" vbProcedure="false">In!$E$86</definedName>
    <definedName function="false" hidden="false" name="pe_mid" vbProcedure="false">Val!$B$31</definedName>
    <definedName function="false" hidden="false" name="pe_peak" vbProcedure="false">Val!$B$30</definedName>
    <definedName function="false" hidden="false" name="pe_trough" vbProcedure="false">Val!$B$32</definedName>
    <definedName function="false" hidden="false" name="phi" vbProcedure="false">In!$E$107</definedName>
    <definedName function="false" hidden="false" name="phi_hi" vbProcedure="false">In!$F$107</definedName>
    <definedName function="false" hidden="false" name="phi_lo" vbProcedure="false">In!$D$107</definedName>
    <definedName function="false" hidden="false" name="pk_A" vbProcedure="false">In!$E$114</definedName>
    <definedName function="false" hidden="false" name="pk_B" vbProcedure="false">In!$E$115</definedName>
    <definedName function="false" hidden="false" name="pk_C" vbProcedure="false">In!$E$116</definedName>
    <definedName function="false" hidden="false" name="px" vbProcedure="false">In!$E$117</definedName>
    <definedName function="false" hidden="false" name="q1_eps" vbProcedure="false">Q!$H$11</definedName>
    <definedName function="false" hidden="false" name="q1_gp" vbProcedure="false">Q!$H$5</definedName>
    <definedName function="false" hidden="false" name="q1_ni" vbProcedure="false">Q!$H$10</definedName>
    <definedName function="false" hidden="false" name="q1_oi" vbProcedure="false">Q!$H$8</definedName>
    <definedName function="false" hidden="false" name="q1_opx" vbProcedure="false">Q!$H$7</definedName>
    <definedName function="false" hidden="false" name="q1_rev" vbProcedure="false">Q!$H$4</definedName>
    <definedName function="false" hidden="false" name="q2_eps" vbProcedure="false">Q!$I$11</definedName>
    <definedName function="false" hidden="false" name="q2_gp" vbProcedure="false">Q!$I$5</definedName>
    <definedName function="false" hidden="false" name="q2_ni" vbProcedure="false">Q!$I$10</definedName>
    <definedName function="false" hidden="false" name="q2_oi" vbProcedure="false">Q!$I$8</definedName>
    <definedName function="false" hidden="false" name="q2_opx" vbProcedure="false">Q!$I$7</definedName>
    <definedName function="false" hidden="false" name="q2_rev" vbProcedure="false">Q!$I$4</definedName>
    <definedName function="false" hidden="false" name="q3_eps" vbProcedure="false">Q!$J$11</definedName>
    <definedName function="false" hidden="false" name="q3_gp" vbProcedure="false">Q!$J$5</definedName>
    <definedName function="false" hidden="false" name="q3_ni" vbProcedure="false">Q!$J$10</definedName>
    <definedName function="false" hidden="false" name="q3_oi" vbProcedure="false">Q!$J$8</definedName>
    <definedName function="false" hidden="false" name="q3_opx" vbProcedure="false">Q!$J$7</definedName>
    <definedName function="false" hidden="false" name="q3_rev" vbProcedure="false">Q!$J$4</definedName>
    <definedName function="false" hidden="false" name="q4fin" vbProcedure="false">In!$E$83</definedName>
    <definedName function="false" hidden="false" name="q4fin_hi" vbProcedure="false">In!$F$83</definedName>
    <definedName function="false" hidden="false" name="q4fin_lo" vbProcedure="false">In!$D$83</definedName>
    <definedName function="false" hidden="false" name="q4g" vbProcedure="false">In!$E$80</definedName>
    <definedName function="false" hidden="false" name="q4gm" vbProcedure="false">In!$E$81</definedName>
    <definedName function="false" hidden="false" name="q4gm_hi" vbProcedure="false">In!$F$81</definedName>
    <definedName function="false" hidden="false" name="q4gm_lo" vbProcedure="false">In!$D$81</definedName>
    <definedName function="false" hidden="false" name="q4g_hi" vbProcedure="false">In!$F$80</definedName>
    <definedName function="false" hidden="false" name="q4g_lo" vbProcedure="false">In!$D$80</definedName>
    <definedName function="false" hidden="false" name="q4opx" vbProcedure="false">In!$E$82</definedName>
    <definedName function="false" hidden="false" name="q4opx_hi" vbProcedure="false">In!$F$82</definedName>
    <definedName function="false" hidden="false" name="q4opx_lo" vbProcedure="false">In!$D$82</definedName>
    <definedName function="false" hidden="false" name="rev26" vbProcedure="false">In!$E$84</definedName>
    <definedName function="false" hidden="false" name="rm_factor" vbProcedure="false">Val!$B$143</definedName>
    <definedName function="false" hidden="false" name="shares" vbProcedure="false">In!$E$112</definedName>
    <definedName function="false" hidden="false" name="shl_A" vbProcedure="false">In!$E$76</definedName>
    <definedName function="false" hidden="false" name="shl_A_hi" vbProcedure="false">In!$F$76</definedName>
    <definedName function="false" hidden="false" name="shl_A_lo" vbProcedure="false">In!$D$76</definedName>
    <definedName function="false" hidden="false" name="shl_B" vbProcedure="false">In!$E$77</definedName>
    <definedName function="false" hidden="false" name="shl_B_hi" vbProcedure="false">In!$F$77</definedName>
    <definedName function="false" hidden="false" name="shl_B_lo" vbProcedure="false">In!$D$77</definedName>
    <definedName function="false" hidden="false" name="shl_C" vbProcedure="false">In!$E$78</definedName>
    <definedName function="false" hidden="false" name="shl_C_hi" vbProcedure="false">In!$F$78</definedName>
    <definedName function="false" hidden="false" name="shl_C_lo" vbProcedure="false">In!$D$78</definedName>
    <definedName function="false" hidden="false" name="shm_A" vbProcedure="false">In!$E$73</definedName>
    <definedName function="false" hidden="false" name="shm_A_hi" vbProcedure="false">In!$F$73</definedName>
    <definedName function="false" hidden="false" name="shm_A_lo" vbProcedure="false">In!$D$73</definedName>
    <definedName function="false" hidden="false" name="shm_B" vbProcedure="false">In!$E$74</definedName>
    <definedName function="false" hidden="false" name="shm_B_hi" vbProcedure="false">In!$F$74</definedName>
    <definedName function="false" hidden="false" name="shm_B_lo" vbProcedure="false">In!$D$74</definedName>
    <definedName function="false" hidden="false" name="shm_C" vbProcedure="false">In!$E$75</definedName>
    <definedName function="false" hidden="false" name="shm_C_hi" vbProcedure="false">In!$F$75</definedName>
    <definedName function="false" hidden="false" name="shm_C_lo" vbProcedure="false">In!$D$75</definedName>
    <definedName function="false" hidden="false" name="stk_25" vbProcedure="false">In!$E$28</definedName>
    <definedName function="false" hidden="false" name="stk_25_hi" vbProcedure="false">In!$F$28</definedName>
    <definedName function="false" hidden="false" name="stk_25_lo" vbProcedure="false">In!$D$28</definedName>
    <definedName function="false" hidden="false" name="stk_26" vbProcedure="false">In!$E$29</definedName>
    <definedName function="false" hidden="false" name="stk_26_hi" vbProcedure="false">In!$F$29</definedName>
    <definedName function="false" hidden="false" name="stk_26_lo" vbProcedure="false">In!$D$29</definedName>
    <definedName function="false" hidden="false" name="stk_27" vbProcedure="false">In!$E$30</definedName>
    <definedName function="false" hidden="false" name="stk_27_hi" vbProcedure="false">In!$F$30</definedName>
    <definedName function="false" hidden="false" name="stk_27_lo" vbProcedure="false">In!$D$30</definedName>
    <definedName function="false" hidden="false" name="stk_28" vbProcedure="false">In!$E$31</definedName>
    <definedName function="false" hidden="false" name="stk_28_hi" vbProcedure="false">In!$F$31</definedName>
    <definedName function="false" hidden="false" name="stk_28_lo" vbProcedure="false">In!$D$31</definedName>
    <definedName function="false" hidden="false" name="stk_29" vbProcedure="false">In!$E$32</definedName>
    <definedName function="false" hidden="false" name="stk_29_hi" vbProcedure="false">In!$F$32</definedName>
    <definedName function="false" hidden="false" name="stk_29_lo" vbProcedure="false">In!$D$32</definedName>
    <definedName function="false" hidden="false" name="stk_30" vbProcedure="false">In!$E$33</definedName>
    <definedName function="false" hidden="false" name="stk_30_hi" vbProcedure="false">In!$F$33</definedName>
    <definedName function="false" hidden="false" name="stk_30_lo" vbProcedure="false">In!$D$33</definedName>
    <definedName function="false" hidden="false" name="tax" vbProcedure="false">In!$E$111</definedName>
    <definedName function="false" hidden="false" name="tax_hi" vbProcedure="false">In!$F$111</definedName>
    <definedName function="false" hidden="false" name="tax_lo" vbProcedure="false">In!$D$111</definedName>
    <definedName function="false" hidden="false" name="thr" vbProcedure="false">In!$E$71</definedName>
    <definedName function="false" hidden="false" name="tp_comp_adj" vbProcedure="false">Val!$B$144</definedName>
    <definedName function="false" hidden="false" name="tp_g" vbProcedure="false">In!$E$134</definedName>
    <definedName function="false" hidden="false" name="tp_r" vbProcedure="false">In!$E$133</definedName>
    <definedName function="false" hidden="false" name="tp_roe" vbProcedure="false">In!$E$135</definedName>
    <definedName function="false" hidden="false" name="tp_wA" vbProcedure="false">In!$E$118</definedName>
    <definedName function="false" hidden="false" name="tp_wB" vbProcedure="false">In!$E$119</definedName>
    <definedName function="false" hidden="false" name="tp_wC" vbProcedure="false">In!$E$120</definedName>
    <definedName function="false" hidden="false" name="tp_w_dcf" vbProcedure="false">In!$E$136</definedName>
    <definedName function="false" hidden="false" name="um28_A" vbProcedure="false">In!$E$47</definedName>
    <definedName function="false" hidden="false" name="um28_B" vbProcedure="false">In!$E$49</definedName>
    <definedName function="false" hidden="false" name="um28_C" vbProcedure="false">In!$E$51</definedName>
    <definedName function="false" hidden="false" name="um29_A" vbProcedure="false">In!$E$48</definedName>
    <definedName function="false" hidden="false" name="um29_B" vbProcedure="false">In!$E$50</definedName>
    <definedName function="false" hidden="false" name="um29_C" vbProcedure="false">In!$E$52</definedName>
    <definedName function="false" hidden="false" name="uph" vbProcedure="false">In!$E$69</definedName>
    <definedName function="false" hidden="false" name="uph_hi" vbProcedure="false">In!$F$69</definedName>
    <definedName function="false" hidden="false" name="uph_lo" vbProcedure="false">In!$D$69</definedName>
    <definedName function="false" hidden="false" name="util" vbProcedure="false">In!$E$70</definedName>
    <definedName function="false" hidden="false" name="util_hi" vbProcedure="false">In!$F$70</definedName>
    <definedName function="false" hidden="false" name="util_lo" vbProcedure="false">In!$D$70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<sst xmlns="http://schemas.openxmlformats.org/spreadsheetml/2006/main" count="4001" uniqueCount="970">
  <si>
    <r>
      <rPr>
        <b val="true"/>
        <sz val="11"/>
        <rFont val="Cambria"/>
        <family val="0"/>
        <charset val="1"/>
      </rPr>
      <t xml:space="preserve">BESI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BE Semiconductor Industries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BESI.AS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：設備與材料）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</si>
  <si>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）：首版。樣板 </t>
    </r>
    <r>
      <rPr>
        <sz val="11"/>
        <rFont val="Cambria"/>
        <family val="0"/>
        <charset val="1"/>
      </rPr>
      <t xml:space="preserve">hanmi/</t>
    </r>
    <r>
      <rPr>
        <sz val="11"/>
        <rFont val="Noto Sans CJK SC"/>
        <family val="2"/>
      </rPr>
      <t xml:space="preserve">（鍵合設備，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晶粒與混合鍵合比例口徑相同）與 </t>
    </r>
    <r>
      <rPr>
        <sz val="11"/>
        <rFont val="Cambria"/>
        <family val="0"/>
        <charset val="1"/>
      </rPr>
      <t xml:space="preserve">advantest/</t>
    </r>
    <r>
      <rPr>
        <sz val="11"/>
        <rFont val="Noto Sans CJK SC"/>
        <family val="2"/>
      </rPr>
      <t xml:space="preserve">（設備股統一循環規則）。本版未做先驗，無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</si>
  <si>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BESI </t>
    </r>
    <r>
      <rPr>
        <sz val="11"/>
        <rFont val="Noto Sans CJK SC"/>
        <family val="2"/>
      </rPr>
      <t xml:space="preserve">的盈餘由混合鍵合機的新機需求決定——邏輯（</t>
    </r>
    <r>
      <rPr>
        <sz val="11"/>
        <rFont val="Cambria"/>
        <family val="0"/>
        <charset val="1"/>
      </rPr>
      <t xml:space="preserve">SoIC </t>
    </r>
    <r>
      <rPr>
        <sz val="11"/>
        <rFont val="Noto Sans CJK SC"/>
        <family val="2"/>
      </rPr>
      <t xml:space="preserve">類）由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先進封裝晶圓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混合鍵合導入比例推得，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由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晶粒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混合鍵合占比（與韓美同一口徑）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機台產能推得；傳統貼合機等主流業務隨設備市場循環。股價取決於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增速放緩後，邏輯導入比例與 </t>
    </r>
    <r>
      <rPr>
        <sz val="11"/>
        <rFont val="Cambria"/>
        <family val="0"/>
        <charset val="1"/>
      </rPr>
      <t xml:space="preserve">HBM4E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HBM5 </t>
    </r>
    <r>
      <rPr>
        <sz val="11"/>
        <rFont val="Noto Sans CJK SC"/>
        <family val="2"/>
      </rPr>
      <t xml:space="preserve">混合鍵合能否接棒，以及 </t>
    </r>
    <r>
      <rPr>
        <sz val="11"/>
        <rFont val="Cambria"/>
        <family val="0"/>
        <charset val="1"/>
      </rPr>
      <t xml:space="preserve">BESI </t>
    </r>
    <r>
      <rPr>
        <sz val="11"/>
        <rFont val="Noto Sans CJK SC"/>
        <family val="2"/>
      </rPr>
      <t xml:space="preserve">能否守住份額。</t>
    </r>
  </si>
  <si>
    <r>
      <rPr>
        <sz val="11"/>
        <rFont val="Noto Sans CJK SC"/>
        <family val="2"/>
      </rPr>
      <t xml:space="preserve">會計年度＝日曆年。金額以百萬歐元（€</t>
    </r>
    <r>
      <rPr>
        <sz val="11"/>
        <rFont val="Cambria"/>
        <family val="0"/>
        <charset val="1"/>
      </rPr>
      <t xml:space="preserve">M</t>
    </r>
    <r>
      <rPr>
        <sz val="11"/>
        <rFont val="Noto Sans CJK SC"/>
        <family val="2"/>
      </rPr>
      <t xml:space="preserve">）為主；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為歐元。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為錨點：前三季實績（</t>
    </r>
    <r>
      <rPr>
        <sz val="11"/>
        <rFont val="Cambria"/>
        <family val="0"/>
        <charset val="1"/>
      </rPr>
      <t xml:space="preserve">184.9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249.9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283.4</t>
    </r>
    <r>
      <rPr>
        <sz val="11"/>
        <rFont val="Noto Sans CJK SC"/>
        <family val="2"/>
      </rPr>
      <t xml:space="preserve">）＋第四季公司指引（營收持平 </t>
    </r>
    <r>
      <rPr>
        <sz val="11"/>
        <rFont val="Cambria"/>
        <family val="0"/>
        <charset val="1"/>
      </rPr>
      <t xml:space="preserve">±5%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63–65%</t>
    </r>
    <r>
      <rPr>
        <sz val="11"/>
        <rFont val="Noto Sans CJK SC"/>
        <family val="2"/>
      </rPr>
      <t xml:space="preserve">、費用 </t>
    </r>
    <r>
      <rPr>
        <sz val="11"/>
        <rFont val="Cambria"/>
        <family val="0"/>
        <charset val="1"/>
      </rPr>
      <t xml:space="preserve">+5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10%</t>
    </r>
    <r>
      <rPr>
        <sz val="11"/>
        <rFont val="Noto Sans CJK SC"/>
        <family val="2"/>
      </rPr>
      <t xml:space="preserve">）；第三季已於 </t>
    </r>
    <r>
      <rPr>
        <sz val="11"/>
        <rFont val="Cambria"/>
        <family val="0"/>
        <charset val="1"/>
      </rPr>
      <t xml:space="preserve">2026-10-22 </t>
    </r>
    <r>
      <rPr>
        <sz val="11"/>
        <rFont val="Noto Sans CJK SC"/>
        <family val="2"/>
      </rPr>
      <t xml:space="preserve">公布並納入。</t>
    </r>
  </si>
  <si>
    <t xml:space="preserve">驅動因子 → 推導量</t>
  </si>
  <si>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出貨位元（</t>
    </r>
    <r>
      <rPr>
        <sz val="11"/>
        <rFont val="Cambria"/>
        <family val="0"/>
        <charset val="1"/>
      </rPr>
      <t xml:space="preserve">markets/memory </t>
    </r>
    <r>
      <rPr>
        <sz val="11"/>
        <rFont val="Noto Sans CJK SC"/>
        <family val="2"/>
      </rPr>
      <t xml:space="preserve">同字母情境）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晶粒容量 → 核心晶粒數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層數加權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混合鍵合占比（</t>
    </r>
    <r>
      <rPr>
        <sz val="11"/>
        <rFont val="Cambria"/>
        <family val="0"/>
        <charset val="1"/>
      </rPr>
      <t xml:space="preserve">Disco </t>
    </r>
    <r>
      <rPr>
        <sz val="11"/>
        <rFont val="Noto Sans CJK SC"/>
        <family val="2"/>
      </rPr>
      <t xml:space="preserve">模型，韓美用 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此比例）→ 混合鍵合產能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每台年產能 → 所需機台；新機＝下一年增量＋汰換；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 </t>
    </r>
    <r>
      <rPr>
        <sz val="11"/>
        <rFont val="Cambria"/>
        <family val="0"/>
        <charset val="1"/>
      </rPr>
      <t xml:space="preserve">× BESI </t>
    </r>
    <r>
      <rPr>
        <sz val="11"/>
        <rFont val="Noto Sans CJK SC"/>
        <family val="2"/>
      </rPr>
      <t xml:space="preserve">份額</t>
    </r>
  </si>
  <si>
    <r>
      <rPr>
        <sz val="11"/>
        <rFont val="Noto Sans CJK SC"/>
        <family val="2"/>
      </rPr>
      <t xml:space="preserve">邏輯：台積電 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需求（基準）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情境顆數係數（同字母）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混合鍵合導入比例 → 需求指數；新機需求指數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校準係數 </t>
    </r>
    <r>
      <rPr>
        <sz val="11"/>
        <rFont val="Cambria"/>
        <family val="0"/>
        <charset val="1"/>
      </rPr>
      <t xml:space="preserve">k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混合鍵合營收）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相對份額 → 邏輯混合鍵合營收；主流業務＝前一年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＋彈性 </t>
    </r>
    <r>
      <rPr>
        <sz val="11"/>
        <rFont val="Cambria"/>
        <family val="0"/>
        <charset val="1"/>
      </rPr>
      <t xml:space="preserve">× markets/equipment </t>
    </r>
    <r>
      <rPr>
        <sz val="11"/>
        <rFont val="Noto Sans CJK SC"/>
        <family val="2"/>
      </rPr>
      <t xml:space="preserve">同字母設備總額年增）</t>
    </r>
  </si>
  <si>
    <r>
      <rPr>
        <sz val="11"/>
        <rFont val="Noto Sans CJK SC"/>
        <family val="2"/>
      </rPr>
      <t xml:space="preserve">毛利率：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錨點，之後加上混合鍵合占比變化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毛利溢價（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扣價格競爭）；營業費用＝固定＋變動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營收；淨利＝（營業利益 − 財務費用）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稅率）</t>
    </r>
  </si>
  <si>
    <r>
      <rPr>
        <sz val="11"/>
        <rFont val="Noto Sans CJK SC"/>
        <family val="2"/>
      </rPr>
      <t xml:space="preserve">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＝順利／平平／不如預期：上游全部讀同字母（</t>
    </r>
    <r>
      <rPr>
        <sz val="11"/>
        <rFont val="Cambria"/>
        <family val="0"/>
        <charset val="1"/>
      </rPr>
      <t xml:space="preserve">markets/memory HBM </t>
    </r>
    <r>
      <rPr>
        <sz val="11"/>
        <rFont val="Noto Sans CJK SC"/>
        <family val="2"/>
      </rPr>
      <t xml:space="preserve">位元、台積電情境顆數係數 </t>
    </r>
    <r>
      <rPr>
        <sz val="11"/>
        <rFont val="Cambria"/>
        <family val="0"/>
        <charset val="1"/>
      </rPr>
      <t xml:space="preserve">2028 ×1.0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2029 ×1.0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markets/equipment </t>
    </r>
    <r>
      <rPr>
        <sz val="11"/>
        <rFont val="Noto Sans CJK SC"/>
        <family val="2"/>
      </rPr>
      <t xml:space="preserve">設備總額）；公司特有變數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最有利、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最不利（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混合鍵合 </t>
    </r>
    <r>
      <rPr>
        <sz val="11"/>
        <rFont val="Cambria"/>
        <family val="0"/>
        <charset val="1"/>
      </rPr>
      <t xml:space="preserve">Disco </t>
    </r>
    <r>
      <rPr>
        <sz val="11"/>
        <rFont val="Noto Sans CJK SC"/>
        <family val="2"/>
      </rPr>
      <t xml:space="preserve">高／基準／低、邏輯導入快／中／慢、份額、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另扣毛利率）。</t>
    </r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分位，循環位置依設備股共用規則（見頂年 </t>
    </r>
    <r>
      <rPr>
        <sz val="11"/>
        <rFont val="Cambria"/>
        <family val="0"/>
        <charset val="1"/>
      </rPr>
      <t xml:space="preserve">A 2029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2027 → FY2027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見頂）；舊法規則值三情境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 </t>
    </r>
    <r>
      <rPr>
        <sz val="11"/>
        <rFont val="Noto Sans CJK SC"/>
        <family val="2"/>
      </rPr>
      <t xml:space="preserve">加權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</si>
  <si>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未使用。公司不揭露混合鍵合營收、產品別營收、機台單價與產能，相關輸入皆為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</si>
  <si>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混合鍵合營收、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／邏輯拆分、機台單價與產出皆未揭露（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混合鍵合占比 </t>
    </r>
    <r>
      <rPr>
        <sz val="11"/>
        <rFont val="Cambria"/>
        <family val="0"/>
        <charset val="1"/>
      </rPr>
      <t xml:space="preserve">25% </t>
    </r>
    <r>
      <rPr>
        <sz val="11"/>
        <rFont val="Noto Sans CJK SC"/>
        <family val="2"/>
      </rPr>
      <t xml:space="preserve">決定 </t>
    </r>
    <r>
      <rPr>
        <sz val="11"/>
        <rFont val="Cambria"/>
        <family val="0"/>
        <charset val="1"/>
      </rPr>
      <t xml:space="preserve">k </t>
    </r>
    <r>
      <rPr>
        <sz val="11"/>
        <rFont val="Noto Sans CJK SC"/>
        <family val="2"/>
      </rPr>
      <t xml:space="preserve">與主流基期；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邏輯導入比例無資料，水準被 </t>
    </r>
    <r>
      <rPr>
        <sz val="11"/>
        <rFont val="Cambria"/>
        <family val="0"/>
        <charset val="1"/>
      </rPr>
      <t xml:space="preserve">k </t>
    </r>
    <r>
      <rPr>
        <sz val="11"/>
        <rFont val="Noto Sans CJK SC"/>
        <family val="2"/>
      </rPr>
      <t xml:space="preserve">吸收，只有斜率有作用；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以台積電 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需求代表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邏輯先進封裝規模（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），未含英特爾、消費性 </t>
    </r>
    <r>
      <rPr>
        <sz val="11"/>
        <rFont val="Cambria"/>
        <family val="0"/>
        <charset val="1"/>
      </rPr>
      <t xml:space="preserve">CPU</t>
    </r>
    <r>
      <rPr>
        <sz val="11"/>
        <rFont val="Noto Sans CJK SC"/>
        <family val="2"/>
      </rPr>
      <t xml:space="preserve">、共同封裝光學；</t>
    </r>
    <r>
      <rPr>
        <sz val="11"/>
        <rFont val="Cambria"/>
        <family val="0"/>
        <charset val="1"/>
      </rPr>
      <t xml:space="preserve">(4) HBM </t>
    </r>
    <r>
      <rPr>
        <sz val="11"/>
        <rFont val="Noto Sans CJK SC"/>
        <family val="2"/>
      </rPr>
      <t xml:space="preserve">混合鍵合比例與晶粒、層數沿用 </t>
    </r>
    <r>
      <rPr>
        <sz val="11"/>
        <rFont val="Cambria"/>
        <family val="0"/>
        <charset val="1"/>
      </rPr>
      <t xml:space="preserve">Disco </t>
    </r>
    <r>
      <rPr>
        <sz val="11"/>
        <rFont val="Noto Sans CJK SC"/>
        <family val="2"/>
      </rPr>
      <t xml:space="preserve">模型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，與韓美同進同退（方向相反）；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機台假設比產能早一年購入；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2016–2020 </t>
    </r>
    <r>
      <rPr>
        <sz val="11"/>
        <rFont val="Noto Sans CJK SC"/>
        <family val="2"/>
      </rPr>
      <t xml:space="preserve">只有一個來源、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只有一個來源；</t>
    </r>
    <r>
      <rPr>
        <sz val="11"/>
        <rFont val="Cambria"/>
        <family val="0"/>
        <charset val="1"/>
      </rPr>
      <t xml:space="preserve">(7) </t>
    </r>
    <r>
      <rPr>
        <sz val="11"/>
        <rFont val="Noto Sans CJK SC"/>
        <family val="2"/>
      </rPr>
      <t xml:space="preserve">每年 €</t>
    </r>
    <r>
      <rPr>
        <sz val="11"/>
        <rFont val="Cambria"/>
        <family val="0"/>
        <charset val="1"/>
      </rPr>
      <t xml:space="preserve">100M </t>
    </r>
    <r>
      <rPr>
        <sz val="11"/>
        <rFont val="Noto Sans CJK SC"/>
        <family val="2"/>
      </rPr>
      <t xml:space="preserve">回購與策略檢討（可能與應用材料合作）未建模。</t>
    </r>
  </si>
  <si>
    <r>
      <rPr>
        <sz val="11"/>
        <color theme="1"/>
        <rFont val="Noto Sans CJK SC"/>
        <family val="2"/>
      </rPr>
      <t xml:space="preserve">估值 </t>
    </r>
    <r>
      <rPr>
        <sz val="11"/>
        <color theme="1"/>
        <rFont val="Calibri"/>
        <family val="2"/>
        <charset val="1"/>
      </rPr>
      <t xml:space="preserve">v2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目標價」＝</t>
    </r>
    <r>
      <rPr>
        <sz val="11"/>
        <color theme="1"/>
        <rFont val="Calibri"/>
        <family val="2"/>
        <charset val="1"/>
      </rPr>
      <t xml:space="preserve">0.5 × DCF </t>
    </r>
    <r>
      <rPr>
        <sz val="11"/>
        <color theme="1"/>
        <rFont val="Noto Sans CJK SC"/>
        <family val="2"/>
      </rPr>
      <t xml:space="preserve">目標價（股東現金流＝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，情境權重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；負值取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0.5 × Comparable </t>
    </r>
    <r>
      <rPr>
        <sz val="11"/>
        <color theme="1"/>
        <rFont val="Noto Sans CJK SC"/>
        <family val="2"/>
      </rPr>
      <t xml:space="preserve">目標價（同業前瞻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）；另列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單獨目標價、市場共識目標價與差距拆解、歷史分位檢查。「舊法：規則值情境加權（參考）」不是目標價。</t>
    </r>
  </si>
  <si>
    <r>
      <rPr>
        <sz val="11"/>
        <color theme="1"/>
        <rFont val="Noto Sans CJK SC"/>
        <family val="2"/>
      </rPr>
      <t xml:space="preserve">預估期間延伸到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由驅動因子推導；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頁底部延伸區塊，灰底）。情境對應：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</si>
  <si>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sz val="11"/>
        <color theme="1"/>
        <rFont val="Calibri"/>
        <family val="2"/>
        <charset val="1"/>
      </rPr>
      <t xml:space="preserve">v0.1.1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頁最後新增「上檔空間級距」「投資建議」兩列（依「上檔空間：加權目標價」固定規則）；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頁最後新增投資建議與重點觀察三點。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</si>
  <si>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6.52 </t>
    </r>
    <r>
      <rPr>
        <sz val="11"/>
        <color theme="1"/>
        <rFont val="Noto Sans CJK SC"/>
        <family val="2"/>
      </rPr>
      <t xml:space="preserve">比共識前瞻 </t>
    </r>
    <r>
      <rPr>
        <sz val="11"/>
        <color theme="1"/>
        <rFont val="Calibri"/>
        <family val="2"/>
        <charset val="1"/>
      </rPr>
      <t xml:space="preserve">EPS 8.14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19.9%</t>
    </r>
    <r>
      <rPr>
        <sz val="11"/>
        <color theme="1"/>
        <rFont val="Noto Sans CJK SC"/>
        <family val="2"/>
      </rPr>
      <t xml:space="preserve">；共識目標價 </t>
    </r>
    <r>
      <rPr>
        <sz val="11"/>
        <color theme="1"/>
        <rFont val="Calibri"/>
        <family val="2"/>
        <charset val="1"/>
      </rPr>
      <t xml:space="preserve">270.57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33.2 </t>
    </r>
    <r>
      <rPr>
        <sz val="11"/>
        <color theme="1"/>
        <rFont val="Noto Sans CJK SC"/>
        <family val="2"/>
      </rPr>
      <t xml:space="preserve">倍，同業中位數 </t>
    </r>
    <r>
      <rPr>
        <sz val="11"/>
        <color theme="1"/>
        <rFont val="Calibri"/>
        <family val="2"/>
        <charset val="1"/>
      </rPr>
      <t xml:space="preserve">26.0 </t>
    </r>
    <r>
      <rPr>
        <sz val="11"/>
        <color theme="1"/>
        <rFont val="Noto Sans CJK SC"/>
        <family val="2"/>
      </rPr>
      <t xml:space="preserve">倍（倍數因素 </t>
    </r>
    <r>
      <rPr>
        <sz val="11"/>
        <color theme="1"/>
        <rFont val="Calibri"/>
        <family val="2"/>
        <charset val="1"/>
      </rPr>
      <t xml:space="preserve">+27.7%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</si>
  <si>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：最敏感的是邏輯（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類）混合鍵合導入速度：導入比例 </t>
    </r>
    <r>
      <rPr>
        <sz val="11"/>
        <color theme="1"/>
        <rFont val="Calibri"/>
        <family val="2"/>
        <charset val="1"/>
      </rPr>
      <t xml:space="preserve">×0.7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×1.3 </t>
    </r>
    <r>
      <rPr>
        <sz val="11"/>
        <color theme="1"/>
        <rFont val="Noto Sans CJK SC"/>
        <family val="2"/>
      </rPr>
      <t xml:space="preserve">使 </t>
    </r>
    <r>
      <rPr>
        <sz val="11"/>
        <color theme="1"/>
        <rFont val="Calibri"/>
        <family val="2"/>
        <charset val="1"/>
      </rPr>
      <t xml:space="preserve">FY2027 EPS −22.0%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+22.0%</t>
    </r>
    <r>
      <rPr>
        <sz val="11"/>
        <color theme="1"/>
        <rFont val="Noto Sans CJK SC"/>
        <family val="2"/>
      </rPr>
      <t xml:space="preserve">，改走情境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 −</t>
    </r>
    <r>
      <rPr>
        <sz val="11"/>
        <color theme="1"/>
        <rFont val="Calibri"/>
        <family val="2"/>
        <charset val="1"/>
      </rPr>
      <t xml:space="preserve">12.2%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混合鍵合取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低值 −</t>
    </r>
    <r>
      <rPr>
        <sz val="11"/>
        <color theme="1"/>
        <rFont val="Calibri"/>
        <family val="2"/>
        <charset val="1"/>
      </rPr>
      <t xml:space="preserve">7.2%</t>
    </r>
    <r>
      <rPr>
        <sz val="11"/>
        <color theme="1"/>
        <rFont val="Noto Sans CJK SC"/>
        <family val="2"/>
      </rPr>
      <t xml:space="preserve">。下一個檢驗事件是 </t>
    </r>
    <r>
      <rPr>
        <sz val="11"/>
        <color theme="1"/>
        <rFont val="Calibri"/>
        <family val="2"/>
        <charset val="1"/>
      </rPr>
      <t xml:space="preserve">Q4-26 </t>
    </r>
    <r>
      <rPr>
        <sz val="11"/>
        <color theme="1"/>
        <rFont val="Noto Sans CJK SC"/>
        <family val="2"/>
      </rPr>
      <t xml:space="preserve">財報（約 </t>
    </r>
    <r>
      <rPr>
        <sz val="11"/>
        <color theme="1"/>
        <rFont val="Calibri"/>
        <family val="2"/>
        <charset val="1"/>
      </rPr>
      <t xml:space="preserve">2027-02 </t>
    </r>
    <r>
      <rPr>
        <sz val="11"/>
        <color theme="1"/>
        <rFont val="Noto Sans CJK SC"/>
        <family val="2"/>
      </rPr>
      <t xml:space="preserve">下旬）的混合鍵合訂單（</t>
    </r>
    <r>
      <rPr>
        <sz val="11"/>
        <color theme="1"/>
        <rFont val="Calibri"/>
        <family val="2"/>
        <charset val="1"/>
      </rPr>
      <t xml:space="preserve">Q3-26 </t>
    </r>
    <r>
      <rPr>
        <sz val="11"/>
        <color theme="1"/>
        <rFont val="Noto Sans CJK SC"/>
        <family val="2"/>
      </rPr>
      <t xml:space="preserve">訂單 €</t>
    </r>
    <r>
      <rPr>
        <sz val="11"/>
        <color theme="1"/>
        <rFont val="Calibri"/>
        <family val="2"/>
        <charset val="1"/>
      </rPr>
      <t xml:space="preserve">342.6M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</si>
  <si>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</si>
  <si>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2026-10-31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</si>
  <si>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）。金額：百萬歐元（€</t>
    </r>
    <r>
      <rPr>
        <sz val="11"/>
        <color theme="1"/>
        <rFont val="Calibri"/>
        <family val="2"/>
        <charset val="1"/>
      </rPr>
      <t xml:space="preserve">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位元：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；晶粒：百萬顆；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：千片。每個輸入附兩個來源（來源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找不到者寫「未找到」）。【</t>
    </r>
    <r>
      <rPr>
        <sz val="11"/>
        <color theme="1"/>
        <rFont val="Calibri"/>
        <family val="2"/>
        <charset val="1"/>
      </rPr>
      <t xml:space="preserve">v0.1.2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</si>
  <si>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給低／高區間，不當點估計（放情境或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未使用。公司（</t>
    </r>
    <r>
      <rPr>
        <sz val="11"/>
        <color theme="1"/>
        <rFont val="Calibri"/>
        <family val="2"/>
        <charset val="1"/>
      </rPr>
      <t xml:space="preserve">besi.com</t>
    </r>
    <r>
      <rPr>
        <sz val="11"/>
        <color theme="1"/>
        <rFont val="Noto Sans CJK SC"/>
        <family val="2"/>
      </rPr>
      <t xml:space="preserve">）只給下一季指引，不揭露混合鍵合營收、產品別營收與機台單價；實績取自公司新聞稿（</t>
    </r>
    <r>
      <rPr>
        <sz val="11"/>
        <color theme="1"/>
        <rFont val="Calibri"/>
        <family val="2"/>
        <charset val="1"/>
      </rPr>
      <t xml:space="preserve">GlobeNewswire </t>
    </r>
    <r>
      <rPr>
        <sz val="11"/>
        <color theme="1"/>
        <rFont val="Noto Sans CJK SC"/>
        <family val="2"/>
      </rPr>
      <t xml:space="preserve">轉載）與財務資料頁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</si>
  <si>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</si>
  <si>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</si>
  <si>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</si>
  <si>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</si>
  <si>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</si>
  <si>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</si>
  <si>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</si>
  <si>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</si>
  <si>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</si>
  <si>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HBM </t>
    </r>
    <r>
      <rPr>
        <b val="true"/>
        <sz val="11"/>
        <rFont val="Noto Sans CJK SC"/>
        <family val="2"/>
      </rPr>
      <t xml:space="preserve">出貨位元（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，經 </t>
    </r>
    <r>
      <rPr>
        <b val="true"/>
        <sz val="11"/>
        <rFont val="Cambria"/>
        <family val="0"/>
        <charset val="1"/>
      </rPr>
      <t xml:space="preserve">SK </t>
    </r>
    <r>
      <rPr>
        <b val="true"/>
        <sz val="11"/>
        <rFont val="Noto Sans CJK SC"/>
        <family val="2"/>
      </rPr>
      <t xml:space="preserve">海力士模型成品 </t>
    </r>
    <r>
      <rPr>
        <b val="true"/>
        <sz val="11"/>
        <rFont val="Cambria"/>
        <family val="0"/>
        <charset val="1"/>
      </rPr>
      <t xml:space="preserve">Mkt </t>
    </r>
    <r>
      <rPr>
        <b val="true"/>
        <sz val="11"/>
        <rFont val="Noto Sans CJK SC"/>
        <family val="2"/>
      </rPr>
      <t xml:space="preserve">頁；情境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各一列，讀同字母；唯讀）</t>
    </r>
  </si>
  <si>
    <t xml:space="preserve">hsA_25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</si>
  <si>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</si>
  <si>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EB</t>
  </si>
  <si>
    <t xml:space="preserve">Derived</t>
  </si>
  <si>
    <r>
      <rPr>
        <sz val="11"/>
        <color theme="1"/>
        <rFont val="Calibri"/>
        <family val="2"/>
        <charset val="1"/>
      </rPr>
      <t xml:space="preserve">skhynix/dist/20261030_SK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Mkt!C24:G24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</si>
  <si>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 </t>
    </r>
    <r>
      <rPr>
        <sz val="11"/>
        <color theme="1"/>
        <rFont val="Calibri"/>
        <family val="2"/>
        <charset val="1"/>
      </rPr>
      <t xml:space="preserve">SCEN_UNITS,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隨情境，</t>
    </r>
    <r>
      <rPr>
        <sz val="11"/>
        <color theme="1"/>
        <rFont val="Calibri"/>
        <family val="2"/>
        <charset val="1"/>
      </rPr>
      <t xml:space="preserve">2025–27 </t>
    </r>
    <r>
      <rPr>
        <sz val="11"/>
        <color theme="1"/>
        <rFont val="Noto Sans CJK SC"/>
        <family val="2"/>
      </rPr>
      <t xml:space="preserve">三情境相同</t>
    </r>
  </si>
  <si>
    <t xml:space="preserve">hsA_26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</si>
  <si>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</si>
  <si>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同上</t>
  </si>
  <si>
    <t xml:space="preserve">hsA_27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</si>
  <si>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</si>
  <si>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</si>
  <si>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</si>
  <si>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</si>
  <si>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</si>
  <si>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hsB_25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</si>
  <si>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</si>
  <si>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skhynix/dist/20261030_SK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Mkt!C25:G25</t>
    </r>
  </si>
  <si>
    <t xml:space="preserve">hsB_26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</si>
  <si>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</si>
  <si>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</si>
  <si>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</si>
  <si>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</si>
  <si>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</si>
  <si>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</si>
  <si>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</si>
  <si>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hsC_25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</si>
  <si>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</si>
  <si>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skhynix/dist/20261030_SK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Mkt!C26:G26</t>
    </r>
  </si>
  <si>
    <t xml:space="preserve">hsC_26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</si>
  <si>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</si>
  <si>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</si>
  <si>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</si>
  <si>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</si>
  <si>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</si>
  <si>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</si>
  <si>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</si>
  <si>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g_tail</t>
  </si>
  <si>
    <r>
      <rPr>
        <sz val="11"/>
        <color theme="1"/>
        <rFont val="Calibri"/>
        <family val="2"/>
        <charset val="1"/>
      </rPr>
      <t xml:space="preserve">CY2030 </t>
    </r>
    <r>
      <rPr>
        <sz val="11"/>
        <color theme="1"/>
        <rFont val="Noto Sans CJK SC"/>
        <family val="2"/>
      </rPr>
      <t xml:space="preserve">需求相對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的年增（市場層只到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；只用於 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的機台購買）</t>
    </r>
  </si>
  <si>
    <t xml:space="preserve">%</t>
  </si>
  <si>
    <t xml:space="preserve">Assumed</t>
  </si>
  <si>
    <r>
      <rPr>
        <sz val="11"/>
        <color theme="1"/>
        <rFont val="Calibri"/>
        <family val="2"/>
        <charset val="1"/>
      </rPr>
      <t xml:space="preserve">disco/dist/20261031_Disco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In!D51:F51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</si>
  <si>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、韓美模型的 </t>
    </r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同值（讀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成品）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</si>
  <si>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晶粒、堆疊層數與混合鍵合比例（與 </t>
    </r>
    <r>
      <rPr>
        <b val="true"/>
        <sz val="11"/>
        <rFont val="Cambria"/>
        <family val="0"/>
        <charset val="1"/>
      </rPr>
      <t xml:space="preserve">Disco</t>
    </r>
    <r>
      <rPr>
        <b val="true"/>
        <sz val="11"/>
        <rFont val="Noto Sans CJK SC"/>
        <family val="2"/>
      </rPr>
      <t xml:space="preserve">、韓美模型同一組假設，讀 </t>
    </r>
    <r>
      <rPr>
        <b val="true"/>
        <sz val="11"/>
        <rFont val="Cambria"/>
        <family val="0"/>
        <charset val="1"/>
      </rPr>
      <t xml:space="preserve">Disco </t>
    </r>
    <r>
      <rPr>
        <b val="true"/>
        <sz val="11"/>
        <rFont val="Noto Sans CJK SC"/>
        <family val="2"/>
      </rPr>
      <t xml:space="preserve">成品；唯讀）</t>
    </r>
  </si>
  <si>
    <t xml:space="preserve">den_25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</si>
  <si>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</si>
  <si>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</si>
  <si>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SIF_hbm_den_25</t>
    </r>
  </si>
  <si>
    <t xml:space="preserve">與韓美同一口徑：每顆核心晶粒鍵合一次；容量愈大，同樣位元的鍵合次數愈少</t>
  </si>
  <si>
    <t xml:space="preserve">den_26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</si>
  <si>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</si>
  <si>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SIF_hbm_den_26</t>
    </r>
  </si>
  <si>
    <t xml:space="preserve">den_27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</si>
  <si>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</si>
  <si>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SIF_hbm_den_27</t>
    </r>
  </si>
  <si>
    <t xml:space="preserve">den_28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</si>
  <si>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</si>
  <si>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SIF_hbm_den_28</t>
    </r>
  </si>
  <si>
    <t xml:space="preserve">den_29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</si>
  <si>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</si>
  <si>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SIF_hbm_den_29</t>
    </r>
  </si>
  <si>
    <t xml:space="preserve">den_30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</si>
  <si>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2030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</si>
  <si>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SIF_hbm_den_30</t>
    </r>
  </si>
  <si>
    <t xml:space="preserve">stk_25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</si>
  <si>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2025</t>
    </r>
  </si>
  <si>
    <t xml:space="preserve">層</t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</si>
  <si>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SIF_hbm_stk_25</t>
    </r>
  </si>
  <si>
    <r>
      <rPr>
        <sz val="11"/>
        <color theme="1"/>
        <rFont val="Noto Sans CJK SC"/>
        <family val="2"/>
      </rPr>
      <t xml:space="preserve">層數愈高，每顆晶粒的鍵合精度要求與時間愈高（見 </t>
    </r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）</t>
    </r>
  </si>
  <si>
    <t xml:space="preserve">stk_26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</si>
  <si>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</si>
  <si>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SIF_hbm_stk_26</t>
    </r>
  </si>
  <si>
    <t xml:space="preserve">stk_27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</si>
  <si>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</si>
  <si>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SIF_hbm_stk_27</t>
    </r>
  </si>
  <si>
    <t xml:space="preserve">stk_28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</si>
  <si>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</si>
  <si>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SIF_hbm_stk_28</t>
    </r>
  </si>
  <si>
    <t xml:space="preserve">stk_29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</si>
  <si>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</si>
  <si>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SIF_hbm_stk_29</t>
    </r>
  </si>
  <si>
    <t xml:space="preserve">stk_30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</si>
  <si>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2030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</si>
  <si>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SIF_hbm_stk_30</t>
    </r>
  </si>
  <si>
    <t xml:space="preserve">beta</t>
  </si>
  <si>
    <r>
      <rPr>
        <sz val="11"/>
        <color theme="1"/>
        <rFont val="Noto Sans CJK SC"/>
        <family val="2"/>
      </rPr>
      <t xml:space="preserve">堆疊層數對每顆晶粒鍵合時間的影響（每多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層，鍵合時間 </t>
    </r>
    <r>
      <rPr>
        <sz val="11"/>
        <color theme="1"/>
        <rFont val="Calibri"/>
        <family val="2"/>
        <charset val="1"/>
      </rPr>
      <t xml:space="preserve">+beta</t>
    </r>
    <r>
      <rPr>
        <sz val="11"/>
        <color theme="1"/>
        <rFont val="Noto Sans CJK SC"/>
        <family val="2"/>
      </rPr>
      <t xml:space="preserve">）</t>
    </r>
  </si>
  <si>
    <t xml:space="preserve">x</t>
  </si>
  <si>
    <r>
      <rPr>
        <sz val="11"/>
        <color theme="1"/>
        <rFont val="Noto Sans CJK SC"/>
        <family val="2"/>
      </rPr>
      <t xml:space="preserve">與韓美模型同值（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）：層數加權＝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beta×(</t>
    </r>
    <r>
      <rPr>
        <sz val="11"/>
        <color theme="1"/>
        <rFont val="Noto Sans CJK SC"/>
        <family val="2"/>
      </rPr>
      <t xml:space="preserve">層數 −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層數</t>
    </r>
    <r>
      <rPr>
        <sz val="11"/>
        <color theme="1"/>
        <rFont val="Calibri"/>
        <family val="2"/>
        <charset val="1"/>
      </rPr>
      <t xml:space="preserve">)÷4</t>
    </r>
  </si>
  <si>
    <t xml:space="preserve">第二來源：未找到</t>
  </si>
  <si>
    <t xml:space="preserve">hbp_25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</si>
  <si>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</si>
  <si>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SIF_hbm_hbp_25</t>
    </r>
  </si>
  <si>
    <r>
      <rPr>
        <sz val="11"/>
        <color theme="1"/>
        <rFont val="Noto Sans CJK SC"/>
        <family val="2"/>
      </rPr>
      <t xml:space="preserve">與韓美模型同一比例（韓美用 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此比例）。本模型：情境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取高值、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取基準、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取低值（對 </t>
    </r>
    <r>
      <rPr>
        <sz val="11"/>
        <color theme="1"/>
        <rFont val="Calibri"/>
        <family val="2"/>
        <charset val="1"/>
      </rPr>
      <t xml:space="preserve">BESI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最不利）；公司 </t>
    </r>
    <r>
      <rPr>
        <sz val="11"/>
        <color theme="1"/>
        <rFont val="Calibri"/>
        <family val="2"/>
        <charset val="1"/>
      </rPr>
      <t xml:space="preserve">Q3-26 </t>
    </r>
    <r>
      <rPr>
        <sz val="11"/>
        <color theme="1"/>
        <rFont val="Noto Sans CJK SC"/>
        <family val="2"/>
      </rPr>
      <t xml:space="preserve">法說：記憶體短缺使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混合鍵合導入延後、現行層數延長（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</si>
  <si>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hbp_26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</si>
  <si>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</si>
  <si>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SIF_hbm_hbp_26</t>
    </r>
  </si>
  <si>
    <t xml:space="preserve">hbp_27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</si>
  <si>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</si>
  <si>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SIF_hbm_hbp_27</t>
    </r>
  </si>
  <si>
    <t xml:space="preserve">hbp_28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</si>
  <si>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</si>
  <si>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SIF_hbm_hbp_28</t>
    </r>
  </si>
  <si>
    <t xml:space="preserve">hbp_29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</si>
  <si>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</si>
  <si>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SIF_hbm_hbp_29</t>
    </r>
  </si>
  <si>
    <t xml:space="preserve">hbp_30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</si>
  <si>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</si>
  <si>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SIF_hbm_hbp_30</t>
    </r>
  </si>
  <si>
    <t xml:space="preserve">dlt</t>
  </si>
  <si>
    <t xml:space="preserve">已裝機鍵合產能每年汰換／升級比例（新機需求＝產能增量＋汰換）</t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</si>
  <si>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</si>
  <si>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、韓美模型同值（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</si>
  <si>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公司不揭露裝機量與機齡；精度由 </t>
    </r>
    <r>
      <rPr>
        <sz val="11"/>
        <color theme="1"/>
        <rFont val="Calibri"/>
        <family val="2"/>
        <charset val="1"/>
      </rPr>
      <t xml:space="preserve">100nm→50nm→25nm </t>
    </r>
    <r>
      <rPr>
        <sz val="11"/>
        <color theme="1"/>
        <rFont val="Noto Sans CJK SC"/>
        <family val="2"/>
      </rPr>
      <t xml:space="preserve">換代（</t>
    </r>
    <r>
      <rPr>
        <sz val="11"/>
        <color theme="1"/>
        <rFont val="Calibri"/>
        <family val="2"/>
        <charset val="1"/>
      </rPr>
      <t xml:space="preserve">Q3-26 </t>
    </r>
    <r>
      <rPr>
        <sz val="11"/>
        <color theme="1"/>
        <rFont val="Noto Sans CJK SC"/>
        <family val="2"/>
      </rPr>
      <t xml:space="preserve">法說）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</si>
  <si>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邏輯混合鍵合（</t>
    </r>
    <r>
      <rPr>
        <b val="true"/>
        <sz val="11"/>
        <rFont val="Cambria"/>
        <family val="0"/>
        <charset val="1"/>
      </rPr>
      <t xml:space="preserve">SoIC </t>
    </r>
    <r>
      <rPr>
        <b val="true"/>
        <sz val="11"/>
        <rFont val="Noto Sans CJK SC"/>
        <family val="2"/>
      </rPr>
      <t xml:space="preserve">等）：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先進封裝晶圓需求（台積電模型成品，基準路徑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同字母情境顆數係數；唯讀）</t>
    </r>
  </si>
  <si>
    <t xml:space="preserve">cow_26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</si>
  <si>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晶圓需求合計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（基準路徑）</t>
    </r>
  </si>
  <si>
    <t xml:space="preserve">千片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</si>
  <si>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CoWoS!B13:E13</t>
    </r>
  </si>
  <si>
    <r>
      <rPr>
        <sz val="11"/>
        <color theme="1"/>
        <rFont val="Noto Sans CJK SC"/>
        <family val="2"/>
      </rPr>
      <t xml:space="preserve">台積電模型：加速器顆數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每片封裝數＋其他用途；本模型以此代表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邏輯先進封裝的規模（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晶圓與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同步）</t>
    </r>
  </si>
  <si>
    <t xml:space="preserve">cow_27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</si>
  <si>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晶圓需求合計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（基準路徑）</t>
    </r>
  </si>
  <si>
    <t xml:space="preserve">cow_28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</si>
  <si>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晶圓需求合計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（基準路徑）</t>
    </r>
  </si>
  <si>
    <t xml:space="preserve">cow_29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</si>
  <si>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晶圓需求合計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（基準路徑）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</si>
  <si>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</si>
  <si>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基準（台積電模型情境顆數係數）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</si>
  <si>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In!D37:F37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</si>
  <si>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markets/memory SCEN_UNITS </t>
    </r>
    <r>
      <rPr>
        <sz val="11"/>
        <color theme="1"/>
        <rFont val="Noto Sans CJK SC"/>
        <family val="2"/>
      </rPr>
      <t xml:space="preserve">同一套；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無情境差異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</si>
  <si>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</si>
  <si>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基準（台積電模型情境顆數係數）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</si>
  <si>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In!D38:F38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</si>
  <si>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</si>
  <si>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基準（台積電模型情境顆數係數）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</si>
  <si>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In!D39:F39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</si>
  <si>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</si>
  <si>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基準（台積電模型情境顆數係數）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</si>
  <si>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In!D40:F40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</si>
  <si>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</si>
  <si>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基準（台積電模型情境顆數係數）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</si>
  <si>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In!D41:F41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</si>
  <si>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</si>
  <si>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基準（台積電模型情境顆數係數）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</si>
  <si>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In!D42:F42</t>
    </r>
  </si>
  <si>
    <t xml:space="preserve">attA_26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</si>
  <si>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</si>
  <si>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無直接資料：公司稱邏輯混合鍵合加速（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、資料中心與消費性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新品，</t>
    </r>
    <r>
      <rPr>
        <sz val="11"/>
        <color theme="1"/>
        <rFont val="Calibri"/>
        <family val="2"/>
        <charset val="1"/>
      </rPr>
      <t xml:space="preserve">Q2-26 </t>
    </r>
    <r>
      <rPr>
        <sz val="11"/>
        <color theme="1"/>
        <rFont val="Noto Sans CJK SC"/>
        <family val="2"/>
      </rPr>
      <t xml:space="preserve">新聞稿；美國邏輯客戶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年裝機、明年擴產，</t>
    </r>
    <r>
      <rPr>
        <sz val="11"/>
        <color theme="1"/>
        <rFont val="Calibri"/>
        <family val="2"/>
        <charset val="1"/>
      </rPr>
      <t xml:space="preserve">Q3-26 </t>
    </r>
    <r>
      <rPr>
        <sz val="11"/>
        <color theme="1"/>
        <rFont val="Noto Sans CJK SC"/>
        <family val="2"/>
      </rPr>
      <t xml:space="preserve">法說；邏輯大客戶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條整合產線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台，</t>
    </r>
    <r>
      <rPr>
        <sz val="11"/>
        <color theme="1"/>
        <rFont val="Calibri"/>
        <family val="2"/>
        <charset val="1"/>
      </rPr>
      <t xml:space="preserve">Q4-25 </t>
    </r>
    <r>
      <rPr>
        <sz val="11"/>
        <color theme="1"/>
        <rFont val="Noto Sans CJK SC"/>
        <family val="2"/>
      </rPr>
      <t xml:space="preserve">新聞稿）</t>
    </r>
  </si>
  <si>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三情境相同（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產能的機台多在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下單，視為已知）；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導入最快、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最慢；低／高＝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×0.7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×1.3</t>
    </r>
    <r>
      <rPr>
        <sz val="11"/>
        <color theme="1"/>
        <rFont val="Noto Sans CJK SC"/>
        <family val="2"/>
      </rPr>
      <t xml:space="preserve">。比例的水準被校準係數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吸收，只有變化才影響營收</t>
    </r>
  </si>
  <si>
    <t xml:space="preserve">attA_27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</si>
  <si>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</si>
  <si>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</si>
  <si>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attA_28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</si>
  <si>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</si>
  <si>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attA_29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</si>
  <si>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</si>
  <si>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attA_30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</si>
  <si>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</si>
  <si>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attB_26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</si>
  <si>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</si>
  <si>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attB_27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</si>
  <si>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</si>
  <si>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attB_28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</si>
  <si>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</si>
  <si>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attB_29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</si>
  <si>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</si>
  <si>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attB_30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</si>
  <si>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</si>
  <si>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attC_26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</si>
  <si>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</si>
  <si>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attC_27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</si>
  <si>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</si>
  <si>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attC_28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</si>
  <si>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</si>
  <si>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attC_29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</si>
  <si>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</si>
  <si>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attC_30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</si>
  <si>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</si>
  <si>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混合鍵合機台（公司不揭露單價與產能；皆為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</si>
  <si>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t xml:space="preserve">uph</t>
  </si>
  <si>
    <t xml:space="preserve">混合鍵合機有效產出（晶粒／小時）</t>
  </si>
  <si>
    <t xml:space="preserve">顆／時</t>
  </si>
  <si>
    <r>
      <rPr>
        <sz val="11"/>
        <color theme="1"/>
        <rFont val="Noto Sans CJK SC"/>
        <family val="2"/>
      </rPr>
      <t xml:space="preserve">公司產品頁：</t>
    </r>
    <r>
      <rPr>
        <sz val="11"/>
        <color theme="1"/>
        <rFont val="Calibri"/>
        <family val="2"/>
        <charset val="1"/>
      </rPr>
      <t xml:space="preserve">Datacon 8800 CHAMEO ultra plus AC </t>
    </r>
    <r>
      <rPr>
        <sz val="11"/>
        <color theme="1"/>
        <rFont val="Noto Sans CJK SC"/>
        <family val="2"/>
      </rPr>
      <t xml:space="preserve">乾循環最高 </t>
    </r>
    <r>
      <rPr>
        <sz val="11"/>
        <color theme="1"/>
        <rFont val="Calibri"/>
        <family val="2"/>
        <charset val="1"/>
      </rPr>
      <t xml:space="preserve">2,000 CPH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）；實際產出低於乾循環</t>
    </r>
  </si>
  <si>
    <t xml:space="preserve">util</t>
  </si>
  <si>
    <r>
      <rPr>
        <sz val="11"/>
        <color theme="1"/>
        <rFont val="Noto Sans CJK SC"/>
        <family val="2"/>
      </rPr>
      <t xml:space="preserve">機台稼動率（全年小時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比例）</t>
    </r>
  </si>
  <si>
    <r>
      <rPr>
        <sz val="11"/>
        <color theme="1"/>
        <rFont val="Noto Sans CJK SC"/>
        <family val="2"/>
      </rPr>
      <t xml:space="preserve">無：後段設備常見 </t>
    </r>
    <r>
      <rPr>
        <sz val="11"/>
        <color theme="1"/>
        <rFont val="Calibri"/>
        <family val="2"/>
        <charset val="1"/>
      </rPr>
      <t xml:space="preserve">60–80%</t>
    </r>
  </si>
  <si>
    <t xml:space="preserve">thr</t>
  </si>
  <si>
    <r>
      <rPr>
        <sz val="11"/>
        <color theme="1"/>
        <rFont val="Noto Sans CJK SC"/>
        <family val="2"/>
      </rPr>
      <t xml:space="preserve">每台年產能（百萬顆晶粒）＝</t>
    </r>
    <r>
      <rPr>
        <sz val="11"/>
        <color theme="1"/>
        <rFont val="Calibri"/>
        <family val="2"/>
        <charset val="1"/>
      </rPr>
      <t xml:space="preserve">uph × 8760 × util ÷ 10⁶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</si>
  <si>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百萬顆／台</t>
  </si>
  <si>
    <t xml:space="preserve">asp</t>
  </si>
  <si>
    <r>
      <rPr>
        <sz val="11"/>
        <color theme="1"/>
        <rFont val="Noto Sans CJK SC"/>
        <family val="2"/>
      </rPr>
      <t xml:space="preserve">混合鍵合機單價（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用；只用於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段）</t>
    </r>
  </si>
  <si>
    <r>
      <rPr>
        <sz val="11"/>
        <color theme="1"/>
        <rFont val="Calibri"/>
        <family val="2"/>
        <charset val="1"/>
      </rPr>
      <t xml:space="preserve">€M</t>
    </r>
    <r>
      <rPr>
        <sz val="11"/>
        <color theme="1"/>
        <rFont val="Noto Sans CJK SC"/>
        <family val="2"/>
      </rPr>
      <t xml:space="preserve">／台</t>
    </r>
  </si>
  <si>
    <r>
      <rPr>
        <sz val="11"/>
        <color theme="1"/>
        <rFont val="Noto Sans CJK SC"/>
        <family val="2"/>
      </rPr>
      <t xml:space="preserve">公司不揭露（</t>
    </r>
    <r>
      <rPr>
        <sz val="11"/>
        <color theme="1"/>
        <rFont val="Calibri"/>
        <family val="2"/>
        <charset val="1"/>
      </rPr>
      <t xml:space="preserve">Q3-26 </t>
    </r>
    <r>
      <rPr>
        <sz val="11"/>
        <color theme="1"/>
        <rFont val="Noto Sans CJK SC"/>
        <family val="2"/>
      </rPr>
      <t xml:space="preserve">法說：未給 </t>
    </r>
    <r>
      <rPr>
        <sz val="11"/>
        <color theme="1"/>
        <rFont val="Calibri"/>
        <family val="2"/>
        <charset val="1"/>
      </rPr>
      <t xml:space="preserve">ASP</t>
    </r>
    <r>
      <rPr>
        <sz val="11"/>
        <color theme="1"/>
        <rFont val="Noto Sans CJK SC"/>
        <family val="2"/>
      </rPr>
      <t xml:space="preserve">）；隱含檢查：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混合鍵合營收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累計訂單 </t>
    </r>
    <r>
      <rPr>
        <sz val="11"/>
        <color theme="1"/>
        <rFont val="Calibri"/>
        <family val="2"/>
        <charset val="1"/>
      </rPr>
      <t xml:space="preserve">150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年底）→ </t>
    </r>
    <r>
      <rPr>
        <sz val="11"/>
        <color theme="1"/>
        <rFont val="Calibri"/>
        <family val="2"/>
        <charset val="1"/>
      </rPr>
      <t xml:space="preserve">215</t>
    </r>
    <r>
      <rPr>
        <sz val="11"/>
        <color theme="1"/>
        <rFont val="Noto Sans CJK SC"/>
        <family val="2"/>
      </rPr>
      <t xml:space="preserve">＋台（</t>
    </r>
    <r>
      <rPr>
        <sz val="11"/>
        <color theme="1"/>
        <rFont val="Calibri"/>
        <family val="2"/>
        <charset val="1"/>
      </rPr>
      <t xml:space="preserve">Q3-26</t>
    </r>
    <r>
      <rPr>
        <sz val="11"/>
        <color theme="1"/>
        <rFont val="Noto Sans CJK SC"/>
        <family val="2"/>
      </rPr>
      <t xml:space="preserve">），見 </t>
    </r>
    <r>
      <rPr>
        <sz val="11"/>
        <color theme="1"/>
        <rFont val="Calibri"/>
        <family val="2"/>
        <charset val="1"/>
      </rPr>
      <t xml:space="preserve">Recon</t>
    </r>
  </si>
  <si>
    <t xml:space="preserve">shm_A</t>
  </si>
  <si>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混合鍵合機採購（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</si>
  <si>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無份額資料：競爭者韓美（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年混合鍵合工廠）、韓華 </t>
    </r>
    <r>
      <rPr>
        <sz val="11"/>
        <color theme="1"/>
        <rFont val="Calibri"/>
        <family val="2"/>
        <charset val="1"/>
      </rPr>
      <t xml:space="preserve">Semitech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SEMES</t>
    </r>
    <r>
      <rPr>
        <sz val="11"/>
        <color theme="1"/>
        <rFont val="Noto Sans CJK SC"/>
        <family val="2"/>
      </rPr>
      <t xml:space="preserve">（三星）、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與應用材料整合方案（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：公司稱 </t>
    </r>
    <r>
      <rPr>
        <sz val="11"/>
        <color theme="1"/>
        <rFont val="Calibri"/>
        <family val="2"/>
        <charset val="1"/>
      </rPr>
      <t xml:space="preserve">HBM4E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HBM5 </t>
    </r>
    <r>
      <rPr>
        <sz val="11"/>
        <color theme="1"/>
        <rFont val="Noto Sans CJK SC"/>
        <family val="2"/>
      </rPr>
      <t xml:space="preserve">採用混合鍵合）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</si>
  <si>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</si>
  <si>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shm_B</t>
  </si>
  <si>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混合鍵合機採購（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</si>
  <si>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shm_C</t>
  </si>
  <si>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混合鍵合機採購（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</si>
  <si>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shl_A</t>
  </si>
  <si>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邏輯混合鍵合份額，相對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</si>
  <si>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份額已含在校準係數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；之後 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Kulicke &amp; Soffa</t>
    </r>
    <r>
      <rPr>
        <sz val="11"/>
        <color theme="1"/>
        <rFont val="Noto Sans CJK SC"/>
        <family val="2"/>
      </rPr>
      <t xml:space="preserve">、韓美、</t>
    </r>
    <r>
      <rPr>
        <sz val="11"/>
        <color theme="1"/>
        <rFont val="Calibri"/>
        <family val="2"/>
        <charset val="1"/>
      </rPr>
      <t xml:space="preserve">ASML</t>
    </r>
    <r>
      <rPr>
        <sz val="11"/>
        <color theme="1"/>
        <rFont val="Noto Sans CJK SC"/>
        <family val="2"/>
      </rPr>
      <t xml:space="preserve">（公司稱非競爭者，</t>
    </r>
    <r>
      <rPr>
        <sz val="11"/>
        <color theme="1"/>
        <rFont val="Calibri"/>
        <family val="2"/>
        <charset val="1"/>
      </rPr>
      <t xml:space="preserve">Q3-26 </t>
    </r>
    <r>
      <rPr>
        <sz val="11"/>
        <color theme="1"/>
        <rFont val="Noto Sans CJK SC"/>
        <family val="2"/>
      </rPr>
      <t xml:space="preserve">法說，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）可能搶份額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</si>
  <si>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守住、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流失兩成（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</si>
  <si>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shl_B</t>
  </si>
  <si>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邏輯混合鍵合份額，相對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</si>
  <si>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shl_C</t>
  </si>
  <si>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邏輯混合鍵合份額，相對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</si>
  <si>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錨點（前三季實績＋第四季公司指引）與混合鍵合營收拆分</t>
    </r>
  </si>
  <si>
    <t xml:space="preserve">q4g</t>
  </si>
  <si>
    <r>
      <rPr>
        <sz val="11"/>
        <color theme="1"/>
        <rFont val="Noto Sans CJK SC"/>
        <family val="2"/>
      </rPr>
      <t xml:space="preserve">第四季營收相對第三季（公司指引 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～＋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）</t>
    </r>
  </si>
  <si>
    <t xml:space="preserve">Interested-party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</si>
  <si>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Q3-26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）：第四季營收持平 </t>
    </r>
    <r>
      <rPr>
        <sz val="11"/>
        <color theme="1"/>
        <rFont val="Calibri"/>
        <family val="2"/>
        <charset val="1"/>
      </rPr>
      <t xml:space="preserve">±5%</t>
    </r>
    <r>
      <rPr>
        <sz val="11"/>
        <color theme="1"/>
        <rFont val="Noto Sans CJK SC"/>
        <family val="2"/>
      </rPr>
      <t xml:space="preserve">（交貨時點，非需求轉弱）</t>
    </r>
  </si>
  <si>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簡報摘要、</t>
    </r>
    <r>
      <rPr>
        <sz val="11"/>
        <color theme="1"/>
        <rFont val="Calibri"/>
        <family val="2"/>
        <charset val="1"/>
      </rPr>
      <t xml:space="preserve">gurufocus </t>
    </r>
    <r>
      <rPr>
        <sz val="11"/>
        <color theme="1"/>
        <rFont val="Noto Sans CJK SC"/>
        <family val="2"/>
      </rPr>
      <t xml:space="preserve">法說摘要同</t>
    </r>
  </si>
  <si>
    <t xml:space="preserve">q4gm</t>
  </si>
  <si>
    <r>
      <rPr>
        <sz val="11"/>
        <color theme="1"/>
        <rFont val="Noto Sans CJK SC"/>
        <family val="2"/>
      </rPr>
      <t xml:space="preserve">第四季毛利率（公司指引 </t>
    </r>
    <r>
      <rPr>
        <sz val="11"/>
        <color theme="1"/>
        <rFont val="Calibri"/>
        <family val="2"/>
        <charset val="1"/>
      </rPr>
      <t xml:space="preserve">63–65%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</si>
  <si>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第三季 </t>
    </r>
    <r>
      <rPr>
        <sz val="11"/>
        <color theme="1"/>
        <rFont val="Calibri"/>
        <family val="2"/>
        <charset val="1"/>
      </rPr>
      <t xml:space="preserve">65.2%</t>
    </r>
  </si>
  <si>
    <t xml:space="preserve">q4opx</t>
  </si>
  <si>
    <r>
      <rPr>
        <sz val="11"/>
        <color theme="1"/>
        <rFont val="Noto Sans CJK SC"/>
        <family val="2"/>
      </rPr>
      <t xml:space="preserve">第四季營業費用相對第三季（指引 </t>
    </r>
    <r>
      <rPr>
        <sz val="11"/>
        <color theme="1"/>
        <rFont val="Calibri"/>
        <family val="2"/>
        <charset val="1"/>
      </rPr>
      <t xml:space="preserve">+5%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+10%</t>
    </r>
    <r>
      <rPr>
        <sz val="11"/>
        <color theme="1"/>
        <rFont val="Noto Sans CJK SC"/>
        <family val="2"/>
      </rPr>
      <t xml:space="preserve">，含策略檢討顧問費）</t>
    </r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</si>
  <si>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週策略檢討，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Noto Sans CJK SC"/>
        <family val="2"/>
      </rPr>
      <t xml:space="preserve">初結論</t>
    </r>
  </si>
  <si>
    <t xml:space="preserve">q4fin</t>
  </si>
  <si>
    <t xml:space="preserve">第四季財務費用淨額</t>
  </si>
  <si>
    <t xml:space="preserve">€M</t>
  </si>
  <si>
    <r>
      <rPr>
        <sz val="11"/>
        <color theme="1"/>
        <rFont val="Noto Sans CJK SC"/>
        <family val="2"/>
      </rPr>
      <t xml:space="preserve">前三季 </t>
    </r>
    <r>
      <rPr>
        <sz val="11"/>
        <color theme="1"/>
        <rFont val="Calibri"/>
        <family val="2"/>
        <charset val="1"/>
      </rPr>
      <t xml:space="preserve">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6.3</t>
    </r>
    <r>
      <rPr>
        <sz val="11"/>
        <color theme="1"/>
        <rFont val="Noto Sans CJK SC"/>
        <family val="2"/>
      </rPr>
      <t xml:space="preserve">、約 </t>
    </r>
    <r>
      <rPr>
        <sz val="11"/>
        <color theme="1"/>
        <rFont val="Calibri"/>
        <family val="2"/>
        <charset val="1"/>
      </rPr>
      <t xml:space="preserve">6.1</t>
    </r>
    <r>
      <rPr>
        <sz val="11"/>
        <color theme="1"/>
        <rFont val="Noto Sans CJK SC"/>
        <family val="2"/>
      </rPr>
      <t xml:space="preserve">（第三季由淨利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稅率）回推）</t>
    </r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</si>
  <si>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年到期 </t>
    </r>
    <r>
      <rPr>
        <sz val="11"/>
        <color theme="1"/>
        <rFont val="Calibri"/>
        <family val="2"/>
        <charset val="1"/>
      </rPr>
      <t xml:space="preserve">4.5% </t>
    </r>
    <r>
      <rPr>
        <sz val="11"/>
        <color theme="1"/>
        <rFont val="Noto Sans CJK SC"/>
        <family val="2"/>
      </rPr>
      <t xml:space="preserve">優先票據 €</t>
    </r>
    <r>
      <rPr>
        <sz val="11"/>
        <color theme="1"/>
        <rFont val="Calibri"/>
        <family val="2"/>
        <charset val="1"/>
      </rPr>
      <t xml:space="preserve">350M</t>
    </r>
  </si>
  <si>
    <t xml:space="preserve">rev26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</si>
  <si>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營收錨點（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</si>
  <si>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前三季實績＋第三季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q4g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</si>
  <si>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 €</t>
    </r>
    <r>
      <rPr>
        <sz val="11"/>
        <color theme="1"/>
        <rFont val="Calibri"/>
        <family val="2"/>
        <charset val="1"/>
      </rPr>
      <t xml:space="preserve">1,002M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</si>
  <si>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gp26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</si>
  <si>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毛利錨點（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</si>
  <si>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opx26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</si>
  <si>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營業費用錨點（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</si>
  <si>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公司說法換算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營業費用約 €</t>
    </r>
    <r>
      <rPr>
        <sz val="11"/>
        <color theme="1"/>
        <rFont val="Calibri"/>
        <family val="2"/>
        <charset val="1"/>
      </rPr>
      <t xml:space="preserve">223M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簡報摘要）</t>
    </r>
  </si>
  <si>
    <t xml:space="preserve">oi26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</si>
  <si>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營業利益錨點（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</si>
  <si>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ni26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</si>
  <si>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淨利錨點（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</si>
  <si>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前三季實績＋第四季（營業利益 − 財務費用）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</t>
    </r>
  </si>
  <si>
    <t xml:space="preserve">eps26</t>
  </si>
  <si>
    <r>
      <rPr>
        <sz val="11"/>
        <color theme="1"/>
        <rFont val="Calibri"/>
        <family val="2"/>
        <charset val="1"/>
      </rPr>
      <t xml:space="preserve">FY2026 EPS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</si>
  <si>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€</t>
  </si>
  <si>
    <r>
      <rPr>
        <sz val="11"/>
        <color theme="1"/>
        <rFont val="Noto Sans CJK SC"/>
        <family val="2"/>
      </rPr>
      <t xml:space="preserve">前三季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實績＋第四季淨利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</si>
  <si>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4.33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4.42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</si>
  <si>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hb25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</si>
  <si>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混合鍵合營收</t>
    </r>
  </si>
  <si>
    <r>
      <rPr>
        <sz val="11"/>
        <color theme="1"/>
        <rFont val="Noto Sans CJK SC"/>
        <family val="2"/>
      </rPr>
      <t xml:space="preserve">公司不揭露。</t>
    </r>
    <r>
      <rPr>
        <sz val="11"/>
        <color theme="1"/>
        <rFont val="Calibri"/>
        <family val="2"/>
        <charset val="1"/>
      </rPr>
      <t xml:space="preserve">FT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tspasemiconductor </t>
    </r>
    <r>
      <rPr>
        <sz val="11"/>
        <color theme="1"/>
        <rFont val="Noto Sans CJK SC"/>
        <family val="2"/>
      </rPr>
      <t xml:space="preserve">轉引）：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 €</t>
    </r>
    <r>
      <rPr>
        <sz val="11"/>
        <color theme="1"/>
        <rFont val="Calibri"/>
        <family val="2"/>
        <charset val="1"/>
      </rPr>
      <t xml:space="preserve">36M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Morningstar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2025-02-21</t>
    </r>
    <r>
      <rPr>
        <sz val="11"/>
        <color theme="1"/>
        <rFont val="Noto Sans CJK SC"/>
        <family val="2"/>
      </rPr>
      <t xml:space="preserve">）：混合鍵合營收自 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年三倍（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</si>
  <si>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年底累計訂單 </t>
    </r>
    <r>
      <rPr>
        <sz val="11"/>
        <color theme="1"/>
        <rFont val="Calibri"/>
        <family val="2"/>
        <charset val="1"/>
      </rPr>
      <t xml:space="preserve">150</t>
    </r>
    <r>
      <rPr>
        <sz val="11"/>
        <color theme="1"/>
        <rFont val="Noto Sans CJK SC"/>
        <family val="2"/>
      </rPr>
      <t xml:space="preserve">＋台（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年底未找到）；只用於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拆分顯示</t>
    </r>
  </si>
  <si>
    <t xml:space="preserve">hb_sh26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</si>
  <si>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混合鍵合營收占營收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</si>
  <si>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年前三季混合鍵合訂單超過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全年兩倍（</t>
    </r>
    <r>
      <rPr>
        <sz val="11"/>
        <color theme="1"/>
        <rFont val="Calibri"/>
        <family val="2"/>
        <charset val="1"/>
      </rPr>
      <t xml:space="preserve">Q3-26 </t>
    </r>
    <r>
      <rPr>
        <sz val="11"/>
        <color theme="1"/>
        <rFont val="Noto Sans CJK SC"/>
        <family val="2"/>
      </rPr>
      <t xml:space="preserve">法說，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相關占系統訂單約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H1-26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</si>
  <si>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FT</t>
    </r>
    <r>
      <rPr>
        <sz val="11"/>
        <color theme="1"/>
        <rFont val="Noto Sans CJK SC"/>
        <family val="2"/>
      </rPr>
      <t xml:space="preserve">（舊預測）：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€</t>
    </r>
    <r>
      <rPr>
        <sz val="11"/>
        <color theme="1"/>
        <rFont val="Calibri"/>
        <family val="2"/>
        <charset val="1"/>
      </rPr>
      <t xml:space="preserve">476M</t>
    </r>
    <r>
      <rPr>
        <sz val="11"/>
        <color theme="1"/>
        <rFont val="Noto Sans CJK SC"/>
        <family val="2"/>
      </rPr>
      <t xml:space="preserve">（約三分之一）；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列低／高</t>
    </r>
  </si>
  <si>
    <t xml:space="preserve">hbm26</t>
  </si>
  <si>
    <r>
      <rPr>
        <sz val="11"/>
        <color theme="1"/>
        <rFont val="Calibri"/>
        <family val="2"/>
        <charset val="1"/>
      </rPr>
      <t xml:space="preserve">FY2026 HBM </t>
    </r>
    <r>
      <rPr>
        <sz val="11"/>
        <color theme="1"/>
        <rFont val="Noto Sans CJK SC"/>
        <family val="2"/>
      </rPr>
      <t xml:space="preserve">用混合鍵合營收（量產前）</t>
    </r>
  </si>
  <si>
    <r>
      <rPr>
        <sz val="11"/>
        <color theme="1"/>
        <rFont val="Noto Sans CJK SC"/>
        <family val="2"/>
      </rPr>
      <t xml:space="preserve">公司：記憶體短缺使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混合鍵合導入延後（</t>
    </r>
    <r>
      <rPr>
        <sz val="11"/>
        <color theme="1"/>
        <rFont val="Calibri"/>
        <family val="2"/>
        <charset val="1"/>
      </rPr>
      <t xml:space="preserve">Q3-26 </t>
    </r>
    <r>
      <rPr>
        <sz val="11"/>
        <color theme="1"/>
        <rFont val="Noto Sans CJK SC"/>
        <family val="2"/>
      </rPr>
      <t xml:space="preserve">法說）；試產機台併入邏輯與其他（校準係數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</si>
  <si>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主流業務（傳統貼合機、封裝、電鍍、</t>
    </r>
    <r>
      <rPr>
        <b val="true"/>
        <sz val="11"/>
        <rFont val="Cambria"/>
        <family val="0"/>
        <charset val="1"/>
      </rPr>
      <t xml:space="preserve">TC </t>
    </r>
    <r>
      <rPr>
        <b val="true"/>
        <sz val="11"/>
        <rFont val="Noto Sans CJK SC"/>
        <family val="2"/>
      </rPr>
      <t xml:space="preserve">鍵合；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起隨設備市場同字母情境）</t>
    </r>
  </si>
  <si>
    <t xml:space="preserve">eqgA_27</t>
  </si>
  <si>
    <r>
      <rPr>
        <sz val="11"/>
        <color theme="1"/>
        <rFont val="Noto Sans CJK SC"/>
        <family val="2"/>
      </rPr>
      <t xml:space="preserve">設備總額年增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</si>
  <si>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Mkt!E7:G7</t>
    </r>
  </si>
  <si>
    <r>
      <rPr>
        <sz val="11"/>
        <color theme="1"/>
        <rFont val="Calibri"/>
        <family val="2"/>
        <charset val="1"/>
      </rPr>
      <t xml:space="preserve">markets/equipment Mkt </t>
    </r>
    <r>
      <rPr>
        <sz val="11"/>
        <color theme="1"/>
        <rFont val="Noto Sans CJK SC"/>
        <family val="2"/>
      </rPr>
      <t xml:space="preserve">頁同字母情境（不自訂行業路徑）</t>
    </r>
  </si>
  <si>
    <t xml:space="preserve">eqgA_28</t>
  </si>
  <si>
    <r>
      <rPr>
        <sz val="11"/>
        <color theme="1"/>
        <rFont val="Noto Sans CJK SC"/>
        <family val="2"/>
      </rPr>
      <t xml:space="preserve">設備總額年增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</si>
  <si>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eqgA_29</t>
  </si>
  <si>
    <r>
      <rPr>
        <sz val="11"/>
        <color theme="1"/>
        <rFont val="Noto Sans CJK SC"/>
        <family val="2"/>
      </rPr>
      <t xml:space="preserve">設備總額年增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</si>
  <si>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eqgB_27</t>
  </si>
  <si>
    <r>
      <rPr>
        <sz val="11"/>
        <color theme="1"/>
        <rFont val="Noto Sans CJK SC"/>
        <family val="2"/>
      </rPr>
      <t xml:space="preserve">設備總額年增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</si>
  <si>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Mkt!E15:G15</t>
    </r>
  </si>
  <si>
    <t xml:space="preserve">eqgB_28</t>
  </si>
  <si>
    <r>
      <rPr>
        <sz val="11"/>
        <color theme="1"/>
        <rFont val="Noto Sans CJK SC"/>
        <family val="2"/>
      </rPr>
      <t xml:space="preserve">設備總額年增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</si>
  <si>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eqgB_29</t>
  </si>
  <si>
    <r>
      <rPr>
        <sz val="11"/>
        <color theme="1"/>
        <rFont val="Noto Sans CJK SC"/>
        <family val="2"/>
      </rPr>
      <t xml:space="preserve">設備總額年增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</si>
  <si>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eqgC_27</t>
  </si>
  <si>
    <r>
      <rPr>
        <sz val="11"/>
        <color theme="1"/>
        <rFont val="Noto Sans CJK SC"/>
        <family val="2"/>
      </rPr>
      <t xml:space="preserve">設備總額年增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</si>
  <si>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Mkt!E23:G23</t>
    </r>
  </si>
  <si>
    <t xml:space="preserve">eqgC_28</t>
  </si>
  <si>
    <r>
      <rPr>
        <sz val="11"/>
        <color theme="1"/>
        <rFont val="Noto Sans CJK SC"/>
        <family val="2"/>
      </rPr>
      <t xml:space="preserve">設備總額年增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</si>
  <si>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eqgC_29</t>
  </si>
  <si>
    <r>
      <rPr>
        <sz val="11"/>
        <color theme="1"/>
        <rFont val="Noto Sans CJK SC"/>
        <family val="2"/>
      </rPr>
      <t xml:space="preserve">設備總額年增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</si>
  <si>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el</t>
  </si>
  <si>
    <t xml:space="preserve">主流業務營收對設備市場年增的彈性</t>
  </si>
  <si>
    <r>
      <rPr>
        <sz val="11"/>
        <color theme="1"/>
        <rFont val="Noto Sans CJK SC"/>
        <family val="2"/>
      </rPr>
      <t xml:space="preserve">無：公司稱主流市場（行動、車用、工業）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年復甦；車用約占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Q3-26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</si>
  <si>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主流業務 −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（設備市場 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Noto Sans CJK SC"/>
        <family val="2"/>
      </rPr>
      <t xml:space="preserve">）時彈性不穩定，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1.5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</si>
  <si>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毛利、營業費用、稅、股數</t>
    </r>
  </si>
  <si>
    <t xml:space="preserve">gm_prem</t>
  </si>
  <si>
    <t xml:space="preserve">混合鍵合相對主流業務的毛利率溢價（組合效果）</t>
  </si>
  <si>
    <t xml:space="preserve">pt</t>
  </si>
  <si>
    <r>
      <rPr>
        <sz val="11"/>
        <color theme="1"/>
        <rFont val="Noto Sans CJK SC"/>
        <family val="2"/>
      </rPr>
      <t xml:space="preserve">公司：第三、四季毛利率因產品組合變動（</t>
    </r>
    <r>
      <rPr>
        <sz val="11"/>
        <color theme="1"/>
        <rFont val="Calibri"/>
        <family val="2"/>
        <charset val="1"/>
      </rPr>
      <t xml:space="preserve">Q2-26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Q3-26 </t>
    </r>
    <r>
      <rPr>
        <sz val="11"/>
        <color theme="1"/>
        <rFont val="Noto Sans CJK SC"/>
        <family val="2"/>
      </rPr>
      <t xml:space="preserve">新聞稿）；長期毛利率指引 </t>
    </r>
    <r>
      <rPr>
        <sz val="11"/>
        <color theme="1"/>
        <rFont val="Calibri"/>
        <family val="2"/>
        <charset val="1"/>
      </rPr>
      <t xml:space="preserve">64–68%</t>
    </r>
    <r>
      <rPr>
        <sz val="11"/>
        <color theme="1"/>
        <rFont val="Noto Sans CJK SC"/>
        <family val="2"/>
      </rPr>
      <t xml:space="preserve">（投資人日 </t>
    </r>
    <r>
      <rPr>
        <sz val="11"/>
        <color theme="1"/>
        <rFont val="Calibri"/>
        <family val="2"/>
        <charset val="1"/>
      </rPr>
      <t xml:space="preserve">2026-06-19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</si>
  <si>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起毛利率＝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＋ 溢價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（混合鍵合占比 −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占比）</t>
    </r>
  </si>
  <si>
    <t xml:space="preserve">gm_adj_C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</si>
  <si>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起毛利率額外調整（價格競爭）</t>
    </r>
  </si>
  <si>
    <t xml:space="preserve">無</t>
  </si>
  <si>
    <t xml:space="preserve">phi</t>
  </si>
  <si>
    <t xml:space="preserve">營業費用中變動部分占比</t>
  </si>
  <si>
    <r>
      <rPr>
        <sz val="11"/>
        <color theme="1"/>
        <rFont val="Calibri"/>
        <family val="2"/>
        <charset val="1"/>
      </rPr>
      <t xml:space="preserve">FY2024 €200M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FY2025 €201M</t>
    </r>
    <r>
      <rPr>
        <sz val="11"/>
        <color theme="1"/>
        <rFont val="Noto Sans CJK SC"/>
        <family val="2"/>
      </rPr>
      <t xml:space="preserve">（營收 −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約 €</t>
    </r>
    <r>
      <rPr>
        <sz val="11"/>
        <color theme="1"/>
        <rFont val="Calibri"/>
        <family val="2"/>
        <charset val="1"/>
      </rPr>
      <t xml:space="preserve">223M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+69%</t>
    </r>
    <r>
      <rPr>
        <sz val="11"/>
        <color theme="1"/>
        <rFont val="Noto Sans CJK SC"/>
        <family val="2"/>
      </rPr>
      <t xml:space="preserve">）：費用多為固定</t>
    </r>
  </si>
  <si>
    <r>
      <rPr>
        <sz val="11"/>
        <color theme="1"/>
        <rFont val="Noto Sans CJK SC"/>
        <family val="2"/>
      </rPr>
      <t xml:space="preserve">營業費用＝固定（</t>
    </r>
    <r>
      <rPr>
        <sz val="11"/>
        <color theme="1"/>
        <rFont val="Calibri"/>
        <family val="2"/>
        <charset val="1"/>
      </rPr>
      <t xml:space="preserve">1−phi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FY2026 </t>
    </r>
    <r>
      <rPr>
        <sz val="11"/>
        <color theme="1"/>
        <rFont val="Noto Sans CJK SC"/>
        <family val="2"/>
      </rPr>
      <t xml:space="preserve">＋ 變動 </t>
    </r>
    <r>
      <rPr>
        <sz val="11"/>
        <color theme="1"/>
        <rFont val="Calibri"/>
        <family val="2"/>
        <charset val="1"/>
      </rPr>
      <t xml:space="preserve">phi × FY2026 ÷ 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</t>
    </r>
  </si>
  <si>
    <t xml:space="preserve">opex_fix</t>
  </si>
  <si>
    <t xml:space="preserve">營業費用固定部分</t>
  </si>
  <si>
    <t xml:space="preserve">opex_var</t>
  </si>
  <si>
    <t xml:space="preserve">營業費用變動部分占營收</t>
  </si>
  <si>
    <t xml:space="preserve">fin</t>
  </si>
  <si>
    <r>
      <rPr>
        <sz val="11"/>
        <color theme="1"/>
        <rFont val="Noto Sans CJK SC"/>
        <family val="2"/>
      </rPr>
      <t xml:space="preserve">財務費用淨額（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</si>
  <si>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FY2025 €19.1M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前三季約 €</t>
    </r>
    <r>
      <rPr>
        <sz val="11"/>
        <color theme="1"/>
        <rFont val="Calibri"/>
        <family val="2"/>
        <charset val="1"/>
      </rPr>
      <t xml:space="preserve">17.6M</t>
    </r>
    <r>
      <rPr>
        <sz val="11"/>
        <color theme="1"/>
        <rFont val="Noto Sans CJK SC"/>
        <family val="2"/>
      </rPr>
      <t xml:space="preserve">；€</t>
    </r>
    <r>
      <rPr>
        <sz val="11"/>
        <color theme="1"/>
        <rFont val="Calibri"/>
        <family val="2"/>
        <charset val="1"/>
      </rPr>
      <t xml:space="preserve">350M 4.5% </t>
    </r>
    <r>
      <rPr>
        <sz val="11"/>
        <color theme="1"/>
        <rFont val="Noto Sans CJK SC"/>
        <family val="2"/>
      </rPr>
      <t xml:space="preserve">票據利息約 €</t>
    </r>
    <r>
      <rPr>
        <sz val="11"/>
        <color theme="1"/>
        <rFont val="Calibri"/>
        <family val="2"/>
        <charset val="1"/>
      </rPr>
      <t xml:space="preserve">16M</t>
    </r>
    <r>
      <rPr>
        <sz val="11"/>
        <color theme="1"/>
        <rFont val="Noto Sans CJK SC"/>
        <family val="2"/>
      </rPr>
      <t xml:space="preserve">，現金與存款 €</t>
    </r>
    <r>
      <rPr>
        <sz val="11"/>
        <color theme="1"/>
        <rFont val="Calibri"/>
        <family val="2"/>
        <charset val="1"/>
      </rPr>
      <t xml:space="preserve">592M </t>
    </r>
    <r>
      <rPr>
        <sz val="11"/>
        <color theme="1"/>
        <rFont val="Noto Sans CJK SC"/>
        <family val="2"/>
      </rPr>
      <t xml:space="preserve">利息收入抵銷一部分</t>
    </r>
  </si>
  <si>
    <t xml:space="preserve">tax</t>
  </si>
  <si>
    <t xml:space="preserve">有效稅率</t>
  </si>
  <si>
    <t xml:space="preserve">Verified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</si>
  <si>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Q2-26 13.1%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Q3-26 13.3%</t>
    </r>
    <r>
      <rPr>
        <sz val="11"/>
        <color theme="1"/>
        <rFont val="Noto Sans CJK SC"/>
        <family val="2"/>
      </rPr>
      <t xml:space="preserve">（新聞稿；荷蘭創新盒）</t>
    </r>
  </si>
  <si>
    <r>
      <rPr>
        <sz val="11"/>
        <color theme="1"/>
        <rFont val="Calibri"/>
        <family val="2"/>
        <charset val="1"/>
      </rPr>
      <t xml:space="preserve">FY2025 14.5%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22.3 ÷ 153.9</t>
    </r>
    <r>
      <rPr>
        <sz val="11"/>
        <color theme="1"/>
        <rFont val="Noto Sans CJK SC"/>
        <family val="2"/>
      </rPr>
      <t xml:space="preserve">）</t>
    </r>
  </si>
  <si>
    <t xml:space="preserve">shares</t>
  </si>
  <si>
    <r>
      <rPr>
        <sz val="11"/>
        <color theme="1"/>
        <rFont val="Noto Sans CJK SC"/>
        <family val="2"/>
      </rPr>
      <t xml:space="preserve">股數（</t>
    </r>
    <r>
      <rPr>
        <sz val="11"/>
        <color theme="1"/>
        <rFont val="Calibri"/>
        <family val="2"/>
        <charset val="1"/>
      </rPr>
      <t xml:space="preserve">Q3-26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，加權平均）</t>
    </r>
  </si>
  <si>
    <t xml:space="preserve">百萬股</t>
  </si>
  <si>
    <r>
      <rPr>
        <sz val="11"/>
        <color theme="1"/>
        <rFont val="Calibri"/>
        <family val="2"/>
        <charset val="1"/>
      </rPr>
      <t xml:space="preserve">107.2 ÷ 1.33 ≈ 80.6M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Q2-26 </t>
    </r>
    <r>
      <rPr>
        <sz val="11"/>
        <color theme="1"/>
        <rFont val="Noto Sans CJK SC"/>
        <family val="2"/>
      </rPr>
      <t xml:space="preserve">基本加權 </t>
    </r>
    <r>
      <rPr>
        <sz val="11"/>
        <color theme="1"/>
        <rFont val="Calibri"/>
        <family val="2"/>
        <charset val="1"/>
      </rPr>
      <t xml:space="preserve">80.04M</t>
    </r>
    <r>
      <rPr>
        <sz val="11"/>
        <color theme="1"/>
        <rFont val="Noto Sans CJK SC"/>
        <family val="2"/>
      </rPr>
      <t xml:space="preserve">、稀釋 </t>
    </r>
    <r>
      <rPr>
        <sz val="11"/>
        <color theme="1"/>
        <rFont val="Calibri"/>
        <family val="2"/>
        <charset val="1"/>
      </rPr>
      <t xml:space="preserve">80.93M</t>
    </r>
    <r>
      <rPr>
        <sz val="11"/>
        <color theme="1"/>
        <rFont val="Noto Sans CJK SC"/>
        <family val="2"/>
      </rPr>
      <t xml:space="preserve">（新聞稿）</t>
    </r>
  </si>
  <si>
    <r>
      <rPr>
        <sz val="11"/>
        <color theme="1"/>
        <rFont val="Noto Sans CJK SC"/>
        <family val="2"/>
      </rPr>
      <t xml:space="preserve">流通股 </t>
    </r>
    <r>
      <rPr>
        <sz val="11"/>
        <color theme="1"/>
        <rFont val="Calibri"/>
        <family val="2"/>
        <charset val="1"/>
      </rPr>
      <t xml:space="preserve">80.82M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）；可轉債 €</t>
    </r>
    <r>
      <rPr>
        <sz val="11"/>
        <color theme="1"/>
        <rFont val="Calibri"/>
        <family val="2"/>
        <charset val="1"/>
      </rPr>
      <t xml:space="preserve">175M </t>
    </r>
    <r>
      <rPr>
        <sz val="11"/>
        <color theme="1"/>
        <rFont val="Noto Sans CJK SC"/>
        <family val="2"/>
      </rPr>
      <t xml:space="preserve">已轉換；每年 €</t>
    </r>
    <r>
      <rPr>
        <sz val="11"/>
        <color theme="1"/>
        <rFont val="Calibri"/>
        <family val="2"/>
        <charset val="1"/>
      </rPr>
      <t xml:space="preserve">100M </t>
    </r>
    <r>
      <rPr>
        <sz val="11"/>
        <color theme="1"/>
        <rFont val="Noto Sans CJK SC"/>
        <family val="2"/>
      </rPr>
      <t xml:space="preserve">回購（</t>
    </r>
    <r>
      <rPr>
        <sz val="11"/>
        <color theme="1"/>
        <rFont val="Calibri"/>
        <family val="2"/>
        <charset val="1"/>
      </rPr>
      <t xml:space="preserve">2026-10-27 </t>
    </r>
    <r>
      <rPr>
        <sz val="11"/>
        <color theme="1"/>
        <rFont val="Noto Sans CJK SC"/>
        <family val="2"/>
      </rPr>
      <t xml:space="preserve">起）本版不建模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</si>
  <si>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估值、共識與對帳來源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</si>
  <si>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</si>
  <si>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</si>
  <si>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</si>
  <si>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</si>
  <si>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設備股共用規則（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早於見頂年＝中段、等於＝見頂、晚於＝谷底；本公司會計年度＝日曆年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</si>
  <si>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</si>
  <si>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</si>
  <si>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</si>
  <si>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</si>
  <si>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</si>
  <si>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</si>
  <si>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</si>
  <si>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stockanalysis 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</si>
  <si>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stockanalysis.com/quote/ams/BESI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€</t>
    </r>
    <r>
      <rPr>
        <sz val="11"/>
        <color theme="1"/>
        <rFont val="Calibri"/>
        <family val="2"/>
        <charset val="1"/>
      </rPr>
      <t xml:space="preserve">145.10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7.73%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</si>
  <si>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：前一日（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）收盤 €</t>
    </r>
    <r>
      <rPr>
        <sz val="11"/>
        <color theme="1"/>
        <rFont val="Calibri"/>
        <family val="2"/>
        <charset val="1"/>
      </rPr>
      <t xml:space="preserve">157.25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歷史頁一致；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收盤只有一個來源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</si>
  <si>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</si>
  <si>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</si>
  <si>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 </t>
    </r>
    <r>
      <rPr>
        <sz val="11"/>
        <color theme="1"/>
        <rFont val="Calibri"/>
        <family val="2"/>
        <charset val="1"/>
      </rPr>
      <t xml:space="preserve">Project </t>
    </r>
    <r>
      <rPr>
        <sz val="11"/>
        <color theme="1"/>
        <rFont val="Noto Sans CJK SC"/>
        <family val="2"/>
      </rPr>
      <t xml:space="preserve">共用設定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</si>
  <si>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</si>
  <si>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</si>
  <si>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</si>
  <si>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C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</si>
  <si>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</si>
  <si>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</si>
  <si>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共識（頁面價格日 </t>
    </r>
    <r>
      <rPr>
        <sz val="11"/>
        <color theme="1"/>
        <rFont val="Calibri"/>
        <family val="2"/>
        <charset val="1"/>
      </rPr>
      <t xml:space="preserve">2026-10-09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</si>
  <si>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位分析師平均約 €</t>
    </r>
    <r>
      <rPr>
        <sz val="11"/>
        <color theme="1"/>
        <rFont val="Calibri"/>
        <family val="2"/>
        <charset val="1"/>
      </rPr>
      <t xml:space="preserve">1.0B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</si>
  <si>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</si>
  <si>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FY2026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</si>
  <si>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2026-10-09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</si>
  <si>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4.42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位，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</si>
  <si>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t xml:space="preserve">cons_rev27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</si>
  <si>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</si>
  <si>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2026-10-09</t>
    </r>
    <r>
      <rPr>
        <sz val="11"/>
        <color theme="1"/>
        <rFont val="Noto Sans CJK SC"/>
        <family val="2"/>
      </rPr>
      <t xml:space="preserve">，第三季財報前）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</si>
  <si>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</si>
  <si>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</si>
  <si>
    <t xml:space="preserve">cons_rev28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</si>
  <si>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FY2028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</si>
  <si>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</si>
  <si>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FY2028</t>
    </r>
  </si>
  <si>
    <t xml:space="preserve">lt_lo</t>
  </si>
  <si>
    <t xml:space="preserve">公司長期營收目標 下緣</t>
  </si>
  <si>
    <r>
      <rPr>
        <sz val="11"/>
        <color theme="1"/>
        <rFont val="Noto Sans CJK SC"/>
        <family val="2"/>
      </rPr>
      <t xml:space="preserve">投資人日 </t>
    </r>
    <r>
      <rPr>
        <sz val="11"/>
        <color theme="1"/>
        <rFont val="Calibri"/>
        <family val="2"/>
        <charset val="1"/>
      </rPr>
      <t xml:space="preserve">2026-06-19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quartr </t>
    </r>
    <r>
      <rPr>
        <sz val="11"/>
        <color theme="1"/>
        <rFont val="Noto Sans CJK SC"/>
        <family val="2"/>
      </rPr>
      <t xml:space="preserve">摘要）：長期營收 €</t>
    </r>
    <r>
      <rPr>
        <sz val="11"/>
        <color theme="1"/>
        <rFont val="Calibri"/>
        <family val="2"/>
        <charset val="1"/>
      </rPr>
      <t xml:space="preserve">1.7–2.2B</t>
    </r>
    <r>
      <rPr>
        <sz val="11"/>
        <color theme="1"/>
        <rFont val="Noto Sans CJK SC"/>
        <family val="2"/>
      </rPr>
      <t xml:space="preserve">（前次 €</t>
    </r>
    <r>
      <rPr>
        <sz val="11"/>
        <color theme="1"/>
        <rFont val="Calibri"/>
        <family val="2"/>
        <charset val="1"/>
      </rPr>
      <t xml:space="preserve">1.5–1.9B</t>
    </r>
    <r>
      <rPr>
        <sz val="11"/>
        <color theme="1"/>
        <rFont val="Noto Sans CJK SC"/>
        <family val="2"/>
      </rPr>
      <t xml:space="preserve">）、營業利益率 </t>
    </r>
    <r>
      <rPr>
        <sz val="11"/>
        <color theme="1"/>
        <rFont val="Calibri"/>
        <family val="2"/>
        <charset val="1"/>
      </rPr>
      <t xml:space="preserve">45–55%</t>
    </r>
    <r>
      <rPr>
        <sz val="11"/>
        <color theme="1"/>
        <rFont val="Noto Sans CJK SC"/>
        <family val="2"/>
      </rPr>
      <t xml:space="preserve">；目標年度未載明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</si>
  <si>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年版目標 €</t>
    </r>
    <r>
      <rPr>
        <sz val="11"/>
        <color theme="1"/>
        <rFont val="Calibri"/>
        <family val="2"/>
        <charset val="1"/>
      </rPr>
      <t xml:space="preserve">1.5–1.9B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Yahoo 2025-06-12</t>
    </r>
    <r>
      <rPr>
        <sz val="11"/>
        <color theme="1"/>
        <rFont val="Noto Sans CJK SC"/>
        <family val="2"/>
      </rPr>
      <t xml:space="preserve">）</t>
    </r>
  </si>
  <si>
    <t xml:space="preserve">lt_hi</t>
  </si>
  <si>
    <t xml:space="preserve">公司長期營收目標 上緣</t>
  </si>
  <si>
    <t xml:space="preserve">hb_cum25</t>
  </si>
  <si>
    <r>
      <rPr>
        <sz val="11"/>
        <color theme="1"/>
        <rFont val="Noto Sans CJK SC"/>
        <family val="2"/>
      </rPr>
      <t xml:space="preserve">混合鍵合累計訂單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</t>
    </r>
  </si>
  <si>
    <t xml:space="preserve">台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</si>
  <si>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Q4-25 </t>
    </r>
    <r>
      <rPr>
        <sz val="11"/>
        <color theme="1"/>
        <rFont val="Noto Sans CJK SC"/>
        <family val="2"/>
      </rPr>
      <t xml:space="preserve">新聞稿：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家客戶、累計 </t>
    </r>
    <r>
      <rPr>
        <sz val="11"/>
        <color theme="1"/>
        <rFont val="Calibri"/>
        <family val="2"/>
        <charset val="1"/>
      </rPr>
      <t xml:space="preserve">150</t>
    </r>
    <r>
      <rPr>
        <sz val="11"/>
        <color theme="1"/>
        <rFont val="Noto Sans CJK SC"/>
        <family val="2"/>
      </rPr>
      <t xml:space="preserve">＋台</t>
    </r>
  </si>
  <si>
    <t xml:space="preserve">hb_cum26q3</t>
  </si>
  <si>
    <r>
      <rPr>
        <sz val="11"/>
        <color theme="1"/>
        <rFont val="Noto Sans CJK SC"/>
        <family val="2"/>
      </rPr>
      <t xml:space="preserve">混合鍵合累計訂單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年第三季</t>
    </r>
  </si>
  <si>
    <r>
      <rPr>
        <sz val="11"/>
        <color theme="1"/>
        <rFont val="Calibri"/>
        <family val="2"/>
        <charset val="1"/>
      </rPr>
      <t xml:space="preserve">investing.com Q3-26 </t>
    </r>
    <r>
      <rPr>
        <sz val="11"/>
        <color theme="1"/>
        <rFont val="Noto Sans CJK SC"/>
        <family val="2"/>
      </rPr>
      <t xml:space="preserve">簡報摘要：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家客戶、累計 </t>
    </r>
    <r>
      <rPr>
        <sz val="11"/>
        <color theme="1"/>
        <rFont val="Calibri"/>
        <family val="2"/>
        <charset val="1"/>
      </rPr>
      <t xml:space="preserve">215</t>
    </r>
    <r>
      <rPr>
        <sz val="11"/>
        <color theme="1"/>
        <rFont val="Noto Sans CJK SC"/>
        <family val="2"/>
      </rPr>
      <t xml:space="preserve">＋台</t>
    </r>
  </si>
  <si>
    <r>
      <rPr>
        <sz val="11"/>
        <color theme="1"/>
        <rFont val="Calibri"/>
        <family val="2"/>
        <charset val="1"/>
      </rPr>
      <t xml:space="preserve">gurufocus </t>
    </r>
    <r>
      <rPr>
        <sz val="11"/>
        <color theme="1"/>
        <rFont val="Noto Sans CJK SC"/>
        <family val="2"/>
      </rPr>
      <t xml:space="preserve">法說摘要同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</si>
  <si>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 </t>
    </r>
    <r>
      <rPr>
        <b val="true"/>
        <sz val="11"/>
        <rFont val="Cambria"/>
        <family val="0"/>
        <charset val="1"/>
      </rPr>
      <t xml:space="preserve">FY2030–32 </t>
    </r>
    <r>
      <rPr>
        <b val="true"/>
        <sz val="11"/>
        <rFont val="Noto Sans CJK SC"/>
        <family val="2"/>
      </rPr>
      <t xml:space="preserve">收斂法參數（黃底＝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</si>
  <si>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</si>
  <si>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t xml:space="preserve">折現率（股東權益要求報酬；美、台、日、韓同一值）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</si>
  <si>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</si>
  <si>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荷蘭公司沿用同一值</t>
  </si>
  <si>
    <t xml:space="preserve">tp_g</t>
  </si>
  <si>
    <r>
      <rPr>
        <sz val="11"/>
        <color theme="1"/>
        <rFont val="Noto Sans CJK SC"/>
        <family val="2"/>
      </rPr>
      <t xml:space="preserve">長期成長率（永續成長；收斂法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營收年增的基準）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</si>
  <si>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</si>
  <si>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</si>
  <si>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</si>
  <si>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</si>
  <si>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讀取）：</t>
    </r>
    <r>
      <rPr>
        <sz val="11"/>
        <color theme="1"/>
        <rFont val="Calibri"/>
        <family val="2"/>
        <charset val="1"/>
      </rPr>
      <t xml:space="preserve">FY2023 33.73%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39.45%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28.69%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</si>
  <si>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56.8%</t>
    </r>
    <r>
      <rPr>
        <sz val="11"/>
        <color theme="1"/>
        <rFont val="Noto Sans CJK SC"/>
        <family val="2"/>
      </rPr>
      <t xml:space="preserve">（同站，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</si>
  <si>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</si>
  <si>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</si>
  <si>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</si>
  <si>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</si>
  <si>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，各年淨利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營收的平均）</t>
    </r>
  </si>
  <si>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淨利率（近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月，年底）：</t>
    </r>
    <r>
      <rPr>
        <sz val="11"/>
        <color theme="1"/>
        <rFont val="Calibri"/>
        <family val="2"/>
        <charset val="1"/>
      </rPr>
      <t xml:space="preserve">2016 17.35%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2017 29.30%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2018 25.97%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2019 22.81%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2020 30.44%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2021 37.66%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2022 33.20%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2023 30.51%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2024 29.79%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2025 22.27%</t>
    </r>
  </si>
  <si>
    <r>
      <rPr>
        <sz val="11"/>
        <color theme="1"/>
        <rFont val="Calibri"/>
        <family val="2"/>
        <charset val="1"/>
      </rPr>
      <t xml:space="preserve">2021–2025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營收相符（例：</t>
    </r>
    <r>
      <rPr>
        <sz val="11"/>
        <color theme="1"/>
        <rFont val="Calibri"/>
        <family val="2"/>
        <charset val="1"/>
      </rPr>
      <t xml:space="preserve">FY2025 131.64 ÷ 591.33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22.3%</t>
    </r>
    <r>
      <rPr>
        <sz val="11"/>
        <color theme="1"/>
        <rFont val="Noto Sans CJK SC"/>
        <family val="2"/>
      </rPr>
      <t xml:space="preserve">）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</si>
  <si>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</si>
  <si>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</si>
  <si>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位分析師平均 €</t>
    </r>
    <r>
      <rPr>
        <sz val="11"/>
        <color theme="1"/>
        <rFont val="Calibri"/>
        <family val="2"/>
        <charset val="1"/>
      </rPr>
      <t xml:space="preserve">270.57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255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159–400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頁面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</si>
  <si>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共識目標價：未找到；高盛 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325 </t>
    </r>
    <r>
      <rPr>
        <sz val="11"/>
        <color theme="1"/>
        <rFont val="Noto Sans CJK SC"/>
        <family val="2"/>
      </rPr>
      <t xml:space="preserve">降至 </t>
    </r>
    <r>
      <rPr>
        <sz val="11"/>
        <color theme="1"/>
        <rFont val="Calibri"/>
        <family val="2"/>
        <charset val="1"/>
      </rPr>
      <t xml:space="preserve">277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新聞標題）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</si>
  <si>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</si>
  <si>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（差距拆解用）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</si>
  <si>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6.448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8.483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 2026-10-09</t>
    </r>
    <r>
      <rPr>
        <sz val="11"/>
        <color theme="1"/>
        <rFont val="Noto Sans CJK SC"/>
        <family val="2"/>
      </rPr>
      <t xml:space="preserve">，與本模型前瞻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同口徑）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</si>
  <si>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</si>
  <si>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</si>
  <si>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</si>
  <si>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</si>
  <si>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</si>
  <si>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scn_hs_25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</si>
  <si>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</si>
  <si>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hsA_25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hsB_25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hsC_25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</si>
  <si>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scn_hs_26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</si>
  <si>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</si>
  <si>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hsA_26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hsB_26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hsC_26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</si>
  <si>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scn_hs_27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</si>
  <si>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</si>
  <si>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hsA_27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hsB_27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hsC_27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</si>
  <si>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scn_hs_28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</si>
  <si>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</si>
  <si>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hsA_28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hsC_28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</si>
  <si>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scn_hs_29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</si>
  <si>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</si>
  <si>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hsA_29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hsB_29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hsC_29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</si>
  <si>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</si>
  <si>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基準（台積電模型情境顆數係數）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</si>
  <si>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</si>
  <si>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</si>
  <si>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基準（台積電模型情境顆數係數）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</si>
  <si>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</si>
  <si>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scn_att_26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</si>
  <si>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</si>
  <si>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attA_26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attB_26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attC_26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</si>
  <si>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scn_att_27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</si>
  <si>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</si>
  <si>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attA_27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attB_27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attC_27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</si>
  <si>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scn_att_28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</si>
  <si>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</si>
  <si>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attA_28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attB_28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attC_28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</si>
  <si>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scn_att_29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</si>
  <si>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</si>
  <si>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attA_29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attB_29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attC_29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</si>
  <si>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scn_att_30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</si>
  <si>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2030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</si>
  <si>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attA_30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attB_30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attC_30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</si>
  <si>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scn_shm</t>
  </si>
  <si>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混合鍵合機採購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</si>
  <si>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shm_A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shm_B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shm_C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</si>
  <si>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scn_shl</t>
  </si>
  <si>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邏輯混合鍵合份額，相對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</si>
  <si>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shl_A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shl_B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shl_C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</si>
  <si>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scn_eqg_27</t>
  </si>
  <si>
    <r>
      <rPr>
        <sz val="11"/>
        <color theme="1"/>
        <rFont val="Noto Sans CJK SC"/>
        <family val="2"/>
      </rPr>
      <t xml:space="preserve">設備總額年增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</si>
  <si>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eqgA_27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eqgB_27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eqgC_27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</si>
  <si>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scn_eqg_28</t>
  </si>
  <si>
    <r>
      <rPr>
        <sz val="11"/>
        <color theme="1"/>
        <rFont val="Noto Sans CJK SC"/>
        <family val="2"/>
      </rPr>
      <t xml:space="preserve">設備總額年增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</si>
  <si>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eqgA_28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eqgB_28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eqgC_28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</si>
  <si>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scn_eqg_29</t>
  </si>
  <si>
    <r>
      <rPr>
        <sz val="11"/>
        <color theme="1"/>
        <rFont val="Noto Sans CJK SC"/>
        <family val="2"/>
      </rPr>
      <t xml:space="preserve">設備總額年增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</si>
  <si>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eqgA_29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eqgB_29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eqgC_29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</si>
  <si>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scn_pk</t>
  </si>
  <si>
    <t xml:space="preserve">設備市場見頂年度（日曆年；循環位置規則用）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</si>
  <si>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pk_A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pk_B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pk_C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</si>
  <si>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scn_gm_adj_C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</si>
  <si>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起毛利率額外調整（價格競爭）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</si>
  <si>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gm_adj_C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無專屬輸入列；情境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無專屬輸入列，填 </t>
    </r>
    <r>
      <rPr>
        <sz val="11"/>
        <color theme="1"/>
        <rFont val="Calibri"/>
        <family val="2"/>
        <charset val="1"/>
      </rPr>
      <t xml:space="preserve">0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</si>
  <si>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</si>
  <si>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</si>
  <si>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</si>
  <si>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實績（百萬歐元；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為歐元）。會計年度＝日曆年。藍字＝輸入；黑字＝公式（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）。季資料取自公司新聞稿（</t>
    </r>
    <r>
      <rPr>
        <sz val="11"/>
        <color theme="1"/>
        <rFont val="Calibri"/>
        <family val="2"/>
        <charset val="1"/>
      </rPr>
      <t xml:space="preserve">GlobeNewswire </t>
    </r>
    <r>
      <rPr>
        <sz val="11"/>
        <color theme="1"/>
        <rFont val="Noto Sans CJK SC"/>
        <family val="2"/>
      </rPr>
      <t xml:space="preserve">轉載），年資料另以 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核對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</si>
  <si>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第三季（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）已於 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公布並納入（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欄）；第四季與全年預定 </t>
    </r>
    <r>
      <rPr>
        <sz val="11"/>
        <color theme="1"/>
        <rFont val="Calibri"/>
        <family val="2"/>
        <charset val="1"/>
      </rPr>
      <t xml:space="preserve">2027-02-25 </t>
    </r>
    <r>
      <rPr>
        <sz val="11"/>
        <color theme="1"/>
        <rFont val="Noto Sans CJK SC"/>
        <family val="2"/>
      </rPr>
      <t xml:space="preserve">公布（公司財務行事曆）。公布後更新本頁與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q4g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q4gm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q4opx</t>
    </r>
  </si>
  <si>
    <t xml:space="preserve">FY2024</t>
  </si>
  <si>
    <t xml:space="preserve">25Q1</t>
  </si>
  <si>
    <t xml:space="preserve">25Q2</t>
  </si>
  <si>
    <t xml:space="preserve">25Q3</t>
  </si>
  <si>
    <t xml:space="preserve">25Q4</t>
  </si>
  <si>
    <t xml:space="preserve">FY2025</t>
  </si>
  <si>
    <t xml:space="preserve">26Q1</t>
  </si>
  <si>
    <t xml:space="preserve">26Q2</t>
  </si>
  <si>
    <t xml:space="preserve">26Q3</t>
  </si>
  <si>
    <t xml:space="preserve">營收</t>
  </si>
  <si>
    <r>
      <rPr>
        <sz val="11"/>
        <color theme="1"/>
        <rFont val="Noto Sans CJK SC"/>
        <family val="2"/>
      </rPr>
      <t xml:space="preserve">公司新聞稿：</t>
    </r>
    <r>
      <rPr>
        <sz val="11"/>
        <color theme="1"/>
        <rFont val="Calibri"/>
        <family val="2"/>
        <charset val="1"/>
      </rPr>
      <t xml:space="preserve">Q4-25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2026-02-19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Q2-26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Q3-26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</si>
  <si>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年度：</t>
    </r>
    <r>
      <rPr>
        <sz val="11"/>
        <color theme="1"/>
        <rFont val="Calibri"/>
        <family val="2"/>
        <charset val="1"/>
      </rPr>
      <t xml:space="preserve">FY2024 607.47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591.33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investing.com Q3-26 </t>
    </r>
    <r>
      <rPr>
        <sz val="11"/>
        <color theme="1"/>
        <rFont val="Noto Sans CJK SC"/>
        <family val="2"/>
      </rPr>
      <t xml:space="preserve">簡報摘要 </t>
    </r>
    <r>
      <rPr>
        <sz val="11"/>
        <color theme="1"/>
        <rFont val="Calibri"/>
        <family val="2"/>
        <charset val="1"/>
      </rPr>
      <t xml:space="preserve">283.4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</si>
  <si>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</si>
  <si>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26Q3 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</si>
  <si>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公司新聞稿；</t>
    </r>
    <r>
      <rPr>
        <sz val="11"/>
        <color theme="1"/>
        <rFont val="Calibri"/>
        <family val="2"/>
        <charset val="1"/>
      </rPr>
      <t xml:space="preserve">26Q3</t>
    </r>
    <r>
      <rPr>
        <sz val="11"/>
        <color theme="1"/>
        <rFont val="Noto Sans CJK SC"/>
        <family val="2"/>
      </rPr>
      <t xml:space="preserve">＝營收 </t>
    </r>
    <r>
      <rPr>
        <sz val="11"/>
        <color theme="1"/>
        <rFont val="Calibri"/>
        <family val="2"/>
        <charset val="1"/>
      </rPr>
      <t xml:space="preserve">283.4 ×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65.2%</t>
    </r>
    <r>
      <rPr>
        <sz val="11"/>
        <color theme="1"/>
        <rFont val="Noto Sans CJK SC"/>
        <family val="2"/>
      </rPr>
      <t xml:space="preserve">（簡報摘要）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</si>
  <si>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374.27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395.94</t>
    </r>
  </si>
  <si>
    <t xml:space="preserve">毛利率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</si>
  <si>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63.3%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26Q2 65.7%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26Q3 65.2%</t>
    </r>
  </si>
  <si>
    <t xml:space="preserve">營業費用（銷管＋研發，毛利 − 營業利益）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</si>
  <si>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26Q2 55.3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26Q3 55.1</t>
    </r>
  </si>
  <si>
    <t xml:space="preserve">營業利益</t>
  </si>
  <si>
    <t xml:space="preserve">公司新聞稿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</si>
  <si>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173.06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195.59</t>
    </r>
  </si>
  <si>
    <t xml:space="preserve">財務費用淨額</t>
  </si>
  <si>
    <r>
      <rPr>
        <sz val="11"/>
        <color theme="1"/>
        <rFont val="Noto Sans CJK SC"/>
        <family val="2"/>
      </rPr>
      <t xml:space="preserve">公司新聞稿；</t>
    </r>
    <r>
      <rPr>
        <sz val="11"/>
        <color theme="1"/>
        <rFont val="Calibri"/>
        <family val="2"/>
        <charset val="1"/>
      </rPr>
      <t xml:space="preserve">26Q3</t>
    </r>
    <r>
      <rPr>
        <sz val="11"/>
        <color theme="1"/>
        <rFont val="Noto Sans CJK SC"/>
        <family val="2"/>
      </rPr>
      <t xml:space="preserve">＝營業利益 − 淨利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1 − 13.3%</t>
    </r>
    <r>
      <rPr>
        <sz val="11"/>
        <color theme="1"/>
        <rFont val="Noto Sans CJK SC"/>
        <family val="2"/>
      </rPr>
      <t xml:space="preserve">）</t>
    </r>
  </si>
  <si>
    <t xml:space="preserve">淨利</t>
  </si>
  <si>
    <r>
      <rPr>
        <sz val="11"/>
        <color theme="1"/>
        <rFont val="Noto Sans CJK SC"/>
        <family val="2"/>
      </rPr>
      <t xml:space="preserve">公司新聞稿（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含 €</t>
    </r>
    <r>
      <rPr>
        <sz val="11"/>
        <color theme="1"/>
        <rFont val="Calibri"/>
        <family val="2"/>
        <charset val="1"/>
      </rPr>
      <t xml:space="preserve">18.2M </t>
    </r>
    <r>
      <rPr>
        <sz val="11"/>
        <color theme="1"/>
        <rFont val="Noto Sans CJK SC"/>
        <family val="2"/>
      </rPr>
      <t xml:space="preserve">稅務利益）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</si>
  <si>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131.64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181.99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</si>
  <si>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（基本，歐元）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</si>
  <si>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1.66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2.30</t>
    </r>
  </si>
  <si>
    <t xml:space="preserve">訂單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</si>
  <si>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月訂單 €</t>
    </r>
    <r>
      <rPr>
        <sz val="11"/>
        <color theme="1"/>
        <rFont val="Calibri"/>
        <family val="2"/>
        <charset val="1"/>
      </rPr>
      <t xml:space="preserve">1.2B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Q3-26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</si>
  <si>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檢查：四季合計 − 全年（營收、淨利；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欄）</t>
    </r>
  </si>
  <si>
    <r>
      <rPr>
        <sz val="11"/>
        <color theme="1"/>
        <rFont val="Calibri"/>
        <family val="2"/>
        <charset val="1"/>
      </rPr>
      <t xml:space="preserve">Units — HBM </t>
    </r>
    <r>
      <rPr>
        <sz val="11"/>
        <color theme="1"/>
        <rFont val="Noto Sans CJK SC"/>
        <family val="2"/>
      </rPr>
      <t xml:space="preserve">晶粒 → 混合鍵合產能 → 機台；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 → 邏輯混合鍵合需求指數（日曆年；三情境，引用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區塊）</t>
    </r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</si>
  <si>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</si>
  <si>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</si>
  <si>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</si>
  <si>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</si>
  <si>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</si>
  <si>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</si>
  <si>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</si>
  <si>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  HBM </t>
    </r>
    <r>
      <rPr>
        <sz val="11"/>
        <color theme="1"/>
        <rFont val="Noto Sans CJK SC"/>
        <family val="2"/>
      </rPr>
      <t xml:space="preserve">出貨位元</t>
    </r>
  </si>
  <si>
    <t xml:space="preserve">  核心晶粒數</t>
  </si>
  <si>
    <t xml:space="preserve">百萬顆</t>
  </si>
  <si>
    <r>
      <rPr>
        <sz val="11"/>
        <color theme="1"/>
        <rFont val="Noto Sans CJK SC"/>
        <family val="2"/>
      </rPr>
      <t xml:space="preserve">  混合鍵合占比（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</si>
  <si>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HBM </t>
    </r>
    <r>
      <rPr>
        <sz val="11"/>
        <color theme="1"/>
        <rFont val="Noto Sans CJK SC"/>
        <family val="2"/>
      </rPr>
      <t xml:space="preserve">混合鍵合所需機台</t>
    </r>
  </si>
  <si>
    <r>
      <rPr>
        <sz val="11"/>
        <color theme="1"/>
        <rFont val="Calibri"/>
        <family val="2"/>
        <charset val="1"/>
      </rPr>
      <t xml:space="preserve">  HBM </t>
    </r>
    <r>
      <rPr>
        <sz val="11"/>
        <color theme="1"/>
        <rFont val="Noto Sans CJK SC"/>
        <family val="2"/>
      </rPr>
      <t xml:space="preserve">混合鍵合新機需求</t>
    </r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</si>
  <si>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先進封裝晶圓需求</t>
    </r>
  </si>
  <si>
    <t xml:space="preserve">  混合鍵合邏輯晶圓（需求指數）</t>
  </si>
  <si>
    <t xml:space="preserve">千片當量</t>
  </si>
  <si>
    <t xml:space="preserve">  邏輯新機需求指數</t>
  </si>
  <si>
    <t xml:space="preserve">  混合鍵合營收隱含機台數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</si>
  <si>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</si>
  <si>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</si>
  <si>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對照：混合鍵合累計訂單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150</t>
    </r>
    <r>
      <rPr>
        <sz val="11"/>
        <color theme="1"/>
        <rFont val="Noto Sans CJK SC"/>
        <family val="2"/>
      </rPr>
      <t xml:space="preserve">＋台、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年第三季 </t>
    </r>
    <r>
      <rPr>
        <sz val="11"/>
        <color theme="1"/>
        <rFont val="Calibri"/>
        <family val="2"/>
        <charset val="1"/>
      </rPr>
      <t xml:space="preserve">215</t>
    </r>
    <r>
      <rPr>
        <sz val="11"/>
        <color theme="1"/>
        <rFont val="Noto Sans CJK SC"/>
        <family val="2"/>
      </rPr>
      <t xml:space="preserve">＋台（公司）</t>
    </r>
  </si>
  <si>
    <r>
      <rPr>
        <sz val="11"/>
        <color theme="1"/>
        <rFont val="Calibri"/>
        <family val="2"/>
        <charset val="1"/>
      </rPr>
      <t xml:space="preserve">PL — BESI </t>
    </r>
    <r>
      <rPr>
        <sz val="11"/>
        <color theme="1"/>
        <rFont val="Noto Sans CJK SC"/>
        <family val="2"/>
      </rPr>
      <t xml:space="preserve">損益（€</t>
    </r>
    <r>
      <rPr>
        <sz val="11"/>
        <color theme="1"/>
        <rFont val="Calibri"/>
        <family val="2"/>
        <charset val="1"/>
      </rPr>
      <t xml:space="preserve">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錨點＝前三季實績＋第四季指引，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為模型）。三情境各一個完整推導區塊（見下方），本頁頂端為摘要</t>
    </r>
  </si>
  <si>
    <t xml:space="preserve">情境／項目</t>
  </si>
  <si>
    <t xml:space="preserve">FY2025A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</si>
  <si>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</si>
  <si>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</si>
  <si>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</si>
  <si>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</si>
  <si>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為錨點（前三季實績＋第四季指引），三情境相同；情境差異從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</t>
    </r>
  </si>
  <si>
    <t xml:space="preserve">  混合鍵合</t>
  </si>
  <si>
    <t xml:space="preserve">  主流業務</t>
  </si>
  <si>
    <t xml:space="preserve">營業利益率</t>
  </si>
  <si>
    <t xml:space="preserve">EPS</t>
  </si>
  <si>
    <r>
      <rPr>
        <b val="true"/>
        <sz val="11"/>
        <rFont val="Noto Sans CJK SC"/>
        <family val="2"/>
      </rPr>
      <t xml:space="preserve">核對：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三情境相同（營收、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差額合計，應為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</si>
  <si>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、台積電顆數係數、</t>
    </r>
    <r>
      <rPr>
        <b val="true"/>
        <sz val="11"/>
        <rFont val="Cambria"/>
        <family val="0"/>
        <charset val="1"/>
      </rPr>
      <t xml:space="preserve">markets/equipment </t>
    </r>
    <r>
      <rPr>
        <b val="true"/>
        <sz val="11"/>
        <rFont val="Noto Sans CJK SC"/>
        <family val="2"/>
      </rPr>
      <t xml:space="preserve">皆取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混合鍵合取 </t>
    </r>
    <r>
      <rPr>
        <b val="true"/>
        <sz val="11"/>
        <rFont val="Cambria"/>
        <family val="0"/>
        <charset val="1"/>
      </rPr>
      <t xml:space="preserve">Disco </t>
    </r>
    <r>
      <rPr>
        <b val="true"/>
        <sz val="11"/>
        <rFont val="Noto Sans CJK SC"/>
        <family val="2"/>
      </rPr>
      <t xml:space="preserve">高值；邏輯導入快；份額守住</t>
    </r>
  </si>
  <si>
    <r>
      <rPr>
        <b val="true"/>
        <sz val="11"/>
        <rFont val="Cambria"/>
        <family val="0"/>
        <charset val="1"/>
      </rPr>
      <t xml:space="preserve">A. HBM </t>
    </r>
    <r>
      <rPr>
        <b val="true"/>
        <sz val="11"/>
        <rFont val="Noto Sans CJK SC"/>
        <family val="2"/>
      </rPr>
      <t xml:space="preserve">混合鍵合（日曆年；與韓美同一晶粒口徑）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</si>
  <si>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</t>
    </r>
  </si>
  <si>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同字母情境；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2029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g_tail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</si>
  <si>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晶粒容量</t>
    </r>
  </si>
  <si>
    <t xml:space="preserve">Gb</t>
  </si>
  <si>
    <r>
      <rPr>
        <sz val="11"/>
        <color theme="1"/>
        <rFont val="Noto Sans CJK SC"/>
        <family val="2"/>
      </rPr>
      <t xml:space="preserve">核心晶粒數＝位元 </t>
    </r>
    <r>
      <rPr>
        <sz val="11"/>
        <color theme="1"/>
        <rFont val="Calibri"/>
        <family val="2"/>
        <charset val="1"/>
      </rPr>
      <t xml:space="preserve">× 8000 ÷ </t>
    </r>
    <r>
      <rPr>
        <sz val="11"/>
        <color theme="1"/>
        <rFont val="Noto Sans CJK SC"/>
        <family val="2"/>
      </rPr>
      <t xml:space="preserve">容量</t>
    </r>
  </si>
  <si>
    <r>
      <rPr>
        <sz val="11"/>
        <color theme="1"/>
        <rFont val="Calibri"/>
        <family val="2"/>
        <charset val="1"/>
      </rPr>
      <t xml:space="preserve">1 EB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8×10⁹ Gb</t>
    </r>
    <r>
      <rPr>
        <sz val="11"/>
        <color theme="1"/>
        <rFont val="Noto Sans CJK SC"/>
        <family val="2"/>
      </rPr>
      <t xml:space="preserve">；每顆核心晶粒鍵合一次</t>
    </r>
  </si>
  <si>
    <t xml:space="preserve">平均堆疊層數</t>
  </si>
  <si>
    <t xml:space="preserve">層數加權（每顆晶粒鍵合時間）</t>
  </si>
  <si>
    <t xml:space="preserve">混合鍵合占比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</si>
  <si>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模型高值</t>
    </r>
  </si>
  <si>
    <r>
      <rPr>
        <sz val="11"/>
        <color theme="1"/>
        <rFont val="Noto Sans CJK SC"/>
        <family val="2"/>
      </rPr>
      <t xml:space="preserve">混合鍵合產能需求（晶粒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層數加權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混合鍵合占比）</t>
    </r>
  </si>
  <si>
    <t xml:space="preserve">百萬顆當量</t>
  </si>
  <si>
    <r>
      <rPr>
        <sz val="11"/>
        <color theme="1"/>
        <rFont val="Noto Sans CJK SC"/>
        <family val="2"/>
      </rPr>
      <t xml:space="preserve">所需機台＝產能需求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每台年產能</t>
    </r>
  </si>
  <si>
    <r>
      <rPr>
        <sz val="11"/>
        <color theme="1"/>
        <rFont val="Noto Sans CJK SC"/>
        <family val="2"/>
      </rPr>
      <t xml:space="preserve">新機需求＝</t>
    </r>
    <r>
      <rPr>
        <sz val="11"/>
        <color theme="1"/>
        <rFont val="Calibri"/>
        <family val="2"/>
        <charset val="1"/>
      </rPr>
      <t xml:space="preserve">MAX(0, </t>
    </r>
    <r>
      <rPr>
        <sz val="11"/>
        <color theme="1"/>
        <rFont val="Noto Sans CJK SC"/>
        <family val="2"/>
      </rPr>
      <t xml:space="preserve">下一年 − 本年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＋汰換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本年</t>
    </r>
  </si>
  <si>
    <t xml:space="preserve">機台在產能需要前一年購入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</si>
  <si>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邏輯混合鍵合（</t>
    </r>
    <r>
      <rPr>
        <b val="true"/>
        <sz val="11"/>
        <rFont val="Cambria"/>
        <family val="0"/>
        <charset val="1"/>
      </rPr>
      <t xml:space="preserve">SoIC </t>
    </r>
    <r>
      <rPr>
        <b val="true"/>
        <sz val="11"/>
        <rFont val="Noto Sans CJK SC"/>
        <family val="2"/>
      </rPr>
      <t xml:space="preserve">類；日曆年）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</si>
  <si>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先進封裝晶圓需求＝台積電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</si>
  <si>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2029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g_tail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</si>
  <si>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</t>
    </r>
  </si>
  <si>
    <t xml:space="preserve">混合鍵合邏輯晶圓（需求指數）</t>
  </si>
  <si>
    <r>
      <rPr>
        <sz val="11"/>
        <color theme="1"/>
        <rFont val="Noto Sans CJK SC"/>
        <family val="2"/>
      </rPr>
      <t xml:space="preserve">新機需求指數＝</t>
    </r>
    <r>
      <rPr>
        <sz val="11"/>
        <color theme="1"/>
        <rFont val="Calibri"/>
        <family val="2"/>
        <charset val="1"/>
      </rPr>
      <t xml:space="preserve">MAX(0, </t>
    </r>
    <r>
      <rPr>
        <sz val="11"/>
        <color theme="1"/>
        <rFont val="Noto Sans CJK SC"/>
        <family val="2"/>
      </rPr>
      <t xml:space="preserve">下一年 − 本年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＋汰換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本年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</si>
  <si>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損益（會計年度；</t>
    </r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＝錨點）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</si>
  <si>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混合鍵合營收＝新機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× BESI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</si>
  <si>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Calibri"/>
        <family val="2"/>
        <charset val="1"/>
      </rPr>
      <t xml:space="preserve">FY2025–26 </t>
    </r>
    <r>
      <rPr>
        <sz val="11"/>
        <color theme="1"/>
        <rFont val="Noto Sans CJK SC"/>
        <family val="2"/>
      </rPr>
      <t xml:space="preserve">尚未量產（</t>
    </r>
    <r>
      <rPr>
        <sz val="11"/>
        <color theme="1"/>
        <rFont val="Calibri"/>
        <family val="2"/>
        <charset val="1"/>
      </rPr>
      <t xml:space="preserve">Assumed 0</t>
    </r>
    <r>
      <rPr>
        <sz val="11"/>
        <color theme="1"/>
        <rFont val="Noto Sans CJK SC"/>
        <family val="2"/>
      </rPr>
      <t xml:space="preserve">）</t>
    </r>
  </si>
  <si>
    <t xml:space="preserve">邏輯與其他混合鍵合營收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</si>
  <si>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＝錨點營收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混合鍵合占比；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起＝</t>
    </r>
    <r>
      <rPr>
        <sz val="11"/>
        <color theme="1"/>
        <rFont val="Calibri"/>
        <family val="2"/>
        <charset val="1"/>
      </rPr>
      <t xml:space="preserve">k × </t>
    </r>
    <r>
      <rPr>
        <sz val="11"/>
        <color theme="1"/>
        <rFont val="Noto Sans CJK SC"/>
        <family val="2"/>
      </rPr>
      <t xml:space="preserve">新機需求指數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相對份額</t>
    </r>
  </si>
  <si>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邏輯混合鍵合營收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新機需求指數</t>
    </r>
  </si>
  <si>
    <r>
      <rPr>
        <sz val="11"/>
        <color theme="1"/>
        <rFont val="Calibri"/>
        <family val="2"/>
        <charset val="1"/>
      </rPr>
      <t xml:space="preserve">€M</t>
    </r>
    <r>
      <rPr>
        <sz val="11"/>
        <color theme="1"/>
        <rFont val="Noto Sans CJK SC"/>
        <family val="2"/>
      </rPr>
      <t xml:space="preserve">／千片當量</t>
    </r>
  </si>
  <si>
    <r>
      <rPr>
        <sz val="11"/>
        <color theme="1"/>
        <rFont val="Noto Sans CJK SC"/>
        <family val="2"/>
      </rPr>
      <t xml:space="preserve">只用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（台積電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需求自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起）；不使用共識</t>
    </r>
  </si>
  <si>
    <t xml:space="preserve">混合鍵合營收合計</t>
  </si>
  <si>
    <r>
      <rPr>
        <sz val="11"/>
        <color theme="1"/>
        <rFont val="Noto Sans CJK SC"/>
        <family val="2"/>
      </rPr>
      <t xml:space="preserve">主流業務營收（晶粒貼合、封裝、電鍍、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</si>
  <si>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起＝前一年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＋彈性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設備總額年增，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同字母）</t>
    </r>
  </si>
  <si>
    <t xml:space="preserve">混合鍵合占營收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</si>
  <si>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＝錨點；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起＝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＋溢價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混合鍵合占比變化（情境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另扣價格競爭）</t>
    </r>
  </si>
  <si>
    <t xml:space="preserve">營業費用</t>
  </si>
  <si>
    <r>
      <rPr>
        <sz val="11"/>
        <color theme="1"/>
        <rFont val="Noto Sans CJK SC"/>
        <family val="2"/>
      </rPr>
      <t xml:space="preserve">固定＋變動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</si>
  <si>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混合鍵合營收隱含機台數＝營收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單價（對帳用）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</si>
  <si>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（平平）：上游皆取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×0.85</t>
    </r>
    <r>
      <rPr>
        <b val="true"/>
        <sz val="11"/>
        <rFont val="Noto Sans CJK SC"/>
        <family val="2"/>
      </rPr>
      <t xml:space="preserve">；設備 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見頂）；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混合鍵合取 </t>
    </r>
    <r>
      <rPr>
        <b val="true"/>
        <sz val="11"/>
        <rFont val="Cambria"/>
        <family val="0"/>
        <charset val="1"/>
      </rPr>
      <t xml:space="preserve">Disco </t>
    </r>
    <r>
      <rPr>
        <b val="true"/>
        <sz val="11"/>
        <rFont val="Noto Sans CJK SC"/>
        <family val="2"/>
      </rPr>
      <t xml:space="preserve">基準；份額小降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</si>
  <si>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模型基準值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</si>
  <si>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（不如預期）：上游皆取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；設備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見頂、</t>
    </r>
    <r>
      <rPr>
        <b val="true"/>
        <sz val="11"/>
        <rFont val="Cambria"/>
        <family val="0"/>
        <charset val="1"/>
      </rPr>
      <t xml:space="preserve">2028 −20%</t>
    </r>
    <r>
      <rPr>
        <b val="true"/>
        <sz val="11"/>
        <rFont val="Noto Sans CJK SC"/>
        <family val="2"/>
      </rPr>
      <t xml:space="preserve">）；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混合鍵合取 </t>
    </r>
    <r>
      <rPr>
        <b val="true"/>
        <sz val="11"/>
        <rFont val="Cambria"/>
        <family val="0"/>
        <charset val="1"/>
      </rPr>
      <t xml:space="preserve">Disco </t>
    </r>
    <r>
      <rPr>
        <b val="true"/>
        <sz val="11"/>
        <rFont val="Noto Sans CJK SC"/>
        <family val="2"/>
      </rPr>
      <t xml:space="preserve">低值；邏輯導入慢、份額流失、毛利率下調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</si>
  <si>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模型低值</t>
    </r>
  </si>
  <si>
    <r>
      <rPr>
        <b val="true"/>
        <sz val="11"/>
        <rFont val="Noto Sans CJK SC"/>
        <family val="2"/>
      </rPr>
      <t xml:space="preserve">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引用本頁頂端摘要；灰底 </t>
    </r>
    <r>
      <rPr>
        <b val="true"/>
        <sz val="11"/>
        <rFont val="Cambria"/>
        <family val="0"/>
        <charset val="1"/>
      </rPr>
      <t xml:space="preserve">FY2030–FY2032 </t>
    </r>
    <r>
      <rPr>
        <b val="true"/>
        <sz val="11"/>
        <rFont val="Noto Sans CJK SC"/>
        <family val="2"/>
      </rPr>
      <t xml:space="preserve">為收斂法，非驅動因子推導</t>
    </r>
  </si>
  <si>
    <r>
      <rPr>
        <sz val="11"/>
        <color theme="1"/>
        <rFont val="Noto Sans CJK SC"/>
        <family val="2"/>
      </rPr>
      <t xml:space="preserve">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 </t>
    </r>
    <r>
      <rPr>
        <sz val="11"/>
        <color theme="1"/>
        <rFont val="Calibri"/>
        <family val="2"/>
        <charset val="1"/>
      </rPr>
      <t xml:space="preserve">nim10</t>
    </r>
    <r>
      <rPr>
        <sz val="11"/>
        <color theme="1"/>
        <rFont val="Noto Sans CJK SC"/>
        <family val="2"/>
      </rPr>
      <t xml:space="preserve">）；股數維持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與淨利同比例）</t>
    </r>
  </si>
  <si>
    <t xml:space="preserve">情境（延伸）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</si>
  <si>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</si>
  <si>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</si>
  <si>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</si>
  <si>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</si>
  <si>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</si>
  <si>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  營收年增</t>
  </si>
  <si>
    <r>
      <rPr>
        <sz val="11"/>
        <color theme="1"/>
        <rFont val="Noto Sans CJK SC"/>
        <family val="2"/>
      </rPr>
      <t xml:space="preserve">  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</si>
  <si>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淨利（收斂法延伸）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</si>
  <si>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</si>
  <si>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</si>
  <si>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</si>
  <si>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估值。跨公司規則：合理倍數＝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的分位，依循環位置：見頂年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分位。循環位置依設備股共用規則（第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</t>
    </r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</si>
  <si>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定義：日曆年底收盤價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（本公司會計年度＝日曆年）。兩個來源各自取分位再平均（</t>
    </r>
    <r>
      <rPr>
        <sz val="11"/>
        <color theme="1"/>
        <rFont val="Calibri"/>
        <family val="2"/>
        <charset val="1"/>
      </rPr>
      <t xml:space="preserve">tools/valuation_rule.py </t>
    </r>
    <r>
      <rPr>
        <sz val="11"/>
        <color theme="1"/>
        <rFont val="Noto Sans CJK SC"/>
        <family val="2"/>
      </rPr>
      <t xml:space="preserve">的多來源慣例）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</si>
  <si>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加權）：見本頁第 </t>
    </r>
    <r>
      <rPr>
        <sz val="11"/>
        <color theme="1"/>
        <rFont val="Calibri"/>
        <family val="2"/>
        <charset val="1"/>
      </rPr>
      <t xml:space="preserve">77 </t>
    </r>
    <r>
      <rPr>
        <sz val="11"/>
        <color theme="1"/>
        <rFont val="Noto Sans CJK SC"/>
        <family val="2"/>
      </rPr>
      <t xml:space="preserve">列起「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目標價」（放在既有內容之後）；原「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目標價與上檔空間」改名為「舊法：規則值情境加權（參考）」</t>
    </r>
  </si>
  <si>
    <t xml:space="preserve">舊法：規則值情境加權（參考）</t>
  </si>
  <si>
    <t xml:space="preserve">數值</t>
  </si>
  <si>
    <r>
      <rPr>
        <sz val="11"/>
        <color theme="1"/>
        <rFont val="Noto Sans CJK SC"/>
        <family val="2"/>
      </rPr>
      <t xml:space="preserve">規則值情境加權價（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個月；參考）</t>
    </r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</si>
  <si>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三情境隱含價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</si>
  <si>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</si>
  <si>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現價見第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</si>
  <si>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隱含價（順利）</t>
    </r>
  </si>
  <si>
    <r>
      <rPr>
        <sz val="11"/>
        <color theme="1"/>
        <rFont val="Calibri"/>
        <family val="2"/>
        <charset val="1"/>
      </rPr>
      <t xml:space="preserve">Val!F44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規則倍數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</si>
  <si>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隱含價（平平）</t>
    </r>
  </si>
  <si>
    <r>
      <rPr>
        <sz val="11"/>
        <color theme="1"/>
        <rFont val="Calibri"/>
        <family val="2"/>
        <charset val="1"/>
      </rPr>
      <t xml:space="preserve">Val!F51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規則倍數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</si>
  <si>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隱含價（不如預期）</t>
    </r>
  </si>
  <si>
    <r>
      <rPr>
        <sz val="11"/>
        <color theme="1"/>
        <rFont val="Calibri"/>
        <family val="2"/>
        <charset val="1"/>
      </rPr>
      <t xml:space="preserve">Val!F58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規則倍數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</si>
  <si>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</si>
  <si>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</t>
    </r>
  </si>
  <si>
    <t xml:space="preserve">規則值方法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</si>
  <si>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依循環位置的十年（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分位（設備股共用規則：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中段＝中位數，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分位），再以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 </t>
    </r>
    <r>
      <rPr>
        <sz val="11"/>
        <color theme="1"/>
        <rFont val="Noto Sans CJK SC"/>
        <family val="2"/>
      </rPr>
      <t xml:space="preserve">加權。偏誤：</t>
    </r>
    <r>
      <rPr>
        <sz val="11"/>
        <color theme="1"/>
        <rFont val="Calibri"/>
        <family val="2"/>
        <charset val="1"/>
      </rPr>
      <t xml:space="preserve">2016–2022 </t>
    </r>
    <r>
      <rPr>
        <sz val="11"/>
        <color theme="1"/>
        <rFont val="Noto Sans CJK SC"/>
        <family val="2"/>
      </rPr>
      <t xml:space="preserve">年（混合鍵合前）倍數 </t>
    </r>
    <r>
      <rPr>
        <sz val="11"/>
        <color theme="1"/>
        <rFont val="Calibri"/>
        <family val="2"/>
        <charset val="1"/>
      </rPr>
      <t xml:space="preserve">8–27 </t>
    </r>
    <r>
      <rPr>
        <sz val="11"/>
        <color theme="1"/>
        <rFont val="Noto Sans CJK SC"/>
        <family val="2"/>
      </rPr>
      <t xml:space="preserve">倍，</t>
    </r>
    <r>
      <rPr>
        <sz val="11"/>
        <color theme="1"/>
        <rFont val="Calibri"/>
        <family val="2"/>
        <charset val="1"/>
      </rPr>
      <t xml:space="preserve">2023–25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54–80 </t>
    </r>
    <r>
      <rPr>
        <sz val="11"/>
        <color theme="1"/>
        <rFont val="Noto Sans CJK SC"/>
        <family val="2"/>
      </rPr>
      <t xml:space="preserve">倍（盈餘下滑、混合鍵合溢價），分位受兩段樣本拉扯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</si>
  <si>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（年底）— 兩個來源</t>
    </r>
  </si>
  <si>
    <t xml:space="preserve">年底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</si>
  <si>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BESIY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</si>
  <si>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（年底市值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淨利）</t>
    </r>
  </si>
  <si>
    <t xml:space="preserve">兩者差距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</si>
  <si>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出處</t>
    </r>
  </si>
  <si>
    <t xml:space="preserve">2016-12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</si>
  <si>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（資料商）</t>
    </r>
  </si>
  <si>
    <r>
      <rPr>
        <sz val="11"/>
        <color theme="1"/>
        <rFont val="Noto Sans CJK SC"/>
        <family val="2"/>
      </rPr>
      <t xml:space="preserve">未找到（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只到 </t>
    </r>
    <r>
      <rPr>
        <sz val="11"/>
        <color theme="1"/>
        <rFont val="Calibri"/>
        <family val="2"/>
        <charset val="1"/>
      </rPr>
      <t xml:space="preserve">FY2021</t>
    </r>
    <r>
      <rPr>
        <sz val="11"/>
        <color theme="1"/>
        <rFont val="Noto Sans CJK SC"/>
        <family val="2"/>
      </rPr>
      <t xml:space="preserve">）</t>
    </r>
  </si>
  <si>
    <t xml:space="preserve">2017-12</t>
  </si>
  <si>
    <t xml:space="preserve">未找到</t>
  </si>
  <si>
    <t xml:space="preserve">2018-12</t>
  </si>
  <si>
    <t xml:space="preserve">2019-12</t>
  </si>
  <si>
    <t xml:space="preserve">2020-12</t>
  </si>
  <si>
    <t xml:space="preserve">2021-12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</si>
  <si>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</t>
    </r>
  </si>
  <si>
    <t xml:space="preserve">2022-12</t>
  </si>
  <si>
    <t xml:space="preserve">stockanalysis</t>
  </si>
  <si>
    <t xml:space="preserve">2023-12</t>
  </si>
  <si>
    <t xml:space="preserve">2024-12</t>
  </si>
  <si>
    <t xml:space="preserve">2025-12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</si>
  <si>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（來源</t>
    </r>
    <r>
      <rPr>
        <sz val="11"/>
        <color theme="1"/>
        <rFont val="Calibri"/>
        <family val="2"/>
        <charset val="1"/>
      </rPr>
      <t xml:space="preserve">1 2025 </t>
    </r>
    <r>
      <rPr>
        <sz val="11"/>
        <color theme="1"/>
        <rFont val="Noto Sans CJK SC"/>
        <family val="2"/>
      </rPr>
      <t xml:space="preserve">年底未找到）</t>
    </r>
  </si>
  <si>
    <r>
      <rPr>
        <sz val="11"/>
        <color theme="1"/>
        <rFont val="Noto Sans CJK SC"/>
        <family val="2"/>
      </rPr>
      <t xml:space="preserve">說明：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以美國 </t>
    </r>
    <r>
      <rPr>
        <sz val="11"/>
        <color theme="1"/>
        <rFont val="Calibri"/>
        <family val="2"/>
        <charset val="1"/>
      </rPr>
      <t xml:space="preserve">ADR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BESIY</t>
    </r>
    <r>
      <rPr>
        <sz val="11"/>
        <color theme="1"/>
        <rFont val="Noto Sans CJK SC"/>
        <family val="2"/>
      </rPr>
      <t xml:space="preserve">）年底股價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（美元）；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年底值未找到（頁面最近一筆為 </t>
    </r>
    <r>
      <rPr>
        <sz val="11"/>
        <color theme="1"/>
        <rFont val="Calibri"/>
        <family val="2"/>
        <charset val="1"/>
      </rPr>
      <t xml:space="preserve">2025-06-17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60.7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以年底市值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淨利（歐元），只有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。兩源各自取分位再平均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</si>
  <si>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分位</t>
    </r>
  </si>
  <si>
    <t xml:space="preserve">統計</t>
  </si>
  <si>
    <t xml:space="preserve">採用（兩來源平均）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</si>
  <si>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</si>
  <si>
    <t xml:space="preserve">用途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</si>
  <si>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</si>
  <si>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見頂年</t>
  </si>
  <si>
    <t xml:space="preserve">中位數</t>
  </si>
  <si>
    <t xml:space="preserve">中段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</si>
  <si>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</si>
  <si>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谷底</t>
  </si>
  <si>
    <t xml:space="preserve">年數</t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</si>
  <si>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循環位置（設備股共用規則；見頂年度讀設備市場模型，不在本模型另訂）</t>
    </r>
  </si>
  <si>
    <r>
      <rPr>
        <sz val="11"/>
        <color theme="1"/>
        <rFont val="Noto Sans CJK SC"/>
        <family val="2"/>
      </rPr>
      <t xml:space="preserve">循環位置（設備股共用規則）：各情境的見頂年度取自設備市場模型（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3/4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年）：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分位）。本公司會計年度＝日曆年，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直接對照日曆年 </t>
    </r>
    <r>
      <rPr>
        <sz val="11"/>
        <color theme="1"/>
        <rFont val="Calibri"/>
        <family val="2"/>
        <charset val="1"/>
      </rPr>
      <t xml:space="preserve">t</t>
    </r>
  </si>
  <si>
    <t xml:space="preserve">情境</t>
  </si>
  <si>
    <t xml:space="preserve">設備市場見頂年度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</si>
  <si>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對照日曆年</t>
    </r>
  </si>
  <si>
    <t xml:space="preserve">判定</t>
  </si>
  <si>
    <t xml:space="preserve">倍數</t>
  </si>
  <si>
    <t xml:space="preserve">規則</t>
  </si>
  <si>
    <t xml:space="preserve">A</t>
  </si>
  <si>
    <t xml:space="preserve">tools/cycle_position.py</t>
  </si>
  <si>
    <t xml:space="preserve">B</t>
  </si>
  <si>
    <t xml:space="preserve">C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</si>
  <si>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隱含股價（歐元）：規則值＝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依循環位置的倍數；其餘倍數僅供參考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</si>
  <si>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</si>
  <si>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倍數類型</t>
  </si>
  <si>
    <t xml:space="preserve">隱含股價</t>
  </si>
  <si>
    <t xml:space="preserve">相對現價</t>
  </si>
  <si>
    <t xml:space="preserve">備註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</si>
  <si>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</si>
  <si>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</si>
  <si>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</si>
  <si>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目前倍數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</si>
  <si>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stockanalysis 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</si>
  <si>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</si>
  <si>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</si>
  <si>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</si>
  <si>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</si>
  <si>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3.64</t>
    </r>
    <r>
      <rPr>
        <sz val="11"/>
        <color theme="1"/>
        <rFont val="Noto Sans CJK SC"/>
        <family val="2"/>
      </rPr>
      <t xml:space="preserve">（同站）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</si>
  <si>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 6.448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</si>
  <si>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現價隱含倍數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規則倍數（情境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</si>
  <si>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&gt;1</t>
    </r>
    <r>
      <rPr>
        <sz val="11"/>
        <color theme="1"/>
        <rFont val="Noto Sans CJK SC"/>
        <family val="2"/>
      </rPr>
      <t xml:space="preserve">＝現價高於規則給的倍數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</si>
  <si>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</si>
  <si>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</si>
  <si>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</si>
  <si>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</si>
  <si>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</si>
  <si>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</si>
  <si>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</si>
  <si>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</si>
  <si>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</si>
  <si>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</si>
  <si>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</si>
  <si>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</si>
  <si>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</si>
  <si>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</si>
  <si>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模型無折舊與資本支出項目，故不用（淨利＋折舊－資本支出）；設備股資本支出低（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第三季資本支出含資本化研發 €</t>
    </r>
    <r>
      <rPr>
        <sz val="11"/>
        <color theme="1"/>
        <rFont val="Calibri"/>
        <family val="2"/>
        <charset val="1"/>
      </rPr>
      <t xml:space="preserve">8.5M</t>
    </r>
    <r>
      <rPr>
        <sz val="11"/>
        <color theme="1"/>
        <rFont val="Noto Sans CJK SC"/>
        <family val="2"/>
      </rPr>
      <t xml:space="preserve">），此式偏誤小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</si>
  <si>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</si>
  <si>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</si>
  <si>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</si>
  <si>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；任一情境 </t>
    </r>
    <r>
      <rPr>
        <sz val="11"/>
        <color theme="1"/>
        <rFont val="Calibri"/>
        <family val="2"/>
        <charset val="1"/>
      </rPr>
      <t xml:space="preserve">DCF &lt; 0 </t>
    </r>
    <r>
      <rPr>
        <sz val="11"/>
        <color theme="1"/>
        <rFont val="Noto Sans CJK SC"/>
        <family val="2"/>
      </rPr>
      <t xml:space="preserve">時取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（股東有限責任），仍照 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加權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</si>
  <si>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</si>
  <si>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</si>
  <si>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</si>
  <si>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</si>
  <si>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</si>
  <si>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</si>
  <si>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</si>
  <si>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</si>
  <si>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</si>
  <si>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ASM International</t>
  </si>
  <si>
    <t xml:space="preserve">ASM.AS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</si>
  <si>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</si>
  <si>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</si>
  <si>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t xml:space="preserve">ASMPT</t>
  </si>
  <si>
    <t xml:space="preserve">0522.HK</t>
  </si>
  <si>
    <t xml:space="preserve">2026-09-23</t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</si>
  <si>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（頁面價格日 </t>
    </r>
    <r>
      <rPr>
        <sz val="11"/>
        <color theme="1"/>
        <rFont val="Calibri"/>
        <family val="2"/>
        <charset val="1"/>
      </rPr>
      <t xml:space="preserve">2026-09-23</t>
    </r>
    <r>
      <rPr>
        <sz val="11"/>
        <color theme="1"/>
        <rFont val="Noto Sans CJK SC"/>
        <family val="2"/>
      </rPr>
      <t xml:space="preserve">，較舊）</t>
    </r>
  </si>
  <si>
    <t xml:space="preserve">Kulicke &amp; Soffa</t>
  </si>
  <si>
    <t xml:space="preserve">KLIC</t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</si>
  <si>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Forward PE</t>
    </r>
  </si>
  <si>
    <t xml:space="preserve">Disco</t>
  </si>
  <si>
    <t xml:space="preserve">6146.T</t>
  </si>
  <si>
    <r>
      <rPr>
        <sz val="11"/>
        <color theme="1"/>
        <rFont val="Noto Sans CJK SC"/>
        <family val="2"/>
      </rPr>
      <t xml:space="preserve">韓美半導體 </t>
    </r>
    <r>
      <rPr>
        <sz val="11"/>
        <color theme="1"/>
        <rFont val="Calibri"/>
        <family val="2"/>
        <charset val="1"/>
      </rPr>
      <t xml:space="preserve">Hanmi</t>
    </r>
  </si>
  <si>
    <t xml:space="preserve">042700.KS</t>
  </si>
  <si>
    <t xml:space="preserve">2026-08-07</t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</si>
  <si>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（頁面價格日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，較舊）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</si>
  <si>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</si>
  <si>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後段與鍵合設備同業：</t>
    </r>
    <r>
      <rPr>
        <sz val="11"/>
        <color theme="1"/>
        <rFont val="Calibri"/>
        <family val="2"/>
        <charset val="1"/>
      </rPr>
      <t xml:space="preserve">ASM International</t>
    </r>
    <r>
      <rPr>
        <sz val="11"/>
        <color theme="1"/>
        <rFont val="Noto Sans CJK SC"/>
        <family val="2"/>
      </rPr>
      <t xml:space="preserve">（前段沉積，券商常與 </t>
    </r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並列）、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TC</t>
    </r>
    <r>
      <rPr>
        <sz val="11"/>
        <color theme="1"/>
        <rFont val="Noto Sans CJK SC"/>
        <family val="2"/>
      </rPr>
      <t xml:space="preserve">／混合鍵合）、</t>
    </r>
    <r>
      <rPr>
        <sz val="11"/>
        <color theme="1"/>
        <rFont val="Calibri"/>
        <family val="2"/>
        <charset val="1"/>
      </rPr>
      <t xml:space="preserve">Kulicke &amp; Soffa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、韓美（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鍵合）；不含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股；韓華 </t>
    </r>
    <r>
      <rPr>
        <sz val="11"/>
        <color theme="1"/>
        <rFont val="Calibri"/>
        <family val="2"/>
        <charset val="1"/>
      </rPr>
      <t xml:space="preserve">Semitech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SEMES </t>
    </r>
    <r>
      <rPr>
        <sz val="11"/>
        <color theme="1"/>
        <rFont val="Noto Sans CJK SC"/>
        <family val="2"/>
      </rPr>
      <t xml:space="preserve">未上市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</si>
  <si>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</si>
  <si>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≈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</si>
  <si>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</si>
  <si>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</si>
  <si>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</si>
  <si>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</si>
  <si>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</si>
  <si>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</si>
  <si>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</si>
  <si>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</si>
  <si>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</si>
  <si>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</si>
  <si>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</si>
  <si>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</si>
  <si>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6.448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8.483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 2026-10-09</t>
    </r>
    <r>
      <rPr>
        <sz val="11"/>
        <color theme="1"/>
        <rFont val="Noto Sans CJK SC"/>
        <family val="2"/>
      </rPr>
      <t xml:space="preserve">，與本模型前瞻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同口徑）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</si>
  <si>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</si>
  <si>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</si>
  <si>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</si>
  <si>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</si>
  <si>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2016–2024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節來源</t>
    </r>
    <r>
      <rPr>
        <sz val="11"/>
        <color theme="1"/>
        <rFont val="Calibri"/>
        <family val="2"/>
        <charset val="1"/>
      </rPr>
      <t xml:space="preserve">1 macrotrends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未找到）的分位；只作檢查，不進目標價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</si>
  <si>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</si>
  <si>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）（模型無折舊與資本支出項目；設備股輕資產），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起收斂法）＋永續，負值取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 International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Kulicke &amp; Soffa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、韓美前瞻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。偏誤：混合鍵合營收與單價未揭露（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受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增速放緩壓低，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對導入比例斜率敏感；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、韓美的倍數日期較舊。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</si>
  <si>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</si>
  <si>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</si>
  <si>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</si>
  <si>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</si>
  <si>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</si>
  <si>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</si>
  <si>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</si>
  <si>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</si>
  <si>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</si>
  <si>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</si>
  <si>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</si>
  <si>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</si>
  <si>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</si>
  <si>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</si>
  <si>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</si>
  <si>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</si>
  <si>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</si>
  <si>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</si>
  <si>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</si>
  <si>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</si>
  <si>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</si>
  <si>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BESI</t>
  </si>
  <si>
    <t xml:space="preserve">BESI.AS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</si>
  <si>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</si>
  <si>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BESI NA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</si>
  <si>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</si>
  <si>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ASM NA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</si>
  <si>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0522 HK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</si>
  <si>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KLIC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</si>
  <si>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6146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</si>
  <si>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042700 KS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</si>
  <si>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</si>
  <si>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</si>
  <si>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</si>
  <si>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</si>
  <si>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</si>
  <si>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</si>
  <si>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</si>
  <si>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</si>
  <si>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</si>
  <si>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</si>
  <si>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</si>
  <si>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</si>
  <si>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</si>
  <si>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</si>
  <si>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共識、公司長期目標、累計訂單。只作事後對照，不為對上數字而調整參數。差距 </t>
    </r>
    <r>
      <rPr>
        <sz val="11"/>
        <color theme="1"/>
        <rFont val="Calibri"/>
        <family val="2"/>
        <charset val="1"/>
      </rPr>
      <t xml:space="preserve">&gt; 10% </t>
    </r>
    <r>
      <rPr>
        <sz val="11"/>
        <color theme="1"/>
        <rFont val="Noto Sans CJK SC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</si>
  <si>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</si>
  <si>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</si>
  <si>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</si>
  <si>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</si>
  <si>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</si>
  <si>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</si>
  <si>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</si>
  <si>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</si>
  <si>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vs </t>
    </r>
    <r>
      <rPr>
        <b val="true"/>
        <sz val="11"/>
        <rFont val="Noto Sans CJK SC"/>
        <family val="2"/>
      </rPr>
      <t xml:space="preserve">共識（校準未使用）</t>
    </r>
  </si>
  <si>
    <t xml:space="preserve">錨點＝前三季實績＋第四季指引中點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</si>
  <si>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（歐元）</t>
    </r>
  </si>
  <si>
    <t xml:space="preserve">stockanalysis 4.42</t>
  </si>
  <si>
    <r>
      <rPr>
        <b val="true"/>
        <sz val="11"/>
        <rFont val="Cambria"/>
        <family val="0"/>
        <charset val="1"/>
      </rPr>
      <t xml:space="preserve">B. FY2027–FY2028 vs </t>
    </r>
    <r>
      <rPr>
        <b val="true"/>
        <sz val="11"/>
        <rFont val="Noto Sans CJK SC"/>
        <family val="2"/>
      </rPr>
      <t xml:space="preserve">共識（第三季財報前的共識）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</si>
  <si>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</si>
  <si>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t xml:space="preserve">marketscreener</t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</si>
  <si>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（歐元）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</si>
  <si>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</si>
  <si>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（歐元）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</si>
  <si>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公司長期目標與累計訂單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</si>
  <si>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長期目標下緣 €</t>
    </r>
    <r>
      <rPr>
        <sz val="11"/>
        <color theme="1"/>
        <rFont val="Calibri"/>
        <family val="2"/>
        <charset val="1"/>
      </rPr>
      <t xml:space="preserve">1.7B</t>
    </r>
  </si>
  <si>
    <r>
      <rPr>
        <sz val="11"/>
        <color theme="1"/>
        <rFont val="Noto Sans CJK SC"/>
        <family val="2"/>
      </rPr>
      <t xml:space="preserve">投資人日 </t>
    </r>
    <r>
      <rPr>
        <sz val="11"/>
        <color theme="1"/>
        <rFont val="Calibri"/>
        <family val="2"/>
        <charset val="1"/>
      </rPr>
      <t xml:space="preserve">2026-06-19</t>
    </r>
    <r>
      <rPr>
        <sz val="11"/>
        <color theme="1"/>
        <rFont val="Noto Sans CJK SC"/>
        <family val="2"/>
      </rPr>
      <t xml:space="preserve">（目標年度未載明）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</si>
  <si>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長期目標上緣 €</t>
    </r>
    <r>
      <rPr>
        <sz val="11"/>
        <color theme="1"/>
        <rFont val="Calibri"/>
        <family val="2"/>
        <charset val="1"/>
      </rPr>
      <t xml:space="preserve">2.2B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</si>
  <si>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混合鍵合隱含機台數 </t>
    </r>
    <r>
      <rPr>
        <sz val="11"/>
        <color theme="1"/>
        <rFont val="Calibri"/>
        <family val="2"/>
        <charset val="1"/>
      </rPr>
      <t xml:space="preserve">vs 2026 </t>
    </r>
    <r>
      <rPr>
        <sz val="11"/>
        <color theme="1"/>
        <rFont val="Noto Sans CJK SC"/>
        <family val="2"/>
      </rPr>
      <t xml:space="preserve">年前三季新增訂單（</t>
    </r>
    <r>
      <rPr>
        <sz val="11"/>
        <color theme="1"/>
        <rFont val="Calibri"/>
        <family val="2"/>
        <charset val="1"/>
      </rPr>
      <t xml:space="preserve">215 − 150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</si>
  <si>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公司：累計 </t>
    </r>
    <r>
      <rPr>
        <sz val="11"/>
        <color theme="1"/>
        <rFont val="Calibri"/>
        <family val="2"/>
        <charset val="1"/>
      </rPr>
      <t xml:space="preserve">150</t>
    </r>
    <r>
      <rPr>
        <sz val="11"/>
        <color theme="1"/>
        <rFont val="Noto Sans CJK SC"/>
        <family val="2"/>
      </rPr>
      <t xml:space="preserve">＋→ </t>
    </r>
    <r>
      <rPr>
        <sz val="11"/>
        <color theme="1"/>
        <rFont val="Calibri"/>
        <family val="2"/>
        <charset val="1"/>
      </rPr>
      <t xml:space="preserve">215</t>
    </r>
    <r>
      <rPr>
        <sz val="11"/>
        <color theme="1"/>
        <rFont val="Noto Sans CJK SC"/>
        <family val="2"/>
      </rPr>
      <t xml:space="preserve">＋台</t>
    </r>
  </si>
  <si>
    <r>
      <rPr>
        <sz val="11"/>
        <color theme="1"/>
        <rFont val="Noto Sans CJK SC"/>
        <family val="2"/>
      </rPr>
      <t xml:space="preserve">口徑：營收（出貨）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訂單；邏輯機台單價可能與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不同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</si>
  <si>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的影響。每個案例是一個完整的推導區塊（本頁下方，與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同一引擎；校準係數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在各區塊內重算）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</si>
  <si>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</si>
  <si>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</si>
  <si>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€</t>
    </r>
    <r>
      <rPr>
        <b val="true"/>
        <sz val="11"/>
        <rFont val="Cambria"/>
        <family val="0"/>
        <charset val="1"/>
      </rPr>
      <t xml:space="preserve">M</t>
    </r>
  </si>
  <si>
    <t xml:space="preserve">FY2027 EPS €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</si>
  <si>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</si>
  <si>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€</t>
    </r>
    <r>
      <rPr>
        <b val="true"/>
        <sz val="11"/>
        <rFont val="Cambria"/>
        <family val="0"/>
        <charset val="1"/>
      </rPr>
      <t xml:space="preserve">M</t>
    </r>
  </si>
  <si>
    <t xml:space="preserve">FY2028 EPS €</t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</si>
  <si>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</si>
  <si>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</si>
  <si>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混合鍵合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</si>
  <si>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2028 5%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2030 25%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</si>
  <si>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混合鍵合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低值</t>
    </r>
  </si>
  <si>
    <r>
      <rPr>
        <sz val="11"/>
        <color theme="1"/>
        <rFont val="Calibri"/>
        <family val="2"/>
        <charset val="1"/>
      </rPr>
      <t xml:space="preserve">2028 0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2030 10%</t>
    </r>
  </si>
  <si>
    <r>
      <rPr>
        <sz val="11"/>
        <color theme="1"/>
        <rFont val="Noto Sans CJK SC"/>
        <family val="2"/>
      </rPr>
      <t xml:space="preserve">邏輯導入 低（</t>
    </r>
    <r>
      <rPr>
        <sz val="11"/>
        <color theme="1"/>
        <rFont val="Calibri"/>
        <family val="2"/>
        <charset val="1"/>
      </rPr>
      <t xml:space="preserve">×0.7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</si>
  <si>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起各年比例 </t>
    </r>
    <r>
      <rPr>
        <sz val="11"/>
        <color theme="1"/>
        <rFont val="Calibri"/>
        <family val="2"/>
        <charset val="1"/>
      </rPr>
      <t xml:space="preserve">× 0.7</t>
    </r>
  </si>
  <si>
    <r>
      <rPr>
        <sz val="11"/>
        <color theme="1"/>
        <rFont val="Noto Sans CJK SC"/>
        <family val="2"/>
      </rPr>
      <t xml:space="preserve">邏輯導入 高（</t>
    </r>
    <r>
      <rPr>
        <sz val="11"/>
        <color theme="1"/>
        <rFont val="Calibri"/>
        <family val="2"/>
        <charset val="1"/>
      </rPr>
      <t xml:space="preserve">×1.3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</si>
  <si>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邏輯導入 取情境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</si>
  <si>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混合鍵合占比 </t>
    </r>
    <r>
      <rPr>
        <sz val="11"/>
        <color theme="1"/>
        <rFont val="Calibri"/>
        <family val="2"/>
        <charset val="1"/>
      </rPr>
      <t xml:space="preserve">18%</t>
    </r>
  </si>
  <si>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較低、主流業務基期較高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</si>
  <si>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混合鍵合占比 </t>
    </r>
    <r>
      <rPr>
        <sz val="11"/>
        <color theme="1"/>
        <rFont val="Calibri"/>
        <family val="2"/>
        <charset val="1"/>
      </rPr>
      <t xml:space="preserve">35%</t>
    </r>
  </si>
  <si>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較高、主流業務基期較低</t>
    </r>
  </si>
  <si>
    <r>
      <rPr>
        <sz val="11"/>
        <color theme="1"/>
        <rFont val="Noto Sans CJK SC"/>
        <family val="2"/>
      </rPr>
      <t xml:space="preserve">機台有效產出 </t>
    </r>
    <r>
      <rPr>
        <sz val="11"/>
        <color theme="1"/>
        <rFont val="Calibri"/>
        <family val="2"/>
        <charset val="1"/>
      </rPr>
      <t xml:space="preserve">600</t>
    </r>
    <r>
      <rPr>
        <sz val="11"/>
        <color theme="1"/>
        <rFont val="Noto Sans CJK SC"/>
        <family val="2"/>
      </rPr>
      <t xml:space="preserve">／時</t>
    </r>
  </si>
  <si>
    <t xml:space="preserve">機台數較多</t>
  </si>
  <si>
    <r>
      <rPr>
        <sz val="11"/>
        <color theme="1"/>
        <rFont val="Noto Sans CJK SC"/>
        <family val="2"/>
      </rPr>
      <t xml:space="preserve">機台有效產出 </t>
    </r>
    <r>
      <rPr>
        <sz val="11"/>
        <color theme="1"/>
        <rFont val="Calibri"/>
        <family val="2"/>
        <charset val="1"/>
      </rPr>
      <t xml:space="preserve">1,500</t>
    </r>
    <r>
      <rPr>
        <sz val="11"/>
        <color theme="1"/>
        <rFont val="Noto Sans CJK SC"/>
        <family val="2"/>
      </rPr>
      <t xml:space="preserve">／時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</si>
  <si>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機台單價 €</t>
    </r>
    <r>
      <rPr>
        <sz val="11"/>
        <color theme="1"/>
        <rFont val="Calibri"/>
        <family val="2"/>
        <charset val="1"/>
      </rPr>
      <t xml:space="preserve">2.0M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</si>
  <si>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機台單價 €</t>
    </r>
    <r>
      <rPr>
        <sz val="11"/>
        <color theme="1"/>
        <rFont val="Calibri"/>
        <family val="2"/>
        <charset val="1"/>
      </rPr>
      <t xml:space="preserve">3.5M</t>
    </r>
  </si>
  <si>
    <r>
      <rPr>
        <sz val="11"/>
        <color theme="1"/>
        <rFont val="Calibri"/>
        <family val="2"/>
        <charset val="1"/>
      </rPr>
      <t xml:space="preserve">BESI HBM </t>
    </r>
    <r>
      <rPr>
        <sz val="11"/>
        <color theme="1"/>
        <rFont val="Noto Sans CJK SC"/>
        <family val="2"/>
      </rPr>
      <t xml:space="preserve">份額 −</t>
    </r>
    <r>
      <rPr>
        <sz val="11"/>
        <color theme="1"/>
        <rFont val="Calibri"/>
        <family val="2"/>
        <charset val="1"/>
      </rPr>
      <t xml:space="preserve">10pt</t>
    </r>
  </si>
  <si>
    <t xml:space="preserve">50%</t>
  </si>
  <si>
    <r>
      <rPr>
        <sz val="11"/>
        <color theme="1"/>
        <rFont val="Calibri"/>
        <family val="2"/>
        <charset val="1"/>
      </rPr>
      <t xml:space="preserve">BESI HBM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+10pt</t>
    </r>
  </si>
  <si>
    <t xml:space="preserve">70%</t>
  </si>
  <si>
    <r>
      <rPr>
        <sz val="11"/>
        <color theme="1"/>
        <rFont val="Noto Sans CJK SC"/>
        <family val="2"/>
      </rPr>
      <t xml:space="preserve">邏輯相對份額 </t>
    </r>
    <r>
      <rPr>
        <sz val="11"/>
        <color theme="1"/>
        <rFont val="Calibri"/>
        <family val="2"/>
        <charset val="1"/>
      </rPr>
      <t xml:space="preserve">0.9</t>
    </r>
  </si>
  <si>
    <t xml:space="preserve">晶粒容量 低</t>
  </si>
  <si>
    <t xml:space="preserve">各年取低值（晶粒較多）</t>
  </si>
  <si>
    <t xml:space="preserve">晶粒容量 高</t>
  </si>
  <si>
    <t xml:space="preserve">各年取高值（晶粒較少）</t>
  </si>
  <si>
    <r>
      <rPr>
        <sz val="11"/>
        <color theme="1"/>
        <rFont val="Noto Sans CJK SC"/>
        <family val="2"/>
      </rPr>
      <t xml:space="preserve">汰換比例 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</si>
  <si>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Noto Sans CJK SC"/>
        <family val="2"/>
      </rPr>
      <t xml:space="preserve">汰換比例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</si>
  <si>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Noto Sans CJK SC"/>
        <family val="2"/>
      </rPr>
      <t xml:space="preserve">主流業務彈性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</si>
  <si>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主流業務彈性 </t>
    </r>
    <r>
      <rPr>
        <sz val="11"/>
        <color theme="1"/>
        <rFont val="Calibri"/>
        <family val="2"/>
        <charset val="1"/>
      </rPr>
      <t xml:space="preserve">1.5</t>
    </r>
  </si>
  <si>
    <r>
      <rPr>
        <sz val="11"/>
        <color theme="1"/>
        <rFont val="Noto Sans CJK SC"/>
        <family val="2"/>
      </rPr>
      <t xml:space="preserve">混合鍵合毛利溢價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</si>
  <si>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混合鍵合毛利溢價 </t>
    </r>
    <r>
      <rPr>
        <sz val="11"/>
        <color theme="1"/>
        <rFont val="Calibri"/>
        <family val="2"/>
        <charset val="1"/>
      </rPr>
      <t xml:space="preserve">15pt</t>
    </r>
  </si>
  <si>
    <r>
      <rPr>
        <sz val="11"/>
        <color theme="1"/>
        <rFont val="Noto Sans CJK SC"/>
        <family val="2"/>
      </rPr>
      <t xml:space="preserve">營業費用變動比例 </t>
    </r>
    <r>
      <rPr>
        <sz val="11"/>
        <color theme="1"/>
        <rFont val="Calibri"/>
        <family val="2"/>
        <charset val="1"/>
      </rPr>
      <t xml:space="preserve">25%</t>
    </r>
  </si>
  <si>
    <r>
      <rPr>
        <sz val="11"/>
        <color theme="1"/>
        <rFont val="Noto Sans CJK SC"/>
        <family val="2"/>
      </rPr>
      <t xml:space="preserve">營業費用變動比例 </t>
    </r>
    <r>
      <rPr>
        <sz val="11"/>
        <color theme="1"/>
        <rFont val="Calibri"/>
        <family val="2"/>
        <charset val="1"/>
      </rPr>
      <t xml:space="preserve">60%</t>
    </r>
  </si>
  <si>
    <r>
      <rPr>
        <sz val="11"/>
        <color theme="1"/>
        <rFont val="Noto Sans CJK SC"/>
        <family val="2"/>
      </rPr>
      <t xml:space="preserve">第四季營收 −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</si>
  <si>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Noto Sans CJK SC"/>
        <family val="2"/>
      </rPr>
      <t xml:space="preserve">錨點較低 →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、主流基期較低</t>
    </r>
  </si>
  <si>
    <r>
      <rPr>
        <sz val="11"/>
        <color theme="1"/>
        <rFont val="Noto Sans CJK SC"/>
        <family val="2"/>
      </rPr>
      <t xml:space="preserve">第四季營收 </t>
    </r>
    <r>
      <rPr>
        <sz val="11"/>
        <color theme="1"/>
        <rFont val="Calibri"/>
        <family val="2"/>
        <charset val="1"/>
      </rPr>
      <t xml:space="preserve">+5%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</si>
  <si>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16%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</si>
  <si>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</si>
  <si>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上游皆取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混合鍵合基準；邏輯導入、份額取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</si>
  <si>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</si>
  <si>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上游皆取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混合鍵合低值；邏輯導入慢、份額流失、毛利率下調</t>
    </r>
  </si>
  <si>
    <r>
      <rPr>
        <sz val="11"/>
        <color theme="1"/>
        <rFont val="Noto Sans CJK SC"/>
        <family val="2"/>
      </rPr>
      <t xml:space="preserve">讀法：機台比產能早一年買，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的營收看 </t>
    </r>
    <r>
      <rPr>
        <sz val="11"/>
        <color theme="1"/>
        <rFont val="Calibri"/>
        <family val="2"/>
        <charset val="1"/>
      </rPr>
      <t xml:space="preserve">CY2027→2028 </t>
    </r>
    <r>
      <rPr>
        <sz val="11"/>
        <color theme="1"/>
        <rFont val="Noto Sans CJK SC"/>
        <family val="2"/>
      </rPr>
      <t xml:space="preserve">的需求增量。邏輯段的校準係數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營收推得，導入比例的水準被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吸收，只有比例的變化（斜率）影響之後各年；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混合鍵合占比同時改變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與主流業務基期，兩者方向相反。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</si>
  <si>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混合鍵合 </t>
    </r>
    <r>
      <rPr>
        <b val="true"/>
        <sz val="11"/>
        <rFont val="Cambria"/>
        <family val="0"/>
        <charset val="1"/>
      </rPr>
      <t xml:space="preserve">Disco </t>
    </r>
    <r>
      <rPr>
        <b val="true"/>
        <sz val="11"/>
        <rFont val="Noto Sans CJK SC"/>
        <family val="2"/>
      </rPr>
      <t xml:space="preserve">基準（情境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</si>
  <si>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混合鍵合 </t>
    </r>
    <r>
      <rPr>
        <b val="true"/>
        <sz val="11"/>
        <rFont val="Cambria"/>
        <family val="0"/>
        <charset val="1"/>
      </rPr>
      <t xml:space="preserve">Disco </t>
    </r>
    <r>
      <rPr>
        <b val="true"/>
        <sz val="11"/>
        <rFont val="Noto Sans CJK SC"/>
        <family val="2"/>
      </rPr>
      <t xml:space="preserve">低值（情境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</si>
  <si>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案例區塊：邏輯導入 低（</t>
    </r>
    <r>
      <rPr>
        <b val="true"/>
        <sz val="11"/>
        <rFont val="Cambria"/>
        <family val="0"/>
        <charset val="1"/>
      </rPr>
      <t xml:space="preserve">×0.7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</si>
  <si>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案例區塊：邏輯導入 高（</t>
    </r>
    <r>
      <rPr>
        <b val="true"/>
        <sz val="11"/>
        <rFont val="Cambria"/>
        <family val="0"/>
        <charset val="1"/>
      </rPr>
      <t xml:space="preserve">×1.3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</si>
  <si>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案例區塊：邏輯導入 取情境 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路徑（情境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</si>
  <si>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混合鍵合占比 </t>
    </r>
    <r>
      <rPr>
        <b val="true"/>
        <sz val="11"/>
        <rFont val="Cambria"/>
        <family val="0"/>
        <charset val="1"/>
      </rPr>
      <t xml:space="preserve">18%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</si>
  <si>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混合鍵合占比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</si>
  <si>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案例區塊：機台有效產出 </t>
    </r>
    <r>
      <rPr>
        <b val="true"/>
        <sz val="11"/>
        <rFont val="Cambria"/>
        <family val="0"/>
        <charset val="1"/>
      </rPr>
      <t xml:space="preserve">600</t>
    </r>
    <r>
      <rPr>
        <b val="true"/>
        <sz val="11"/>
        <rFont val="Noto Sans CJK SC"/>
        <family val="2"/>
      </rPr>
      <t xml:space="preserve">／時（情境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</si>
  <si>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案例區塊：機台有效產出 </t>
    </r>
    <r>
      <rPr>
        <b val="true"/>
        <sz val="11"/>
        <rFont val="Cambria"/>
        <family val="0"/>
        <charset val="1"/>
      </rPr>
      <t xml:space="preserve">1,500</t>
    </r>
    <r>
      <rPr>
        <b val="true"/>
        <sz val="11"/>
        <rFont val="Noto Sans CJK SC"/>
        <family val="2"/>
      </rPr>
      <t xml:space="preserve">／時（情境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</si>
  <si>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機台單價 €</t>
    </r>
    <r>
      <rPr>
        <b val="true"/>
        <sz val="11"/>
        <rFont val="Cambria"/>
        <family val="0"/>
        <charset val="1"/>
      </rPr>
      <t xml:space="preserve">2.0M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</si>
  <si>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機台單價 €</t>
    </r>
    <r>
      <rPr>
        <b val="true"/>
        <sz val="11"/>
        <rFont val="Cambria"/>
        <family val="0"/>
        <charset val="1"/>
      </rPr>
      <t xml:space="preserve">3.5M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</si>
  <si>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BESI HBM </t>
    </r>
    <r>
      <rPr>
        <b val="true"/>
        <sz val="11"/>
        <rFont val="Noto Sans CJK SC"/>
        <family val="2"/>
      </rPr>
      <t xml:space="preserve">份額 −</t>
    </r>
    <r>
      <rPr>
        <b val="true"/>
        <sz val="11"/>
        <rFont val="Cambria"/>
        <family val="0"/>
        <charset val="1"/>
      </rPr>
      <t xml:space="preserve">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</si>
  <si>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BESI HBM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+10pt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</si>
  <si>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案例區塊：邏輯相對份額 </t>
    </r>
    <r>
      <rPr>
        <b val="true"/>
        <sz val="11"/>
        <rFont val="Cambria"/>
        <family val="0"/>
        <charset val="1"/>
      </rPr>
      <t xml:space="preserve">0.9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</si>
  <si>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案例區塊：晶粒容量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</si>
  <si>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案例區塊：晶粒容量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</si>
  <si>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案例區塊：汰換比例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</si>
  <si>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案例區塊：汰換比例 </t>
    </r>
    <r>
      <rPr>
        <b val="true"/>
        <sz val="11"/>
        <rFont val="Cambria"/>
        <family val="0"/>
        <charset val="1"/>
      </rPr>
      <t xml:space="preserve">15%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</si>
  <si>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案例區塊：主流業務彈性 </t>
    </r>
    <r>
      <rPr>
        <b val="true"/>
        <sz val="11"/>
        <rFont val="Cambria"/>
        <family val="0"/>
        <charset val="1"/>
      </rPr>
      <t xml:space="preserve">0.5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</si>
  <si>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案例區塊：主流業務彈性 </t>
    </r>
    <r>
      <rPr>
        <b val="true"/>
        <sz val="11"/>
        <rFont val="Cambria"/>
        <family val="0"/>
        <charset val="1"/>
      </rPr>
      <t xml:space="preserve">1.5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</si>
  <si>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案例區塊：混合鍵合毛利溢價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</si>
  <si>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案例區塊：混合鍵合毛利溢價 </t>
    </r>
    <r>
      <rPr>
        <b val="true"/>
        <sz val="11"/>
        <rFont val="Cambria"/>
        <family val="0"/>
        <charset val="1"/>
      </rPr>
      <t xml:space="preserve">15pt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</si>
  <si>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案例區塊：營業費用變動比例 </t>
    </r>
    <r>
      <rPr>
        <b val="true"/>
        <sz val="11"/>
        <rFont val="Cambria"/>
        <family val="0"/>
        <charset val="1"/>
      </rPr>
      <t xml:space="preserve">25%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</si>
  <si>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案例區塊：營業費用變動比例 </t>
    </r>
    <r>
      <rPr>
        <b val="true"/>
        <sz val="11"/>
        <rFont val="Cambria"/>
        <family val="0"/>
        <charset val="1"/>
      </rPr>
      <t xml:space="preserve">60%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</si>
  <si>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案例區塊：第四季營收 −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</si>
  <si>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案例區塊：第四季營收 </t>
    </r>
    <r>
      <rPr>
        <b val="true"/>
        <sz val="11"/>
        <rFont val="Cambria"/>
        <family val="0"/>
        <charset val="1"/>
      </rPr>
      <t xml:space="preserve">+5%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</si>
  <si>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16%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</si>
  <si>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參數與權重，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收斂法的長期成長不隨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變動；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負值取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</si>
  <si>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</si>
  <si>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</si>
  <si>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</si>
  <si>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</si>
  <si>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</si>
  <si>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</si>
  <si>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</si>
  <si>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</si>
  <si>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Calibri"/>
        <family val="2"/>
        <charset val="1"/>
      </rPr>
      <t xml:space="preserve">g 5%</t>
    </r>
    <r>
      <rPr>
        <sz val="11"/>
        <color theme="1"/>
        <rFont val="Noto Sans CJK SC"/>
        <family val="2"/>
      </rPr>
      <t xml:space="preserve">（永續與再投資率）</t>
    </r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</si>
  <si>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</si>
  <si>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</si>
  <si>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</si>
  <si>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</si>
  <si>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</si>
  <si>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</si>
  <si>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b val="true"/>
        <sz val="11"/>
        <rFont val="Noto Sans CJK SC"/>
        <family val="2"/>
      </rPr>
      <t xml:space="preserve">來源（公司新聞稿經 </t>
    </r>
    <r>
      <rPr>
        <b val="true"/>
        <sz val="11"/>
        <rFont val="Cambria"/>
        <family val="0"/>
        <charset val="1"/>
      </rPr>
      <t xml:space="preserve">GlobeNewswire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stocktitan </t>
    </r>
    <r>
      <rPr>
        <b val="true"/>
        <sz val="11"/>
        <rFont val="Noto Sans CJK SC"/>
        <family val="2"/>
      </rPr>
      <t xml:space="preserve">轉載；法說與簡報取自摘要頁，原文待人工複核）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</si>
  <si>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Q3-26 </t>
    </r>
    <r>
      <rPr>
        <sz val="11"/>
        <color theme="1"/>
        <rFont val="Noto Sans CJK SC"/>
        <family val="2"/>
      </rPr>
      <t xml:space="preserve">與前九月實績（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簡報摘要）</t>
    </r>
  </si>
  <si>
    <t xml:space="preserve">https://www.investing.com/news/company-news/besi-q3-2026-slides-revenue-doubles-net-margin-hits-38-93CH-4966911</t>
  </si>
  <si>
    <r>
      <rPr>
        <sz val="11"/>
        <color theme="1"/>
        <rFont val="Calibri"/>
        <family val="2"/>
        <charset val="1"/>
      </rPr>
      <t xml:space="preserve">gurufocus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Q3-26 </t>
    </r>
    <r>
      <rPr>
        <sz val="11"/>
        <color theme="1"/>
        <rFont val="Noto Sans CJK SC"/>
        <family val="2"/>
      </rPr>
      <t xml:space="preserve">法說重點（混合鍵合 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家客戶、</t>
    </r>
    <r>
      <rPr>
        <sz val="11"/>
        <color theme="1"/>
        <rFont val="Calibri"/>
        <family val="2"/>
        <charset val="1"/>
      </rPr>
      <t xml:space="preserve">215</t>
    </r>
    <r>
      <rPr>
        <sz val="11"/>
        <color theme="1"/>
        <rFont val="Noto Sans CJK SC"/>
        <family val="2"/>
      </rPr>
      <t xml:space="preserve">＋台、策略檢討、回購 €</t>
    </r>
    <r>
      <rPr>
        <sz val="11"/>
        <color theme="1"/>
        <rFont val="Calibri"/>
        <family val="2"/>
        <charset val="1"/>
      </rPr>
      <t xml:space="preserve">100M</t>
    </r>
    <r>
      <rPr>
        <sz val="11"/>
        <color theme="1"/>
        <rFont val="Noto Sans CJK SC"/>
        <family val="2"/>
      </rPr>
      <t xml:space="preserve">）</t>
    </r>
  </si>
  <si>
    <t xml:space="preserve">https://www.gurufocus.com/news/9137691/be-semiconductor-industries-nv-besiy-q3-2026-earnings-call-highlights-revenue-more-than-doubles-as-hybrid-bonding-momentum-builds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</si>
  <si>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Q2-26 </t>
    </r>
    <r>
      <rPr>
        <sz val="11"/>
        <color theme="1"/>
        <rFont val="Noto Sans CJK SC"/>
        <family val="2"/>
      </rPr>
      <t xml:space="preserve">與上半年實績（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stocktitan </t>
    </r>
    <r>
      <rPr>
        <sz val="11"/>
        <color theme="1"/>
        <rFont val="Noto Sans CJK SC"/>
        <family val="2"/>
      </rPr>
      <t xml:space="preserve">轉載全文）</t>
    </r>
  </si>
  <si>
    <t xml:space="preserve">https://www.stocktitan.net/news/BESIY/be-semiconductor-industries-n-v-announces-q2-26-and-h1-26-v0syj60xvlwf.html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</si>
  <si>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Q2-26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besi.com</t>
    </r>
    <r>
      <rPr>
        <sz val="11"/>
        <color theme="1"/>
        <rFont val="Noto Sans CJK SC"/>
        <family val="2"/>
      </rPr>
      <t xml:space="preserve">）</t>
    </r>
  </si>
  <si>
    <t xml:space="preserve">https://www.besi.com/investor-relations/press-releases/details/be-semiconductor-industries-nv-announces-q2-26-and-h1-26-results/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</si>
  <si>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Q4-25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全年實績（</t>
    </r>
    <r>
      <rPr>
        <sz val="11"/>
        <color theme="1"/>
        <rFont val="Calibri"/>
        <family val="2"/>
        <charset val="1"/>
      </rPr>
      <t xml:space="preserve">2026-02-19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stocktitan </t>
    </r>
    <r>
      <rPr>
        <sz val="11"/>
        <color theme="1"/>
        <rFont val="Noto Sans CJK SC"/>
        <family val="2"/>
      </rPr>
      <t xml:space="preserve">轉載全文）</t>
    </r>
  </si>
  <si>
    <t xml:space="preserve">https://www.stocktitan.net/news/BESIY/be-semiconductor-industries-n-v-announces-q4-25-and-full-year-2025-1hedov9aoxsi.html</t>
  </si>
  <si>
    <r>
      <rPr>
        <sz val="11"/>
        <color theme="1"/>
        <rFont val="Noto Sans CJK SC"/>
        <family val="2"/>
      </rPr>
      <t xml:space="preserve">公司：財務行事曆（</t>
    </r>
    <r>
      <rPr>
        <sz val="11"/>
        <color theme="1"/>
        <rFont val="Calibri"/>
        <family val="2"/>
        <charset val="1"/>
      </rPr>
      <t xml:space="preserve">2027-02-25 </t>
    </r>
    <r>
      <rPr>
        <sz val="11"/>
        <color theme="1"/>
        <rFont val="Noto Sans CJK SC"/>
        <family val="2"/>
      </rPr>
      <t xml:space="preserve">公布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全年）</t>
    </r>
  </si>
  <si>
    <t xml:space="preserve">https://www.besi.com/investor-relations/financial-calendar/</t>
  </si>
  <si>
    <r>
      <rPr>
        <sz val="11"/>
        <color theme="1"/>
        <rFont val="Calibri"/>
        <family val="2"/>
        <charset val="1"/>
      </rPr>
      <t xml:space="preserve">quartr</t>
    </r>
    <r>
      <rPr>
        <sz val="11"/>
        <color theme="1"/>
        <rFont val="Noto Sans CJK SC"/>
        <family val="2"/>
      </rPr>
      <t xml:space="preserve">：投資人日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摘要（長期營收 €</t>
    </r>
    <r>
      <rPr>
        <sz val="11"/>
        <color theme="1"/>
        <rFont val="Calibri"/>
        <family val="2"/>
        <charset val="1"/>
      </rPr>
      <t xml:space="preserve">1.7–2.2B</t>
    </r>
    <r>
      <rPr>
        <sz val="11"/>
        <color theme="1"/>
        <rFont val="Noto Sans CJK SC"/>
        <family val="2"/>
      </rPr>
      <t xml:space="preserve">、營業利益率 </t>
    </r>
    <r>
      <rPr>
        <sz val="11"/>
        <color theme="1"/>
        <rFont val="Calibri"/>
        <family val="2"/>
        <charset val="1"/>
      </rPr>
      <t xml:space="preserve">45–55%</t>
    </r>
    <r>
      <rPr>
        <sz val="11"/>
        <color theme="1"/>
        <rFont val="Noto Sans CJK SC"/>
        <family val="2"/>
      </rPr>
      <t xml:space="preserve">）</t>
    </r>
  </si>
  <si>
    <t xml:space="preserve">https://quartr.com/events/be-semiconductor-industries-n-v-besi-investor-day-2026_3eFihPox</t>
  </si>
  <si>
    <r>
      <rPr>
        <sz val="11"/>
        <color theme="1"/>
        <rFont val="Noto Sans CJK SC"/>
        <family val="2"/>
      </rPr>
      <t xml:space="preserve">公司產品頁：</t>
    </r>
    <r>
      <rPr>
        <sz val="11"/>
        <color theme="1"/>
        <rFont val="Calibri"/>
        <family val="2"/>
        <charset val="1"/>
      </rPr>
      <t xml:space="preserve">Datacon 8800 CHAMEO ultra plus AC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2,000 CPH </t>
    </r>
    <r>
      <rPr>
        <sz val="11"/>
        <color theme="1"/>
        <rFont val="Noto Sans CJK SC"/>
        <family val="2"/>
      </rPr>
      <t xml:space="preserve">乾循環、</t>
    </r>
    <r>
      <rPr>
        <sz val="11"/>
        <color theme="1"/>
        <rFont val="Calibri"/>
        <family val="2"/>
        <charset val="1"/>
      </rPr>
      <t xml:space="preserve">100nm</t>
    </r>
    <r>
      <rPr>
        <sz val="11"/>
        <color theme="1"/>
        <rFont val="Noto Sans CJK SC"/>
        <family val="2"/>
      </rPr>
      <t xml:space="preserve">）</t>
    </r>
  </si>
  <si>
    <t xml:space="preserve">https://www.besi.com/products-technology/product-details/product/datacon-8800-chameo-ultra-plus-ac/</t>
  </si>
  <si>
    <r>
      <rPr>
        <sz val="11"/>
        <color theme="1"/>
        <rFont val="Calibri"/>
        <family val="2"/>
        <charset val="1"/>
      </rPr>
      <t xml:space="preserve">tspasemiconductor</t>
    </r>
    <r>
      <rPr>
        <sz val="11"/>
        <color theme="1"/>
        <rFont val="Noto Sans CJK SC"/>
        <family val="2"/>
      </rPr>
      <t xml:space="preserve">：混合鍵合營收（</t>
    </r>
    <r>
      <rPr>
        <sz val="11"/>
        <color theme="1"/>
        <rFont val="Calibri"/>
        <family val="2"/>
        <charset val="1"/>
      </rPr>
      <t xml:space="preserve">FT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 €</t>
    </r>
    <r>
      <rPr>
        <sz val="11"/>
        <color theme="1"/>
        <rFont val="Calibri"/>
        <family val="2"/>
        <charset val="1"/>
      </rPr>
      <t xml:space="preserve">36M</t>
    </r>
    <r>
      <rPr>
        <sz val="11"/>
        <color theme="1"/>
        <rFont val="Noto Sans CJK SC"/>
        <family val="2"/>
      </rPr>
      <t xml:space="preserve">）</t>
    </r>
  </si>
  <si>
    <t xml:space="preserve">https://tspasemiconductor.substack.com/p/hybrid-bonding-at-scale-besis-vision</t>
  </si>
  <si>
    <r>
      <rPr>
        <sz val="11"/>
        <color theme="1"/>
        <rFont val="Calibri"/>
        <family val="2"/>
        <charset val="1"/>
      </rPr>
      <t xml:space="preserve">Morningstar</t>
    </r>
    <r>
      <rPr>
        <sz val="11"/>
        <color theme="1"/>
        <rFont val="Noto Sans CJK SC"/>
        <family val="2"/>
      </rPr>
      <t xml:space="preserve">：混合鍵合營收自 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年三倍（</t>
    </r>
    <r>
      <rPr>
        <sz val="11"/>
        <color theme="1"/>
        <rFont val="Calibri"/>
        <family val="2"/>
        <charset val="1"/>
      </rPr>
      <t xml:space="preserve">2025-02-21</t>
    </r>
    <r>
      <rPr>
        <sz val="11"/>
        <color theme="1"/>
        <rFont val="Noto Sans CJK SC"/>
        <family val="2"/>
      </rPr>
      <t xml:space="preserve">）</t>
    </r>
  </si>
  <si>
    <t xml:space="preserve">https://morningstar.co.uk/uk/news/261234/be-semiconductor-guidance-disappoints;-long-term-outlook-strong.aspx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</si>
  <si>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：股價、統計、共識目標價、歷史收盤</t>
    </r>
  </si>
  <si>
    <t xml:space="preserve">https://stockanalysis.com/quote/ams/BESI/forecast/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</si>
  <si>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：年度損益、年底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ROE</t>
    </r>
  </si>
  <si>
    <t xml:space="preserve">https://stockanalysis.com/quote/ams/BESI/financials/ratios/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</si>
  <si>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：共識營收、淨利、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2026–2028</t>
    </r>
    <r>
      <rPr>
        <sz val="11"/>
        <color theme="1"/>
        <rFont val="Noto Sans CJK SC"/>
        <family val="2"/>
      </rPr>
      <t xml:space="preserve">）</t>
    </r>
  </si>
  <si>
    <t xml:space="preserve">https://in.marketscreener.com/quote/stock/BE-SEMICONDUCTOR-INDUSTRI-6318/finances/</t>
  </si>
  <si>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：年底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2016–2024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ADR</t>
    </r>
    <r>
      <rPr>
        <sz val="11"/>
        <color theme="1"/>
        <rFont val="Noto Sans CJK SC"/>
        <family val="2"/>
      </rPr>
      <t xml:space="preserve">）、淨利率（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</t>
    </r>
  </si>
  <si>
    <t xml:space="preserve">https://www.macrotrends.net/stocks/charts/BESIY/be-semiconductor-industries/pe-ratio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</si>
  <si>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ASM International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Kulicke &amp; Soffa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、韓美）</t>
    </r>
  </si>
  <si>
    <t xml:space="preserve">https://stockanalysis.com/quote/ams/ASM/statistics/</t>
  </si>
  <si>
    <r>
      <rPr>
        <sz val="11"/>
        <color theme="1"/>
        <rFont val="Noto Sans CJK SC"/>
        <family val="2"/>
      </rPr>
      <t xml:space="preserve">市場層與上游成品：</t>
    </r>
    <r>
      <rPr>
        <sz val="11"/>
        <color theme="1"/>
        <rFont val="Calibri"/>
        <family val="2"/>
        <charset val="1"/>
      </rPr>
      <t xml:space="preserve">skhynix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dist</t>
    </r>
    <r>
      <rPr>
        <sz val="11"/>
        <color theme="1"/>
        <rFont val="Noto Sans CJK SC"/>
        <family val="2"/>
      </rPr>
      <t xml:space="preserve">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</si>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</sst>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%"/>
    <numFmt numFmtId="166" formatCode="0%"/>
    <numFmt numFmtId="167" formatCode="#,##0.00"/>
    <numFmt numFmtId="168" formatCode="#,##0.0"/>
    <numFmt numFmtId="169" formatCode="0.00"/>
    <numFmt numFmtId="170" formatCode="#,##0"/>
    <numFmt numFmtId="171" formatCode="0.0"/>
    <numFmt numFmtId="172" formatCode="0.000"/>
    <numFmt numFmtId="173" formatCode="@"/>
    <numFmt numFmtId="174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Cambria"/>
      <family val="0"/>
      <charset val="1"/>
    </font>
    <font>
      <sz val="11"/>
      <name val="Noto Sans CJK SC"/>
      <family val="2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3" t="s">
        <v>2</v>
      </c>
    </row>
    <row r="4" customFormat="false" ht="15" hidden="false" customHeight="false" outlineLevel="0" collapsed="false">
      <c r="A4" s="2"/>
    </row>
    <row r="5" customFormat="false" ht="17.15" hidden="false" customHeight="false" outlineLevel="0" collapsed="false">
      <c r="A5" s="3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4" t="s">
        <v>4</v>
      </c>
    </row>
    <row r="8" customFormat="false" ht="17.15" hidden="false" customHeight="false" outlineLevel="0" collapsed="false">
      <c r="A8" s="2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3" t="s">
        <v>7</v>
      </c>
    </row>
    <row r="11" customFormat="false" ht="17.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2"/>
    </row>
    <row r="13" customFormat="false" ht="17.15" hidden="false" customHeight="false" outlineLevel="0" collapsed="false">
      <c r="A13" s="3" t="s">
        <v>9</v>
      </c>
    </row>
    <row r="14" customFormat="false" ht="17.15" hidden="false" customHeight="false" outlineLevel="0" collapsed="false">
      <c r="A14" s="3" t="s">
        <v>10</v>
      </c>
    </row>
    <row r="15" customFormat="false" ht="17.15" hidden="false" customHeight="false" outlineLevel="0" collapsed="false">
      <c r="A15" s="5" t="s">
        <v>11</v>
      </c>
    </row>
    <row r="16" customFormat="false" ht="17.15" hidden="false" customHeight="false" outlineLevel="0" collapsed="false">
      <c r="A16" s="5" t="s">
        <v>12</v>
      </c>
    </row>
    <row r="17" customFormat="false" ht="17.15" hidden="false" customHeight="false" outlineLevel="0" collapsed="false">
      <c r="A17" s="0" t="s">
        <v>13</v>
      </c>
    </row>
    <row r="18" customFormat="false" ht="15" hidden="false" customHeight="false" outlineLevel="0" collapsed="false">
      <c r="A18" s="0" t="str">
        <f aca="false">"投資建議："&amp;Val!B124&amp;"（依上檔空間固定規則）"</f>
        <v>投資建議：中立（依上檔空間固定規則）</v>
      </c>
    </row>
    <row r="19" customFormat="false" ht="17.15" hidden="false" customHeight="false" outlineLevel="0" collapsed="false">
      <c r="A19" s="0" t="str">
        <f aca="false">"重點觀察 1：目標價 €"&amp;TEXT(Val!$B$112,"#,##0.00")&amp;"（DCF "&amp;TEXT(Val!$B$97,"#,##0.00")&amp;"、Comparable（相對倍數調整後）"&amp;TEXT(tp_comp_adj,"#,##0.00")&amp;"；DCF 權重 "&amp;TEXT(tp_w_dcf,"0%")&amp;"），比現價 "&amp;TEXT(px,"#,##0.00")&amp;"（2026-10-23）"&amp;IF(Val!$B$115&gt;=0,"高 "&amp;TEXT(Val!$B$115,"0.0%"),"低 "&amp;TEXT(-Val!$B$115,"0.0%"))&amp;"，級距 "&amp;Val!$B$123&amp;"、投資建議 "&amp;Val!$B$124&amp;"。相對倍數調整係數 "&amp;TEXT(rm_factor,"0.00")&amp;"（本公司 10 年前瞻倍數中位數 ÷ 同業的中位數，夾在 0.5–2.0；Val 第 0.5 節），調整前加權上檔空間 "&amp;TEXT((tp_w_dcf*Val!$B$97+(1-tp_w_dcf)*Val!$B$108)/px-1,"+0.0%;−0.0%")&amp;"；Comparable 單獨（市場主流同業法、未調整）為 "&amp;TEXT(Val!$B$116,"+0.0%;−0.0%")&amp;"。"&amp;"以下為 2026-10-29 相對倍數調整前撰寫的說明，其中數字為調整前：DCF 低是情境分歧造成：DCF 情境價值 A 158.4（現價的 1.09 倍）、B 82.4、C 44.8，B 的 FY2028 EPS 6.59 比 A 的 9.37 低 30%。"</f>
        <v>重點觀察 1：目標價 €157.28（DCF 96.23、Comparable（相對倍數調整後）218.34；DCF 權重 50%），比現價 145.10（2026-10-23）高 8.4%，級距 0%–25%、投資建議 中立。相對倍數調整係數 1.31（本公司 10 年前瞻倍數中位數 ÷ 同業的中位數，夾在 0.5–2.0；Val 第 0.5 節），調整前加權上檔空間 −9.4%；Comparable 單獨（市場主流同業法、未調整）為 +14.9%。以下為 2026-10-29 相對倍數調整前撰寫的說明，其中數字為調整前：DCF 低是情境分歧造成：DCF 情境價值 A 158.4（現價的 1.09 倍）、B 82.4、C 44.8，B 的 FY2028 EPS 6.59 比 A 的 9.37 低 30%。</v>
      </c>
    </row>
    <row r="20" customFormat="false" ht="17.15" hidden="false" customHeight="false" outlineLevel="0" collapsed="false">
      <c r="A20" s="5" t="s">
        <v>14</v>
      </c>
    </row>
    <row r="21" customFormat="false" ht="17.15" hidden="false" customHeight="false" outlineLevel="0" collapsed="false">
      <c r="A21" s="5" t="s">
        <v>15</v>
      </c>
    </row>
    <row r="23" customFormat="false" ht="17.15" hidden="false" customHeight="false" outlineLevel="0" collapsed="false">
      <c r="A23" s="0" t="s">
        <v>16</v>
      </c>
    </row>
    <row r="25" customFormat="false" ht="17.15" hidden="false" customHeight="false" outlineLevel="0" collapsed="false">
      <c r="A25" s="0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18</v>
      </c>
    </row>
    <row r="2" customFormat="false" ht="17.15" hidden="false" customHeight="false" outlineLevel="0" collapsed="false">
      <c r="A2" s="5" t="s">
        <v>19</v>
      </c>
    </row>
    <row r="3" customFormat="false" ht="17.15" hidden="false" customHeight="false" outlineLevel="0" collapsed="false">
      <c r="A3" s="6" t="s">
        <v>20</v>
      </c>
      <c r="B3" s="6" t="s">
        <v>21</v>
      </c>
      <c r="C3" s="6" t="s">
        <v>22</v>
      </c>
      <c r="D3" s="6" t="s">
        <v>23</v>
      </c>
      <c r="E3" s="6" t="s">
        <v>24</v>
      </c>
      <c r="F3" s="6" t="s">
        <v>25</v>
      </c>
      <c r="G3" s="6" t="s">
        <v>26</v>
      </c>
      <c r="H3" s="6" t="s">
        <v>27</v>
      </c>
      <c r="I3" s="6" t="s">
        <v>28</v>
      </c>
    </row>
    <row r="4" customFormat="false" ht="17.15" hidden="false" customHeight="false" outlineLevel="0" collapsed="false">
      <c r="A4" s="1" t="s">
        <v>29</v>
      </c>
    </row>
    <row r="5" customFormat="false" ht="17.15" hidden="false" customHeight="false" outlineLevel="0" collapsed="false">
      <c r="A5" s="0" t="s">
        <v>30</v>
      </c>
      <c r="B5" s="0" t="s">
        <v>31</v>
      </c>
      <c r="C5" s="0" t="s">
        <v>32</v>
      </c>
      <c r="E5" s="7" t="n">
        <v>2.22511470588235</v>
      </c>
      <c r="G5" s="8" t="s">
        <v>33</v>
      </c>
      <c r="H5" s="8" t="s">
        <v>34</v>
      </c>
      <c r="I5" s="8" t="s">
        <v>35</v>
      </c>
    </row>
    <row r="6" customFormat="false" ht="17.15" hidden="false" customHeight="false" outlineLevel="0" collapsed="false">
      <c r="A6" s="0" t="s">
        <v>36</v>
      </c>
      <c r="B6" s="0" t="s">
        <v>37</v>
      </c>
      <c r="C6" s="0" t="s">
        <v>32</v>
      </c>
      <c r="E6" s="7" t="n">
        <v>3.782695</v>
      </c>
      <c r="G6" s="8" t="s">
        <v>33</v>
      </c>
      <c r="H6" s="8" t="s">
        <v>34</v>
      </c>
      <c r="I6" s="5" t="s">
        <v>38</v>
      </c>
    </row>
    <row r="7" customFormat="false" ht="17.15" hidden="false" customHeight="false" outlineLevel="0" collapsed="false">
      <c r="A7" s="0" t="s">
        <v>39</v>
      </c>
      <c r="B7" s="0" t="s">
        <v>40</v>
      </c>
      <c r="C7" s="0" t="s">
        <v>32</v>
      </c>
      <c r="E7" s="7" t="n">
        <v>5.86317725</v>
      </c>
      <c r="G7" s="8" t="s">
        <v>33</v>
      </c>
      <c r="H7" s="8" t="s">
        <v>34</v>
      </c>
      <c r="I7" s="5" t="s">
        <v>38</v>
      </c>
    </row>
    <row r="8" customFormat="false" ht="17.15" hidden="false" customHeight="false" outlineLevel="0" collapsed="false">
      <c r="A8" s="0" t="s">
        <v>41</v>
      </c>
      <c r="B8" s="0" t="s">
        <v>42</v>
      </c>
      <c r="C8" s="0" t="s">
        <v>32</v>
      </c>
      <c r="E8" s="7" t="n">
        <v>8.5016070125</v>
      </c>
      <c r="G8" s="8" t="s">
        <v>33</v>
      </c>
      <c r="H8" s="8" t="s">
        <v>34</v>
      </c>
      <c r="I8" s="5" t="s">
        <v>38</v>
      </c>
    </row>
    <row r="9" customFormat="false" ht="17.15" hidden="false" customHeight="false" outlineLevel="0" collapsed="false">
      <c r="A9" s="0" t="s">
        <v>43</v>
      </c>
      <c r="B9" s="0" t="s">
        <v>44</v>
      </c>
      <c r="C9" s="0" t="s">
        <v>32</v>
      </c>
      <c r="E9" s="7" t="n">
        <v>11.477169466875</v>
      </c>
      <c r="G9" s="8" t="s">
        <v>33</v>
      </c>
      <c r="H9" s="8" t="s">
        <v>34</v>
      </c>
      <c r="I9" s="5" t="s">
        <v>38</v>
      </c>
    </row>
    <row r="10" customFormat="false" ht="17.15" hidden="false" customHeight="false" outlineLevel="0" collapsed="false">
      <c r="A10" s="0" t="s">
        <v>45</v>
      </c>
      <c r="B10" s="0" t="s">
        <v>46</v>
      </c>
      <c r="C10" s="0" t="s">
        <v>32</v>
      </c>
      <c r="E10" s="7" t="n">
        <v>2.22511470588235</v>
      </c>
      <c r="G10" s="8" t="s">
        <v>33</v>
      </c>
      <c r="H10" s="8" t="s">
        <v>47</v>
      </c>
      <c r="I10" s="8" t="s">
        <v>35</v>
      </c>
    </row>
    <row r="11" customFormat="false" ht="17.15" hidden="false" customHeight="false" outlineLevel="0" collapsed="false">
      <c r="A11" s="0" t="s">
        <v>48</v>
      </c>
      <c r="B11" s="0" t="s">
        <v>49</v>
      </c>
      <c r="C11" s="0" t="s">
        <v>32</v>
      </c>
      <c r="E11" s="7" t="n">
        <v>3.782695</v>
      </c>
      <c r="G11" s="8" t="s">
        <v>33</v>
      </c>
      <c r="H11" s="8" t="s">
        <v>47</v>
      </c>
      <c r="I11" s="5" t="s">
        <v>38</v>
      </c>
    </row>
    <row r="12" customFormat="false" ht="17.15" hidden="false" customHeight="false" outlineLevel="0" collapsed="false">
      <c r="A12" s="0" t="s">
        <v>50</v>
      </c>
      <c r="B12" s="0" t="s">
        <v>51</v>
      </c>
      <c r="C12" s="0" t="s">
        <v>32</v>
      </c>
      <c r="E12" s="7" t="n">
        <v>5.86317725</v>
      </c>
      <c r="G12" s="8" t="s">
        <v>33</v>
      </c>
      <c r="H12" s="8" t="s">
        <v>47</v>
      </c>
      <c r="I12" s="5" t="s">
        <v>38</v>
      </c>
    </row>
    <row r="13" customFormat="false" ht="17.15" hidden="false" customHeight="false" outlineLevel="0" collapsed="false">
      <c r="A13" s="0" t="s">
        <v>52</v>
      </c>
      <c r="B13" s="0" t="s">
        <v>53</v>
      </c>
      <c r="C13" s="0" t="s">
        <v>32</v>
      </c>
      <c r="E13" s="7" t="n">
        <v>8.22296</v>
      </c>
      <c r="G13" s="8" t="s">
        <v>33</v>
      </c>
      <c r="H13" s="8" t="s">
        <v>47</v>
      </c>
      <c r="I13" s="5" t="s">
        <v>38</v>
      </c>
    </row>
    <row r="14" customFormat="false" ht="17.15" hidden="false" customHeight="false" outlineLevel="0" collapsed="false">
      <c r="A14" s="0" t="s">
        <v>54</v>
      </c>
      <c r="B14" s="0" t="s">
        <v>55</v>
      </c>
      <c r="C14" s="0" t="s">
        <v>32</v>
      </c>
      <c r="E14" s="7" t="n">
        <v>11.3579635</v>
      </c>
      <c r="G14" s="8" t="s">
        <v>33</v>
      </c>
      <c r="H14" s="8" t="s">
        <v>47</v>
      </c>
      <c r="I14" s="5" t="s">
        <v>38</v>
      </c>
    </row>
    <row r="15" customFormat="false" ht="17.15" hidden="false" customHeight="false" outlineLevel="0" collapsed="false">
      <c r="A15" s="0" t="s">
        <v>56</v>
      </c>
      <c r="B15" s="0" t="s">
        <v>57</v>
      </c>
      <c r="C15" s="0" t="s">
        <v>32</v>
      </c>
      <c r="E15" s="7" t="n">
        <v>2.22511470588235</v>
      </c>
      <c r="G15" s="8" t="s">
        <v>33</v>
      </c>
      <c r="H15" s="8" t="s">
        <v>58</v>
      </c>
      <c r="I15" s="8" t="s">
        <v>35</v>
      </c>
    </row>
    <row r="16" customFormat="false" ht="17.15" hidden="false" customHeight="false" outlineLevel="0" collapsed="false">
      <c r="A16" s="0" t="s">
        <v>59</v>
      </c>
      <c r="B16" s="0" t="s">
        <v>60</v>
      </c>
      <c r="C16" s="0" t="s">
        <v>32</v>
      </c>
      <c r="E16" s="7" t="n">
        <v>3.782695</v>
      </c>
      <c r="G16" s="8" t="s">
        <v>33</v>
      </c>
      <c r="H16" s="8" t="s">
        <v>58</v>
      </c>
      <c r="I16" s="5" t="s">
        <v>38</v>
      </c>
    </row>
    <row r="17" customFormat="false" ht="17.15" hidden="false" customHeight="false" outlineLevel="0" collapsed="false">
      <c r="A17" s="0" t="s">
        <v>61</v>
      </c>
      <c r="B17" s="0" t="s">
        <v>62</v>
      </c>
      <c r="C17" s="0" t="s">
        <v>32</v>
      </c>
      <c r="E17" s="7" t="n">
        <v>5.86317725</v>
      </c>
      <c r="G17" s="8" t="s">
        <v>33</v>
      </c>
      <c r="H17" s="8" t="s">
        <v>58</v>
      </c>
      <c r="I17" s="5" t="s">
        <v>38</v>
      </c>
    </row>
    <row r="18" customFormat="false" ht="17.15" hidden="false" customHeight="false" outlineLevel="0" collapsed="false">
      <c r="A18" s="0" t="s">
        <v>63</v>
      </c>
      <c r="B18" s="0" t="s">
        <v>64</v>
      </c>
      <c r="C18" s="0" t="s">
        <v>32</v>
      </c>
      <c r="E18" s="7" t="n">
        <v>6.16722</v>
      </c>
      <c r="G18" s="8" t="s">
        <v>33</v>
      </c>
      <c r="H18" s="8" t="s">
        <v>58</v>
      </c>
      <c r="I18" s="5" t="s">
        <v>38</v>
      </c>
    </row>
    <row r="19" customFormat="false" ht="17.15" hidden="false" customHeight="false" outlineLevel="0" collapsed="false">
      <c r="A19" s="0" t="s">
        <v>65</v>
      </c>
      <c r="B19" s="0" t="s">
        <v>66</v>
      </c>
      <c r="C19" s="0" t="s">
        <v>32</v>
      </c>
      <c r="E19" s="7" t="n">
        <v>8.017386</v>
      </c>
      <c r="G19" s="8" t="s">
        <v>33</v>
      </c>
      <c r="H19" s="8" t="s">
        <v>58</v>
      </c>
      <c r="I19" s="5" t="s">
        <v>38</v>
      </c>
    </row>
    <row r="20" customFormat="false" ht="17.15" hidden="false" customHeight="false" outlineLevel="0" collapsed="false">
      <c r="A20" s="0" t="s">
        <v>67</v>
      </c>
      <c r="B20" s="0" t="s">
        <v>68</v>
      </c>
      <c r="C20" s="0" t="s">
        <v>69</v>
      </c>
      <c r="D20" s="7" t="n">
        <v>0</v>
      </c>
      <c r="E20" s="7" t="n">
        <v>0.1</v>
      </c>
      <c r="F20" s="7" t="n">
        <v>0.2</v>
      </c>
      <c r="G20" s="8" t="s">
        <v>70</v>
      </c>
      <c r="H20" s="8" t="s">
        <v>71</v>
      </c>
      <c r="I20" s="5" t="s">
        <v>72</v>
      </c>
    </row>
    <row r="21" customFormat="false" ht="17.15" hidden="false" customHeight="false" outlineLevel="0" collapsed="false">
      <c r="A21" s="1" t="s">
        <v>73</v>
      </c>
    </row>
    <row r="22" customFormat="false" ht="17.15" hidden="false" customHeight="false" outlineLevel="0" collapsed="false">
      <c r="A22" s="0" t="s">
        <v>74</v>
      </c>
      <c r="B22" s="0" t="s">
        <v>75</v>
      </c>
      <c r="C22" s="0" t="s">
        <v>76</v>
      </c>
      <c r="D22" s="7" t="n">
        <v>22</v>
      </c>
      <c r="E22" s="7" t="n">
        <v>24</v>
      </c>
      <c r="F22" s="7" t="n">
        <v>24</v>
      </c>
      <c r="G22" s="8" t="s">
        <v>70</v>
      </c>
      <c r="H22" s="8" t="s">
        <v>77</v>
      </c>
      <c r="I22" s="5" t="s">
        <v>78</v>
      </c>
    </row>
    <row r="23" customFormat="false" ht="17.15" hidden="false" customHeight="false" outlineLevel="0" collapsed="false">
      <c r="A23" s="0" t="s">
        <v>79</v>
      </c>
      <c r="B23" s="0" t="s">
        <v>80</v>
      </c>
      <c r="C23" s="0" t="s">
        <v>76</v>
      </c>
      <c r="D23" s="7" t="n">
        <v>24</v>
      </c>
      <c r="E23" s="7" t="n">
        <v>24</v>
      </c>
      <c r="F23" s="7" t="n">
        <v>26</v>
      </c>
      <c r="G23" s="8" t="s">
        <v>70</v>
      </c>
      <c r="H23" s="8" t="s">
        <v>81</v>
      </c>
      <c r="I23" s="5" t="s">
        <v>38</v>
      </c>
    </row>
    <row r="24" customFormat="false" ht="17.15" hidden="false" customHeight="false" outlineLevel="0" collapsed="false">
      <c r="A24" s="0" t="s">
        <v>82</v>
      </c>
      <c r="B24" s="0" t="s">
        <v>83</v>
      </c>
      <c r="C24" s="0" t="s">
        <v>76</v>
      </c>
      <c r="D24" s="7" t="n">
        <v>24</v>
      </c>
      <c r="E24" s="7" t="n">
        <v>26</v>
      </c>
      <c r="F24" s="7" t="n">
        <v>28</v>
      </c>
      <c r="G24" s="8" t="s">
        <v>70</v>
      </c>
      <c r="H24" s="8" t="s">
        <v>84</v>
      </c>
      <c r="I24" s="5" t="s">
        <v>38</v>
      </c>
    </row>
    <row r="25" customFormat="false" ht="17.15" hidden="false" customHeight="false" outlineLevel="0" collapsed="false">
      <c r="A25" s="0" t="s">
        <v>85</v>
      </c>
      <c r="B25" s="0" t="s">
        <v>86</v>
      </c>
      <c r="C25" s="0" t="s">
        <v>76</v>
      </c>
      <c r="D25" s="7" t="n">
        <v>24</v>
      </c>
      <c r="E25" s="7" t="n">
        <v>28</v>
      </c>
      <c r="F25" s="7" t="n">
        <v>32</v>
      </c>
      <c r="G25" s="8" t="s">
        <v>70</v>
      </c>
      <c r="H25" s="8" t="s">
        <v>87</v>
      </c>
      <c r="I25" s="5" t="s">
        <v>38</v>
      </c>
    </row>
    <row r="26" customFormat="false" ht="17.15" hidden="false" customHeight="false" outlineLevel="0" collapsed="false">
      <c r="A26" s="0" t="s">
        <v>88</v>
      </c>
      <c r="B26" s="0" t="s">
        <v>89</v>
      </c>
      <c r="C26" s="0" t="s">
        <v>76</v>
      </c>
      <c r="D26" s="7" t="n">
        <v>26</v>
      </c>
      <c r="E26" s="7" t="n">
        <v>30</v>
      </c>
      <c r="F26" s="7" t="n">
        <v>32</v>
      </c>
      <c r="G26" s="8" t="s">
        <v>70</v>
      </c>
      <c r="H26" s="8" t="s">
        <v>90</v>
      </c>
      <c r="I26" s="5" t="s">
        <v>38</v>
      </c>
    </row>
    <row r="27" customFormat="false" ht="17.15" hidden="false" customHeight="false" outlineLevel="0" collapsed="false">
      <c r="A27" s="0" t="s">
        <v>91</v>
      </c>
      <c r="B27" s="0" t="s">
        <v>92</v>
      </c>
      <c r="C27" s="0" t="s">
        <v>76</v>
      </c>
      <c r="D27" s="7" t="n">
        <v>28</v>
      </c>
      <c r="E27" s="7" t="n">
        <v>32</v>
      </c>
      <c r="F27" s="7" t="n">
        <v>32</v>
      </c>
      <c r="G27" s="8" t="s">
        <v>70</v>
      </c>
      <c r="H27" s="8" t="s">
        <v>93</v>
      </c>
      <c r="I27" s="5" t="s">
        <v>38</v>
      </c>
    </row>
    <row r="28" customFormat="false" ht="17.15" hidden="false" customHeight="false" outlineLevel="0" collapsed="false">
      <c r="A28" s="0" t="s">
        <v>94</v>
      </c>
      <c r="B28" s="0" t="s">
        <v>95</v>
      </c>
      <c r="C28" s="5" t="s">
        <v>96</v>
      </c>
      <c r="D28" s="7" t="n">
        <v>8</v>
      </c>
      <c r="E28" s="7" t="n">
        <v>10</v>
      </c>
      <c r="F28" s="7" t="n">
        <v>12</v>
      </c>
      <c r="G28" s="8" t="s">
        <v>70</v>
      </c>
      <c r="H28" s="8" t="s">
        <v>97</v>
      </c>
      <c r="I28" s="5" t="s">
        <v>98</v>
      </c>
    </row>
    <row r="29" customFormat="false" ht="17.15" hidden="false" customHeight="false" outlineLevel="0" collapsed="false">
      <c r="A29" s="0" t="s">
        <v>99</v>
      </c>
      <c r="B29" s="0" t="s">
        <v>100</v>
      </c>
      <c r="C29" s="5" t="s">
        <v>96</v>
      </c>
      <c r="D29" s="7" t="n">
        <v>10</v>
      </c>
      <c r="E29" s="7" t="n">
        <v>12</v>
      </c>
      <c r="F29" s="7" t="n">
        <v>12</v>
      </c>
      <c r="G29" s="8" t="s">
        <v>70</v>
      </c>
      <c r="H29" s="8" t="s">
        <v>101</v>
      </c>
      <c r="I29" s="5" t="s">
        <v>38</v>
      </c>
    </row>
    <row r="30" customFormat="false" ht="17.15" hidden="false" customHeight="false" outlineLevel="0" collapsed="false">
      <c r="A30" s="0" t="s">
        <v>102</v>
      </c>
      <c r="B30" s="0" t="s">
        <v>103</v>
      </c>
      <c r="C30" s="5" t="s">
        <v>96</v>
      </c>
      <c r="D30" s="7" t="n">
        <v>12</v>
      </c>
      <c r="E30" s="7" t="n">
        <v>12.5</v>
      </c>
      <c r="F30" s="7" t="n">
        <v>14</v>
      </c>
      <c r="G30" s="8" t="s">
        <v>70</v>
      </c>
      <c r="H30" s="8" t="s">
        <v>104</v>
      </c>
      <c r="I30" s="5" t="s">
        <v>38</v>
      </c>
    </row>
    <row r="31" customFormat="false" ht="17.15" hidden="false" customHeight="false" outlineLevel="0" collapsed="false">
      <c r="A31" s="0" t="s">
        <v>105</v>
      </c>
      <c r="B31" s="0" t="s">
        <v>106</v>
      </c>
      <c r="C31" s="5" t="s">
        <v>96</v>
      </c>
      <c r="D31" s="7" t="n">
        <v>12</v>
      </c>
      <c r="E31" s="7" t="n">
        <v>14</v>
      </c>
      <c r="F31" s="7" t="n">
        <v>16</v>
      </c>
      <c r="G31" s="8" t="s">
        <v>70</v>
      </c>
      <c r="H31" s="8" t="s">
        <v>107</v>
      </c>
      <c r="I31" s="5" t="s">
        <v>38</v>
      </c>
    </row>
    <row r="32" customFormat="false" ht="17.15" hidden="false" customHeight="false" outlineLevel="0" collapsed="false">
      <c r="A32" s="0" t="s">
        <v>108</v>
      </c>
      <c r="B32" s="0" t="s">
        <v>109</v>
      </c>
      <c r="C32" s="5" t="s">
        <v>96</v>
      </c>
      <c r="D32" s="7" t="n">
        <v>12</v>
      </c>
      <c r="E32" s="7" t="n">
        <v>15</v>
      </c>
      <c r="F32" s="7" t="n">
        <v>16</v>
      </c>
      <c r="G32" s="8" t="s">
        <v>70</v>
      </c>
      <c r="H32" s="8" t="s">
        <v>110</v>
      </c>
      <c r="I32" s="5" t="s">
        <v>38</v>
      </c>
    </row>
    <row r="33" customFormat="false" ht="17.15" hidden="false" customHeight="false" outlineLevel="0" collapsed="false">
      <c r="A33" s="0" t="s">
        <v>111</v>
      </c>
      <c r="B33" s="0" t="s">
        <v>112</v>
      </c>
      <c r="C33" s="5" t="s">
        <v>96</v>
      </c>
      <c r="D33" s="7" t="n">
        <v>14</v>
      </c>
      <c r="E33" s="7" t="n">
        <v>16</v>
      </c>
      <c r="F33" s="7" t="n">
        <v>16</v>
      </c>
      <c r="G33" s="8" t="s">
        <v>70</v>
      </c>
      <c r="H33" s="8" t="s">
        <v>113</v>
      </c>
      <c r="I33" s="5" t="s">
        <v>38</v>
      </c>
    </row>
    <row r="34" customFormat="false" ht="17.15" hidden="false" customHeight="false" outlineLevel="0" collapsed="false">
      <c r="A34" s="0" t="s">
        <v>114</v>
      </c>
      <c r="B34" s="5" t="s">
        <v>115</v>
      </c>
      <c r="C34" s="0" t="s">
        <v>116</v>
      </c>
      <c r="D34" s="7" t="n">
        <v>0</v>
      </c>
      <c r="E34" s="7" t="n">
        <v>0.1</v>
      </c>
      <c r="F34" s="7" t="n">
        <v>0.25</v>
      </c>
      <c r="G34" s="8" t="s">
        <v>70</v>
      </c>
      <c r="H34" s="5" t="s">
        <v>117</v>
      </c>
      <c r="I34" s="5" t="s">
        <v>118</v>
      </c>
    </row>
    <row r="35" customFormat="false" ht="17.15" hidden="false" customHeight="false" outlineLevel="0" collapsed="false">
      <c r="A35" s="0" t="s">
        <v>119</v>
      </c>
      <c r="B35" s="5" t="s">
        <v>120</v>
      </c>
      <c r="C35" s="0" t="s">
        <v>69</v>
      </c>
      <c r="D35" s="7" t="n">
        <v>0</v>
      </c>
      <c r="E35" s="7" t="n">
        <v>0</v>
      </c>
      <c r="F35" s="7" t="n">
        <v>0</v>
      </c>
      <c r="G35" s="8" t="s">
        <v>70</v>
      </c>
      <c r="H35" s="8" t="s">
        <v>121</v>
      </c>
      <c r="I35" s="5" t="s">
        <v>122</v>
      </c>
    </row>
    <row r="36" customFormat="false" ht="17.15" hidden="false" customHeight="false" outlineLevel="0" collapsed="false">
      <c r="A36" s="0" t="s">
        <v>123</v>
      </c>
      <c r="B36" s="5" t="s">
        <v>124</v>
      </c>
      <c r="C36" s="0" t="s">
        <v>69</v>
      </c>
      <c r="D36" s="7" t="n">
        <v>0</v>
      </c>
      <c r="E36" s="7" t="n">
        <v>0</v>
      </c>
      <c r="F36" s="7" t="n">
        <v>0</v>
      </c>
      <c r="G36" s="8" t="s">
        <v>70</v>
      </c>
      <c r="H36" s="8" t="s">
        <v>125</v>
      </c>
      <c r="I36" s="5" t="s">
        <v>38</v>
      </c>
    </row>
    <row r="37" customFormat="false" ht="17.15" hidden="false" customHeight="false" outlineLevel="0" collapsed="false">
      <c r="A37" s="0" t="s">
        <v>126</v>
      </c>
      <c r="B37" s="5" t="s">
        <v>127</v>
      </c>
      <c r="C37" s="0" t="s">
        <v>69</v>
      </c>
      <c r="D37" s="7" t="n">
        <v>0</v>
      </c>
      <c r="E37" s="7" t="n">
        <v>0</v>
      </c>
      <c r="F37" s="7" t="n">
        <v>0.05</v>
      </c>
      <c r="G37" s="8" t="s">
        <v>70</v>
      </c>
      <c r="H37" s="8" t="s">
        <v>128</v>
      </c>
      <c r="I37" s="5" t="s">
        <v>38</v>
      </c>
    </row>
    <row r="38" customFormat="false" ht="17.15" hidden="false" customHeight="false" outlineLevel="0" collapsed="false">
      <c r="A38" s="0" t="s">
        <v>129</v>
      </c>
      <c r="B38" s="5" t="s">
        <v>130</v>
      </c>
      <c r="C38" s="0" t="s">
        <v>69</v>
      </c>
      <c r="D38" s="7" t="n">
        <v>0</v>
      </c>
      <c r="E38" s="7" t="n">
        <v>0.05</v>
      </c>
      <c r="F38" s="7" t="n">
        <v>0.15</v>
      </c>
      <c r="G38" s="8" t="s">
        <v>70</v>
      </c>
      <c r="H38" s="8" t="s">
        <v>131</v>
      </c>
      <c r="I38" s="5" t="s">
        <v>38</v>
      </c>
    </row>
    <row r="39" customFormat="false" ht="17.15" hidden="false" customHeight="false" outlineLevel="0" collapsed="false">
      <c r="A39" s="0" t="s">
        <v>132</v>
      </c>
      <c r="B39" s="5" t="s">
        <v>133</v>
      </c>
      <c r="C39" s="0" t="s">
        <v>69</v>
      </c>
      <c r="D39" s="7" t="n">
        <v>0.05</v>
      </c>
      <c r="E39" s="7" t="n">
        <v>0.15</v>
      </c>
      <c r="F39" s="7" t="n">
        <v>0.3</v>
      </c>
      <c r="G39" s="8" t="s">
        <v>70</v>
      </c>
      <c r="H39" s="8" t="s">
        <v>134</v>
      </c>
      <c r="I39" s="5" t="s">
        <v>38</v>
      </c>
    </row>
    <row r="40" customFormat="false" ht="17.15" hidden="false" customHeight="false" outlineLevel="0" collapsed="false">
      <c r="A40" s="0" t="s">
        <v>135</v>
      </c>
      <c r="B40" s="5" t="s">
        <v>136</v>
      </c>
      <c r="C40" s="0" t="s">
        <v>69</v>
      </c>
      <c r="D40" s="7" t="n">
        <v>0.1</v>
      </c>
      <c r="E40" s="7" t="n">
        <v>0.25</v>
      </c>
      <c r="F40" s="7" t="n">
        <v>0.4</v>
      </c>
      <c r="G40" s="8" t="s">
        <v>70</v>
      </c>
      <c r="H40" s="8" t="s">
        <v>137</v>
      </c>
      <c r="I40" s="5" t="s">
        <v>38</v>
      </c>
    </row>
    <row r="41" customFormat="false" ht="17.15" hidden="false" customHeight="false" outlineLevel="0" collapsed="false">
      <c r="A41" s="0" t="s">
        <v>138</v>
      </c>
      <c r="B41" s="5" t="s">
        <v>139</v>
      </c>
      <c r="C41" s="0" t="s">
        <v>140</v>
      </c>
      <c r="D41" s="7" t="n">
        <v>0.05</v>
      </c>
      <c r="E41" s="7" t="n">
        <v>0.1</v>
      </c>
      <c r="F41" s="7" t="n">
        <v>0.15</v>
      </c>
      <c r="G41" s="8" t="s">
        <v>70</v>
      </c>
      <c r="H41" s="5" t="s">
        <v>141</v>
      </c>
      <c r="I41" s="5" t="s">
        <v>142</v>
      </c>
    </row>
    <row r="42" customFormat="false" ht="17.15" hidden="false" customHeight="false" outlineLevel="0" collapsed="false">
      <c r="A42" s="1" t="s">
        <v>143</v>
      </c>
    </row>
    <row r="43" customFormat="false" ht="17.15" hidden="false" customHeight="false" outlineLevel="0" collapsed="false">
      <c r="A43" s="0" t="s">
        <v>144</v>
      </c>
      <c r="B43" s="0" t="s">
        <v>145</v>
      </c>
      <c r="C43" s="5" t="s">
        <v>146</v>
      </c>
      <c r="E43" s="7" t="n">
        <v>1107.85762580894</v>
      </c>
      <c r="G43" s="8" t="s">
        <v>33</v>
      </c>
      <c r="H43" s="8" t="s">
        <v>147</v>
      </c>
      <c r="I43" s="5" t="s">
        <v>148</v>
      </c>
    </row>
    <row r="44" customFormat="false" ht="17.15" hidden="false" customHeight="false" outlineLevel="0" collapsed="false">
      <c r="A44" s="0" t="s">
        <v>149</v>
      </c>
      <c r="B44" s="0" t="s">
        <v>150</v>
      </c>
      <c r="C44" s="5" t="s">
        <v>146</v>
      </c>
      <c r="E44" s="7" t="n">
        <v>2096.42857142857</v>
      </c>
      <c r="G44" s="8" t="s">
        <v>33</v>
      </c>
      <c r="H44" s="8" t="s">
        <v>147</v>
      </c>
      <c r="I44" s="5" t="s">
        <v>38</v>
      </c>
    </row>
    <row r="45" customFormat="false" ht="17.15" hidden="false" customHeight="false" outlineLevel="0" collapsed="false">
      <c r="A45" s="0" t="s">
        <v>151</v>
      </c>
      <c r="B45" s="0" t="s">
        <v>152</v>
      </c>
      <c r="C45" s="5" t="s">
        <v>146</v>
      </c>
      <c r="E45" s="7" t="n">
        <v>2620.08928571429</v>
      </c>
      <c r="G45" s="8" t="s">
        <v>33</v>
      </c>
      <c r="H45" s="8" t="s">
        <v>147</v>
      </c>
      <c r="I45" s="5" t="s">
        <v>38</v>
      </c>
    </row>
    <row r="46" customFormat="false" ht="17.15" hidden="false" customHeight="false" outlineLevel="0" collapsed="false">
      <c r="A46" s="0" t="s">
        <v>153</v>
      </c>
      <c r="B46" s="0" t="s">
        <v>154</v>
      </c>
      <c r="C46" s="5" t="s">
        <v>146</v>
      </c>
      <c r="E46" s="7" t="n">
        <v>3013.32589285714</v>
      </c>
      <c r="G46" s="8" t="s">
        <v>33</v>
      </c>
      <c r="H46" s="8" t="s">
        <v>147</v>
      </c>
      <c r="I46" s="5" t="s">
        <v>38</v>
      </c>
    </row>
    <row r="47" customFormat="false" ht="17.15" hidden="false" customHeight="false" outlineLevel="0" collapsed="false">
      <c r="A47" s="0" t="s">
        <v>155</v>
      </c>
      <c r="B47" s="5" t="s">
        <v>156</v>
      </c>
      <c r="C47" s="0" t="s">
        <v>116</v>
      </c>
      <c r="E47" s="7" t="n">
        <v>1</v>
      </c>
      <c r="G47" s="8" t="s">
        <v>33</v>
      </c>
      <c r="H47" s="8" t="s">
        <v>157</v>
      </c>
      <c r="I47" s="5" t="s">
        <v>158</v>
      </c>
    </row>
    <row r="48" customFormat="false" ht="17.15" hidden="false" customHeight="false" outlineLevel="0" collapsed="false">
      <c r="A48" s="0" t="s">
        <v>159</v>
      </c>
      <c r="B48" s="5" t="s">
        <v>160</v>
      </c>
      <c r="C48" s="0" t="s">
        <v>116</v>
      </c>
      <c r="E48" s="7" t="n">
        <v>1</v>
      </c>
      <c r="G48" s="8" t="s">
        <v>33</v>
      </c>
      <c r="H48" s="8" t="s">
        <v>161</v>
      </c>
      <c r="I48" s="5" t="s">
        <v>38</v>
      </c>
    </row>
    <row r="49" customFormat="false" ht="17.15" hidden="false" customHeight="false" outlineLevel="0" collapsed="false">
      <c r="A49" s="0" t="s">
        <v>162</v>
      </c>
      <c r="B49" s="5" t="s">
        <v>163</v>
      </c>
      <c r="C49" s="0" t="s">
        <v>116</v>
      </c>
      <c r="E49" s="7" t="n">
        <v>0.8</v>
      </c>
      <c r="G49" s="8" t="s">
        <v>33</v>
      </c>
      <c r="H49" s="8" t="s">
        <v>164</v>
      </c>
      <c r="I49" s="5" t="s">
        <v>38</v>
      </c>
    </row>
    <row r="50" customFormat="false" ht="17.15" hidden="false" customHeight="false" outlineLevel="0" collapsed="false">
      <c r="A50" s="0" t="s">
        <v>165</v>
      </c>
      <c r="B50" s="5" t="s">
        <v>166</v>
      </c>
      <c r="C50" s="0" t="s">
        <v>116</v>
      </c>
      <c r="E50" s="7" t="n">
        <v>0.85</v>
      </c>
      <c r="G50" s="8" t="s">
        <v>33</v>
      </c>
      <c r="H50" s="8" t="s">
        <v>167</v>
      </c>
      <c r="I50" s="5" t="s">
        <v>38</v>
      </c>
    </row>
    <row r="51" customFormat="false" ht="17.15" hidden="false" customHeight="false" outlineLevel="0" collapsed="false">
      <c r="A51" s="0" t="s">
        <v>168</v>
      </c>
      <c r="B51" s="5" t="s">
        <v>169</v>
      </c>
      <c r="C51" s="0" t="s">
        <v>116</v>
      </c>
      <c r="E51" s="7" t="n">
        <v>0.6</v>
      </c>
      <c r="G51" s="8" t="s">
        <v>33</v>
      </c>
      <c r="H51" s="8" t="s">
        <v>170</v>
      </c>
      <c r="I51" s="5" t="s">
        <v>38</v>
      </c>
    </row>
    <row r="52" customFormat="false" ht="17.15" hidden="false" customHeight="false" outlineLevel="0" collapsed="false">
      <c r="A52" s="0" t="s">
        <v>171</v>
      </c>
      <c r="B52" s="5" t="s">
        <v>172</v>
      </c>
      <c r="C52" s="0" t="s">
        <v>116</v>
      </c>
      <c r="E52" s="7" t="n">
        <v>0.6</v>
      </c>
      <c r="G52" s="8" t="s">
        <v>33</v>
      </c>
      <c r="H52" s="8" t="s">
        <v>173</v>
      </c>
      <c r="I52" s="5" t="s">
        <v>38</v>
      </c>
    </row>
    <row r="53" customFormat="false" ht="17.15" hidden="false" customHeight="false" outlineLevel="0" collapsed="false">
      <c r="A53" s="0" t="s">
        <v>174</v>
      </c>
      <c r="B53" s="5" t="s">
        <v>175</v>
      </c>
      <c r="C53" s="0" t="s">
        <v>69</v>
      </c>
      <c r="D53" s="7" t="n">
        <v>0.08</v>
      </c>
      <c r="E53" s="7" t="n">
        <v>0.08</v>
      </c>
      <c r="F53" s="7" t="n">
        <v>0.08</v>
      </c>
      <c r="G53" s="8" t="s">
        <v>70</v>
      </c>
      <c r="H53" s="5" t="s">
        <v>176</v>
      </c>
      <c r="I53" s="8" t="s">
        <v>177</v>
      </c>
    </row>
    <row r="54" customFormat="false" ht="17.15" hidden="false" customHeight="false" outlineLevel="0" collapsed="false">
      <c r="A54" s="0" t="s">
        <v>178</v>
      </c>
      <c r="B54" s="5" t="s">
        <v>179</v>
      </c>
      <c r="C54" s="0" t="s">
        <v>69</v>
      </c>
      <c r="D54" s="7" t="n">
        <v>0.11</v>
      </c>
      <c r="E54" s="7" t="n">
        <v>0.11</v>
      </c>
      <c r="F54" s="7" t="n">
        <v>0.11</v>
      </c>
      <c r="G54" s="8" t="s">
        <v>70</v>
      </c>
      <c r="H54" s="5" t="s">
        <v>38</v>
      </c>
      <c r="I54" s="8" t="s">
        <v>180</v>
      </c>
    </row>
    <row r="55" customFormat="false" ht="17.15" hidden="false" customHeight="false" outlineLevel="0" collapsed="false">
      <c r="A55" s="0" t="s">
        <v>181</v>
      </c>
      <c r="B55" s="5" t="s">
        <v>182</v>
      </c>
      <c r="C55" s="0" t="s">
        <v>69</v>
      </c>
      <c r="D55" s="7" t="n">
        <v>0.126</v>
      </c>
      <c r="E55" s="7" t="n">
        <v>0.18</v>
      </c>
      <c r="F55" s="7" t="n">
        <v>0.234</v>
      </c>
      <c r="G55" s="8" t="s">
        <v>70</v>
      </c>
      <c r="H55" s="5" t="s">
        <v>38</v>
      </c>
      <c r="I55" s="8" t="s">
        <v>180</v>
      </c>
    </row>
    <row r="56" customFormat="false" ht="17.15" hidden="false" customHeight="false" outlineLevel="0" collapsed="false">
      <c r="A56" s="0" t="s">
        <v>183</v>
      </c>
      <c r="B56" s="5" t="s">
        <v>184</v>
      </c>
      <c r="C56" s="0" t="s">
        <v>69</v>
      </c>
      <c r="D56" s="7" t="n">
        <v>0.182</v>
      </c>
      <c r="E56" s="7" t="n">
        <v>0.26</v>
      </c>
      <c r="F56" s="7" t="n">
        <v>0.338</v>
      </c>
      <c r="G56" s="8" t="s">
        <v>70</v>
      </c>
      <c r="H56" s="5" t="s">
        <v>38</v>
      </c>
      <c r="I56" s="8" t="s">
        <v>180</v>
      </c>
    </row>
    <row r="57" customFormat="false" ht="17.15" hidden="false" customHeight="false" outlineLevel="0" collapsed="false">
      <c r="A57" s="0" t="s">
        <v>185</v>
      </c>
      <c r="B57" s="5" t="s">
        <v>186</v>
      </c>
      <c r="C57" s="0" t="s">
        <v>69</v>
      </c>
      <c r="D57" s="7" t="n">
        <v>0.238</v>
      </c>
      <c r="E57" s="7" t="n">
        <v>0.34</v>
      </c>
      <c r="F57" s="7" t="n">
        <v>0.442</v>
      </c>
      <c r="G57" s="8" t="s">
        <v>70</v>
      </c>
      <c r="H57" s="5" t="s">
        <v>38</v>
      </c>
      <c r="I57" s="8" t="s">
        <v>180</v>
      </c>
    </row>
    <row r="58" customFormat="false" ht="17.15" hidden="false" customHeight="false" outlineLevel="0" collapsed="false">
      <c r="A58" s="0" t="s">
        <v>187</v>
      </c>
      <c r="B58" s="5" t="s">
        <v>188</v>
      </c>
      <c r="C58" s="0" t="s">
        <v>69</v>
      </c>
      <c r="D58" s="7" t="n">
        <v>0.08</v>
      </c>
      <c r="E58" s="7" t="n">
        <v>0.08</v>
      </c>
      <c r="F58" s="7" t="n">
        <v>0.08</v>
      </c>
      <c r="G58" s="8" t="s">
        <v>70</v>
      </c>
      <c r="H58" s="5" t="s">
        <v>38</v>
      </c>
      <c r="I58" s="8" t="s">
        <v>177</v>
      </c>
    </row>
    <row r="59" customFormat="false" ht="17.15" hidden="false" customHeight="false" outlineLevel="0" collapsed="false">
      <c r="A59" s="0" t="s">
        <v>189</v>
      </c>
      <c r="B59" s="5" t="s">
        <v>190</v>
      </c>
      <c r="C59" s="0" t="s">
        <v>69</v>
      </c>
      <c r="D59" s="7" t="n">
        <v>0.11</v>
      </c>
      <c r="E59" s="7" t="n">
        <v>0.11</v>
      </c>
      <c r="F59" s="7" t="n">
        <v>0.11</v>
      </c>
      <c r="G59" s="8" t="s">
        <v>70</v>
      </c>
      <c r="H59" s="5" t="s">
        <v>38</v>
      </c>
      <c r="I59" s="8" t="s">
        <v>180</v>
      </c>
    </row>
    <row r="60" customFormat="false" ht="17.15" hidden="false" customHeight="false" outlineLevel="0" collapsed="false">
      <c r="A60" s="0" t="s">
        <v>191</v>
      </c>
      <c r="B60" s="5" t="s">
        <v>192</v>
      </c>
      <c r="C60" s="0" t="s">
        <v>69</v>
      </c>
      <c r="D60" s="7" t="n">
        <v>0.105</v>
      </c>
      <c r="E60" s="7" t="n">
        <v>0.15</v>
      </c>
      <c r="F60" s="7" t="n">
        <v>0.195</v>
      </c>
      <c r="G60" s="8" t="s">
        <v>70</v>
      </c>
      <c r="H60" s="5" t="s">
        <v>38</v>
      </c>
      <c r="I60" s="8" t="s">
        <v>180</v>
      </c>
    </row>
    <row r="61" customFormat="false" ht="17.15" hidden="false" customHeight="false" outlineLevel="0" collapsed="false">
      <c r="A61" s="0" t="s">
        <v>193</v>
      </c>
      <c r="B61" s="5" t="s">
        <v>194</v>
      </c>
      <c r="C61" s="0" t="s">
        <v>69</v>
      </c>
      <c r="D61" s="7" t="n">
        <v>0.14</v>
      </c>
      <c r="E61" s="7" t="n">
        <v>0.2</v>
      </c>
      <c r="F61" s="7" t="n">
        <v>0.26</v>
      </c>
      <c r="G61" s="8" t="s">
        <v>70</v>
      </c>
      <c r="H61" s="5" t="s">
        <v>38</v>
      </c>
      <c r="I61" s="8" t="s">
        <v>180</v>
      </c>
    </row>
    <row r="62" customFormat="false" ht="17.15" hidden="false" customHeight="false" outlineLevel="0" collapsed="false">
      <c r="A62" s="0" t="s">
        <v>195</v>
      </c>
      <c r="B62" s="5" t="s">
        <v>196</v>
      </c>
      <c r="C62" s="0" t="s">
        <v>69</v>
      </c>
      <c r="D62" s="7" t="n">
        <v>0.175</v>
      </c>
      <c r="E62" s="7" t="n">
        <v>0.25</v>
      </c>
      <c r="F62" s="7" t="n">
        <v>0.325</v>
      </c>
      <c r="G62" s="8" t="s">
        <v>70</v>
      </c>
      <c r="H62" s="5" t="s">
        <v>38</v>
      </c>
      <c r="I62" s="8" t="s">
        <v>180</v>
      </c>
    </row>
    <row r="63" customFormat="false" ht="17.15" hidden="false" customHeight="false" outlineLevel="0" collapsed="false">
      <c r="A63" s="0" t="s">
        <v>197</v>
      </c>
      <c r="B63" s="5" t="s">
        <v>198</v>
      </c>
      <c r="C63" s="0" t="s">
        <v>69</v>
      </c>
      <c r="D63" s="7" t="n">
        <v>0.08</v>
      </c>
      <c r="E63" s="7" t="n">
        <v>0.08</v>
      </c>
      <c r="F63" s="7" t="n">
        <v>0.08</v>
      </c>
      <c r="G63" s="8" t="s">
        <v>70</v>
      </c>
      <c r="H63" s="5" t="s">
        <v>38</v>
      </c>
      <c r="I63" s="8" t="s">
        <v>177</v>
      </c>
    </row>
    <row r="64" customFormat="false" ht="17.15" hidden="false" customHeight="false" outlineLevel="0" collapsed="false">
      <c r="A64" s="0" t="s">
        <v>199</v>
      </c>
      <c r="B64" s="5" t="s">
        <v>200</v>
      </c>
      <c r="C64" s="0" t="s">
        <v>69</v>
      </c>
      <c r="D64" s="7" t="n">
        <v>0.11</v>
      </c>
      <c r="E64" s="7" t="n">
        <v>0.11</v>
      </c>
      <c r="F64" s="7" t="n">
        <v>0.11</v>
      </c>
      <c r="G64" s="8" t="s">
        <v>70</v>
      </c>
      <c r="H64" s="5" t="s">
        <v>38</v>
      </c>
      <c r="I64" s="8" t="s">
        <v>180</v>
      </c>
    </row>
    <row r="65" customFormat="false" ht="17.15" hidden="false" customHeight="false" outlineLevel="0" collapsed="false">
      <c r="A65" s="0" t="s">
        <v>201</v>
      </c>
      <c r="B65" s="5" t="s">
        <v>202</v>
      </c>
      <c r="C65" s="0" t="s">
        <v>69</v>
      </c>
      <c r="D65" s="7" t="n">
        <v>0.084</v>
      </c>
      <c r="E65" s="7" t="n">
        <v>0.12</v>
      </c>
      <c r="F65" s="7" t="n">
        <v>0.156</v>
      </c>
      <c r="G65" s="8" t="s">
        <v>70</v>
      </c>
      <c r="H65" s="5" t="s">
        <v>38</v>
      </c>
      <c r="I65" s="8" t="s">
        <v>180</v>
      </c>
    </row>
    <row r="66" customFormat="false" ht="17.15" hidden="false" customHeight="false" outlineLevel="0" collapsed="false">
      <c r="A66" s="0" t="s">
        <v>203</v>
      </c>
      <c r="B66" s="5" t="s">
        <v>204</v>
      </c>
      <c r="C66" s="0" t="s">
        <v>69</v>
      </c>
      <c r="D66" s="7" t="n">
        <v>0.098</v>
      </c>
      <c r="E66" s="7" t="n">
        <v>0.14</v>
      </c>
      <c r="F66" s="7" t="n">
        <v>0.182</v>
      </c>
      <c r="G66" s="8" t="s">
        <v>70</v>
      </c>
      <c r="H66" s="5" t="s">
        <v>38</v>
      </c>
      <c r="I66" s="8" t="s">
        <v>180</v>
      </c>
    </row>
    <row r="67" customFormat="false" ht="17.15" hidden="false" customHeight="false" outlineLevel="0" collapsed="false">
      <c r="A67" s="0" t="s">
        <v>205</v>
      </c>
      <c r="B67" s="5" t="s">
        <v>206</v>
      </c>
      <c r="C67" s="0" t="s">
        <v>69</v>
      </c>
      <c r="D67" s="7" t="n">
        <v>0.112</v>
      </c>
      <c r="E67" s="7" t="n">
        <v>0.16</v>
      </c>
      <c r="F67" s="7" t="n">
        <v>0.208</v>
      </c>
      <c r="G67" s="8" t="s">
        <v>70</v>
      </c>
      <c r="H67" s="5" t="s">
        <v>38</v>
      </c>
      <c r="I67" s="8" t="s">
        <v>180</v>
      </c>
    </row>
    <row r="68" customFormat="false" ht="17.15" hidden="false" customHeight="false" outlineLevel="0" collapsed="false">
      <c r="A68" s="1" t="s">
        <v>207</v>
      </c>
    </row>
    <row r="69" customFormat="false" ht="17.15" hidden="false" customHeight="false" outlineLevel="0" collapsed="false">
      <c r="A69" s="0" t="s">
        <v>208</v>
      </c>
      <c r="B69" s="5" t="s">
        <v>209</v>
      </c>
      <c r="C69" s="5" t="s">
        <v>210</v>
      </c>
      <c r="D69" s="7" t="n">
        <v>600</v>
      </c>
      <c r="E69" s="7" t="n">
        <v>1000</v>
      </c>
      <c r="F69" s="7" t="n">
        <v>1500</v>
      </c>
      <c r="G69" s="8" t="s">
        <v>70</v>
      </c>
      <c r="H69" s="5" t="s">
        <v>211</v>
      </c>
      <c r="I69" s="5" t="s">
        <v>118</v>
      </c>
    </row>
    <row r="70" customFormat="false" ht="17.15" hidden="false" customHeight="false" outlineLevel="0" collapsed="false">
      <c r="A70" s="0" t="s">
        <v>212</v>
      </c>
      <c r="B70" s="5" t="s">
        <v>213</v>
      </c>
      <c r="C70" s="0" t="s">
        <v>69</v>
      </c>
      <c r="D70" s="7" t="n">
        <v>0.6</v>
      </c>
      <c r="E70" s="7" t="n">
        <v>0.7</v>
      </c>
      <c r="F70" s="7" t="n">
        <v>0.8</v>
      </c>
      <c r="G70" s="8" t="s">
        <v>70</v>
      </c>
      <c r="H70" s="5" t="s">
        <v>214</v>
      </c>
      <c r="I70" s="8" t="s">
        <v>180</v>
      </c>
    </row>
    <row r="71" customFormat="false" ht="17.15" hidden="false" customHeight="false" outlineLevel="0" collapsed="false">
      <c r="A71" s="0" t="s">
        <v>215</v>
      </c>
      <c r="B71" s="5" t="s">
        <v>216</v>
      </c>
      <c r="C71" s="5" t="s">
        <v>217</v>
      </c>
      <c r="E71" s="0" t="n">
        <f aca="false">uph*8760*util/1000000</f>
        <v>6.132</v>
      </c>
      <c r="G71" s="0" t="s">
        <v>33</v>
      </c>
      <c r="H71" s="0" t="s">
        <v>180</v>
      </c>
      <c r="I71" s="0" t="s">
        <v>180</v>
      </c>
    </row>
    <row r="72" customFormat="false" ht="17.15" hidden="false" customHeight="false" outlineLevel="0" collapsed="false">
      <c r="A72" s="0" t="s">
        <v>218</v>
      </c>
      <c r="B72" s="5" t="s">
        <v>219</v>
      </c>
      <c r="C72" s="0" t="s">
        <v>220</v>
      </c>
      <c r="D72" s="7" t="n">
        <v>2</v>
      </c>
      <c r="E72" s="7" t="n">
        <v>2.5</v>
      </c>
      <c r="F72" s="7" t="n">
        <v>3.5</v>
      </c>
      <c r="G72" s="8" t="s">
        <v>70</v>
      </c>
      <c r="H72" s="5" t="s">
        <v>221</v>
      </c>
      <c r="I72" s="5" t="s">
        <v>118</v>
      </c>
    </row>
    <row r="73" customFormat="false" ht="17.15" hidden="false" customHeight="false" outlineLevel="0" collapsed="false">
      <c r="A73" s="0" t="s">
        <v>222</v>
      </c>
      <c r="B73" s="0" t="s">
        <v>223</v>
      </c>
      <c r="C73" s="0" t="s">
        <v>69</v>
      </c>
      <c r="D73" s="7" t="n">
        <v>0.5</v>
      </c>
      <c r="E73" s="7" t="n">
        <v>0.6</v>
      </c>
      <c r="F73" s="7" t="n">
        <v>0.7</v>
      </c>
      <c r="G73" s="8" t="s">
        <v>70</v>
      </c>
      <c r="H73" s="5" t="s">
        <v>224</v>
      </c>
      <c r="I73" s="8" t="s">
        <v>225</v>
      </c>
    </row>
    <row r="74" customFormat="false" ht="17.15" hidden="false" customHeight="false" outlineLevel="0" collapsed="false">
      <c r="A74" s="0" t="s">
        <v>226</v>
      </c>
      <c r="B74" s="0" t="s">
        <v>227</v>
      </c>
      <c r="C74" s="0" t="s">
        <v>69</v>
      </c>
      <c r="D74" s="7" t="n">
        <v>0.4</v>
      </c>
      <c r="E74" s="7" t="n">
        <v>0.5</v>
      </c>
      <c r="F74" s="7" t="n">
        <v>0.6</v>
      </c>
      <c r="G74" s="8" t="s">
        <v>70</v>
      </c>
      <c r="H74" s="5" t="s">
        <v>38</v>
      </c>
      <c r="I74" s="8" t="s">
        <v>225</v>
      </c>
    </row>
    <row r="75" customFormat="false" ht="17.15" hidden="false" customHeight="false" outlineLevel="0" collapsed="false">
      <c r="A75" s="0" t="s">
        <v>228</v>
      </c>
      <c r="B75" s="0" t="s">
        <v>229</v>
      </c>
      <c r="C75" s="0" t="s">
        <v>69</v>
      </c>
      <c r="D75" s="7" t="n">
        <v>0.25</v>
      </c>
      <c r="E75" s="7" t="n">
        <v>0.35</v>
      </c>
      <c r="F75" s="7" t="n">
        <v>0.45</v>
      </c>
      <c r="G75" s="8" t="s">
        <v>70</v>
      </c>
      <c r="H75" s="5" t="s">
        <v>38</v>
      </c>
      <c r="I75" s="8" t="s">
        <v>225</v>
      </c>
    </row>
    <row r="76" customFormat="false" ht="17.15" hidden="false" customHeight="false" outlineLevel="0" collapsed="false">
      <c r="A76" s="0" t="s">
        <v>230</v>
      </c>
      <c r="B76" s="0" t="s">
        <v>231</v>
      </c>
      <c r="C76" s="0" t="s">
        <v>116</v>
      </c>
      <c r="D76" s="7" t="n">
        <v>0.9</v>
      </c>
      <c r="E76" s="7" t="n">
        <v>1</v>
      </c>
      <c r="F76" s="7" t="n">
        <v>1.1</v>
      </c>
      <c r="G76" s="8" t="s">
        <v>70</v>
      </c>
      <c r="H76" s="8" t="s">
        <v>232</v>
      </c>
      <c r="I76" s="8" t="s">
        <v>233</v>
      </c>
    </row>
    <row r="77" customFormat="false" ht="17.15" hidden="false" customHeight="false" outlineLevel="0" collapsed="false">
      <c r="A77" s="0" t="s">
        <v>234</v>
      </c>
      <c r="B77" s="0" t="s">
        <v>235</v>
      </c>
      <c r="C77" s="0" t="s">
        <v>116</v>
      </c>
      <c r="D77" s="7" t="n">
        <v>0.85</v>
      </c>
      <c r="E77" s="7" t="n">
        <v>0.95</v>
      </c>
      <c r="F77" s="7" t="n">
        <v>1.05</v>
      </c>
      <c r="G77" s="8" t="s">
        <v>70</v>
      </c>
      <c r="H77" s="5" t="s">
        <v>38</v>
      </c>
      <c r="I77" s="8" t="s">
        <v>233</v>
      </c>
    </row>
    <row r="78" customFormat="false" ht="17.15" hidden="false" customHeight="false" outlineLevel="0" collapsed="false">
      <c r="A78" s="0" t="s">
        <v>236</v>
      </c>
      <c r="B78" s="0" t="s">
        <v>237</v>
      </c>
      <c r="C78" s="0" t="s">
        <v>116</v>
      </c>
      <c r="D78" s="7" t="n">
        <v>0.7</v>
      </c>
      <c r="E78" s="7" t="n">
        <v>0.8</v>
      </c>
      <c r="F78" s="7" t="n">
        <v>0.9</v>
      </c>
      <c r="G78" s="8" t="s">
        <v>70</v>
      </c>
      <c r="H78" s="5" t="s">
        <v>38</v>
      </c>
      <c r="I78" s="8" t="s">
        <v>233</v>
      </c>
    </row>
    <row r="79" customFormat="false" ht="17.15" hidden="false" customHeight="false" outlineLevel="0" collapsed="false">
      <c r="A79" s="1" t="s">
        <v>238</v>
      </c>
    </row>
    <row r="80" customFormat="false" ht="17.15" hidden="false" customHeight="false" outlineLevel="0" collapsed="false">
      <c r="A80" s="0" t="s">
        <v>239</v>
      </c>
      <c r="B80" s="5" t="s">
        <v>240</v>
      </c>
      <c r="C80" s="0" t="s">
        <v>69</v>
      </c>
      <c r="D80" s="7" t="n">
        <v>-0.05</v>
      </c>
      <c r="E80" s="7" t="n">
        <v>0</v>
      </c>
      <c r="F80" s="7" t="n">
        <v>0.05</v>
      </c>
      <c r="G80" s="8" t="s">
        <v>241</v>
      </c>
      <c r="H80" s="5" t="s">
        <v>242</v>
      </c>
      <c r="I80" s="8" t="s">
        <v>243</v>
      </c>
    </row>
    <row r="81" customFormat="false" ht="17.15" hidden="false" customHeight="false" outlineLevel="0" collapsed="false">
      <c r="A81" s="0" t="s">
        <v>244</v>
      </c>
      <c r="B81" s="5" t="s">
        <v>245</v>
      </c>
      <c r="C81" s="0" t="s">
        <v>69</v>
      </c>
      <c r="D81" s="7" t="n">
        <v>0.63</v>
      </c>
      <c r="E81" s="7" t="n">
        <v>0.64</v>
      </c>
      <c r="F81" s="7" t="n">
        <v>0.65</v>
      </c>
      <c r="G81" s="8" t="s">
        <v>241</v>
      </c>
      <c r="H81" s="5" t="s">
        <v>38</v>
      </c>
      <c r="I81" s="5" t="s">
        <v>246</v>
      </c>
    </row>
    <row r="82" customFormat="false" ht="17.15" hidden="false" customHeight="false" outlineLevel="0" collapsed="false">
      <c r="A82" s="0" t="s">
        <v>247</v>
      </c>
      <c r="B82" s="5" t="s">
        <v>248</v>
      </c>
      <c r="C82" s="0" t="s">
        <v>69</v>
      </c>
      <c r="D82" s="7" t="n">
        <v>0.05</v>
      </c>
      <c r="E82" s="7" t="n">
        <v>0.075</v>
      </c>
      <c r="F82" s="7" t="n">
        <v>0.1</v>
      </c>
      <c r="G82" s="8" t="s">
        <v>241</v>
      </c>
      <c r="H82" s="5" t="s">
        <v>249</v>
      </c>
      <c r="I82" s="8" t="s">
        <v>180</v>
      </c>
    </row>
    <row r="83" customFormat="false" ht="17.15" hidden="false" customHeight="false" outlineLevel="0" collapsed="false">
      <c r="A83" s="0" t="s">
        <v>250</v>
      </c>
      <c r="B83" s="5" t="s">
        <v>251</v>
      </c>
      <c r="C83" s="0" t="s">
        <v>252</v>
      </c>
      <c r="D83" s="7" t="n">
        <v>4</v>
      </c>
      <c r="E83" s="7" t="n">
        <v>6</v>
      </c>
      <c r="F83" s="7" t="n">
        <v>8</v>
      </c>
      <c r="G83" s="8" t="s">
        <v>70</v>
      </c>
      <c r="H83" s="5" t="s">
        <v>253</v>
      </c>
      <c r="I83" s="8" t="s">
        <v>254</v>
      </c>
    </row>
    <row r="84" customFormat="false" ht="17.15" hidden="false" customHeight="false" outlineLevel="0" collapsed="false">
      <c r="A84" s="0" t="s">
        <v>255</v>
      </c>
      <c r="B84" s="0" t="s">
        <v>256</v>
      </c>
      <c r="C84" s="0" t="s">
        <v>252</v>
      </c>
      <c r="E84" s="0" t="n">
        <f aca="false">q1_rev+q2_rev+q3_rev+q3_rev*(1+q4g)</f>
        <v>1001.6</v>
      </c>
      <c r="G84" s="0" t="s">
        <v>33</v>
      </c>
      <c r="H84" s="5" t="s">
        <v>257</v>
      </c>
      <c r="I84" s="5" t="s">
        <v>258</v>
      </c>
    </row>
    <row r="85" customFormat="false" ht="17.15" hidden="false" customHeight="false" outlineLevel="0" collapsed="false">
      <c r="A85" s="0" t="s">
        <v>259</v>
      </c>
      <c r="B85" s="0" t="s">
        <v>260</v>
      </c>
      <c r="C85" s="0" t="s">
        <v>252</v>
      </c>
      <c r="E85" s="0" t="n">
        <f aca="false">q1_gp+q2_gp+q3_gp+q3_rev*(1+q4g)*q4gm</f>
        <v>647.676</v>
      </c>
      <c r="G85" s="0" t="s">
        <v>33</v>
      </c>
      <c r="H85" s="0" t="s">
        <v>180</v>
      </c>
      <c r="I85" s="0" t="s">
        <v>180</v>
      </c>
    </row>
    <row r="86" customFormat="false" ht="17.15" hidden="false" customHeight="false" outlineLevel="0" collapsed="false">
      <c r="A86" s="0" t="s">
        <v>261</v>
      </c>
      <c r="B86" s="0" t="s">
        <v>262</v>
      </c>
      <c r="C86" s="0" t="s">
        <v>252</v>
      </c>
      <c r="E86" s="0" t="n">
        <f aca="false">q1_opx+q2_opx+q3_opx+q3_opx*(1+q4opx)</f>
        <v>223.1325</v>
      </c>
      <c r="G86" s="0" t="s">
        <v>33</v>
      </c>
      <c r="H86" s="5" t="s">
        <v>263</v>
      </c>
      <c r="I86" s="0" t="s">
        <v>180</v>
      </c>
    </row>
    <row r="87" customFormat="false" ht="17.15" hidden="false" customHeight="false" outlineLevel="0" collapsed="false">
      <c r="A87" s="0" t="s">
        <v>264</v>
      </c>
      <c r="B87" s="0" t="s">
        <v>265</v>
      </c>
      <c r="C87" s="0" t="s">
        <v>252</v>
      </c>
      <c r="E87" s="0" t="n">
        <f aca="false">gp26-opx26</f>
        <v>424.5435</v>
      </c>
      <c r="G87" s="0" t="s">
        <v>33</v>
      </c>
      <c r="H87" s="0" t="s">
        <v>180</v>
      </c>
      <c r="I87" s="0" t="s">
        <v>180</v>
      </c>
    </row>
    <row r="88" customFormat="false" ht="17.15" hidden="false" customHeight="false" outlineLevel="0" collapsed="false">
      <c r="A88" s="0" t="s">
        <v>266</v>
      </c>
      <c r="B88" s="0" t="s">
        <v>267</v>
      </c>
      <c r="C88" s="0" t="s">
        <v>252</v>
      </c>
      <c r="E88" s="0" t="n">
        <f aca="false">q1_ni+q2_ni+q3_ni+(q3_rev*(1+q4g)*q4gm-q3_opx*(1+q4opx)-q4fin)*(1-tax)</f>
        <v>348.2641275</v>
      </c>
      <c r="G88" s="0" t="s">
        <v>33</v>
      </c>
      <c r="H88" s="5" t="s">
        <v>268</v>
      </c>
      <c r="I88" s="0" t="s">
        <v>180</v>
      </c>
    </row>
    <row r="89" customFormat="false" ht="17.15" hidden="false" customHeight="false" outlineLevel="0" collapsed="false">
      <c r="A89" s="0" t="s">
        <v>269</v>
      </c>
      <c r="B89" s="0" t="s">
        <v>270</v>
      </c>
      <c r="C89" s="0" t="s">
        <v>271</v>
      </c>
      <c r="E89" s="0" t="n">
        <f aca="false">q1_eps+q2_eps+q3_eps+(ni26-q1_ni-q2_ni-q3_ni)/shares</f>
        <v>4.3364299400653</v>
      </c>
      <c r="G89" s="0" t="s">
        <v>33</v>
      </c>
      <c r="H89" s="5" t="s">
        <v>272</v>
      </c>
      <c r="I89" s="5" t="s">
        <v>273</v>
      </c>
    </row>
    <row r="90" customFormat="false" ht="17.15" hidden="false" customHeight="false" outlineLevel="0" collapsed="false">
      <c r="A90" s="0" t="s">
        <v>274</v>
      </c>
      <c r="B90" s="0" t="s">
        <v>275</v>
      </c>
      <c r="C90" s="0" t="s">
        <v>252</v>
      </c>
      <c r="D90" s="7" t="n">
        <v>90</v>
      </c>
      <c r="E90" s="7" t="n">
        <v>120</v>
      </c>
      <c r="F90" s="7" t="n">
        <v>160</v>
      </c>
      <c r="G90" s="8" t="s">
        <v>70</v>
      </c>
      <c r="H90" s="5" t="s">
        <v>276</v>
      </c>
      <c r="I90" s="8" t="s">
        <v>277</v>
      </c>
    </row>
    <row r="91" customFormat="false" ht="17.15" hidden="false" customHeight="false" outlineLevel="0" collapsed="false">
      <c r="A91" s="0" t="s">
        <v>278</v>
      </c>
      <c r="B91" s="0" t="s">
        <v>279</v>
      </c>
      <c r="C91" s="0" t="s">
        <v>69</v>
      </c>
      <c r="D91" s="7" t="n">
        <v>0.18</v>
      </c>
      <c r="E91" s="7" t="n">
        <v>0.25</v>
      </c>
      <c r="F91" s="7" t="n">
        <v>0.35</v>
      </c>
      <c r="G91" s="8" t="s">
        <v>70</v>
      </c>
      <c r="H91" s="5" t="s">
        <v>280</v>
      </c>
      <c r="I91" s="8" t="s">
        <v>281</v>
      </c>
    </row>
    <row r="92" customFormat="false" ht="17.15" hidden="false" customHeight="false" outlineLevel="0" collapsed="false">
      <c r="A92" s="0" t="s">
        <v>282</v>
      </c>
      <c r="B92" s="0" t="s">
        <v>283</v>
      </c>
      <c r="C92" s="0" t="s">
        <v>252</v>
      </c>
      <c r="E92" s="7" t="n">
        <v>0</v>
      </c>
      <c r="G92" s="8" t="s">
        <v>70</v>
      </c>
      <c r="H92" s="5" t="s">
        <v>284</v>
      </c>
      <c r="I92" s="8" t="s">
        <v>180</v>
      </c>
    </row>
    <row r="93" customFormat="false" ht="17.15" hidden="false" customHeight="false" outlineLevel="0" collapsed="false">
      <c r="A93" s="1" t="s">
        <v>285</v>
      </c>
    </row>
    <row r="94" customFormat="false" ht="17.15" hidden="false" customHeight="false" outlineLevel="0" collapsed="false">
      <c r="A94" s="0" t="s">
        <v>286</v>
      </c>
      <c r="B94" s="5" t="s">
        <v>287</v>
      </c>
      <c r="C94" s="0" t="s">
        <v>69</v>
      </c>
      <c r="E94" s="7" t="n">
        <v>0.198744917723333</v>
      </c>
      <c r="G94" s="8" t="s">
        <v>33</v>
      </c>
      <c r="H94" s="8" t="s">
        <v>288</v>
      </c>
      <c r="I94" s="8" t="s">
        <v>289</v>
      </c>
    </row>
    <row r="95" customFormat="false" ht="17.15" hidden="false" customHeight="false" outlineLevel="0" collapsed="false">
      <c r="A95" s="0" t="s">
        <v>290</v>
      </c>
      <c r="B95" s="5" t="s">
        <v>291</v>
      </c>
      <c r="C95" s="0" t="s">
        <v>69</v>
      </c>
      <c r="E95" s="7" t="n">
        <v>0.127405303197159</v>
      </c>
      <c r="G95" s="8" t="s">
        <v>33</v>
      </c>
      <c r="H95" s="8" t="s">
        <v>288</v>
      </c>
      <c r="I95" s="5" t="s">
        <v>38</v>
      </c>
    </row>
    <row r="96" customFormat="false" ht="17.15" hidden="false" customHeight="false" outlineLevel="0" collapsed="false">
      <c r="A96" s="0" t="s">
        <v>292</v>
      </c>
      <c r="B96" s="5" t="s">
        <v>293</v>
      </c>
      <c r="C96" s="0" t="s">
        <v>69</v>
      </c>
      <c r="E96" s="7" t="n">
        <v>0.0594526733157439</v>
      </c>
      <c r="G96" s="8" t="s">
        <v>33</v>
      </c>
      <c r="H96" s="8" t="s">
        <v>288</v>
      </c>
      <c r="I96" s="5" t="s">
        <v>38</v>
      </c>
    </row>
    <row r="97" customFormat="false" ht="17.15" hidden="false" customHeight="false" outlineLevel="0" collapsed="false">
      <c r="A97" s="0" t="s">
        <v>294</v>
      </c>
      <c r="B97" s="5" t="s">
        <v>295</v>
      </c>
      <c r="C97" s="0" t="s">
        <v>69</v>
      </c>
      <c r="E97" s="7" t="n">
        <v>0.198744917723333</v>
      </c>
      <c r="G97" s="8" t="s">
        <v>33</v>
      </c>
      <c r="H97" s="8" t="s">
        <v>296</v>
      </c>
      <c r="I97" s="5" t="s">
        <v>38</v>
      </c>
    </row>
    <row r="98" customFormat="false" ht="17.15" hidden="false" customHeight="false" outlineLevel="0" collapsed="false">
      <c r="A98" s="0" t="s">
        <v>297</v>
      </c>
      <c r="B98" s="5" t="s">
        <v>298</v>
      </c>
      <c r="C98" s="0" t="s">
        <v>69</v>
      </c>
      <c r="E98" s="7" t="n">
        <v>0</v>
      </c>
      <c r="G98" s="8" t="s">
        <v>33</v>
      </c>
      <c r="H98" s="8" t="s">
        <v>296</v>
      </c>
      <c r="I98" s="5" t="s">
        <v>38</v>
      </c>
    </row>
    <row r="99" customFormat="false" ht="17.15" hidden="false" customHeight="false" outlineLevel="0" collapsed="false">
      <c r="A99" s="0" t="s">
        <v>299</v>
      </c>
      <c r="B99" s="5" t="s">
        <v>300</v>
      </c>
      <c r="C99" s="0" t="s">
        <v>69</v>
      </c>
      <c r="E99" s="7" t="n">
        <v>-0.05</v>
      </c>
      <c r="G99" s="8" t="s">
        <v>33</v>
      </c>
      <c r="H99" s="8" t="s">
        <v>296</v>
      </c>
      <c r="I99" s="5" t="s">
        <v>38</v>
      </c>
    </row>
    <row r="100" customFormat="false" ht="17.15" hidden="false" customHeight="false" outlineLevel="0" collapsed="false">
      <c r="A100" s="0" t="s">
        <v>301</v>
      </c>
      <c r="B100" s="5" t="s">
        <v>302</v>
      </c>
      <c r="C100" s="0" t="s">
        <v>69</v>
      </c>
      <c r="E100" s="7" t="n">
        <v>0.198744917723333</v>
      </c>
      <c r="G100" s="8" t="s">
        <v>33</v>
      </c>
      <c r="H100" s="8" t="s">
        <v>303</v>
      </c>
      <c r="I100" s="5" t="s">
        <v>38</v>
      </c>
    </row>
    <row r="101" customFormat="false" ht="17.15" hidden="false" customHeight="false" outlineLevel="0" collapsed="false">
      <c r="A101" s="0" t="s">
        <v>304</v>
      </c>
      <c r="B101" s="5" t="s">
        <v>305</v>
      </c>
      <c r="C101" s="0" t="s">
        <v>69</v>
      </c>
      <c r="E101" s="7" t="n">
        <v>-0.2</v>
      </c>
      <c r="G101" s="8" t="s">
        <v>33</v>
      </c>
      <c r="H101" s="8" t="s">
        <v>303</v>
      </c>
      <c r="I101" s="5" t="s">
        <v>38</v>
      </c>
    </row>
    <row r="102" customFormat="false" ht="17.15" hidden="false" customHeight="false" outlineLevel="0" collapsed="false">
      <c r="A102" s="0" t="s">
        <v>306</v>
      </c>
      <c r="B102" s="5" t="s">
        <v>307</v>
      </c>
      <c r="C102" s="0" t="s">
        <v>69</v>
      </c>
      <c r="E102" s="7" t="n">
        <v>0</v>
      </c>
      <c r="G102" s="8" t="s">
        <v>33</v>
      </c>
      <c r="H102" s="8" t="s">
        <v>303</v>
      </c>
      <c r="I102" s="5" t="s">
        <v>38</v>
      </c>
    </row>
    <row r="103" customFormat="false" ht="17.15" hidden="false" customHeight="false" outlineLevel="0" collapsed="false">
      <c r="A103" s="0" t="s">
        <v>308</v>
      </c>
      <c r="B103" s="5" t="s">
        <v>309</v>
      </c>
      <c r="C103" s="0" t="s">
        <v>116</v>
      </c>
      <c r="D103" s="7" t="n">
        <v>0.5</v>
      </c>
      <c r="E103" s="7" t="n">
        <v>1</v>
      </c>
      <c r="F103" s="7" t="n">
        <v>1.5</v>
      </c>
      <c r="G103" s="8" t="s">
        <v>70</v>
      </c>
      <c r="H103" s="5" t="s">
        <v>310</v>
      </c>
      <c r="I103" s="8" t="s">
        <v>311</v>
      </c>
    </row>
    <row r="104" customFormat="false" ht="17.15" hidden="false" customHeight="false" outlineLevel="0" collapsed="false">
      <c r="A104" s="1" t="s">
        <v>312</v>
      </c>
    </row>
    <row r="105" customFormat="false" ht="17.15" hidden="false" customHeight="false" outlineLevel="0" collapsed="false">
      <c r="A105" s="0" t="s">
        <v>313</v>
      </c>
      <c r="B105" s="5" t="s">
        <v>314</v>
      </c>
      <c r="C105" s="0" t="s">
        <v>315</v>
      </c>
      <c r="D105" s="7" t="n">
        <v>0</v>
      </c>
      <c r="E105" s="7" t="n">
        <v>0.08</v>
      </c>
      <c r="F105" s="7" t="n">
        <v>0.15</v>
      </c>
      <c r="G105" s="8" t="s">
        <v>70</v>
      </c>
      <c r="H105" s="5" t="s">
        <v>316</v>
      </c>
      <c r="I105" s="8" t="s">
        <v>317</v>
      </c>
    </row>
    <row r="106" customFormat="false" ht="17.15" hidden="false" customHeight="false" outlineLevel="0" collapsed="false">
      <c r="A106" s="0" t="s">
        <v>318</v>
      </c>
      <c r="B106" s="5" t="s">
        <v>319</v>
      </c>
      <c r="C106" s="0" t="s">
        <v>315</v>
      </c>
      <c r="D106" s="7" t="n">
        <v>-0.04</v>
      </c>
      <c r="E106" s="7" t="n">
        <v>-0.02</v>
      </c>
      <c r="F106" s="7" t="n">
        <v>0</v>
      </c>
      <c r="G106" s="8" t="s">
        <v>70</v>
      </c>
      <c r="H106" s="5" t="s">
        <v>320</v>
      </c>
      <c r="I106" s="8" t="s">
        <v>180</v>
      </c>
    </row>
    <row r="107" customFormat="false" ht="17.15" hidden="false" customHeight="false" outlineLevel="0" collapsed="false">
      <c r="A107" s="0" t="s">
        <v>321</v>
      </c>
      <c r="B107" s="5" t="s">
        <v>322</v>
      </c>
      <c r="C107" s="0" t="s">
        <v>69</v>
      </c>
      <c r="D107" s="7" t="n">
        <v>0.25</v>
      </c>
      <c r="E107" s="7" t="n">
        <v>0.4</v>
      </c>
      <c r="F107" s="7" t="n">
        <v>0.6</v>
      </c>
      <c r="G107" s="8" t="s">
        <v>70</v>
      </c>
      <c r="H107" s="8" t="s">
        <v>323</v>
      </c>
      <c r="I107" s="5" t="s">
        <v>324</v>
      </c>
    </row>
    <row r="108" customFormat="false" ht="15" hidden="false" customHeight="false" outlineLevel="0" collapsed="false">
      <c r="A108" s="0" t="s">
        <v>325</v>
      </c>
      <c r="B108" s="5" t="s">
        <v>326</v>
      </c>
      <c r="C108" s="0" t="s">
        <v>252</v>
      </c>
      <c r="E108" s="0" t="n">
        <f aca="false">(1-phi)*opx26</f>
        <v>133.8795</v>
      </c>
      <c r="G108" s="0" t="s">
        <v>33</v>
      </c>
      <c r="H108" s="0" t="s">
        <v>180</v>
      </c>
      <c r="I108" s="0" t="s">
        <v>180</v>
      </c>
    </row>
    <row r="109" customFormat="false" ht="15" hidden="false" customHeight="false" outlineLevel="0" collapsed="false">
      <c r="A109" s="0" t="s">
        <v>327</v>
      </c>
      <c r="B109" s="5" t="s">
        <v>328</v>
      </c>
      <c r="C109" s="0" t="s">
        <v>69</v>
      </c>
      <c r="E109" s="0" t="n">
        <f aca="false">phi*opx26/rev26</f>
        <v>0.0891104233226837</v>
      </c>
      <c r="G109" s="0" t="s">
        <v>33</v>
      </c>
      <c r="H109" s="0" t="s">
        <v>180</v>
      </c>
      <c r="I109" s="0" t="s">
        <v>180</v>
      </c>
    </row>
    <row r="110" customFormat="false" ht="17.15" hidden="false" customHeight="false" outlineLevel="0" collapsed="false">
      <c r="A110" s="0" t="s">
        <v>329</v>
      </c>
      <c r="B110" s="5" t="s">
        <v>330</v>
      </c>
      <c r="C110" s="0" t="s">
        <v>252</v>
      </c>
      <c r="D110" s="7" t="n">
        <v>10</v>
      </c>
      <c r="E110" s="7" t="n">
        <v>20</v>
      </c>
      <c r="F110" s="7" t="n">
        <v>30</v>
      </c>
      <c r="G110" s="8" t="s">
        <v>70</v>
      </c>
      <c r="H110" s="8" t="s">
        <v>331</v>
      </c>
      <c r="I110" s="8" t="s">
        <v>180</v>
      </c>
    </row>
    <row r="111" customFormat="false" ht="17.15" hidden="false" customHeight="false" outlineLevel="0" collapsed="false">
      <c r="A111" s="0" t="s">
        <v>332</v>
      </c>
      <c r="B111" s="5" t="s">
        <v>333</v>
      </c>
      <c r="C111" s="0" t="s">
        <v>69</v>
      </c>
      <c r="D111" s="7" t="n">
        <v>0.12</v>
      </c>
      <c r="E111" s="7" t="n">
        <v>0.135</v>
      </c>
      <c r="F111" s="7" t="n">
        <v>0.16</v>
      </c>
      <c r="G111" s="8" t="s">
        <v>334</v>
      </c>
      <c r="H111" s="5" t="s">
        <v>335</v>
      </c>
      <c r="I111" s="8" t="s">
        <v>336</v>
      </c>
    </row>
    <row r="112" customFormat="false" ht="17.15" hidden="false" customHeight="false" outlineLevel="0" collapsed="false">
      <c r="A112" s="0" t="s">
        <v>337</v>
      </c>
      <c r="B112" s="5" t="s">
        <v>338</v>
      </c>
      <c r="C112" s="5" t="s">
        <v>339</v>
      </c>
      <c r="E112" s="0" t="n">
        <f aca="false">q3_ni/q3_eps</f>
        <v>80.6015037593985</v>
      </c>
      <c r="G112" s="0" t="s">
        <v>33</v>
      </c>
      <c r="H112" s="0" t="s">
        <v>340</v>
      </c>
      <c r="I112" s="5" t="s">
        <v>341</v>
      </c>
    </row>
    <row r="113" customFormat="false" ht="17.15" hidden="false" customHeight="false" outlineLevel="0" collapsed="false">
      <c r="A113" s="1" t="s">
        <v>342</v>
      </c>
    </row>
    <row r="114" customFormat="false" ht="17.15" hidden="false" customHeight="false" outlineLevel="0" collapsed="false">
      <c r="A114" s="0" t="s">
        <v>343</v>
      </c>
      <c r="B114" s="5" t="s">
        <v>344</v>
      </c>
      <c r="C114" s="5" t="s">
        <v>345</v>
      </c>
      <c r="E114" s="7" t="n">
        <v>2029</v>
      </c>
      <c r="G114" s="8" t="s">
        <v>33</v>
      </c>
      <c r="H114" s="8" t="s">
        <v>346</v>
      </c>
      <c r="I114" s="5" t="s">
        <v>347</v>
      </c>
    </row>
    <row r="115" customFormat="false" ht="17.15" hidden="false" customHeight="false" outlineLevel="0" collapsed="false">
      <c r="A115" s="0" t="s">
        <v>348</v>
      </c>
      <c r="B115" s="5" t="s">
        <v>349</v>
      </c>
      <c r="C115" s="5" t="s">
        <v>345</v>
      </c>
      <c r="E115" s="7" t="n">
        <v>2028</v>
      </c>
      <c r="G115" s="8" t="s">
        <v>33</v>
      </c>
      <c r="H115" s="8" t="s">
        <v>350</v>
      </c>
      <c r="I115" s="5" t="s">
        <v>38</v>
      </c>
    </row>
    <row r="116" customFormat="false" ht="17.15" hidden="false" customHeight="false" outlineLevel="0" collapsed="false">
      <c r="A116" s="0" t="s">
        <v>351</v>
      </c>
      <c r="B116" s="5" t="s">
        <v>352</v>
      </c>
      <c r="C116" s="5" t="s">
        <v>345</v>
      </c>
      <c r="E116" s="7" t="n">
        <v>2027</v>
      </c>
      <c r="G116" s="8" t="s">
        <v>33</v>
      </c>
      <c r="H116" s="8" t="s">
        <v>353</v>
      </c>
      <c r="I116" s="5" t="s">
        <v>38</v>
      </c>
    </row>
    <row r="117" customFormat="false" ht="17.15" hidden="false" customHeight="false" outlineLevel="0" collapsed="false">
      <c r="A117" s="0" t="s">
        <v>354</v>
      </c>
      <c r="B117" s="5" t="s">
        <v>355</v>
      </c>
      <c r="C117" s="0" t="s">
        <v>271</v>
      </c>
      <c r="E117" s="7" t="n">
        <v>145.1</v>
      </c>
      <c r="G117" s="8" t="s">
        <v>334</v>
      </c>
      <c r="H117" s="8" t="s">
        <v>356</v>
      </c>
      <c r="I117" s="8" t="s">
        <v>357</v>
      </c>
    </row>
    <row r="118" customFormat="false" ht="17.15" hidden="false" customHeight="false" outlineLevel="0" collapsed="false">
      <c r="A118" s="0" t="s">
        <v>358</v>
      </c>
      <c r="B118" s="5" t="s">
        <v>359</v>
      </c>
      <c r="C118" s="0" t="s">
        <v>69</v>
      </c>
      <c r="E118" s="7" t="n">
        <v>0.3</v>
      </c>
      <c r="G118" s="8" t="s">
        <v>70</v>
      </c>
      <c r="H118" s="8" t="s">
        <v>360</v>
      </c>
      <c r="I118" s="8" t="s">
        <v>180</v>
      </c>
    </row>
    <row r="119" customFormat="false" ht="17.15" hidden="false" customHeight="false" outlineLevel="0" collapsed="false">
      <c r="A119" s="0" t="s">
        <v>361</v>
      </c>
      <c r="B119" s="5" t="s">
        <v>362</v>
      </c>
      <c r="C119" s="0" t="s">
        <v>69</v>
      </c>
      <c r="E119" s="7" t="n">
        <v>0.5</v>
      </c>
      <c r="G119" s="8" t="s">
        <v>70</v>
      </c>
      <c r="H119" s="8" t="s">
        <v>360</v>
      </c>
      <c r="I119" s="8" t="s">
        <v>180</v>
      </c>
    </row>
    <row r="120" customFormat="false" ht="17.15" hidden="false" customHeight="false" outlineLevel="0" collapsed="false">
      <c r="A120" s="0" t="s">
        <v>363</v>
      </c>
      <c r="B120" s="5" t="s">
        <v>364</v>
      </c>
      <c r="C120" s="0" t="s">
        <v>69</v>
      </c>
      <c r="E120" s="7" t="n">
        <v>0.2</v>
      </c>
      <c r="G120" s="8" t="s">
        <v>70</v>
      </c>
      <c r="H120" s="8" t="s">
        <v>360</v>
      </c>
      <c r="I120" s="8" t="s">
        <v>180</v>
      </c>
    </row>
    <row r="121" customFormat="false" ht="17.15" hidden="false" customHeight="false" outlineLevel="0" collapsed="false">
      <c r="A121" s="0" t="s">
        <v>365</v>
      </c>
      <c r="B121" s="5" t="s">
        <v>366</v>
      </c>
      <c r="C121" s="0" t="s">
        <v>252</v>
      </c>
      <c r="E121" s="7" t="n">
        <v>1002</v>
      </c>
      <c r="G121" s="8" t="s">
        <v>241</v>
      </c>
      <c r="H121" s="8" t="s">
        <v>367</v>
      </c>
      <c r="I121" s="8" t="s">
        <v>368</v>
      </c>
    </row>
    <row r="122" customFormat="false" ht="17.15" hidden="false" customHeight="false" outlineLevel="0" collapsed="false">
      <c r="A122" s="0" t="s">
        <v>369</v>
      </c>
      <c r="B122" s="5" t="s">
        <v>370</v>
      </c>
      <c r="C122" s="0" t="s">
        <v>271</v>
      </c>
      <c r="E122" s="7" t="n">
        <v>4.334</v>
      </c>
      <c r="G122" s="8" t="s">
        <v>241</v>
      </c>
      <c r="H122" s="8" t="s">
        <v>371</v>
      </c>
      <c r="I122" s="8" t="s">
        <v>372</v>
      </c>
    </row>
    <row r="123" customFormat="false" ht="17.15" hidden="false" customHeight="false" outlineLevel="0" collapsed="false">
      <c r="A123" s="0" t="s">
        <v>373</v>
      </c>
      <c r="B123" s="5" t="s">
        <v>374</v>
      </c>
      <c r="C123" s="0" t="s">
        <v>252</v>
      </c>
      <c r="E123" s="7" t="n">
        <v>1345</v>
      </c>
      <c r="G123" s="8" t="s">
        <v>241</v>
      </c>
      <c r="H123" s="8" t="s">
        <v>375</v>
      </c>
      <c r="I123" s="5" t="s">
        <v>118</v>
      </c>
    </row>
    <row r="124" customFormat="false" ht="17.15" hidden="false" customHeight="false" outlineLevel="0" collapsed="false">
      <c r="A124" s="0" t="s">
        <v>376</v>
      </c>
      <c r="B124" s="5" t="s">
        <v>377</v>
      </c>
      <c r="C124" s="0" t="s">
        <v>271</v>
      </c>
      <c r="E124" s="7" t="n">
        <v>6.448</v>
      </c>
      <c r="G124" s="8" t="s">
        <v>241</v>
      </c>
      <c r="H124" s="8" t="s">
        <v>371</v>
      </c>
      <c r="I124" s="5" t="s">
        <v>118</v>
      </c>
    </row>
    <row r="125" customFormat="false" ht="17.15" hidden="false" customHeight="false" outlineLevel="0" collapsed="false">
      <c r="A125" s="0" t="s">
        <v>378</v>
      </c>
      <c r="B125" s="5" t="s">
        <v>379</v>
      </c>
      <c r="C125" s="0" t="s">
        <v>252</v>
      </c>
      <c r="E125" s="7" t="n">
        <v>1649</v>
      </c>
      <c r="G125" s="8" t="s">
        <v>241</v>
      </c>
      <c r="H125" s="8" t="s">
        <v>371</v>
      </c>
      <c r="I125" s="5" t="s">
        <v>118</v>
      </c>
    </row>
    <row r="126" customFormat="false" ht="17.15" hidden="false" customHeight="false" outlineLevel="0" collapsed="false">
      <c r="A126" s="0" t="s">
        <v>380</v>
      </c>
      <c r="B126" s="5" t="s">
        <v>381</v>
      </c>
      <c r="C126" s="0" t="s">
        <v>271</v>
      </c>
      <c r="E126" s="7" t="n">
        <v>8.483</v>
      </c>
      <c r="G126" s="8" t="s">
        <v>241</v>
      </c>
      <c r="H126" s="8" t="s">
        <v>371</v>
      </c>
      <c r="I126" s="5" t="s">
        <v>118</v>
      </c>
    </row>
    <row r="127" customFormat="false" ht="17.15" hidden="false" customHeight="false" outlineLevel="0" collapsed="false">
      <c r="A127" s="0" t="s">
        <v>382</v>
      </c>
      <c r="B127" s="5" t="s">
        <v>383</v>
      </c>
      <c r="C127" s="0" t="s">
        <v>252</v>
      </c>
      <c r="E127" s="7" t="n">
        <v>1700</v>
      </c>
      <c r="G127" s="8" t="s">
        <v>241</v>
      </c>
      <c r="H127" s="5" t="s">
        <v>384</v>
      </c>
      <c r="I127" s="8" t="s">
        <v>385</v>
      </c>
    </row>
    <row r="128" customFormat="false" ht="15" hidden="false" customHeight="false" outlineLevel="0" collapsed="false">
      <c r="A128" s="0" t="s">
        <v>386</v>
      </c>
      <c r="B128" s="5" t="s">
        <v>387</v>
      </c>
      <c r="C128" s="0" t="s">
        <v>252</v>
      </c>
      <c r="E128" s="7" t="n">
        <v>2200</v>
      </c>
      <c r="G128" s="8" t="s">
        <v>241</v>
      </c>
      <c r="H128" s="5" t="s">
        <v>38</v>
      </c>
      <c r="I128" s="8" t="s">
        <v>180</v>
      </c>
    </row>
    <row r="129" customFormat="false" ht="17.15" hidden="false" customHeight="false" outlineLevel="0" collapsed="false">
      <c r="A129" s="0" t="s">
        <v>388</v>
      </c>
      <c r="B129" s="5" t="s">
        <v>389</v>
      </c>
      <c r="C129" s="5" t="s">
        <v>390</v>
      </c>
      <c r="E129" s="7" t="n">
        <v>150</v>
      </c>
      <c r="G129" s="8" t="s">
        <v>334</v>
      </c>
      <c r="H129" s="5" t="s">
        <v>391</v>
      </c>
      <c r="I129" s="8" t="s">
        <v>180</v>
      </c>
    </row>
    <row r="130" customFormat="false" ht="17.15" hidden="false" customHeight="false" outlineLevel="0" collapsed="false">
      <c r="A130" s="0" t="s">
        <v>392</v>
      </c>
      <c r="B130" s="5" t="s">
        <v>393</v>
      </c>
      <c r="C130" s="5" t="s">
        <v>390</v>
      </c>
      <c r="E130" s="7" t="n">
        <v>215</v>
      </c>
      <c r="G130" s="8" t="s">
        <v>241</v>
      </c>
      <c r="H130" s="8" t="s">
        <v>394</v>
      </c>
      <c r="I130" s="8" t="s">
        <v>395</v>
      </c>
    </row>
    <row r="132" customFormat="false" ht="17.15" hidden="false" customHeight="false" outlineLevel="0" collapsed="false">
      <c r="A132" s="1" t="s">
        <v>396</v>
      </c>
    </row>
    <row r="133" customFormat="false" ht="17.15" hidden="false" customHeight="false" outlineLevel="0" collapsed="false">
      <c r="A133" s="0" t="s">
        <v>397</v>
      </c>
      <c r="B133" s="5" t="s">
        <v>398</v>
      </c>
      <c r="C133" s="0" t="s">
        <v>69</v>
      </c>
      <c r="E133" s="9" t="n">
        <v>0.1</v>
      </c>
      <c r="G133" s="8" t="s">
        <v>70</v>
      </c>
      <c r="H133" s="8" t="s">
        <v>399</v>
      </c>
      <c r="I133" s="5" t="s">
        <v>400</v>
      </c>
    </row>
    <row r="134" customFormat="false" ht="17.15" hidden="false" customHeight="false" outlineLevel="0" collapsed="false">
      <c r="A134" s="0" t="s">
        <v>401</v>
      </c>
      <c r="B134" s="5" t="s">
        <v>402</v>
      </c>
      <c r="C134" s="0" t="s">
        <v>69</v>
      </c>
      <c r="E134" s="9" t="n">
        <v>0.04</v>
      </c>
      <c r="G134" s="8" t="s">
        <v>70</v>
      </c>
      <c r="H134" s="8" t="s">
        <v>403</v>
      </c>
      <c r="I134" s="5" t="s">
        <v>404</v>
      </c>
    </row>
    <row r="135" customFormat="false" ht="17.15" hidden="false" customHeight="false" outlineLevel="0" collapsed="false">
      <c r="A135" s="0" t="s">
        <v>405</v>
      </c>
      <c r="B135" s="0" t="s">
        <v>406</v>
      </c>
      <c r="C135" s="0" t="s">
        <v>69</v>
      </c>
      <c r="E135" s="10" t="n">
        <f aca="false">AVERAGE(0.3373,0.3945,0.2869)</f>
        <v>0.339566666666667</v>
      </c>
      <c r="G135" s="8" t="s">
        <v>33</v>
      </c>
      <c r="H135" s="8" t="s">
        <v>407</v>
      </c>
      <c r="I135" s="5" t="s">
        <v>408</v>
      </c>
    </row>
    <row r="136" customFormat="false" ht="17.15" hidden="false" customHeight="false" outlineLevel="0" collapsed="false">
      <c r="A136" s="0" t="s">
        <v>409</v>
      </c>
      <c r="B136" s="5" t="s">
        <v>410</v>
      </c>
      <c r="C136" s="0" t="s">
        <v>69</v>
      </c>
      <c r="E136" s="11" t="n">
        <v>0.5</v>
      </c>
      <c r="G136" s="8" t="s">
        <v>70</v>
      </c>
      <c r="H136" s="8" t="s">
        <v>411</v>
      </c>
      <c r="I136" s="8" t="s">
        <v>180</v>
      </c>
    </row>
    <row r="137" customFormat="false" ht="17.15" hidden="false" customHeight="false" outlineLevel="0" collapsed="false">
      <c r="A137" s="0" t="s">
        <v>412</v>
      </c>
      <c r="B137" s="5" t="s">
        <v>413</v>
      </c>
      <c r="C137" s="0" t="s">
        <v>69</v>
      </c>
      <c r="E137" s="10" t="n">
        <f aca="false">AVERAGE(0.1735,0.293,0.2597,0.2281,0.3044,0.3766,0.332,0.3051,0.2979,0.2227)</f>
        <v>0.2793</v>
      </c>
      <c r="G137" s="8" t="s">
        <v>33</v>
      </c>
      <c r="H137" s="8" t="s">
        <v>414</v>
      </c>
      <c r="I137" s="8" t="s">
        <v>415</v>
      </c>
    </row>
    <row r="138" customFormat="false" ht="17.15" hidden="false" customHeight="false" outlineLevel="0" collapsed="false">
      <c r="A138" s="0" t="s">
        <v>416</v>
      </c>
      <c r="B138" s="5" t="s">
        <v>417</v>
      </c>
      <c r="C138" s="0" t="s">
        <v>271</v>
      </c>
      <c r="E138" s="12" t="n">
        <v>270.57</v>
      </c>
      <c r="G138" s="8" t="s">
        <v>241</v>
      </c>
      <c r="H138" s="8" t="s">
        <v>418</v>
      </c>
      <c r="I138" s="8" t="s">
        <v>419</v>
      </c>
    </row>
    <row r="139" customFormat="false" ht="17.15" hidden="false" customHeight="false" outlineLevel="0" collapsed="false">
      <c r="A139" s="0" t="s">
        <v>420</v>
      </c>
      <c r="B139" s="5" t="s">
        <v>421</v>
      </c>
      <c r="C139" s="0" t="s">
        <v>271</v>
      </c>
      <c r="E139" s="13" t="n">
        <f aca="false">2/12*cons_eps27+10/12*cons_eps28</f>
        <v>8.14383333333334</v>
      </c>
      <c r="G139" s="8" t="s">
        <v>241</v>
      </c>
      <c r="H139" s="5" t="s">
        <v>422</v>
      </c>
      <c r="I139" s="8" t="s">
        <v>33</v>
      </c>
    </row>
    <row r="141" customFormat="false" ht="17.15" hidden="false" customHeight="false" outlineLevel="0" collapsed="false">
      <c r="A141" s="4" t="s">
        <v>423</v>
      </c>
    </row>
    <row r="142" customFormat="false" ht="17.15" hidden="false" customHeight="false" outlineLevel="0" collapsed="false">
      <c r="A142" s="4" t="s">
        <v>20</v>
      </c>
      <c r="B142" s="4" t="s">
        <v>21</v>
      </c>
      <c r="C142" s="4" t="s">
        <v>22</v>
      </c>
      <c r="D142" s="4" t="s">
        <v>424</v>
      </c>
      <c r="E142" s="4" t="s">
        <v>425</v>
      </c>
      <c r="F142" s="4" t="s">
        <v>426</v>
      </c>
      <c r="G142" s="4" t="s">
        <v>26</v>
      </c>
      <c r="H142" s="4" t="s">
        <v>427</v>
      </c>
    </row>
    <row r="143" customFormat="false" ht="17.15" hidden="false" customHeight="false" outlineLevel="0" collapsed="false">
      <c r="A143" s="0" t="s">
        <v>428</v>
      </c>
      <c r="B143" s="0" t="s">
        <v>429</v>
      </c>
      <c r="C143" s="0" t="s">
        <v>32</v>
      </c>
      <c r="D143" s="0" t="n">
        <f aca="false">E5</f>
        <v>2.22511470588235</v>
      </c>
      <c r="E143" s="0" t="n">
        <f aca="false">E10</f>
        <v>2.22511470588235</v>
      </c>
      <c r="F143" s="0" t="n">
        <f aca="false">E15</f>
        <v>2.22511470588235</v>
      </c>
      <c r="G143" s="0" t="s">
        <v>33</v>
      </c>
      <c r="H143" s="5" t="s">
        <v>430</v>
      </c>
    </row>
    <row r="144" customFormat="false" ht="17.15" hidden="false" customHeight="false" outlineLevel="0" collapsed="false">
      <c r="A144" s="0" t="s">
        <v>431</v>
      </c>
      <c r="B144" s="0" t="s">
        <v>432</v>
      </c>
      <c r="C144" s="0" t="s">
        <v>32</v>
      </c>
      <c r="D144" s="0" t="n">
        <f aca="false">E6</f>
        <v>3.782695</v>
      </c>
      <c r="E144" s="0" t="n">
        <f aca="false">E11</f>
        <v>3.782695</v>
      </c>
      <c r="F144" s="0" t="n">
        <f aca="false">E16</f>
        <v>3.782695</v>
      </c>
      <c r="G144" s="0" t="s">
        <v>33</v>
      </c>
      <c r="H144" s="5" t="s">
        <v>433</v>
      </c>
    </row>
    <row r="145" customFormat="false" ht="17.15" hidden="false" customHeight="false" outlineLevel="0" collapsed="false">
      <c r="A145" s="0" t="s">
        <v>434</v>
      </c>
      <c r="B145" s="0" t="s">
        <v>435</v>
      </c>
      <c r="C145" s="0" t="s">
        <v>32</v>
      </c>
      <c r="D145" s="0" t="n">
        <f aca="false">E7</f>
        <v>5.86317725</v>
      </c>
      <c r="E145" s="0" t="n">
        <f aca="false">E12</f>
        <v>5.86317725</v>
      </c>
      <c r="F145" s="0" t="n">
        <f aca="false">E17</f>
        <v>5.86317725</v>
      </c>
      <c r="G145" s="0" t="s">
        <v>33</v>
      </c>
      <c r="H145" s="5" t="s">
        <v>436</v>
      </c>
    </row>
    <row r="146" customFormat="false" ht="17.15" hidden="false" customHeight="false" outlineLevel="0" collapsed="false">
      <c r="A146" s="0" t="s">
        <v>437</v>
      </c>
      <c r="B146" s="0" t="s">
        <v>438</v>
      </c>
      <c r="C146" s="0" t="s">
        <v>32</v>
      </c>
      <c r="D146" s="0" t="n">
        <f aca="false">E8</f>
        <v>8.5016070125</v>
      </c>
      <c r="E146" s="0" t="n">
        <f aca="false">E13</f>
        <v>8.22296</v>
      </c>
      <c r="F146" s="0" t="n">
        <f aca="false">E18</f>
        <v>6.16722</v>
      </c>
      <c r="G146" s="0" t="s">
        <v>33</v>
      </c>
      <c r="H146" s="5" t="s">
        <v>439</v>
      </c>
    </row>
    <row r="147" customFormat="false" ht="17.15" hidden="false" customHeight="false" outlineLevel="0" collapsed="false">
      <c r="A147" s="0" t="s">
        <v>440</v>
      </c>
      <c r="B147" s="0" t="s">
        <v>441</v>
      </c>
      <c r="C147" s="0" t="s">
        <v>32</v>
      </c>
      <c r="D147" s="0" t="n">
        <f aca="false">E9</f>
        <v>11.477169466875</v>
      </c>
      <c r="E147" s="0" t="n">
        <f aca="false">E14</f>
        <v>11.3579635</v>
      </c>
      <c r="F147" s="0" t="n">
        <f aca="false">E19</f>
        <v>8.017386</v>
      </c>
      <c r="G147" s="0" t="s">
        <v>33</v>
      </c>
      <c r="H147" s="5" t="s">
        <v>442</v>
      </c>
    </row>
    <row r="148" customFormat="false" ht="17.15" hidden="false" customHeight="false" outlineLevel="0" collapsed="false">
      <c r="A148" s="0" t="s">
        <v>443</v>
      </c>
      <c r="B148" s="0" t="s">
        <v>444</v>
      </c>
      <c r="C148" s="0" t="s">
        <v>116</v>
      </c>
      <c r="D148" s="0" t="n">
        <f aca="false">E47</f>
        <v>1</v>
      </c>
      <c r="E148" s="0" t="n">
        <f aca="false">E49</f>
        <v>0.8</v>
      </c>
      <c r="F148" s="0" t="n">
        <f aca="false">E51</f>
        <v>0.6</v>
      </c>
      <c r="G148" s="0" t="s">
        <v>33</v>
      </c>
      <c r="H148" s="5" t="s">
        <v>445</v>
      </c>
    </row>
    <row r="149" customFormat="false" ht="17.15" hidden="false" customHeight="false" outlineLevel="0" collapsed="false">
      <c r="A149" s="0" t="s">
        <v>446</v>
      </c>
      <c r="B149" s="0" t="s">
        <v>447</v>
      </c>
      <c r="C149" s="0" t="s">
        <v>116</v>
      </c>
      <c r="D149" s="0" t="n">
        <f aca="false">E48</f>
        <v>1</v>
      </c>
      <c r="E149" s="0" t="n">
        <f aca="false">E50</f>
        <v>0.85</v>
      </c>
      <c r="F149" s="0" t="n">
        <f aca="false">E52</f>
        <v>0.6</v>
      </c>
      <c r="G149" s="0" t="s">
        <v>33</v>
      </c>
      <c r="H149" s="5" t="s">
        <v>448</v>
      </c>
    </row>
    <row r="150" customFormat="false" ht="17.15" hidden="false" customHeight="false" outlineLevel="0" collapsed="false">
      <c r="A150" s="0" t="s">
        <v>449</v>
      </c>
      <c r="B150" s="5" t="s">
        <v>450</v>
      </c>
      <c r="C150" s="0" t="s">
        <v>69</v>
      </c>
      <c r="D150" s="0" t="n">
        <f aca="false">E53</f>
        <v>0.08</v>
      </c>
      <c r="E150" s="0" t="n">
        <f aca="false">E58</f>
        <v>0.08</v>
      </c>
      <c r="F150" s="0" t="n">
        <f aca="false">E63</f>
        <v>0.08</v>
      </c>
      <c r="G150" s="0" t="s">
        <v>33</v>
      </c>
      <c r="H150" s="5" t="s">
        <v>451</v>
      </c>
    </row>
    <row r="151" customFormat="false" ht="17.15" hidden="false" customHeight="false" outlineLevel="0" collapsed="false">
      <c r="A151" s="0" t="s">
        <v>452</v>
      </c>
      <c r="B151" s="5" t="s">
        <v>453</v>
      </c>
      <c r="C151" s="0" t="s">
        <v>69</v>
      </c>
      <c r="D151" s="0" t="n">
        <f aca="false">E54</f>
        <v>0.11</v>
      </c>
      <c r="E151" s="0" t="n">
        <f aca="false">E59</f>
        <v>0.11</v>
      </c>
      <c r="F151" s="0" t="n">
        <f aca="false">E64</f>
        <v>0.11</v>
      </c>
      <c r="G151" s="0" t="s">
        <v>33</v>
      </c>
      <c r="H151" s="5" t="s">
        <v>454</v>
      </c>
    </row>
    <row r="152" customFormat="false" ht="17.15" hidden="false" customHeight="false" outlineLevel="0" collapsed="false">
      <c r="A152" s="0" t="s">
        <v>455</v>
      </c>
      <c r="B152" s="5" t="s">
        <v>456</v>
      </c>
      <c r="C152" s="0" t="s">
        <v>69</v>
      </c>
      <c r="D152" s="0" t="n">
        <f aca="false">E55</f>
        <v>0.18</v>
      </c>
      <c r="E152" s="0" t="n">
        <f aca="false">E60</f>
        <v>0.15</v>
      </c>
      <c r="F152" s="0" t="n">
        <f aca="false">E65</f>
        <v>0.12</v>
      </c>
      <c r="G152" s="0" t="s">
        <v>33</v>
      </c>
      <c r="H152" s="5" t="s">
        <v>457</v>
      </c>
    </row>
    <row r="153" customFormat="false" ht="17.15" hidden="false" customHeight="false" outlineLevel="0" collapsed="false">
      <c r="A153" s="0" t="s">
        <v>458</v>
      </c>
      <c r="B153" s="5" t="s">
        <v>459</v>
      </c>
      <c r="C153" s="0" t="s">
        <v>69</v>
      </c>
      <c r="D153" s="0" t="n">
        <f aca="false">E56</f>
        <v>0.26</v>
      </c>
      <c r="E153" s="0" t="n">
        <f aca="false">E61</f>
        <v>0.2</v>
      </c>
      <c r="F153" s="0" t="n">
        <f aca="false">E66</f>
        <v>0.14</v>
      </c>
      <c r="G153" s="0" t="s">
        <v>33</v>
      </c>
      <c r="H153" s="5" t="s">
        <v>460</v>
      </c>
    </row>
    <row r="154" customFormat="false" ht="17.15" hidden="false" customHeight="false" outlineLevel="0" collapsed="false">
      <c r="A154" s="0" t="s">
        <v>461</v>
      </c>
      <c r="B154" s="5" t="s">
        <v>462</v>
      </c>
      <c r="C154" s="0" t="s">
        <v>69</v>
      </c>
      <c r="D154" s="0" t="n">
        <f aca="false">E57</f>
        <v>0.34</v>
      </c>
      <c r="E154" s="0" t="n">
        <f aca="false">E62</f>
        <v>0.25</v>
      </c>
      <c r="F154" s="0" t="n">
        <f aca="false">E67</f>
        <v>0.16</v>
      </c>
      <c r="G154" s="0" t="s">
        <v>33</v>
      </c>
      <c r="H154" s="5" t="s">
        <v>463</v>
      </c>
    </row>
    <row r="155" customFormat="false" ht="17.15" hidden="false" customHeight="false" outlineLevel="0" collapsed="false">
      <c r="A155" s="0" t="s">
        <v>464</v>
      </c>
      <c r="B155" s="0" t="s">
        <v>465</v>
      </c>
      <c r="C155" s="0" t="s">
        <v>69</v>
      </c>
      <c r="D155" s="0" t="n">
        <f aca="false">E73</f>
        <v>0.6</v>
      </c>
      <c r="E155" s="0" t="n">
        <f aca="false">E74</f>
        <v>0.5</v>
      </c>
      <c r="F155" s="0" t="n">
        <f aca="false">E75</f>
        <v>0.35</v>
      </c>
      <c r="G155" s="0" t="s">
        <v>33</v>
      </c>
      <c r="H155" s="5" t="s">
        <v>466</v>
      </c>
    </row>
    <row r="156" customFormat="false" ht="17.15" hidden="false" customHeight="false" outlineLevel="0" collapsed="false">
      <c r="A156" s="0" t="s">
        <v>467</v>
      </c>
      <c r="B156" s="0" t="s">
        <v>468</v>
      </c>
      <c r="C156" s="0" t="s">
        <v>116</v>
      </c>
      <c r="D156" s="0" t="n">
        <f aca="false">E76</f>
        <v>1</v>
      </c>
      <c r="E156" s="0" t="n">
        <f aca="false">E77</f>
        <v>0.95</v>
      </c>
      <c r="F156" s="0" t="n">
        <f aca="false">E78</f>
        <v>0.8</v>
      </c>
      <c r="G156" s="0" t="s">
        <v>33</v>
      </c>
      <c r="H156" s="5" t="s">
        <v>469</v>
      </c>
    </row>
    <row r="157" customFormat="false" ht="17.15" hidden="false" customHeight="false" outlineLevel="0" collapsed="false">
      <c r="A157" s="0" t="s">
        <v>470</v>
      </c>
      <c r="B157" s="5" t="s">
        <v>471</v>
      </c>
      <c r="C157" s="0" t="s">
        <v>69</v>
      </c>
      <c r="D157" s="0" t="n">
        <f aca="false">E94</f>
        <v>0.198744917723333</v>
      </c>
      <c r="E157" s="0" t="n">
        <f aca="false">E97</f>
        <v>0.198744917723333</v>
      </c>
      <c r="F157" s="0" t="n">
        <f aca="false">E100</f>
        <v>0.198744917723333</v>
      </c>
      <c r="G157" s="0" t="s">
        <v>33</v>
      </c>
      <c r="H157" s="5" t="s">
        <v>472</v>
      </c>
    </row>
    <row r="158" customFormat="false" ht="17.15" hidden="false" customHeight="false" outlineLevel="0" collapsed="false">
      <c r="A158" s="0" t="s">
        <v>473</v>
      </c>
      <c r="B158" s="5" t="s">
        <v>474</v>
      </c>
      <c r="C158" s="0" t="s">
        <v>69</v>
      </c>
      <c r="D158" s="0" t="n">
        <f aca="false">E95</f>
        <v>0.127405303197159</v>
      </c>
      <c r="E158" s="0" t="n">
        <f aca="false">E98</f>
        <v>0</v>
      </c>
      <c r="F158" s="0" t="n">
        <f aca="false">E101</f>
        <v>-0.2</v>
      </c>
      <c r="G158" s="0" t="s">
        <v>33</v>
      </c>
      <c r="H158" s="5" t="s">
        <v>475</v>
      </c>
    </row>
    <row r="159" customFormat="false" ht="17.15" hidden="false" customHeight="false" outlineLevel="0" collapsed="false">
      <c r="A159" s="0" t="s">
        <v>476</v>
      </c>
      <c r="B159" s="5" t="s">
        <v>477</v>
      </c>
      <c r="C159" s="0" t="s">
        <v>69</v>
      </c>
      <c r="D159" s="0" t="n">
        <f aca="false">E96</f>
        <v>0.0594526733157439</v>
      </c>
      <c r="E159" s="0" t="n">
        <f aca="false">E99</f>
        <v>-0.05</v>
      </c>
      <c r="F159" s="0" t="n">
        <f aca="false">E102</f>
        <v>0</v>
      </c>
      <c r="G159" s="0" t="s">
        <v>33</v>
      </c>
      <c r="H159" s="5" t="s">
        <v>478</v>
      </c>
    </row>
    <row r="160" customFormat="false" ht="17.15" hidden="false" customHeight="false" outlineLevel="0" collapsed="false">
      <c r="A160" s="0" t="s">
        <v>479</v>
      </c>
      <c r="B160" s="5" t="s">
        <v>480</v>
      </c>
      <c r="C160" s="5" t="s">
        <v>345</v>
      </c>
      <c r="D160" s="0" t="n">
        <f aca="false">E114</f>
        <v>2029</v>
      </c>
      <c r="E160" s="0" t="n">
        <f aca="false">E115</f>
        <v>2028</v>
      </c>
      <c r="F160" s="0" t="n">
        <f aca="false">E116</f>
        <v>2027</v>
      </c>
      <c r="G160" s="0" t="s">
        <v>33</v>
      </c>
      <c r="H160" s="5" t="s">
        <v>481</v>
      </c>
    </row>
    <row r="161" customFormat="false" ht="17.15" hidden="false" customHeight="false" outlineLevel="0" collapsed="false">
      <c r="A161" s="0" t="s">
        <v>482</v>
      </c>
      <c r="B161" s="0" t="s">
        <v>483</v>
      </c>
      <c r="C161" s="0" t="s">
        <v>315</v>
      </c>
      <c r="D161" s="0" t="n">
        <v>0</v>
      </c>
      <c r="E161" s="0" t="n">
        <v>0</v>
      </c>
      <c r="F161" s="0" t="n">
        <f aca="false">E106</f>
        <v>-0.02</v>
      </c>
      <c r="G161" s="0" t="s">
        <v>33</v>
      </c>
      <c r="H161" s="5" t="s">
        <v>484</v>
      </c>
    </row>
    <row r="162" customFormat="false" ht="17.15" hidden="false" customHeight="false" outlineLevel="0" collapsed="false">
      <c r="A162" s="0" t="s">
        <v>485</v>
      </c>
      <c r="B162" s="5" t="s">
        <v>486</v>
      </c>
      <c r="C162" s="0" t="s">
        <v>69</v>
      </c>
      <c r="D162" s="0" t="n">
        <f aca="false">E118</f>
        <v>0.3</v>
      </c>
      <c r="E162" s="0" t="n">
        <f aca="false">E119</f>
        <v>0.5</v>
      </c>
      <c r="F162" s="0" t="n">
        <f aca="false">E120</f>
        <v>0.2</v>
      </c>
      <c r="G162" s="0" t="s">
        <v>33</v>
      </c>
      <c r="H162" s="5" t="s">
        <v>487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0" min="2" style="0" width="11"/>
    <col collapsed="false" customWidth="true" hidden="false" outlineLevel="0" max="11" min="11" style="0" width="22"/>
    <col collapsed="false" customWidth="true" hidden="false" outlineLevel="0" max="13" min="12" style="0" width="80"/>
  </cols>
  <sheetData>
    <row r="1" customFormat="false" ht="17.15" hidden="false" customHeight="false" outlineLevel="0" collapsed="false">
      <c r="A1" s="0" t="s">
        <v>488</v>
      </c>
    </row>
    <row r="2" customFormat="false" ht="17.15" hidden="false" customHeight="false" outlineLevel="0" collapsed="false">
      <c r="A2" s="0" t="s">
        <v>489</v>
      </c>
    </row>
    <row r="3" customFormat="false" ht="17.15" hidden="false" customHeight="false" outlineLevel="0" collapsed="false">
      <c r="A3" s="6" t="s">
        <v>21</v>
      </c>
      <c r="B3" s="14" t="s">
        <v>490</v>
      </c>
      <c r="C3" s="14" t="s">
        <v>491</v>
      </c>
      <c r="D3" s="14" t="s">
        <v>492</v>
      </c>
      <c r="E3" s="14" t="s">
        <v>493</v>
      </c>
      <c r="F3" s="14" t="s">
        <v>494</v>
      </c>
      <c r="G3" s="14" t="s">
        <v>495</v>
      </c>
      <c r="H3" s="14" t="s">
        <v>496</v>
      </c>
      <c r="I3" s="14" t="s">
        <v>497</v>
      </c>
      <c r="J3" s="14" t="s">
        <v>498</v>
      </c>
      <c r="K3" s="6" t="s">
        <v>26</v>
      </c>
      <c r="L3" s="6" t="s">
        <v>27</v>
      </c>
      <c r="M3" s="6" t="s">
        <v>28</v>
      </c>
    </row>
    <row r="4" customFormat="false" ht="17.15" hidden="false" customHeight="false" outlineLevel="0" collapsed="false">
      <c r="A4" s="5" t="s">
        <v>499</v>
      </c>
      <c r="B4" s="15" t="n">
        <v>607.5</v>
      </c>
      <c r="C4" s="15" t="n">
        <v>144.1</v>
      </c>
      <c r="D4" s="15" t="n">
        <v>148.1</v>
      </c>
      <c r="E4" s="15" t="n">
        <v>132.7</v>
      </c>
      <c r="F4" s="15" t="n">
        <v>166.4</v>
      </c>
      <c r="G4" s="15" t="n">
        <v>591.3</v>
      </c>
      <c r="H4" s="15" t="n">
        <v>184.9</v>
      </c>
      <c r="I4" s="15" t="n">
        <v>249.9</v>
      </c>
      <c r="J4" s="15" t="n">
        <v>283.4</v>
      </c>
      <c r="K4" s="8" t="s">
        <v>334</v>
      </c>
      <c r="L4" s="5" t="s">
        <v>500</v>
      </c>
      <c r="M4" s="8" t="s">
        <v>501</v>
      </c>
    </row>
    <row r="5" customFormat="false" ht="17.15" hidden="false" customHeight="false" outlineLevel="0" collapsed="false">
      <c r="A5" s="5" t="s">
        <v>502</v>
      </c>
      <c r="B5" s="15" t="n">
        <v>395.9</v>
      </c>
      <c r="C5" s="15" t="n">
        <v>91.7</v>
      </c>
      <c r="D5" s="15" t="n">
        <v>93.7</v>
      </c>
      <c r="E5" s="15" t="n">
        <v>82.6</v>
      </c>
      <c r="F5" s="15" t="n">
        <v>106.2</v>
      </c>
      <c r="G5" s="15" t="n">
        <v>374.3</v>
      </c>
      <c r="H5" s="15" t="n">
        <v>117.4</v>
      </c>
      <c r="I5" s="15" t="n">
        <v>164.1</v>
      </c>
      <c r="J5" s="15" t="n">
        <v>184.8</v>
      </c>
      <c r="K5" s="8" t="s">
        <v>503</v>
      </c>
      <c r="L5" s="5" t="s">
        <v>504</v>
      </c>
      <c r="M5" s="8" t="s">
        <v>505</v>
      </c>
    </row>
    <row r="6" customFormat="false" ht="17.15" hidden="false" customHeight="false" outlineLevel="0" collapsed="false">
      <c r="A6" s="5" t="s">
        <v>506</v>
      </c>
      <c r="B6" s="10" t="n">
        <f aca="false">B5/B4</f>
        <v>0.651687242798354</v>
      </c>
      <c r="C6" s="10" t="n">
        <f aca="false">C5/C4</f>
        <v>0.636363636363636</v>
      </c>
      <c r="D6" s="10" t="n">
        <f aca="false">D5/D4</f>
        <v>0.632680621201891</v>
      </c>
      <c r="E6" s="10" t="n">
        <f aca="false">E5/E4</f>
        <v>0.622456669178598</v>
      </c>
      <c r="F6" s="10" t="n">
        <f aca="false">F5/F4</f>
        <v>0.638221153846154</v>
      </c>
      <c r="G6" s="10" t="n">
        <f aca="false">G5/G4</f>
        <v>0.633012007441231</v>
      </c>
      <c r="H6" s="10" t="n">
        <f aca="false">H5/H4</f>
        <v>0.634937804218497</v>
      </c>
      <c r="I6" s="10" t="n">
        <f aca="false">I5/I4</f>
        <v>0.656662665066026</v>
      </c>
      <c r="J6" s="10" t="n">
        <f aca="false">J5/J4</f>
        <v>0.652081863091038</v>
      </c>
      <c r="K6" s="8" t="s">
        <v>33</v>
      </c>
      <c r="L6" s="8" t="s">
        <v>180</v>
      </c>
      <c r="M6" s="5" t="s">
        <v>507</v>
      </c>
    </row>
    <row r="7" customFormat="false" ht="17.15" hidden="false" customHeight="false" outlineLevel="0" collapsed="false">
      <c r="A7" s="5" t="s">
        <v>508</v>
      </c>
      <c r="B7" s="16" t="n">
        <f aca="false">B5-B8</f>
        <v>200.3</v>
      </c>
      <c r="C7" s="16" t="n">
        <f aca="false">C5-C8</f>
        <v>52.4</v>
      </c>
      <c r="D7" s="16" t="n">
        <f aca="false">D5-D8</f>
        <v>50.2</v>
      </c>
      <c r="E7" s="16" t="n">
        <f aca="false">E5-E8</f>
        <v>48.5</v>
      </c>
      <c r="F7" s="16" t="n">
        <f aca="false">F5-F8</f>
        <v>50</v>
      </c>
      <c r="G7" s="16" t="n">
        <f aca="false">G5-G8</f>
        <v>201.2</v>
      </c>
      <c r="H7" s="16" t="n">
        <f aca="false">H5-H8</f>
        <v>53.5</v>
      </c>
      <c r="I7" s="16" t="n">
        <f aca="false">I5-I8</f>
        <v>55.3</v>
      </c>
      <c r="J7" s="16" t="n">
        <f aca="false">J5-J8</f>
        <v>55.1</v>
      </c>
      <c r="K7" s="8" t="s">
        <v>33</v>
      </c>
      <c r="L7" s="8" t="s">
        <v>180</v>
      </c>
      <c r="M7" s="5" t="s">
        <v>509</v>
      </c>
    </row>
    <row r="8" customFormat="false" ht="17.15" hidden="false" customHeight="false" outlineLevel="0" collapsed="false">
      <c r="A8" s="5" t="s">
        <v>510</v>
      </c>
      <c r="B8" s="15" t="n">
        <v>195.6</v>
      </c>
      <c r="C8" s="15" t="n">
        <v>39.3</v>
      </c>
      <c r="D8" s="15" t="n">
        <v>43.5</v>
      </c>
      <c r="E8" s="15" t="n">
        <v>34.1</v>
      </c>
      <c r="F8" s="15" t="n">
        <v>56.2</v>
      </c>
      <c r="G8" s="15" t="n">
        <v>173.1</v>
      </c>
      <c r="H8" s="15" t="n">
        <v>63.9</v>
      </c>
      <c r="I8" s="15" t="n">
        <v>108.8</v>
      </c>
      <c r="J8" s="15" t="n">
        <v>129.7</v>
      </c>
      <c r="K8" s="8" t="s">
        <v>334</v>
      </c>
      <c r="L8" s="5" t="s">
        <v>511</v>
      </c>
      <c r="M8" s="8" t="s">
        <v>512</v>
      </c>
    </row>
    <row r="9" customFormat="false" ht="17.15" hidden="false" customHeight="false" outlineLevel="0" collapsed="false">
      <c r="A9" s="5" t="s">
        <v>513</v>
      </c>
      <c r="B9" s="15" t="n">
        <v>7.1</v>
      </c>
      <c r="C9" s="15" t="n">
        <v>3</v>
      </c>
      <c r="D9" s="15" t="n">
        <v>5.7</v>
      </c>
      <c r="E9" s="15" t="n">
        <v>5.1</v>
      </c>
      <c r="F9" s="15" t="n">
        <v>5.3</v>
      </c>
      <c r="G9" s="15" t="n">
        <v>19.1</v>
      </c>
      <c r="H9" s="15" t="n">
        <v>5.2</v>
      </c>
      <c r="I9" s="15" t="n">
        <v>6.3</v>
      </c>
      <c r="J9" s="16" t="n">
        <f aca="false">J8-J10/(1-0.133)</f>
        <v>6.05524798154555</v>
      </c>
      <c r="K9" s="8" t="s">
        <v>503</v>
      </c>
      <c r="L9" s="5" t="s">
        <v>514</v>
      </c>
      <c r="M9" s="8" t="s">
        <v>180</v>
      </c>
    </row>
    <row r="10" customFormat="false" ht="17.15" hidden="false" customHeight="false" outlineLevel="0" collapsed="false">
      <c r="A10" s="5" t="s">
        <v>515</v>
      </c>
      <c r="B10" s="15" t="n">
        <v>182</v>
      </c>
      <c r="C10" s="15" t="n">
        <v>31.5</v>
      </c>
      <c r="D10" s="15" t="n">
        <v>32.1</v>
      </c>
      <c r="E10" s="15" t="n">
        <v>25.3</v>
      </c>
      <c r="F10" s="15" t="n">
        <v>42.8</v>
      </c>
      <c r="G10" s="15" t="n">
        <v>131.6</v>
      </c>
      <c r="H10" s="15" t="n">
        <v>51.6</v>
      </c>
      <c r="I10" s="15" t="n">
        <v>89</v>
      </c>
      <c r="J10" s="15" t="n">
        <v>107.2</v>
      </c>
      <c r="K10" s="8" t="s">
        <v>334</v>
      </c>
      <c r="L10" s="5" t="s">
        <v>516</v>
      </c>
      <c r="M10" s="8" t="s">
        <v>517</v>
      </c>
    </row>
    <row r="11" customFormat="false" ht="17.15" hidden="false" customHeight="false" outlineLevel="0" collapsed="false">
      <c r="A11" s="0" t="s">
        <v>518</v>
      </c>
      <c r="B11" s="17" t="n">
        <v>2.31</v>
      </c>
      <c r="C11" s="17" t="n">
        <v>0.4</v>
      </c>
      <c r="D11" s="17" t="n">
        <v>0.4</v>
      </c>
      <c r="E11" s="17" t="n">
        <v>0.32</v>
      </c>
      <c r="F11" s="17" t="n">
        <v>0.54</v>
      </c>
      <c r="G11" s="17" t="n">
        <v>1.66</v>
      </c>
      <c r="H11" s="17" t="n">
        <v>0.65</v>
      </c>
      <c r="I11" s="17" t="n">
        <v>1.11</v>
      </c>
      <c r="J11" s="17" t="n">
        <v>1.33</v>
      </c>
      <c r="K11" s="8" t="s">
        <v>334</v>
      </c>
      <c r="L11" s="5" t="s">
        <v>511</v>
      </c>
      <c r="M11" s="8" t="s">
        <v>519</v>
      </c>
    </row>
    <row r="12" customFormat="false" ht="17.15" hidden="false" customHeight="false" outlineLevel="0" collapsed="false">
      <c r="A12" s="5" t="s">
        <v>520</v>
      </c>
      <c r="B12" s="15" t="n">
        <v>586.7</v>
      </c>
      <c r="C12" s="15" t="n">
        <v>131.9</v>
      </c>
      <c r="D12" s="15" t="n">
        <v>128</v>
      </c>
      <c r="E12" s="15" t="n">
        <v>174.7</v>
      </c>
      <c r="F12" s="15" t="n">
        <v>250.4</v>
      </c>
      <c r="G12" s="15" t="n">
        <v>685</v>
      </c>
      <c r="H12" s="15" t="n">
        <v>269.7</v>
      </c>
      <c r="I12" s="15" t="n">
        <v>292.9</v>
      </c>
      <c r="J12" s="15" t="n">
        <v>342.6</v>
      </c>
      <c r="K12" s="8" t="s">
        <v>334</v>
      </c>
      <c r="L12" s="5" t="s">
        <v>511</v>
      </c>
      <c r="M12" s="5" t="s">
        <v>521</v>
      </c>
    </row>
    <row r="13" customFormat="false" ht="17.15" hidden="false" customHeight="false" outlineLevel="0" collapsed="false">
      <c r="A13" s="5" t="s">
        <v>522</v>
      </c>
      <c r="B13" s="16" t="n">
        <f aca="false">SUM(C4:F4)-G4</f>
        <v>0</v>
      </c>
      <c r="C13" s="16" t="n">
        <f aca="false">SUM(C10:F10)-G10</f>
        <v>0.0999999999999943</v>
      </c>
      <c r="K13" s="8" t="s">
        <v>180</v>
      </c>
      <c r="L13" s="8" t="s">
        <v>180</v>
      </c>
      <c r="M13" s="8" t="s">
        <v>180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9" min="9" style="0" width="60"/>
  </cols>
  <sheetData>
    <row r="1" customFormat="false" ht="17.15" hidden="false" customHeight="false" outlineLevel="0" collapsed="false">
      <c r="A1" s="0" t="s">
        <v>523</v>
      </c>
    </row>
    <row r="3" customFormat="false" ht="15" hidden="false" customHeight="false" outlineLevel="0" collapsed="false">
      <c r="A3" s="6" t="s">
        <v>21</v>
      </c>
      <c r="B3" s="6" t="s">
        <v>22</v>
      </c>
      <c r="C3" s="14" t="s">
        <v>524</v>
      </c>
      <c r="D3" s="14" t="s">
        <v>525</v>
      </c>
      <c r="E3" s="14" t="s">
        <v>526</v>
      </c>
      <c r="F3" s="14" t="s">
        <v>527</v>
      </c>
      <c r="G3" s="14" t="s">
        <v>528</v>
      </c>
      <c r="H3" s="14" t="s">
        <v>529</v>
      </c>
      <c r="I3" s="6" t="s">
        <v>427</v>
      </c>
    </row>
    <row r="4" customFormat="false" ht="17.15" hidden="false" customHeight="false" outlineLevel="0" collapsed="false">
      <c r="A4" s="4" t="s">
        <v>530</v>
      </c>
    </row>
    <row r="5" customFormat="false" ht="17.15" hidden="false" customHeight="false" outlineLevel="0" collapsed="false">
      <c r="A5" s="0" t="s">
        <v>531</v>
      </c>
      <c r="B5" s="0" t="s">
        <v>32</v>
      </c>
      <c r="C5" s="18" t="n">
        <f aca="false">PL!C43</f>
        <v>2.22511470588235</v>
      </c>
      <c r="D5" s="18" t="n">
        <f aca="false">PL!D43</f>
        <v>3.782695</v>
      </c>
      <c r="E5" s="18" t="n">
        <f aca="false">PL!E43</f>
        <v>5.86317725</v>
      </c>
      <c r="F5" s="18" t="n">
        <f aca="false">PL!F43</f>
        <v>8.5016070125</v>
      </c>
      <c r="G5" s="18" t="n">
        <f aca="false">PL!G43</f>
        <v>11.477169466875</v>
      </c>
      <c r="H5" s="18" t="n">
        <f aca="false">PL!H43</f>
        <v>12.6248864135625</v>
      </c>
    </row>
    <row r="6" customFormat="false" ht="15" hidden="false" customHeight="false" outlineLevel="0" collapsed="false">
      <c r="A6" s="5" t="s">
        <v>532</v>
      </c>
      <c r="B6" s="5" t="s">
        <v>533</v>
      </c>
      <c r="C6" s="19" t="n">
        <f aca="false">PL!C45</f>
        <v>741.704901960783</v>
      </c>
      <c r="D6" s="19" t="n">
        <f aca="false">PL!D45</f>
        <v>1260.89833333333</v>
      </c>
      <c r="E6" s="19" t="n">
        <f aca="false">PL!E45</f>
        <v>1804.05453846154</v>
      </c>
      <c r="F6" s="19" t="n">
        <f aca="false">PL!F45</f>
        <v>2429.030575</v>
      </c>
      <c r="G6" s="19" t="n">
        <f aca="false">PL!G45</f>
        <v>3060.5785245</v>
      </c>
      <c r="H6" s="19" t="n">
        <f aca="false">PL!H45</f>
        <v>3156.22160339063</v>
      </c>
    </row>
    <row r="7" customFormat="false" ht="17.15" hidden="false" customHeight="false" outlineLevel="0" collapsed="false">
      <c r="A7" s="5" t="s">
        <v>534</v>
      </c>
      <c r="B7" s="0" t="s">
        <v>69</v>
      </c>
      <c r="C7" s="10" t="n">
        <f aca="false">PL!C48</f>
        <v>0</v>
      </c>
      <c r="D7" s="10" t="n">
        <f aca="false">PL!D48</f>
        <v>0</v>
      </c>
      <c r="E7" s="10" t="n">
        <f aca="false">PL!E48</f>
        <v>0.05</v>
      </c>
      <c r="F7" s="10" t="n">
        <f aca="false">PL!F48</f>
        <v>0.15</v>
      </c>
      <c r="G7" s="10" t="n">
        <f aca="false">PL!G48</f>
        <v>0.3</v>
      </c>
      <c r="H7" s="10" t="n">
        <f aca="false">PL!H48</f>
        <v>0.4</v>
      </c>
    </row>
    <row r="8" customFormat="false" ht="17.15" hidden="false" customHeight="false" outlineLevel="0" collapsed="false">
      <c r="A8" s="0" t="s">
        <v>535</v>
      </c>
      <c r="B8" s="5" t="s">
        <v>390</v>
      </c>
      <c r="C8" s="19" t="n">
        <f aca="false">PL!C50</f>
        <v>0</v>
      </c>
      <c r="D8" s="19" t="n">
        <f aca="false">PL!D50</f>
        <v>0</v>
      </c>
      <c r="E8" s="19" t="n">
        <f aca="false">PL!E50</f>
        <v>15.6295494709343</v>
      </c>
      <c r="F8" s="19" t="n">
        <f aca="false">PL!F50</f>
        <v>65.3604117539139</v>
      </c>
      <c r="G8" s="19" t="n">
        <f aca="false">PL!G50</f>
        <v>168.451606656678</v>
      </c>
      <c r="H8" s="19" t="n">
        <f aca="false">PL!H50</f>
        <v>236.768091578553</v>
      </c>
    </row>
    <row r="9" customFormat="false" ht="17.15" hidden="false" customHeight="false" outlineLevel="0" collapsed="false">
      <c r="A9" s="0" t="s">
        <v>536</v>
      </c>
      <c r="B9" s="5" t="s">
        <v>390</v>
      </c>
      <c r="C9" s="19" t="n">
        <f aca="false">PL!C51</f>
        <v>0</v>
      </c>
      <c r="D9" s="19" t="n">
        <f aca="false">PL!D51</f>
        <v>15.6295494709343</v>
      </c>
      <c r="E9" s="19" t="n">
        <f aca="false">PL!E51</f>
        <v>51.293817230073</v>
      </c>
      <c r="F9" s="19" t="n">
        <f aca="false">PL!F51</f>
        <v>109.627236078156</v>
      </c>
      <c r="G9" s="19" t="n">
        <f aca="false">PL!G51</f>
        <v>85.1616455875428</v>
      </c>
    </row>
    <row r="10" customFormat="false" ht="17.15" hidden="false" customHeight="false" outlineLevel="0" collapsed="false">
      <c r="A10" s="0" t="s">
        <v>537</v>
      </c>
      <c r="B10" s="5" t="s">
        <v>146</v>
      </c>
      <c r="D10" s="19" t="n">
        <f aca="false">PL!D53</f>
        <v>1107.85762580894</v>
      </c>
      <c r="E10" s="19" t="n">
        <f aca="false">PL!E53</f>
        <v>2096.42857142857</v>
      </c>
      <c r="F10" s="19" t="n">
        <f aca="false">PL!F53</f>
        <v>2620.08928571429</v>
      </c>
      <c r="G10" s="19" t="n">
        <f aca="false">PL!G53</f>
        <v>3013.32589285714</v>
      </c>
      <c r="H10" s="19" t="n">
        <f aca="false">PL!H53</f>
        <v>3314.65848214285</v>
      </c>
    </row>
    <row r="11" customFormat="false" ht="15" hidden="false" customHeight="false" outlineLevel="0" collapsed="false">
      <c r="A11" s="5" t="s">
        <v>538</v>
      </c>
      <c r="B11" s="5" t="s">
        <v>539</v>
      </c>
      <c r="D11" s="16" t="n">
        <f aca="false">PL!D55</f>
        <v>88.6286100647152</v>
      </c>
      <c r="E11" s="16" t="n">
        <f aca="false">PL!E55</f>
        <v>230.607142857143</v>
      </c>
      <c r="F11" s="16" t="n">
        <f aca="false">PL!F55</f>
        <v>471.616071428572</v>
      </c>
      <c r="G11" s="16" t="n">
        <f aca="false">PL!G55</f>
        <v>783.464732142856</v>
      </c>
      <c r="H11" s="16" t="n">
        <f aca="false">PL!H55</f>
        <v>1126.98388392857</v>
      </c>
    </row>
    <row r="12" customFormat="false" ht="15" hidden="false" customHeight="false" outlineLevel="0" collapsed="false">
      <c r="A12" s="5" t="s">
        <v>540</v>
      </c>
      <c r="B12" s="5" t="s">
        <v>539</v>
      </c>
      <c r="D12" s="16" t="n">
        <f aca="false">PL!D56</f>
        <v>150.841393798899</v>
      </c>
      <c r="E12" s="16" t="n">
        <f aca="false">PL!E56</f>
        <v>264.069642857144</v>
      </c>
      <c r="F12" s="16" t="n">
        <f aca="false">PL!F56</f>
        <v>359.010267857141</v>
      </c>
      <c r="G12" s="16" t="n">
        <f aca="false">PL!G56</f>
        <v>421.865625</v>
      </c>
    </row>
    <row r="13" customFormat="false" ht="15" hidden="false" customHeight="false" outlineLevel="0" collapsed="false">
      <c r="A13" s="5" t="s">
        <v>541</v>
      </c>
      <c r="B13" s="5" t="s">
        <v>390</v>
      </c>
      <c r="C13" s="19" t="n">
        <f aca="false">PL!C72</f>
        <v>48</v>
      </c>
      <c r="D13" s="19" t="n">
        <f aca="false">PL!D72</f>
        <v>100.16</v>
      </c>
      <c r="E13" s="19" t="n">
        <f aca="false">PL!E72</f>
        <v>206.120834447955</v>
      </c>
      <c r="F13" s="19" t="n">
        <f aca="false">PL!F72</f>
        <v>304.162288123302</v>
      </c>
      <c r="G13" s="19" t="n">
        <f aca="false">PL!G72</f>
        <v>331.219438729055</v>
      </c>
    </row>
    <row r="15" customFormat="false" ht="17.15" hidden="false" customHeight="false" outlineLevel="0" collapsed="false">
      <c r="A15" s="4" t="s">
        <v>542</v>
      </c>
    </row>
    <row r="16" customFormat="false" ht="17.15" hidden="false" customHeight="false" outlineLevel="0" collapsed="false">
      <c r="A16" s="0" t="s">
        <v>531</v>
      </c>
      <c r="B16" s="0" t="s">
        <v>32</v>
      </c>
      <c r="C16" s="18" t="n">
        <f aca="false">PL!C78</f>
        <v>2.22511470588235</v>
      </c>
      <c r="D16" s="18" t="n">
        <f aca="false">PL!D78</f>
        <v>3.782695</v>
      </c>
      <c r="E16" s="18" t="n">
        <f aca="false">PL!E78</f>
        <v>5.86317725</v>
      </c>
      <c r="F16" s="18" t="n">
        <f aca="false">PL!F78</f>
        <v>8.22296</v>
      </c>
      <c r="G16" s="18" t="n">
        <f aca="false">PL!G78</f>
        <v>11.3579635</v>
      </c>
      <c r="H16" s="18" t="n">
        <f aca="false">PL!H78</f>
        <v>12.49375985</v>
      </c>
    </row>
    <row r="17" customFormat="false" ht="15" hidden="false" customHeight="false" outlineLevel="0" collapsed="false">
      <c r="A17" s="5" t="s">
        <v>532</v>
      </c>
      <c r="B17" s="5" t="s">
        <v>533</v>
      </c>
      <c r="C17" s="19" t="n">
        <f aca="false">PL!C80</f>
        <v>741.704901960783</v>
      </c>
      <c r="D17" s="19" t="n">
        <f aca="false">PL!D80</f>
        <v>1260.89833333333</v>
      </c>
      <c r="E17" s="19" t="n">
        <f aca="false">PL!E80</f>
        <v>1804.05453846154</v>
      </c>
      <c r="F17" s="19" t="n">
        <f aca="false">PL!F80</f>
        <v>2349.41714285714</v>
      </c>
      <c r="G17" s="19" t="n">
        <f aca="false">PL!G80</f>
        <v>3028.79026666667</v>
      </c>
      <c r="H17" s="19" t="n">
        <f aca="false">PL!H80</f>
        <v>3123.4399625</v>
      </c>
    </row>
    <row r="18" customFormat="false" ht="17.15" hidden="false" customHeight="false" outlineLevel="0" collapsed="false">
      <c r="A18" s="5" t="s">
        <v>534</v>
      </c>
      <c r="B18" s="0" t="s">
        <v>69</v>
      </c>
      <c r="C18" s="10" t="n">
        <f aca="false">PL!C83</f>
        <v>0</v>
      </c>
      <c r="D18" s="10" t="n">
        <f aca="false">PL!D83</f>
        <v>0</v>
      </c>
      <c r="E18" s="10" t="n">
        <f aca="false">PL!E83</f>
        <v>0</v>
      </c>
      <c r="F18" s="10" t="n">
        <f aca="false">PL!F83</f>
        <v>0.05</v>
      </c>
      <c r="G18" s="10" t="n">
        <f aca="false">PL!G83</f>
        <v>0.15</v>
      </c>
      <c r="H18" s="10" t="n">
        <f aca="false">PL!H83</f>
        <v>0.25</v>
      </c>
    </row>
    <row r="19" customFormat="false" ht="17.15" hidden="false" customHeight="false" outlineLevel="0" collapsed="false">
      <c r="A19" s="0" t="s">
        <v>535</v>
      </c>
      <c r="B19" s="5" t="s">
        <v>390</v>
      </c>
      <c r="C19" s="19" t="n">
        <f aca="false">PL!C85</f>
        <v>0</v>
      </c>
      <c r="D19" s="19" t="n">
        <f aca="false">PL!D85</f>
        <v>0</v>
      </c>
      <c r="E19" s="19" t="n">
        <f aca="false">PL!E85</f>
        <v>0</v>
      </c>
      <c r="F19" s="19" t="n">
        <f aca="false">PL!F85</f>
        <v>21.0727238840742</v>
      </c>
      <c r="G19" s="19" t="n">
        <f aca="false">PL!G85</f>
        <v>83.3510041585127</v>
      </c>
      <c r="H19" s="19" t="n">
        <f aca="false">PL!H85</f>
        <v>146.443083695165</v>
      </c>
    </row>
    <row r="20" customFormat="false" ht="17.15" hidden="false" customHeight="false" outlineLevel="0" collapsed="false">
      <c r="A20" s="0" t="s">
        <v>536</v>
      </c>
      <c r="B20" s="5" t="s">
        <v>390</v>
      </c>
      <c r="C20" s="19" t="n">
        <f aca="false">PL!C86</f>
        <v>0</v>
      </c>
      <c r="D20" s="19" t="n">
        <f aca="false">PL!D86</f>
        <v>0</v>
      </c>
      <c r="E20" s="19" t="n">
        <f aca="false">PL!E86</f>
        <v>21.0727238840742</v>
      </c>
      <c r="F20" s="19" t="n">
        <f aca="false">PL!F86</f>
        <v>64.385552662846</v>
      </c>
      <c r="G20" s="19" t="n">
        <f aca="false">PL!G86</f>
        <v>71.4271799525033</v>
      </c>
    </row>
    <row r="21" customFormat="false" ht="17.15" hidden="false" customHeight="false" outlineLevel="0" collapsed="false">
      <c r="A21" s="0" t="s">
        <v>537</v>
      </c>
      <c r="B21" s="5" t="s">
        <v>146</v>
      </c>
      <c r="D21" s="19" t="n">
        <f aca="false">PL!D88</f>
        <v>1107.85762580894</v>
      </c>
      <c r="E21" s="19" t="n">
        <f aca="false">PL!E88</f>
        <v>2096.42857142857</v>
      </c>
      <c r="F21" s="19" t="n">
        <f aca="false">PL!F88</f>
        <v>2096.07142857143</v>
      </c>
      <c r="G21" s="19" t="n">
        <f aca="false">PL!G88</f>
        <v>2561.32700892857</v>
      </c>
      <c r="H21" s="19" t="n">
        <f aca="false">PL!H88</f>
        <v>2817.45970982143</v>
      </c>
    </row>
    <row r="22" customFormat="false" ht="15" hidden="false" customHeight="false" outlineLevel="0" collapsed="false">
      <c r="A22" s="5" t="s">
        <v>538</v>
      </c>
      <c r="B22" s="5" t="s">
        <v>539</v>
      </c>
      <c r="D22" s="16" t="n">
        <f aca="false">PL!D90</f>
        <v>88.6286100647152</v>
      </c>
      <c r="E22" s="16" t="n">
        <f aca="false">PL!E90</f>
        <v>230.607142857143</v>
      </c>
      <c r="F22" s="16" t="n">
        <f aca="false">PL!F90</f>
        <v>314.410714285715</v>
      </c>
      <c r="G22" s="16" t="n">
        <f aca="false">PL!G90</f>
        <v>512.265401785714</v>
      </c>
      <c r="H22" s="16" t="n">
        <f aca="false">PL!H90</f>
        <v>704.364927455357</v>
      </c>
    </row>
    <row r="23" customFormat="false" ht="15" hidden="false" customHeight="false" outlineLevel="0" collapsed="false">
      <c r="A23" s="5" t="s">
        <v>540</v>
      </c>
      <c r="B23" s="5" t="s">
        <v>539</v>
      </c>
      <c r="D23" s="16" t="n">
        <f aca="false">PL!D91</f>
        <v>150.841393798899</v>
      </c>
      <c r="E23" s="16" t="n">
        <f aca="false">PL!E91</f>
        <v>106.864285714286</v>
      </c>
      <c r="F23" s="16" t="n">
        <f aca="false">PL!F91</f>
        <v>229.295758928571</v>
      </c>
      <c r="G23" s="16" t="n">
        <f aca="false">PL!G91</f>
        <v>243.326065848214</v>
      </c>
    </row>
    <row r="24" customFormat="false" ht="15" hidden="false" customHeight="false" outlineLevel="0" collapsed="false">
      <c r="A24" s="5" t="s">
        <v>541</v>
      </c>
      <c r="B24" s="5" t="s">
        <v>390</v>
      </c>
      <c r="C24" s="19" t="n">
        <f aca="false">PL!C107</f>
        <v>48</v>
      </c>
      <c r="D24" s="19" t="n">
        <f aca="false">PL!D107</f>
        <v>100.16</v>
      </c>
      <c r="E24" s="19" t="n">
        <f aca="false">PL!E107</f>
        <v>77.947238082854</v>
      </c>
      <c r="F24" s="19" t="n">
        <f aca="false">PL!F107</f>
        <v>176.834439366299</v>
      </c>
      <c r="G24" s="19" t="n">
        <f aca="false">PL!G107</f>
        <v>189.205686770694</v>
      </c>
    </row>
    <row r="26" customFormat="false" ht="17.15" hidden="false" customHeight="false" outlineLevel="0" collapsed="false">
      <c r="A26" s="4" t="s">
        <v>543</v>
      </c>
    </row>
    <row r="27" customFormat="false" ht="17.15" hidden="false" customHeight="false" outlineLevel="0" collapsed="false">
      <c r="A27" s="0" t="s">
        <v>531</v>
      </c>
      <c r="B27" s="0" t="s">
        <v>32</v>
      </c>
      <c r="C27" s="18" t="n">
        <f aca="false">PL!C113</f>
        <v>2.22511470588235</v>
      </c>
      <c r="D27" s="18" t="n">
        <f aca="false">PL!D113</f>
        <v>3.782695</v>
      </c>
      <c r="E27" s="18" t="n">
        <f aca="false">PL!E113</f>
        <v>5.86317725</v>
      </c>
      <c r="F27" s="18" t="n">
        <f aca="false">PL!F113</f>
        <v>6.16722</v>
      </c>
      <c r="G27" s="18" t="n">
        <f aca="false">PL!G113</f>
        <v>8.017386</v>
      </c>
      <c r="H27" s="18" t="n">
        <f aca="false">PL!H113</f>
        <v>8.8191246</v>
      </c>
    </row>
    <row r="28" customFormat="false" ht="15" hidden="false" customHeight="false" outlineLevel="0" collapsed="false">
      <c r="A28" s="5" t="s">
        <v>532</v>
      </c>
      <c r="B28" s="5" t="s">
        <v>533</v>
      </c>
      <c r="C28" s="19" t="n">
        <f aca="false">PL!C115</f>
        <v>741.704901960783</v>
      </c>
      <c r="D28" s="19" t="n">
        <f aca="false">PL!D115</f>
        <v>1260.89833333333</v>
      </c>
      <c r="E28" s="19" t="n">
        <f aca="false">PL!E115</f>
        <v>1804.05453846154</v>
      </c>
      <c r="F28" s="19" t="n">
        <f aca="false">PL!F115</f>
        <v>1762.06285714286</v>
      </c>
      <c r="G28" s="19" t="n">
        <f aca="false">PL!G115</f>
        <v>2137.9696</v>
      </c>
      <c r="H28" s="19" t="n">
        <f aca="false">PL!H115</f>
        <v>2204.78115</v>
      </c>
    </row>
    <row r="29" customFormat="false" ht="17.15" hidden="false" customHeight="false" outlineLevel="0" collapsed="false">
      <c r="A29" s="5" t="s">
        <v>534</v>
      </c>
      <c r="B29" s="0" t="s">
        <v>69</v>
      </c>
      <c r="C29" s="10" t="n">
        <f aca="false">PL!C118</f>
        <v>0</v>
      </c>
      <c r="D29" s="10" t="n">
        <f aca="false">PL!D118</f>
        <v>0</v>
      </c>
      <c r="E29" s="10" t="n">
        <f aca="false">PL!E118</f>
        <v>0</v>
      </c>
      <c r="F29" s="10" t="n">
        <f aca="false">PL!F118</f>
        <v>0</v>
      </c>
      <c r="G29" s="10" t="n">
        <f aca="false">PL!G118</f>
        <v>0.05</v>
      </c>
      <c r="H29" s="10" t="n">
        <f aca="false">PL!H118</f>
        <v>0.1</v>
      </c>
    </row>
    <row r="30" customFormat="false" ht="17.15" hidden="false" customHeight="false" outlineLevel="0" collapsed="false">
      <c r="A30" s="0" t="s">
        <v>535</v>
      </c>
      <c r="B30" s="5" t="s">
        <v>390</v>
      </c>
      <c r="C30" s="19" t="n">
        <f aca="false">PL!C120</f>
        <v>0</v>
      </c>
      <c r="D30" s="19" t="n">
        <f aca="false">PL!D120</f>
        <v>0</v>
      </c>
      <c r="E30" s="19" t="n">
        <f aca="false">PL!E120</f>
        <v>0</v>
      </c>
      <c r="F30" s="19" t="n">
        <f aca="false">PL!F120</f>
        <v>0</v>
      </c>
      <c r="G30" s="19" t="n">
        <f aca="false">PL!G120</f>
        <v>19.6120009784736</v>
      </c>
      <c r="H30" s="19" t="n">
        <f aca="false">PL!H120</f>
        <v>41.3486353962818</v>
      </c>
    </row>
    <row r="31" customFormat="false" ht="17.15" hidden="false" customHeight="false" outlineLevel="0" collapsed="false">
      <c r="A31" s="0" t="s">
        <v>536</v>
      </c>
      <c r="B31" s="5" t="s">
        <v>390</v>
      </c>
      <c r="C31" s="19" t="n">
        <f aca="false">PL!C121</f>
        <v>0</v>
      </c>
      <c r="D31" s="19" t="n">
        <f aca="false">PL!D121</f>
        <v>0</v>
      </c>
      <c r="E31" s="19" t="n">
        <f aca="false">PL!E121</f>
        <v>0</v>
      </c>
      <c r="F31" s="19" t="n">
        <f aca="false">PL!F121</f>
        <v>19.6120009784736</v>
      </c>
      <c r="G31" s="19" t="n">
        <f aca="false">PL!G121</f>
        <v>23.6978345156556</v>
      </c>
    </row>
    <row r="32" customFormat="false" ht="17.15" hidden="false" customHeight="false" outlineLevel="0" collapsed="false">
      <c r="A32" s="0" t="s">
        <v>537</v>
      </c>
      <c r="B32" s="5" t="s">
        <v>146</v>
      </c>
      <c r="D32" s="19" t="n">
        <f aca="false">PL!D123</f>
        <v>1107.85762580894</v>
      </c>
      <c r="E32" s="19" t="n">
        <f aca="false">PL!E123</f>
        <v>2096.42857142857</v>
      </c>
      <c r="F32" s="19" t="n">
        <f aca="false">PL!F123</f>
        <v>1572.05357142857</v>
      </c>
      <c r="G32" s="19" t="n">
        <f aca="false">PL!G123</f>
        <v>1807.99553571428</v>
      </c>
      <c r="H32" s="19" t="n">
        <f aca="false">PL!H123</f>
        <v>1988.79508928571</v>
      </c>
    </row>
    <row r="33" customFormat="false" ht="15" hidden="false" customHeight="false" outlineLevel="0" collapsed="false">
      <c r="A33" s="5" t="s">
        <v>538</v>
      </c>
      <c r="B33" s="5" t="s">
        <v>539</v>
      </c>
      <c r="D33" s="16" t="n">
        <f aca="false">PL!D125</f>
        <v>88.6286100647152</v>
      </c>
      <c r="E33" s="16" t="n">
        <f aca="false">PL!E125</f>
        <v>230.607142857143</v>
      </c>
      <c r="F33" s="16" t="n">
        <f aca="false">PL!F125</f>
        <v>188.646428571429</v>
      </c>
      <c r="G33" s="16" t="n">
        <f aca="false">PL!G125</f>
        <v>253.119375</v>
      </c>
      <c r="H33" s="16" t="n">
        <f aca="false">PL!H125</f>
        <v>318.207214285714</v>
      </c>
    </row>
    <row r="34" customFormat="false" ht="15" hidden="false" customHeight="false" outlineLevel="0" collapsed="false">
      <c r="A34" s="5" t="s">
        <v>540</v>
      </c>
      <c r="B34" s="5" t="s">
        <v>539</v>
      </c>
      <c r="D34" s="16" t="n">
        <f aca="false">PL!D126</f>
        <v>150.841393798899</v>
      </c>
      <c r="E34" s="16" t="n">
        <f aca="false">PL!E126</f>
        <v>23.0607142857143</v>
      </c>
      <c r="F34" s="16" t="n">
        <f aca="false">PL!F126</f>
        <v>83.3375892857138</v>
      </c>
      <c r="G34" s="16" t="n">
        <f aca="false">PL!G126</f>
        <v>90.3997767857142</v>
      </c>
    </row>
    <row r="35" customFormat="false" ht="15" hidden="false" customHeight="false" outlineLevel="0" collapsed="false">
      <c r="A35" s="5" t="s">
        <v>541</v>
      </c>
      <c r="B35" s="5" t="s">
        <v>390</v>
      </c>
      <c r="C35" s="19" t="n">
        <f aca="false">PL!C142</f>
        <v>48</v>
      </c>
      <c r="D35" s="19" t="n">
        <f aca="false">PL!D142</f>
        <v>100.16</v>
      </c>
      <c r="E35" s="19" t="n">
        <f aca="false">PL!E142</f>
        <v>12.2500121998952</v>
      </c>
      <c r="F35" s="19" t="n">
        <f aca="false">PL!F142</f>
        <v>51.1337087718848</v>
      </c>
      <c r="G35" s="19" t="n">
        <f aca="false">PL!G142</f>
        <v>56.3152337450273</v>
      </c>
    </row>
    <row r="37" customFormat="false" ht="17.15" hidden="false" customHeight="false" outlineLevel="0" collapsed="false">
      <c r="I37" s="5" t="s">
        <v>544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4"/>
    <col collapsed="false" customWidth="true" hidden="false" outlineLevel="0" max="8" min="3" style="0" width="12"/>
    <col collapsed="false" customWidth="true" hidden="false" outlineLevel="0" max="10" min="9" style="0" width="14"/>
    <col collapsed="false" customWidth="true" hidden="false" outlineLevel="0" max="11" min="11" style="0" width="40"/>
  </cols>
  <sheetData>
    <row r="1" customFormat="false" ht="17.15" hidden="false" customHeight="false" outlineLevel="0" collapsed="false">
      <c r="A1" s="0" t="s">
        <v>545</v>
      </c>
    </row>
    <row r="3" customFormat="false" ht="17.15" hidden="false" customHeight="false" outlineLevel="0" collapsed="false">
      <c r="A3" s="6" t="s">
        <v>546</v>
      </c>
      <c r="B3" s="6" t="s">
        <v>22</v>
      </c>
      <c r="C3" s="14" t="s">
        <v>547</v>
      </c>
      <c r="D3" s="14" t="s">
        <v>548</v>
      </c>
      <c r="E3" s="14" t="s">
        <v>549</v>
      </c>
      <c r="F3" s="14" t="s">
        <v>550</v>
      </c>
      <c r="G3" s="14" t="s">
        <v>551</v>
      </c>
      <c r="H3" s="6" t="s">
        <v>427</v>
      </c>
    </row>
    <row r="4" customFormat="false" ht="17.15" hidden="false" customHeight="false" outlineLevel="0" collapsed="false">
      <c r="A4" s="4" t="s">
        <v>530</v>
      </c>
    </row>
    <row r="5" customFormat="false" ht="17.15" hidden="false" customHeight="false" outlineLevel="0" collapsed="false">
      <c r="A5" s="5" t="s">
        <v>499</v>
      </c>
      <c r="B5" s="0" t="s">
        <v>252</v>
      </c>
      <c r="C5" s="16" t="n">
        <f aca="false">C63</f>
        <v>591.3</v>
      </c>
      <c r="D5" s="16" t="n">
        <f aca="false">D63</f>
        <v>1001.6</v>
      </c>
      <c r="E5" s="16" t="n">
        <f aca="false">E63</f>
        <v>1415.79926831366</v>
      </c>
      <c r="F5" s="16" t="n">
        <f aca="false">F63</f>
        <v>1775.63101902761</v>
      </c>
      <c r="G5" s="16" t="n">
        <f aca="false">G63</f>
        <v>1903.63175356863</v>
      </c>
      <c r="H5" s="8" t="s">
        <v>552</v>
      </c>
    </row>
    <row r="6" customFormat="false" ht="15" hidden="false" customHeight="false" outlineLevel="0" collapsed="false">
      <c r="A6" s="5" t="s">
        <v>553</v>
      </c>
      <c r="B6" s="0" t="s">
        <v>252</v>
      </c>
      <c r="C6" s="16" t="n">
        <f aca="false">C61</f>
        <v>120</v>
      </c>
      <c r="D6" s="16" t="n">
        <f aca="false">D61</f>
        <v>250.4</v>
      </c>
      <c r="E6" s="16" t="n">
        <f aca="false">E61</f>
        <v>515.302086119887</v>
      </c>
      <c r="F6" s="16" t="n">
        <f aca="false">F61</f>
        <v>760.405720308256</v>
      </c>
      <c r="G6" s="16" t="n">
        <f aca="false">G61</f>
        <v>828.048596822637</v>
      </c>
    </row>
    <row r="7" customFormat="false" ht="15" hidden="false" customHeight="false" outlineLevel="0" collapsed="false">
      <c r="A7" s="5" t="s">
        <v>554</v>
      </c>
      <c r="B7" s="0" t="s">
        <v>252</v>
      </c>
      <c r="C7" s="16" t="n">
        <f aca="false">C62</f>
        <v>471.3</v>
      </c>
      <c r="D7" s="16" t="n">
        <f aca="false">D62</f>
        <v>751.2</v>
      </c>
      <c r="E7" s="16" t="n">
        <f aca="false">E62</f>
        <v>900.497182193768</v>
      </c>
      <c r="F7" s="16" t="n">
        <f aca="false">F62</f>
        <v>1015.22529871935</v>
      </c>
      <c r="G7" s="16" t="n">
        <f aca="false">G62</f>
        <v>1075.58315674599</v>
      </c>
    </row>
    <row r="8" customFormat="false" ht="15" hidden="false" customHeight="false" outlineLevel="0" collapsed="false">
      <c r="A8" s="5" t="s">
        <v>506</v>
      </c>
      <c r="B8" s="0" t="s">
        <v>69</v>
      </c>
      <c r="C8" s="10" t="n">
        <f aca="false">C65</f>
        <v>0.633012007441231</v>
      </c>
      <c r="D8" s="10" t="n">
        <f aca="false">D65</f>
        <v>0.646641373801917</v>
      </c>
      <c r="E8" s="10" t="n">
        <f aca="false">E65</f>
        <v>0.655758613662263</v>
      </c>
      <c r="F8" s="10" t="n">
        <f aca="false">F65</f>
        <v>0.660901001490768</v>
      </c>
      <c r="G8" s="10" t="n">
        <f aca="false">G65</f>
        <v>0.66144006195241</v>
      </c>
    </row>
    <row r="9" customFormat="false" ht="15" hidden="false" customHeight="false" outlineLevel="0" collapsed="false">
      <c r="A9" s="5" t="s">
        <v>510</v>
      </c>
      <c r="B9" s="0" t="s">
        <v>252</v>
      </c>
      <c r="C9" s="16" t="n">
        <f aca="false">C68</f>
        <v>173.1</v>
      </c>
      <c r="D9" s="16" t="n">
        <f aca="false">D68</f>
        <v>424.5435</v>
      </c>
      <c r="E9" s="16" t="n">
        <f aca="false">E68</f>
        <v>668.380593274033</v>
      </c>
      <c r="F9" s="16" t="n">
        <f aca="false">F68</f>
        <v>881.40958698298</v>
      </c>
      <c r="G9" s="16" t="n">
        <f aca="false">G68</f>
        <v>955.625373604005</v>
      </c>
    </row>
    <row r="10" customFormat="false" ht="15" hidden="false" customHeight="false" outlineLevel="0" collapsed="false">
      <c r="A10" s="5" t="s">
        <v>555</v>
      </c>
      <c r="B10" s="0" t="s">
        <v>69</v>
      </c>
      <c r="C10" s="10" t="n">
        <f aca="false">C69</f>
        <v>0.292744799594115</v>
      </c>
      <c r="D10" s="10" t="n">
        <f aca="false">D69</f>
        <v>0.423865315495208</v>
      </c>
      <c r="E10" s="10" t="n">
        <f aca="false">E69</f>
        <v>0.472087115901772</v>
      </c>
      <c r="F10" s="10" t="n">
        <f aca="false">F69</f>
        <v>0.496392312106413</v>
      </c>
      <c r="G10" s="10" t="n">
        <f aca="false">G69</f>
        <v>0.502001173185176</v>
      </c>
    </row>
    <row r="11" customFormat="false" ht="15" hidden="false" customHeight="false" outlineLevel="0" collapsed="false">
      <c r="A11" s="5" t="s">
        <v>515</v>
      </c>
      <c r="B11" s="0" t="s">
        <v>252</v>
      </c>
      <c r="C11" s="16" t="n">
        <f aca="false">C70</f>
        <v>131.6</v>
      </c>
      <c r="D11" s="16" t="n">
        <f aca="false">D70</f>
        <v>348.2641275</v>
      </c>
      <c r="E11" s="16" t="n">
        <f aca="false">E70</f>
        <v>560.849213182038</v>
      </c>
      <c r="F11" s="16" t="n">
        <f aca="false">F70</f>
        <v>745.119292740278</v>
      </c>
      <c r="G11" s="16" t="n">
        <f aca="false">G70</f>
        <v>809.315948167465</v>
      </c>
    </row>
    <row r="12" customFormat="false" ht="15" hidden="false" customHeight="false" outlineLevel="0" collapsed="false">
      <c r="A12" s="0" t="s">
        <v>556</v>
      </c>
      <c r="B12" s="0" t="s">
        <v>271</v>
      </c>
      <c r="C12" s="18" t="n">
        <f aca="false">C71</f>
        <v>1.66</v>
      </c>
      <c r="D12" s="18" t="n">
        <f aca="false">D71</f>
        <v>4.3364299400653</v>
      </c>
      <c r="E12" s="18" t="n">
        <f aca="false">E71</f>
        <v>6.95829714115775</v>
      </c>
      <c r="F12" s="18" t="n">
        <f aca="false">F71</f>
        <v>9.24448376254262</v>
      </c>
      <c r="G12" s="18" t="n">
        <f aca="false">G71</f>
        <v>10.040953461406</v>
      </c>
    </row>
    <row r="14" customFormat="false" ht="17.15" hidden="false" customHeight="false" outlineLevel="0" collapsed="false">
      <c r="A14" s="4" t="s">
        <v>542</v>
      </c>
    </row>
    <row r="15" customFormat="false" ht="15" hidden="false" customHeight="false" outlineLevel="0" collapsed="false">
      <c r="A15" s="5" t="s">
        <v>499</v>
      </c>
      <c r="B15" s="0" t="s">
        <v>252</v>
      </c>
      <c r="C15" s="16" t="n">
        <f aca="false">C98</f>
        <v>591.3</v>
      </c>
      <c r="D15" s="16" t="n">
        <f aca="false">D98</f>
        <v>1001.6</v>
      </c>
      <c r="E15" s="16" t="n">
        <f aca="false">E98</f>
        <v>1095.3652774009</v>
      </c>
      <c r="F15" s="16" t="n">
        <f aca="false">F98</f>
        <v>1342.58328060951</v>
      </c>
      <c r="G15" s="16" t="n">
        <f aca="false">G98</f>
        <v>1328.48654001082</v>
      </c>
    </row>
    <row r="16" customFormat="false" ht="15" hidden="false" customHeight="false" outlineLevel="0" collapsed="false">
      <c r="A16" s="5" t="s">
        <v>553</v>
      </c>
      <c r="B16" s="0" t="s">
        <v>252</v>
      </c>
      <c r="C16" s="16" t="n">
        <f aca="false">C96</f>
        <v>120</v>
      </c>
      <c r="D16" s="16" t="n">
        <f aca="false">D96</f>
        <v>250.4</v>
      </c>
      <c r="E16" s="16" t="n">
        <f aca="false">E96</f>
        <v>194.868095207135</v>
      </c>
      <c r="F16" s="16" t="n">
        <f aca="false">F96</f>
        <v>442.086098415747</v>
      </c>
      <c r="G16" s="16" t="n">
        <f aca="false">G96</f>
        <v>473.014216926736</v>
      </c>
    </row>
    <row r="17" customFormat="false" ht="15" hidden="false" customHeight="false" outlineLevel="0" collapsed="false">
      <c r="A17" s="5" t="s">
        <v>554</v>
      </c>
      <c r="B17" s="0" t="s">
        <v>252</v>
      </c>
      <c r="C17" s="16" t="n">
        <f aca="false">C97</f>
        <v>471.3</v>
      </c>
      <c r="D17" s="16" t="n">
        <f aca="false">D97</f>
        <v>751.2</v>
      </c>
      <c r="E17" s="16" t="n">
        <f aca="false">E97</f>
        <v>900.497182193768</v>
      </c>
      <c r="F17" s="16" t="n">
        <f aca="false">F97</f>
        <v>900.497182193768</v>
      </c>
      <c r="G17" s="16" t="n">
        <f aca="false">G97</f>
        <v>855.472323084079</v>
      </c>
    </row>
    <row r="18" customFormat="false" ht="15" hidden="false" customHeight="false" outlineLevel="0" collapsed="false">
      <c r="A18" s="5" t="s">
        <v>506</v>
      </c>
      <c r="B18" s="0" t="s">
        <v>69</v>
      </c>
      <c r="C18" s="10" t="n">
        <f aca="false">C100</f>
        <v>0.633012007441231</v>
      </c>
      <c r="D18" s="10" t="n">
        <f aca="false">D100</f>
        <v>0.646641373801917</v>
      </c>
      <c r="E18" s="10" t="n">
        <f aca="false">E100</f>
        <v>0.640873564595441</v>
      </c>
      <c r="F18" s="10" t="n">
        <f aca="false">F100</f>
        <v>0.652983790234515</v>
      </c>
      <c r="G18" s="10" t="n">
        <f aca="false">G100</f>
        <v>0.655125770304595</v>
      </c>
    </row>
    <row r="19" customFormat="false" ht="15" hidden="false" customHeight="false" outlineLevel="0" collapsed="false">
      <c r="A19" s="5" t="s">
        <v>510</v>
      </c>
      <c r="B19" s="0" t="s">
        <v>252</v>
      </c>
      <c r="C19" s="16" t="n">
        <f aca="false">C103</f>
        <v>173.1</v>
      </c>
      <c r="D19" s="16" t="n">
        <f aca="false">D103</f>
        <v>424.5435</v>
      </c>
      <c r="E19" s="16" t="n">
        <f aca="false">E103</f>
        <v>470.502686299827</v>
      </c>
      <c r="F19" s="16" t="n">
        <f aca="false">F103</f>
        <v>623.167454796819</v>
      </c>
      <c r="G19" s="16" t="n">
        <f aca="false">G103</f>
        <v>618.06426990502</v>
      </c>
    </row>
    <row r="20" customFormat="false" ht="15" hidden="false" customHeight="false" outlineLevel="0" collapsed="false">
      <c r="A20" s="5" t="s">
        <v>555</v>
      </c>
      <c r="B20" s="0" t="s">
        <v>69</v>
      </c>
      <c r="C20" s="10" t="n">
        <f aca="false">C104</f>
        <v>0.292744799594115</v>
      </c>
      <c r="D20" s="10" t="n">
        <f aca="false">D104</f>
        <v>0.423865315495208</v>
      </c>
      <c r="E20" s="10" t="n">
        <f aca="false">E104</f>
        <v>0.429539529878327</v>
      </c>
      <c r="F20" s="10" t="n">
        <f aca="false">F104</f>
        <v>0.464155530459093</v>
      </c>
      <c r="G20" s="10" t="n">
        <f aca="false">G104</f>
        <v>0.46523939181197</v>
      </c>
    </row>
    <row r="21" customFormat="false" ht="15" hidden="false" customHeight="false" outlineLevel="0" collapsed="false">
      <c r="A21" s="5" t="s">
        <v>515</v>
      </c>
      <c r="B21" s="0" t="s">
        <v>252</v>
      </c>
      <c r="C21" s="16" t="n">
        <f aca="false">C105</f>
        <v>131.6</v>
      </c>
      <c r="D21" s="16" t="n">
        <f aca="false">D105</f>
        <v>348.2641275</v>
      </c>
      <c r="E21" s="16" t="n">
        <f aca="false">E105</f>
        <v>389.68482364935</v>
      </c>
      <c r="F21" s="16" t="n">
        <f aca="false">F105</f>
        <v>521.739848399248</v>
      </c>
      <c r="G21" s="16" t="n">
        <f aca="false">G105</f>
        <v>517.325593467842</v>
      </c>
    </row>
    <row r="22" customFormat="false" ht="15" hidden="false" customHeight="false" outlineLevel="0" collapsed="false">
      <c r="A22" s="0" t="s">
        <v>556</v>
      </c>
      <c r="B22" s="0" t="s">
        <v>271</v>
      </c>
      <c r="C22" s="18" t="n">
        <f aca="false">C106</f>
        <v>1.66</v>
      </c>
      <c r="D22" s="18" t="n">
        <f aca="false">D106</f>
        <v>4.3364299400653</v>
      </c>
      <c r="E22" s="18" t="n">
        <f aca="false">E106</f>
        <v>4.83470909938093</v>
      </c>
      <c r="F22" s="18" t="n">
        <f aca="false">F106</f>
        <v>6.47307834301306</v>
      </c>
      <c r="G22" s="18" t="n">
        <f aca="false">G106</f>
        <v>6.41831193388275</v>
      </c>
    </row>
    <row r="24" customFormat="false" ht="17.15" hidden="false" customHeight="false" outlineLevel="0" collapsed="false">
      <c r="A24" s="4" t="s">
        <v>543</v>
      </c>
    </row>
    <row r="25" customFormat="false" ht="15" hidden="false" customHeight="false" outlineLevel="0" collapsed="false">
      <c r="A25" s="5" t="s">
        <v>499</v>
      </c>
      <c r="B25" s="0" t="s">
        <v>252</v>
      </c>
      <c r="C25" s="16" t="n">
        <f aca="false">C133</f>
        <v>591.3</v>
      </c>
      <c r="D25" s="16" t="n">
        <f aca="false">D133</f>
        <v>1001.6</v>
      </c>
      <c r="E25" s="16" t="n">
        <f aca="false">E133</f>
        <v>931.122212693506</v>
      </c>
      <c r="F25" s="16" t="n">
        <f aca="false">F133</f>
        <v>848.232017684726</v>
      </c>
      <c r="G25" s="16" t="n">
        <f aca="false">G133</f>
        <v>861.185830117582</v>
      </c>
    </row>
    <row r="26" customFormat="false" ht="15" hidden="false" customHeight="false" outlineLevel="0" collapsed="false">
      <c r="A26" s="5" t="s">
        <v>553</v>
      </c>
      <c r="B26" s="0" t="s">
        <v>252</v>
      </c>
      <c r="C26" s="16" t="n">
        <f aca="false">C131</f>
        <v>120</v>
      </c>
      <c r="D26" s="16" t="n">
        <f aca="false">D131</f>
        <v>250.4</v>
      </c>
      <c r="E26" s="16" t="n">
        <f aca="false">E131</f>
        <v>30.6250304997381</v>
      </c>
      <c r="F26" s="16" t="n">
        <f aca="false">F131</f>
        <v>127.834271929712</v>
      </c>
      <c r="G26" s="16" t="n">
        <f aca="false">G131</f>
        <v>140.788084362568</v>
      </c>
    </row>
    <row r="27" customFormat="false" ht="15" hidden="false" customHeight="false" outlineLevel="0" collapsed="false">
      <c r="A27" s="5" t="s">
        <v>554</v>
      </c>
      <c r="B27" s="0" t="s">
        <v>252</v>
      </c>
      <c r="C27" s="16" t="n">
        <f aca="false">C132</f>
        <v>471.3</v>
      </c>
      <c r="D27" s="16" t="n">
        <f aca="false">D132</f>
        <v>751.2</v>
      </c>
      <c r="E27" s="16" t="n">
        <f aca="false">E132</f>
        <v>900.497182193768</v>
      </c>
      <c r="F27" s="16" t="n">
        <f aca="false">F132</f>
        <v>720.397745755014</v>
      </c>
      <c r="G27" s="16" t="n">
        <f aca="false">G132</f>
        <v>720.397745755014</v>
      </c>
    </row>
    <row r="28" customFormat="false" ht="15" hidden="false" customHeight="false" outlineLevel="0" collapsed="false">
      <c r="A28" s="5" t="s">
        <v>506</v>
      </c>
      <c r="B28" s="0" t="s">
        <v>69</v>
      </c>
      <c r="C28" s="10" t="n">
        <f aca="false">C135</f>
        <v>0.633012007441231</v>
      </c>
      <c r="D28" s="10" t="n">
        <f aca="false">D135</f>
        <v>0.646641373801917</v>
      </c>
      <c r="E28" s="10" t="n">
        <f aca="false">E135</f>
        <v>0.629272609966815</v>
      </c>
      <c r="F28" s="10" t="n">
        <f aca="false">F135</f>
        <v>0.618697912038107</v>
      </c>
      <c r="G28" s="10" t="n">
        <f aca="false">G135</f>
        <v>0.619719906164053</v>
      </c>
    </row>
    <row r="29" customFormat="false" ht="15" hidden="false" customHeight="false" outlineLevel="0" collapsed="false">
      <c r="A29" s="5" t="s">
        <v>510</v>
      </c>
      <c r="B29" s="0" t="s">
        <v>252</v>
      </c>
      <c r="C29" s="16" t="n">
        <f aca="false">C138</f>
        <v>173.1</v>
      </c>
      <c r="D29" s="16" t="n">
        <f aca="false">D138</f>
        <v>424.5435</v>
      </c>
      <c r="E29" s="16" t="n">
        <f aca="false">E138</f>
        <v>369.077510441446</v>
      </c>
      <c r="F29" s="16" t="n">
        <f aca="false">F138</f>
        <v>315.333564093671</v>
      </c>
      <c r="G29" s="16" t="n">
        <f aca="false">G138</f>
        <v>323.073867949005</v>
      </c>
    </row>
    <row r="30" customFormat="false" ht="15" hidden="false" customHeight="false" outlineLevel="0" collapsed="false">
      <c r="A30" s="5" t="s">
        <v>555</v>
      </c>
      <c r="B30" s="0" t="s">
        <v>69</v>
      </c>
      <c r="C30" s="10" t="n">
        <f aca="false">C139</f>
        <v>0.292744799594115</v>
      </c>
      <c r="D30" s="10" t="n">
        <f aca="false">D139</f>
        <v>0.423865315495208</v>
      </c>
      <c r="E30" s="10" t="n">
        <f aca="false">E139</f>
        <v>0.396379235088588</v>
      </c>
      <c r="F30" s="10" t="n">
        <f aca="false">F139</f>
        <v>0.371753904025438</v>
      </c>
      <c r="G30" s="10" t="n">
        <f aca="false">G139</f>
        <v>0.375150004389754</v>
      </c>
    </row>
    <row r="31" customFormat="false" ht="15" hidden="false" customHeight="false" outlineLevel="0" collapsed="false">
      <c r="A31" s="5" t="s">
        <v>515</v>
      </c>
      <c r="B31" s="0" t="s">
        <v>252</v>
      </c>
      <c r="C31" s="16" t="n">
        <f aca="false">C140</f>
        <v>131.6</v>
      </c>
      <c r="D31" s="16" t="n">
        <f aca="false">D140</f>
        <v>348.2641275</v>
      </c>
      <c r="E31" s="16" t="n">
        <f aca="false">E140</f>
        <v>301.952046531851</v>
      </c>
      <c r="F31" s="16" t="n">
        <f aca="false">F140</f>
        <v>255.463532941025</v>
      </c>
      <c r="G31" s="16" t="n">
        <f aca="false">G140</f>
        <v>262.15889577589</v>
      </c>
    </row>
    <row r="32" customFormat="false" ht="15" hidden="false" customHeight="false" outlineLevel="0" collapsed="false">
      <c r="A32" s="0" t="s">
        <v>556</v>
      </c>
      <c r="B32" s="0" t="s">
        <v>271</v>
      </c>
      <c r="C32" s="18" t="n">
        <f aca="false">C141</f>
        <v>1.66</v>
      </c>
      <c r="D32" s="18" t="n">
        <f aca="false">D141</f>
        <v>4.3364299400653</v>
      </c>
      <c r="E32" s="18" t="n">
        <f aca="false">E141</f>
        <v>3.74623341312837</v>
      </c>
      <c r="F32" s="18" t="n">
        <f aca="false">F141</f>
        <v>3.16946360831683</v>
      </c>
      <c r="G32" s="18" t="n">
        <f aca="false">G141</f>
        <v>3.252531076324</v>
      </c>
    </row>
    <row r="34" customFormat="false" ht="17.15" hidden="false" customHeight="false" outlineLevel="0" collapsed="false">
      <c r="A34" s="4" t="s">
        <v>557</v>
      </c>
      <c r="C34" s="8" t="n">
        <f aca="false">ABS(D5-D15)+ABS(D5-D25)+ABS(D12-D32)</f>
        <v>0</v>
      </c>
    </row>
    <row r="40" customFormat="false" ht="17.15" hidden="false" customHeight="false" outlineLevel="0" collapsed="false">
      <c r="A40" s="4" t="s">
        <v>558</v>
      </c>
    </row>
    <row r="41" customFormat="false" ht="15" hidden="false" customHeight="false" outlineLevel="0" collapsed="false">
      <c r="A41" s="6" t="s">
        <v>21</v>
      </c>
      <c r="B41" s="6" t="s">
        <v>22</v>
      </c>
      <c r="C41" s="14" t="s">
        <v>524</v>
      </c>
      <c r="D41" s="14" t="s">
        <v>525</v>
      </c>
      <c r="E41" s="14" t="s">
        <v>526</v>
      </c>
      <c r="F41" s="14" t="s">
        <v>527</v>
      </c>
      <c r="G41" s="14" t="s">
        <v>528</v>
      </c>
      <c r="H41" s="14" t="s">
        <v>529</v>
      </c>
      <c r="I41" s="6" t="s">
        <v>427</v>
      </c>
    </row>
    <row r="42" customFormat="false" ht="17.15" hidden="false" customHeight="false" outlineLevel="0" collapsed="false">
      <c r="A42" s="1" t="s">
        <v>559</v>
      </c>
    </row>
    <row r="43" customFormat="false" ht="17.15" hidden="false" customHeight="false" outlineLevel="0" collapsed="false">
      <c r="A43" s="0" t="s">
        <v>560</v>
      </c>
      <c r="B43" s="0" t="s">
        <v>32</v>
      </c>
      <c r="C43" s="18" t="n">
        <f aca="false">hsA_25</f>
        <v>2.22511470588235</v>
      </c>
      <c r="D43" s="18" t="n">
        <f aca="false">hsA_26</f>
        <v>3.782695</v>
      </c>
      <c r="E43" s="18" t="n">
        <f aca="false">hsA_27</f>
        <v>5.86317725</v>
      </c>
      <c r="F43" s="18" t="n">
        <f aca="false">hsA_28</f>
        <v>8.5016070125</v>
      </c>
      <c r="G43" s="18" t="n">
        <f aca="false">hsA_29</f>
        <v>11.477169466875</v>
      </c>
      <c r="H43" s="18" t="n">
        <f aca="false">G43*(1+g_tail)</f>
        <v>12.6248864135625</v>
      </c>
      <c r="I43" s="8" t="s">
        <v>561</v>
      </c>
    </row>
    <row r="44" customFormat="false" ht="17.15" hidden="false" customHeight="false" outlineLevel="0" collapsed="false">
      <c r="A44" s="0" t="s">
        <v>562</v>
      </c>
      <c r="B44" s="0" t="s">
        <v>563</v>
      </c>
      <c r="C44" s="20" t="n">
        <f aca="false">den_25</f>
        <v>24</v>
      </c>
      <c r="D44" s="20" t="n">
        <f aca="false">den_26</f>
        <v>24</v>
      </c>
      <c r="E44" s="20" t="n">
        <f aca="false">den_27</f>
        <v>26</v>
      </c>
      <c r="F44" s="20" t="n">
        <f aca="false">den_28</f>
        <v>28</v>
      </c>
      <c r="G44" s="20" t="n">
        <f aca="false">den_29</f>
        <v>30</v>
      </c>
      <c r="H44" s="20" t="n">
        <f aca="false">den_30</f>
        <v>32</v>
      </c>
    </row>
    <row r="45" customFormat="false" ht="17.15" hidden="false" customHeight="false" outlineLevel="0" collapsed="false">
      <c r="A45" s="5" t="s">
        <v>564</v>
      </c>
      <c r="B45" s="5" t="s">
        <v>533</v>
      </c>
      <c r="C45" s="19" t="n">
        <f aca="false">C43*8000/C44</f>
        <v>741.704901960783</v>
      </c>
      <c r="D45" s="19" t="n">
        <f aca="false">D43*8000/D44</f>
        <v>1260.89833333333</v>
      </c>
      <c r="E45" s="19" t="n">
        <f aca="false">E43*8000/E44</f>
        <v>1804.05453846154</v>
      </c>
      <c r="F45" s="19" t="n">
        <f aca="false">F43*8000/F44</f>
        <v>2429.030575</v>
      </c>
      <c r="G45" s="19" t="n">
        <f aca="false">G43*8000/G44</f>
        <v>3060.5785245</v>
      </c>
      <c r="H45" s="19" t="n">
        <f aca="false">H43*8000/H44</f>
        <v>3156.22160339063</v>
      </c>
      <c r="I45" s="8" t="s">
        <v>565</v>
      </c>
    </row>
    <row r="46" customFormat="false" ht="15" hidden="false" customHeight="false" outlineLevel="0" collapsed="false">
      <c r="A46" s="5" t="s">
        <v>566</v>
      </c>
      <c r="B46" s="5" t="s">
        <v>96</v>
      </c>
      <c r="C46" s="20" t="n">
        <f aca="false">stk_25</f>
        <v>10</v>
      </c>
      <c r="D46" s="20" t="n">
        <f aca="false">stk_26</f>
        <v>12</v>
      </c>
      <c r="E46" s="20" t="n">
        <f aca="false">stk_27</f>
        <v>12.5</v>
      </c>
      <c r="F46" s="20" t="n">
        <f aca="false">stk_28</f>
        <v>14</v>
      </c>
      <c r="G46" s="20" t="n">
        <f aca="false">stk_29</f>
        <v>15</v>
      </c>
      <c r="H46" s="20" t="n">
        <f aca="false">stk_30</f>
        <v>16</v>
      </c>
    </row>
    <row r="47" customFormat="false" ht="15" hidden="false" customHeight="false" outlineLevel="0" collapsed="false">
      <c r="A47" s="5" t="s">
        <v>567</v>
      </c>
      <c r="B47" s="0" t="s">
        <v>116</v>
      </c>
      <c r="C47" s="21" t="n">
        <f aca="false">1+beta*(C46-$C46)/4</f>
        <v>1</v>
      </c>
      <c r="D47" s="21" t="n">
        <f aca="false">1+beta*(D46-$C46)/4</f>
        <v>1.05</v>
      </c>
      <c r="E47" s="21" t="n">
        <f aca="false">1+beta*(E46-$C46)/4</f>
        <v>1.0625</v>
      </c>
      <c r="F47" s="21" t="n">
        <f aca="false">1+beta*(F46-$C46)/4</f>
        <v>1.1</v>
      </c>
      <c r="G47" s="21" t="n">
        <f aca="false">1+beta*(G46-$C46)/4</f>
        <v>1.125</v>
      </c>
      <c r="H47" s="21" t="n">
        <f aca="false">1+beta*(H46-$C46)/4</f>
        <v>1.15</v>
      </c>
    </row>
    <row r="48" customFormat="false" ht="17.15" hidden="false" customHeight="false" outlineLevel="0" collapsed="false">
      <c r="A48" s="5" t="s">
        <v>568</v>
      </c>
      <c r="B48" s="0" t="s">
        <v>69</v>
      </c>
      <c r="C48" s="10" t="n">
        <f aca="false">hbp_25_hi</f>
        <v>0</v>
      </c>
      <c r="D48" s="10" t="n">
        <f aca="false">hbp_26_hi</f>
        <v>0</v>
      </c>
      <c r="E48" s="10" t="n">
        <f aca="false">hbp_27_hi</f>
        <v>0.05</v>
      </c>
      <c r="F48" s="10" t="n">
        <f aca="false">hbp_28_hi</f>
        <v>0.15</v>
      </c>
      <c r="G48" s="10" t="n">
        <f aca="false">hbp_29_hi</f>
        <v>0.3</v>
      </c>
      <c r="H48" s="10" t="n">
        <f aca="false">hbp_30_hi</f>
        <v>0.4</v>
      </c>
      <c r="I48" s="5" t="s">
        <v>569</v>
      </c>
    </row>
    <row r="49" customFormat="false" ht="17.15" hidden="false" customHeight="false" outlineLevel="0" collapsed="false">
      <c r="A49" s="5" t="s">
        <v>570</v>
      </c>
      <c r="B49" s="5" t="s">
        <v>571</v>
      </c>
      <c r="C49" s="19" t="n">
        <f aca="false">C45*C47*C48</f>
        <v>0</v>
      </c>
      <c r="D49" s="19" t="n">
        <f aca="false">D45*D47*D48</f>
        <v>0</v>
      </c>
      <c r="E49" s="19" t="n">
        <f aca="false">E45*E47*E48</f>
        <v>95.8403973557692</v>
      </c>
      <c r="F49" s="19" t="n">
        <f aca="false">F45*F47*F48</f>
        <v>400.790044875</v>
      </c>
      <c r="G49" s="19" t="n">
        <f aca="false">G45*G47*G48</f>
        <v>1032.94525201875</v>
      </c>
      <c r="H49" s="19" t="n">
        <f aca="false">H45*H47*H48</f>
        <v>1451.86193755969</v>
      </c>
    </row>
    <row r="50" customFormat="false" ht="17.15" hidden="false" customHeight="false" outlineLevel="0" collapsed="false">
      <c r="A50" s="5" t="s">
        <v>572</v>
      </c>
      <c r="B50" s="5" t="s">
        <v>390</v>
      </c>
      <c r="C50" s="19" t="n">
        <f aca="false">C49/thr</f>
        <v>0</v>
      </c>
      <c r="D50" s="19" t="n">
        <f aca="false">D49/thr</f>
        <v>0</v>
      </c>
      <c r="E50" s="19" t="n">
        <f aca="false">E49/thr</f>
        <v>15.6295494709343</v>
      </c>
      <c r="F50" s="19" t="n">
        <f aca="false">F49/thr</f>
        <v>65.3604117539139</v>
      </c>
      <c r="G50" s="19" t="n">
        <f aca="false">G49/thr</f>
        <v>168.451606656678</v>
      </c>
      <c r="H50" s="19" t="n">
        <f aca="false">H49/thr</f>
        <v>236.768091578553</v>
      </c>
    </row>
    <row r="51" customFormat="false" ht="17.15" hidden="false" customHeight="false" outlineLevel="0" collapsed="false">
      <c r="A51" s="5" t="s">
        <v>573</v>
      </c>
      <c r="B51" s="5" t="s">
        <v>390</v>
      </c>
      <c r="C51" s="19" t="n">
        <f aca="false">MAX(0,D50-C50)+dlt*C50</f>
        <v>0</v>
      </c>
      <c r="D51" s="19" t="n">
        <f aca="false">MAX(0,E50-D50)+dlt*D50</f>
        <v>15.6295494709343</v>
      </c>
      <c r="E51" s="19" t="n">
        <f aca="false">MAX(0,F50-E50)+dlt*E50</f>
        <v>51.293817230073</v>
      </c>
      <c r="F51" s="19" t="n">
        <f aca="false">MAX(0,G50-F50)+dlt*F50</f>
        <v>109.627236078156</v>
      </c>
      <c r="G51" s="19" t="n">
        <f aca="false">MAX(0,H50-G50)+dlt*G50</f>
        <v>85.1616455875428</v>
      </c>
      <c r="I51" s="5" t="s">
        <v>574</v>
      </c>
    </row>
    <row r="52" customFormat="false" ht="17.15" hidden="false" customHeight="false" outlineLevel="0" collapsed="false">
      <c r="A52" s="1" t="s">
        <v>575</v>
      </c>
    </row>
    <row r="53" customFormat="false" ht="17.15" hidden="false" customHeight="false" outlineLevel="0" collapsed="false">
      <c r="A53" s="0" t="s">
        <v>576</v>
      </c>
      <c r="B53" s="5" t="s">
        <v>146</v>
      </c>
      <c r="D53" s="19" t="n">
        <f aca="false">cow_26*1</f>
        <v>1107.85762580894</v>
      </c>
      <c r="E53" s="19" t="n">
        <f aca="false">cow_27*1</f>
        <v>2096.42857142857</v>
      </c>
      <c r="F53" s="19" t="n">
        <f aca="false">cow_28*um28_A</f>
        <v>2620.08928571429</v>
      </c>
      <c r="G53" s="19" t="n">
        <f aca="false">cow_29*um29_A</f>
        <v>3013.32589285714</v>
      </c>
      <c r="H53" s="19" t="n">
        <f aca="false">G53*(1+g_tail)</f>
        <v>3314.65848214285</v>
      </c>
      <c r="I53" s="8" t="s">
        <v>577</v>
      </c>
    </row>
    <row r="54" customFormat="false" ht="17.15" hidden="false" customHeight="false" outlineLevel="0" collapsed="false">
      <c r="A54" s="5" t="s">
        <v>578</v>
      </c>
      <c r="B54" s="0" t="s">
        <v>69</v>
      </c>
      <c r="D54" s="10" t="n">
        <f aca="false">attA_26</f>
        <v>0.08</v>
      </c>
      <c r="E54" s="10" t="n">
        <f aca="false">attA_27</f>
        <v>0.11</v>
      </c>
      <c r="F54" s="10" t="n">
        <f aca="false">attA_28</f>
        <v>0.18</v>
      </c>
      <c r="G54" s="10" t="n">
        <f aca="false">attA_29</f>
        <v>0.26</v>
      </c>
      <c r="H54" s="10" t="n">
        <f aca="false">attA_30</f>
        <v>0.34</v>
      </c>
    </row>
    <row r="55" customFormat="false" ht="15" hidden="false" customHeight="false" outlineLevel="0" collapsed="false">
      <c r="A55" s="5" t="s">
        <v>579</v>
      </c>
      <c r="B55" s="5" t="s">
        <v>539</v>
      </c>
      <c r="D55" s="16" t="n">
        <f aca="false">D53*D54</f>
        <v>88.6286100647152</v>
      </c>
      <c r="E55" s="16" t="n">
        <f aca="false">E53*E54</f>
        <v>230.607142857143</v>
      </c>
      <c r="F55" s="16" t="n">
        <f aca="false">F53*F54</f>
        <v>471.616071428572</v>
      </c>
      <c r="G55" s="16" t="n">
        <f aca="false">G53*G54</f>
        <v>783.464732142856</v>
      </c>
      <c r="H55" s="16" t="n">
        <f aca="false">H53*H54</f>
        <v>1126.98388392857</v>
      </c>
    </row>
    <row r="56" customFormat="false" ht="17.15" hidden="false" customHeight="false" outlineLevel="0" collapsed="false">
      <c r="A56" s="5" t="s">
        <v>580</v>
      </c>
      <c r="B56" s="5" t="s">
        <v>539</v>
      </c>
      <c r="D56" s="16" t="n">
        <f aca="false">MAX(0,E55-D55)+dlt*D55</f>
        <v>150.841393798899</v>
      </c>
      <c r="E56" s="16" t="n">
        <f aca="false">MAX(0,F55-E55)+dlt*E55</f>
        <v>264.069642857144</v>
      </c>
      <c r="F56" s="16" t="n">
        <f aca="false">MAX(0,G55-F55)+dlt*F55</f>
        <v>359.010267857141</v>
      </c>
      <c r="G56" s="16" t="n">
        <f aca="false">MAX(0,H55-G55)+dlt*G55</f>
        <v>421.865625</v>
      </c>
    </row>
    <row r="57" customFormat="false" ht="17.15" hidden="false" customHeight="false" outlineLevel="0" collapsed="false">
      <c r="A57" s="1" t="s">
        <v>581</v>
      </c>
    </row>
    <row r="58" customFormat="false" ht="17.15" hidden="false" customHeight="false" outlineLevel="0" collapsed="false">
      <c r="A58" s="0" t="s">
        <v>582</v>
      </c>
      <c r="B58" s="0" t="s">
        <v>252</v>
      </c>
      <c r="C58" s="16" t="n">
        <f aca="false">0</f>
        <v>0</v>
      </c>
      <c r="D58" s="16" t="n">
        <f aca="false">hbm26</f>
        <v>0</v>
      </c>
      <c r="E58" s="16" t="n">
        <f aca="false">E51*asp*shm_A</f>
        <v>76.9407258451095</v>
      </c>
      <c r="F58" s="16" t="n">
        <f aca="false">F51*asp*shm_A</f>
        <v>164.440854117233</v>
      </c>
      <c r="G58" s="16" t="n">
        <f aca="false">G51*asp*shm_A</f>
        <v>127.742468381314</v>
      </c>
      <c r="I58" s="8" t="s">
        <v>583</v>
      </c>
    </row>
    <row r="59" customFormat="false" ht="17.15" hidden="false" customHeight="false" outlineLevel="0" collapsed="false">
      <c r="A59" s="5" t="s">
        <v>584</v>
      </c>
      <c r="B59" s="0" t="s">
        <v>252</v>
      </c>
      <c r="C59" s="16" t="n">
        <f aca="false">hb25</f>
        <v>120</v>
      </c>
      <c r="D59" s="16" t="n">
        <f aca="false">rev26*hb_sh26-hbm26</f>
        <v>250.4</v>
      </c>
      <c r="E59" s="16" t="n">
        <f aca="false">$D60*E56*shl_A</f>
        <v>438.361360274778</v>
      </c>
      <c r="F59" s="16" t="n">
        <f aca="false">$D60*F56*shl_A</f>
        <v>595.964866191023</v>
      </c>
      <c r="G59" s="16" t="n">
        <f aca="false">$D60*G56*shl_A</f>
        <v>700.306128441323</v>
      </c>
      <c r="I59" s="8" t="s">
        <v>585</v>
      </c>
    </row>
    <row r="60" customFormat="false" ht="17.15" hidden="false" customHeight="false" outlineLevel="0" collapsed="false">
      <c r="A60" s="5" t="s">
        <v>586</v>
      </c>
      <c r="B60" s="0" t="s">
        <v>587</v>
      </c>
      <c r="D60" s="21" t="n">
        <f aca="false">D59/D56</f>
        <v>1.66002178641913</v>
      </c>
      <c r="I60" s="5" t="s">
        <v>588</v>
      </c>
    </row>
    <row r="61" customFormat="false" ht="15" hidden="false" customHeight="false" outlineLevel="0" collapsed="false">
      <c r="A61" s="5" t="s">
        <v>589</v>
      </c>
      <c r="B61" s="0" t="s">
        <v>252</v>
      </c>
      <c r="C61" s="16" t="n">
        <f aca="false">C58+C59</f>
        <v>120</v>
      </c>
      <c r="D61" s="16" t="n">
        <f aca="false">D58+D59</f>
        <v>250.4</v>
      </c>
      <c r="E61" s="16" t="n">
        <f aca="false">E58+E59</f>
        <v>515.302086119887</v>
      </c>
      <c r="F61" s="16" t="n">
        <f aca="false">F58+F59</f>
        <v>760.405720308256</v>
      </c>
      <c r="G61" s="16" t="n">
        <f aca="false">G58+G59</f>
        <v>828.048596822637</v>
      </c>
    </row>
    <row r="62" customFormat="false" ht="17.15" hidden="false" customHeight="false" outlineLevel="0" collapsed="false">
      <c r="A62" s="5" t="s">
        <v>590</v>
      </c>
      <c r="B62" s="0" t="s">
        <v>252</v>
      </c>
      <c r="C62" s="16" t="n">
        <f aca="false">a25_rev-hb25</f>
        <v>471.3</v>
      </c>
      <c r="D62" s="16" t="n">
        <f aca="false">rev26-D61</f>
        <v>751.2</v>
      </c>
      <c r="E62" s="16" t="n">
        <f aca="false">D62*(1+el*eqgA_27)</f>
        <v>900.497182193768</v>
      </c>
      <c r="F62" s="16" t="n">
        <f aca="false">E62*(1+el*eqgA_28)</f>
        <v>1015.22529871935</v>
      </c>
      <c r="G62" s="16" t="n">
        <f aca="false">F62*(1+el*eqgA_29)</f>
        <v>1075.58315674599</v>
      </c>
      <c r="I62" s="8" t="s">
        <v>591</v>
      </c>
    </row>
    <row r="63" customFormat="false" ht="15" hidden="false" customHeight="false" outlineLevel="0" collapsed="false">
      <c r="A63" s="5" t="s">
        <v>499</v>
      </c>
      <c r="B63" s="0" t="s">
        <v>252</v>
      </c>
      <c r="C63" s="16" t="n">
        <f aca="false">C61+C62</f>
        <v>591.3</v>
      </c>
      <c r="D63" s="16" t="n">
        <f aca="false">D61+D62</f>
        <v>1001.6</v>
      </c>
      <c r="E63" s="16" t="n">
        <f aca="false">E61+E62</f>
        <v>1415.79926831366</v>
      </c>
      <c r="F63" s="16" t="n">
        <f aca="false">F61+F62</f>
        <v>1775.63101902761</v>
      </c>
      <c r="G63" s="16" t="n">
        <f aca="false">G61+G62</f>
        <v>1903.63175356863</v>
      </c>
    </row>
    <row r="64" customFormat="false" ht="15" hidden="false" customHeight="false" outlineLevel="0" collapsed="false">
      <c r="A64" s="5" t="s">
        <v>592</v>
      </c>
      <c r="B64" s="0" t="s">
        <v>69</v>
      </c>
      <c r="C64" s="10" t="n">
        <f aca="false">C61/C63</f>
        <v>0.202942668696093</v>
      </c>
      <c r="D64" s="10" t="n">
        <f aca="false">D61/D63</f>
        <v>0.25</v>
      </c>
      <c r="E64" s="10" t="n">
        <f aca="false">E61/E63</f>
        <v>0.363965498254324</v>
      </c>
      <c r="F64" s="10" t="n">
        <f aca="false">F61/F63</f>
        <v>0.428245346110634</v>
      </c>
      <c r="G64" s="10" t="n">
        <f aca="false">G61/G63</f>
        <v>0.434983601881163</v>
      </c>
    </row>
    <row r="65" customFormat="false" ht="17.15" hidden="false" customHeight="false" outlineLevel="0" collapsed="false">
      <c r="A65" s="5" t="s">
        <v>506</v>
      </c>
      <c r="B65" s="0" t="s">
        <v>69</v>
      </c>
      <c r="C65" s="10" t="n">
        <f aca="false">a25_gp/a25_rev</f>
        <v>0.633012007441231</v>
      </c>
      <c r="D65" s="10" t="n">
        <f aca="false">gp26/rev26</f>
        <v>0.646641373801917</v>
      </c>
      <c r="E65" s="10" t="n">
        <f aca="false">$D65+gm_prem*(E64-$D64)+0</f>
        <v>0.655758613662263</v>
      </c>
      <c r="F65" s="10" t="n">
        <f aca="false">$D65+gm_prem*(F64-$D64)+0</f>
        <v>0.660901001490768</v>
      </c>
      <c r="G65" s="10" t="n">
        <f aca="false">$D65+gm_prem*(G64-$D64)+0</f>
        <v>0.66144006195241</v>
      </c>
      <c r="I65" s="8" t="s">
        <v>593</v>
      </c>
    </row>
    <row r="66" customFormat="false" ht="15" hidden="false" customHeight="false" outlineLevel="0" collapsed="false">
      <c r="A66" s="5" t="s">
        <v>502</v>
      </c>
      <c r="B66" s="0" t="s">
        <v>252</v>
      </c>
      <c r="C66" s="16" t="n">
        <f aca="false">a25_gp</f>
        <v>374.3</v>
      </c>
      <c r="D66" s="16" t="n">
        <f aca="false">gp26</f>
        <v>647.676</v>
      </c>
      <c r="E66" s="16" t="n">
        <f aca="false">E63*E65</f>
        <v>928.422565413409</v>
      </c>
      <c r="F66" s="16" t="n">
        <f aca="false">F63*F65</f>
        <v>1173.51631875342</v>
      </c>
      <c r="G66" s="16" t="n">
        <f aca="false">G63*G65</f>
        <v>1259.13830501501</v>
      </c>
    </row>
    <row r="67" customFormat="false" ht="17.15" hidden="false" customHeight="false" outlineLevel="0" collapsed="false">
      <c r="A67" s="5" t="s">
        <v>594</v>
      </c>
      <c r="B67" s="0" t="s">
        <v>252</v>
      </c>
      <c r="C67" s="16" t="n">
        <f aca="false">a25_opx</f>
        <v>201.2</v>
      </c>
      <c r="D67" s="16" t="n">
        <f aca="false">opx26</f>
        <v>223.1325</v>
      </c>
      <c r="E67" s="16" t="n">
        <f aca="false">opex_fix+opex_var*E63</f>
        <v>260.041972139376</v>
      </c>
      <c r="F67" s="16" t="n">
        <f aca="false">opex_fix+opex_var*F63</f>
        <v>292.106731770439</v>
      </c>
      <c r="G67" s="16" t="n">
        <f aca="false">opex_fix+opex_var*G63</f>
        <v>303.512931411003</v>
      </c>
      <c r="I67" s="5" t="s">
        <v>595</v>
      </c>
    </row>
    <row r="68" customFormat="false" ht="15" hidden="false" customHeight="false" outlineLevel="0" collapsed="false">
      <c r="A68" s="5" t="s">
        <v>510</v>
      </c>
      <c r="B68" s="0" t="s">
        <v>252</v>
      </c>
      <c r="C68" s="16" t="n">
        <f aca="false">C66-C67</f>
        <v>173.1</v>
      </c>
      <c r="D68" s="16" t="n">
        <f aca="false">D66-D67</f>
        <v>424.5435</v>
      </c>
      <c r="E68" s="16" t="n">
        <f aca="false">E66-E67</f>
        <v>668.380593274033</v>
      </c>
      <c r="F68" s="16" t="n">
        <f aca="false">F66-F67</f>
        <v>881.40958698298</v>
      </c>
      <c r="G68" s="16" t="n">
        <f aca="false">G66-G67</f>
        <v>955.625373604005</v>
      </c>
    </row>
    <row r="69" customFormat="false" ht="15" hidden="false" customHeight="false" outlineLevel="0" collapsed="false">
      <c r="A69" s="5" t="s">
        <v>555</v>
      </c>
      <c r="B69" s="0" t="s">
        <v>69</v>
      </c>
      <c r="C69" s="10" t="n">
        <f aca="false">C68/C63</f>
        <v>0.292744799594115</v>
      </c>
      <c r="D69" s="10" t="n">
        <f aca="false">D68/D63</f>
        <v>0.423865315495208</v>
      </c>
      <c r="E69" s="10" t="n">
        <f aca="false">E68/E63</f>
        <v>0.472087115901772</v>
      </c>
      <c r="F69" s="10" t="n">
        <f aca="false">F68/F63</f>
        <v>0.496392312106413</v>
      </c>
      <c r="G69" s="10" t="n">
        <f aca="false">G68/G63</f>
        <v>0.502001173185176</v>
      </c>
    </row>
    <row r="70" customFormat="false" ht="15" hidden="false" customHeight="false" outlineLevel="0" collapsed="false">
      <c r="A70" s="5" t="s">
        <v>515</v>
      </c>
      <c r="B70" s="0" t="s">
        <v>252</v>
      </c>
      <c r="C70" s="16" t="n">
        <f aca="false">a25_ni</f>
        <v>131.6</v>
      </c>
      <c r="D70" s="16" t="n">
        <f aca="false">ni26</f>
        <v>348.2641275</v>
      </c>
      <c r="E70" s="16" t="n">
        <f aca="false">(E68-fin)*(1-tax)</f>
        <v>560.849213182038</v>
      </c>
      <c r="F70" s="16" t="n">
        <f aca="false">(F68-fin)*(1-tax)</f>
        <v>745.119292740278</v>
      </c>
      <c r="G70" s="16" t="n">
        <f aca="false">(G68-fin)*(1-tax)</f>
        <v>809.315948167465</v>
      </c>
    </row>
    <row r="71" customFormat="false" ht="15" hidden="false" customHeight="false" outlineLevel="0" collapsed="false">
      <c r="A71" s="0" t="s">
        <v>556</v>
      </c>
      <c r="B71" s="0" t="s">
        <v>271</v>
      </c>
      <c r="C71" s="18" t="n">
        <f aca="false">a25_eps</f>
        <v>1.66</v>
      </c>
      <c r="D71" s="18" t="n">
        <f aca="false">eps26</f>
        <v>4.3364299400653</v>
      </c>
      <c r="E71" s="18" t="n">
        <f aca="false">E70/shares</f>
        <v>6.95829714115775</v>
      </c>
      <c r="F71" s="18" t="n">
        <f aca="false">F70/shares</f>
        <v>9.24448376254262</v>
      </c>
      <c r="G71" s="18" t="n">
        <f aca="false">G70/shares</f>
        <v>10.040953461406</v>
      </c>
    </row>
    <row r="72" customFormat="false" ht="17.15" hidden="false" customHeight="false" outlineLevel="0" collapsed="false">
      <c r="A72" s="5" t="s">
        <v>596</v>
      </c>
      <c r="B72" s="5" t="s">
        <v>390</v>
      </c>
      <c r="C72" s="19" t="n">
        <f aca="false">C61/asp</f>
        <v>48</v>
      </c>
      <c r="D72" s="19" t="n">
        <f aca="false">D61/asp</f>
        <v>100.16</v>
      </c>
      <c r="E72" s="19" t="n">
        <f aca="false">E61/asp</f>
        <v>206.120834447955</v>
      </c>
      <c r="F72" s="19" t="n">
        <f aca="false">F61/asp</f>
        <v>304.162288123302</v>
      </c>
      <c r="G72" s="19" t="n">
        <f aca="false">G61/asp</f>
        <v>331.219438729055</v>
      </c>
    </row>
    <row r="75" customFormat="false" ht="17.15" hidden="false" customHeight="false" outlineLevel="0" collapsed="false">
      <c r="A75" s="4" t="s">
        <v>597</v>
      </c>
    </row>
    <row r="76" customFormat="false" ht="15" hidden="false" customHeight="false" outlineLevel="0" collapsed="false">
      <c r="A76" s="6" t="s">
        <v>21</v>
      </c>
      <c r="B76" s="6" t="s">
        <v>22</v>
      </c>
      <c r="C76" s="14" t="s">
        <v>524</v>
      </c>
      <c r="D76" s="14" t="s">
        <v>525</v>
      </c>
      <c r="E76" s="14" t="s">
        <v>526</v>
      </c>
      <c r="F76" s="14" t="s">
        <v>527</v>
      </c>
      <c r="G76" s="14" t="s">
        <v>528</v>
      </c>
      <c r="H76" s="14" t="s">
        <v>529</v>
      </c>
      <c r="I76" s="6" t="s">
        <v>427</v>
      </c>
    </row>
    <row r="77" customFormat="false" ht="17.15" hidden="false" customHeight="false" outlineLevel="0" collapsed="false">
      <c r="A77" s="1" t="s">
        <v>559</v>
      </c>
    </row>
    <row r="78" customFormat="false" ht="17.15" hidden="false" customHeight="false" outlineLevel="0" collapsed="false">
      <c r="A78" s="0" t="s">
        <v>560</v>
      </c>
      <c r="B78" s="0" t="s">
        <v>32</v>
      </c>
      <c r="C78" s="18" t="n">
        <f aca="false">hsB_25</f>
        <v>2.22511470588235</v>
      </c>
      <c r="D78" s="18" t="n">
        <f aca="false">hsB_26</f>
        <v>3.782695</v>
      </c>
      <c r="E78" s="18" t="n">
        <f aca="false">hsB_27</f>
        <v>5.86317725</v>
      </c>
      <c r="F78" s="18" t="n">
        <f aca="false">hsB_28</f>
        <v>8.22296</v>
      </c>
      <c r="G78" s="18" t="n">
        <f aca="false">hsB_29</f>
        <v>11.3579635</v>
      </c>
      <c r="H78" s="18" t="n">
        <f aca="false">G78*(1+g_tail)</f>
        <v>12.49375985</v>
      </c>
      <c r="I78" s="8" t="s">
        <v>561</v>
      </c>
    </row>
    <row r="79" customFormat="false" ht="17.15" hidden="false" customHeight="false" outlineLevel="0" collapsed="false">
      <c r="A79" s="0" t="s">
        <v>562</v>
      </c>
      <c r="B79" s="0" t="s">
        <v>563</v>
      </c>
      <c r="C79" s="20" t="n">
        <f aca="false">den_25</f>
        <v>24</v>
      </c>
      <c r="D79" s="20" t="n">
        <f aca="false">den_26</f>
        <v>24</v>
      </c>
      <c r="E79" s="20" t="n">
        <f aca="false">den_27</f>
        <v>26</v>
      </c>
      <c r="F79" s="20" t="n">
        <f aca="false">den_28</f>
        <v>28</v>
      </c>
      <c r="G79" s="20" t="n">
        <f aca="false">den_29</f>
        <v>30</v>
      </c>
      <c r="H79" s="20" t="n">
        <f aca="false">den_30</f>
        <v>32</v>
      </c>
    </row>
    <row r="80" customFormat="false" ht="17.15" hidden="false" customHeight="false" outlineLevel="0" collapsed="false">
      <c r="A80" s="5" t="s">
        <v>564</v>
      </c>
      <c r="B80" s="5" t="s">
        <v>533</v>
      </c>
      <c r="C80" s="19" t="n">
        <f aca="false">C78*8000/C79</f>
        <v>741.704901960783</v>
      </c>
      <c r="D80" s="19" t="n">
        <f aca="false">D78*8000/D79</f>
        <v>1260.89833333333</v>
      </c>
      <c r="E80" s="19" t="n">
        <f aca="false">E78*8000/E79</f>
        <v>1804.05453846154</v>
      </c>
      <c r="F80" s="19" t="n">
        <f aca="false">F78*8000/F79</f>
        <v>2349.41714285714</v>
      </c>
      <c r="G80" s="19" t="n">
        <f aca="false">G78*8000/G79</f>
        <v>3028.79026666667</v>
      </c>
      <c r="H80" s="19" t="n">
        <f aca="false">H78*8000/H79</f>
        <v>3123.4399625</v>
      </c>
      <c r="I80" s="8" t="s">
        <v>565</v>
      </c>
    </row>
    <row r="81" customFormat="false" ht="15" hidden="false" customHeight="false" outlineLevel="0" collapsed="false">
      <c r="A81" s="5" t="s">
        <v>566</v>
      </c>
      <c r="B81" s="5" t="s">
        <v>96</v>
      </c>
      <c r="C81" s="20" t="n">
        <f aca="false">stk_25</f>
        <v>10</v>
      </c>
      <c r="D81" s="20" t="n">
        <f aca="false">stk_26</f>
        <v>12</v>
      </c>
      <c r="E81" s="20" t="n">
        <f aca="false">stk_27</f>
        <v>12.5</v>
      </c>
      <c r="F81" s="20" t="n">
        <f aca="false">stk_28</f>
        <v>14</v>
      </c>
      <c r="G81" s="20" t="n">
        <f aca="false">stk_29</f>
        <v>15</v>
      </c>
      <c r="H81" s="20" t="n">
        <f aca="false">stk_30</f>
        <v>16</v>
      </c>
    </row>
    <row r="82" customFormat="false" ht="15" hidden="false" customHeight="false" outlineLevel="0" collapsed="false">
      <c r="A82" s="5" t="s">
        <v>567</v>
      </c>
      <c r="B82" s="0" t="s">
        <v>116</v>
      </c>
      <c r="C82" s="21" t="n">
        <f aca="false">1+beta*(C81-$C81)/4</f>
        <v>1</v>
      </c>
      <c r="D82" s="21" t="n">
        <f aca="false">1+beta*(D81-$C81)/4</f>
        <v>1.05</v>
      </c>
      <c r="E82" s="21" t="n">
        <f aca="false">1+beta*(E81-$C81)/4</f>
        <v>1.0625</v>
      </c>
      <c r="F82" s="21" t="n">
        <f aca="false">1+beta*(F81-$C81)/4</f>
        <v>1.1</v>
      </c>
      <c r="G82" s="21" t="n">
        <f aca="false">1+beta*(G81-$C81)/4</f>
        <v>1.125</v>
      </c>
      <c r="H82" s="21" t="n">
        <f aca="false">1+beta*(H81-$C81)/4</f>
        <v>1.15</v>
      </c>
    </row>
    <row r="83" customFormat="false" ht="17.15" hidden="false" customHeight="false" outlineLevel="0" collapsed="false">
      <c r="A83" s="5" t="s">
        <v>568</v>
      </c>
      <c r="B83" s="0" t="s">
        <v>69</v>
      </c>
      <c r="C83" s="10" t="n">
        <f aca="false">hbp_25</f>
        <v>0</v>
      </c>
      <c r="D83" s="10" t="n">
        <f aca="false">hbp_26</f>
        <v>0</v>
      </c>
      <c r="E83" s="10" t="n">
        <f aca="false">hbp_27</f>
        <v>0</v>
      </c>
      <c r="F83" s="10" t="n">
        <f aca="false">hbp_28</f>
        <v>0.05</v>
      </c>
      <c r="G83" s="10" t="n">
        <f aca="false">hbp_29</f>
        <v>0.15</v>
      </c>
      <c r="H83" s="10" t="n">
        <f aca="false">hbp_30</f>
        <v>0.25</v>
      </c>
      <c r="I83" s="5" t="s">
        <v>598</v>
      </c>
    </row>
    <row r="84" customFormat="false" ht="17.15" hidden="false" customHeight="false" outlineLevel="0" collapsed="false">
      <c r="A84" s="5" t="s">
        <v>570</v>
      </c>
      <c r="B84" s="5" t="s">
        <v>571</v>
      </c>
      <c r="C84" s="19" t="n">
        <f aca="false">C80*C82*C83</f>
        <v>0</v>
      </c>
      <c r="D84" s="19" t="n">
        <f aca="false">D80*D82*D83</f>
        <v>0</v>
      </c>
      <c r="E84" s="19" t="n">
        <f aca="false">E80*E82*E83</f>
        <v>0</v>
      </c>
      <c r="F84" s="19" t="n">
        <f aca="false">F80*F82*F83</f>
        <v>129.217942857143</v>
      </c>
      <c r="G84" s="19" t="n">
        <f aca="false">G80*G82*G83</f>
        <v>511.1083575</v>
      </c>
      <c r="H84" s="19" t="n">
        <f aca="false">H80*H82*H83</f>
        <v>897.98898921875</v>
      </c>
    </row>
    <row r="85" customFormat="false" ht="17.15" hidden="false" customHeight="false" outlineLevel="0" collapsed="false">
      <c r="A85" s="5" t="s">
        <v>572</v>
      </c>
      <c r="B85" s="5" t="s">
        <v>390</v>
      </c>
      <c r="C85" s="19" t="n">
        <f aca="false">C84/thr</f>
        <v>0</v>
      </c>
      <c r="D85" s="19" t="n">
        <f aca="false">D84/thr</f>
        <v>0</v>
      </c>
      <c r="E85" s="19" t="n">
        <f aca="false">E84/thr</f>
        <v>0</v>
      </c>
      <c r="F85" s="19" t="n">
        <f aca="false">F84/thr</f>
        <v>21.0727238840742</v>
      </c>
      <c r="G85" s="19" t="n">
        <f aca="false">G84/thr</f>
        <v>83.3510041585127</v>
      </c>
      <c r="H85" s="19" t="n">
        <f aca="false">H84/thr</f>
        <v>146.443083695165</v>
      </c>
    </row>
    <row r="86" customFormat="false" ht="17.15" hidden="false" customHeight="false" outlineLevel="0" collapsed="false">
      <c r="A86" s="5" t="s">
        <v>573</v>
      </c>
      <c r="B86" s="5" t="s">
        <v>390</v>
      </c>
      <c r="C86" s="19" t="n">
        <f aca="false">MAX(0,D85-C85)+dlt*C85</f>
        <v>0</v>
      </c>
      <c r="D86" s="19" t="n">
        <f aca="false">MAX(0,E85-D85)+dlt*D85</f>
        <v>0</v>
      </c>
      <c r="E86" s="19" t="n">
        <f aca="false">MAX(0,F85-E85)+dlt*E85</f>
        <v>21.0727238840742</v>
      </c>
      <c r="F86" s="19" t="n">
        <f aca="false">MAX(0,G85-F85)+dlt*F85</f>
        <v>64.385552662846</v>
      </c>
      <c r="G86" s="19" t="n">
        <f aca="false">MAX(0,H85-G85)+dlt*G85</f>
        <v>71.4271799525033</v>
      </c>
      <c r="I86" s="5" t="s">
        <v>574</v>
      </c>
    </row>
    <row r="87" customFormat="false" ht="17.15" hidden="false" customHeight="false" outlineLevel="0" collapsed="false">
      <c r="A87" s="1" t="s">
        <v>575</v>
      </c>
    </row>
    <row r="88" customFormat="false" ht="17.15" hidden="false" customHeight="false" outlineLevel="0" collapsed="false">
      <c r="A88" s="0" t="s">
        <v>576</v>
      </c>
      <c r="B88" s="5" t="s">
        <v>146</v>
      </c>
      <c r="D88" s="19" t="n">
        <f aca="false">cow_26*1</f>
        <v>1107.85762580894</v>
      </c>
      <c r="E88" s="19" t="n">
        <f aca="false">cow_27*1</f>
        <v>2096.42857142857</v>
      </c>
      <c r="F88" s="19" t="n">
        <f aca="false">cow_28*um28_B</f>
        <v>2096.07142857143</v>
      </c>
      <c r="G88" s="19" t="n">
        <f aca="false">cow_29*um29_B</f>
        <v>2561.32700892857</v>
      </c>
      <c r="H88" s="19" t="n">
        <f aca="false">G88*(1+g_tail)</f>
        <v>2817.45970982143</v>
      </c>
      <c r="I88" s="8" t="s">
        <v>577</v>
      </c>
    </row>
    <row r="89" customFormat="false" ht="17.15" hidden="false" customHeight="false" outlineLevel="0" collapsed="false">
      <c r="A89" s="5" t="s">
        <v>578</v>
      </c>
      <c r="B89" s="0" t="s">
        <v>69</v>
      </c>
      <c r="D89" s="10" t="n">
        <f aca="false">attB_26</f>
        <v>0.08</v>
      </c>
      <c r="E89" s="10" t="n">
        <f aca="false">attB_27</f>
        <v>0.11</v>
      </c>
      <c r="F89" s="10" t="n">
        <f aca="false">attB_28</f>
        <v>0.15</v>
      </c>
      <c r="G89" s="10" t="n">
        <f aca="false">attB_29</f>
        <v>0.2</v>
      </c>
      <c r="H89" s="10" t="n">
        <f aca="false">attB_30</f>
        <v>0.25</v>
      </c>
    </row>
    <row r="90" customFormat="false" ht="15" hidden="false" customHeight="false" outlineLevel="0" collapsed="false">
      <c r="A90" s="5" t="s">
        <v>579</v>
      </c>
      <c r="B90" s="5" t="s">
        <v>539</v>
      </c>
      <c r="D90" s="16" t="n">
        <f aca="false">D88*D89</f>
        <v>88.6286100647152</v>
      </c>
      <c r="E90" s="16" t="n">
        <f aca="false">E88*E89</f>
        <v>230.607142857143</v>
      </c>
      <c r="F90" s="16" t="n">
        <f aca="false">F88*F89</f>
        <v>314.410714285715</v>
      </c>
      <c r="G90" s="16" t="n">
        <f aca="false">G88*G89</f>
        <v>512.265401785714</v>
      </c>
      <c r="H90" s="16" t="n">
        <f aca="false">H88*H89</f>
        <v>704.364927455357</v>
      </c>
    </row>
    <row r="91" customFormat="false" ht="17.15" hidden="false" customHeight="false" outlineLevel="0" collapsed="false">
      <c r="A91" s="5" t="s">
        <v>580</v>
      </c>
      <c r="B91" s="5" t="s">
        <v>539</v>
      </c>
      <c r="D91" s="16" t="n">
        <f aca="false">MAX(0,E90-D90)+dlt*D90</f>
        <v>150.841393798899</v>
      </c>
      <c r="E91" s="16" t="n">
        <f aca="false">MAX(0,F90-E90)+dlt*E90</f>
        <v>106.864285714286</v>
      </c>
      <c r="F91" s="16" t="n">
        <f aca="false">MAX(0,G90-F90)+dlt*F90</f>
        <v>229.295758928571</v>
      </c>
      <c r="G91" s="16" t="n">
        <f aca="false">MAX(0,H90-G90)+dlt*G90</f>
        <v>243.326065848214</v>
      </c>
    </row>
    <row r="92" customFormat="false" ht="17.15" hidden="false" customHeight="false" outlineLevel="0" collapsed="false">
      <c r="A92" s="1" t="s">
        <v>581</v>
      </c>
    </row>
    <row r="93" customFormat="false" ht="17.15" hidden="false" customHeight="false" outlineLevel="0" collapsed="false">
      <c r="A93" s="0" t="s">
        <v>582</v>
      </c>
      <c r="B93" s="0" t="s">
        <v>252</v>
      </c>
      <c r="C93" s="16" t="n">
        <f aca="false">0</f>
        <v>0</v>
      </c>
      <c r="D93" s="16" t="n">
        <f aca="false">hbm26</f>
        <v>0</v>
      </c>
      <c r="E93" s="16" t="n">
        <f aca="false">E86*asp*shm_B</f>
        <v>26.3409048550927</v>
      </c>
      <c r="F93" s="16" t="n">
        <f aca="false">F86*asp*shm_B</f>
        <v>80.4819408285574</v>
      </c>
      <c r="G93" s="16" t="n">
        <f aca="false">G86*asp*shm_B</f>
        <v>89.2839749406291</v>
      </c>
      <c r="I93" s="8" t="s">
        <v>583</v>
      </c>
    </row>
    <row r="94" customFormat="false" ht="17.15" hidden="false" customHeight="false" outlineLevel="0" collapsed="false">
      <c r="A94" s="5" t="s">
        <v>584</v>
      </c>
      <c r="B94" s="0" t="s">
        <v>252</v>
      </c>
      <c r="C94" s="16" t="n">
        <f aca="false">hb25</f>
        <v>120</v>
      </c>
      <c r="D94" s="16" t="n">
        <f aca="false">rev26*hb_sh26-hbm26</f>
        <v>250.4</v>
      </c>
      <c r="E94" s="16" t="n">
        <f aca="false">$D95*E91*shl_B</f>
        <v>168.527190352042</v>
      </c>
      <c r="F94" s="16" t="n">
        <f aca="false">$D95*F91*shl_B</f>
        <v>361.604157587189</v>
      </c>
      <c r="G94" s="16" t="n">
        <f aca="false">$D95*G91*shl_B</f>
        <v>383.730241986107</v>
      </c>
      <c r="I94" s="8" t="s">
        <v>585</v>
      </c>
    </row>
    <row r="95" customFormat="false" ht="17.15" hidden="false" customHeight="false" outlineLevel="0" collapsed="false">
      <c r="A95" s="5" t="s">
        <v>586</v>
      </c>
      <c r="B95" s="0" t="s">
        <v>587</v>
      </c>
      <c r="D95" s="21" t="n">
        <f aca="false">D94/D91</f>
        <v>1.66002178641913</v>
      </c>
      <c r="I95" s="5" t="s">
        <v>588</v>
      </c>
    </row>
    <row r="96" customFormat="false" ht="15" hidden="false" customHeight="false" outlineLevel="0" collapsed="false">
      <c r="A96" s="5" t="s">
        <v>589</v>
      </c>
      <c r="B96" s="0" t="s">
        <v>252</v>
      </c>
      <c r="C96" s="16" t="n">
        <f aca="false">C93+C94</f>
        <v>120</v>
      </c>
      <c r="D96" s="16" t="n">
        <f aca="false">D93+D94</f>
        <v>250.4</v>
      </c>
      <c r="E96" s="16" t="n">
        <f aca="false">E93+E94</f>
        <v>194.868095207135</v>
      </c>
      <c r="F96" s="16" t="n">
        <f aca="false">F93+F94</f>
        <v>442.086098415747</v>
      </c>
      <c r="G96" s="16" t="n">
        <f aca="false">G93+G94</f>
        <v>473.014216926736</v>
      </c>
    </row>
    <row r="97" customFormat="false" ht="17.15" hidden="false" customHeight="false" outlineLevel="0" collapsed="false">
      <c r="A97" s="5" t="s">
        <v>590</v>
      </c>
      <c r="B97" s="0" t="s">
        <v>252</v>
      </c>
      <c r="C97" s="16" t="n">
        <f aca="false">a25_rev-hb25</f>
        <v>471.3</v>
      </c>
      <c r="D97" s="16" t="n">
        <f aca="false">rev26-D96</f>
        <v>751.2</v>
      </c>
      <c r="E97" s="16" t="n">
        <f aca="false">D97*(1+el*eqgB_27)</f>
        <v>900.497182193768</v>
      </c>
      <c r="F97" s="16" t="n">
        <f aca="false">E97*(1+el*eqgB_28)</f>
        <v>900.497182193768</v>
      </c>
      <c r="G97" s="16" t="n">
        <f aca="false">F97*(1+el*eqgB_29)</f>
        <v>855.472323084079</v>
      </c>
      <c r="I97" s="8" t="s">
        <v>591</v>
      </c>
    </row>
    <row r="98" customFormat="false" ht="15" hidden="false" customHeight="false" outlineLevel="0" collapsed="false">
      <c r="A98" s="5" t="s">
        <v>499</v>
      </c>
      <c r="B98" s="0" t="s">
        <v>252</v>
      </c>
      <c r="C98" s="16" t="n">
        <f aca="false">C96+C97</f>
        <v>591.3</v>
      </c>
      <c r="D98" s="16" t="n">
        <f aca="false">D96+D97</f>
        <v>1001.6</v>
      </c>
      <c r="E98" s="16" t="n">
        <f aca="false">E96+E97</f>
        <v>1095.3652774009</v>
      </c>
      <c r="F98" s="16" t="n">
        <f aca="false">F96+F97</f>
        <v>1342.58328060951</v>
      </c>
      <c r="G98" s="16" t="n">
        <f aca="false">G96+G97</f>
        <v>1328.48654001082</v>
      </c>
    </row>
    <row r="99" customFormat="false" ht="15" hidden="false" customHeight="false" outlineLevel="0" collapsed="false">
      <c r="A99" s="5" t="s">
        <v>592</v>
      </c>
      <c r="B99" s="0" t="s">
        <v>69</v>
      </c>
      <c r="C99" s="10" t="n">
        <f aca="false">C96/C98</f>
        <v>0.202942668696093</v>
      </c>
      <c r="D99" s="10" t="n">
        <f aca="false">D96/D98</f>
        <v>0.25</v>
      </c>
      <c r="E99" s="10" t="n">
        <f aca="false">E96/E98</f>
        <v>0.177902384919048</v>
      </c>
      <c r="F99" s="10" t="n">
        <f aca="false">F96/F98</f>
        <v>0.329280205407478</v>
      </c>
      <c r="G99" s="10" t="n">
        <f aca="false">G96/G98</f>
        <v>0.356054956283475</v>
      </c>
    </row>
    <row r="100" customFormat="false" ht="17.15" hidden="false" customHeight="false" outlineLevel="0" collapsed="false">
      <c r="A100" s="5" t="s">
        <v>506</v>
      </c>
      <c r="B100" s="0" t="s">
        <v>69</v>
      </c>
      <c r="C100" s="10" t="n">
        <f aca="false">a25_gp/a25_rev</f>
        <v>0.633012007441231</v>
      </c>
      <c r="D100" s="10" t="n">
        <f aca="false">gp26/rev26</f>
        <v>0.646641373801917</v>
      </c>
      <c r="E100" s="10" t="n">
        <f aca="false">$D100+gm_prem*(E99-$D99)+0</f>
        <v>0.640873564595441</v>
      </c>
      <c r="F100" s="10" t="n">
        <f aca="false">$D100+gm_prem*(F99-$D99)+0</f>
        <v>0.652983790234515</v>
      </c>
      <c r="G100" s="10" t="n">
        <f aca="false">$D100+gm_prem*(G99-$D99)+0</f>
        <v>0.655125770304595</v>
      </c>
      <c r="I100" s="8" t="s">
        <v>593</v>
      </c>
    </row>
    <row r="101" customFormat="false" ht="15" hidden="false" customHeight="false" outlineLevel="0" collapsed="false">
      <c r="A101" s="5" t="s">
        <v>502</v>
      </c>
      <c r="B101" s="0" t="s">
        <v>252</v>
      </c>
      <c r="C101" s="16" t="n">
        <f aca="false">a25_gp</f>
        <v>374.3</v>
      </c>
      <c r="D101" s="16" t="n">
        <f aca="false">gp26</f>
        <v>647.676</v>
      </c>
      <c r="E101" s="16" t="n">
        <f aca="false">E98*E100</f>
        <v>701.99064986199</v>
      </c>
      <c r="F101" s="16" t="n">
        <f aca="false">F98*F100</f>
        <v>876.68511927789</v>
      </c>
      <c r="G101" s="16" t="n">
        <f aca="false">G98*G100</f>
        <v>870.325767863871</v>
      </c>
    </row>
    <row r="102" customFormat="false" ht="17.15" hidden="false" customHeight="false" outlineLevel="0" collapsed="false">
      <c r="A102" s="5" t="s">
        <v>594</v>
      </c>
      <c r="B102" s="0" t="s">
        <v>252</v>
      </c>
      <c r="C102" s="16" t="n">
        <f aca="false">a25_opx</f>
        <v>201.2</v>
      </c>
      <c r="D102" s="16" t="n">
        <f aca="false">opx26</f>
        <v>223.1325</v>
      </c>
      <c r="E102" s="16" t="n">
        <f aca="false">opex_fix+opex_var*E98</f>
        <v>231.487963562163</v>
      </c>
      <c r="F102" s="16" t="n">
        <f aca="false">opex_fix+opex_var*F98</f>
        <v>253.517664481071</v>
      </c>
      <c r="G102" s="16" t="n">
        <f aca="false">opex_fix+opex_var*G98</f>
        <v>252.261497958851</v>
      </c>
      <c r="I102" s="5" t="s">
        <v>595</v>
      </c>
    </row>
    <row r="103" customFormat="false" ht="15" hidden="false" customHeight="false" outlineLevel="0" collapsed="false">
      <c r="A103" s="5" t="s">
        <v>510</v>
      </c>
      <c r="B103" s="0" t="s">
        <v>252</v>
      </c>
      <c r="C103" s="16" t="n">
        <f aca="false">C101-C102</f>
        <v>173.1</v>
      </c>
      <c r="D103" s="16" t="n">
        <f aca="false">D101-D102</f>
        <v>424.5435</v>
      </c>
      <c r="E103" s="16" t="n">
        <f aca="false">E101-E102</f>
        <v>470.502686299827</v>
      </c>
      <c r="F103" s="16" t="n">
        <f aca="false">F101-F102</f>
        <v>623.167454796819</v>
      </c>
      <c r="G103" s="16" t="n">
        <f aca="false">G101-G102</f>
        <v>618.06426990502</v>
      </c>
    </row>
    <row r="104" customFormat="false" ht="15" hidden="false" customHeight="false" outlineLevel="0" collapsed="false">
      <c r="A104" s="5" t="s">
        <v>555</v>
      </c>
      <c r="B104" s="0" t="s">
        <v>69</v>
      </c>
      <c r="C104" s="10" t="n">
        <f aca="false">C103/C98</f>
        <v>0.292744799594115</v>
      </c>
      <c r="D104" s="10" t="n">
        <f aca="false">D103/D98</f>
        <v>0.423865315495208</v>
      </c>
      <c r="E104" s="10" t="n">
        <f aca="false">E103/E98</f>
        <v>0.429539529878327</v>
      </c>
      <c r="F104" s="10" t="n">
        <f aca="false">F103/F98</f>
        <v>0.464155530459093</v>
      </c>
      <c r="G104" s="10" t="n">
        <f aca="false">G103/G98</f>
        <v>0.46523939181197</v>
      </c>
    </row>
    <row r="105" customFormat="false" ht="15" hidden="false" customHeight="false" outlineLevel="0" collapsed="false">
      <c r="A105" s="5" t="s">
        <v>515</v>
      </c>
      <c r="B105" s="0" t="s">
        <v>252</v>
      </c>
      <c r="C105" s="16" t="n">
        <f aca="false">a25_ni</f>
        <v>131.6</v>
      </c>
      <c r="D105" s="16" t="n">
        <f aca="false">ni26</f>
        <v>348.2641275</v>
      </c>
      <c r="E105" s="16" t="n">
        <f aca="false">(E103-fin)*(1-tax)</f>
        <v>389.68482364935</v>
      </c>
      <c r="F105" s="16" t="n">
        <f aca="false">(F103-fin)*(1-tax)</f>
        <v>521.739848399248</v>
      </c>
      <c r="G105" s="16" t="n">
        <f aca="false">(G103-fin)*(1-tax)</f>
        <v>517.325593467842</v>
      </c>
    </row>
    <row r="106" customFormat="false" ht="15" hidden="false" customHeight="false" outlineLevel="0" collapsed="false">
      <c r="A106" s="0" t="s">
        <v>556</v>
      </c>
      <c r="B106" s="0" t="s">
        <v>271</v>
      </c>
      <c r="C106" s="18" t="n">
        <f aca="false">a25_eps</f>
        <v>1.66</v>
      </c>
      <c r="D106" s="18" t="n">
        <f aca="false">eps26</f>
        <v>4.3364299400653</v>
      </c>
      <c r="E106" s="18" t="n">
        <f aca="false">E105/shares</f>
        <v>4.83470909938093</v>
      </c>
      <c r="F106" s="18" t="n">
        <f aca="false">F105/shares</f>
        <v>6.47307834301306</v>
      </c>
      <c r="G106" s="18" t="n">
        <f aca="false">G105/shares</f>
        <v>6.41831193388275</v>
      </c>
    </row>
    <row r="107" customFormat="false" ht="17.15" hidden="false" customHeight="false" outlineLevel="0" collapsed="false">
      <c r="A107" s="5" t="s">
        <v>596</v>
      </c>
      <c r="B107" s="5" t="s">
        <v>390</v>
      </c>
      <c r="C107" s="19" t="n">
        <f aca="false">C96/asp</f>
        <v>48</v>
      </c>
      <c r="D107" s="19" t="n">
        <f aca="false">D96/asp</f>
        <v>100.16</v>
      </c>
      <c r="E107" s="19" t="n">
        <f aca="false">E96/asp</f>
        <v>77.947238082854</v>
      </c>
      <c r="F107" s="19" t="n">
        <f aca="false">F96/asp</f>
        <v>176.834439366299</v>
      </c>
      <c r="G107" s="19" t="n">
        <f aca="false">G96/asp</f>
        <v>189.205686770694</v>
      </c>
    </row>
    <row r="110" customFormat="false" ht="17.15" hidden="false" customHeight="false" outlineLevel="0" collapsed="false">
      <c r="A110" s="4" t="s">
        <v>599</v>
      </c>
    </row>
    <row r="111" customFormat="false" ht="15" hidden="false" customHeight="false" outlineLevel="0" collapsed="false">
      <c r="A111" s="6" t="s">
        <v>21</v>
      </c>
      <c r="B111" s="6" t="s">
        <v>22</v>
      </c>
      <c r="C111" s="14" t="s">
        <v>524</v>
      </c>
      <c r="D111" s="14" t="s">
        <v>525</v>
      </c>
      <c r="E111" s="14" t="s">
        <v>526</v>
      </c>
      <c r="F111" s="14" t="s">
        <v>527</v>
      </c>
      <c r="G111" s="14" t="s">
        <v>528</v>
      </c>
      <c r="H111" s="14" t="s">
        <v>529</v>
      </c>
      <c r="I111" s="6" t="s">
        <v>427</v>
      </c>
    </row>
    <row r="112" customFormat="false" ht="17.15" hidden="false" customHeight="false" outlineLevel="0" collapsed="false">
      <c r="A112" s="1" t="s">
        <v>559</v>
      </c>
    </row>
    <row r="113" customFormat="false" ht="17.15" hidden="false" customHeight="false" outlineLevel="0" collapsed="false">
      <c r="A113" s="0" t="s">
        <v>560</v>
      </c>
      <c r="B113" s="0" t="s">
        <v>32</v>
      </c>
      <c r="C113" s="18" t="n">
        <f aca="false">hsC_25</f>
        <v>2.22511470588235</v>
      </c>
      <c r="D113" s="18" t="n">
        <f aca="false">hsC_26</f>
        <v>3.782695</v>
      </c>
      <c r="E113" s="18" t="n">
        <f aca="false">hsC_27</f>
        <v>5.86317725</v>
      </c>
      <c r="F113" s="18" t="n">
        <f aca="false">hsC_28</f>
        <v>6.16722</v>
      </c>
      <c r="G113" s="18" t="n">
        <f aca="false">hsC_29</f>
        <v>8.017386</v>
      </c>
      <c r="H113" s="18" t="n">
        <f aca="false">G113*(1+g_tail)</f>
        <v>8.8191246</v>
      </c>
      <c r="I113" s="8" t="s">
        <v>561</v>
      </c>
    </row>
    <row r="114" customFormat="false" ht="17.15" hidden="false" customHeight="false" outlineLevel="0" collapsed="false">
      <c r="A114" s="0" t="s">
        <v>562</v>
      </c>
      <c r="B114" s="0" t="s">
        <v>563</v>
      </c>
      <c r="C114" s="20" t="n">
        <f aca="false">den_25</f>
        <v>24</v>
      </c>
      <c r="D114" s="20" t="n">
        <f aca="false">den_26</f>
        <v>24</v>
      </c>
      <c r="E114" s="20" t="n">
        <f aca="false">den_27</f>
        <v>26</v>
      </c>
      <c r="F114" s="20" t="n">
        <f aca="false">den_28</f>
        <v>28</v>
      </c>
      <c r="G114" s="20" t="n">
        <f aca="false">den_29</f>
        <v>30</v>
      </c>
      <c r="H114" s="20" t="n">
        <f aca="false">den_30</f>
        <v>32</v>
      </c>
    </row>
    <row r="115" customFormat="false" ht="17.15" hidden="false" customHeight="false" outlineLevel="0" collapsed="false">
      <c r="A115" s="5" t="s">
        <v>564</v>
      </c>
      <c r="B115" s="5" t="s">
        <v>533</v>
      </c>
      <c r="C115" s="19" t="n">
        <f aca="false">C113*8000/C114</f>
        <v>741.704901960783</v>
      </c>
      <c r="D115" s="19" t="n">
        <f aca="false">D113*8000/D114</f>
        <v>1260.89833333333</v>
      </c>
      <c r="E115" s="19" t="n">
        <f aca="false">E113*8000/E114</f>
        <v>1804.05453846154</v>
      </c>
      <c r="F115" s="19" t="n">
        <f aca="false">F113*8000/F114</f>
        <v>1762.06285714286</v>
      </c>
      <c r="G115" s="19" t="n">
        <f aca="false">G113*8000/G114</f>
        <v>2137.9696</v>
      </c>
      <c r="H115" s="19" t="n">
        <f aca="false">H113*8000/H114</f>
        <v>2204.78115</v>
      </c>
      <c r="I115" s="8" t="s">
        <v>565</v>
      </c>
    </row>
    <row r="116" customFormat="false" ht="15" hidden="false" customHeight="false" outlineLevel="0" collapsed="false">
      <c r="A116" s="5" t="s">
        <v>566</v>
      </c>
      <c r="B116" s="5" t="s">
        <v>96</v>
      </c>
      <c r="C116" s="20" t="n">
        <f aca="false">stk_25</f>
        <v>10</v>
      </c>
      <c r="D116" s="20" t="n">
        <f aca="false">stk_26</f>
        <v>12</v>
      </c>
      <c r="E116" s="20" t="n">
        <f aca="false">stk_27</f>
        <v>12.5</v>
      </c>
      <c r="F116" s="20" t="n">
        <f aca="false">stk_28</f>
        <v>14</v>
      </c>
      <c r="G116" s="20" t="n">
        <f aca="false">stk_29</f>
        <v>15</v>
      </c>
      <c r="H116" s="20" t="n">
        <f aca="false">stk_30</f>
        <v>16</v>
      </c>
    </row>
    <row r="117" customFormat="false" ht="15" hidden="false" customHeight="false" outlineLevel="0" collapsed="false">
      <c r="A117" s="5" t="s">
        <v>567</v>
      </c>
      <c r="B117" s="0" t="s">
        <v>116</v>
      </c>
      <c r="C117" s="21" t="n">
        <f aca="false">1+beta*(C116-$C116)/4</f>
        <v>1</v>
      </c>
      <c r="D117" s="21" t="n">
        <f aca="false">1+beta*(D116-$C116)/4</f>
        <v>1.05</v>
      </c>
      <c r="E117" s="21" t="n">
        <f aca="false">1+beta*(E116-$C116)/4</f>
        <v>1.0625</v>
      </c>
      <c r="F117" s="21" t="n">
        <f aca="false">1+beta*(F116-$C116)/4</f>
        <v>1.1</v>
      </c>
      <c r="G117" s="21" t="n">
        <f aca="false">1+beta*(G116-$C116)/4</f>
        <v>1.125</v>
      </c>
      <c r="H117" s="21" t="n">
        <f aca="false">1+beta*(H116-$C116)/4</f>
        <v>1.15</v>
      </c>
    </row>
    <row r="118" customFormat="false" ht="17.15" hidden="false" customHeight="false" outlineLevel="0" collapsed="false">
      <c r="A118" s="5" t="s">
        <v>568</v>
      </c>
      <c r="B118" s="0" t="s">
        <v>69</v>
      </c>
      <c r="C118" s="10" t="n">
        <f aca="false">hbp_25_lo</f>
        <v>0</v>
      </c>
      <c r="D118" s="10" t="n">
        <f aca="false">hbp_26_lo</f>
        <v>0</v>
      </c>
      <c r="E118" s="10" t="n">
        <f aca="false">hbp_27_lo</f>
        <v>0</v>
      </c>
      <c r="F118" s="10" t="n">
        <f aca="false">hbp_28_lo</f>
        <v>0</v>
      </c>
      <c r="G118" s="10" t="n">
        <f aca="false">hbp_29_lo</f>
        <v>0.05</v>
      </c>
      <c r="H118" s="10" t="n">
        <f aca="false">hbp_30_lo</f>
        <v>0.1</v>
      </c>
      <c r="I118" s="5" t="s">
        <v>600</v>
      </c>
    </row>
    <row r="119" customFormat="false" ht="17.15" hidden="false" customHeight="false" outlineLevel="0" collapsed="false">
      <c r="A119" s="5" t="s">
        <v>570</v>
      </c>
      <c r="B119" s="5" t="s">
        <v>571</v>
      </c>
      <c r="C119" s="19" t="n">
        <f aca="false">C115*C117*C118</f>
        <v>0</v>
      </c>
      <c r="D119" s="19" t="n">
        <f aca="false">D115*D117*D118</f>
        <v>0</v>
      </c>
      <c r="E119" s="19" t="n">
        <f aca="false">E115*E117*E118</f>
        <v>0</v>
      </c>
      <c r="F119" s="19" t="n">
        <f aca="false">F115*F117*F118</f>
        <v>0</v>
      </c>
      <c r="G119" s="19" t="n">
        <f aca="false">G115*G117*G118</f>
        <v>120.26079</v>
      </c>
      <c r="H119" s="19" t="n">
        <f aca="false">H115*H117*H118</f>
        <v>253.54983225</v>
      </c>
    </row>
    <row r="120" customFormat="false" ht="17.15" hidden="false" customHeight="false" outlineLevel="0" collapsed="false">
      <c r="A120" s="5" t="s">
        <v>572</v>
      </c>
      <c r="B120" s="5" t="s">
        <v>390</v>
      </c>
      <c r="C120" s="19" t="n">
        <f aca="false">C119/thr</f>
        <v>0</v>
      </c>
      <c r="D120" s="19" t="n">
        <f aca="false">D119/thr</f>
        <v>0</v>
      </c>
      <c r="E120" s="19" t="n">
        <f aca="false">E119/thr</f>
        <v>0</v>
      </c>
      <c r="F120" s="19" t="n">
        <f aca="false">F119/thr</f>
        <v>0</v>
      </c>
      <c r="G120" s="19" t="n">
        <f aca="false">G119/thr</f>
        <v>19.6120009784736</v>
      </c>
      <c r="H120" s="19" t="n">
        <f aca="false">H119/thr</f>
        <v>41.3486353962818</v>
      </c>
    </row>
    <row r="121" customFormat="false" ht="17.15" hidden="false" customHeight="false" outlineLevel="0" collapsed="false">
      <c r="A121" s="5" t="s">
        <v>573</v>
      </c>
      <c r="B121" s="5" t="s">
        <v>390</v>
      </c>
      <c r="C121" s="19" t="n">
        <f aca="false">MAX(0,D120-C120)+dlt*C120</f>
        <v>0</v>
      </c>
      <c r="D121" s="19" t="n">
        <f aca="false">MAX(0,E120-D120)+dlt*D120</f>
        <v>0</v>
      </c>
      <c r="E121" s="19" t="n">
        <f aca="false">MAX(0,F120-E120)+dlt*E120</f>
        <v>0</v>
      </c>
      <c r="F121" s="19" t="n">
        <f aca="false">MAX(0,G120-F120)+dlt*F120</f>
        <v>19.6120009784736</v>
      </c>
      <c r="G121" s="19" t="n">
        <f aca="false">MAX(0,H120-G120)+dlt*G120</f>
        <v>23.6978345156556</v>
      </c>
      <c r="I121" s="5" t="s">
        <v>574</v>
      </c>
    </row>
    <row r="122" customFormat="false" ht="17.15" hidden="false" customHeight="false" outlineLevel="0" collapsed="false">
      <c r="A122" s="1" t="s">
        <v>575</v>
      </c>
    </row>
    <row r="123" customFormat="false" ht="17.15" hidden="false" customHeight="false" outlineLevel="0" collapsed="false">
      <c r="A123" s="0" t="s">
        <v>576</v>
      </c>
      <c r="B123" s="5" t="s">
        <v>146</v>
      </c>
      <c r="D123" s="19" t="n">
        <f aca="false">cow_26*1</f>
        <v>1107.85762580894</v>
      </c>
      <c r="E123" s="19" t="n">
        <f aca="false">cow_27*1</f>
        <v>2096.42857142857</v>
      </c>
      <c r="F123" s="19" t="n">
        <f aca="false">cow_28*um28_C</f>
        <v>1572.05357142857</v>
      </c>
      <c r="G123" s="19" t="n">
        <f aca="false">cow_29*um29_C</f>
        <v>1807.99553571428</v>
      </c>
      <c r="H123" s="19" t="n">
        <f aca="false">G123*(1+g_tail)</f>
        <v>1988.79508928571</v>
      </c>
      <c r="I123" s="8" t="s">
        <v>577</v>
      </c>
    </row>
    <row r="124" customFormat="false" ht="17.15" hidden="false" customHeight="false" outlineLevel="0" collapsed="false">
      <c r="A124" s="5" t="s">
        <v>578</v>
      </c>
      <c r="B124" s="0" t="s">
        <v>69</v>
      </c>
      <c r="D124" s="10" t="n">
        <f aca="false">attC_26</f>
        <v>0.08</v>
      </c>
      <c r="E124" s="10" t="n">
        <f aca="false">attC_27</f>
        <v>0.11</v>
      </c>
      <c r="F124" s="10" t="n">
        <f aca="false">attC_28</f>
        <v>0.12</v>
      </c>
      <c r="G124" s="10" t="n">
        <f aca="false">attC_29</f>
        <v>0.14</v>
      </c>
      <c r="H124" s="10" t="n">
        <f aca="false">attC_30</f>
        <v>0.16</v>
      </c>
    </row>
    <row r="125" customFormat="false" ht="15" hidden="false" customHeight="false" outlineLevel="0" collapsed="false">
      <c r="A125" s="5" t="s">
        <v>579</v>
      </c>
      <c r="B125" s="5" t="s">
        <v>539</v>
      </c>
      <c r="D125" s="16" t="n">
        <f aca="false">D123*D124</f>
        <v>88.6286100647152</v>
      </c>
      <c r="E125" s="16" t="n">
        <f aca="false">E123*E124</f>
        <v>230.607142857143</v>
      </c>
      <c r="F125" s="16" t="n">
        <f aca="false">F123*F124</f>
        <v>188.646428571429</v>
      </c>
      <c r="G125" s="16" t="n">
        <f aca="false">G123*G124</f>
        <v>253.119375</v>
      </c>
      <c r="H125" s="16" t="n">
        <f aca="false">H123*H124</f>
        <v>318.207214285714</v>
      </c>
    </row>
    <row r="126" customFormat="false" ht="17.15" hidden="false" customHeight="false" outlineLevel="0" collapsed="false">
      <c r="A126" s="5" t="s">
        <v>580</v>
      </c>
      <c r="B126" s="5" t="s">
        <v>539</v>
      </c>
      <c r="D126" s="16" t="n">
        <f aca="false">MAX(0,E125-D125)+dlt*D125</f>
        <v>150.841393798899</v>
      </c>
      <c r="E126" s="16" t="n">
        <f aca="false">MAX(0,F125-E125)+dlt*E125</f>
        <v>23.0607142857143</v>
      </c>
      <c r="F126" s="16" t="n">
        <f aca="false">MAX(0,G125-F125)+dlt*F125</f>
        <v>83.3375892857138</v>
      </c>
      <c r="G126" s="16" t="n">
        <f aca="false">MAX(0,H125-G125)+dlt*G125</f>
        <v>90.3997767857142</v>
      </c>
    </row>
    <row r="127" customFormat="false" ht="17.15" hidden="false" customHeight="false" outlineLevel="0" collapsed="false">
      <c r="A127" s="1" t="s">
        <v>581</v>
      </c>
    </row>
    <row r="128" customFormat="false" ht="17.15" hidden="false" customHeight="false" outlineLevel="0" collapsed="false">
      <c r="A128" s="0" t="s">
        <v>582</v>
      </c>
      <c r="B128" s="0" t="s">
        <v>252</v>
      </c>
      <c r="C128" s="16" t="n">
        <f aca="false">0</f>
        <v>0</v>
      </c>
      <c r="D128" s="16" t="n">
        <f aca="false">hbm26</f>
        <v>0</v>
      </c>
      <c r="E128" s="16" t="n">
        <f aca="false">E121*asp*shm_C</f>
        <v>0</v>
      </c>
      <c r="F128" s="16" t="n">
        <f aca="false">F121*asp*shm_C</f>
        <v>17.1605008561644</v>
      </c>
      <c r="G128" s="16" t="n">
        <f aca="false">G121*asp*shm_C</f>
        <v>20.7356052011986</v>
      </c>
      <c r="I128" s="8" t="s">
        <v>583</v>
      </c>
    </row>
    <row r="129" customFormat="false" ht="17.15" hidden="false" customHeight="false" outlineLevel="0" collapsed="false">
      <c r="A129" s="5" t="s">
        <v>584</v>
      </c>
      <c r="B129" s="0" t="s">
        <v>252</v>
      </c>
      <c r="C129" s="16" t="n">
        <f aca="false">hb25</f>
        <v>120</v>
      </c>
      <c r="D129" s="16" t="n">
        <f aca="false">rev26*hb_sh26-hbm26</f>
        <v>250.4</v>
      </c>
      <c r="E129" s="16" t="n">
        <f aca="false">$D130*E126*shl_C</f>
        <v>30.6250304997381</v>
      </c>
      <c r="F129" s="16" t="n">
        <f aca="false">$D130*F126*shl_C</f>
        <v>110.673771073548</v>
      </c>
      <c r="G129" s="16" t="n">
        <f aca="false">$D130*G126*shl_C</f>
        <v>120.05247916137</v>
      </c>
      <c r="I129" s="8" t="s">
        <v>585</v>
      </c>
    </row>
    <row r="130" customFormat="false" ht="17.15" hidden="false" customHeight="false" outlineLevel="0" collapsed="false">
      <c r="A130" s="5" t="s">
        <v>586</v>
      </c>
      <c r="B130" s="0" t="s">
        <v>587</v>
      </c>
      <c r="D130" s="21" t="n">
        <f aca="false">D129/D126</f>
        <v>1.66002178641913</v>
      </c>
      <c r="I130" s="5" t="s">
        <v>588</v>
      </c>
    </row>
    <row r="131" customFormat="false" ht="15" hidden="false" customHeight="false" outlineLevel="0" collapsed="false">
      <c r="A131" s="5" t="s">
        <v>589</v>
      </c>
      <c r="B131" s="0" t="s">
        <v>252</v>
      </c>
      <c r="C131" s="16" t="n">
        <f aca="false">C128+C129</f>
        <v>120</v>
      </c>
      <c r="D131" s="16" t="n">
        <f aca="false">D128+D129</f>
        <v>250.4</v>
      </c>
      <c r="E131" s="16" t="n">
        <f aca="false">E128+E129</f>
        <v>30.6250304997381</v>
      </c>
      <c r="F131" s="16" t="n">
        <f aca="false">F128+F129</f>
        <v>127.834271929712</v>
      </c>
      <c r="G131" s="16" t="n">
        <f aca="false">G128+G129</f>
        <v>140.788084362568</v>
      </c>
    </row>
    <row r="132" customFormat="false" ht="17.15" hidden="false" customHeight="false" outlineLevel="0" collapsed="false">
      <c r="A132" s="5" t="s">
        <v>590</v>
      </c>
      <c r="B132" s="0" t="s">
        <v>252</v>
      </c>
      <c r="C132" s="16" t="n">
        <f aca="false">a25_rev-hb25</f>
        <v>471.3</v>
      </c>
      <c r="D132" s="16" t="n">
        <f aca="false">rev26-D131</f>
        <v>751.2</v>
      </c>
      <c r="E132" s="16" t="n">
        <f aca="false">D132*(1+el*eqgC_27)</f>
        <v>900.497182193768</v>
      </c>
      <c r="F132" s="16" t="n">
        <f aca="false">E132*(1+el*eqgC_28)</f>
        <v>720.397745755014</v>
      </c>
      <c r="G132" s="16" t="n">
        <f aca="false">F132*(1+el*eqgC_29)</f>
        <v>720.397745755014</v>
      </c>
      <c r="I132" s="8" t="s">
        <v>591</v>
      </c>
    </row>
    <row r="133" customFormat="false" ht="15" hidden="false" customHeight="false" outlineLevel="0" collapsed="false">
      <c r="A133" s="5" t="s">
        <v>499</v>
      </c>
      <c r="B133" s="0" t="s">
        <v>252</v>
      </c>
      <c r="C133" s="16" t="n">
        <f aca="false">C131+C132</f>
        <v>591.3</v>
      </c>
      <c r="D133" s="16" t="n">
        <f aca="false">D131+D132</f>
        <v>1001.6</v>
      </c>
      <c r="E133" s="16" t="n">
        <f aca="false">E131+E132</f>
        <v>931.122212693506</v>
      </c>
      <c r="F133" s="16" t="n">
        <f aca="false">F131+F132</f>
        <v>848.232017684726</v>
      </c>
      <c r="G133" s="16" t="n">
        <f aca="false">G131+G132</f>
        <v>861.185830117582</v>
      </c>
    </row>
    <row r="134" customFormat="false" ht="15" hidden="false" customHeight="false" outlineLevel="0" collapsed="false">
      <c r="A134" s="5" t="s">
        <v>592</v>
      </c>
      <c r="B134" s="0" t="s">
        <v>69</v>
      </c>
      <c r="C134" s="10" t="n">
        <f aca="false">C131/C133</f>
        <v>0.202942668696093</v>
      </c>
      <c r="D134" s="10" t="n">
        <f aca="false">D131/D133</f>
        <v>0.25</v>
      </c>
      <c r="E134" s="10" t="n">
        <f aca="false">E131/E133</f>
        <v>0.0328904520612256</v>
      </c>
      <c r="F134" s="10" t="n">
        <f aca="false">F131/F133</f>
        <v>0.150706727952382</v>
      </c>
      <c r="G134" s="10" t="n">
        <f aca="false">G131/G133</f>
        <v>0.163481654526696</v>
      </c>
    </row>
    <row r="135" customFormat="false" ht="17.15" hidden="false" customHeight="false" outlineLevel="0" collapsed="false">
      <c r="A135" s="5" t="s">
        <v>506</v>
      </c>
      <c r="B135" s="0" t="s">
        <v>69</v>
      </c>
      <c r="C135" s="10" t="n">
        <f aca="false">a25_gp/a25_rev</f>
        <v>0.633012007441231</v>
      </c>
      <c r="D135" s="10" t="n">
        <f aca="false">gp26/rev26</f>
        <v>0.646641373801917</v>
      </c>
      <c r="E135" s="10" t="n">
        <f aca="false">$D135+gm_prem*(E134-$D134)+0</f>
        <v>0.629272609966815</v>
      </c>
      <c r="F135" s="10" t="n">
        <f aca="false">$D135+gm_prem*(F134-$D134)+gm_adj_C</f>
        <v>0.618697912038107</v>
      </c>
      <c r="G135" s="10" t="n">
        <f aca="false">$D135+gm_prem*(G134-$D134)+gm_adj_C</f>
        <v>0.619719906164053</v>
      </c>
      <c r="I135" s="8" t="s">
        <v>593</v>
      </c>
    </row>
    <row r="136" customFormat="false" ht="15" hidden="false" customHeight="false" outlineLevel="0" collapsed="false">
      <c r="A136" s="5" t="s">
        <v>502</v>
      </c>
      <c r="B136" s="0" t="s">
        <v>252</v>
      </c>
      <c r="C136" s="16" t="n">
        <f aca="false">a25_gp</f>
        <v>374.3</v>
      </c>
      <c r="D136" s="16" t="n">
        <f aca="false">gp26</f>
        <v>647.676</v>
      </c>
      <c r="E136" s="16" t="n">
        <f aca="false">E133*E135</f>
        <v>585.929704979718</v>
      </c>
      <c r="F136" s="16" t="n">
        <f aca="false">F133*F135</f>
        <v>524.799378265411</v>
      </c>
      <c r="G136" s="16" t="n">
        <f aca="false">G133*G135</f>
        <v>533.69400183028</v>
      </c>
    </row>
    <row r="137" customFormat="false" ht="17.15" hidden="false" customHeight="false" outlineLevel="0" collapsed="false">
      <c r="A137" s="5" t="s">
        <v>594</v>
      </c>
      <c r="B137" s="0" t="s">
        <v>252</v>
      </c>
      <c r="C137" s="16" t="n">
        <f aca="false">a25_opx</f>
        <v>201.2</v>
      </c>
      <c r="D137" s="16" t="n">
        <f aca="false">opx26</f>
        <v>223.1325</v>
      </c>
      <c r="E137" s="16" t="n">
        <f aca="false">opex_fix+opex_var*E133</f>
        <v>216.852194538272</v>
      </c>
      <c r="F137" s="16" t="n">
        <f aca="false">opex_fix+opex_var*F133</f>
        <v>209.46581417174</v>
      </c>
      <c r="G137" s="16" t="n">
        <f aca="false">opex_fix+opex_var*G133</f>
        <v>210.620133881275</v>
      </c>
      <c r="I137" s="5" t="s">
        <v>595</v>
      </c>
    </row>
    <row r="138" customFormat="false" ht="15" hidden="false" customHeight="false" outlineLevel="0" collapsed="false">
      <c r="A138" s="5" t="s">
        <v>510</v>
      </c>
      <c r="B138" s="0" t="s">
        <v>252</v>
      </c>
      <c r="C138" s="16" t="n">
        <f aca="false">C136-C137</f>
        <v>173.1</v>
      </c>
      <c r="D138" s="16" t="n">
        <f aca="false">D136-D137</f>
        <v>424.5435</v>
      </c>
      <c r="E138" s="16" t="n">
        <f aca="false">E136-E137</f>
        <v>369.077510441446</v>
      </c>
      <c r="F138" s="16" t="n">
        <f aca="false">F136-F137</f>
        <v>315.333564093671</v>
      </c>
      <c r="G138" s="16" t="n">
        <f aca="false">G136-G137</f>
        <v>323.073867949005</v>
      </c>
    </row>
    <row r="139" customFormat="false" ht="15" hidden="false" customHeight="false" outlineLevel="0" collapsed="false">
      <c r="A139" s="5" t="s">
        <v>555</v>
      </c>
      <c r="B139" s="0" t="s">
        <v>69</v>
      </c>
      <c r="C139" s="10" t="n">
        <f aca="false">C138/C133</f>
        <v>0.292744799594115</v>
      </c>
      <c r="D139" s="10" t="n">
        <f aca="false">D138/D133</f>
        <v>0.423865315495208</v>
      </c>
      <c r="E139" s="10" t="n">
        <f aca="false">E138/E133</f>
        <v>0.396379235088588</v>
      </c>
      <c r="F139" s="10" t="n">
        <f aca="false">F138/F133</f>
        <v>0.371753904025438</v>
      </c>
      <c r="G139" s="10" t="n">
        <f aca="false">G138/G133</f>
        <v>0.375150004389754</v>
      </c>
    </row>
    <row r="140" customFormat="false" ht="15" hidden="false" customHeight="false" outlineLevel="0" collapsed="false">
      <c r="A140" s="5" t="s">
        <v>515</v>
      </c>
      <c r="B140" s="0" t="s">
        <v>252</v>
      </c>
      <c r="C140" s="16" t="n">
        <f aca="false">a25_ni</f>
        <v>131.6</v>
      </c>
      <c r="D140" s="16" t="n">
        <f aca="false">ni26</f>
        <v>348.2641275</v>
      </c>
      <c r="E140" s="16" t="n">
        <f aca="false">(E138-fin)*(1-tax)</f>
        <v>301.952046531851</v>
      </c>
      <c r="F140" s="16" t="n">
        <f aca="false">(F138-fin)*(1-tax)</f>
        <v>255.463532941025</v>
      </c>
      <c r="G140" s="16" t="n">
        <f aca="false">(G138-fin)*(1-tax)</f>
        <v>262.15889577589</v>
      </c>
    </row>
    <row r="141" customFormat="false" ht="15" hidden="false" customHeight="false" outlineLevel="0" collapsed="false">
      <c r="A141" s="0" t="s">
        <v>556</v>
      </c>
      <c r="B141" s="0" t="s">
        <v>271</v>
      </c>
      <c r="C141" s="18" t="n">
        <f aca="false">a25_eps</f>
        <v>1.66</v>
      </c>
      <c r="D141" s="18" t="n">
        <f aca="false">eps26</f>
        <v>4.3364299400653</v>
      </c>
      <c r="E141" s="18" t="n">
        <f aca="false">E140/shares</f>
        <v>3.74623341312837</v>
      </c>
      <c r="F141" s="18" t="n">
        <f aca="false">F140/shares</f>
        <v>3.16946360831683</v>
      </c>
      <c r="G141" s="18" t="n">
        <f aca="false">G140/shares</f>
        <v>3.252531076324</v>
      </c>
    </row>
    <row r="142" customFormat="false" ht="17.15" hidden="false" customHeight="false" outlineLevel="0" collapsed="false">
      <c r="A142" s="5" t="s">
        <v>596</v>
      </c>
      <c r="B142" s="5" t="s">
        <v>390</v>
      </c>
      <c r="C142" s="19" t="n">
        <f aca="false">C131/asp</f>
        <v>48</v>
      </c>
      <c r="D142" s="19" t="n">
        <f aca="false">D131/asp</f>
        <v>100.16</v>
      </c>
      <c r="E142" s="19" t="n">
        <f aca="false">E131/asp</f>
        <v>12.2500121998952</v>
      </c>
      <c r="F142" s="19" t="n">
        <f aca="false">F131/asp</f>
        <v>51.1337087718848</v>
      </c>
      <c r="G142" s="19" t="n">
        <f aca="false">G131/asp</f>
        <v>56.3152337450273</v>
      </c>
    </row>
    <row r="145" customFormat="false" ht="17.15" hidden="false" customHeight="false" outlineLevel="0" collapsed="false">
      <c r="A145" s="4" t="s">
        <v>601</v>
      </c>
    </row>
    <row r="146" customFormat="false" ht="17.15" hidden="false" customHeight="false" outlineLevel="0" collapsed="false">
      <c r="A146" s="5" t="s">
        <v>602</v>
      </c>
    </row>
    <row r="147" customFormat="false" ht="17.15" hidden="false" customHeight="false" outlineLevel="0" collapsed="false">
      <c r="A147" s="6" t="s">
        <v>603</v>
      </c>
      <c r="B147" s="6" t="s">
        <v>22</v>
      </c>
      <c r="C147" s="14" t="s">
        <v>547</v>
      </c>
      <c r="D147" s="14" t="s">
        <v>548</v>
      </c>
      <c r="E147" s="14" t="s">
        <v>549</v>
      </c>
      <c r="F147" s="14" t="s">
        <v>550</v>
      </c>
      <c r="G147" s="14" t="s">
        <v>551</v>
      </c>
      <c r="H147" s="14" t="s">
        <v>604</v>
      </c>
      <c r="I147" s="14" t="s">
        <v>605</v>
      </c>
      <c r="J147" s="14" t="s">
        <v>606</v>
      </c>
      <c r="K147" s="6" t="s">
        <v>427</v>
      </c>
    </row>
    <row r="148" customFormat="false" ht="17.15" hidden="false" customHeight="false" outlineLevel="0" collapsed="false">
      <c r="A148" s="4" t="s">
        <v>607</v>
      </c>
    </row>
    <row r="149" customFormat="false" ht="17.15" hidden="false" customHeight="false" outlineLevel="0" collapsed="false">
      <c r="A149" s="5" t="s">
        <v>499</v>
      </c>
      <c r="B149" s="0" t="s">
        <v>252</v>
      </c>
      <c r="C149" s="16" t="n">
        <f aca="false">C5</f>
        <v>591.3</v>
      </c>
      <c r="D149" s="16" t="n">
        <f aca="false">D5</f>
        <v>1001.6</v>
      </c>
      <c r="E149" s="16" t="n">
        <f aca="false">E5</f>
        <v>1415.79926831366</v>
      </c>
      <c r="F149" s="16" t="n">
        <f aca="false">F5</f>
        <v>1775.63101902761</v>
      </c>
      <c r="G149" s="16" t="n">
        <f aca="false">G5</f>
        <v>1903.63175356863</v>
      </c>
      <c r="H149" s="22" t="n">
        <f aca="false">G149*(1+H150)</f>
        <v>2033.18971043688</v>
      </c>
      <c r="I149" s="22" t="n">
        <f aca="false">H149*(1+I150)</f>
        <v>2163.37312787295</v>
      </c>
      <c r="J149" s="22" t="n">
        <f aca="false">I149*(1+J150)</f>
        <v>2293.17551554533</v>
      </c>
      <c r="K149" s="8" t="s">
        <v>608</v>
      </c>
    </row>
    <row r="150" customFormat="false" ht="15" hidden="false" customHeight="false" outlineLevel="0" collapsed="false">
      <c r="A150" s="5" t="s">
        <v>609</v>
      </c>
      <c r="B150" s="0" t="s">
        <v>69</v>
      </c>
      <c r="D150" s="10" t="n">
        <f aca="false">D149/C149-1</f>
        <v>0.693894808050059</v>
      </c>
      <c r="E150" s="10" t="n">
        <f aca="false">E149/D149-1</f>
        <v>0.41353760814063</v>
      </c>
      <c r="F150" s="10" t="n">
        <f aca="false">F149/E149-1</f>
        <v>0.25415449687479</v>
      </c>
      <c r="G150" s="10" t="n">
        <f aca="false">G149/F149-1</f>
        <v>0.0720874625242345</v>
      </c>
      <c r="H150" s="23" t="n">
        <f aca="false">$G150+((tp_g+0.02)-$G150)*1/3</f>
        <v>0.0680583083494897</v>
      </c>
      <c r="I150" s="23" t="n">
        <f aca="false">$G150+((tp_g+0.02)-$G150)*2/3</f>
        <v>0.0640291541747448</v>
      </c>
      <c r="J150" s="23" t="n">
        <f aca="false">$G150+((tp_g+0.02)-$G150)*3/3</f>
        <v>0.06</v>
      </c>
    </row>
    <row r="151" customFormat="false" ht="17.15" hidden="false" customHeight="false" outlineLevel="0" collapsed="false">
      <c r="A151" s="5" t="s">
        <v>610</v>
      </c>
      <c r="B151" s="0" t="s">
        <v>69</v>
      </c>
      <c r="C151" s="10" t="n">
        <f aca="false">C152/C149</f>
        <v>0.222560460003382</v>
      </c>
      <c r="D151" s="10" t="n">
        <f aca="false">D152/D149</f>
        <v>0.347707795027955</v>
      </c>
      <c r="E151" s="10" t="n">
        <f aca="false">E152/E149</f>
        <v>0.396136108934468</v>
      </c>
      <c r="F151" s="10" t="n">
        <f aca="false">F152/F149</f>
        <v>0.41963633477654</v>
      </c>
      <c r="G151" s="10" t="n">
        <f aca="false">G152/G149</f>
        <v>0.425143122691816</v>
      </c>
      <c r="H151" s="23" t="n">
        <f aca="false">$G151+($G151-$G151)*1/3</f>
        <v>0.425143122691816</v>
      </c>
      <c r="I151" s="23" t="n">
        <f aca="false">$G151+($G151-$G151)*2/3</f>
        <v>0.425143122691816</v>
      </c>
      <c r="J151" s="23" t="n">
        <f aca="false">$G151+($G151-$G151)*3/3</f>
        <v>0.425143122691816</v>
      </c>
    </row>
    <row r="152" customFormat="false" ht="15" hidden="false" customHeight="false" outlineLevel="0" collapsed="false">
      <c r="A152" s="5" t="s">
        <v>611</v>
      </c>
      <c r="B152" s="0" t="s">
        <v>252</v>
      </c>
      <c r="C152" s="16" t="n">
        <f aca="false">C11</f>
        <v>131.6</v>
      </c>
      <c r="D152" s="16" t="n">
        <f aca="false">D11</f>
        <v>348.2641275</v>
      </c>
      <c r="E152" s="16" t="n">
        <f aca="false">E11</f>
        <v>560.849213182038</v>
      </c>
      <c r="F152" s="16" t="n">
        <f aca="false">F11</f>
        <v>745.119292740278</v>
      </c>
      <c r="G152" s="16" t="n">
        <f aca="false">G11</f>
        <v>809.315948167465</v>
      </c>
      <c r="H152" s="22" t="n">
        <f aca="false">H149*H151</f>
        <v>864.396622520005</v>
      </c>
      <c r="I152" s="22" t="n">
        <f aca="false">I149*I151</f>
        <v>919.743207131468</v>
      </c>
      <c r="J152" s="22" t="n">
        <f aca="false">J149*J151</f>
        <v>974.927799559356</v>
      </c>
    </row>
    <row r="153" customFormat="false" ht="17.15" hidden="false" customHeight="false" outlineLevel="0" collapsed="false">
      <c r="A153" s="0" t="s">
        <v>612</v>
      </c>
      <c r="B153" s="0" t="s">
        <v>271</v>
      </c>
      <c r="C153" s="13" t="n">
        <f aca="false">C12</f>
        <v>1.66</v>
      </c>
      <c r="D153" s="13" t="n">
        <f aca="false">D12</f>
        <v>4.3364299400653</v>
      </c>
      <c r="E153" s="13" t="n">
        <f aca="false">E12</f>
        <v>6.95829714115775</v>
      </c>
      <c r="F153" s="13" t="n">
        <f aca="false">F12</f>
        <v>9.24448376254262</v>
      </c>
      <c r="G153" s="13" t="n">
        <f aca="false">G12</f>
        <v>10.040953461406</v>
      </c>
      <c r="H153" s="24" t="n">
        <f aca="false">$G153*H152/$G152</f>
        <v>10.7243237682053</v>
      </c>
      <c r="I153" s="24" t="n">
        <f aca="false">$G153*I152/$G152</f>
        <v>11.4109931481796</v>
      </c>
      <c r="J153" s="24" t="n">
        <f aca="false">$G153*J152/$G152</f>
        <v>12.0956527370704</v>
      </c>
    </row>
    <row r="155" customFormat="false" ht="17.15" hidden="false" customHeight="false" outlineLevel="0" collapsed="false">
      <c r="A155" s="4" t="s">
        <v>613</v>
      </c>
    </row>
    <row r="156" customFormat="false" ht="17.15" hidden="false" customHeight="false" outlineLevel="0" collapsed="false">
      <c r="A156" s="5" t="s">
        <v>499</v>
      </c>
      <c r="B156" s="0" t="s">
        <v>252</v>
      </c>
      <c r="C156" s="16" t="n">
        <f aca="false">C15</f>
        <v>591.3</v>
      </c>
      <c r="D156" s="16" t="n">
        <f aca="false">D15</f>
        <v>1001.6</v>
      </c>
      <c r="E156" s="16" t="n">
        <f aca="false">E15</f>
        <v>1095.3652774009</v>
      </c>
      <c r="F156" s="16" t="n">
        <f aca="false">F15</f>
        <v>1342.58328060951</v>
      </c>
      <c r="G156" s="16" t="n">
        <f aca="false">G15</f>
        <v>1328.48654001082</v>
      </c>
      <c r="H156" s="22" t="n">
        <f aca="false">G156*(1+H157)</f>
        <v>1336.90054130916</v>
      </c>
      <c r="I156" s="22" t="n">
        <f aca="false">H156*(1+I157)</f>
        <v>1367.87219792382</v>
      </c>
      <c r="J156" s="22" t="n">
        <f aca="false">I156*(1+J157)</f>
        <v>1422.58708584077</v>
      </c>
      <c r="K156" s="8" t="s">
        <v>608</v>
      </c>
    </row>
    <row r="157" customFormat="false" ht="15" hidden="false" customHeight="false" outlineLevel="0" collapsed="false">
      <c r="A157" s="5" t="s">
        <v>609</v>
      </c>
      <c r="B157" s="0" t="s">
        <v>69</v>
      </c>
      <c r="D157" s="10" t="n">
        <f aca="false">D156/C156-1</f>
        <v>0.693894808050059</v>
      </c>
      <c r="E157" s="10" t="n">
        <f aca="false">E156/D156-1</f>
        <v>0.0936154926127222</v>
      </c>
      <c r="F157" s="10" t="n">
        <f aca="false">F156/E156-1</f>
        <v>0.225694577242045</v>
      </c>
      <c r="G157" s="10" t="n">
        <f aca="false">G156/F156-1</f>
        <v>-0.0104997140976606</v>
      </c>
      <c r="H157" s="23" t="n">
        <f aca="false">$G157+((tp_g)-$G157)*1/3</f>
        <v>0.00633352393489294</v>
      </c>
      <c r="I157" s="23" t="n">
        <f aca="false">$G157+((tp_g)-$G157)*2/3</f>
        <v>0.0231667619674465</v>
      </c>
      <c r="J157" s="23" t="n">
        <f aca="false">$G157+((tp_g)-$G157)*3/3</f>
        <v>0.04</v>
      </c>
    </row>
    <row r="158" customFormat="false" ht="17.15" hidden="false" customHeight="false" outlineLevel="0" collapsed="false">
      <c r="A158" s="5" t="s">
        <v>610</v>
      </c>
      <c r="B158" s="0" t="s">
        <v>69</v>
      </c>
      <c r="C158" s="10" t="n">
        <f aca="false">C159/C156</f>
        <v>0.222560460003382</v>
      </c>
      <c r="D158" s="10" t="n">
        <f aca="false">D159/D156</f>
        <v>0.347707795027955</v>
      </c>
      <c r="E158" s="10" t="n">
        <f aca="false">E159/E156</f>
        <v>0.355757875193926</v>
      </c>
      <c r="F158" s="10" t="n">
        <f aca="false">F159/F156</f>
        <v>0.388608927233464</v>
      </c>
      <c r="G158" s="10" t="n">
        <f aca="false">G159/G156</f>
        <v>0.389409736483767</v>
      </c>
      <c r="H158" s="23" t="n">
        <f aca="false">$G158+(($G158+nim10)/2-$G158)*1/3</f>
        <v>0.371058113736472</v>
      </c>
      <c r="I158" s="23" t="n">
        <f aca="false">$G158+(($G158+nim10)/2-$G158)*2/3</f>
        <v>0.352706490989178</v>
      </c>
      <c r="J158" s="23" t="n">
        <f aca="false">$G158+(($G158+nim10)/2-$G158)*3/3</f>
        <v>0.334354868241883</v>
      </c>
    </row>
    <row r="159" customFormat="false" ht="15" hidden="false" customHeight="false" outlineLevel="0" collapsed="false">
      <c r="A159" s="5" t="s">
        <v>611</v>
      </c>
      <c r="B159" s="0" t="s">
        <v>252</v>
      </c>
      <c r="C159" s="16" t="n">
        <f aca="false">C21</f>
        <v>131.6</v>
      </c>
      <c r="D159" s="16" t="n">
        <f aca="false">D21</f>
        <v>348.2641275</v>
      </c>
      <c r="E159" s="16" t="n">
        <f aca="false">E21</f>
        <v>389.68482364935</v>
      </c>
      <c r="F159" s="16" t="n">
        <f aca="false">F21</f>
        <v>521.739848399248</v>
      </c>
      <c r="G159" s="16" t="n">
        <f aca="false">G21</f>
        <v>517.325593467842</v>
      </c>
      <c r="H159" s="22" t="n">
        <f aca="false">H156*H158</f>
        <v>496.067793111444</v>
      </c>
      <c r="I159" s="22" t="n">
        <f aca="false">I156*I158</f>
        <v>482.457403051363</v>
      </c>
      <c r="J159" s="22" t="n">
        <f aca="false">J156*J158</f>
        <v>475.648917648895</v>
      </c>
    </row>
    <row r="160" customFormat="false" ht="17.15" hidden="false" customHeight="false" outlineLevel="0" collapsed="false">
      <c r="A160" s="0" t="s">
        <v>612</v>
      </c>
      <c r="B160" s="0" t="s">
        <v>271</v>
      </c>
      <c r="C160" s="13" t="n">
        <f aca="false">C22</f>
        <v>1.66</v>
      </c>
      <c r="D160" s="13" t="n">
        <f aca="false">D22</f>
        <v>4.3364299400653</v>
      </c>
      <c r="E160" s="13" t="n">
        <f aca="false">E22</f>
        <v>4.83470909938093</v>
      </c>
      <c r="F160" s="13" t="n">
        <f aca="false">F22</f>
        <v>6.47307834301306</v>
      </c>
      <c r="G160" s="13" t="n">
        <f aca="false">G22</f>
        <v>6.41831193388275</v>
      </c>
      <c r="H160" s="24" t="n">
        <f aca="false">$G160*H159/$G159</f>
        <v>6.15457243319236</v>
      </c>
      <c r="I160" s="24" t="n">
        <f aca="false">$G160*I159/$G159</f>
        <v>5.98571218337979</v>
      </c>
      <c r="J160" s="24" t="n">
        <f aca="false">$G160*J159/$G159</f>
        <v>5.90124123575588</v>
      </c>
    </row>
    <row r="162" customFormat="false" ht="17.15" hidden="false" customHeight="false" outlineLevel="0" collapsed="false">
      <c r="A162" s="4" t="s">
        <v>614</v>
      </c>
    </row>
    <row r="163" customFormat="false" ht="17.15" hidden="false" customHeight="false" outlineLevel="0" collapsed="false">
      <c r="A163" s="5" t="s">
        <v>499</v>
      </c>
      <c r="B163" s="0" t="s">
        <v>252</v>
      </c>
      <c r="C163" s="16" t="n">
        <f aca="false">C25</f>
        <v>591.3</v>
      </c>
      <c r="D163" s="16" t="n">
        <f aca="false">D25</f>
        <v>1001.6</v>
      </c>
      <c r="E163" s="16" t="n">
        <f aca="false">E25</f>
        <v>931.122212693506</v>
      </c>
      <c r="F163" s="16" t="n">
        <f aca="false">F25</f>
        <v>848.232017684726</v>
      </c>
      <c r="G163" s="16" t="n">
        <f aca="false">G25</f>
        <v>861.185830117582</v>
      </c>
      <c r="H163" s="22" t="n">
        <f aca="false">G163*(1+H164)</f>
        <v>875.694827083127</v>
      </c>
      <c r="I163" s="22" t="n">
        <f aca="false">H163*(1+I164)</f>
        <v>891.82849542096</v>
      </c>
      <c r="J163" s="22" t="n">
        <f aca="false">I163*(1+J164)</f>
        <v>909.665065329379</v>
      </c>
      <c r="K163" s="8" t="s">
        <v>608</v>
      </c>
    </row>
    <row r="164" customFormat="false" ht="15" hidden="false" customHeight="false" outlineLevel="0" collapsed="false">
      <c r="A164" s="5" t="s">
        <v>609</v>
      </c>
      <c r="B164" s="0" t="s">
        <v>69</v>
      </c>
      <c r="D164" s="10" t="n">
        <f aca="false">D163/C163-1</f>
        <v>0.693894808050059</v>
      </c>
      <c r="E164" s="10" t="n">
        <f aca="false">E163/D163-1</f>
        <v>-0.0703652029817236</v>
      </c>
      <c r="F164" s="10" t="n">
        <f aca="false">F163/E163-1</f>
        <v>-0.0890218210657856</v>
      </c>
      <c r="G164" s="10" t="n">
        <f aca="false">G163/F163-1</f>
        <v>0.0152715438261977</v>
      </c>
      <c r="H164" s="23" t="n">
        <f aca="false">$G164+((tp_g-0.02)-$G164)*1/3</f>
        <v>0.0168476958841318</v>
      </c>
      <c r="I164" s="23" t="n">
        <f aca="false">$G164+((tp_g-0.02)-$G164)*2/3</f>
        <v>0.0184238479420659</v>
      </c>
      <c r="J164" s="23" t="n">
        <f aca="false">$G164+((tp_g-0.02)-$G164)*3/3</f>
        <v>0.02</v>
      </c>
    </row>
    <row r="165" customFormat="false" ht="17.15" hidden="false" customHeight="false" outlineLevel="0" collapsed="false">
      <c r="A165" s="5" t="s">
        <v>610</v>
      </c>
      <c r="B165" s="0" t="s">
        <v>69</v>
      </c>
      <c r="C165" s="10" t="n">
        <f aca="false">C166/C163</f>
        <v>0.222560460003382</v>
      </c>
      <c r="D165" s="10" t="n">
        <f aca="false">D166/D163</f>
        <v>0.347707795027955</v>
      </c>
      <c r="E165" s="10" t="n">
        <f aca="false">E166/E163</f>
        <v>0.32428830760935</v>
      </c>
      <c r="F165" s="10" t="n">
        <f aca="false">F166/F163</f>
        <v>0.301171763874607</v>
      </c>
      <c r="G165" s="10" t="n">
        <f aca="false">G166/G163</f>
        <v>0.304416174311757</v>
      </c>
      <c r="H165" s="23" t="n">
        <f aca="false">$G165+(nim10-$G165)*1/3</f>
        <v>0.296044116207838</v>
      </c>
      <c r="I165" s="23" t="n">
        <f aca="false">$G165+(nim10-$G165)*2/3</f>
        <v>0.287672058103919</v>
      </c>
      <c r="J165" s="23" t="n">
        <f aca="false">$G165+(nim10-$G165)*3/3</f>
        <v>0.2793</v>
      </c>
    </row>
    <row r="166" customFormat="false" ht="15" hidden="false" customHeight="false" outlineLevel="0" collapsed="false">
      <c r="A166" s="5" t="s">
        <v>611</v>
      </c>
      <c r="B166" s="0" t="s">
        <v>252</v>
      </c>
      <c r="C166" s="16" t="n">
        <f aca="false">C31</f>
        <v>131.6</v>
      </c>
      <c r="D166" s="16" t="n">
        <f aca="false">D31</f>
        <v>348.2641275</v>
      </c>
      <c r="E166" s="16" t="n">
        <f aca="false">E31</f>
        <v>301.952046531851</v>
      </c>
      <c r="F166" s="16" t="n">
        <f aca="false">F31</f>
        <v>255.463532941025</v>
      </c>
      <c r="G166" s="16" t="n">
        <f aca="false">G31</f>
        <v>262.15889577589</v>
      </c>
      <c r="H166" s="22" t="n">
        <f aca="false">H163*H165</f>
        <v>259.2443011516</v>
      </c>
      <c r="I166" s="22" t="n">
        <f aca="false">I163*I165</f>
        <v>256.554138753469</v>
      </c>
      <c r="J166" s="22" t="n">
        <f aca="false">J163*J165</f>
        <v>254.069452746496</v>
      </c>
    </row>
    <row r="167" customFormat="false" ht="17.15" hidden="false" customHeight="false" outlineLevel="0" collapsed="false">
      <c r="A167" s="0" t="s">
        <v>612</v>
      </c>
      <c r="B167" s="0" t="s">
        <v>271</v>
      </c>
      <c r="C167" s="13" t="n">
        <f aca="false">C32</f>
        <v>1.66</v>
      </c>
      <c r="D167" s="13" t="n">
        <f aca="false">D32</f>
        <v>4.3364299400653</v>
      </c>
      <c r="E167" s="13" t="n">
        <f aca="false">E32</f>
        <v>3.74623341312837</v>
      </c>
      <c r="F167" s="13" t="n">
        <f aca="false">F32</f>
        <v>3.16946360831683</v>
      </c>
      <c r="G167" s="13" t="n">
        <f aca="false">G32</f>
        <v>3.252531076324</v>
      </c>
      <c r="H167" s="24" t="n">
        <f aca="false">$G167*H166/$G166</f>
        <v>3.21637052734728</v>
      </c>
      <c r="I167" s="24" t="n">
        <f aca="false">$G167*I166/$G166</f>
        <v>3.18299444535554</v>
      </c>
      <c r="J167" s="24" t="n">
        <f aca="false">$G167*J166/$G166</f>
        <v>3.15216765067947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5" min="2" style="0" width="16"/>
    <col collapsed="false" customWidth="true" hidden="false" outlineLevel="0" max="6" min="6" style="0" width="60"/>
    <col collapsed="false" customWidth="true" hidden="false" outlineLevel="0" max="7" min="7" style="0" width="16"/>
  </cols>
  <sheetData>
    <row r="1" customFormat="false" ht="17.15" hidden="false" customHeight="false" outlineLevel="0" collapsed="false">
      <c r="A1" s="0" t="s">
        <v>615</v>
      </c>
    </row>
    <row r="2" customFormat="false" ht="17.15" hidden="false" customHeight="false" outlineLevel="0" collapsed="false">
      <c r="A2" s="0" t="s">
        <v>616</v>
      </c>
    </row>
    <row r="3" customFormat="false" ht="17.15" hidden="false" customHeight="false" outlineLevel="0" collapsed="false">
      <c r="A3" s="5" t="s">
        <v>617</v>
      </c>
    </row>
    <row r="4" customFormat="false" ht="15" hidden="false" customHeight="false" outlineLevel="0" collapsed="false">
      <c r="A4" s="4" t="s">
        <v>618</v>
      </c>
    </row>
    <row r="5" customFormat="false" ht="15" hidden="false" customHeight="false" outlineLevel="0" collapsed="false">
      <c r="A5" s="6" t="s">
        <v>21</v>
      </c>
      <c r="B5" s="6" t="s">
        <v>619</v>
      </c>
      <c r="C5" s="14"/>
      <c r="D5" s="14"/>
      <c r="E5" s="6" t="s">
        <v>427</v>
      </c>
    </row>
    <row r="6" customFormat="false" ht="17.15" hidden="false" customHeight="false" outlineLevel="0" collapsed="false">
      <c r="A6" s="25" t="s">
        <v>620</v>
      </c>
      <c r="B6" s="26" t="n">
        <f aca="false">tp_wA*B8+tp_wB*B9+tp_wC*B10</f>
        <v>184.838050297798</v>
      </c>
      <c r="C6" s="25"/>
      <c r="D6" s="25"/>
      <c r="E6" s="25" t="s">
        <v>621</v>
      </c>
    </row>
    <row r="7" customFormat="false" ht="17.15" hidden="false" customHeight="false" outlineLevel="0" collapsed="false">
      <c r="A7" s="5" t="s">
        <v>622</v>
      </c>
      <c r="B7" s="10" t="n">
        <f aca="false">B6/px-1</f>
        <v>0.273866645746369</v>
      </c>
      <c r="E7" s="5" t="s">
        <v>623</v>
      </c>
    </row>
    <row r="8" customFormat="false" ht="17.15" hidden="false" customHeight="false" outlineLevel="0" collapsed="false">
      <c r="A8" s="5" t="s">
        <v>624</v>
      </c>
      <c r="B8" s="16" t="n">
        <f aca="false">F44</f>
        <v>266.43319753493</v>
      </c>
      <c r="E8" s="8" t="s">
        <v>625</v>
      </c>
    </row>
    <row r="9" customFormat="false" ht="17.15" hidden="false" customHeight="false" outlineLevel="0" collapsed="false">
      <c r="A9" s="5" t="s">
        <v>626</v>
      </c>
      <c r="B9" s="16" t="n">
        <f aca="false">F51</f>
        <v>185.121011415296</v>
      </c>
      <c r="E9" s="8" t="s">
        <v>627</v>
      </c>
    </row>
    <row r="10" customFormat="false" ht="17.15" hidden="false" customHeight="false" outlineLevel="0" collapsed="false">
      <c r="A10" s="5" t="s">
        <v>628</v>
      </c>
      <c r="B10" s="16" t="n">
        <f aca="false">F58</f>
        <v>61.7379266483555</v>
      </c>
      <c r="E10" s="8" t="s">
        <v>629</v>
      </c>
    </row>
    <row r="11" customFormat="false" ht="17.15" hidden="false" customHeight="false" outlineLevel="0" collapsed="false">
      <c r="A11" s="5" t="s">
        <v>630</v>
      </c>
      <c r="B11" s="27" t="n">
        <f aca="false">tp_wA</f>
        <v>0.3</v>
      </c>
      <c r="C11" s="27" t="n">
        <f aca="false">tp_wB</f>
        <v>0.5</v>
      </c>
      <c r="D11" s="27" t="n">
        <f aca="false">tp_wC</f>
        <v>0.2</v>
      </c>
      <c r="E11" s="8" t="s">
        <v>631</v>
      </c>
    </row>
    <row r="12" customFormat="false" ht="17.15" hidden="false" customHeight="false" outlineLevel="0" collapsed="false">
      <c r="A12" s="5" t="s">
        <v>632</v>
      </c>
      <c r="B12" s="0" t="s">
        <v>633</v>
      </c>
    </row>
    <row r="14" customFormat="false" ht="17.15" hidden="false" customHeight="false" outlineLevel="0" collapsed="false">
      <c r="A14" s="1" t="s">
        <v>634</v>
      </c>
    </row>
    <row r="15" customFormat="false" ht="17.15" hidden="false" customHeight="false" outlineLevel="0" collapsed="false">
      <c r="A15" s="6" t="s">
        <v>635</v>
      </c>
      <c r="B15" s="6" t="s">
        <v>636</v>
      </c>
      <c r="C15" s="6" t="s">
        <v>637</v>
      </c>
      <c r="D15" s="6" t="s">
        <v>638</v>
      </c>
      <c r="E15" s="6" t="s">
        <v>26</v>
      </c>
      <c r="F15" s="6" t="s">
        <v>639</v>
      </c>
    </row>
    <row r="16" customFormat="false" ht="17.15" hidden="false" customHeight="false" outlineLevel="0" collapsed="false">
      <c r="A16" s="0" t="s">
        <v>640</v>
      </c>
      <c r="B16" s="28" t="n">
        <v>12.14</v>
      </c>
      <c r="C16" s="20"/>
      <c r="D16" s="20" t="str">
        <f aca="false">IF(OR(B16="",C16=""),"",B16-C16)</f>
        <v/>
      </c>
      <c r="E16" s="8" t="s">
        <v>641</v>
      </c>
      <c r="F16" s="5" t="s">
        <v>642</v>
      </c>
    </row>
    <row r="17" customFormat="false" ht="17.15" hidden="false" customHeight="false" outlineLevel="0" collapsed="false">
      <c r="A17" s="0" t="s">
        <v>643</v>
      </c>
      <c r="B17" s="28" t="n">
        <v>12.33</v>
      </c>
      <c r="C17" s="20"/>
      <c r="D17" s="20" t="str">
        <f aca="false">IF(OR(B17="",C17=""),"",B17-C17)</f>
        <v/>
      </c>
      <c r="E17" s="8" t="s">
        <v>641</v>
      </c>
      <c r="F17" s="5" t="s">
        <v>644</v>
      </c>
    </row>
    <row r="18" customFormat="false" ht="17.15" hidden="false" customHeight="false" outlineLevel="0" collapsed="false">
      <c r="A18" s="0" t="s">
        <v>645</v>
      </c>
      <c r="B18" s="28" t="n">
        <v>8.01</v>
      </c>
      <c r="C18" s="20"/>
      <c r="D18" s="20" t="str">
        <f aca="false">IF(OR(B18="",C18=""),"",B18-C18)</f>
        <v/>
      </c>
      <c r="E18" s="8" t="s">
        <v>641</v>
      </c>
      <c r="F18" s="5" t="s">
        <v>644</v>
      </c>
    </row>
    <row r="19" customFormat="false" ht="17.15" hidden="false" customHeight="false" outlineLevel="0" collapsed="false">
      <c r="A19" s="0" t="s">
        <v>646</v>
      </c>
      <c r="B19" s="28" t="n">
        <v>27.37</v>
      </c>
      <c r="C19" s="20"/>
      <c r="D19" s="20" t="str">
        <f aca="false">IF(OR(B19="",C19=""),"",B19-C19)</f>
        <v/>
      </c>
      <c r="E19" s="8" t="s">
        <v>641</v>
      </c>
      <c r="F19" s="5" t="s">
        <v>644</v>
      </c>
    </row>
    <row r="20" customFormat="false" ht="17.15" hidden="false" customHeight="false" outlineLevel="0" collapsed="false">
      <c r="A20" s="0" t="s">
        <v>647</v>
      </c>
      <c r="B20" s="28" t="n">
        <v>26.94</v>
      </c>
      <c r="C20" s="20"/>
      <c r="D20" s="20" t="str">
        <f aca="false">IF(OR(B20="",C20=""),"",B20-C20)</f>
        <v/>
      </c>
      <c r="E20" s="8" t="s">
        <v>641</v>
      </c>
      <c r="F20" s="5" t="s">
        <v>644</v>
      </c>
    </row>
    <row r="21" customFormat="false" ht="17.15" hidden="false" customHeight="false" outlineLevel="0" collapsed="false">
      <c r="A21" s="0" t="s">
        <v>648</v>
      </c>
      <c r="B21" s="28" t="n">
        <v>18.62</v>
      </c>
      <c r="C21" s="28" t="n">
        <v>20.63</v>
      </c>
      <c r="D21" s="20" t="n">
        <f aca="false">IF(OR(B21="",C21=""),"",B21-C21)</f>
        <v>-2.01</v>
      </c>
      <c r="E21" s="8" t="s">
        <v>641</v>
      </c>
      <c r="F21" s="8" t="s">
        <v>649</v>
      </c>
    </row>
    <row r="22" customFormat="false" ht="17.15" hidden="false" customHeight="false" outlineLevel="0" collapsed="false">
      <c r="A22" s="0" t="s">
        <v>650</v>
      </c>
      <c r="B22" s="28" t="n">
        <v>18.21</v>
      </c>
      <c r="C22" s="28" t="n">
        <v>18.73</v>
      </c>
      <c r="D22" s="20" t="n">
        <f aca="false">IF(OR(B22="",C22=""),"",B22-C22)</f>
        <v>-0.52</v>
      </c>
      <c r="E22" s="8" t="s">
        <v>641</v>
      </c>
      <c r="F22" s="8" t="s">
        <v>651</v>
      </c>
    </row>
    <row r="23" customFormat="false" ht="17.15" hidden="false" customHeight="false" outlineLevel="0" collapsed="false">
      <c r="A23" s="0" t="s">
        <v>652</v>
      </c>
      <c r="B23" s="28" t="n">
        <v>60.96</v>
      </c>
      <c r="C23" s="28" t="n">
        <v>59.45</v>
      </c>
      <c r="D23" s="20" t="n">
        <f aca="false">IF(OR(B23="",C23=""),"",B23-C23)</f>
        <v>1.51</v>
      </c>
      <c r="E23" s="8" t="s">
        <v>641</v>
      </c>
      <c r="F23" s="8" t="s">
        <v>651</v>
      </c>
    </row>
    <row r="24" customFormat="false" ht="17.15" hidden="false" customHeight="false" outlineLevel="0" collapsed="false">
      <c r="A24" s="0" t="s">
        <v>653</v>
      </c>
      <c r="B24" s="28" t="n">
        <v>53.84</v>
      </c>
      <c r="C24" s="28" t="n">
        <v>57.95</v>
      </c>
      <c r="D24" s="20" t="n">
        <f aca="false">IF(OR(B24="",C24=""),"",B24-C24)</f>
        <v>-4.11</v>
      </c>
      <c r="E24" s="8" t="s">
        <v>641</v>
      </c>
      <c r="F24" s="8" t="s">
        <v>651</v>
      </c>
    </row>
    <row r="25" customFormat="false" ht="17.15" hidden="false" customHeight="false" outlineLevel="0" collapsed="false">
      <c r="A25" s="0" t="s">
        <v>654</v>
      </c>
      <c r="B25" s="20"/>
      <c r="C25" s="28" t="n">
        <v>80.1</v>
      </c>
      <c r="D25" s="20" t="str">
        <f aca="false">IF(OR(B25="",C25=""),"",B25-C25)</f>
        <v/>
      </c>
      <c r="E25" s="8" t="s">
        <v>641</v>
      </c>
      <c r="F25" s="8" t="s">
        <v>655</v>
      </c>
    </row>
    <row r="26" customFormat="false" ht="17.15" hidden="false" customHeight="false" outlineLevel="0" collapsed="false">
      <c r="A26" s="5" t="s">
        <v>656</v>
      </c>
    </row>
    <row r="28" customFormat="false" ht="17.15" hidden="false" customHeight="false" outlineLevel="0" collapsed="false">
      <c r="A28" s="1" t="s">
        <v>657</v>
      </c>
    </row>
    <row r="29" customFormat="false" ht="17.15" hidden="false" customHeight="false" outlineLevel="0" collapsed="false">
      <c r="A29" s="6" t="s">
        <v>658</v>
      </c>
      <c r="B29" s="6" t="s">
        <v>659</v>
      </c>
      <c r="C29" s="6" t="s">
        <v>27</v>
      </c>
      <c r="D29" s="6" t="s">
        <v>660</v>
      </c>
      <c r="E29" s="6" t="s">
        <v>661</v>
      </c>
    </row>
    <row r="30" customFormat="false" ht="17.15" hidden="false" customHeight="false" outlineLevel="0" collapsed="false">
      <c r="A30" s="0" t="s">
        <v>662</v>
      </c>
      <c r="B30" s="20" t="n">
        <f aca="false">ROUND(AVERAGE(C30,D30),2)</f>
        <v>16.48</v>
      </c>
      <c r="C30" s="20" t="n">
        <f aca="false">PERCENTILE(B16:B25,0.25)</f>
        <v>12.33</v>
      </c>
      <c r="D30" s="20" t="n">
        <f aca="false">PERCENTILE(C16:C25,0.25)</f>
        <v>20.63</v>
      </c>
      <c r="E30" s="5" t="s">
        <v>663</v>
      </c>
    </row>
    <row r="31" customFormat="false" ht="15" hidden="false" customHeight="false" outlineLevel="0" collapsed="false">
      <c r="A31" s="5" t="s">
        <v>664</v>
      </c>
      <c r="B31" s="20" t="n">
        <f aca="false">ROUND(AVERAGE(C31,D31),2)</f>
        <v>38.29</v>
      </c>
      <c r="C31" s="20" t="n">
        <f aca="false">PERCENTILE(B16:B25,0.5)</f>
        <v>18.62</v>
      </c>
      <c r="D31" s="20" t="n">
        <f aca="false">PERCENTILE(C16:C25,0.5)</f>
        <v>57.95</v>
      </c>
      <c r="E31" s="5" t="s">
        <v>665</v>
      </c>
    </row>
    <row r="32" customFormat="false" ht="17.15" hidden="false" customHeight="false" outlineLevel="0" collapsed="false">
      <c r="A32" s="0" t="s">
        <v>666</v>
      </c>
      <c r="B32" s="20" t="n">
        <f aca="false">ROUND(AVERAGE(C32,D32),2)</f>
        <v>43.41</v>
      </c>
      <c r="C32" s="20" t="n">
        <f aca="false">PERCENTILE(B16:B25,0.75)</f>
        <v>27.37</v>
      </c>
      <c r="D32" s="20" t="n">
        <f aca="false">PERCENTILE(C16:C25,0.75)</f>
        <v>59.45</v>
      </c>
      <c r="E32" s="5" t="s">
        <v>667</v>
      </c>
    </row>
    <row r="33" customFormat="false" ht="15" hidden="false" customHeight="false" outlineLevel="0" collapsed="false">
      <c r="A33" s="5" t="s">
        <v>668</v>
      </c>
      <c r="C33" s="0" t="n">
        <f aca="false">COUNT(B16:B25)</f>
        <v>9</v>
      </c>
      <c r="D33" s="0" t="n">
        <f aca="false">COUNT(C16:C25)</f>
        <v>5</v>
      </c>
    </row>
    <row r="35" customFormat="false" ht="17.15" hidden="false" customHeight="false" outlineLevel="0" collapsed="false">
      <c r="A35" s="1" t="s">
        <v>669</v>
      </c>
    </row>
    <row r="36" customFormat="false" ht="17.15" hidden="false" customHeight="false" outlineLevel="0" collapsed="false">
      <c r="A36" s="5" t="s">
        <v>670</v>
      </c>
    </row>
    <row r="37" customFormat="false" ht="17.15" hidden="false" customHeight="false" outlineLevel="0" collapsed="false">
      <c r="A37" s="6" t="s">
        <v>671</v>
      </c>
      <c r="B37" s="6" t="s">
        <v>672</v>
      </c>
      <c r="C37" s="14" t="s">
        <v>673</v>
      </c>
      <c r="D37" s="6" t="s">
        <v>674</v>
      </c>
      <c r="E37" s="6" t="s">
        <v>675</v>
      </c>
      <c r="F37" s="6" t="s">
        <v>676</v>
      </c>
    </row>
    <row r="38" customFormat="false" ht="15" hidden="false" customHeight="false" outlineLevel="0" collapsed="false">
      <c r="A38" s="0" t="s">
        <v>677</v>
      </c>
      <c r="B38" s="0" t="n">
        <f aca="false">pk_A</f>
        <v>2029</v>
      </c>
      <c r="C38" s="7" t="n">
        <v>2027</v>
      </c>
      <c r="D38" s="0" t="str">
        <f aca="false">IF(C38&lt;pk_A,"中段",IF(C38=pk_A,"見頂","谷底"))</f>
        <v>中段</v>
      </c>
      <c r="E38" s="20" t="n">
        <f aca="false">IF(D38="見頂",pe_peak,IF(D38="谷底",pe_trough,pe_mid))</f>
        <v>38.29</v>
      </c>
      <c r="F38" s="8" t="s">
        <v>678</v>
      </c>
    </row>
    <row r="39" customFormat="false" ht="15" hidden="false" customHeight="false" outlineLevel="0" collapsed="false">
      <c r="A39" s="0" t="s">
        <v>679</v>
      </c>
      <c r="B39" s="0" t="n">
        <f aca="false">pk_B</f>
        <v>2028</v>
      </c>
      <c r="C39" s="7" t="n">
        <v>2027</v>
      </c>
      <c r="D39" s="0" t="str">
        <f aca="false">IF(C39&lt;pk_B,"中段",IF(C39=pk_B,"見頂","谷底"))</f>
        <v>中段</v>
      </c>
      <c r="E39" s="20" t="n">
        <f aca="false">IF(D39="見頂",pe_peak,IF(D39="谷底",pe_trough,pe_mid))</f>
        <v>38.29</v>
      </c>
      <c r="F39" s="8" t="s">
        <v>678</v>
      </c>
    </row>
    <row r="40" customFormat="false" ht="15" hidden="false" customHeight="false" outlineLevel="0" collapsed="false">
      <c r="A40" s="0" t="s">
        <v>680</v>
      </c>
      <c r="B40" s="0" t="n">
        <f aca="false">pk_C</f>
        <v>2027</v>
      </c>
      <c r="C40" s="7" t="n">
        <v>2027</v>
      </c>
      <c r="D40" s="0" t="str">
        <f aca="false">IF(C40&lt;pk_C,"中段",IF(C40=pk_C,"見頂","谷底"))</f>
        <v>見頂</v>
      </c>
      <c r="E40" s="20" t="n">
        <f aca="false">IF(D40="見頂",pe_peak,IF(D40="谷底",pe_trough,pe_mid))</f>
        <v>16.48</v>
      </c>
      <c r="F40" s="8" t="s">
        <v>678</v>
      </c>
    </row>
    <row r="42" customFormat="false" ht="17.15" hidden="false" customHeight="false" outlineLevel="0" collapsed="false">
      <c r="A42" s="1" t="s">
        <v>681</v>
      </c>
    </row>
    <row r="43" customFormat="false" ht="17.15" hidden="false" customHeight="false" outlineLevel="0" collapsed="false">
      <c r="A43" s="6" t="s">
        <v>671</v>
      </c>
      <c r="B43" s="14" t="s">
        <v>682</v>
      </c>
      <c r="C43" s="14" t="s">
        <v>556</v>
      </c>
      <c r="D43" s="6" t="s">
        <v>683</v>
      </c>
      <c r="E43" s="6" t="s">
        <v>675</v>
      </c>
      <c r="F43" s="6" t="s">
        <v>684</v>
      </c>
      <c r="G43" s="6" t="s">
        <v>685</v>
      </c>
      <c r="H43" s="6" t="s">
        <v>686</v>
      </c>
    </row>
    <row r="44" customFormat="false" ht="15" hidden="false" customHeight="false" outlineLevel="0" collapsed="false">
      <c r="A44" s="29" t="s">
        <v>677</v>
      </c>
      <c r="B44" s="29" t="s">
        <v>549</v>
      </c>
      <c r="C44" s="30" t="n">
        <f aca="false">PL!E12</f>
        <v>6.95829714115775</v>
      </c>
      <c r="D44" s="29" t="str">
        <f aca="false">"規則值："&amp;D38</f>
        <v>規則值：中段</v>
      </c>
      <c r="E44" s="31" t="n">
        <f aca="false">E38</f>
        <v>38.29</v>
      </c>
      <c r="F44" s="26" t="n">
        <f aca="false">C44*E44</f>
        <v>266.43319753493</v>
      </c>
      <c r="G44" s="32" t="n">
        <f aca="false">F44/px-1</f>
        <v>0.836203980254517</v>
      </c>
      <c r="H44" s="29"/>
    </row>
    <row r="45" customFormat="false" ht="17.15" hidden="false" customHeight="false" outlineLevel="0" collapsed="false">
      <c r="A45" s="0" t="s">
        <v>677</v>
      </c>
      <c r="B45" s="0" t="s">
        <v>549</v>
      </c>
      <c r="C45" s="18" t="n">
        <f aca="false">PL!E12</f>
        <v>6.95829714115775</v>
      </c>
      <c r="D45" s="5" t="s">
        <v>687</v>
      </c>
      <c r="E45" s="20" t="n">
        <f aca="false">pe_peak</f>
        <v>16.48</v>
      </c>
      <c r="F45" s="16" t="n">
        <f aca="false">C45*E45</f>
        <v>114.67273688628</v>
      </c>
      <c r="G45" s="27" t="n">
        <f aca="false">F45/px-1</f>
        <v>-0.209698574181394</v>
      </c>
    </row>
    <row r="46" customFormat="false" ht="15" hidden="false" customHeight="false" outlineLevel="0" collapsed="false">
      <c r="A46" s="0" t="s">
        <v>677</v>
      </c>
      <c r="B46" s="0" t="s">
        <v>549</v>
      </c>
      <c r="C46" s="18" t="n">
        <f aca="false">PL!E12</f>
        <v>6.95829714115775</v>
      </c>
      <c r="D46" s="5" t="s">
        <v>688</v>
      </c>
      <c r="E46" s="20" t="n">
        <f aca="false">pe_mid</f>
        <v>38.29</v>
      </c>
      <c r="F46" s="16" t="n">
        <f aca="false">C46*E46</f>
        <v>266.43319753493</v>
      </c>
      <c r="G46" s="27" t="n">
        <f aca="false">F46/px-1</f>
        <v>0.836203980254517</v>
      </c>
    </row>
    <row r="47" customFormat="false" ht="17.15" hidden="false" customHeight="false" outlineLevel="0" collapsed="false">
      <c r="A47" s="0" t="s">
        <v>677</v>
      </c>
      <c r="B47" s="0" t="s">
        <v>549</v>
      </c>
      <c r="C47" s="18" t="n">
        <f aca="false">PL!E12</f>
        <v>6.95829714115775</v>
      </c>
      <c r="D47" s="5" t="s">
        <v>689</v>
      </c>
      <c r="E47" s="20" t="n">
        <f aca="false">pe_trough</f>
        <v>43.41</v>
      </c>
      <c r="F47" s="16" t="n">
        <f aca="false">C47*E47</f>
        <v>302.059678897658</v>
      </c>
      <c r="G47" s="27" t="n">
        <f aca="false">F47/px-1</f>
        <v>1.08173452031467</v>
      </c>
    </row>
    <row r="48" customFormat="false" ht="17.15" hidden="false" customHeight="false" outlineLevel="0" collapsed="false">
      <c r="A48" s="0" t="s">
        <v>677</v>
      </c>
      <c r="B48" s="0" t="s">
        <v>550</v>
      </c>
      <c r="C48" s="18" t="n">
        <f aca="false">PL!F12</f>
        <v>9.24448376254262</v>
      </c>
      <c r="D48" s="5" t="s">
        <v>687</v>
      </c>
      <c r="E48" s="20" t="n">
        <f aca="false">pe_peak</f>
        <v>16.48</v>
      </c>
      <c r="F48" s="16" t="n">
        <f aca="false">C48*E48</f>
        <v>152.349092406702</v>
      </c>
      <c r="G48" s="27" t="n">
        <f aca="false">F48/px-1</f>
        <v>0.0499592860558402</v>
      </c>
    </row>
    <row r="49" customFormat="false" ht="15" hidden="false" customHeight="false" outlineLevel="0" collapsed="false">
      <c r="A49" s="0" t="s">
        <v>677</v>
      </c>
      <c r="B49" s="0" t="s">
        <v>550</v>
      </c>
      <c r="C49" s="18" t="n">
        <f aca="false">PL!F12</f>
        <v>9.24448376254262</v>
      </c>
      <c r="D49" s="5" t="s">
        <v>688</v>
      </c>
      <c r="E49" s="20" t="n">
        <f aca="false">pe_mid</f>
        <v>38.29</v>
      </c>
      <c r="F49" s="16" t="n">
        <f aca="false">C49*E49</f>
        <v>353.971283267757</v>
      </c>
      <c r="G49" s="27" t="n">
        <f aca="false">F49/px-1</f>
        <v>1.43949885091493</v>
      </c>
    </row>
    <row r="50" customFormat="false" ht="17.15" hidden="false" customHeight="false" outlineLevel="0" collapsed="false">
      <c r="A50" s="0" t="s">
        <v>677</v>
      </c>
      <c r="B50" s="0" t="s">
        <v>550</v>
      </c>
      <c r="C50" s="18" t="n">
        <f aca="false">PL!F12</f>
        <v>9.24448376254262</v>
      </c>
      <c r="D50" s="5" t="s">
        <v>689</v>
      </c>
      <c r="E50" s="20" t="n">
        <f aca="false">pe_trough</f>
        <v>43.41</v>
      </c>
      <c r="F50" s="16" t="n">
        <f aca="false">C50*E50</f>
        <v>401.303040131975</v>
      </c>
      <c r="G50" s="27" t="n">
        <f aca="false">F50/px-1</f>
        <v>1.76569979415558</v>
      </c>
    </row>
    <row r="51" customFormat="false" ht="15" hidden="false" customHeight="false" outlineLevel="0" collapsed="false">
      <c r="A51" s="29" t="s">
        <v>679</v>
      </c>
      <c r="B51" s="29" t="s">
        <v>549</v>
      </c>
      <c r="C51" s="30" t="n">
        <f aca="false">PL!E22</f>
        <v>4.83470909938093</v>
      </c>
      <c r="D51" s="29" t="str">
        <f aca="false">"規則值："&amp;D39</f>
        <v>規則值：中段</v>
      </c>
      <c r="E51" s="31" t="n">
        <f aca="false">E39</f>
        <v>38.29</v>
      </c>
      <c r="F51" s="26" t="n">
        <f aca="false">C51*E51</f>
        <v>185.121011415296</v>
      </c>
      <c r="G51" s="32" t="n">
        <f aca="false">F51/px-1</f>
        <v>0.27581675682492</v>
      </c>
      <c r="H51" s="29"/>
    </row>
    <row r="52" customFormat="false" ht="17.15" hidden="false" customHeight="false" outlineLevel="0" collapsed="false">
      <c r="A52" s="0" t="s">
        <v>679</v>
      </c>
      <c r="B52" s="0" t="s">
        <v>549</v>
      </c>
      <c r="C52" s="18" t="n">
        <f aca="false">PL!E22</f>
        <v>4.83470909938093</v>
      </c>
      <c r="D52" s="5" t="s">
        <v>687</v>
      </c>
      <c r="E52" s="20" t="n">
        <f aca="false">pe_peak</f>
        <v>16.48</v>
      </c>
      <c r="F52" s="16" t="n">
        <f aca="false">C52*E52</f>
        <v>79.6760059577977</v>
      </c>
      <c r="G52" s="27" t="n">
        <f aca="false">F52/px-1</f>
        <v>-0.450889000980029</v>
      </c>
    </row>
    <row r="53" customFormat="false" ht="15" hidden="false" customHeight="false" outlineLevel="0" collapsed="false">
      <c r="A53" s="0" t="s">
        <v>679</v>
      </c>
      <c r="B53" s="0" t="s">
        <v>549</v>
      </c>
      <c r="C53" s="18" t="n">
        <f aca="false">PL!E22</f>
        <v>4.83470909938093</v>
      </c>
      <c r="D53" s="5" t="s">
        <v>688</v>
      </c>
      <c r="E53" s="20" t="n">
        <f aca="false">pe_mid</f>
        <v>38.29</v>
      </c>
      <c r="F53" s="16" t="n">
        <f aca="false">C53*E53</f>
        <v>185.121011415296</v>
      </c>
      <c r="G53" s="27" t="n">
        <f aca="false">F53/px-1</f>
        <v>0.27581675682492</v>
      </c>
    </row>
    <row r="54" customFormat="false" ht="17.15" hidden="false" customHeight="false" outlineLevel="0" collapsed="false">
      <c r="A54" s="0" t="s">
        <v>679</v>
      </c>
      <c r="B54" s="0" t="s">
        <v>549</v>
      </c>
      <c r="C54" s="18" t="n">
        <f aca="false">PL!E22</f>
        <v>4.83470909938093</v>
      </c>
      <c r="D54" s="5" t="s">
        <v>689</v>
      </c>
      <c r="E54" s="20" t="n">
        <f aca="false">pe_trough</f>
        <v>43.41</v>
      </c>
      <c r="F54" s="16" t="n">
        <f aca="false">C54*E54</f>
        <v>209.874722004126</v>
      </c>
      <c r="G54" s="27" t="n">
        <f aca="false">F54/px-1</f>
        <v>0.446414348753454</v>
      </c>
    </row>
    <row r="55" customFormat="false" ht="17.15" hidden="false" customHeight="false" outlineLevel="0" collapsed="false">
      <c r="A55" s="0" t="s">
        <v>679</v>
      </c>
      <c r="B55" s="0" t="s">
        <v>550</v>
      </c>
      <c r="C55" s="18" t="n">
        <f aca="false">PL!F22</f>
        <v>6.47307834301306</v>
      </c>
      <c r="D55" s="5" t="s">
        <v>687</v>
      </c>
      <c r="E55" s="20" t="n">
        <f aca="false">pe_peak</f>
        <v>16.48</v>
      </c>
      <c r="F55" s="16" t="n">
        <f aca="false">C55*E55</f>
        <v>106.676331092855</v>
      </c>
      <c r="G55" s="27" t="n">
        <f aca="false">F55/px-1</f>
        <v>-0.264808193708785</v>
      </c>
    </row>
    <row r="56" customFormat="false" ht="15" hidden="false" customHeight="false" outlineLevel="0" collapsed="false">
      <c r="A56" s="0" t="s">
        <v>679</v>
      </c>
      <c r="B56" s="0" t="s">
        <v>550</v>
      </c>
      <c r="C56" s="18" t="n">
        <f aca="false">PL!F22</f>
        <v>6.47307834301306</v>
      </c>
      <c r="D56" s="5" t="s">
        <v>688</v>
      </c>
      <c r="E56" s="20" t="n">
        <f aca="false">pe_mid</f>
        <v>38.29</v>
      </c>
      <c r="F56" s="16" t="n">
        <f aca="false">C56*E56</f>
        <v>247.85416975397</v>
      </c>
      <c r="G56" s="27" t="n">
        <f aca="false">F56/px-1</f>
        <v>0.708161059641421</v>
      </c>
    </row>
    <row r="57" customFormat="false" ht="17.15" hidden="false" customHeight="false" outlineLevel="0" collapsed="false">
      <c r="A57" s="0" t="s">
        <v>679</v>
      </c>
      <c r="B57" s="0" t="s">
        <v>550</v>
      </c>
      <c r="C57" s="18" t="n">
        <f aca="false">PL!F22</f>
        <v>6.47307834301306</v>
      </c>
      <c r="D57" s="5" t="s">
        <v>689</v>
      </c>
      <c r="E57" s="20" t="n">
        <f aca="false">pe_trough</f>
        <v>43.41</v>
      </c>
      <c r="F57" s="16" t="n">
        <f aca="false">C57*E57</f>
        <v>280.996330870197</v>
      </c>
      <c r="G57" s="27" t="n">
        <f aca="false">F57/px-1</f>
        <v>0.936570164508594</v>
      </c>
    </row>
    <row r="58" customFormat="false" ht="15" hidden="false" customHeight="false" outlineLevel="0" collapsed="false">
      <c r="A58" s="29" t="s">
        <v>680</v>
      </c>
      <c r="B58" s="29" t="s">
        <v>549</v>
      </c>
      <c r="C58" s="30" t="n">
        <f aca="false">PL!E32</f>
        <v>3.74623341312837</v>
      </c>
      <c r="D58" s="29" t="str">
        <f aca="false">"規則值："&amp;D40</f>
        <v>規則值：見頂</v>
      </c>
      <c r="E58" s="31" t="n">
        <f aca="false">E40</f>
        <v>16.48</v>
      </c>
      <c r="F58" s="26" t="n">
        <f aca="false">C58*E58</f>
        <v>61.7379266483555</v>
      </c>
      <c r="G58" s="32" t="n">
        <f aca="false">F58/px-1</f>
        <v>-0.574514633712229</v>
      </c>
      <c r="H58" s="29"/>
    </row>
    <row r="59" customFormat="false" ht="17.15" hidden="false" customHeight="false" outlineLevel="0" collapsed="false">
      <c r="A59" s="0" t="s">
        <v>680</v>
      </c>
      <c r="B59" s="0" t="s">
        <v>549</v>
      </c>
      <c r="C59" s="18" t="n">
        <f aca="false">PL!E32</f>
        <v>3.74623341312837</v>
      </c>
      <c r="D59" s="5" t="s">
        <v>687</v>
      </c>
      <c r="E59" s="20" t="n">
        <f aca="false">pe_peak</f>
        <v>16.48</v>
      </c>
      <c r="F59" s="16" t="n">
        <f aca="false">C59*E59</f>
        <v>61.7379266483555</v>
      </c>
      <c r="G59" s="27" t="n">
        <f aca="false">F59/px-1</f>
        <v>-0.574514633712229</v>
      </c>
    </row>
    <row r="60" customFormat="false" ht="15" hidden="false" customHeight="false" outlineLevel="0" collapsed="false">
      <c r="A60" s="0" t="s">
        <v>680</v>
      </c>
      <c r="B60" s="0" t="s">
        <v>549</v>
      </c>
      <c r="C60" s="18" t="n">
        <f aca="false">PL!E32</f>
        <v>3.74623341312837</v>
      </c>
      <c r="D60" s="5" t="s">
        <v>688</v>
      </c>
      <c r="E60" s="20" t="n">
        <f aca="false">pe_mid</f>
        <v>38.29</v>
      </c>
      <c r="F60" s="16" t="n">
        <f aca="false">C60*E60</f>
        <v>143.443277388685</v>
      </c>
      <c r="G60" s="27" t="n">
        <f aca="false">F60/px-1</f>
        <v>-0.0114177988374549</v>
      </c>
    </row>
    <row r="61" customFormat="false" ht="17.15" hidden="false" customHeight="false" outlineLevel="0" collapsed="false">
      <c r="A61" s="0" t="s">
        <v>680</v>
      </c>
      <c r="B61" s="0" t="s">
        <v>549</v>
      </c>
      <c r="C61" s="18" t="n">
        <f aca="false">PL!E32</f>
        <v>3.74623341312837</v>
      </c>
      <c r="D61" s="5" t="s">
        <v>689</v>
      </c>
      <c r="E61" s="20" t="n">
        <f aca="false">pe_trough</f>
        <v>43.41</v>
      </c>
      <c r="F61" s="16" t="n">
        <f aca="false">C61*E61</f>
        <v>162.623992463903</v>
      </c>
      <c r="G61" s="27" t="n">
        <f aca="false">F61/px-1</f>
        <v>0.120771829523794</v>
      </c>
    </row>
    <row r="62" customFormat="false" ht="17.15" hidden="false" customHeight="false" outlineLevel="0" collapsed="false">
      <c r="A62" s="0" t="s">
        <v>680</v>
      </c>
      <c r="B62" s="0" t="s">
        <v>550</v>
      </c>
      <c r="C62" s="18" t="n">
        <f aca="false">PL!F32</f>
        <v>3.16946360831683</v>
      </c>
      <c r="D62" s="5" t="s">
        <v>687</v>
      </c>
      <c r="E62" s="20" t="n">
        <f aca="false">pe_peak</f>
        <v>16.48</v>
      </c>
      <c r="F62" s="16" t="n">
        <f aca="false">C62*E62</f>
        <v>52.2327602650613</v>
      </c>
      <c r="G62" s="27" t="n">
        <f aca="false">F62/px-1</f>
        <v>-0.640022327601232</v>
      </c>
    </row>
    <row r="63" customFormat="false" ht="15" hidden="false" customHeight="false" outlineLevel="0" collapsed="false">
      <c r="A63" s="0" t="s">
        <v>680</v>
      </c>
      <c r="B63" s="0" t="s">
        <v>550</v>
      </c>
      <c r="C63" s="18" t="n">
        <f aca="false">PL!F32</f>
        <v>3.16946360831683</v>
      </c>
      <c r="D63" s="5" t="s">
        <v>688</v>
      </c>
      <c r="E63" s="20" t="n">
        <f aca="false">pe_mid</f>
        <v>38.29</v>
      </c>
      <c r="F63" s="16" t="n">
        <f aca="false">C63*E63</f>
        <v>121.358761562451</v>
      </c>
      <c r="G63" s="27" t="n">
        <f aca="false">F63/px-1</f>
        <v>-0.163619837612328</v>
      </c>
    </row>
    <row r="64" customFormat="false" ht="17.15" hidden="false" customHeight="false" outlineLevel="0" collapsed="false">
      <c r="A64" s="0" t="s">
        <v>680</v>
      </c>
      <c r="B64" s="0" t="s">
        <v>550</v>
      </c>
      <c r="C64" s="18" t="n">
        <f aca="false">PL!F32</f>
        <v>3.16946360831683</v>
      </c>
      <c r="D64" s="5" t="s">
        <v>689</v>
      </c>
      <c r="E64" s="20" t="n">
        <f aca="false">pe_trough</f>
        <v>43.41</v>
      </c>
      <c r="F64" s="16" t="n">
        <f aca="false">C64*E64</f>
        <v>137.586415237033</v>
      </c>
      <c r="G64" s="27" t="n">
        <f aca="false">F64/px-1</f>
        <v>-0.0517821141486325</v>
      </c>
    </row>
    <row r="66" customFormat="false" ht="17.15" hidden="false" customHeight="false" outlineLevel="0" collapsed="false">
      <c r="A66" s="1" t="s">
        <v>690</v>
      </c>
    </row>
    <row r="67" customFormat="false" ht="15" hidden="false" customHeight="false" outlineLevel="0" collapsed="false">
      <c r="A67" s="6" t="s">
        <v>21</v>
      </c>
      <c r="B67" s="14" t="s">
        <v>677</v>
      </c>
      <c r="C67" s="14" t="s">
        <v>679</v>
      </c>
      <c r="D67" s="14" t="s">
        <v>680</v>
      </c>
      <c r="E67" s="6" t="s">
        <v>686</v>
      </c>
    </row>
    <row r="68" customFormat="false" ht="17.15" hidden="false" customHeight="false" outlineLevel="0" collapsed="false">
      <c r="A68" s="5" t="s">
        <v>691</v>
      </c>
      <c r="B68" s="13" t="n">
        <f aca="false">px</f>
        <v>145.1</v>
      </c>
    </row>
    <row r="69" customFormat="false" ht="17.15" hidden="false" customHeight="false" outlineLevel="0" collapsed="false">
      <c r="A69" s="5" t="s">
        <v>692</v>
      </c>
      <c r="B69" s="20" t="n">
        <f aca="false">px/PL!D12</f>
        <v>33.4607043133309</v>
      </c>
      <c r="C69" s="20" t="n">
        <f aca="false">px/PL!D22</f>
        <v>33.4607043133309</v>
      </c>
      <c r="D69" s="20" t="n">
        <f aca="false">px/PL!D32</f>
        <v>33.4607043133309</v>
      </c>
    </row>
    <row r="70" customFormat="false" ht="17.15" hidden="false" customHeight="false" outlineLevel="0" collapsed="false">
      <c r="A70" s="5" t="s">
        <v>693</v>
      </c>
      <c r="B70" s="20" t="n">
        <f aca="false">px/PL!E12</f>
        <v>20.852803071853</v>
      </c>
      <c r="C70" s="20" t="n">
        <f aca="false">px/PL!E22</f>
        <v>30.0121469601097</v>
      </c>
      <c r="D70" s="20" t="n">
        <f aca="false">px/PL!E32</f>
        <v>38.732236889327</v>
      </c>
    </row>
    <row r="71" customFormat="false" ht="17.15" hidden="false" customHeight="false" outlineLevel="0" collapsed="false">
      <c r="A71" s="5" t="s">
        <v>694</v>
      </c>
      <c r="B71" s="20" t="n">
        <f aca="false">px/PL!F12</f>
        <v>15.6958467045965</v>
      </c>
      <c r="C71" s="20" t="n">
        <f aca="false">px/PL!F22</f>
        <v>22.4159190281728</v>
      </c>
      <c r="D71" s="20" t="n">
        <f aca="false">px/PL!F32</f>
        <v>45.7806171426769</v>
      </c>
    </row>
    <row r="72" customFormat="false" ht="17.15" hidden="false" customHeight="false" outlineLevel="0" collapsed="false">
      <c r="A72" s="5" t="s">
        <v>695</v>
      </c>
      <c r="B72" s="7" t="n">
        <v>39.84</v>
      </c>
      <c r="E72" s="5" t="s">
        <v>696</v>
      </c>
    </row>
    <row r="73" customFormat="false" ht="17.15" hidden="false" customHeight="false" outlineLevel="0" collapsed="false">
      <c r="A73" s="5" t="s">
        <v>697</v>
      </c>
      <c r="B73" s="20" t="n">
        <f aca="false">px/cons_eps27</f>
        <v>22.5031017369727</v>
      </c>
    </row>
    <row r="74" customFormat="false" ht="17.15" hidden="false" customHeight="false" outlineLevel="0" collapsed="false">
      <c r="A74" s="5" t="s">
        <v>698</v>
      </c>
      <c r="B74" s="18" t="n">
        <f aca="false">B70/E38</f>
        <v>0.544601803913632</v>
      </c>
      <c r="E74" s="8" t="s">
        <v>699</v>
      </c>
    </row>
    <row r="77" customFormat="false" ht="17.15" hidden="false" customHeight="false" outlineLevel="0" collapsed="false">
      <c r="A77" s="1" t="s">
        <v>700</v>
      </c>
    </row>
    <row r="78" customFormat="false" ht="17.15" hidden="false" customHeight="false" outlineLevel="0" collapsed="false">
      <c r="A78" s="1" t="s">
        <v>701</v>
      </c>
    </row>
    <row r="79" customFormat="false" ht="17.15" hidden="false" customHeight="false" outlineLevel="0" collapsed="false">
      <c r="A79" s="6" t="s">
        <v>21</v>
      </c>
      <c r="B79" s="14" t="s">
        <v>702</v>
      </c>
      <c r="C79" s="14" t="s">
        <v>703</v>
      </c>
      <c r="D79" s="14" t="s">
        <v>704</v>
      </c>
      <c r="E79" s="6" t="s">
        <v>427</v>
      </c>
    </row>
    <row r="80" customFormat="false" ht="17.15" hidden="false" customHeight="false" outlineLevel="0" collapsed="false">
      <c r="A80" s="5" t="s">
        <v>705</v>
      </c>
      <c r="E80" s="0" t="s">
        <v>706</v>
      </c>
    </row>
    <row r="81" customFormat="false" ht="15" hidden="false" customHeight="false" outlineLevel="0" collapsed="false">
      <c r="A81" s="0" t="s">
        <v>707</v>
      </c>
      <c r="B81" s="13" t="n">
        <f aca="false">PL!E153</f>
        <v>6.95829714115775</v>
      </c>
      <c r="C81" s="13" t="n">
        <f aca="false">PL!E160</f>
        <v>4.83470909938093</v>
      </c>
      <c r="D81" s="13" t="n">
        <f aca="false">PL!E167</f>
        <v>3.74623341312837</v>
      </c>
    </row>
    <row r="82" customFormat="false" ht="15" hidden="false" customHeight="false" outlineLevel="0" collapsed="false">
      <c r="A82" s="0" t="s">
        <v>708</v>
      </c>
      <c r="B82" s="13" t="n">
        <f aca="false">PL!F153</f>
        <v>9.24448376254262</v>
      </c>
      <c r="C82" s="13" t="n">
        <f aca="false">PL!F160</f>
        <v>6.47307834301306</v>
      </c>
      <c r="D82" s="13" t="n">
        <f aca="false">PL!F167</f>
        <v>3.16946360831683</v>
      </c>
    </row>
    <row r="83" customFormat="false" ht="15" hidden="false" customHeight="false" outlineLevel="0" collapsed="false">
      <c r="A83" s="0" t="s">
        <v>709</v>
      </c>
      <c r="B83" s="13" t="n">
        <f aca="false">PL!G153</f>
        <v>10.040953461406</v>
      </c>
      <c r="C83" s="13" t="n">
        <f aca="false">PL!G160</f>
        <v>6.41831193388275</v>
      </c>
      <c r="D83" s="13" t="n">
        <f aca="false">PL!G167</f>
        <v>3.252531076324</v>
      </c>
    </row>
    <row r="84" customFormat="false" ht="15" hidden="false" customHeight="false" outlineLevel="0" collapsed="false">
      <c r="A84" s="0" t="s">
        <v>710</v>
      </c>
      <c r="B84" s="13" t="n">
        <f aca="false">PL!H153</f>
        <v>10.7243237682053</v>
      </c>
      <c r="C84" s="13" t="n">
        <f aca="false">PL!H160</f>
        <v>6.15457243319236</v>
      </c>
      <c r="D84" s="13" t="n">
        <f aca="false">PL!H167</f>
        <v>3.21637052734728</v>
      </c>
    </row>
    <row r="85" customFormat="false" ht="15" hidden="false" customHeight="false" outlineLevel="0" collapsed="false">
      <c r="A85" s="0" t="s">
        <v>711</v>
      </c>
      <c r="B85" s="13" t="n">
        <f aca="false">PL!I153</f>
        <v>11.4109931481796</v>
      </c>
      <c r="C85" s="13" t="n">
        <f aca="false">PL!I160</f>
        <v>5.98571218337979</v>
      </c>
      <c r="D85" s="13" t="n">
        <f aca="false">PL!I167</f>
        <v>3.18299444535554</v>
      </c>
    </row>
    <row r="86" customFormat="false" ht="15" hidden="false" customHeight="false" outlineLevel="0" collapsed="false">
      <c r="A86" s="0" t="s">
        <v>712</v>
      </c>
      <c r="B86" s="13" t="n">
        <f aca="false">PL!J153</f>
        <v>12.0956527370704</v>
      </c>
      <c r="C86" s="13" t="n">
        <f aca="false">PL!J160</f>
        <v>5.90124123575588</v>
      </c>
      <c r="D86" s="13" t="n">
        <f aca="false">PL!J167</f>
        <v>3.15216765067947</v>
      </c>
    </row>
    <row r="87" customFormat="false" ht="17.15" hidden="false" customHeight="false" outlineLevel="0" collapsed="false">
      <c r="A87" s="5" t="s">
        <v>713</v>
      </c>
      <c r="E87" s="5" t="s">
        <v>714</v>
      </c>
    </row>
    <row r="88" customFormat="false" ht="17.15" hidden="false" customHeight="false" outlineLevel="0" collapsed="false">
      <c r="A88" s="5" t="s">
        <v>715</v>
      </c>
      <c r="B88" s="10" t="n">
        <f aca="false">MIN(tp_g/tp_roe,0.8)</f>
        <v>0.117797192500245</v>
      </c>
      <c r="E88" s="8" t="s">
        <v>716</v>
      </c>
    </row>
    <row r="89" customFormat="false" ht="15" hidden="false" customHeight="false" outlineLevel="0" collapsed="false">
      <c r="A89" s="0" t="s">
        <v>707</v>
      </c>
      <c r="B89" s="13" t="n">
        <f aca="false">B81*(1-$B$88)</f>
        <v>6.13862927334689</v>
      </c>
      <c r="C89" s="13" t="n">
        <f aca="false">C81*(1-$B$88)</f>
        <v>4.26519394091847</v>
      </c>
      <c r="D89" s="13" t="n">
        <f aca="false">D81*(1-$B$88)</f>
        <v>3.30493763461124</v>
      </c>
    </row>
    <row r="90" customFormat="false" ht="15" hidden="false" customHeight="false" outlineLevel="0" collapsed="false">
      <c r="A90" s="0" t="s">
        <v>708</v>
      </c>
      <c r="B90" s="13" t="n">
        <f aca="false">B82*(1-$B$88)</f>
        <v>8.15550952920099</v>
      </c>
      <c r="C90" s="13" t="n">
        <f aca="false">C82*(1-$B$88)</f>
        <v>5.71056788737198</v>
      </c>
      <c r="D90" s="13" t="n">
        <f aca="false">D82*(1-$B$88)</f>
        <v>2.79610969352541</v>
      </c>
    </row>
    <row r="91" customFormat="false" ht="15" hidden="false" customHeight="false" outlineLevel="0" collapsed="false">
      <c r="A91" s="0" t="s">
        <v>709</v>
      </c>
      <c r="B91" s="13" t="n">
        <f aca="false">B83*(1-$B$88)</f>
        <v>8.85815733362679</v>
      </c>
      <c r="C91" s="13" t="n">
        <f aca="false">C83*(1-$B$88)</f>
        <v>5.66225280748054</v>
      </c>
      <c r="D91" s="13" t="n">
        <f aca="false">D83*(1-$B$88)</f>
        <v>2.86939204701323</v>
      </c>
    </row>
    <row r="92" customFormat="false" ht="15" hidden="false" customHeight="false" outlineLevel="0" collapsed="false">
      <c r="A92" s="0" t="s">
        <v>710</v>
      </c>
      <c r="B92" s="13" t="n">
        <f aca="false">B84*(1-$B$88)</f>
        <v>9.46102853684706</v>
      </c>
      <c r="C92" s="13" t="n">
        <f aca="false">C84*(1-$B$88)</f>
        <v>5.42958107952289</v>
      </c>
      <c r="D92" s="13" t="n">
        <f aca="false">D84*(1-$B$88)</f>
        <v>2.83749110918523</v>
      </c>
    </row>
    <row r="93" customFormat="false" ht="15" hidden="false" customHeight="false" outlineLevel="0" collapsed="false">
      <c r="A93" s="0" t="s">
        <v>711</v>
      </c>
      <c r="B93" s="13" t="n">
        <f aca="false">B85*(1-$B$88)</f>
        <v>10.0668101916845</v>
      </c>
      <c r="C93" s="13" t="n">
        <f aca="false">C85*(1-$B$88)</f>
        <v>5.28061209306313</v>
      </c>
      <c r="D93" s="13" t="n">
        <f aca="false">D85*(1-$B$88)</f>
        <v>2.80804663594878</v>
      </c>
    </row>
    <row r="94" customFormat="false" ht="15" hidden="false" customHeight="false" outlineLevel="0" collapsed="false">
      <c r="A94" s="0" t="s">
        <v>712</v>
      </c>
      <c r="B94" s="13" t="n">
        <f aca="false">B86*(1-$B$88)</f>
        <v>10.6708188031856</v>
      </c>
      <c r="C94" s="13" t="n">
        <f aca="false">C86*(1-$B$88)</f>
        <v>5.20609158591716</v>
      </c>
      <c r="D94" s="13" t="n">
        <f aca="false">D86*(1-$B$88)</f>
        <v>2.78085115113933</v>
      </c>
    </row>
    <row r="95" customFormat="false" ht="17.15" hidden="false" customHeight="false" outlineLevel="0" collapsed="false">
      <c r="A95" s="0" t="s">
        <v>717</v>
      </c>
      <c r="B95" s="13" t="n">
        <f aca="false">MAX(0,SUMPRODUCT(B89:B94,1/(1+tp_r)^{1;2;3;4;5;6})+B94*(1+tp_g)/(tp_r-tp_g)/(1+tp_r)^6)</f>
        <v>142.117616352256</v>
      </c>
      <c r="C95" s="13" t="n">
        <f aca="false">MAX(0,SUMPRODUCT(C89:C94,1/(1+tp_r)^{1;2;3;4;5;6})+C94*(1+tp_g)/(tp_r-tp_g)/(1+tp_r)^6)</f>
        <v>73.7146038107182</v>
      </c>
      <c r="D95" s="13" t="n">
        <f aca="false">MAX(0,SUMPRODUCT(D89:D94,1/(1+tp_r)^{1;2;3;4;5;6})+D94*(1+tp_g)/(tp_r-tp_g)/(1+tp_r)^6)</f>
        <v>39.930923503431</v>
      </c>
      <c r="E95" s="8" t="s">
        <v>718</v>
      </c>
    </row>
    <row r="96" customFormat="false" ht="17.15" hidden="false" customHeight="false" outlineLevel="0" collapsed="false">
      <c r="A96" s="0" t="s">
        <v>719</v>
      </c>
      <c r="B96" s="13" t="n">
        <f aca="false">B95*(1+tp_r)</f>
        <v>156.329377987481</v>
      </c>
      <c r="C96" s="13" t="n">
        <f aca="false">C95*(1+tp_r)</f>
        <v>81.0860641917901</v>
      </c>
      <c r="D96" s="13" t="n">
        <f aca="false">D95*(1+tp_r)</f>
        <v>43.9240158537741</v>
      </c>
    </row>
    <row r="97" customFormat="false" ht="17.15" hidden="false" customHeight="false" outlineLevel="0" collapsed="false">
      <c r="A97" s="0" t="s">
        <v>720</v>
      </c>
      <c r="B97" s="33" t="n">
        <f aca="false">tp_wA*B96+tp_wB*C96+tp_wC*D96</f>
        <v>96.2266486628942</v>
      </c>
      <c r="E97" s="8" t="s">
        <v>721</v>
      </c>
    </row>
    <row r="99" customFormat="false" ht="17.15" hidden="false" customHeight="false" outlineLevel="0" collapsed="false">
      <c r="A99" s="1" t="s">
        <v>722</v>
      </c>
    </row>
    <row r="100" customFormat="false" ht="17.15" hidden="false" customHeight="false" outlineLevel="0" collapsed="false">
      <c r="A100" s="6" t="s">
        <v>723</v>
      </c>
      <c r="B100" s="6" t="s">
        <v>724</v>
      </c>
      <c r="C100" s="6" t="s">
        <v>725</v>
      </c>
      <c r="D100" s="6" t="s">
        <v>726</v>
      </c>
      <c r="E100" s="6" t="s">
        <v>727</v>
      </c>
      <c r="F100" s="6" t="s">
        <v>26</v>
      </c>
    </row>
    <row r="101" customFormat="false" ht="17.15" hidden="false" customHeight="false" outlineLevel="0" collapsed="false">
      <c r="A101" s="0" t="s">
        <v>728</v>
      </c>
      <c r="B101" s="0" t="s">
        <v>729</v>
      </c>
      <c r="C101" s="28" t="n">
        <v>25.77</v>
      </c>
      <c r="D101" s="8" t="s">
        <v>730</v>
      </c>
      <c r="E101" s="8" t="s">
        <v>731</v>
      </c>
      <c r="F101" s="8" t="s">
        <v>241</v>
      </c>
    </row>
    <row r="102" customFormat="false" ht="17.15" hidden="false" customHeight="false" outlineLevel="0" collapsed="false">
      <c r="A102" s="0" t="s">
        <v>732</v>
      </c>
      <c r="B102" s="0" t="s">
        <v>733</v>
      </c>
      <c r="C102" s="28" t="n">
        <v>30.26</v>
      </c>
      <c r="D102" s="8" t="s">
        <v>734</v>
      </c>
      <c r="E102" s="8" t="s">
        <v>735</v>
      </c>
      <c r="F102" s="8" t="s">
        <v>241</v>
      </c>
    </row>
    <row r="103" customFormat="false" ht="17.15" hidden="false" customHeight="false" outlineLevel="0" collapsed="false">
      <c r="A103" s="0" t="s">
        <v>736</v>
      </c>
      <c r="B103" s="0" t="s">
        <v>737</v>
      </c>
      <c r="C103" s="28" t="n">
        <v>12.61</v>
      </c>
      <c r="D103" s="8" t="s">
        <v>730</v>
      </c>
      <c r="E103" s="8" t="s">
        <v>738</v>
      </c>
      <c r="F103" s="8" t="s">
        <v>241</v>
      </c>
    </row>
    <row r="104" customFormat="false" ht="17.15" hidden="false" customHeight="false" outlineLevel="0" collapsed="false">
      <c r="A104" s="0" t="s">
        <v>739</v>
      </c>
      <c r="B104" s="0" t="s">
        <v>740</v>
      </c>
      <c r="C104" s="28" t="n">
        <v>26.01</v>
      </c>
      <c r="D104" s="8" t="s">
        <v>730</v>
      </c>
      <c r="E104" s="8" t="s">
        <v>738</v>
      </c>
      <c r="F104" s="8" t="s">
        <v>241</v>
      </c>
    </row>
    <row r="105" customFormat="false" ht="17.15" hidden="false" customHeight="false" outlineLevel="0" collapsed="false">
      <c r="A105" s="5" t="s">
        <v>741</v>
      </c>
      <c r="B105" s="0" t="s">
        <v>742</v>
      </c>
      <c r="C105" s="28" t="n">
        <v>44.63</v>
      </c>
      <c r="D105" s="8" t="s">
        <v>743</v>
      </c>
      <c r="E105" s="8" t="s">
        <v>744</v>
      </c>
      <c r="F105" s="8" t="s">
        <v>241</v>
      </c>
    </row>
    <row r="106" customFormat="false" ht="17.15" hidden="false" customHeight="false" outlineLevel="0" collapsed="false">
      <c r="A106" s="5" t="s">
        <v>745</v>
      </c>
      <c r="B106" s="20" t="n">
        <f aca="false">MEDIAN(C101:C105)</f>
        <v>26.01</v>
      </c>
      <c r="E106" s="5" t="s">
        <v>746</v>
      </c>
    </row>
    <row r="107" customFormat="false" ht="17.15" hidden="false" customHeight="false" outlineLevel="0" collapsed="false">
      <c r="A107" s="0" t="s">
        <v>747</v>
      </c>
      <c r="B107" s="13" t="n">
        <f aca="false">tp_wA*(2/12*B81+10/12*B82)+tp_wB*(2/12*C81+10/12*C82)+tp_wC*(2/12*D81+10/12*D82)</f>
        <v>6.41216258072115</v>
      </c>
      <c r="E107" s="5" t="s">
        <v>748</v>
      </c>
    </row>
    <row r="108" customFormat="false" ht="17.15" hidden="false" customHeight="false" outlineLevel="0" collapsed="false">
      <c r="A108" s="0" t="s">
        <v>749</v>
      </c>
      <c r="B108" s="33" t="n">
        <f aca="false">B106*B107</f>
        <v>166.780348724557</v>
      </c>
      <c r="E108" s="5" t="s">
        <v>750</v>
      </c>
    </row>
    <row r="110" customFormat="false" ht="17.15" hidden="false" customHeight="false" outlineLevel="0" collapsed="false">
      <c r="A110" s="1" t="s">
        <v>751</v>
      </c>
    </row>
    <row r="111" customFormat="false" ht="15" hidden="false" customHeight="false" outlineLevel="0" collapsed="false">
      <c r="A111" s="6" t="s">
        <v>21</v>
      </c>
      <c r="B111" s="6" t="s">
        <v>619</v>
      </c>
      <c r="C111" s="14"/>
      <c r="D111" s="14"/>
      <c r="E111" s="6" t="s">
        <v>427</v>
      </c>
    </row>
    <row r="112" customFormat="false" ht="17.15" hidden="false" customHeight="false" outlineLevel="0" collapsed="false">
      <c r="A112" s="5" t="s">
        <v>752</v>
      </c>
      <c r="B112" s="33" t="n">
        <f aca="false">tp_w_dcf*B97+(1-tp_w_dcf)*tp_comp_adj</f>
        <v>157.284742099862</v>
      </c>
      <c r="E112" s="8" t="s">
        <v>753</v>
      </c>
    </row>
    <row r="113" customFormat="false" ht="17.15" hidden="false" customHeight="false" outlineLevel="0" collapsed="false">
      <c r="A113" s="0" t="s">
        <v>754</v>
      </c>
      <c r="B113" s="13" t="n">
        <f aca="false">B108</f>
        <v>166.780348724557</v>
      </c>
      <c r="E113" s="5" t="s">
        <v>755</v>
      </c>
    </row>
    <row r="114" customFormat="false" ht="17.15" hidden="false" customHeight="false" outlineLevel="0" collapsed="false">
      <c r="A114" s="5" t="s">
        <v>756</v>
      </c>
      <c r="B114" s="13" t="n">
        <f aca="false">cons_tp</f>
        <v>270.57</v>
      </c>
      <c r="E114" s="8" t="s">
        <v>418</v>
      </c>
    </row>
    <row r="115" customFormat="false" ht="17.15" hidden="false" customHeight="false" outlineLevel="0" collapsed="false">
      <c r="A115" s="5" t="s">
        <v>757</v>
      </c>
      <c r="B115" s="10" t="n">
        <f aca="false">B112/px-1</f>
        <v>0.083974790488369</v>
      </c>
      <c r="E115" s="5" t="s">
        <v>758</v>
      </c>
    </row>
    <row r="116" customFormat="false" ht="17.15" hidden="false" customHeight="false" outlineLevel="0" collapsed="false">
      <c r="A116" s="5" t="s">
        <v>759</v>
      </c>
      <c r="B116" s="10" t="n">
        <f aca="false">B113/px-1</f>
        <v>0.149416600444914</v>
      </c>
    </row>
    <row r="117" customFormat="false" ht="17.15" hidden="false" customHeight="false" outlineLevel="0" collapsed="false">
      <c r="A117" s="5" t="s">
        <v>760</v>
      </c>
      <c r="B117" s="10" t="n">
        <f aca="false">B107/cons_feps-1</f>
        <v>-0.212635829066433</v>
      </c>
      <c r="E117" s="5" t="s">
        <v>761</v>
      </c>
    </row>
    <row r="118" customFormat="false" ht="17.15" hidden="false" customHeight="false" outlineLevel="0" collapsed="false">
      <c r="A118" s="5" t="s">
        <v>762</v>
      </c>
      <c r="B118" s="10" t="n">
        <f aca="false">(cons_tp/cons_feps)/B106-1</f>
        <v>0.27735147071393</v>
      </c>
      <c r="E118" s="0" t="str">
        <f aca="false">"共識目標價 ÷ 共識前瞻 EPS 隱含 "&amp;TEXT(cons_tp/cons_feps,"0.0")&amp;"x，同業中位數 "&amp;TEXT(B106,"0.0")&amp;"x"</f>
        <v>共識目標價 ÷ 共識前瞻 EPS 隱含 33.2x，同業中位數 26.0x</v>
      </c>
    </row>
    <row r="119" customFormat="false" ht="17.15" hidden="false" customHeight="false" outlineLevel="0" collapsed="false">
      <c r="A119" s="5" t="s">
        <v>763</v>
      </c>
      <c r="B119" s="34" t="str">
        <f aca="false">TEXT(D96,"#,##0.0")&amp;"～"&amp;TEXT(B96,"#,##0.0")</f>
        <v>43.9～156.3</v>
      </c>
      <c r="E119" s="8" t="s">
        <v>764</v>
      </c>
    </row>
    <row r="120" customFormat="false" ht="17.15" hidden="false" customHeight="false" outlineLevel="0" collapsed="false">
      <c r="A120" s="5" t="s">
        <v>765</v>
      </c>
      <c r="B120" s="27" t="n">
        <f aca="false">IF(px/B82&lt;MIN(B16:B25),0,IF(px/B82&gt;MAX(B16:B25),1,PERCENTRANK(B16:B25,px/B82)))</f>
        <v>0.322</v>
      </c>
      <c r="C120" s="27" t="n">
        <f aca="false">IF(px/C82&lt;MIN(B16:B25),0,IF(px/C82&gt;MAX(B16:B25),1,PERCENTRANK(B16:B25,px/C82)))</f>
        <v>0.557</v>
      </c>
      <c r="D120" s="27" t="n">
        <f aca="false">IF(px/D82&lt;MIN(B16:B25),0,IF(px/D82&gt;MAX(B16:B25),1,PERCENTRANK(B16:B25,px/D82)))</f>
        <v>0.837</v>
      </c>
      <c r="E120" s="5" t="s">
        <v>766</v>
      </c>
    </row>
    <row r="121" customFormat="false" ht="17.15" hidden="false" customHeight="false" outlineLevel="0" collapsed="false">
      <c r="A121" s="5" t="s">
        <v>767</v>
      </c>
      <c r="B121" s="0" t="s">
        <v>768</v>
      </c>
    </row>
    <row r="123" customFormat="false" ht="17.15" hidden="false" customHeight="false" outlineLevel="0" collapsed="false">
      <c r="A123" s="5" t="s">
        <v>769</v>
      </c>
      <c r="B123" s="34" t="str">
        <f aca="false">IF(B115&gt;0.5,"大於 50%",IF(B115&gt;0.25,"25%–50%",IF(B115&gt;=0,"0%–25%",IF(B115&gt;=-0.25,"0%～−25%",IF(B115&gt;=-0.5,"−25%～−50%","小於 −50%")))))</f>
        <v>0%–25%</v>
      </c>
      <c r="E123" s="5" t="s">
        <v>770</v>
      </c>
    </row>
    <row r="124" customFormat="false" ht="17.15" hidden="false" customHeight="false" outlineLevel="0" collapsed="false">
      <c r="A124" s="5" t="s">
        <v>771</v>
      </c>
      <c r="B124" s="34" t="str">
        <f aca="false">IF(B115&gt;0.5,"強力買進",IF(B115&gt;0.25,"買進",IF(B115&gt;=-0.25,"中立",IF(B115&gt;=-0.5,"放空","強力放空"))))</f>
        <v>中立</v>
      </c>
      <c r="E124" s="5" t="s">
        <v>772</v>
      </c>
    </row>
    <row r="127" customFormat="false" ht="17.15" hidden="false" customHeight="false" outlineLevel="0" collapsed="false">
      <c r="A127" s="1" t="s">
        <v>773</v>
      </c>
    </row>
    <row r="128" customFormat="false" ht="17.15" hidden="false" customHeight="false" outlineLevel="0" collapsed="false">
      <c r="A128" s="5" t="s">
        <v>774</v>
      </c>
    </row>
    <row r="129" customFormat="false" ht="17.15" hidden="false" customHeight="false" outlineLevel="0" collapsed="false">
      <c r="A129" s="6" t="s">
        <v>775</v>
      </c>
      <c r="B129" s="6" t="s">
        <v>724</v>
      </c>
      <c r="C129" s="6" t="s">
        <v>776</v>
      </c>
      <c r="D129" s="14" t="s">
        <v>777</v>
      </c>
      <c r="E129" s="14" t="s">
        <v>778</v>
      </c>
      <c r="F129" s="14" t="s">
        <v>779</v>
      </c>
      <c r="G129" s="14" t="s">
        <v>780</v>
      </c>
      <c r="H129" s="14" t="s">
        <v>781</v>
      </c>
      <c r="I129" s="14" t="s">
        <v>782</v>
      </c>
      <c r="J129" s="14" t="s">
        <v>783</v>
      </c>
      <c r="K129" s="14" t="s">
        <v>784</v>
      </c>
      <c r="L129" s="14" t="s">
        <v>785</v>
      </c>
      <c r="M129" s="14" t="s">
        <v>786</v>
      </c>
      <c r="N129" s="6" t="s">
        <v>787</v>
      </c>
      <c r="O129" s="14" t="s">
        <v>788</v>
      </c>
      <c r="P129" s="6" t="s">
        <v>789</v>
      </c>
      <c r="Q129" s="6" t="s">
        <v>727</v>
      </c>
    </row>
    <row r="130" customFormat="false" ht="17.15" hidden="false" customHeight="false" outlineLevel="0" collapsed="false">
      <c r="A130" s="0" t="s">
        <v>790</v>
      </c>
      <c r="B130" s="0" t="s">
        <v>791</v>
      </c>
      <c r="C130" s="5" t="s">
        <v>792</v>
      </c>
      <c r="D130" s="17" t="n">
        <v>16.997</v>
      </c>
      <c r="E130" s="17" t="n">
        <v>12.1645</v>
      </c>
      <c r="F130" s="17" t="n">
        <v>17.0685</v>
      </c>
      <c r="G130" s="17" t="n">
        <v>26.015</v>
      </c>
      <c r="H130" s="17" t="n">
        <v>23.457</v>
      </c>
      <c r="I130" s="17" t="n">
        <v>18.0605</v>
      </c>
      <c r="J130" s="17" t="n">
        <v>29.8845</v>
      </c>
      <c r="K130" s="17" t="n">
        <v>38.1565</v>
      </c>
      <c r="L130" s="17" t="n">
        <v>37.0955</v>
      </c>
      <c r="M130" s="17" t="n">
        <v>44.0715</v>
      </c>
      <c r="N130" s="8" t="n">
        <f aca="false">COUNT(D130:M130)</f>
        <v>10</v>
      </c>
      <c r="O130" s="18" t="n">
        <f aca="false">IF(N130&gt;0,MEDIAN(D130:M130),"")</f>
        <v>24.736</v>
      </c>
      <c r="P130" s="18" t="n">
        <f aca="false">IF(N130&gt;=7,O130,"")</f>
        <v>24.736</v>
      </c>
      <c r="Q130" s="8" t="s">
        <v>793</v>
      </c>
    </row>
    <row r="131" customFormat="false" ht="17.15" hidden="false" customHeight="false" outlineLevel="0" collapsed="false">
      <c r="A131" s="0" t="s">
        <v>728</v>
      </c>
      <c r="B131" s="0" t="s">
        <v>729</v>
      </c>
      <c r="C131" s="5" t="s">
        <v>794</v>
      </c>
      <c r="D131" s="17" t="n">
        <v>14.9905</v>
      </c>
      <c r="E131" s="17" t="n">
        <v>13.2105</v>
      </c>
      <c r="F131" s="17" t="n">
        <v>13.653</v>
      </c>
      <c r="G131" s="17" t="n">
        <v>18.9585</v>
      </c>
      <c r="H131" s="17" t="n">
        <v>29.3795</v>
      </c>
      <c r="I131" s="17" t="n">
        <v>22.5025</v>
      </c>
      <c r="J131" s="17" t="n">
        <v>28.161</v>
      </c>
      <c r="K131" s="17" t="n">
        <v>37.435</v>
      </c>
      <c r="L131" s="17" t="n">
        <v>29.427</v>
      </c>
      <c r="M131" s="17" t="n">
        <v>32.259</v>
      </c>
      <c r="N131" s="8" t="n">
        <f aca="false">COUNT(D131:M131)</f>
        <v>10</v>
      </c>
      <c r="O131" s="18" t="n">
        <f aca="false">IF(N131&gt;0,MEDIAN(D131:M131),"")</f>
        <v>25.33175</v>
      </c>
      <c r="P131" s="18" t="n">
        <f aca="false">IF(N131&gt;=7,O131,"")</f>
        <v>25.33175</v>
      </c>
      <c r="Q131" s="8" t="s">
        <v>795</v>
      </c>
    </row>
    <row r="132" customFormat="false" ht="17.15" hidden="false" customHeight="false" outlineLevel="0" collapsed="false">
      <c r="A132" s="0" t="s">
        <v>732</v>
      </c>
      <c r="B132" s="0" t="s">
        <v>733</v>
      </c>
      <c r="C132" s="5" t="s">
        <v>794</v>
      </c>
      <c r="D132" s="17" t="n">
        <v>18.5965</v>
      </c>
      <c r="E132" s="17" t="n">
        <v>14.378</v>
      </c>
      <c r="F132" s="17" t="n">
        <v>16.3415</v>
      </c>
      <c r="G132" s="17" t="n">
        <v>21.023</v>
      </c>
      <c r="H132" s="17" t="n">
        <v>19.1925</v>
      </c>
      <c r="I132" s="17" t="n">
        <v>10.5945</v>
      </c>
      <c r="J132" s="17" t="n">
        <v>14.305</v>
      </c>
      <c r="K132" s="17" t="n">
        <v>23.1025</v>
      </c>
      <c r="L132" s="17" t="n">
        <v>20.718</v>
      </c>
      <c r="M132" s="17" t="n">
        <v>29.0835</v>
      </c>
      <c r="N132" s="8" t="n">
        <f aca="false">COUNT(D132:M132)</f>
        <v>10</v>
      </c>
      <c r="O132" s="18" t="n">
        <f aca="false">IF(N132&gt;0,MEDIAN(D132:M132),"")</f>
        <v>18.8945</v>
      </c>
      <c r="P132" s="18" t="n">
        <f aca="false">IF(N132&gt;=7,O132,"")</f>
        <v>18.8945</v>
      </c>
      <c r="Q132" s="8" t="s">
        <v>796</v>
      </c>
    </row>
    <row r="133" customFormat="false" ht="17.15" hidden="false" customHeight="false" outlineLevel="0" collapsed="false">
      <c r="A133" s="0" t="s">
        <v>736</v>
      </c>
      <c r="B133" s="0" t="s">
        <v>737</v>
      </c>
      <c r="C133" s="5" t="s">
        <v>794</v>
      </c>
      <c r="D133" s="17" t="n">
        <v>14.699</v>
      </c>
      <c r="E133" s="17" t="n">
        <v>10.885</v>
      </c>
      <c r="F133" s="17" t="n">
        <v>18.2685</v>
      </c>
      <c r="G133" s="17" t="n">
        <v>17.7735</v>
      </c>
      <c r="H133" s="17" t="n">
        <v>14.6295</v>
      </c>
      <c r="I133" s="17" t="n">
        <v>9.362</v>
      </c>
      <c r="J133" s="17" t="n">
        <v>22.145</v>
      </c>
      <c r="K133" s="17" t="n">
        <v>23.597</v>
      </c>
      <c r="L133" s="17" t="n">
        <v>25.411</v>
      </c>
      <c r="M133" s="17" t="n">
        <v>25.2495</v>
      </c>
      <c r="N133" s="8" t="n">
        <f aca="false">COUNT(D133:M133)</f>
        <v>10</v>
      </c>
      <c r="O133" s="18" t="n">
        <f aca="false">IF(N133&gt;0,MEDIAN(D133:M133),"")</f>
        <v>18.021</v>
      </c>
      <c r="P133" s="18" t="n">
        <f aca="false">IF(N133&gt;=7,O133,"")</f>
        <v>18.021</v>
      </c>
      <c r="Q133" s="8" t="s">
        <v>797</v>
      </c>
    </row>
    <row r="134" customFormat="false" ht="17.15" hidden="false" customHeight="false" outlineLevel="0" collapsed="false">
      <c r="A134" s="0" t="s">
        <v>739</v>
      </c>
      <c r="B134" s="0" t="s">
        <v>740</v>
      </c>
      <c r="C134" s="5" t="s">
        <v>794</v>
      </c>
      <c r="D134" s="17" t="n">
        <v>21.227</v>
      </c>
      <c r="E134" s="17" t="n">
        <v>18.311</v>
      </c>
      <c r="F134" s="17" t="n">
        <v>21.2065</v>
      </c>
      <c r="G134" s="17" t="n">
        <v>26.9885</v>
      </c>
      <c r="H134" s="17" t="n">
        <v>26.1895</v>
      </c>
      <c r="I134" s="17" t="n">
        <v>17.8975</v>
      </c>
      <c r="J134" s="17" t="n">
        <v>27.598</v>
      </c>
      <c r="K134" s="17" t="n">
        <v>40.0635</v>
      </c>
      <c r="L134" s="17" t="n">
        <v>33.295</v>
      </c>
      <c r="M134" s="17" t="n">
        <v>37.754</v>
      </c>
      <c r="N134" s="8" t="n">
        <f aca="false">COUNT(D134:M134)</f>
        <v>10</v>
      </c>
      <c r="O134" s="18" t="n">
        <f aca="false">IF(N134&gt;0,MEDIAN(D134:M134),"")</f>
        <v>26.589</v>
      </c>
      <c r="P134" s="18" t="n">
        <f aca="false">IF(N134&gt;=7,O134,"")</f>
        <v>26.589</v>
      </c>
      <c r="Q134" s="8" t="s">
        <v>798</v>
      </c>
    </row>
    <row r="135" customFormat="false" ht="17.15" hidden="false" customHeight="false" outlineLevel="0" collapsed="false">
      <c r="A135" s="5" t="s">
        <v>741</v>
      </c>
      <c r="B135" s="0" t="s">
        <v>742</v>
      </c>
      <c r="C135" s="5" t="s">
        <v>794</v>
      </c>
      <c r="D135" s="17" t="n">
        <v>11.158</v>
      </c>
      <c r="E135" s="17" t="n">
        <v>11.6755</v>
      </c>
      <c r="F135" s="17" t="n">
        <v>7.992</v>
      </c>
      <c r="G135" s="17" t="n">
        <v>7.992</v>
      </c>
      <c r="H135" s="17" t="n">
        <v>16.4005</v>
      </c>
      <c r="I135" s="17" t="n">
        <v>12.6425</v>
      </c>
      <c r="J135" s="17" t="n">
        <v>20.3175</v>
      </c>
      <c r="K135" s="17" t="n">
        <v>54.74</v>
      </c>
      <c r="L135" s="17" t="n">
        <v>20.84</v>
      </c>
      <c r="M135" s="17" t="n">
        <v>53.1365</v>
      </c>
      <c r="N135" s="8" t="n">
        <f aca="false">COUNT(D135:M135)</f>
        <v>10</v>
      </c>
      <c r="O135" s="18" t="n">
        <f aca="false">IF(N135&gt;0,MEDIAN(D135:M135),"")</f>
        <v>14.5215</v>
      </c>
      <c r="P135" s="18" t="n">
        <f aca="false">IF(N135&gt;=7,O135,"")</f>
        <v>14.5215</v>
      </c>
      <c r="Q135" s="8" t="s">
        <v>799</v>
      </c>
    </row>
    <row r="137" customFormat="false" ht="17.15" hidden="false" customHeight="false" outlineLevel="0" collapsed="false">
      <c r="A137" s="5" t="s">
        <v>800</v>
      </c>
      <c r="B137" s="18" t="n">
        <f aca="false">P130</f>
        <v>24.736</v>
      </c>
      <c r="E137" s="5" t="s">
        <v>801</v>
      </c>
    </row>
    <row r="138" customFormat="false" ht="15" hidden="false" customHeight="false" outlineLevel="0" collapsed="false">
      <c r="A138" s="5" t="s">
        <v>802</v>
      </c>
      <c r="B138" s="35" t="n">
        <f aca="false">COUNT(P131:P135)</f>
        <v>5</v>
      </c>
    </row>
    <row r="139" customFormat="false" ht="17.15" hidden="false" customHeight="false" outlineLevel="0" collapsed="false">
      <c r="A139" s="5" t="s">
        <v>803</v>
      </c>
      <c r="B139" s="18" t="n">
        <f aca="false">IF(B138&gt;0,MEDIAN(P131:P135),"")</f>
        <v>18.8945</v>
      </c>
    </row>
    <row r="140" customFormat="false" ht="17.15" hidden="false" customHeight="false" outlineLevel="0" collapsed="false">
      <c r="A140" s="5" t="s">
        <v>804</v>
      </c>
      <c r="B140" s="18" t="n">
        <f aca="false">IF(AND(ISNUMBER(B137),B138&gt;=2),B137/B139,"")</f>
        <v>1.30916404244621</v>
      </c>
      <c r="E140" s="5" t="s">
        <v>805</v>
      </c>
    </row>
    <row r="141" customFormat="false" ht="17.15" hidden="false" customHeight="false" outlineLevel="0" collapsed="false">
      <c r="A141" s="5" t="s">
        <v>806</v>
      </c>
      <c r="B141" s="17" t="n">
        <v>0.5</v>
      </c>
      <c r="E141" s="8" t="s">
        <v>807</v>
      </c>
    </row>
    <row r="142" customFormat="false" ht="17.15" hidden="false" customHeight="false" outlineLevel="0" collapsed="false">
      <c r="A142" s="5" t="s">
        <v>808</v>
      </c>
      <c r="B142" s="17" t="n">
        <v>2</v>
      </c>
      <c r="E142" s="8" t="s">
        <v>809</v>
      </c>
    </row>
    <row r="143" customFormat="false" ht="17.15" hidden="false" customHeight="false" outlineLevel="0" collapsed="false">
      <c r="A143" s="4" t="s">
        <v>810</v>
      </c>
      <c r="B143" s="30" t="n">
        <f aca="false">IF(ISNUMBER(B140),MIN(MAX(B140,B141),B142),1)</f>
        <v>1.30916404244621</v>
      </c>
      <c r="E143" s="5" t="s">
        <v>811</v>
      </c>
    </row>
    <row r="144" customFormat="false" ht="17.15" hidden="false" customHeight="false" outlineLevel="0" collapsed="false">
      <c r="A144" s="1" t="s">
        <v>812</v>
      </c>
      <c r="B144" s="33" t="n">
        <f aca="false">Val!$B$108*B143</f>
        <v>218.34283553683</v>
      </c>
      <c r="E144" s="5" t="s">
        <v>813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814</v>
      </c>
    </row>
    <row r="3" customFormat="false" ht="17.15" hidden="false" customHeight="false" outlineLevel="0" collapsed="false">
      <c r="A3" s="6" t="s">
        <v>21</v>
      </c>
      <c r="B3" s="6" t="s">
        <v>815</v>
      </c>
      <c r="C3" s="6" t="s">
        <v>816</v>
      </c>
      <c r="D3" s="6" t="s">
        <v>817</v>
      </c>
      <c r="E3" s="6" t="s">
        <v>818</v>
      </c>
      <c r="F3" s="6" t="s">
        <v>819</v>
      </c>
      <c r="G3" s="6" t="s">
        <v>820</v>
      </c>
      <c r="H3" s="6" t="s">
        <v>821</v>
      </c>
      <c r="I3" s="6" t="s">
        <v>822</v>
      </c>
      <c r="J3" s="6" t="s">
        <v>427</v>
      </c>
    </row>
    <row r="4" customFormat="false" ht="17.15" hidden="false" customHeight="false" outlineLevel="0" collapsed="false">
      <c r="A4" s="1" t="s">
        <v>823</v>
      </c>
    </row>
    <row r="5" customFormat="false" ht="17.15" hidden="false" customHeight="false" outlineLevel="0" collapsed="false">
      <c r="A5" s="5" t="s">
        <v>499</v>
      </c>
      <c r="B5" s="19" t="n">
        <f aca="false">cons_rev26</f>
        <v>1002</v>
      </c>
      <c r="C5" s="19" t="n">
        <f aca="false">PL!D5</f>
        <v>1001.6</v>
      </c>
      <c r="D5" s="10" t="n">
        <f aca="false">C5/B5-1</f>
        <v>-0.000399201596806398</v>
      </c>
      <c r="E5" s="19" t="n">
        <f aca="false">PL!D15</f>
        <v>1001.6</v>
      </c>
      <c r="F5" s="10" t="n">
        <f aca="false">E5/B5-1</f>
        <v>-0.000399201596806398</v>
      </c>
      <c r="G5" s="19" t="n">
        <f aca="false">PL!D25</f>
        <v>1001.6</v>
      </c>
      <c r="H5" s="10" t="n">
        <f aca="false">G5/B5-1</f>
        <v>-0.000399201596806398</v>
      </c>
      <c r="I5" s="8" t="s">
        <v>371</v>
      </c>
      <c r="J5" s="5" t="s">
        <v>824</v>
      </c>
    </row>
    <row r="6" customFormat="false" ht="17.15" hidden="false" customHeight="false" outlineLevel="0" collapsed="false">
      <c r="A6" s="0" t="s">
        <v>825</v>
      </c>
      <c r="B6" s="18" t="n">
        <f aca="false">cons_eps26</f>
        <v>4.334</v>
      </c>
      <c r="C6" s="18" t="n">
        <f aca="false">PL!D12</f>
        <v>4.3364299400653</v>
      </c>
      <c r="D6" s="10" t="n">
        <f aca="false">C6/B6-1</f>
        <v>0.000560669142893211</v>
      </c>
      <c r="E6" s="18" t="n">
        <f aca="false">PL!D22</f>
        <v>4.3364299400653</v>
      </c>
      <c r="F6" s="10" t="n">
        <f aca="false">E6/B6-1</f>
        <v>0.000560669142893211</v>
      </c>
      <c r="G6" s="18" t="n">
        <f aca="false">PL!D32</f>
        <v>4.3364299400653</v>
      </c>
      <c r="H6" s="10" t="n">
        <f aca="false">G6/B6-1</f>
        <v>0.000560669142893211</v>
      </c>
      <c r="I6" s="8" t="s">
        <v>371</v>
      </c>
      <c r="J6" s="8" t="s">
        <v>826</v>
      </c>
    </row>
    <row r="7" customFormat="false" ht="17.15" hidden="false" customHeight="false" outlineLevel="0" collapsed="false">
      <c r="A7" s="1" t="s">
        <v>827</v>
      </c>
    </row>
    <row r="8" customFormat="false" ht="17.15" hidden="false" customHeight="false" outlineLevel="0" collapsed="false">
      <c r="A8" s="0" t="s">
        <v>828</v>
      </c>
      <c r="B8" s="19" t="n">
        <f aca="false">cons_rev27</f>
        <v>1345</v>
      </c>
      <c r="C8" s="19" t="n">
        <f aca="false">PL!E5</f>
        <v>1415.79926831366</v>
      </c>
      <c r="D8" s="10" t="n">
        <f aca="false">C8/B8-1</f>
        <v>0.0526388611997435</v>
      </c>
      <c r="E8" s="19" t="n">
        <f aca="false">PL!E15</f>
        <v>1095.3652774009</v>
      </c>
      <c r="F8" s="10" t="n">
        <f aca="false">E8/B8-1</f>
        <v>-0.185602024237247</v>
      </c>
      <c r="G8" s="19" t="n">
        <f aca="false">PL!E25</f>
        <v>931.122212693506</v>
      </c>
      <c r="H8" s="10" t="n">
        <f aca="false">G8/B8-1</f>
        <v>-0.307715826993676</v>
      </c>
      <c r="I8" s="8" t="s">
        <v>829</v>
      </c>
    </row>
    <row r="9" customFormat="false" ht="17.15" hidden="false" customHeight="false" outlineLevel="0" collapsed="false">
      <c r="A9" s="0" t="s">
        <v>830</v>
      </c>
      <c r="B9" s="18" t="n">
        <f aca="false">cons_eps27</f>
        <v>6.448</v>
      </c>
      <c r="C9" s="18" t="n">
        <f aca="false">PL!E12</f>
        <v>6.95829714115775</v>
      </c>
      <c r="D9" s="10" t="n">
        <f aca="false">C9/B9-1</f>
        <v>0.0791403754897257</v>
      </c>
      <c r="E9" s="18" t="n">
        <f aca="false">PL!E22</f>
        <v>4.83470909938093</v>
      </c>
      <c r="F9" s="10" t="n">
        <f aca="false">E9/B9-1</f>
        <v>-0.250200201708913</v>
      </c>
      <c r="G9" s="18" t="n">
        <f aca="false">PL!E32</f>
        <v>3.74623341312837</v>
      </c>
      <c r="H9" s="10" t="n">
        <f aca="false">G9/B9-1</f>
        <v>-0.419008465705898</v>
      </c>
      <c r="I9" s="8" t="s">
        <v>829</v>
      </c>
    </row>
    <row r="10" customFormat="false" ht="17.15" hidden="false" customHeight="false" outlineLevel="0" collapsed="false">
      <c r="A10" s="0" t="s">
        <v>831</v>
      </c>
      <c r="B10" s="19" t="n">
        <f aca="false">cons_rev28</f>
        <v>1649</v>
      </c>
      <c r="C10" s="19" t="n">
        <f aca="false">PL!F5</f>
        <v>1775.63101902761</v>
      </c>
      <c r="D10" s="10" t="n">
        <f aca="false">C10/B10-1</f>
        <v>0.0767926131155901</v>
      </c>
      <c r="E10" s="19" t="n">
        <f aca="false">PL!F15</f>
        <v>1342.58328060951</v>
      </c>
      <c r="F10" s="10" t="n">
        <f aca="false">E10/B10-1</f>
        <v>-0.18581972067343</v>
      </c>
      <c r="G10" s="19" t="n">
        <f aca="false">PL!F25</f>
        <v>848.232017684726</v>
      </c>
      <c r="H10" s="10" t="n">
        <f aca="false">G10/B10-1</f>
        <v>-0.485608236698165</v>
      </c>
      <c r="I10" s="8" t="s">
        <v>829</v>
      </c>
    </row>
    <row r="11" customFormat="false" ht="17.15" hidden="false" customHeight="false" outlineLevel="0" collapsed="false">
      <c r="A11" s="0" t="s">
        <v>832</v>
      </c>
      <c r="B11" s="18" t="n">
        <f aca="false">cons_eps28</f>
        <v>8.483</v>
      </c>
      <c r="C11" s="18" t="n">
        <f aca="false">PL!F12</f>
        <v>9.24448376254262</v>
      </c>
      <c r="D11" s="10" t="n">
        <f aca="false">C11/B11-1</f>
        <v>0.0897658567184512</v>
      </c>
      <c r="E11" s="18" t="n">
        <f aca="false">PL!F22</f>
        <v>6.47307834301306</v>
      </c>
      <c r="F11" s="10" t="n">
        <f aca="false">E11/B11-1</f>
        <v>-0.236935241894016</v>
      </c>
      <c r="G11" s="18" t="n">
        <f aca="false">PL!F32</f>
        <v>3.16946360831683</v>
      </c>
      <c r="H11" s="10" t="n">
        <f aca="false">G11/B11-1</f>
        <v>-0.626374677788892</v>
      </c>
      <c r="I11" s="8" t="s">
        <v>829</v>
      </c>
    </row>
    <row r="12" customFormat="false" ht="17.15" hidden="false" customHeight="false" outlineLevel="0" collapsed="false">
      <c r="A12" s="1" t="s">
        <v>833</v>
      </c>
    </row>
    <row r="13" customFormat="false" ht="17.15" hidden="false" customHeight="false" outlineLevel="0" collapsed="false">
      <c r="A13" s="0" t="s">
        <v>834</v>
      </c>
      <c r="B13" s="19" t="n">
        <f aca="false">lt_lo</f>
        <v>1700</v>
      </c>
      <c r="C13" s="19" t="n">
        <f aca="false">PL!G5</f>
        <v>1903.63175356863</v>
      </c>
      <c r="D13" s="10" t="n">
        <f aca="false">C13/B13-1</f>
        <v>0.119783384452135</v>
      </c>
      <c r="E13" s="19" t="n">
        <f aca="false">PL!G15</f>
        <v>1328.48654001082</v>
      </c>
      <c r="F13" s="10" t="n">
        <f aca="false">E13/B13-1</f>
        <v>-0.218537329405403</v>
      </c>
      <c r="G13" s="19" t="n">
        <f aca="false">PL!G25</f>
        <v>861.185830117582</v>
      </c>
      <c r="H13" s="10" t="n">
        <f aca="false">G13/B13-1</f>
        <v>-0.493420099930834</v>
      </c>
      <c r="I13" s="5" t="s">
        <v>835</v>
      </c>
      <c r="J13" s="8" t="s">
        <v>241</v>
      </c>
    </row>
    <row r="14" customFormat="false" ht="17.15" hidden="false" customHeight="false" outlineLevel="0" collapsed="false">
      <c r="A14" s="0" t="s">
        <v>836</v>
      </c>
      <c r="B14" s="19" t="n">
        <f aca="false">lt_hi</f>
        <v>2200</v>
      </c>
      <c r="C14" s="19" t="n">
        <f aca="false">PL!G5</f>
        <v>1903.63175356863</v>
      </c>
      <c r="D14" s="10" t="n">
        <f aca="false">C14/B14-1</f>
        <v>-0.134712839286987</v>
      </c>
      <c r="E14" s="19" t="n">
        <f aca="false">PL!G15</f>
        <v>1328.48654001082</v>
      </c>
      <c r="F14" s="10" t="n">
        <f aca="false">E14/B14-1</f>
        <v>-0.396142481813266</v>
      </c>
      <c r="G14" s="19" t="n">
        <f aca="false">PL!G25</f>
        <v>861.185830117582</v>
      </c>
      <c r="H14" s="10" t="n">
        <f aca="false">G14/B14-1</f>
        <v>-0.608551895401099</v>
      </c>
      <c r="I14" s="5" t="s">
        <v>38</v>
      </c>
    </row>
    <row r="15" customFormat="false" ht="17.15" hidden="false" customHeight="false" outlineLevel="0" collapsed="false">
      <c r="A15" s="0" t="s">
        <v>837</v>
      </c>
      <c r="B15" s="19" t="n">
        <f aca="false">hb_cum26q3-hb_cum25</f>
        <v>65</v>
      </c>
      <c r="C15" s="19" t="n">
        <f aca="false">PL!D72</f>
        <v>100.16</v>
      </c>
      <c r="D15" s="10" t="n">
        <f aca="false">C15/B15-1</f>
        <v>0.540923076923077</v>
      </c>
      <c r="E15" s="19" t="n">
        <f aca="false">PL!D107</f>
        <v>100.16</v>
      </c>
      <c r="F15" s="10" t="n">
        <f aca="false">E15/B15-1</f>
        <v>0.540923076923077</v>
      </c>
      <c r="G15" s="19" t="n">
        <f aca="false">PL!D142</f>
        <v>100.16</v>
      </c>
      <c r="H15" s="10" t="n">
        <f aca="false">G15/B15-1</f>
        <v>0.540923076923077</v>
      </c>
      <c r="I15" s="5" t="s">
        <v>838</v>
      </c>
      <c r="J15" s="5" t="s">
        <v>839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0"/>
    <col collapsed="false" customWidth="true" hidden="false" outlineLevel="0" max="8" min="3" style="0" width="14"/>
  </cols>
  <sheetData>
    <row r="1" customFormat="false" ht="17.15" hidden="false" customHeight="false" outlineLevel="0" collapsed="false">
      <c r="A1" s="0" t="s">
        <v>840</v>
      </c>
    </row>
    <row r="3" customFormat="false" ht="17.15" hidden="false" customHeight="false" outlineLevel="0" collapsed="false">
      <c r="A3" s="6" t="s">
        <v>841</v>
      </c>
      <c r="B3" s="6" t="s">
        <v>842</v>
      </c>
      <c r="C3" s="14" t="s">
        <v>843</v>
      </c>
      <c r="D3" s="14" t="s">
        <v>844</v>
      </c>
      <c r="E3" s="6" t="s">
        <v>845</v>
      </c>
      <c r="F3" s="14" t="s">
        <v>846</v>
      </c>
      <c r="G3" s="14" t="s">
        <v>847</v>
      </c>
      <c r="H3" s="6" t="s">
        <v>845</v>
      </c>
    </row>
    <row r="4" customFormat="false" ht="17.15" hidden="false" customHeight="false" outlineLevel="0" collapsed="false">
      <c r="A4" s="5" t="s">
        <v>848</v>
      </c>
      <c r="B4" s="0" t="s">
        <v>849</v>
      </c>
      <c r="C4" s="19" t="n">
        <f aca="false">PL!E63</f>
        <v>1415.79926831366</v>
      </c>
      <c r="D4" s="18" t="n">
        <f aca="false">PL!E71</f>
        <v>6.95829714115775</v>
      </c>
      <c r="E4" s="10" t="n">
        <f aca="false">D4/D$4-1</f>
        <v>0</v>
      </c>
      <c r="F4" s="19" t="n">
        <f aca="false">PL!F63</f>
        <v>1775.63101902761</v>
      </c>
      <c r="G4" s="18" t="n">
        <f aca="false">PL!F71</f>
        <v>9.24448376254262</v>
      </c>
      <c r="H4" s="10" t="n">
        <f aca="false">G4/G$4-1</f>
        <v>0</v>
      </c>
    </row>
    <row r="5" customFormat="false" ht="17.15" hidden="false" customHeight="false" outlineLevel="0" collapsed="false">
      <c r="A5" s="0" t="s">
        <v>850</v>
      </c>
      <c r="B5" s="0" t="s">
        <v>851</v>
      </c>
      <c r="C5" s="19" t="n">
        <f aca="false">E83</f>
        <v>1371.5387483455</v>
      </c>
      <c r="D5" s="18" t="n">
        <f aca="false">E91</f>
        <v>6.66497273240991</v>
      </c>
      <c r="E5" s="10" t="n">
        <f aca="false">D5/D$4-1</f>
        <v>-0.0421546253052131</v>
      </c>
      <c r="F5" s="19" t="n">
        <f aca="false">F83</f>
        <v>1708.11668461362</v>
      </c>
      <c r="G5" s="18" t="n">
        <f aca="false">F91</f>
        <v>8.79705110160154</v>
      </c>
      <c r="H5" s="10" t="n">
        <f aca="false">G5/G$4-1</f>
        <v>-0.0483999617971114</v>
      </c>
    </row>
    <row r="6" customFormat="false" ht="17.15" hidden="false" customHeight="false" outlineLevel="0" collapsed="false">
      <c r="A6" s="0" t="s">
        <v>852</v>
      </c>
      <c r="B6" s="0" t="s">
        <v>853</v>
      </c>
      <c r="C6" s="19" t="n">
        <f aca="false">E128</f>
        <v>1338.85854246855</v>
      </c>
      <c r="D6" s="18" t="n">
        <f aca="false">E136</f>
        <v>6.44839366660785</v>
      </c>
      <c r="E6" s="10" t="n">
        <f aca="false">D6/D$4-1</f>
        <v>-0.0732799224013967</v>
      </c>
      <c r="F6" s="19" t="n">
        <f aca="false">F128</f>
        <v>1653.30306657454</v>
      </c>
      <c r="G6" s="18" t="n">
        <f aca="false">F136</f>
        <v>8.43378894123354</v>
      </c>
      <c r="H6" s="10" t="n">
        <f aca="false">G6/G$4-1</f>
        <v>-0.0876949802858551</v>
      </c>
    </row>
    <row r="7" customFormat="false" ht="17.15" hidden="false" customHeight="false" outlineLevel="0" collapsed="false">
      <c r="A7" s="5" t="s">
        <v>854</v>
      </c>
      <c r="B7" s="0" t="s">
        <v>855</v>
      </c>
      <c r="C7" s="19" t="n">
        <f aca="false">E173</f>
        <v>1180.93138229461</v>
      </c>
      <c r="D7" s="18" t="n">
        <f aca="false">E181</f>
        <v>5.40177489853694</v>
      </c>
      <c r="E7" s="10" t="n">
        <f aca="false">D7/D$4-1</f>
        <v>-0.223692982786566</v>
      </c>
      <c r="F7" s="19" t="n">
        <f aca="false">F173</f>
        <v>1596.8415591703</v>
      </c>
      <c r="G7" s="18" t="n">
        <f aca="false">F181</f>
        <v>8.05960584785194</v>
      </c>
      <c r="H7" s="10" t="n">
        <f aca="false">G7/G$4-1</f>
        <v>-0.128171344677097</v>
      </c>
    </row>
    <row r="8" customFormat="false" ht="17.15" hidden="false" customHeight="false" outlineLevel="0" collapsed="false">
      <c r="A8" s="5" t="s">
        <v>856</v>
      </c>
      <c r="C8" s="19" t="n">
        <f aca="false">E218</f>
        <v>1650.6671543327</v>
      </c>
      <c r="D8" s="18" t="n">
        <f aca="false">E226</f>
        <v>8.51481938377856</v>
      </c>
      <c r="E8" s="10" t="n">
        <f aca="false">D8/D$4-1</f>
        <v>0.223692982786566</v>
      </c>
      <c r="F8" s="19" t="n">
        <f aca="false">F218</f>
        <v>1954.42047888491</v>
      </c>
      <c r="G8" s="18" t="n">
        <f aca="false">F226</f>
        <v>10.4293616772333</v>
      </c>
      <c r="H8" s="10" t="n">
        <f aca="false">G8/G$4-1</f>
        <v>0.128171344677097</v>
      </c>
    </row>
    <row r="9" customFormat="false" ht="17.15" hidden="false" customHeight="false" outlineLevel="0" collapsed="false">
      <c r="A9" s="5" t="s">
        <v>857</v>
      </c>
      <c r="C9" s="19" t="n">
        <f aca="false">E263</f>
        <v>1285.31710941418</v>
      </c>
      <c r="D9" s="18" t="n">
        <f aca="false">E271</f>
        <v>6.09356256192397</v>
      </c>
      <c r="E9" s="10" t="n">
        <f aca="false">D9/D$4-1</f>
        <v>-0.12427387932587</v>
      </c>
      <c r="F9" s="19" t="n">
        <f aca="false">F263</f>
        <v>1592.93376413371</v>
      </c>
      <c r="G9" s="18" t="n">
        <f aca="false">F271</f>
        <v>8.03370801227656</v>
      </c>
      <c r="H9" s="10" t="n">
        <f aca="false">G9/G$4-1</f>
        <v>-0.130972781321977</v>
      </c>
    </row>
    <row r="10" customFormat="false" ht="17.15" hidden="false" customHeight="false" outlineLevel="0" collapsed="false">
      <c r="A10" s="0" t="s">
        <v>858</v>
      </c>
      <c r="B10" s="0" t="s">
        <v>859</v>
      </c>
      <c r="C10" s="19" t="n">
        <f aca="false">E308</f>
        <v>1377.10449110814</v>
      </c>
      <c r="D10" s="18" t="n">
        <f aca="false">E316</f>
        <v>6.71246196988306</v>
      </c>
      <c r="E10" s="10" t="n">
        <f aca="false">D10/D$4-1</f>
        <v>-0.0353297892124496</v>
      </c>
      <c r="F10" s="19" t="n">
        <f aca="false">F308</f>
        <v>1703.51521770793</v>
      </c>
      <c r="G10" s="18" t="n">
        <f aca="false">F316</f>
        <v>8.78758337126905</v>
      </c>
      <c r="H10" s="10" t="n">
        <f aca="false">G10/G$4-1</f>
        <v>-0.0494241109627847</v>
      </c>
    </row>
    <row r="11" customFormat="false" ht="17.15" hidden="false" customHeight="false" outlineLevel="0" collapsed="false">
      <c r="A11" s="0" t="s">
        <v>860</v>
      </c>
      <c r="B11" s="0" t="s">
        <v>861</v>
      </c>
      <c r="C11" s="19" t="n">
        <f aca="false">E353</f>
        <v>1471.0775214644</v>
      </c>
      <c r="D11" s="18" t="n">
        <f aca="false">E361</f>
        <v>7.30142223754789</v>
      </c>
      <c r="E11" s="10" t="n">
        <f aca="false">D11/D$4-1</f>
        <v>0.0493116475812141</v>
      </c>
      <c r="F11" s="19" t="n">
        <f aca="false">F353</f>
        <v>1878.65359234144</v>
      </c>
      <c r="G11" s="18" t="n">
        <f aca="false">F361</f>
        <v>9.88216219355519</v>
      </c>
      <c r="H11" s="10" t="n">
        <f aca="false">G11/G$4-1</f>
        <v>0.068979344589944</v>
      </c>
    </row>
    <row r="12" customFormat="false" ht="17.15" hidden="false" customHeight="false" outlineLevel="0" collapsed="false">
      <c r="A12" s="5" t="s">
        <v>862</v>
      </c>
      <c r="B12" s="5" t="s">
        <v>863</v>
      </c>
      <c r="C12" s="19" t="n">
        <f aca="false">E398</f>
        <v>1467.09308554373</v>
      </c>
      <c r="D12" s="18" t="n">
        <f aca="false">E406</f>
        <v>7.29823279085768</v>
      </c>
      <c r="E12" s="10" t="n">
        <f aca="false">D12/D$4-1</f>
        <v>0.0488532816009308</v>
      </c>
      <c r="F12" s="19" t="n">
        <f aca="false">F398</f>
        <v>1885.25825510576</v>
      </c>
      <c r="G12" s="18" t="n">
        <f aca="false">F406</f>
        <v>9.97100808327863</v>
      </c>
      <c r="H12" s="10" t="n">
        <f aca="false">G12/G$4-1</f>
        <v>0.0785900369774877</v>
      </c>
    </row>
    <row r="13" customFormat="false" ht="17.15" hidden="false" customHeight="false" outlineLevel="0" collapsed="false">
      <c r="A13" s="5" t="s">
        <v>864</v>
      </c>
      <c r="C13" s="19" t="n">
        <f aca="false">E443</f>
        <v>1390.15235969862</v>
      </c>
      <c r="D13" s="18" t="n">
        <f aca="false">E451</f>
        <v>6.78832931630778</v>
      </c>
      <c r="E13" s="10" t="n">
        <f aca="false">D13/D$4-1</f>
        <v>-0.0244266408004656</v>
      </c>
      <c r="F13" s="19" t="n">
        <f aca="false">F443</f>
        <v>1720.81740098853</v>
      </c>
      <c r="G13" s="18" t="n">
        <f aca="false">F451</f>
        <v>8.88122160217462</v>
      </c>
      <c r="H13" s="10" t="n">
        <f aca="false">G13/G$4-1</f>
        <v>-0.0392950184887436</v>
      </c>
    </row>
    <row r="14" customFormat="false" ht="17.15" hidden="false" customHeight="false" outlineLevel="0" collapsed="false">
      <c r="A14" s="0" t="s">
        <v>865</v>
      </c>
      <c r="C14" s="19" t="n">
        <f aca="false">E488</f>
        <v>1400.41112314463</v>
      </c>
      <c r="D14" s="18" t="n">
        <f aca="false">E496</f>
        <v>6.85631644624777</v>
      </c>
      <c r="E14" s="10" t="n">
        <f aca="false">D14/D$4-1</f>
        <v>-0.0146559844802794</v>
      </c>
      <c r="F14" s="19" t="n">
        <f aca="false">F488</f>
        <v>1742.74284820416</v>
      </c>
      <c r="G14" s="18" t="n">
        <f aca="false">F496</f>
        <v>9.02652646632182</v>
      </c>
      <c r="H14" s="10" t="n">
        <f aca="false">G14/G$4-1</f>
        <v>-0.0235770110932459</v>
      </c>
    </row>
    <row r="15" customFormat="false" ht="17.15" hidden="false" customHeight="false" outlineLevel="0" collapsed="false">
      <c r="A15" s="0" t="s">
        <v>866</v>
      </c>
      <c r="C15" s="19" t="n">
        <f aca="false">E533</f>
        <v>1446.5755586517</v>
      </c>
      <c r="D15" s="18" t="n">
        <f aca="false">E541</f>
        <v>7.16225853097771</v>
      </c>
      <c r="E15" s="10" t="n">
        <f aca="false">D15/D$4-1</f>
        <v>0.0293119689605581</v>
      </c>
      <c r="F15" s="19" t="n">
        <f aca="false">F533</f>
        <v>1841.4073606745</v>
      </c>
      <c r="G15" s="18" t="n">
        <f aca="false">F541</f>
        <v>9.68039835498423</v>
      </c>
      <c r="H15" s="10" t="n">
        <f aca="false">G15/G$4-1</f>
        <v>0.0471540221864928</v>
      </c>
    </row>
    <row r="16" customFormat="false" ht="17.15" hidden="false" customHeight="false" outlineLevel="0" collapsed="false">
      <c r="A16" s="0" t="s">
        <v>867</v>
      </c>
      <c r="B16" s="0" t="s">
        <v>868</v>
      </c>
      <c r="C16" s="19" t="n">
        <f aca="false">E578</f>
        <v>1402.97581400614</v>
      </c>
      <c r="D16" s="18" t="n">
        <f aca="false">E586</f>
        <v>6.87331322873277</v>
      </c>
      <c r="E16" s="10" t="n">
        <f aca="false">D16/D$4-1</f>
        <v>-0.0122133204002333</v>
      </c>
      <c r="F16" s="19" t="n">
        <f aca="false">F578</f>
        <v>1748.22421000807</v>
      </c>
      <c r="G16" s="18" t="n">
        <f aca="false">F586</f>
        <v>9.06285268235862</v>
      </c>
      <c r="H16" s="10" t="n">
        <f aca="false">G16/G$4-1</f>
        <v>-0.0196475092443718</v>
      </c>
    </row>
    <row r="17" customFormat="false" ht="17.15" hidden="false" customHeight="false" outlineLevel="0" collapsed="false">
      <c r="A17" s="0" t="s">
        <v>869</v>
      </c>
      <c r="B17" s="0" t="s">
        <v>870</v>
      </c>
      <c r="C17" s="19" t="n">
        <f aca="false">E623</f>
        <v>1428.62272262117</v>
      </c>
      <c r="D17" s="18" t="n">
        <f aca="false">E631</f>
        <v>7.04328105358273</v>
      </c>
      <c r="E17" s="10" t="n">
        <f aca="false">D17/D$4-1</f>
        <v>0.0122133204002324</v>
      </c>
      <c r="F17" s="19" t="n">
        <f aca="false">F623</f>
        <v>1803.03782804715</v>
      </c>
      <c r="G17" s="18" t="n">
        <f aca="false">F631</f>
        <v>9.42611484272663</v>
      </c>
      <c r="H17" s="10" t="n">
        <f aca="false">G17/G$4-1</f>
        <v>0.019647509244372</v>
      </c>
    </row>
    <row r="18" customFormat="false" ht="17.15" hidden="false" customHeight="false" outlineLevel="0" collapsed="false">
      <c r="A18" s="5" t="s">
        <v>871</v>
      </c>
      <c r="C18" s="19" t="n">
        <f aca="false">E668</f>
        <v>1371.96313228618</v>
      </c>
      <c r="D18" s="18" t="n">
        <f aca="false">E676</f>
        <v>6.66778522012063</v>
      </c>
      <c r="E18" s="10" t="n">
        <f aca="false">D18/D$4-1</f>
        <v>-0.0417504333522588</v>
      </c>
      <c r="F18" s="19" t="n">
        <f aca="false">F668</f>
        <v>1716.03453240851</v>
      </c>
      <c r="G18" s="18" t="n">
        <f aca="false">F676</f>
        <v>8.84952445764573</v>
      </c>
      <c r="H18" s="10" t="n">
        <f aca="false">G18/G$4-1</f>
        <v>-0.0427237815590325</v>
      </c>
    </row>
    <row r="19" customFormat="false" ht="15" hidden="false" customHeight="false" outlineLevel="0" collapsed="false">
      <c r="A19" s="5" t="s">
        <v>872</v>
      </c>
      <c r="B19" s="5" t="s">
        <v>873</v>
      </c>
      <c r="C19" s="19" t="n">
        <f aca="false">E713</f>
        <v>1430.38104693665</v>
      </c>
      <c r="D19" s="18" t="n">
        <f aca="false">E721</f>
        <v>7.05493386382076</v>
      </c>
      <c r="E19" s="10" t="n">
        <f aca="false">D19/D$4-1</f>
        <v>0.0138879844741622</v>
      </c>
      <c r="F19" s="19" t="n">
        <f aca="false">F713</f>
        <v>1799.79837407298</v>
      </c>
      <c r="G19" s="18" t="n">
        <f aca="false">F721</f>
        <v>9.40464625351163</v>
      </c>
      <c r="H19" s="10" t="n">
        <f aca="false">G19/G$4-1</f>
        <v>0.0173251957689586</v>
      </c>
    </row>
    <row r="20" customFormat="false" ht="15" hidden="false" customHeight="false" outlineLevel="0" collapsed="false">
      <c r="A20" s="5" t="s">
        <v>874</v>
      </c>
      <c r="B20" s="5" t="s">
        <v>875</v>
      </c>
      <c r="C20" s="19" t="n">
        <f aca="false">E758</f>
        <v>1405.05132623735</v>
      </c>
      <c r="D20" s="18" t="n">
        <f aca="false">E766</f>
        <v>6.88706811454314</v>
      </c>
      <c r="E20" s="10" t="n">
        <f aca="false">D20/D$4-1</f>
        <v>-0.0102365600619866</v>
      </c>
      <c r="F20" s="19" t="n">
        <f aca="false">F758</f>
        <v>1770.86825038702</v>
      </c>
      <c r="G20" s="18" t="n">
        <f aca="false">F766</f>
        <v>9.21291982482772</v>
      </c>
      <c r="H20" s="10" t="n">
        <f aca="false">G20/G$4-1</f>
        <v>-0.00341435374063781</v>
      </c>
    </row>
    <row r="21" customFormat="false" ht="17.15" hidden="false" customHeight="false" outlineLevel="0" collapsed="false">
      <c r="A21" s="5" t="s">
        <v>876</v>
      </c>
      <c r="C21" s="19" t="n">
        <f aca="false">E803</f>
        <v>1408.17507640478</v>
      </c>
      <c r="D21" s="18" t="n">
        <f aca="false">E811</f>
        <v>6.90776990863857</v>
      </c>
      <c r="E21" s="10" t="n">
        <f aca="false">D21/D$4-1</f>
        <v>-0.00726143645408828</v>
      </c>
      <c r="F21" s="19" t="n">
        <f aca="false">F803</f>
        <v>1748.43777070481</v>
      </c>
      <c r="G21" s="18" t="n">
        <f aca="false">F811</f>
        <v>9.06426799707132</v>
      </c>
      <c r="H21" s="10" t="n">
        <f aca="false">G21/G$4-1</f>
        <v>-0.019494410948236</v>
      </c>
    </row>
    <row r="22" customFormat="false" ht="17.15" hidden="false" customHeight="false" outlineLevel="0" collapsed="false">
      <c r="A22" s="5" t="s">
        <v>877</v>
      </c>
      <c r="C22" s="19" t="n">
        <f aca="false">E848</f>
        <v>1423.05518609542</v>
      </c>
      <c r="D22" s="18" t="n">
        <f aca="false">E856</f>
        <v>7.00638373830553</v>
      </c>
      <c r="E22" s="10" t="n">
        <f aca="false">D22/D$4-1</f>
        <v>0.00691068463623745</v>
      </c>
      <c r="F22" s="19" t="n">
        <f aca="false">F848</f>
        <v>1801.55190070972</v>
      </c>
      <c r="G22" s="18" t="n">
        <f aca="false">F856</f>
        <v>9.41626726845489</v>
      </c>
      <c r="H22" s="10" t="n">
        <f aca="false">G22/G$4-1</f>
        <v>0.018582271365797</v>
      </c>
    </row>
    <row r="23" customFormat="false" ht="17.15" hidden="false" customHeight="false" outlineLevel="0" collapsed="false">
      <c r="A23" s="5" t="s">
        <v>878</v>
      </c>
      <c r="C23" s="19" t="n">
        <f aca="false">E893</f>
        <v>1341.15067721677</v>
      </c>
      <c r="D23" s="18" t="n">
        <f aca="false">E901</f>
        <v>6.5276733164326</v>
      </c>
      <c r="E23" s="10" t="n">
        <f aca="false">D23/D$4-1</f>
        <v>-0.0618863805309557</v>
      </c>
      <c r="F23" s="19" t="n">
        <f aca="false">F893</f>
        <v>1638.86305647696</v>
      </c>
      <c r="G23" s="18" t="n">
        <f aca="false">F901</f>
        <v>8.45551317022446</v>
      </c>
      <c r="H23" s="10" t="n">
        <f aca="false">G23/G$4-1</f>
        <v>-0.0853450135869096</v>
      </c>
    </row>
    <row r="24" customFormat="false" ht="17.15" hidden="false" customHeight="false" outlineLevel="0" collapsed="false">
      <c r="A24" s="5" t="s">
        <v>879</v>
      </c>
      <c r="C24" s="19" t="n">
        <f aca="false">E938</f>
        <v>1490.44785941054</v>
      </c>
      <c r="D24" s="18" t="n">
        <f aca="false">E946</f>
        <v>7.3889209658829</v>
      </c>
      <c r="E24" s="10" t="n">
        <f aca="false">D24/D$4-1</f>
        <v>0.0618863805309557</v>
      </c>
      <c r="F24" s="19" t="n">
        <f aca="false">F938</f>
        <v>1921.90960796019</v>
      </c>
      <c r="G24" s="18" t="n">
        <f aca="false">F946</f>
        <v>10.0883181138138</v>
      </c>
      <c r="H24" s="10" t="n">
        <f aca="false">G24/G$4-1</f>
        <v>0.0912797699629588</v>
      </c>
    </row>
    <row r="25" customFormat="false" ht="17.15" hidden="false" customHeight="false" outlineLevel="0" collapsed="false">
      <c r="A25" s="5" t="s">
        <v>880</v>
      </c>
      <c r="C25" s="19" t="n">
        <f aca="false">E983</f>
        <v>1415.79926831366</v>
      </c>
      <c r="D25" s="18" t="n">
        <f aca="false">E991</f>
        <v>6.81976899345718</v>
      </c>
      <c r="E25" s="10" t="n">
        <f aca="false">D25/D$4-1</f>
        <v>-0.0199083403439598</v>
      </c>
      <c r="F25" s="19" t="n">
        <f aca="false">F983</f>
        <v>1775.63101902761</v>
      </c>
      <c r="G25" s="18" t="n">
        <f aca="false">F991</f>
        <v>8.97275608756609</v>
      </c>
      <c r="H25" s="10" t="n">
        <f aca="false">G25/G$4-1</f>
        <v>-0.0293934936721437</v>
      </c>
    </row>
    <row r="26" customFormat="false" ht="17.15" hidden="false" customHeight="false" outlineLevel="0" collapsed="false">
      <c r="A26" s="5" t="s">
        <v>881</v>
      </c>
      <c r="C26" s="19" t="n">
        <f aca="false">E1028</f>
        <v>1415.79926831366</v>
      </c>
      <c r="D26" s="18" t="n">
        <f aca="false">E1036</f>
        <v>7.07950927039575</v>
      </c>
      <c r="E26" s="10" t="n">
        <f aca="false">D26/D$4-1</f>
        <v>0.0174197978009645</v>
      </c>
      <c r="F26" s="19" t="n">
        <f aca="false">F1028</f>
        <v>1775.63101902761</v>
      </c>
      <c r="G26" s="18" t="n">
        <f aca="false">F1036</f>
        <v>9.48224547814709</v>
      </c>
      <c r="H26" s="10" t="n">
        <f aca="false">G26/G$4-1</f>
        <v>0.0257193069631261</v>
      </c>
    </row>
    <row r="27" customFormat="false" ht="17.15" hidden="false" customHeight="false" outlineLevel="0" collapsed="false">
      <c r="A27" s="5" t="s">
        <v>882</v>
      </c>
      <c r="C27" s="19" t="n">
        <f aca="false">E1073</f>
        <v>1415.79926831366</v>
      </c>
      <c r="D27" s="18" t="n">
        <f aca="false">E1081</f>
        <v>7.10683667785112</v>
      </c>
      <c r="E27" s="10" t="n">
        <f aca="false">D27/D$4-1</f>
        <v>0.0213471103173752</v>
      </c>
      <c r="F27" s="19" t="n">
        <f aca="false">F1073</f>
        <v>1775.63101902761</v>
      </c>
      <c r="G27" s="18" t="n">
        <f aca="false">F1081</f>
        <v>9.52206563616774</v>
      </c>
      <c r="H27" s="10" t="n">
        <f aca="false">G27/G$4-1</f>
        <v>0.0300267576595077</v>
      </c>
    </row>
    <row r="28" customFormat="false" ht="17.15" hidden="false" customHeight="false" outlineLevel="0" collapsed="false">
      <c r="A28" s="5" t="s">
        <v>883</v>
      </c>
      <c r="C28" s="19" t="n">
        <f aca="false">E1118</f>
        <v>1415.79926831366</v>
      </c>
      <c r="D28" s="18" t="n">
        <f aca="false">E1126</f>
        <v>6.76024442556659</v>
      </c>
      <c r="E28" s="10" t="n">
        <f aca="false">D28/D$4-1</f>
        <v>-0.0284628137565001</v>
      </c>
      <c r="F28" s="19" t="n">
        <f aca="false">F1118</f>
        <v>1775.63101902761</v>
      </c>
      <c r="G28" s="18" t="n">
        <f aca="false">F1126</f>
        <v>8.87437459770913</v>
      </c>
      <c r="H28" s="10" t="n">
        <f aca="false">G28/G$4-1</f>
        <v>-0.0400356768793433</v>
      </c>
    </row>
    <row r="29" customFormat="false" ht="17.15" hidden="false" customHeight="false" outlineLevel="0" collapsed="false">
      <c r="A29" s="5" t="s">
        <v>884</v>
      </c>
      <c r="B29" s="5" t="s">
        <v>885</v>
      </c>
      <c r="C29" s="19" t="n">
        <f aca="false">E1163</f>
        <v>1396.85794887797</v>
      </c>
      <c r="D29" s="18" t="n">
        <f aca="false">E1171</f>
        <v>6.98281437081436</v>
      </c>
      <c r="E29" s="10" t="n">
        <f aca="false">D29/D$4-1</f>
        <v>0.00352345252857744</v>
      </c>
      <c r="F29" s="19" t="n">
        <f aca="false">F1163</f>
        <v>1752.83692494137</v>
      </c>
      <c r="G29" s="18" t="n">
        <f aca="false">F1171</f>
        <v>9.28031195418769</v>
      </c>
      <c r="H29" s="10" t="n">
        <f aca="false">G29/G$4-1</f>
        <v>0.00387562924716711</v>
      </c>
    </row>
    <row r="30" customFormat="false" ht="17.15" hidden="false" customHeight="false" outlineLevel="0" collapsed="false">
      <c r="A30" s="5" t="s">
        <v>886</v>
      </c>
      <c r="C30" s="19" t="n">
        <f aca="false">E1208</f>
        <v>1434.74058774934</v>
      </c>
      <c r="D30" s="18" t="n">
        <f aca="false">E1216</f>
        <v>6.93399368837742</v>
      </c>
      <c r="E30" s="10" t="n">
        <f aca="false">D30/D$4-1</f>
        <v>-0.0034927299434484</v>
      </c>
      <c r="F30" s="19" t="n">
        <f aca="false">F1208</f>
        <v>1798.42511311385</v>
      </c>
      <c r="G30" s="18" t="n">
        <f aca="false">F1216</f>
        <v>9.20911246354757</v>
      </c>
      <c r="H30" s="10" t="n">
        <f aca="false">G30/G$4-1</f>
        <v>-0.00382620597359606</v>
      </c>
    </row>
    <row r="31" customFormat="false" ht="17.15" hidden="false" customHeight="false" outlineLevel="0" collapsed="false">
      <c r="A31" s="5" t="s">
        <v>887</v>
      </c>
      <c r="C31" s="19" t="n">
        <f aca="false">E1253</f>
        <v>1415.79926831366</v>
      </c>
      <c r="D31" s="18" t="n">
        <f aca="false">E1261</f>
        <v>6.75719028736707</v>
      </c>
      <c r="E31" s="10" t="n">
        <f aca="false">D31/D$4-1</f>
        <v>-0.0289017341040464</v>
      </c>
      <c r="F31" s="19" t="n">
        <f aca="false">F1253</f>
        <v>1775.63101902761</v>
      </c>
      <c r="G31" s="18" t="n">
        <f aca="false">F1261</f>
        <v>8.97730215090844</v>
      </c>
      <c r="H31" s="10" t="n">
        <f aca="false">G31/G$4-1</f>
        <v>-0.0289017341040462</v>
      </c>
    </row>
    <row r="32" customFormat="false" ht="17.15" hidden="false" customHeight="false" outlineLevel="0" collapsed="false">
      <c r="A32" s="5" t="s">
        <v>888</v>
      </c>
      <c r="B32" s="5" t="s">
        <v>889</v>
      </c>
      <c r="C32" s="19" t="n">
        <f aca="false">PL!E98</f>
        <v>1095.3652774009</v>
      </c>
      <c r="D32" s="18" t="n">
        <f aca="false">PL!E106</f>
        <v>4.83470909938093</v>
      </c>
      <c r="E32" s="10" t="n">
        <f aca="false">D32/D$4-1</f>
        <v>-0.30518789276991</v>
      </c>
      <c r="F32" s="19" t="n">
        <f aca="false">PL!F98</f>
        <v>1342.58328060951</v>
      </c>
      <c r="G32" s="18" t="n">
        <f aca="false">PL!F106</f>
        <v>6.47307834301306</v>
      </c>
      <c r="H32" s="10" t="n">
        <f aca="false">G32/G$4-1</f>
        <v>-0.299790176576318</v>
      </c>
    </row>
    <row r="33" customFormat="false" ht="17.15" hidden="false" customHeight="false" outlineLevel="0" collapsed="false">
      <c r="A33" s="5" t="s">
        <v>890</v>
      </c>
      <c r="B33" s="5" t="s">
        <v>891</v>
      </c>
      <c r="C33" s="19" t="n">
        <f aca="false">PL!E133</f>
        <v>931.122212693506</v>
      </c>
      <c r="D33" s="18" t="n">
        <f aca="false">PL!E141</f>
        <v>3.74623341312837</v>
      </c>
      <c r="E33" s="10" t="n">
        <f aca="false">D33/D$4-1</f>
        <v>-0.461616349929969</v>
      </c>
      <c r="F33" s="19" t="n">
        <f aca="false">PL!F133</f>
        <v>848.232017684726</v>
      </c>
      <c r="G33" s="18" t="n">
        <f aca="false">PL!F141</f>
        <v>3.16946360831683</v>
      </c>
      <c r="H33" s="10" t="n">
        <f aca="false">G33/G$4-1</f>
        <v>-0.657150827484921</v>
      </c>
    </row>
    <row r="35" customFormat="false" ht="17.15" hidden="false" customHeight="false" outlineLevel="0" collapsed="false">
      <c r="A35" s="5" t="s">
        <v>892</v>
      </c>
    </row>
    <row r="60" customFormat="false" ht="17.15" hidden="false" customHeight="false" outlineLevel="0" collapsed="false">
      <c r="A60" s="4" t="s">
        <v>893</v>
      </c>
    </row>
    <row r="61" customFormat="false" ht="15" hidden="false" customHeight="false" outlineLevel="0" collapsed="false">
      <c r="A61" s="6" t="s">
        <v>21</v>
      </c>
      <c r="B61" s="6" t="s">
        <v>22</v>
      </c>
      <c r="C61" s="14" t="s">
        <v>524</v>
      </c>
      <c r="D61" s="14" t="s">
        <v>525</v>
      </c>
      <c r="E61" s="14" t="s">
        <v>526</v>
      </c>
      <c r="F61" s="14" t="s">
        <v>527</v>
      </c>
      <c r="G61" s="14" t="s">
        <v>528</v>
      </c>
      <c r="H61" s="14" t="s">
        <v>529</v>
      </c>
      <c r="I61" s="6" t="s">
        <v>427</v>
      </c>
    </row>
    <row r="62" customFormat="false" ht="17.15" hidden="false" customHeight="false" outlineLevel="0" collapsed="false">
      <c r="A62" s="1" t="s">
        <v>559</v>
      </c>
    </row>
    <row r="63" customFormat="false" ht="17.15" hidden="false" customHeight="false" outlineLevel="0" collapsed="false">
      <c r="A63" s="0" t="s">
        <v>560</v>
      </c>
      <c r="B63" s="0" t="s">
        <v>32</v>
      </c>
      <c r="C63" s="18" t="n">
        <f aca="false">hsA_25</f>
        <v>2.22511470588235</v>
      </c>
      <c r="D63" s="18" t="n">
        <f aca="false">hsA_26</f>
        <v>3.782695</v>
      </c>
      <c r="E63" s="18" t="n">
        <f aca="false">hsA_27</f>
        <v>5.86317725</v>
      </c>
      <c r="F63" s="18" t="n">
        <f aca="false">hsA_28</f>
        <v>8.5016070125</v>
      </c>
      <c r="G63" s="18" t="n">
        <f aca="false">hsA_29</f>
        <v>11.477169466875</v>
      </c>
      <c r="H63" s="18" t="n">
        <f aca="false">G63*(1+g_tail)</f>
        <v>12.6248864135625</v>
      </c>
      <c r="I63" s="8" t="s">
        <v>561</v>
      </c>
    </row>
    <row r="64" customFormat="false" ht="17.15" hidden="false" customHeight="false" outlineLevel="0" collapsed="false">
      <c r="A64" s="0" t="s">
        <v>562</v>
      </c>
      <c r="B64" s="0" t="s">
        <v>563</v>
      </c>
      <c r="C64" s="20" t="n">
        <f aca="false">den_25</f>
        <v>24</v>
      </c>
      <c r="D64" s="20" t="n">
        <f aca="false">den_26</f>
        <v>24</v>
      </c>
      <c r="E64" s="20" t="n">
        <f aca="false">den_27</f>
        <v>26</v>
      </c>
      <c r="F64" s="20" t="n">
        <f aca="false">den_28</f>
        <v>28</v>
      </c>
      <c r="G64" s="20" t="n">
        <f aca="false">den_29</f>
        <v>30</v>
      </c>
      <c r="H64" s="20" t="n">
        <f aca="false">den_30</f>
        <v>32</v>
      </c>
    </row>
    <row r="65" customFormat="false" ht="17.15" hidden="false" customHeight="false" outlineLevel="0" collapsed="false">
      <c r="A65" s="5" t="s">
        <v>564</v>
      </c>
      <c r="B65" s="5" t="s">
        <v>533</v>
      </c>
      <c r="C65" s="19" t="n">
        <f aca="false">C63*8000/C64</f>
        <v>741.704901960783</v>
      </c>
      <c r="D65" s="19" t="n">
        <f aca="false">D63*8000/D64</f>
        <v>1260.89833333333</v>
      </c>
      <c r="E65" s="19" t="n">
        <f aca="false">E63*8000/E64</f>
        <v>1804.05453846154</v>
      </c>
      <c r="F65" s="19" t="n">
        <f aca="false">F63*8000/F64</f>
        <v>2429.030575</v>
      </c>
      <c r="G65" s="19" t="n">
        <f aca="false">G63*8000/G64</f>
        <v>3060.5785245</v>
      </c>
      <c r="H65" s="19" t="n">
        <f aca="false">H63*8000/H64</f>
        <v>3156.22160339063</v>
      </c>
      <c r="I65" s="8" t="s">
        <v>565</v>
      </c>
    </row>
    <row r="66" customFormat="false" ht="15" hidden="false" customHeight="false" outlineLevel="0" collapsed="false">
      <c r="A66" s="5" t="s">
        <v>566</v>
      </c>
      <c r="B66" s="5" t="s">
        <v>96</v>
      </c>
      <c r="C66" s="20" t="n">
        <f aca="false">stk_25</f>
        <v>10</v>
      </c>
      <c r="D66" s="20" t="n">
        <f aca="false">stk_26</f>
        <v>12</v>
      </c>
      <c r="E66" s="20" t="n">
        <f aca="false">stk_27</f>
        <v>12.5</v>
      </c>
      <c r="F66" s="20" t="n">
        <f aca="false">stk_28</f>
        <v>14</v>
      </c>
      <c r="G66" s="20" t="n">
        <f aca="false">stk_29</f>
        <v>15</v>
      </c>
      <c r="H66" s="20" t="n">
        <f aca="false">stk_30</f>
        <v>16</v>
      </c>
    </row>
    <row r="67" customFormat="false" ht="15" hidden="false" customHeight="false" outlineLevel="0" collapsed="false">
      <c r="A67" s="5" t="s">
        <v>567</v>
      </c>
      <c r="B67" s="0" t="s">
        <v>116</v>
      </c>
      <c r="C67" s="21" t="n">
        <f aca="false">1+beta*(C66-$C66)/4</f>
        <v>1</v>
      </c>
      <c r="D67" s="21" t="n">
        <f aca="false">1+beta*(D66-$C66)/4</f>
        <v>1.05</v>
      </c>
      <c r="E67" s="21" t="n">
        <f aca="false">1+beta*(E66-$C66)/4</f>
        <v>1.0625</v>
      </c>
      <c r="F67" s="21" t="n">
        <f aca="false">1+beta*(F66-$C66)/4</f>
        <v>1.1</v>
      </c>
      <c r="G67" s="21" t="n">
        <f aca="false">1+beta*(G66-$C66)/4</f>
        <v>1.125</v>
      </c>
      <c r="H67" s="21" t="n">
        <f aca="false">1+beta*(H66-$C66)/4</f>
        <v>1.15</v>
      </c>
    </row>
    <row r="68" customFormat="false" ht="15" hidden="false" customHeight="false" outlineLevel="0" collapsed="false">
      <c r="A68" s="5" t="s">
        <v>568</v>
      </c>
      <c r="B68" s="0" t="s">
        <v>69</v>
      </c>
      <c r="C68" s="10" t="n">
        <f aca="false">hbp_25</f>
        <v>0</v>
      </c>
      <c r="D68" s="10" t="n">
        <f aca="false">hbp_26</f>
        <v>0</v>
      </c>
      <c r="E68" s="10" t="n">
        <f aca="false">hbp_27</f>
        <v>0</v>
      </c>
      <c r="F68" s="10" t="n">
        <f aca="false">hbp_28</f>
        <v>0.05</v>
      </c>
      <c r="G68" s="10" t="n">
        <f aca="false">hbp_29</f>
        <v>0.15</v>
      </c>
      <c r="H68" s="10" t="n">
        <f aca="false">hbp_30</f>
        <v>0.25</v>
      </c>
    </row>
    <row r="69" customFormat="false" ht="17.15" hidden="false" customHeight="false" outlineLevel="0" collapsed="false">
      <c r="A69" s="5" t="s">
        <v>570</v>
      </c>
      <c r="B69" s="5" t="s">
        <v>571</v>
      </c>
      <c r="C69" s="19" t="n">
        <f aca="false">C65*C67*C68</f>
        <v>0</v>
      </c>
      <c r="D69" s="19" t="n">
        <f aca="false">D65*D67*D68</f>
        <v>0</v>
      </c>
      <c r="E69" s="19" t="n">
        <f aca="false">E65*E67*E68</f>
        <v>0</v>
      </c>
      <c r="F69" s="19" t="n">
        <f aca="false">F65*F67*F68</f>
        <v>133.596681625</v>
      </c>
      <c r="G69" s="19" t="n">
        <f aca="false">G65*G67*G68</f>
        <v>516.472626009375</v>
      </c>
      <c r="H69" s="19" t="n">
        <f aca="false">H65*H67*H68</f>
        <v>907.413710974805</v>
      </c>
    </row>
    <row r="70" customFormat="false" ht="17.15" hidden="false" customHeight="false" outlineLevel="0" collapsed="false">
      <c r="A70" s="5" t="s">
        <v>572</v>
      </c>
      <c r="B70" s="5" t="s">
        <v>390</v>
      </c>
      <c r="C70" s="19" t="n">
        <f aca="false">C69/thr</f>
        <v>0</v>
      </c>
      <c r="D70" s="19" t="n">
        <f aca="false">D69/thr</f>
        <v>0</v>
      </c>
      <c r="E70" s="19" t="n">
        <f aca="false">E69/thr</f>
        <v>0</v>
      </c>
      <c r="F70" s="19" t="n">
        <f aca="false">F69/thr</f>
        <v>21.7868039179713</v>
      </c>
      <c r="G70" s="19" t="n">
        <f aca="false">G69/thr</f>
        <v>84.2258033283391</v>
      </c>
      <c r="H70" s="19" t="n">
        <f aca="false">H69/thr</f>
        <v>147.980057236596</v>
      </c>
    </row>
    <row r="71" customFormat="false" ht="17.15" hidden="false" customHeight="false" outlineLevel="0" collapsed="false">
      <c r="A71" s="5" t="s">
        <v>573</v>
      </c>
      <c r="B71" s="5" t="s">
        <v>390</v>
      </c>
      <c r="C71" s="19" t="n">
        <f aca="false">MAX(0,D70-C70)+dlt*C70</f>
        <v>0</v>
      </c>
      <c r="D71" s="19" t="n">
        <f aca="false">MAX(0,E70-D70)+dlt*D70</f>
        <v>0</v>
      </c>
      <c r="E71" s="19" t="n">
        <f aca="false">MAX(0,F70-E70)+dlt*E70</f>
        <v>21.7868039179713</v>
      </c>
      <c r="F71" s="19" t="n">
        <f aca="false">MAX(0,G70-F70)+dlt*F70</f>
        <v>64.6176798021649</v>
      </c>
      <c r="G71" s="19" t="n">
        <f aca="false">MAX(0,H70-G70)+dlt*G70</f>
        <v>72.1768342410905</v>
      </c>
      <c r="I71" s="5" t="s">
        <v>574</v>
      </c>
    </row>
    <row r="72" customFormat="false" ht="17.15" hidden="false" customHeight="false" outlineLevel="0" collapsed="false">
      <c r="A72" s="1" t="s">
        <v>575</v>
      </c>
    </row>
    <row r="73" customFormat="false" ht="17.15" hidden="false" customHeight="false" outlineLevel="0" collapsed="false">
      <c r="A73" s="0" t="s">
        <v>576</v>
      </c>
      <c r="B73" s="5" t="s">
        <v>146</v>
      </c>
      <c r="D73" s="19" t="n">
        <f aca="false">cow_26*1</f>
        <v>1107.85762580894</v>
      </c>
      <c r="E73" s="19" t="n">
        <f aca="false">cow_27*1</f>
        <v>2096.42857142857</v>
      </c>
      <c r="F73" s="19" t="n">
        <f aca="false">cow_28*um28_A</f>
        <v>2620.08928571429</v>
      </c>
      <c r="G73" s="19" t="n">
        <f aca="false">cow_29*um29_A</f>
        <v>3013.32589285714</v>
      </c>
      <c r="H73" s="19" t="n">
        <f aca="false">G73*(1+g_tail)</f>
        <v>3314.65848214285</v>
      </c>
      <c r="I73" s="8" t="s">
        <v>577</v>
      </c>
    </row>
    <row r="74" customFormat="false" ht="17.15" hidden="false" customHeight="false" outlineLevel="0" collapsed="false">
      <c r="A74" s="5" t="s">
        <v>578</v>
      </c>
      <c r="B74" s="0" t="s">
        <v>69</v>
      </c>
      <c r="D74" s="10" t="n">
        <f aca="false">attA_26</f>
        <v>0.08</v>
      </c>
      <c r="E74" s="10" t="n">
        <f aca="false">attA_27</f>
        <v>0.11</v>
      </c>
      <c r="F74" s="10" t="n">
        <f aca="false">attA_28</f>
        <v>0.18</v>
      </c>
      <c r="G74" s="10" t="n">
        <f aca="false">attA_29</f>
        <v>0.26</v>
      </c>
      <c r="H74" s="10" t="n">
        <f aca="false">attA_30</f>
        <v>0.34</v>
      </c>
    </row>
    <row r="75" customFormat="false" ht="15" hidden="false" customHeight="false" outlineLevel="0" collapsed="false">
      <c r="A75" s="5" t="s">
        <v>579</v>
      </c>
      <c r="B75" s="5" t="s">
        <v>539</v>
      </c>
      <c r="D75" s="16" t="n">
        <f aca="false">D73*D74</f>
        <v>88.6286100647152</v>
      </c>
      <c r="E75" s="16" t="n">
        <f aca="false">E73*E74</f>
        <v>230.607142857143</v>
      </c>
      <c r="F75" s="16" t="n">
        <f aca="false">F73*F74</f>
        <v>471.616071428572</v>
      </c>
      <c r="G75" s="16" t="n">
        <f aca="false">G73*G74</f>
        <v>783.464732142856</v>
      </c>
      <c r="H75" s="16" t="n">
        <f aca="false">H73*H74</f>
        <v>1126.98388392857</v>
      </c>
    </row>
    <row r="76" customFormat="false" ht="17.15" hidden="false" customHeight="false" outlineLevel="0" collapsed="false">
      <c r="A76" s="5" t="s">
        <v>580</v>
      </c>
      <c r="B76" s="5" t="s">
        <v>539</v>
      </c>
      <c r="D76" s="16" t="n">
        <f aca="false">MAX(0,E75-D75)+dlt*D75</f>
        <v>150.841393798899</v>
      </c>
      <c r="E76" s="16" t="n">
        <f aca="false">MAX(0,F75-E75)+dlt*E75</f>
        <v>264.069642857144</v>
      </c>
      <c r="F76" s="16" t="n">
        <f aca="false">MAX(0,G75-F75)+dlt*F75</f>
        <v>359.010267857141</v>
      </c>
      <c r="G76" s="16" t="n">
        <f aca="false">MAX(0,H75-G75)+dlt*G75</f>
        <v>421.865625</v>
      </c>
    </row>
    <row r="77" customFormat="false" ht="17.15" hidden="false" customHeight="false" outlineLevel="0" collapsed="false">
      <c r="A77" s="1" t="s">
        <v>581</v>
      </c>
    </row>
    <row r="78" customFormat="false" ht="17.15" hidden="false" customHeight="false" outlineLevel="0" collapsed="false">
      <c r="A78" s="0" t="s">
        <v>582</v>
      </c>
      <c r="B78" s="0" t="s">
        <v>252</v>
      </c>
      <c r="C78" s="16" t="n">
        <f aca="false">0</f>
        <v>0</v>
      </c>
      <c r="D78" s="16" t="n">
        <f aca="false">hbm26</f>
        <v>0</v>
      </c>
      <c r="E78" s="16" t="n">
        <f aca="false">E71*asp*shm_A</f>
        <v>32.680205876957</v>
      </c>
      <c r="F78" s="16" t="n">
        <f aca="false">F71*asp*shm_A</f>
        <v>96.9265197032473</v>
      </c>
      <c r="G78" s="16" t="n">
        <f aca="false">G71*asp*shm_A</f>
        <v>108.265251361636</v>
      </c>
      <c r="I78" s="8" t="s">
        <v>583</v>
      </c>
    </row>
    <row r="79" customFormat="false" ht="17.15" hidden="false" customHeight="false" outlineLevel="0" collapsed="false">
      <c r="A79" s="5" t="s">
        <v>584</v>
      </c>
      <c r="B79" s="0" t="s">
        <v>252</v>
      </c>
      <c r="C79" s="16" t="n">
        <f aca="false">hb25</f>
        <v>120</v>
      </c>
      <c r="D79" s="16" t="n">
        <f aca="false">rev26*hb_sh26-hbm26</f>
        <v>250.4</v>
      </c>
      <c r="E79" s="16" t="n">
        <f aca="false">$D80*E76*shl_A</f>
        <v>438.361360274778</v>
      </c>
      <c r="F79" s="16" t="n">
        <f aca="false">$D80*F76*shl_A</f>
        <v>595.964866191023</v>
      </c>
      <c r="G79" s="16" t="n">
        <f aca="false">$D80*G76*shl_A</f>
        <v>700.306128441323</v>
      </c>
      <c r="I79" s="8" t="s">
        <v>585</v>
      </c>
    </row>
    <row r="80" customFormat="false" ht="17.15" hidden="false" customHeight="false" outlineLevel="0" collapsed="false">
      <c r="A80" s="5" t="s">
        <v>586</v>
      </c>
      <c r="B80" s="0" t="s">
        <v>587</v>
      </c>
      <c r="D80" s="21" t="n">
        <f aca="false">D79/D76</f>
        <v>1.66002178641913</v>
      </c>
      <c r="I80" s="5" t="s">
        <v>588</v>
      </c>
    </row>
    <row r="81" customFormat="false" ht="15" hidden="false" customHeight="false" outlineLevel="0" collapsed="false">
      <c r="A81" s="5" t="s">
        <v>589</v>
      </c>
      <c r="B81" s="0" t="s">
        <v>252</v>
      </c>
      <c r="C81" s="16" t="n">
        <f aca="false">C78+C79</f>
        <v>120</v>
      </c>
      <c r="D81" s="16" t="n">
        <f aca="false">D78+D79</f>
        <v>250.4</v>
      </c>
      <c r="E81" s="16" t="n">
        <f aca="false">E78+E79</f>
        <v>471.041566151735</v>
      </c>
      <c r="F81" s="16" t="n">
        <f aca="false">F78+F79</f>
        <v>692.89138589427</v>
      </c>
      <c r="G81" s="16" t="n">
        <f aca="false">G78+G79</f>
        <v>808.571379802959</v>
      </c>
    </row>
    <row r="82" customFormat="false" ht="17.15" hidden="false" customHeight="false" outlineLevel="0" collapsed="false">
      <c r="A82" s="5" t="s">
        <v>590</v>
      </c>
      <c r="B82" s="0" t="s">
        <v>252</v>
      </c>
      <c r="C82" s="16" t="n">
        <f aca="false">a25_rev-hb25</f>
        <v>471.3</v>
      </c>
      <c r="D82" s="16" t="n">
        <f aca="false">rev26-D81</f>
        <v>751.2</v>
      </c>
      <c r="E82" s="16" t="n">
        <f aca="false">D82*(1+el*eqgA_27)</f>
        <v>900.497182193768</v>
      </c>
      <c r="F82" s="16" t="n">
        <f aca="false">E82*(1+el*eqgA_28)</f>
        <v>1015.22529871935</v>
      </c>
      <c r="G82" s="16" t="n">
        <f aca="false">F82*(1+el*eqgA_29)</f>
        <v>1075.58315674599</v>
      </c>
      <c r="I82" s="8" t="s">
        <v>591</v>
      </c>
    </row>
    <row r="83" customFormat="false" ht="15" hidden="false" customHeight="false" outlineLevel="0" collapsed="false">
      <c r="A83" s="5" t="s">
        <v>499</v>
      </c>
      <c r="B83" s="0" t="s">
        <v>252</v>
      </c>
      <c r="C83" s="16" t="n">
        <f aca="false">C81+C82</f>
        <v>591.3</v>
      </c>
      <c r="D83" s="16" t="n">
        <f aca="false">D81+D82</f>
        <v>1001.6</v>
      </c>
      <c r="E83" s="16" t="n">
        <f aca="false">E81+E82</f>
        <v>1371.5387483455</v>
      </c>
      <c r="F83" s="16" t="n">
        <f aca="false">F81+F82</f>
        <v>1708.11668461362</v>
      </c>
      <c r="G83" s="16" t="n">
        <f aca="false">G81+G82</f>
        <v>1884.15453654895</v>
      </c>
    </row>
    <row r="84" customFormat="false" ht="15" hidden="false" customHeight="false" outlineLevel="0" collapsed="false">
      <c r="A84" s="5" t="s">
        <v>592</v>
      </c>
      <c r="B84" s="0" t="s">
        <v>69</v>
      </c>
      <c r="C84" s="10" t="n">
        <f aca="false">C81/C83</f>
        <v>0.202942668696093</v>
      </c>
      <c r="D84" s="10" t="n">
        <f aca="false">D81/D83</f>
        <v>0.25</v>
      </c>
      <c r="E84" s="10" t="n">
        <f aca="false">E81/E83</f>
        <v>0.343440217580404</v>
      </c>
      <c r="F84" s="10" t="n">
        <f aca="false">F81/F83</f>
        <v>0.40564640117136</v>
      </c>
      <c r="G84" s="10" t="n">
        <f aca="false">G81/G83</f>
        <v>0.429142813988046</v>
      </c>
    </row>
    <row r="85" customFormat="false" ht="17.15" hidden="false" customHeight="false" outlineLevel="0" collapsed="false">
      <c r="A85" s="5" t="s">
        <v>506</v>
      </c>
      <c r="B85" s="0" t="s">
        <v>69</v>
      </c>
      <c r="C85" s="10" t="n">
        <f aca="false">a25_gp/a25_rev</f>
        <v>0.633012007441231</v>
      </c>
      <c r="D85" s="10" t="n">
        <f aca="false">gp26/rev26</f>
        <v>0.646641373801917</v>
      </c>
      <c r="E85" s="10" t="n">
        <f aca="false">$D85+gm_prem*(E84-$D84)+0</f>
        <v>0.654116591208349</v>
      </c>
      <c r="F85" s="10" t="n">
        <f aca="false">$D85+gm_prem*(F84-$D84)+0</f>
        <v>0.659093085895626</v>
      </c>
      <c r="G85" s="10" t="n">
        <f aca="false">$D85+gm_prem*(G84-$D84)+0</f>
        <v>0.660972798920961</v>
      </c>
      <c r="I85" s="8" t="s">
        <v>593</v>
      </c>
    </row>
    <row r="86" customFormat="false" ht="15" hidden="false" customHeight="false" outlineLevel="0" collapsed="false">
      <c r="A86" s="5" t="s">
        <v>502</v>
      </c>
      <c r="B86" s="0" t="s">
        <v>252</v>
      </c>
      <c r="C86" s="16" t="n">
        <f aca="false">a25_gp</f>
        <v>374.3</v>
      </c>
      <c r="D86" s="16" t="n">
        <f aca="false">gp26</f>
        <v>647.676</v>
      </c>
      <c r="E86" s="16" t="n">
        <f aca="false">E83*E85</f>
        <v>897.146250777926</v>
      </c>
      <c r="F86" s="16" t="n">
        <f aca="false">F83*F85</f>
        <v>1125.8078967318</v>
      </c>
      <c r="G86" s="16" t="n">
        <f aca="false">G83*G85</f>
        <v>1245.37489762239</v>
      </c>
    </row>
    <row r="87" customFormat="false" ht="17.15" hidden="false" customHeight="false" outlineLevel="0" collapsed="false">
      <c r="A87" s="5" t="s">
        <v>594</v>
      </c>
      <c r="B87" s="0" t="s">
        <v>252</v>
      </c>
      <c r="C87" s="16" t="n">
        <f aca="false">a25_opx</f>
        <v>201.2</v>
      </c>
      <c r="D87" s="16" t="n">
        <f aca="false">opx26</f>
        <v>223.1325</v>
      </c>
      <c r="E87" s="16" t="n">
        <f aca="false">opex_fix+opex_var*E83</f>
        <v>256.097898468532</v>
      </c>
      <c r="F87" s="16" t="n">
        <f aca="false">opex_fix+opex_var*F83</f>
        <v>286.090500850459</v>
      </c>
      <c r="G87" s="16" t="n">
        <f aca="false">opex_fix+opex_var*G83</f>
        <v>301.777308357232</v>
      </c>
      <c r="I87" s="5" t="s">
        <v>595</v>
      </c>
    </row>
    <row r="88" customFormat="false" ht="15" hidden="false" customHeight="false" outlineLevel="0" collapsed="false">
      <c r="A88" s="5" t="s">
        <v>510</v>
      </c>
      <c r="B88" s="0" t="s">
        <v>252</v>
      </c>
      <c r="C88" s="16" t="n">
        <f aca="false">C86-C87</f>
        <v>173.1</v>
      </c>
      <c r="D88" s="16" t="n">
        <f aca="false">D86-D87</f>
        <v>424.5435</v>
      </c>
      <c r="E88" s="16" t="n">
        <f aca="false">E86-E87</f>
        <v>641.048352309394</v>
      </c>
      <c r="F88" s="16" t="n">
        <f aca="false">F86-F87</f>
        <v>839.717395881338</v>
      </c>
      <c r="G88" s="16" t="n">
        <f aca="false">G86-G87</f>
        <v>943.597589265153</v>
      </c>
    </row>
    <row r="89" customFormat="false" ht="15" hidden="false" customHeight="false" outlineLevel="0" collapsed="false">
      <c r="A89" s="5" t="s">
        <v>555</v>
      </c>
      <c r="B89" s="0" t="s">
        <v>69</v>
      </c>
      <c r="C89" s="10" t="n">
        <f aca="false">C88/C83</f>
        <v>0.292744799594115</v>
      </c>
      <c r="D89" s="10" t="n">
        <f aca="false">D88/D83</f>
        <v>0.423865315495208</v>
      </c>
      <c r="E89" s="10" t="n">
        <f aca="false">E88/E83</f>
        <v>0.467393541073991</v>
      </c>
      <c r="F89" s="10" t="n">
        <f aca="false">F88/F83</f>
        <v>0.491604234912841</v>
      </c>
      <c r="G89" s="10" t="n">
        <f aca="false">G88/G83</f>
        <v>0.50080689824597</v>
      </c>
    </row>
    <row r="90" customFormat="false" ht="15" hidden="false" customHeight="false" outlineLevel="0" collapsed="false">
      <c r="A90" s="5" t="s">
        <v>515</v>
      </c>
      <c r="B90" s="0" t="s">
        <v>252</v>
      </c>
      <c r="C90" s="16" t="n">
        <f aca="false">a25_ni</f>
        <v>131.6</v>
      </c>
      <c r="D90" s="16" t="n">
        <f aca="false">ni26</f>
        <v>348.2641275</v>
      </c>
      <c r="E90" s="16" t="n">
        <f aca="false">(E88-fin)*(1-tax)</f>
        <v>537.206824747626</v>
      </c>
      <c r="F90" s="16" t="n">
        <f aca="false">(F88-fin)*(1-tax)</f>
        <v>709.055547437358</v>
      </c>
      <c r="G90" s="16" t="n">
        <f aca="false">(G88-fin)*(1-tax)</f>
        <v>798.911914714357</v>
      </c>
    </row>
    <row r="91" customFormat="false" ht="15" hidden="false" customHeight="false" outlineLevel="0" collapsed="false">
      <c r="A91" s="0" t="s">
        <v>556</v>
      </c>
      <c r="B91" s="0" t="s">
        <v>271</v>
      </c>
      <c r="C91" s="18" t="n">
        <f aca="false">a25_eps</f>
        <v>1.66</v>
      </c>
      <c r="D91" s="18" t="n">
        <f aca="false">eps26</f>
        <v>4.3364299400653</v>
      </c>
      <c r="E91" s="18" t="n">
        <f aca="false">E90/shares</f>
        <v>6.66497273240991</v>
      </c>
      <c r="F91" s="18" t="n">
        <f aca="false">F90/shares</f>
        <v>8.79705110160154</v>
      </c>
      <c r="G91" s="18" t="n">
        <f aca="false">G90/shares</f>
        <v>9.91187356875089</v>
      </c>
    </row>
    <row r="92" customFormat="false" ht="17.15" hidden="false" customHeight="false" outlineLevel="0" collapsed="false">
      <c r="A92" s="5" t="s">
        <v>596</v>
      </c>
      <c r="B92" s="5" t="s">
        <v>390</v>
      </c>
      <c r="C92" s="19" t="n">
        <f aca="false">C81/asp</f>
        <v>48</v>
      </c>
      <c r="D92" s="19" t="n">
        <f aca="false">D81/asp</f>
        <v>100.16</v>
      </c>
      <c r="E92" s="19" t="n">
        <f aca="false">E81/asp</f>
        <v>188.416626460694</v>
      </c>
      <c r="F92" s="19" t="n">
        <f aca="false">F81/asp</f>
        <v>277.156554357708</v>
      </c>
      <c r="G92" s="19" t="n">
        <f aca="false">G81/asp</f>
        <v>323.428551921183</v>
      </c>
    </row>
    <row r="105" customFormat="false" ht="17.15" hidden="false" customHeight="false" outlineLevel="0" collapsed="false">
      <c r="A105" s="4" t="s">
        <v>894</v>
      </c>
    </row>
    <row r="106" customFormat="false" ht="15" hidden="false" customHeight="false" outlineLevel="0" collapsed="false">
      <c r="A106" s="6" t="s">
        <v>21</v>
      </c>
      <c r="B106" s="6" t="s">
        <v>22</v>
      </c>
      <c r="C106" s="14" t="s">
        <v>524</v>
      </c>
      <c r="D106" s="14" t="s">
        <v>525</v>
      </c>
      <c r="E106" s="14" t="s">
        <v>526</v>
      </c>
      <c r="F106" s="14" t="s">
        <v>527</v>
      </c>
      <c r="G106" s="14" t="s">
        <v>528</v>
      </c>
      <c r="H106" s="14" t="s">
        <v>529</v>
      </c>
      <c r="I106" s="6" t="s">
        <v>427</v>
      </c>
    </row>
    <row r="107" customFormat="false" ht="17.15" hidden="false" customHeight="false" outlineLevel="0" collapsed="false">
      <c r="A107" s="1" t="s">
        <v>559</v>
      </c>
    </row>
    <row r="108" customFormat="false" ht="17.15" hidden="false" customHeight="false" outlineLevel="0" collapsed="false">
      <c r="A108" s="0" t="s">
        <v>560</v>
      </c>
      <c r="B108" s="0" t="s">
        <v>32</v>
      </c>
      <c r="C108" s="18" t="n">
        <f aca="false">hsA_25</f>
        <v>2.22511470588235</v>
      </c>
      <c r="D108" s="18" t="n">
        <f aca="false">hsA_26</f>
        <v>3.782695</v>
      </c>
      <c r="E108" s="18" t="n">
        <f aca="false">hsA_27</f>
        <v>5.86317725</v>
      </c>
      <c r="F108" s="18" t="n">
        <f aca="false">hsA_28</f>
        <v>8.5016070125</v>
      </c>
      <c r="G108" s="18" t="n">
        <f aca="false">hsA_29</f>
        <v>11.477169466875</v>
      </c>
      <c r="H108" s="18" t="n">
        <f aca="false">G108*(1+g_tail)</f>
        <v>12.6248864135625</v>
      </c>
      <c r="I108" s="8" t="s">
        <v>561</v>
      </c>
    </row>
    <row r="109" customFormat="false" ht="17.15" hidden="false" customHeight="false" outlineLevel="0" collapsed="false">
      <c r="A109" s="0" t="s">
        <v>562</v>
      </c>
      <c r="B109" s="0" t="s">
        <v>563</v>
      </c>
      <c r="C109" s="20" t="n">
        <f aca="false">den_25</f>
        <v>24</v>
      </c>
      <c r="D109" s="20" t="n">
        <f aca="false">den_26</f>
        <v>24</v>
      </c>
      <c r="E109" s="20" t="n">
        <f aca="false">den_27</f>
        <v>26</v>
      </c>
      <c r="F109" s="20" t="n">
        <f aca="false">den_28</f>
        <v>28</v>
      </c>
      <c r="G109" s="20" t="n">
        <f aca="false">den_29</f>
        <v>30</v>
      </c>
      <c r="H109" s="20" t="n">
        <f aca="false">den_30</f>
        <v>32</v>
      </c>
    </row>
    <row r="110" customFormat="false" ht="17.15" hidden="false" customHeight="false" outlineLevel="0" collapsed="false">
      <c r="A110" s="5" t="s">
        <v>564</v>
      </c>
      <c r="B110" s="5" t="s">
        <v>533</v>
      </c>
      <c r="C110" s="19" t="n">
        <f aca="false">C108*8000/C109</f>
        <v>741.704901960783</v>
      </c>
      <c r="D110" s="19" t="n">
        <f aca="false">D108*8000/D109</f>
        <v>1260.89833333333</v>
      </c>
      <c r="E110" s="19" t="n">
        <f aca="false">E108*8000/E109</f>
        <v>1804.05453846154</v>
      </c>
      <c r="F110" s="19" t="n">
        <f aca="false">F108*8000/F109</f>
        <v>2429.030575</v>
      </c>
      <c r="G110" s="19" t="n">
        <f aca="false">G108*8000/G109</f>
        <v>3060.5785245</v>
      </c>
      <c r="H110" s="19" t="n">
        <f aca="false">H108*8000/H109</f>
        <v>3156.22160339063</v>
      </c>
      <c r="I110" s="8" t="s">
        <v>565</v>
      </c>
    </row>
    <row r="111" customFormat="false" ht="15" hidden="false" customHeight="false" outlineLevel="0" collapsed="false">
      <c r="A111" s="5" t="s">
        <v>566</v>
      </c>
      <c r="B111" s="5" t="s">
        <v>96</v>
      </c>
      <c r="C111" s="20" t="n">
        <f aca="false">stk_25</f>
        <v>10</v>
      </c>
      <c r="D111" s="20" t="n">
        <f aca="false">stk_26</f>
        <v>12</v>
      </c>
      <c r="E111" s="20" t="n">
        <f aca="false">stk_27</f>
        <v>12.5</v>
      </c>
      <c r="F111" s="20" t="n">
        <f aca="false">stk_28</f>
        <v>14</v>
      </c>
      <c r="G111" s="20" t="n">
        <f aca="false">stk_29</f>
        <v>15</v>
      </c>
      <c r="H111" s="20" t="n">
        <f aca="false">stk_30</f>
        <v>16</v>
      </c>
    </row>
    <row r="112" customFormat="false" ht="15" hidden="false" customHeight="false" outlineLevel="0" collapsed="false">
      <c r="A112" s="5" t="s">
        <v>567</v>
      </c>
      <c r="B112" s="0" t="s">
        <v>116</v>
      </c>
      <c r="C112" s="21" t="n">
        <f aca="false">1+beta*(C111-$C111)/4</f>
        <v>1</v>
      </c>
      <c r="D112" s="21" t="n">
        <f aca="false">1+beta*(D111-$C111)/4</f>
        <v>1.05</v>
      </c>
      <c r="E112" s="21" t="n">
        <f aca="false">1+beta*(E111-$C111)/4</f>
        <v>1.0625</v>
      </c>
      <c r="F112" s="21" t="n">
        <f aca="false">1+beta*(F111-$C111)/4</f>
        <v>1.1</v>
      </c>
      <c r="G112" s="21" t="n">
        <f aca="false">1+beta*(G111-$C111)/4</f>
        <v>1.125</v>
      </c>
      <c r="H112" s="21" t="n">
        <f aca="false">1+beta*(H111-$C111)/4</f>
        <v>1.15</v>
      </c>
    </row>
    <row r="113" customFormat="false" ht="15" hidden="false" customHeight="false" outlineLevel="0" collapsed="false">
      <c r="A113" s="5" t="s">
        <v>568</v>
      </c>
      <c r="B113" s="0" t="s">
        <v>69</v>
      </c>
      <c r="C113" s="10" t="n">
        <f aca="false">hbp_25_lo</f>
        <v>0</v>
      </c>
      <c r="D113" s="10" t="n">
        <f aca="false">hbp_26_lo</f>
        <v>0</v>
      </c>
      <c r="E113" s="10" t="n">
        <f aca="false">hbp_27_lo</f>
        <v>0</v>
      </c>
      <c r="F113" s="10" t="n">
        <f aca="false">hbp_28_lo</f>
        <v>0</v>
      </c>
      <c r="G113" s="10" t="n">
        <f aca="false">hbp_29_lo</f>
        <v>0.05</v>
      </c>
      <c r="H113" s="10" t="n">
        <f aca="false">hbp_30_lo</f>
        <v>0.1</v>
      </c>
    </row>
    <row r="114" customFormat="false" ht="17.15" hidden="false" customHeight="false" outlineLevel="0" collapsed="false">
      <c r="A114" s="5" t="s">
        <v>570</v>
      </c>
      <c r="B114" s="5" t="s">
        <v>571</v>
      </c>
      <c r="C114" s="19" t="n">
        <f aca="false">C110*C112*C113</f>
        <v>0</v>
      </c>
      <c r="D114" s="19" t="n">
        <f aca="false">D110*D112*D113</f>
        <v>0</v>
      </c>
      <c r="E114" s="19" t="n">
        <f aca="false">E110*E112*E113</f>
        <v>0</v>
      </c>
      <c r="F114" s="19" t="n">
        <f aca="false">F110*F112*F113</f>
        <v>0</v>
      </c>
      <c r="G114" s="19" t="n">
        <f aca="false">G110*G112*G113</f>
        <v>172.157542003125</v>
      </c>
      <c r="H114" s="19" t="n">
        <f aca="false">H110*H112*H113</f>
        <v>362.965484389922</v>
      </c>
    </row>
    <row r="115" customFormat="false" ht="17.15" hidden="false" customHeight="false" outlineLevel="0" collapsed="false">
      <c r="A115" s="5" t="s">
        <v>572</v>
      </c>
      <c r="B115" s="5" t="s">
        <v>390</v>
      </c>
      <c r="C115" s="19" t="n">
        <f aca="false">C114/thr</f>
        <v>0</v>
      </c>
      <c r="D115" s="19" t="n">
        <f aca="false">D114/thr</f>
        <v>0</v>
      </c>
      <c r="E115" s="19" t="n">
        <f aca="false">E114/thr</f>
        <v>0</v>
      </c>
      <c r="F115" s="19" t="n">
        <f aca="false">F114/thr</f>
        <v>0</v>
      </c>
      <c r="G115" s="19" t="n">
        <f aca="false">G114/thr</f>
        <v>28.075267776113</v>
      </c>
      <c r="H115" s="19" t="n">
        <f aca="false">H114/thr</f>
        <v>59.1920228946383</v>
      </c>
    </row>
    <row r="116" customFormat="false" ht="17.15" hidden="false" customHeight="false" outlineLevel="0" collapsed="false">
      <c r="A116" s="5" t="s">
        <v>573</v>
      </c>
      <c r="B116" s="5" t="s">
        <v>390</v>
      </c>
      <c r="C116" s="19" t="n">
        <f aca="false">MAX(0,D115-C115)+dlt*C115</f>
        <v>0</v>
      </c>
      <c r="D116" s="19" t="n">
        <f aca="false">MAX(0,E115-D115)+dlt*D115</f>
        <v>0</v>
      </c>
      <c r="E116" s="19" t="n">
        <f aca="false">MAX(0,F115-E115)+dlt*E115</f>
        <v>0</v>
      </c>
      <c r="F116" s="19" t="n">
        <f aca="false">MAX(0,G115-F115)+dlt*F115</f>
        <v>28.075267776113</v>
      </c>
      <c r="G116" s="19" t="n">
        <f aca="false">MAX(0,H115-G115)+dlt*G115</f>
        <v>33.9242818961366</v>
      </c>
      <c r="I116" s="5" t="s">
        <v>574</v>
      </c>
    </row>
    <row r="117" customFormat="false" ht="17.15" hidden="false" customHeight="false" outlineLevel="0" collapsed="false">
      <c r="A117" s="1" t="s">
        <v>575</v>
      </c>
    </row>
    <row r="118" customFormat="false" ht="17.15" hidden="false" customHeight="false" outlineLevel="0" collapsed="false">
      <c r="A118" s="0" t="s">
        <v>576</v>
      </c>
      <c r="B118" s="5" t="s">
        <v>146</v>
      </c>
      <c r="D118" s="19" t="n">
        <f aca="false">cow_26*1</f>
        <v>1107.85762580894</v>
      </c>
      <c r="E118" s="19" t="n">
        <f aca="false">cow_27*1</f>
        <v>2096.42857142857</v>
      </c>
      <c r="F118" s="19" t="n">
        <f aca="false">cow_28*um28_A</f>
        <v>2620.08928571429</v>
      </c>
      <c r="G118" s="19" t="n">
        <f aca="false">cow_29*um29_A</f>
        <v>3013.32589285714</v>
      </c>
      <c r="H118" s="19" t="n">
        <f aca="false">G118*(1+g_tail)</f>
        <v>3314.65848214285</v>
      </c>
      <c r="I118" s="8" t="s">
        <v>577</v>
      </c>
    </row>
    <row r="119" customFormat="false" ht="17.15" hidden="false" customHeight="false" outlineLevel="0" collapsed="false">
      <c r="A119" s="5" t="s">
        <v>578</v>
      </c>
      <c r="B119" s="0" t="s">
        <v>69</v>
      </c>
      <c r="D119" s="10" t="n">
        <f aca="false">attA_26</f>
        <v>0.08</v>
      </c>
      <c r="E119" s="10" t="n">
        <f aca="false">attA_27</f>
        <v>0.11</v>
      </c>
      <c r="F119" s="10" t="n">
        <f aca="false">attA_28</f>
        <v>0.18</v>
      </c>
      <c r="G119" s="10" t="n">
        <f aca="false">attA_29</f>
        <v>0.26</v>
      </c>
      <c r="H119" s="10" t="n">
        <f aca="false">attA_30</f>
        <v>0.34</v>
      </c>
    </row>
    <row r="120" customFormat="false" ht="15" hidden="false" customHeight="false" outlineLevel="0" collapsed="false">
      <c r="A120" s="5" t="s">
        <v>579</v>
      </c>
      <c r="B120" s="5" t="s">
        <v>539</v>
      </c>
      <c r="D120" s="16" t="n">
        <f aca="false">D118*D119</f>
        <v>88.6286100647152</v>
      </c>
      <c r="E120" s="16" t="n">
        <f aca="false">E118*E119</f>
        <v>230.607142857143</v>
      </c>
      <c r="F120" s="16" t="n">
        <f aca="false">F118*F119</f>
        <v>471.616071428572</v>
      </c>
      <c r="G120" s="16" t="n">
        <f aca="false">G118*G119</f>
        <v>783.464732142856</v>
      </c>
      <c r="H120" s="16" t="n">
        <f aca="false">H118*H119</f>
        <v>1126.98388392857</v>
      </c>
    </row>
    <row r="121" customFormat="false" ht="17.15" hidden="false" customHeight="false" outlineLevel="0" collapsed="false">
      <c r="A121" s="5" t="s">
        <v>580</v>
      </c>
      <c r="B121" s="5" t="s">
        <v>539</v>
      </c>
      <c r="D121" s="16" t="n">
        <f aca="false">MAX(0,E120-D120)+dlt*D120</f>
        <v>150.841393798899</v>
      </c>
      <c r="E121" s="16" t="n">
        <f aca="false">MAX(0,F120-E120)+dlt*E120</f>
        <v>264.069642857144</v>
      </c>
      <c r="F121" s="16" t="n">
        <f aca="false">MAX(0,G120-F120)+dlt*F120</f>
        <v>359.010267857141</v>
      </c>
      <c r="G121" s="16" t="n">
        <f aca="false">MAX(0,H120-G120)+dlt*G120</f>
        <v>421.865625</v>
      </c>
    </row>
    <row r="122" customFormat="false" ht="17.15" hidden="false" customHeight="false" outlineLevel="0" collapsed="false">
      <c r="A122" s="1" t="s">
        <v>581</v>
      </c>
    </row>
    <row r="123" customFormat="false" ht="17.15" hidden="false" customHeight="false" outlineLevel="0" collapsed="false">
      <c r="A123" s="0" t="s">
        <v>582</v>
      </c>
      <c r="B123" s="0" t="s">
        <v>252</v>
      </c>
      <c r="C123" s="16" t="n">
        <f aca="false">0</f>
        <v>0</v>
      </c>
      <c r="D123" s="16" t="n">
        <f aca="false">hbm26</f>
        <v>0</v>
      </c>
      <c r="E123" s="16" t="n">
        <f aca="false">E116*asp*shm_A</f>
        <v>0</v>
      </c>
      <c r="F123" s="16" t="n">
        <f aca="false">F116*asp*shm_A</f>
        <v>42.1129016641695</v>
      </c>
      <c r="G123" s="16" t="n">
        <f aca="false">G116*asp*shm_A</f>
        <v>50.8864228442048</v>
      </c>
      <c r="I123" s="8" t="s">
        <v>583</v>
      </c>
    </row>
    <row r="124" customFormat="false" ht="17.15" hidden="false" customHeight="false" outlineLevel="0" collapsed="false">
      <c r="A124" s="5" t="s">
        <v>584</v>
      </c>
      <c r="B124" s="0" t="s">
        <v>252</v>
      </c>
      <c r="C124" s="16" t="n">
        <f aca="false">hb25</f>
        <v>120</v>
      </c>
      <c r="D124" s="16" t="n">
        <f aca="false">rev26*hb_sh26-hbm26</f>
        <v>250.4</v>
      </c>
      <c r="E124" s="16" t="n">
        <f aca="false">$D125*E121*shl_A</f>
        <v>438.361360274778</v>
      </c>
      <c r="F124" s="16" t="n">
        <f aca="false">$D125*F121*shl_A</f>
        <v>595.964866191023</v>
      </c>
      <c r="G124" s="16" t="n">
        <f aca="false">$D125*G121*shl_A</f>
        <v>700.306128441323</v>
      </c>
      <c r="I124" s="8" t="s">
        <v>585</v>
      </c>
    </row>
    <row r="125" customFormat="false" ht="17.15" hidden="false" customHeight="false" outlineLevel="0" collapsed="false">
      <c r="A125" s="5" t="s">
        <v>586</v>
      </c>
      <c r="B125" s="0" t="s">
        <v>587</v>
      </c>
      <c r="D125" s="21" t="n">
        <f aca="false">D124/D121</f>
        <v>1.66002178641913</v>
      </c>
      <c r="I125" s="5" t="s">
        <v>588</v>
      </c>
    </row>
    <row r="126" customFormat="false" ht="15" hidden="false" customHeight="false" outlineLevel="0" collapsed="false">
      <c r="A126" s="5" t="s">
        <v>589</v>
      </c>
      <c r="B126" s="0" t="s">
        <v>252</v>
      </c>
      <c r="C126" s="16" t="n">
        <f aca="false">C123+C124</f>
        <v>120</v>
      </c>
      <c r="D126" s="16" t="n">
        <f aca="false">D123+D124</f>
        <v>250.4</v>
      </c>
      <c r="E126" s="16" t="n">
        <f aca="false">E123+E124</f>
        <v>438.361360274778</v>
      </c>
      <c r="F126" s="16" t="n">
        <f aca="false">F123+F124</f>
        <v>638.077767855192</v>
      </c>
      <c r="G126" s="16" t="n">
        <f aca="false">G123+G124</f>
        <v>751.192551285528</v>
      </c>
    </row>
    <row r="127" customFormat="false" ht="17.15" hidden="false" customHeight="false" outlineLevel="0" collapsed="false">
      <c r="A127" s="5" t="s">
        <v>590</v>
      </c>
      <c r="B127" s="0" t="s">
        <v>252</v>
      </c>
      <c r="C127" s="16" t="n">
        <f aca="false">a25_rev-hb25</f>
        <v>471.3</v>
      </c>
      <c r="D127" s="16" t="n">
        <f aca="false">rev26-D126</f>
        <v>751.2</v>
      </c>
      <c r="E127" s="16" t="n">
        <f aca="false">D127*(1+el*eqgA_27)</f>
        <v>900.497182193768</v>
      </c>
      <c r="F127" s="16" t="n">
        <f aca="false">E127*(1+el*eqgA_28)</f>
        <v>1015.22529871935</v>
      </c>
      <c r="G127" s="16" t="n">
        <f aca="false">F127*(1+el*eqgA_29)</f>
        <v>1075.58315674599</v>
      </c>
      <c r="I127" s="8" t="s">
        <v>591</v>
      </c>
    </row>
    <row r="128" customFormat="false" ht="15" hidden="false" customHeight="false" outlineLevel="0" collapsed="false">
      <c r="A128" s="5" t="s">
        <v>499</v>
      </c>
      <c r="B128" s="0" t="s">
        <v>252</v>
      </c>
      <c r="C128" s="16" t="n">
        <f aca="false">C126+C127</f>
        <v>591.3</v>
      </c>
      <c r="D128" s="16" t="n">
        <f aca="false">D126+D127</f>
        <v>1001.6</v>
      </c>
      <c r="E128" s="16" t="n">
        <f aca="false">E126+E127</f>
        <v>1338.85854246855</v>
      </c>
      <c r="F128" s="16" t="n">
        <f aca="false">F126+F127</f>
        <v>1653.30306657454</v>
      </c>
      <c r="G128" s="16" t="n">
        <f aca="false">G126+G127</f>
        <v>1826.77570803152</v>
      </c>
    </row>
    <row r="129" customFormat="false" ht="15" hidden="false" customHeight="false" outlineLevel="0" collapsed="false">
      <c r="A129" s="5" t="s">
        <v>592</v>
      </c>
      <c r="B129" s="0" t="s">
        <v>69</v>
      </c>
      <c r="C129" s="10" t="n">
        <f aca="false">C126/C128</f>
        <v>0.202942668696093</v>
      </c>
      <c r="D129" s="10" t="n">
        <f aca="false">D126/D128</f>
        <v>0.25</v>
      </c>
      <c r="E129" s="10" t="n">
        <f aca="false">E126/E128</f>
        <v>0.327414246068551</v>
      </c>
      <c r="F129" s="10" t="n">
        <f aca="false">F126/F128</f>
        <v>0.385941199018772</v>
      </c>
      <c r="G129" s="10" t="n">
        <f aca="false">G126/G128</f>
        <v>0.41121225117176</v>
      </c>
    </row>
    <row r="130" customFormat="false" ht="17.15" hidden="false" customHeight="false" outlineLevel="0" collapsed="false">
      <c r="A130" s="5" t="s">
        <v>506</v>
      </c>
      <c r="B130" s="0" t="s">
        <v>69</v>
      </c>
      <c r="C130" s="10" t="n">
        <f aca="false">a25_gp/a25_rev</f>
        <v>0.633012007441231</v>
      </c>
      <c r="D130" s="10" t="n">
        <f aca="false">gp26/rev26</f>
        <v>0.646641373801917</v>
      </c>
      <c r="E130" s="10" t="n">
        <f aca="false">$D130+gm_prem*(E129-$D129)+0</f>
        <v>0.652834513487401</v>
      </c>
      <c r="F130" s="10" t="n">
        <f aca="false">$D130+gm_prem*(F129-$D129)+0</f>
        <v>0.657516669723419</v>
      </c>
      <c r="G130" s="10" t="n">
        <f aca="false">$D130+gm_prem*(G129-$D129)+0</f>
        <v>0.659538353895658</v>
      </c>
      <c r="I130" s="8" t="s">
        <v>593</v>
      </c>
    </row>
    <row r="131" customFormat="false" ht="15" hidden="false" customHeight="false" outlineLevel="0" collapsed="false">
      <c r="A131" s="5" t="s">
        <v>502</v>
      </c>
      <c r="B131" s="0" t="s">
        <v>252</v>
      </c>
      <c r="C131" s="16" t="n">
        <f aca="false">a25_gp</f>
        <v>374.3</v>
      </c>
      <c r="D131" s="16" t="n">
        <f aca="false">gp26</f>
        <v>647.676</v>
      </c>
      <c r="E131" s="16" t="n">
        <f aca="false">E128*E130</f>
        <v>874.053065200904</v>
      </c>
      <c r="F131" s="16" t="n">
        <f aca="false">F128*F130</f>
        <v>1087.07432637761</v>
      </c>
      <c r="G131" s="16" t="n">
        <f aca="false">G128*G130</f>
        <v>1204.82864341168</v>
      </c>
    </row>
    <row r="132" customFormat="false" ht="17.15" hidden="false" customHeight="false" outlineLevel="0" collapsed="false">
      <c r="A132" s="5" t="s">
        <v>594</v>
      </c>
      <c r="B132" s="0" t="s">
        <v>252</v>
      </c>
      <c r="C132" s="16" t="n">
        <f aca="false">a25_opx</f>
        <v>201.2</v>
      </c>
      <c r="D132" s="16" t="n">
        <f aca="false">opx26</f>
        <v>223.1325</v>
      </c>
      <c r="E132" s="16" t="n">
        <f aca="false">opex_fix+opex_var*E128</f>
        <v>253.185751488563</v>
      </c>
      <c r="F132" s="16" t="n">
        <f aca="false">opex_fix+opex_var*F128</f>
        <v>281.206036143149</v>
      </c>
      <c r="G132" s="16" t="n">
        <f aca="false">opex_fix+opex_var*G128</f>
        <v>296.664256658284</v>
      </c>
      <c r="I132" s="5" t="s">
        <v>595</v>
      </c>
    </row>
    <row r="133" customFormat="false" ht="15" hidden="false" customHeight="false" outlineLevel="0" collapsed="false">
      <c r="A133" s="5" t="s">
        <v>510</v>
      </c>
      <c r="B133" s="0" t="s">
        <v>252</v>
      </c>
      <c r="C133" s="16" t="n">
        <f aca="false">C131-C132</f>
        <v>173.1</v>
      </c>
      <c r="D133" s="16" t="n">
        <f aca="false">D131-D132</f>
        <v>424.5435</v>
      </c>
      <c r="E133" s="16" t="n">
        <f aca="false">E131-E132</f>
        <v>620.86731371234</v>
      </c>
      <c r="F133" s="16" t="n">
        <f aca="false">F131-F132</f>
        <v>805.868290234461</v>
      </c>
      <c r="G133" s="16" t="n">
        <f aca="false">G131-G132</f>
        <v>908.164386753399</v>
      </c>
    </row>
    <row r="134" customFormat="false" ht="15" hidden="false" customHeight="false" outlineLevel="0" collapsed="false">
      <c r="A134" s="5" t="s">
        <v>555</v>
      </c>
      <c r="B134" s="0" t="s">
        <v>69</v>
      </c>
      <c r="C134" s="10" t="n">
        <f aca="false">C133/C128</f>
        <v>0.292744799594115</v>
      </c>
      <c r="D134" s="10" t="n">
        <f aca="false">D133/D128</f>
        <v>0.423865315495208</v>
      </c>
      <c r="E134" s="10" t="n">
        <f aca="false">E133/E128</f>
        <v>0.463728836182801</v>
      </c>
      <c r="F134" s="10" t="n">
        <f aca="false">F133/F128</f>
        <v>0.487429259962681</v>
      </c>
      <c r="G134" s="10" t="n">
        <f aca="false">G133/G128</f>
        <v>0.49714060831913</v>
      </c>
    </row>
    <row r="135" customFormat="false" ht="15" hidden="false" customHeight="false" outlineLevel="0" collapsed="false">
      <c r="A135" s="5" t="s">
        <v>515</v>
      </c>
      <c r="B135" s="0" t="s">
        <v>252</v>
      </c>
      <c r="C135" s="16" t="n">
        <f aca="false">a25_ni</f>
        <v>131.6</v>
      </c>
      <c r="D135" s="16" t="n">
        <f aca="false">ni26</f>
        <v>348.2641275</v>
      </c>
      <c r="E135" s="16" t="n">
        <f aca="false">(E133-fin)*(1-tax)</f>
        <v>519.750226361174</v>
      </c>
      <c r="F135" s="16" t="n">
        <f aca="false">(F133-fin)*(1-tax)</f>
        <v>679.776071052809</v>
      </c>
      <c r="G135" s="16" t="n">
        <f aca="false">(G133-fin)*(1-tax)</f>
        <v>768.26219454169</v>
      </c>
    </row>
    <row r="136" customFormat="false" ht="15" hidden="false" customHeight="false" outlineLevel="0" collapsed="false">
      <c r="A136" s="0" t="s">
        <v>556</v>
      </c>
      <c r="B136" s="0" t="s">
        <v>271</v>
      </c>
      <c r="C136" s="18" t="n">
        <f aca="false">a25_eps</f>
        <v>1.66</v>
      </c>
      <c r="D136" s="18" t="n">
        <f aca="false">eps26</f>
        <v>4.3364299400653</v>
      </c>
      <c r="E136" s="18" t="n">
        <f aca="false">E135/shares</f>
        <v>6.44839366660785</v>
      </c>
      <c r="F136" s="18" t="n">
        <f aca="false">F135/shares</f>
        <v>8.43378894123354</v>
      </c>
      <c r="G136" s="18" t="n">
        <f aca="false">G135/shares</f>
        <v>9.5316111822803</v>
      </c>
    </row>
    <row r="137" customFormat="false" ht="17.15" hidden="false" customHeight="false" outlineLevel="0" collapsed="false">
      <c r="A137" s="5" t="s">
        <v>596</v>
      </c>
      <c r="B137" s="5" t="s">
        <v>390</v>
      </c>
      <c r="C137" s="19" t="n">
        <f aca="false">C126/asp</f>
        <v>48</v>
      </c>
      <c r="D137" s="19" t="n">
        <f aca="false">D126/asp</f>
        <v>100.16</v>
      </c>
      <c r="E137" s="19" t="n">
        <f aca="false">E126/asp</f>
        <v>175.344544109911</v>
      </c>
      <c r="F137" s="19" t="n">
        <f aca="false">F126/asp</f>
        <v>255.231107142077</v>
      </c>
      <c r="G137" s="19" t="n">
        <f aca="false">G126/asp</f>
        <v>300.477020514211</v>
      </c>
    </row>
    <row r="150" customFormat="false" ht="17.15" hidden="false" customHeight="false" outlineLevel="0" collapsed="false">
      <c r="A150" s="4" t="s">
        <v>895</v>
      </c>
    </row>
    <row r="151" customFormat="false" ht="15" hidden="false" customHeight="false" outlineLevel="0" collapsed="false">
      <c r="A151" s="6" t="s">
        <v>21</v>
      </c>
      <c r="B151" s="6" t="s">
        <v>22</v>
      </c>
      <c r="C151" s="14" t="s">
        <v>524</v>
      </c>
      <c r="D151" s="14" t="s">
        <v>525</v>
      </c>
      <c r="E151" s="14" t="s">
        <v>526</v>
      </c>
      <c r="F151" s="14" t="s">
        <v>527</v>
      </c>
      <c r="G151" s="14" t="s">
        <v>528</v>
      </c>
      <c r="H151" s="14" t="s">
        <v>529</v>
      </c>
      <c r="I151" s="6" t="s">
        <v>427</v>
      </c>
    </row>
    <row r="152" customFormat="false" ht="17.15" hidden="false" customHeight="false" outlineLevel="0" collapsed="false">
      <c r="A152" s="1" t="s">
        <v>559</v>
      </c>
    </row>
    <row r="153" customFormat="false" ht="17.15" hidden="false" customHeight="false" outlineLevel="0" collapsed="false">
      <c r="A153" s="0" t="s">
        <v>560</v>
      </c>
      <c r="B153" s="0" t="s">
        <v>32</v>
      </c>
      <c r="C153" s="18" t="n">
        <f aca="false">hsA_25</f>
        <v>2.22511470588235</v>
      </c>
      <c r="D153" s="18" t="n">
        <f aca="false">hsA_26</f>
        <v>3.782695</v>
      </c>
      <c r="E153" s="18" t="n">
        <f aca="false">hsA_27</f>
        <v>5.86317725</v>
      </c>
      <c r="F153" s="18" t="n">
        <f aca="false">hsA_28</f>
        <v>8.5016070125</v>
      </c>
      <c r="G153" s="18" t="n">
        <f aca="false">hsA_29</f>
        <v>11.477169466875</v>
      </c>
      <c r="H153" s="18" t="n">
        <f aca="false">G153*(1+g_tail)</f>
        <v>12.6248864135625</v>
      </c>
      <c r="I153" s="8" t="s">
        <v>561</v>
      </c>
    </row>
    <row r="154" customFormat="false" ht="17.15" hidden="false" customHeight="false" outlineLevel="0" collapsed="false">
      <c r="A154" s="0" t="s">
        <v>562</v>
      </c>
      <c r="B154" s="0" t="s">
        <v>563</v>
      </c>
      <c r="C154" s="20" t="n">
        <f aca="false">den_25</f>
        <v>24</v>
      </c>
      <c r="D154" s="20" t="n">
        <f aca="false">den_26</f>
        <v>24</v>
      </c>
      <c r="E154" s="20" t="n">
        <f aca="false">den_27</f>
        <v>26</v>
      </c>
      <c r="F154" s="20" t="n">
        <f aca="false">den_28</f>
        <v>28</v>
      </c>
      <c r="G154" s="20" t="n">
        <f aca="false">den_29</f>
        <v>30</v>
      </c>
      <c r="H154" s="20" t="n">
        <f aca="false">den_30</f>
        <v>32</v>
      </c>
    </row>
    <row r="155" customFormat="false" ht="17.15" hidden="false" customHeight="false" outlineLevel="0" collapsed="false">
      <c r="A155" s="5" t="s">
        <v>564</v>
      </c>
      <c r="B155" s="5" t="s">
        <v>533</v>
      </c>
      <c r="C155" s="19" t="n">
        <f aca="false">C153*8000/C154</f>
        <v>741.704901960783</v>
      </c>
      <c r="D155" s="19" t="n">
        <f aca="false">D153*8000/D154</f>
        <v>1260.89833333333</v>
      </c>
      <c r="E155" s="19" t="n">
        <f aca="false">E153*8000/E154</f>
        <v>1804.05453846154</v>
      </c>
      <c r="F155" s="19" t="n">
        <f aca="false">F153*8000/F154</f>
        <v>2429.030575</v>
      </c>
      <c r="G155" s="19" t="n">
        <f aca="false">G153*8000/G154</f>
        <v>3060.5785245</v>
      </c>
      <c r="H155" s="19" t="n">
        <f aca="false">H153*8000/H154</f>
        <v>3156.22160339063</v>
      </c>
      <c r="I155" s="8" t="s">
        <v>565</v>
      </c>
    </row>
    <row r="156" customFormat="false" ht="15" hidden="false" customHeight="false" outlineLevel="0" collapsed="false">
      <c r="A156" s="5" t="s">
        <v>566</v>
      </c>
      <c r="B156" s="5" t="s">
        <v>96</v>
      </c>
      <c r="C156" s="20" t="n">
        <f aca="false">stk_25</f>
        <v>10</v>
      </c>
      <c r="D156" s="20" t="n">
        <f aca="false">stk_26</f>
        <v>12</v>
      </c>
      <c r="E156" s="20" t="n">
        <f aca="false">stk_27</f>
        <v>12.5</v>
      </c>
      <c r="F156" s="20" t="n">
        <f aca="false">stk_28</f>
        <v>14</v>
      </c>
      <c r="G156" s="20" t="n">
        <f aca="false">stk_29</f>
        <v>15</v>
      </c>
      <c r="H156" s="20" t="n">
        <f aca="false">stk_30</f>
        <v>16</v>
      </c>
    </row>
    <row r="157" customFormat="false" ht="15" hidden="false" customHeight="false" outlineLevel="0" collapsed="false">
      <c r="A157" s="5" t="s">
        <v>567</v>
      </c>
      <c r="B157" s="0" t="s">
        <v>116</v>
      </c>
      <c r="C157" s="21" t="n">
        <f aca="false">1+beta*(C156-$C156)/4</f>
        <v>1</v>
      </c>
      <c r="D157" s="21" t="n">
        <f aca="false">1+beta*(D156-$C156)/4</f>
        <v>1.05</v>
      </c>
      <c r="E157" s="21" t="n">
        <f aca="false">1+beta*(E156-$C156)/4</f>
        <v>1.0625</v>
      </c>
      <c r="F157" s="21" t="n">
        <f aca="false">1+beta*(F156-$C156)/4</f>
        <v>1.1</v>
      </c>
      <c r="G157" s="21" t="n">
        <f aca="false">1+beta*(G156-$C156)/4</f>
        <v>1.125</v>
      </c>
      <c r="H157" s="21" t="n">
        <f aca="false">1+beta*(H156-$C156)/4</f>
        <v>1.15</v>
      </c>
    </row>
    <row r="158" customFormat="false" ht="17.15" hidden="false" customHeight="false" outlineLevel="0" collapsed="false">
      <c r="A158" s="5" t="s">
        <v>568</v>
      </c>
      <c r="B158" s="0" t="s">
        <v>69</v>
      </c>
      <c r="C158" s="10" t="n">
        <f aca="false">hbp_25_hi</f>
        <v>0</v>
      </c>
      <c r="D158" s="10" t="n">
        <f aca="false">hbp_26_hi</f>
        <v>0</v>
      </c>
      <c r="E158" s="10" t="n">
        <f aca="false">hbp_27_hi</f>
        <v>0.05</v>
      </c>
      <c r="F158" s="10" t="n">
        <f aca="false">hbp_28_hi</f>
        <v>0.15</v>
      </c>
      <c r="G158" s="10" t="n">
        <f aca="false">hbp_29_hi</f>
        <v>0.3</v>
      </c>
      <c r="H158" s="10" t="n">
        <f aca="false">hbp_30_hi</f>
        <v>0.4</v>
      </c>
      <c r="I158" s="5" t="s">
        <v>569</v>
      </c>
    </row>
    <row r="159" customFormat="false" ht="17.15" hidden="false" customHeight="false" outlineLevel="0" collapsed="false">
      <c r="A159" s="5" t="s">
        <v>570</v>
      </c>
      <c r="B159" s="5" t="s">
        <v>571</v>
      </c>
      <c r="C159" s="19" t="n">
        <f aca="false">C155*C157*C158</f>
        <v>0</v>
      </c>
      <c r="D159" s="19" t="n">
        <f aca="false">D155*D157*D158</f>
        <v>0</v>
      </c>
      <c r="E159" s="19" t="n">
        <f aca="false">E155*E157*E158</f>
        <v>95.8403973557692</v>
      </c>
      <c r="F159" s="19" t="n">
        <f aca="false">F155*F157*F158</f>
        <v>400.790044875</v>
      </c>
      <c r="G159" s="19" t="n">
        <f aca="false">G155*G157*G158</f>
        <v>1032.94525201875</v>
      </c>
      <c r="H159" s="19" t="n">
        <f aca="false">H155*H157*H158</f>
        <v>1451.86193755969</v>
      </c>
    </row>
    <row r="160" customFormat="false" ht="17.15" hidden="false" customHeight="false" outlineLevel="0" collapsed="false">
      <c r="A160" s="5" t="s">
        <v>572</v>
      </c>
      <c r="B160" s="5" t="s">
        <v>390</v>
      </c>
      <c r="C160" s="19" t="n">
        <f aca="false">C159/thr</f>
        <v>0</v>
      </c>
      <c r="D160" s="19" t="n">
        <f aca="false">D159/thr</f>
        <v>0</v>
      </c>
      <c r="E160" s="19" t="n">
        <f aca="false">E159/thr</f>
        <v>15.6295494709343</v>
      </c>
      <c r="F160" s="19" t="n">
        <f aca="false">F159/thr</f>
        <v>65.3604117539139</v>
      </c>
      <c r="G160" s="19" t="n">
        <f aca="false">G159/thr</f>
        <v>168.451606656678</v>
      </c>
      <c r="H160" s="19" t="n">
        <f aca="false">H159/thr</f>
        <v>236.768091578553</v>
      </c>
    </row>
    <row r="161" customFormat="false" ht="17.15" hidden="false" customHeight="false" outlineLevel="0" collapsed="false">
      <c r="A161" s="5" t="s">
        <v>573</v>
      </c>
      <c r="B161" s="5" t="s">
        <v>390</v>
      </c>
      <c r="C161" s="19" t="n">
        <f aca="false">MAX(0,D160-C160)+dlt*C160</f>
        <v>0</v>
      </c>
      <c r="D161" s="19" t="n">
        <f aca="false">MAX(0,E160-D160)+dlt*D160</f>
        <v>15.6295494709343</v>
      </c>
      <c r="E161" s="19" t="n">
        <f aca="false">MAX(0,F160-E160)+dlt*E160</f>
        <v>51.293817230073</v>
      </c>
      <c r="F161" s="19" t="n">
        <f aca="false">MAX(0,G160-F160)+dlt*F160</f>
        <v>109.627236078156</v>
      </c>
      <c r="G161" s="19" t="n">
        <f aca="false">MAX(0,H160-G160)+dlt*G160</f>
        <v>85.1616455875428</v>
      </c>
      <c r="I161" s="5" t="s">
        <v>574</v>
      </c>
    </row>
    <row r="162" customFormat="false" ht="17.15" hidden="false" customHeight="false" outlineLevel="0" collapsed="false">
      <c r="A162" s="1" t="s">
        <v>575</v>
      </c>
    </row>
    <row r="163" customFormat="false" ht="17.15" hidden="false" customHeight="false" outlineLevel="0" collapsed="false">
      <c r="A163" s="0" t="s">
        <v>576</v>
      </c>
      <c r="B163" s="5" t="s">
        <v>146</v>
      </c>
      <c r="D163" s="19" t="n">
        <f aca="false">cow_26*1</f>
        <v>1107.85762580894</v>
      </c>
      <c r="E163" s="19" t="n">
        <f aca="false">cow_27*1</f>
        <v>2096.42857142857</v>
      </c>
      <c r="F163" s="19" t="n">
        <f aca="false">cow_28*um28_A</f>
        <v>2620.08928571429</v>
      </c>
      <c r="G163" s="19" t="n">
        <f aca="false">cow_29*um29_A</f>
        <v>3013.32589285714</v>
      </c>
      <c r="H163" s="19" t="n">
        <f aca="false">G163*(1+g_tail)</f>
        <v>3314.65848214285</v>
      </c>
      <c r="I163" s="8" t="s">
        <v>577</v>
      </c>
    </row>
    <row r="164" customFormat="false" ht="17.15" hidden="false" customHeight="false" outlineLevel="0" collapsed="false">
      <c r="A164" s="5" t="s">
        <v>578</v>
      </c>
      <c r="B164" s="0" t="s">
        <v>69</v>
      </c>
      <c r="D164" s="10" t="n">
        <f aca="false">attA_26_lo</f>
        <v>0.08</v>
      </c>
      <c r="E164" s="10" t="n">
        <f aca="false">attA_27_lo</f>
        <v>0.11</v>
      </c>
      <c r="F164" s="10" t="n">
        <f aca="false">attA_28_lo</f>
        <v>0.126</v>
      </c>
      <c r="G164" s="10" t="n">
        <f aca="false">attA_29_lo</f>
        <v>0.182</v>
      </c>
      <c r="H164" s="10" t="n">
        <f aca="false">attA_30_lo</f>
        <v>0.238</v>
      </c>
    </row>
    <row r="165" customFormat="false" ht="15" hidden="false" customHeight="false" outlineLevel="0" collapsed="false">
      <c r="A165" s="5" t="s">
        <v>579</v>
      </c>
      <c r="B165" s="5" t="s">
        <v>539</v>
      </c>
      <c r="D165" s="16" t="n">
        <f aca="false">D163*D164</f>
        <v>88.6286100647152</v>
      </c>
      <c r="E165" s="16" t="n">
        <f aca="false">E163*E164</f>
        <v>230.607142857143</v>
      </c>
      <c r="F165" s="16" t="n">
        <f aca="false">F163*F164</f>
        <v>330.131250000001</v>
      </c>
      <c r="G165" s="16" t="n">
        <f aca="false">G163*G164</f>
        <v>548.425312499999</v>
      </c>
      <c r="H165" s="16" t="n">
        <f aca="false">H163*H164</f>
        <v>788.888718749999</v>
      </c>
    </row>
    <row r="166" customFormat="false" ht="17.15" hidden="false" customHeight="false" outlineLevel="0" collapsed="false">
      <c r="A166" s="5" t="s">
        <v>580</v>
      </c>
      <c r="B166" s="5" t="s">
        <v>539</v>
      </c>
      <c r="D166" s="16" t="n">
        <f aca="false">MAX(0,E165-D165)+dlt*D165</f>
        <v>150.841393798899</v>
      </c>
      <c r="E166" s="16" t="n">
        <f aca="false">MAX(0,F165-E165)+dlt*E165</f>
        <v>122.584821428572</v>
      </c>
      <c r="F166" s="16" t="n">
        <f aca="false">MAX(0,G165-F165)+dlt*F165</f>
        <v>251.307187499999</v>
      </c>
      <c r="G166" s="16" t="n">
        <f aca="false">MAX(0,H165-G165)+dlt*G165</f>
        <v>295.3059375</v>
      </c>
    </row>
    <row r="167" customFormat="false" ht="17.15" hidden="false" customHeight="false" outlineLevel="0" collapsed="false">
      <c r="A167" s="1" t="s">
        <v>581</v>
      </c>
    </row>
    <row r="168" customFormat="false" ht="17.15" hidden="false" customHeight="false" outlineLevel="0" collapsed="false">
      <c r="A168" s="0" t="s">
        <v>582</v>
      </c>
      <c r="B168" s="0" t="s">
        <v>252</v>
      </c>
      <c r="C168" s="16" t="n">
        <f aca="false">0</f>
        <v>0</v>
      </c>
      <c r="D168" s="16" t="n">
        <f aca="false">hbm26</f>
        <v>0</v>
      </c>
      <c r="E168" s="16" t="n">
        <f aca="false">E161*asp*shm_A</f>
        <v>76.9407258451095</v>
      </c>
      <c r="F168" s="16" t="n">
        <f aca="false">F161*asp*shm_A</f>
        <v>164.440854117233</v>
      </c>
      <c r="G168" s="16" t="n">
        <f aca="false">G161*asp*shm_A</f>
        <v>127.742468381314</v>
      </c>
      <c r="I168" s="8" t="s">
        <v>583</v>
      </c>
    </row>
    <row r="169" customFormat="false" ht="17.15" hidden="false" customHeight="false" outlineLevel="0" collapsed="false">
      <c r="A169" s="5" t="s">
        <v>584</v>
      </c>
      <c r="B169" s="0" t="s">
        <v>252</v>
      </c>
      <c r="C169" s="16" t="n">
        <f aca="false">hb25</f>
        <v>120</v>
      </c>
      <c r="D169" s="16" t="n">
        <f aca="false">rev26*hb_sh26-hbm26</f>
        <v>250.4</v>
      </c>
      <c r="E169" s="16" t="n">
        <f aca="false">$D170*E166*shl_A</f>
        <v>203.493474255728</v>
      </c>
      <c r="F169" s="16" t="n">
        <f aca="false">$D170*F166*shl_A</f>
        <v>417.175406333716</v>
      </c>
      <c r="G169" s="16" t="n">
        <f aca="false">$D170*G166*shl_A</f>
        <v>490.214289908926</v>
      </c>
      <c r="I169" s="8" t="s">
        <v>585</v>
      </c>
    </row>
    <row r="170" customFormat="false" ht="17.15" hidden="false" customHeight="false" outlineLevel="0" collapsed="false">
      <c r="A170" s="5" t="s">
        <v>586</v>
      </c>
      <c r="B170" s="0" t="s">
        <v>587</v>
      </c>
      <c r="D170" s="21" t="n">
        <f aca="false">D169/D166</f>
        <v>1.66002178641913</v>
      </c>
      <c r="I170" s="5" t="s">
        <v>588</v>
      </c>
    </row>
    <row r="171" customFormat="false" ht="15" hidden="false" customHeight="false" outlineLevel="0" collapsed="false">
      <c r="A171" s="5" t="s">
        <v>589</v>
      </c>
      <c r="B171" s="0" t="s">
        <v>252</v>
      </c>
      <c r="C171" s="16" t="n">
        <f aca="false">C168+C169</f>
        <v>120</v>
      </c>
      <c r="D171" s="16" t="n">
        <f aca="false">D168+D169</f>
        <v>250.4</v>
      </c>
      <c r="E171" s="16" t="n">
        <f aca="false">E168+E169</f>
        <v>280.434200100838</v>
      </c>
      <c r="F171" s="16" t="n">
        <f aca="false">F168+F169</f>
        <v>581.616260450949</v>
      </c>
      <c r="G171" s="16" t="n">
        <f aca="false">G168+G169</f>
        <v>617.95675829024</v>
      </c>
    </row>
    <row r="172" customFormat="false" ht="17.15" hidden="false" customHeight="false" outlineLevel="0" collapsed="false">
      <c r="A172" s="5" t="s">
        <v>590</v>
      </c>
      <c r="B172" s="0" t="s">
        <v>252</v>
      </c>
      <c r="C172" s="16" t="n">
        <f aca="false">a25_rev-hb25</f>
        <v>471.3</v>
      </c>
      <c r="D172" s="16" t="n">
        <f aca="false">rev26-D171</f>
        <v>751.2</v>
      </c>
      <c r="E172" s="16" t="n">
        <f aca="false">D172*(1+el*eqgA_27)</f>
        <v>900.497182193768</v>
      </c>
      <c r="F172" s="16" t="n">
        <f aca="false">E172*(1+el*eqgA_28)</f>
        <v>1015.22529871935</v>
      </c>
      <c r="G172" s="16" t="n">
        <f aca="false">F172*(1+el*eqgA_29)</f>
        <v>1075.58315674599</v>
      </c>
      <c r="I172" s="8" t="s">
        <v>591</v>
      </c>
    </row>
    <row r="173" customFormat="false" ht="15" hidden="false" customHeight="false" outlineLevel="0" collapsed="false">
      <c r="A173" s="5" t="s">
        <v>499</v>
      </c>
      <c r="B173" s="0" t="s">
        <v>252</v>
      </c>
      <c r="C173" s="16" t="n">
        <f aca="false">C171+C172</f>
        <v>591.3</v>
      </c>
      <c r="D173" s="16" t="n">
        <f aca="false">D171+D172</f>
        <v>1001.6</v>
      </c>
      <c r="E173" s="16" t="n">
        <f aca="false">E171+E172</f>
        <v>1180.93138229461</v>
      </c>
      <c r="F173" s="16" t="n">
        <f aca="false">F171+F172</f>
        <v>1596.8415591703</v>
      </c>
      <c r="G173" s="16" t="n">
        <f aca="false">G171+G172</f>
        <v>1693.53991503623</v>
      </c>
    </row>
    <row r="174" customFormat="false" ht="15" hidden="false" customHeight="false" outlineLevel="0" collapsed="false">
      <c r="A174" s="5" t="s">
        <v>592</v>
      </c>
      <c r="B174" s="0" t="s">
        <v>69</v>
      </c>
      <c r="C174" s="10" t="n">
        <f aca="false">C171/C173</f>
        <v>0.202942668696093</v>
      </c>
      <c r="D174" s="10" t="n">
        <f aca="false">D171/D173</f>
        <v>0.25</v>
      </c>
      <c r="E174" s="10" t="n">
        <f aca="false">E171/E173</f>
        <v>0.237468666092979</v>
      </c>
      <c r="F174" s="10" t="n">
        <f aca="false">F171/F173</f>
        <v>0.364229160439155</v>
      </c>
      <c r="G174" s="10" t="n">
        <f aca="false">G171/G173</f>
        <v>0.36489057789761</v>
      </c>
    </row>
    <row r="175" customFormat="false" ht="17.15" hidden="false" customHeight="false" outlineLevel="0" collapsed="false">
      <c r="A175" s="5" t="s">
        <v>506</v>
      </c>
      <c r="B175" s="0" t="s">
        <v>69</v>
      </c>
      <c r="C175" s="10" t="n">
        <f aca="false">a25_gp/a25_rev</f>
        <v>0.633012007441231</v>
      </c>
      <c r="D175" s="10" t="n">
        <f aca="false">gp26/rev26</f>
        <v>0.646641373801917</v>
      </c>
      <c r="E175" s="10" t="n">
        <f aca="false">$D175+gm_prem*(E174-$D174)+0</f>
        <v>0.645638867089355</v>
      </c>
      <c r="F175" s="10" t="n">
        <f aca="false">$D175+gm_prem*(F174-$D174)+0</f>
        <v>0.655779706637049</v>
      </c>
      <c r="G175" s="10" t="n">
        <f aca="false">$D175+gm_prem*(G174-$D174)+0</f>
        <v>0.655832620033726</v>
      </c>
      <c r="I175" s="8" t="s">
        <v>593</v>
      </c>
    </row>
    <row r="176" customFormat="false" ht="15" hidden="false" customHeight="false" outlineLevel="0" collapsed="false">
      <c r="A176" s="5" t="s">
        <v>502</v>
      </c>
      <c r="B176" s="0" t="s">
        <v>252</v>
      </c>
      <c r="C176" s="16" t="n">
        <f aca="false">a25_gp</f>
        <v>374.3</v>
      </c>
      <c r="D176" s="16" t="n">
        <f aca="false">gp26</f>
        <v>647.676</v>
      </c>
      <c r="E176" s="16" t="n">
        <f aca="false">E173*E175</f>
        <v>762.455199774955</v>
      </c>
      <c r="F176" s="16" t="n">
        <f aca="false">F173*F175</f>
        <v>1047.17628921855</v>
      </c>
      <c r="G176" s="16" t="n">
        <f aca="false">G173*G175</f>
        <v>1110.67871960991</v>
      </c>
    </row>
    <row r="177" customFormat="false" ht="17.15" hidden="false" customHeight="false" outlineLevel="0" collapsed="false">
      <c r="A177" s="5" t="s">
        <v>594</v>
      </c>
      <c r="B177" s="0" t="s">
        <v>252</v>
      </c>
      <c r="C177" s="16" t="n">
        <f aca="false">a25_opx</f>
        <v>201.2</v>
      </c>
      <c r="D177" s="16" t="n">
        <f aca="false">opx26</f>
        <v>223.1325</v>
      </c>
      <c r="E177" s="16" t="n">
        <f aca="false">opex_fix+opex_var*E173</f>
        <v>239.112795391314</v>
      </c>
      <c r="F177" s="16" t="n">
        <f aca="false">opex_fix+opex_var*F173</f>
        <v>276.17472731692</v>
      </c>
      <c r="G177" s="16" t="n">
        <f aca="false">opex_fix+opex_var*G173</f>
        <v>284.791558742741</v>
      </c>
      <c r="I177" s="5" t="s">
        <v>595</v>
      </c>
    </row>
    <row r="178" customFormat="false" ht="15" hidden="false" customHeight="false" outlineLevel="0" collapsed="false">
      <c r="A178" s="5" t="s">
        <v>510</v>
      </c>
      <c r="B178" s="0" t="s">
        <v>252</v>
      </c>
      <c r="C178" s="16" t="n">
        <f aca="false">C176-C177</f>
        <v>173.1</v>
      </c>
      <c r="D178" s="16" t="n">
        <f aca="false">D176-D177</f>
        <v>424.5435</v>
      </c>
      <c r="E178" s="16" t="n">
        <f aca="false">E176-E177</f>
        <v>523.342404383641</v>
      </c>
      <c r="F178" s="16" t="n">
        <f aca="false">F176-F177</f>
        <v>771.001561901628</v>
      </c>
      <c r="G178" s="16" t="n">
        <f aca="false">G176-G177</f>
        <v>825.887160867165</v>
      </c>
    </row>
    <row r="179" customFormat="false" ht="15" hidden="false" customHeight="false" outlineLevel="0" collapsed="false">
      <c r="A179" s="5" t="s">
        <v>555</v>
      </c>
      <c r="B179" s="0" t="s">
        <v>69</v>
      </c>
      <c r="C179" s="10" t="n">
        <f aca="false">C178/C173</f>
        <v>0.292744799594115</v>
      </c>
      <c r="D179" s="10" t="n">
        <f aca="false">D178/D173</f>
        <v>0.423865315495208</v>
      </c>
      <c r="E179" s="10" t="n">
        <f aca="false">E178/E173</f>
        <v>0.443160722316281</v>
      </c>
      <c r="F179" s="10" t="n">
        <f aca="false">F178/F173</f>
        <v>0.482829093139479</v>
      </c>
      <c r="G179" s="10" t="n">
        <f aca="false">G178/G173</f>
        <v>0.487669144101334</v>
      </c>
    </row>
    <row r="180" customFormat="false" ht="15" hidden="false" customHeight="false" outlineLevel="0" collapsed="false">
      <c r="A180" s="5" t="s">
        <v>515</v>
      </c>
      <c r="B180" s="0" t="s">
        <v>252</v>
      </c>
      <c r="C180" s="16" t="n">
        <f aca="false">a25_ni</f>
        <v>131.6</v>
      </c>
      <c r="D180" s="16" t="n">
        <f aca="false">ni26</f>
        <v>348.2641275</v>
      </c>
      <c r="E180" s="16" t="n">
        <f aca="false">(E178-fin)*(1-tax)</f>
        <v>435.39117979185</v>
      </c>
      <c r="F180" s="16" t="n">
        <f aca="false">(F178-fin)*(1-tax)</f>
        <v>649.616351044909</v>
      </c>
      <c r="G180" s="16" t="n">
        <f aca="false">(G178-fin)*(1-tax)</f>
        <v>697.092394150098</v>
      </c>
    </row>
    <row r="181" customFormat="false" ht="15" hidden="false" customHeight="false" outlineLevel="0" collapsed="false">
      <c r="A181" s="0" t="s">
        <v>556</v>
      </c>
      <c r="B181" s="0" t="s">
        <v>271</v>
      </c>
      <c r="C181" s="18" t="n">
        <f aca="false">a25_eps</f>
        <v>1.66</v>
      </c>
      <c r="D181" s="18" t="n">
        <f aca="false">eps26</f>
        <v>4.3364299400653</v>
      </c>
      <c r="E181" s="18" t="n">
        <f aca="false">E180/shares</f>
        <v>5.40177489853694</v>
      </c>
      <c r="F181" s="18" t="n">
        <f aca="false">F180/shares</f>
        <v>8.05960584785194</v>
      </c>
      <c r="G181" s="18" t="n">
        <f aca="false">G180/shares</f>
        <v>8.64862765130252</v>
      </c>
    </row>
    <row r="182" customFormat="false" ht="17.15" hidden="false" customHeight="false" outlineLevel="0" collapsed="false">
      <c r="A182" s="5" t="s">
        <v>596</v>
      </c>
      <c r="B182" s="5" t="s">
        <v>390</v>
      </c>
      <c r="C182" s="19" t="n">
        <f aca="false">C171/asp</f>
        <v>48</v>
      </c>
      <c r="D182" s="19" t="n">
        <f aca="false">D171/asp</f>
        <v>100.16</v>
      </c>
      <c r="E182" s="19" t="n">
        <f aca="false">E171/asp</f>
        <v>112.173680040335</v>
      </c>
      <c r="F182" s="19" t="n">
        <f aca="false">F171/asp</f>
        <v>232.64650418038</v>
      </c>
      <c r="G182" s="19" t="n">
        <f aca="false">G171/asp</f>
        <v>247.182703316096</v>
      </c>
    </row>
    <row r="195" customFormat="false" ht="17.15" hidden="false" customHeight="false" outlineLevel="0" collapsed="false">
      <c r="A195" s="4" t="s">
        <v>896</v>
      </c>
    </row>
    <row r="196" customFormat="false" ht="15" hidden="false" customHeight="false" outlineLevel="0" collapsed="false">
      <c r="A196" s="6" t="s">
        <v>21</v>
      </c>
      <c r="B196" s="6" t="s">
        <v>22</v>
      </c>
      <c r="C196" s="14" t="s">
        <v>524</v>
      </c>
      <c r="D196" s="14" t="s">
        <v>525</v>
      </c>
      <c r="E196" s="14" t="s">
        <v>526</v>
      </c>
      <c r="F196" s="14" t="s">
        <v>527</v>
      </c>
      <c r="G196" s="14" t="s">
        <v>528</v>
      </c>
      <c r="H196" s="14" t="s">
        <v>529</v>
      </c>
      <c r="I196" s="6" t="s">
        <v>427</v>
      </c>
    </row>
    <row r="197" customFormat="false" ht="17.15" hidden="false" customHeight="false" outlineLevel="0" collapsed="false">
      <c r="A197" s="1" t="s">
        <v>559</v>
      </c>
    </row>
    <row r="198" customFormat="false" ht="17.15" hidden="false" customHeight="false" outlineLevel="0" collapsed="false">
      <c r="A198" s="0" t="s">
        <v>560</v>
      </c>
      <c r="B198" s="0" t="s">
        <v>32</v>
      </c>
      <c r="C198" s="18" t="n">
        <f aca="false">hsA_25</f>
        <v>2.22511470588235</v>
      </c>
      <c r="D198" s="18" t="n">
        <f aca="false">hsA_26</f>
        <v>3.782695</v>
      </c>
      <c r="E198" s="18" t="n">
        <f aca="false">hsA_27</f>
        <v>5.86317725</v>
      </c>
      <c r="F198" s="18" t="n">
        <f aca="false">hsA_28</f>
        <v>8.5016070125</v>
      </c>
      <c r="G198" s="18" t="n">
        <f aca="false">hsA_29</f>
        <v>11.477169466875</v>
      </c>
      <c r="H198" s="18" t="n">
        <f aca="false">G198*(1+g_tail)</f>
        <v>12.6248864135625</v>
      </c>
      <c r="I198" s="8" t="s">
        <v>561</v>
      </c>
    </row>
    <row r="199" customFormat="false" ht="17.15" hidden="false" customHeight="false" outlineLevel="0" collapsed="false">
      <c r="A199" s="0" t="s">
        <v>562</v>
      </c>
      <c r="B199" s="0" t="s">
        <v>563</v>
      </c>
      <c r="C199" s="20" t="n">
        <f aca="false">den_25</f>
        <v>24</v>
      </c>
      <c r="D199" s="20" t="n">
        <f aca="false">den_26</f>
        <v>24</v>
      </c>
      <c r="E199" s="20" t="n">
        <f aca="false">den_27</f>
        <v>26</v>
      </c>
      <c r="F199" s="20" t="n">
        <f aca="false">den_28</f>
        <v>28</v>
      </c>
      <c r="G199" s="20" t="n">
        <f aca="false">den_29</f>
        <v>30</v>
      </c>
      <c r="H199" s="20" t="n">
        <f aca="false">den_30</f>
        <v>32</v>
      </c>
    </row>
    <row r="200" customFormat="false" ht="17.15" hidden="false" customHeight="false" outlineLevel="0" collapsed="false">
      <c r="A200" s="5" t="s">
        <v>564</v>
      </c>
      <c r="B200" s="5" t="s">
        <v>533</v>
      </c>
      <c r="C200" s="19" t="n">
        <f aca="false">C198*8000/C199</f>
        <v>741.704901960783</v>
      </c>
      <c r="D200" s="19" t="n">
        <f aca="false">D198*8000/D199</f>
        <v>1260.89833333333</v>
      </c>
      <c r="E200" s="19" t="n">
        <f aca="false">E198*8000/E199</f>
        <v>1804.05453846154</v>
      </c>
      <c r="F200" s="19" t="n">
        <f aca="false">F198*8000/F199</f>
        <v>2429.030575</v>
      </c>
      <c r="G200" s="19" t="n">
        <f aca="false">G198*8000/G199</f>
        <v>3060.5785245</v>
      </c>
      <c r="H200" s="19" t="n">
        <f aca="false">H198*8000/H199</f>
        <v>3156.22160339063</v>
      </c>
      <c r="I200" s="8" t="s">
        <v>565</v>
      </c>
    </row>
    <row r="201" customFormat="false" ht="15" hidden="false" customHeight="false" outlineLevel="0" collapsed="false">
      <c r="A201" s="5" t="s">
        <v>566</v>
      </c>
      <c r="B201" s="5" t="s">
        <v>96</v>
      </c>
      <c r="C201" s="20" t="n">
        <f aca="false">stk_25</f>
        <v>10</v>
      </c>
      <c r="D201" s="20" t="n">
        <f aca="false">stk_26</f>
        <v>12</v>
      </c>
      <c r="E201" s="20" t="n">
        <f aca="false">stk_27</f>
        <v>12.5</v>
      </c>
      <c r="F201" s="20" t="n">
        <f aca="false">stk_28</f>
        <v>14</v>
      </c>
      <c r="G201" s="20" t="n">
        <f aca="false">stk_29</f>
        <v>15</v>
      </c>
      <c r="H201" s="20" t="n">
        <f aca="false">stk_30</f>
        <v>16</v>
      </c>
    </row>
    <row r="202" customFormat="false" ht="15" hidden="false" customHeight="false" outlineLevel="0" collapsed="false">
      <c r="A202" s="5" t="s">
        <v>567</v>
      </c>
      <c r="B202" s="0" t="s">
        <v>116</v>
      </c>
      <c r="C202" s="21" t="n">
        <f aca="false">1+beta*(C201-$C201)/4</f>
        <v>1</v>
      </c>
      <c r="D202" s="21" t="n">
        <f aca="false">1+beta*(D201-$C201)/4</f>
        <v>1.05</v>
      </c>
      <c r="E202" s="21" t="n">
        <f aca="false">1+beta*(E201-$C201)/4</f>
        <v>1.0625</v>
      </c>
      <c r="F202" s="21" t="n">
        <f aca="false">1+beta*(F201-$C201)/4</f>
        <v>1.1</v>
      </c>
      <c r="G202" s="21" t="n">
        <f aca="false">1+beta*(G201-$C201)/4</f>
        <v>1.125</v>
      </c>
      <c r="H202" s="21" t="n">
        <f aca="false">1+beta*(H201-$C201)/4</f>
        <v>1.15</v>
      </c>
    </row>
    <row r="203" customFormat="false" ht="17.15" hidden="false" customHeight="false" outlineLevel="0" collapsed="false">
      <c r="A203" s="5" t="s">
        <v>568</v>
      </c>
      <c r="B203" s="0" t="s">
        <v>69</v>
      </c>
      <c r="C203" s="10" t="n">
        <f aca="false">hbp_25_hi</f>
        <v>0</v>
      </c>
      <c r="D203" s="10" t="n">
        <f aca="false">hbp_26_hi</f>
        <v>0</v>
      </c>
      <c r="E203" s="10" t="n">
        <f aca="false">hbp_27_hi</f>
        <v>0.05</v>
      </c>
      <c r="F203" s="10" t="n">
        <f aca="false">hbp_28_hi</f>
        <v>0.15</v>
      </c>
      <c r="G203" s="10" t="n">
        <f aca="false">hbp_29_hi</f>
        <v>0.3</v>
      </c>
      <c r="H203" s="10" t="n">
        <f aca="false">hbp_30_hi</f>
        <v>0.4</v>
      </c>
      <c r="I203" s="5" t="s">
        <v>569</v>
      </c>
    </row>
    <row r="204" customFormat="false" ht="17.15" hidden="false" customHeight="false" outlineLevel="0" collapsed="false">
      <c r="A204" s="5" t="s">
        <v>570</v>
      </c>
      <c r="B204" s="5" t="s">
        <v>571</v>
      </c>
      <c r="C204" s="19" t="n">
        <f aca="false">C200*C202*C203</f>
        <v>0</v>
      </c>
      <c r="D204" s="19" t="n">
        <f aca="false">D200*D202*D203</f>
        <v>0</v>
      </c>
      <c r="E204" s="19" t="n">
        <f aca="false">E200*E202*E203</f>
        <v>95.8403973557692</v>
      </c>
      <c r="F204" s="19" t="n">
        <f aca="false">F200*F202*F203</f>
        <v>400.790044875</v>
      </c>
      <c r="G204" s="19" t="n">
        <f aca="false">G200*G202*G203</f>
        <v>1032.94525201875</v>
      </c>
      <c r="H204" s="19" t="n">
        <f aca="false">H200*H202*H203</f>
        <v>1451.86193755969</v>
      </c>
    </row>
    <row r="205" customFormat="false" ht="17.15" hidden="false" customHeight="false" outlineLevel="0" collapsed="false">
      <c r="A205" s="5" t="s">
        <v>572</v>
      </c>
      <c r="B205" s="5" t="s">
        <v>390</v>
      </c>
      <c r="C205" s="19" t="n">
        <f aca="false">C204/thr</f>
        <v>0</v>
      </c>
      <c r="D205" s="19" t="n">
        <f aca="false">D204/thr</f>
        <v>0</v>
      </c>
      <c r="E205" s="19" t="n">
        <f aca="false">E204/thr</f>
        <v>15.6295494709343</v>
      </c>
      <c r="F205" s="19" t="n">
        <f aca="false">F204/thr</f>
        <v>65.3604117539139</v>
      </c>
      <c r="G205" s="19" t="n">
        <f aca="false">G204/thr</f>
        <v>168.451606656678</v>
      </c>
      <c r="H205" s="19" t="n">
        <f aca="false">H204/thr</f>
        <v>236.768091578553</v>
      </c>
    </row>
    <row r="206" customFormat="false" ht="17.15" hidden="false" customHeight="false" outlineLevel="0" collapsed="false">
      <c r="A206" s="5" t="s">
        <v>573</v>
      </c>
      <c r="B206" s="5" t="s">
        <v>390</v>
      </c>
      <c r="C206" s="19" t="n">
        <f aca="false">MAX(0,D205-C205)+dlt*C205</f>
        <v>0</v>
      </c>
      <c r="D206" s="19" t="n">
        <f aca="false">MAX(0,E205-D205)+dlt*D205</f>
        <v>15.6295494709343</v>
      </c>
      <c r="E206" s="19" t="n">
        <f aca="false">MAX(0,F205-E205)+dlt*E205</f>
        <v>51.293817230073</v>
      </c>
      <c r="F206" s="19" t="n">
        <f aca="false">MAX(0,G205-F205)+dlt*F205</f>
        <v>109.627236078156</v>
      </c>
      <c r="G206" s="19" t="n">
        <f aca="false">MAX(0,H205-G205)+dlt*G205</f>
        <v>85.1616455875428</v>
      </c>
      <c r="I206" s="5" t="s">
        <v>574</v>
      </c>
    </row>
    <row r="207" customFormat="false" ht="17.15" hidden="false" customHeight="false" outlineLevel="0" collapsed="false">
      <c r="A207" s="1" t="s">
        <v>575</v>
      </c>
    </row>
    <row r="208" customFormat="false" ht="17.15" hidden="false" customHeight="false" outlineLevel="0" collapsed="false">
      <c r="A208" s="0" t="s">
        <v>576</v>
      </c>
      <c r="B208" s="5" t="s">
        <v>146</v>
      </c>
      <c r="D208" s="19" t="n">
        <f aca="false">cow_26*1</f>
        <v>1107.85762580894</v>
      </c>
      <c r="E208" s="19" t="n">
        <f aca="false">cow_27*1</f>
        <v>2096.42857142857</v>
      </c>
      <c r="F208" s="19" t="n">
        <f aca="false">cow_28*um28_A</f>
        <v>2620.08928571429</v>
      </c>
      <c r="G208" s="19" t="n">
        <f aca="false">cow_29*um29_A</f>
        <v>3013.32589285714</v>
      </c>
      <c r="H208" s="19" t="n">
        <f aca="false">G208*(1+g_tail)</f>
        <v>3314.65848214285</v>
      </c>
      <c r="I208" s="8" t="s">
        <v>577</v>
      </c>
    </row>
    <row r="209" customFormat="false" ht="17.15" hidden="false" customHeight="false" outlineLevel="0" collapsed="false">
      <c r="A209" s="5" t="s">
        <v>578</v>
      </c>
      <c r="B209" s="0" t="s">
        <v>69</v>
      </c>
      <c r="D209" s="10" t="n">
        <f aca="false">attA_26_hi</f>
        <v>0.08</v>
      </c>
      <c r="E209" s="10" t="n">
        <f aca="false">attA_27_hi</f>
        <v>0.11</v>
      </c>
      <c r="F209" s="10" t="n">
        <f aca="false">attA_28_hi</f>
        <v>0.234</v>
      </c>
      <c r="G209" s="10" t="n">
        <f aca="false">attA_29_hi</f>
        <v>0.338</v>
      </c>
      <c r="H209" s="10" t="n">
        <f aca="false">attA_30_hi</f>
        <v>0.442</v>
      </c>
    </row>
    <row r="210" customFormat="false" ht="15" hidden="false" customHeight="false" outlineLevel="0" collapsed="false">
      <c r="A210" s="5" t="s">
        <v>579</v>
      </c>
      <c r="B210" s="5" t="s">
        <v>539</v>
      </c>
      <c r="D210" s="16" t="n">
        <f aca="false">D208*D209</f>
        <v>88.6286100647152</v>
      </c>
      <c r="E210" s="16" t="n">
        <f aca="false">E208*E209</f>
        <v>230.607142857143</v>
      </c>
      <c r="F210" s="16" t="n">
        <f aca="false">F208*F209</f>
        <v>613.100892857144</v>
      </c>
      <c r="G210" s="16" t="n">
        <f aca="false">G208*G209</f>
        <v>1018.50415178571</v>
      </c>
      <c r="H210" s="16" t="n">
        <f aca="false">H208*H209</f>
        <v>1465.07904910714</v>
      </c>
    </row>
    <row r="211" customFormat="false" ht="17.15" hidden="false" customHeight="false" outlineLevel="0" collapsed="false">
      <c r="A211" s="5" t="s">
        <v>580</v>
      </c>
      <c r="B211" s="5" t="s">
        <v>539</v>
      </c>
      <c r="D211" s="16" t="n">
        <f aca="false">MAX(0,E210-D210)+dlt*D210</f>
        <v>150.841393798899</v>
      </c>
      <c r="E211" s="16" t="n">
        <f aca="false">MAX(0,F210-E210)+dlt*E210</f>
        <v>405.554464285715</v>
      </c>
      <c r="F211" s="16" t="n">
        <f aca="false">MAX(0,G210-F210)+dlt*F210</f>
        <v>466.713348214284</v>
      </c>
      <c r="G211" s="16" t="n">
        <f aca="false">MAX(0,H210-G210)+dlt*G210</f>
        <v>548.4253125</v>
      </c>
    </row>
    <row r="212" customFormat="false" ht="17.15" hidden="false" customHeight="false" outlineLevel="0" collapsed="false">
      <c r="A212" s="1" t="s">
        <v>581</v>
      </c>
    </row>
    <row r="213" customFormat="false" ht="17.15" hidden="false" customHeight="false" outlineLevel="0" collapsed="false">
      <c r="A213" s="0" t="s">
        <v>582</v>
      </c>
      <c r="B213" s="0" t="s">
        <v>252</v>
      </c>
      <c r="C213" s="16" t="n">
        <f aca="false">0</f>
        <v>0</v>
      </c>
      <c r="D213" s="16" t="n">
        <f aca="false">hbm26</f>
        <v>0</v>
      </c>
      <c r="E213" s="16" t="n">
        <f aca="false">E206*asp*shm_A</f>
        <v>76.9407258451095</v>
      </c>
      <c r="F213" s="16" t="n">
        <f aca="false">F206*asp*shm_A</f>
        <v>164.440854117233</v>
      </c>
      <c r="G213" s="16" t="n">
        <f aca="false">G206*asp*shm_A</f>
        <v>127.742468381314</v>
      </c>
      <c r="I213" s="8" t="s">
        <v>583</v>
      </c>
    </row>
    <row r="214" customFormat="false" ht="17.15" hidden="false" customHeight="false" outlineLevel="0" collapsed="false">
      <c r="A214" s="5" t="s">
        <v>584</v>
      </c>
      <c r="B214" s="0" t="s">
        <v>252</v>
      </c>
      <c r="C214" s="16" t="n">
        <f aca="false">hb25</f>
        <v>120</v>
      </c>
      <c r="D214" s="16" t="n">
        <f aca="false">rev26*hb_sh26-hbm26</f>
        <v>250.4</v>
      </c>
      <c r="E214" s="16" t="n">
        <f aca="false">$D215*E211*shl_A</f>
        <v>673.229246293827</v>
      </c>
      <c r="F214" s="16" t="n">
        <f aca="false">$D215*F211*shl_A</f>
        <v>774.754326048329</v>
      </c>
      <c r="G214" s="16" t="n">
        <f aca="false">$D215*G211*shl_A</f>
        <v>910.397966973719</v>
      </c>
      <c r="I214" s="8" t="s">
        <v>585</v>
      </c>
    </row>
    <row r="215" customFormat="false" ht="17.15" hidden="false" customHeight="false" outlineLevel="0" collapsed="false">
      <c r="A215" s="5" t="s">
        <v>586</v>
      </c>
      <c r="B215" s="0" t="s">
        <v>587</v>
      </c>
      <c r="D215" s="21" t="n">
        <f aca="false">D214/D211</f>
        <v>1.66002178641913</v>
      </c>
      <c r="I215" s="5" t="s">
        <v>588</v>
      </c>
    </row>
    <row r="216" customFormat="false" ht="15" hidden="false" customHeight="false" outlineLevel="0" collapsed="false">
      <c r="A216" s="5" t="s">
        <v>589</v>
      </c>
      <c r="B216" s="0" t="s">
        <v>252</v>
      </c>
      <c r="C216" s="16" t="n">
        <f aca="false">C213+C214</f>
        <v>120</v>
      </c>
      <c r="D216" s="16" t="n">
        <f aca="false">D213+D214</f>
        <v>250.4</v>
      </c>
      <c r="E216" s="16" t="n">
        <f aca="false">E213+E214</f>
        <v>750.169972138936</v>
      </c>
      <c r="F216" s="16" t="n">
        <f aca="false">F213+F214</f>
        <v>939.195180165563</v>
      </c>
      <c r="G216" s="16" t="n">
        <f aca="false">G213+G214</f>
        <v>1038.14043535503</v>
      </c>
    </row>
    <row r="217" customFormat="false" ht="17.15" hidden="false" customHeight="false" outlineLevel="0" collapsed="false">
      <c r="A217" s="5" t="s">
        <v>590</v>
      </c>
      <c r="B217" s="0" t="s">
        <v>252</v>
      </c>
      <c r="C217" s="16" t="n">
        <f aca="false">a25_rev-hb25</f>
        <v>471.3</v>
      </c>
      <c r="D217" s="16" t="n">
        <f aca="false">rev26-D216</f>
        <v>751.2</v>
      </c>
      <c r="E217" s="16" t="n">
        <f aca="false">D217*(1+el*eqgA_27)</f>
        <v>900.497182193768</v>
      </c>
      <c r="F217" s="16" t="n">
        <f aca="false">E217*(1+el*eqgA_28)</f>
        <v>1015.22529871935</v>
      </c>
      <c r="G217" s="16" t="n">
        <f aca="false">F217*(1+el*eqgA_29)</f>
        <v>1075.58315674599</v>
      </c>
      <c r="I217" s="8" t="s">
        <v>591</v>
      </c>
    </row>
    <row r="218" customFormat="false" ht="15" hidden="false" customHeight="false" outlineLevel="0" collapsed="false">
      <c r="A218" s="5" t="s">
        <v>499</v>
      </c>
      <c r="B218" s="0" t="s">
        <v>252</v>
      </c>
      <c r="C218" s="16" t="n">
        <f aca="false">C216+C217</f>
        <v>591.3</v>
      </c>
      <c r="D218" s="16" t="n">
        <f aca="false">D216+D217</f>
        <v>1001.6</v>
      </c>
      <c r="E218" s="16" t="n">
        <f aca="false">E216+E217</f>
        <v>1650.6671543327</v>
      </c>
      <c r="F218" s="16" t="n">
        <f aca="false">F216+F217</f>
        <v>1954.42047888491</v>
      </c>
      <c r="G218" s="16" t="n">
        <f aca="false">G216+G217</f>
        <v>2113.72359210103</v>
      </c>
    </row>
    <row r="219" customFormat="false" ht="15" hidden="false" customHeight="false" outlineLevel="0" collapsed="false">
      <c r="A219" s="5" t="s">
        <v>592</v>
      </c>
      <c r="B219" s="0" t="s">
        <v>69</v>
      </c>
      <c r="C219" s="10" t="n">
        <f aca="false">C216/C218</f>
        <v>0.202942668696093</v>
      </c>
      <c r="D219" s="10" t="n">
        <f aca="false">D216/D218</f>
        <v>0.25</v>
      </c>
      <c r="E219" s="10" t="n">
        <f aca="false">E216/E218</f>
        <v>0.454464711537923</v>
      </c>
      <c r="F219" s="10" t="n">
        <f aca="false">F216/F218</f>
        <v>0.4805491910837</v>
      </c>
      <c r="G219" s="10" t="n">
        <f aca="false">G216/G218</f>
        <v>0.49114294756162</v>
      </c>
    </row>
    <row r="220" customFormat="false" ht="17.15" hidden="false" customHeight="false" outlineLevel="0" collapsed="false">
      <c r="A220" s="5" t="s">
        <v>506</v>
      </c>
      <c r="B220" s="0" t="s">
        <v>69</v>
      </c>
      <c r="C220" s="10" t="n">
        <f aca="false">a25_gp/a25_rev</f>
        <v>0.633012007441231</v>
      </c>
      <c r="D220" s="10" t="n">
        <f aca="false">gp26/rev26</f>
        <v>0.646641373801917</v>
      </c>
      <c r="E220" s="10" t="n">
        <f aca="false">$D220+gm_prem*(E219-$D219)+0</f>
        <v>0.662998550724951</v>
      </c>
      <c r="F220" s="10" t="n">
        <f aca="false">$D220+gm_prem*(F219-$D219)+0</f>
        <v>0.665085309088613</v>
      </c>
      <c r="G220" s="10" t="n">
        <f aca="false">$D220+gm_prem*(G219-$D219)+0</f>
        <v>0.665932809606847</v>
      </c>
      <c r="I220" s="8" t="s">
        <v>593</v>
      </c>
    </row>
    <row r="221" customFormat="false" ht="15" hidden="false" customHeight="false" outlineLevel="0" collapsed="false">
      <c r="A221" s="5" t="s">
        <v>502</v>
      </c>
      <c r="B221" s="0" t="s">
        <v>252</v>
      </c>
      <c r="C221" s="16" t="n">
        <f aca="false">a25_gp</f>
        <v>374.3</v>
      </c>
      <c r="D221" s="16" t="n">
        <f aca="false">gp26</f>
        <v>647.676</v>
      </c>
      <c r="E221" s="16" t="n">
        <f aca="false">E218*E220</f>
        <v>1094.38993105186</v>
      </c>
      <c r="F221" s="16" t="n">
        <f aca="false">F218*F220</f>
        <v>1299.85634828829</v>
      </c>
      <c r="G221" s="16" t="n">
        <f aca="false">G218*G220</f>
        <v>1407.59789042011</v>
      </c>
    </row>
    <row r="222" customFormat="false" ht="17.15" hidden="false" customHeight="false" outlineLevel="0" collapsed="false">
      <c r="A222" s="5" t="s">
        <v>594</v>
      </c>
      <c r="B222" s="0" t="s">
        <v>252</v>
      </c>
      <c r="C222" s="16" t="n">
        <f aca="false">a25_opx</f>
        <v>201.2</v>
      </c>
      <c r="D222" s="16" t="n">
        <f aca="false">opx26</f>
        <v>223.1325</v>
      </c>
      <c r="E222" s="16" t="n">
        <f aca="false">opex_fix+opex_var*E218</f>
        <v>280.971148887437</v>
      </c>
      <c r="F222" s="16" t="n">
        <f aca="false">opex_fix+opex_var*F218</f>
        <v>308.038736223957</v>
      </c>
      <c r="G222" s="16" t="n">
        <f aca="false">opex_fix+opex_var*G218</f>
        <v>322.234304079266</v>
      </c>
      <c r="I222" s="5" t="s">
        <v>595</v>
      </c>
    </row>
    <row r="223" customFormat="false" ht="15" hidden="false" customHeight="false" outlineLevel="0" collapsed="false">
      <c r="A223" s="5" t="s">
        <v>510</v>
      </c>
      <c r="B223" s="0" t="s">
        <v>252</v>
      </c>
      <c r="C223" s="16" t="n">
        <f aca="false">C221-C222</f>
        <v>173.1</v>
      </c>
      <c r="D223" s="16" t="n">
        <f aca="false">D221-D222</f>
        <v>424.5435</v>
      </c>
      <c r="E223" s="16" t="n">
        <f aca="false">E221-E222</f>
        <v>813.418782164424</v>
      </c>
      <c r="F223" s="16" t="n">
        <f aca="false">F221-F222</f>
        <v>991.817612064331</v>
      </c>
      <c r="G223" s="16" t="n">
        <f aca="false">G221-G222</f>
        <v>1085.36358634085</v>
      </c>
    </row>
    <row r="224" customFormat="false" ht="15" hidden="false" customHeight="false" outlineLevel="0" collapsed="false">
      <c r="A224" s="5" t="s">
        <v>555</v>
      </c>
      <c r="B224" s="0" t="s">
        <v>69</v>
      </c>
      <c r="C224" s="10" t="n">
        <f aca="false">C223/C218</f>
        <v>0.292744799594115</v>
      </c>
      <c r="D224" s="10" t="n">
        <f aca="false">D223/D218</f>
        <v>0.423865315495208</v>
      </c>
      <c r="E224" s="10" t="n">
        <f aca="false">E223/E218</f>
        <v>0.492781830685457</v>
      </c>
      <c r="F224" s="10" t="n">
        <f aca="false">F223/F218</f>
        <v>0.50747401737737</v>
      </c>
      <c r="G224" s="10" t="n">
        <f aca="false">G223/G218</f>
        <v>0.513484161503824</v>
      </c>
    </row>
    <row r="225" customFormat="false" ht="15" hidden="false" customHeight="false" outlineLevel="0" collapsed="false">
      <c r="A225" s="5" t="s">
        <v>515</v>
      </c>
      <c r="B225" s="0" t="s">
        <v>252</v>
      </c>
      <c r="C225" s="16" t="n">
        <f aca="false">a25_ni</f>
        <v>131.6</v>
      </c>
      <c r="D225" s="16" t="n">
        <f aca="false">ni26</f>
        <v>348.2641275</v>
      </c>
      <c r="E225" s="16" t="n">
        <f aca="false">(E223-fin)*(1-tax)</f>
        <v>686.307246572227</v>
      </c>
      <c r="F225" s="16" t="n">
        <f aca="false">(F223-fin)*(1-tax)</f>
        <v>840.622234435647</v>
      </c>
      <c r="G225" s="16" t="n">
        <f aca="false">(G223-fin)*(1-tax)</f>
        <v>921.539502184832</v>
      </c>
    </row>
    <row r="226" customFormat="false" ht="15" hidden="false" customHeight="false" outlineLevel="0" collapsed="false">
      <c r="A226" s="0" t="s">
        <v>556</v>
      </c>
      <c r="B226" s="0" t="s">
        <v>271</v>
      </c>
      <c r="C226" s="18" t="n">
        <f aca="false">a25_eps</f>
        <v>1.66</v>
      </c>
      <c r="D226" s="18" t="n">
        <f aca="false">eps26</f>
        <v>4.3364299400653</v>
      </c>
      <c r="E226" s="18" t="n">
        <f aca="false">E225/shares</f>
        <v>8.51481938377856</v>
      </c>
      <c r="F226" s="18" t="n">
        <f aca="false">F225/shares</f>
        <v>10.4293616772333</v>
      </c>
      <c r="G226" s="18" t="n">
        <f aca="false">G225/shares</f>
        <v>11.4332792715096</v>
      </c>
    </row>
    <row r="227" customFormat="false" ht="17.15" hidden="false" customHeight="false" outlineLevel="0" collapsed="false">
      <c r="A227" s="5" t="s">
        <v>596</v>
      </c>
      <c r="B227" s="5" t="s">
        <v>390</v>
      </c>
      <c r="C227" s="19" t="n">
        <f aca="false">C216/asp</f>
        <v>48</v>
      </c>
      <c r="D227" s="19" t="n">
        <f aca="false">D216/asp</f>
        <v>100.16</v>
      </c>
      <c r="E227" s="19" t="n">
        <f aca="false">E216/asp</f>
        <v>300.067988855575</v>
      </c>
      <c r="F227" s="19" t="n">
        <f aca="false">F216/asp</f>
        <v>375.678072066225</v>
      </c>
      <c r="G227" s="19" t="n">
        <f aca="false">G216/asp</f>
        <v>415.256174142013</v>
      </c>
    </row>
    <row r="240" customFormat="false" ht="17.15" hidden="false" customHeight="false" outlineLevel="0" collapsed="false">
      <c r="A240" s="4" t="s">
        <v>897</v>
      </c>
    </row>
    <row r="241" customFormat="false" ht="15" hidden="false" customHeight="false" outlineLevel="0" collapsed="false">
      <c r="A241" s="6" t="s">
        <v>21</v>
      </c>
      <c r="B241" s="6" t="s">
        <v>22</v>
      </c>
      <c r="C241" s="14" t="s">
        <v>524</v>
      </c>
      <c r="D241" s="14" t="s">
        <v>525</v>
      </c>
      <c r="E241" s="14" t="s">
        <v>526</v>
      </c>
      <c r="F241" s="14" t="s">
        <v>527</v>
      </c>
      <c r="G241" s="14" t="s">
        <v>528</v>
      </c>
      <c r="H241" s="14" t="s">
        <v>529</v>
      </c>
      <c r="I241" s="6" t="s">
        <v>427</v>
      </c>
    </row>
    <row r="242" customFormat="false" ht="17.15" hidden="false" customHeight="false" outlineLevel="0" collapsed="false">
      <c r="A242" s="1" t="s">
        <v>559</v>
      </c>
    </row>
    <row r="243" customFormat="false" ht="17.15" hidden="false" customHeight="false" outlineLevel="0" collapsed="false">
      <c r="A243" s="0" t="s">
        <v>560</v>
      </c>
      <c r="B243" s="0" t="s">
        <v>32</v>
      </c>
      <c r="C243" s="18" t="n">
        <f aca="false">hsA_25</f>
        <v>2.22511470588235</v>
      </c>
      <c r="D243" s="18" t="n">
        <f aca="false">hsA_26</f>
        <v>3.782695</v>
      </c>
      <c r="E243" s="18" t="n">
        <f aca="false">hsA_27</f>
        <v>5.86317725</v>
      </c>
      <c r="F243" s="18" t="n">
        <f aca="false">hsA_28</f>
        <v>8.5016070125</v>
      </c>
      <c r="G243" s="18" t="n">
        <f aca="false">hsA_29</f>
        <v>11.477169466875</v>
      </c>
      <c r="H243" s="18" t="n">
        <f aca="false">G243*(1+g_tail)</f>
        <v>12.6248864135625</v>
      </c>
      <c r="I243" s="8" t="s">
        <v>561</v>
      </c>
    </row>
    <row r="244" customFormat="false" ht="17.15" hidden="false" customHeight="false" outlineLevel="0" collapsed="false">
      <c r="A244" s="0" t="s">
        <v>562</v>
      </c>
      <c r="B244" s="0" t="s">
        <v>563</v>
      </c>
      <c r="C244" s="20" t="n">
        <f aca="false">den_25</f>
        <v>24</v>
      </c>
      <c r="D244" s="20" t="n">
        <f aca="false">den_26</f>
        <v>24</v>
      </c>
      <c r="E244" s="20" t="n">
        <f aca="false">den_27</f>
        <v>26</v>
      </c>
      <c r="F244" s="20" t="n">
        <f aca="false">den_28</f>
        <v>28</v>
      </c>
      <c r="G244" s="20" t="n">
        <f aca="false">den_29</f>
        <v>30</v>
      </c>
      <c r="H244" s="20" t="n">
        <f aca="false">den_30</f>
        <v>32</v>
      </c>
    </row>
    <row r="245" customFormat="false" ht="17.15" hidden="false" customHeight="false" outlineLevel="0" collapsed="false">
      <c r="A245" s="5" t="s">
        <v>564</v>
      </c>
      <c r="B245" s="5" t="s">
        <v>533</v>
      </c>
      <c r="C245" s="19" t="n">
        <f aca="false">C243*8000/C244</f>
        <v>741.704901960783</v>
      </c>
      <c r="D245" s="19" t="n">
        <f aca="false">D243*8000/D244</f>
        <v>1260.89833333333</v>
      </c>
      <c r="E245" s="19" t="n">
        <f aca="false">E243*8000/E244</f>
        <v>1804.05453846154</v>
      </c>
      <c r="F245" s="19" t="n">
        <f aca="false">F243*8000/F244</f>
        <v>2429.030575</v>
      </c>
      <c r="G245" s="19" t="n">
        <f aca="false">G243*8000/G244</f>
        <v>3060.5785245</v>
      </c>
      <c r="H245" s="19" t="n">
        <f aca="false">H243*8000/H244</f>
        <v>3156.22160339063</v>
      </c>
      <c r="I245" s="8" t="s">
        <v>565</v>
      </c>
    </row>
    <row r="246" customFormat="false" ht="15" hidden="false" customHeight="false" outlineLevel="0" collapsed="false">
      <c r="A246" s="5" t="s">
        <v>566</v>
      </c>
      <c r="B246" s="5" t="s">
        <v>96</v>
      </c>
      <c r="C246" s="20" t="n">
        <f aca="false">stk_25</f>
        <v>10</v>
      </c>
      <c r="D246" s="20" t="n">
        <f aca="false">stk_26</f>
        <v>12</v>
      </c>
      <c r="E246" s="20" t="n">
        <f aca="false">stk_27</f>
        <v>12.5</v>
      </c>
      <c r="F246" s="20" t="n">
        <f aca="false">stk_28</f>
        <v>14</v>
      </c>
      <c r="G246" s="20" t="n">
        <f aca="false">stk_29</f>
        <v>15</v>
      </c>
      <c r="H246" s="20" t="n">
        <f aca="false">stk_30</f>
        <v>16</v>
      </c>
    </row>
    <row r="247" customFormat="false" ht="15" hidden="false" customHeight="false" outlineLevel="0" collapsed="false">
      <c r="A247" s="5" t="s">
        <v>567</v>
      </c>
      <c r="B247" s="0" t="s">
        <v>116</v>
      </c>
      <c r="C247" s="21" t="n">
        <f aca="false">1+beta*(C246-$C246)/4</f>
        <v>1</v>
      </c>
      <c r="D247" s="21" t="n">
        <f aca="false">1+beta*(D246-$C246)/4</f>
        <v>1.05</v>
      </c>
      <c r="E247" s="21" t="n">
        <f aca="false">1+beta*(E246-$C246)/4</f>
        <v>1.0625</v>
      </c>
      <c r="F247" s="21" t="n">
        <f aca="false">1+beta*(F246-$C246)/4</f>
        <v>1.1</v>
      </c>
      <c r="G247" s="21" t="n">
        <f aca="false">1+beta*(G246-$C246)/4</f>
        <v>1.125</v>
      </c>
      <c r="H247" s="21" t="n">
        <f aca="false">1+beta*(H246-$C246)/4</f>
        <v>1.15</v>
      </c>
    </row>
    <row r="248" customFormat="false" ht="17.15" hidden="false" customHeight="false" outlineLevel="0" collapsed="false">
      <c r="A248" s="5" t="s">
        <v>568</v>
      </c>
      <c r="B248" s="0" t="s">
        <v>69</v>
      </c>
      <c r="C248" s="10" t="n">
        <f aca="false">hbp_25_hi</f>
        <v>0</v>
      </c>
      <c r="D248" s="10" t="n">
        <f aca="false">hbp_26_hi</f>
        <v>0</v>
      </c>
      <c r="E248" s="10" t="n">
        <f aca="false">hbp_27_hi</f>
        <v>0.05</v>
      </c>
      <c r="F248" s="10" t="n">
        <f aca="false">hbp_28_hi</f>
        <v>0.15</v>
      </c>
      <c r="G248" s="10" t="n">
        <f aca="false">hbp_29_hi</f>
        <v>0.3</v>
      </c>
      <c r="H248" s="10" t="n">
        <f aca="false">hbp_30_hi</f>
        <v>0.4</v>
      </c>
      <c r="I248" s="5" t="s">
        <v>569</v>
      </c>
    </row>
    <row r="249" customFormat="false" ht="17.15" hidden="false" customHeight="false" outlineLevel="0" collapsed="false">
      <c r="A249" s="5" t="s">
        <v>570</v>
      </c>
      <c r="B249" s="5" t="s">
        <v>571</v>
      </c>
      <c r="C249" s="19" t="n">
        <f aca="false">C245*C247*C248</f>
        <v>0</v>
      </c>
      <c r="D249" s="19" t="n">
        <f aca="false">D245*D247*D248</f>
        <v>0</v>
      </c>
      <c r="E249" s="19" t="n">
        <f aca="false">E245*E247*E248</f>
        <v>95.8403973557692</v>
      </c>
      <c r="F249" s="19" t="n">
        <f aca="false">F245*F247*F248</f>
        <v>400.790044875</v>
      </c>
      <c r="G249" s="19" t="n">
        <f aca="false">G245*G247*G248</f>
        <v>1032.94525201875</v>
      </c>
      <c r="H249" s="19" t="n">
        <f aca="false">H245*H247*H248</f>
        <v>1451.86193755969</v>
      </c>
    </row>
    <row r="250" customFormat="false" ht="17.15" hidden="false" customHeight="false" outlineLevel="0" collapsed="false">
      <c r="A250" s="5" t="s">
        <v>572</v>
      </c>
      <c r="B250" s="5" t="s">
        <v>390</v>
      </c>
      <c r="C250" s="19" t="n">
        <f aca="false">C249/thr</f>
        <v>0</v>
      </c>
      <c r="D250" s="19" t="n">
        <f aca="false">D249/thr</f>
        <v>0</v>
      </c>
      <c r="E250" s="19" t="n">
        <f aca="false">E249/thr</f>
        <v>15.6295494709343</v>
      </c>
      <c r="F250" s="19" t="n">
        <f aca="false">F249/thr</f>
        <v>65.3604117539139</v>
      </c>
      <c r="G250" s="19" t="n">
        <f aca="false">G249/thr</f>
        <v>168.451606656678</v>
      </c>
      <c r="H250" s="19" t="n">
        <f aca="false">H249/thr</f>
        <v>236.768091578553</v>
      </c>
    </row>
    <row r="251" customFormat="false" ht="17.15" hidden="false" customHeight="false" outlineLevel="0" collapsed="false">
      <c r="A251" s="5" t="s">
        <v>573</v>
      </c>
      <c r="B251" s="5" t="s">
        <v>390</v>
      </c>
      <c r="C251" s="19" t="n">
        <f aca="false">MAX(0,D250-C250)+dlt*C250</f>
        <v>0</v>
      </c>
      <c r="D251" s="19" t="n">
        <f aca="false">MAX(0,E250-D250)+dlt*D250</f>
        <v>15.6295494709343</v>
      </c>
      <c r="E251" s="19" t="n">
        <f aca="false">MAX(0,F250-E250)+dlt*E250</f>
        <v>51.293817230073</v>
      </c>
      <c r="F251" s="19" t="n">
        <f aca="false">MAX(0,G250-F250)+dlt*F250</f>
        <v>109.627236078156</v>
      </c>
      <c r="G251" s="19" t="n">
        <f aca="false">MAX(0,H250-G250)+dlt*G250</f>
        <v>85.1616455875428</v>
      </c>
      <c r="I251" s="5" t="s">
        <v>574</v>
      </c>
    </row>
    <row r="252" customFormat="false" ht="17.15" hidden="false" customHeight="false" outlineLevel="0" collapsed="false">
      <c r="A252" s="1" t="s">
        <v>575</v>
      </c>
    </row>
    <row r="253" customFormat="false" ht="17.15" hidden="false" customHeight="false" outlineLevel="0" collapsed="false">
      <c r="A253" s="0" t="s">
        <v>576</v>
      </c>
      <c r="B253" s="5" t="s">
        <v>146</v>
      </c>
      <c r="D253" s="19" t="n">
        <f aca="false">cow_26*1</f>
        <v>1107.85762580894</v>
      </c>
      <c r="E253" s="19" t="n">
        <f aca="false">cow_27*1</f>
        <v>2096.42857142857</v>
      </c>
      <c r="F253" s="19" t="n">
        <f aca="false">cow_28*um28_A</f>
        <v>2620.08928571429</v>
      </c>
      <c r="G253" s="19" t="n">
        <f aca="false">cow_29*um29_A</f>
        <v>3013.32589285714</v>
      </c>
      <c r="H253" s="19" t="n">
        <f aca="false">G253*(1+g_tail)</f>
        <v>3314.65848214285</v>
      </c>
      <c r="I253" s="8" t="s">
        <v>577</v>
      </c>
    </row>
    <row r="254" customFormat="false" ht="17.15" hidden="false" customHeight="false" outlineLevel="0" collapsed="false">
      <c r="A254" s="5" t="s">
        <v>578</v>
      </c>
      <c r="B254" s="0" t="s">
        <v>69</v>
      </c>
      <c r="D254" s="10" t="n">
        <f aca="false">attB_26</f>
        <v>0.08</v>
      </c>
      <c r="E254" s="10" t="n">
        <f aca="false">attB_27</f>
        <v>0.11</v>
      </c>
      <c r="F254" s="10" t="n">
        <f aca="false">attB_28</f>
        <v>0.15</v>
      </c>
      <c r="G254" s="10" t="n">
        <f aca="false">attB_29</f>
        <v>0.2</v>
      </c>
      <c r="H254" s="10" t="n">
        <f aca="false">attB_30</f>
        <v>0.25</v>
      </c>
    </row>
    <row r="255" customFormat="false" ht="15" hidden="false" customHeight="false" outlineLevel="0" collapsed="false">
      <c r="A255" s="5" t="s">
        <v>579</v>
      </c>
      <c r="B255" s="5" t="s">
        <v>539</v>
      </c>
      <c r="D255" s="16" t="n">
        <f aca="false">D253*D254</f>
        <v>88.6286100647152</v>
      </c>
      <c r="E255" s="16" t="n">
        <f aca="false">E253*E254</f>
        <v>230.607142857143</v>
      </c>
      <c r="F255" s="16" t="n">
        <f aca="false">F253*F254</f>
        <v>393.013392857143</v>
      </c>
      <c r="G255" s="16" t="n">
        <f aca="false">G253*G254</f>
        <v>602.665178571428</v>
      </c>
      <c r="H255" s="16" t="n">
        <f aca="false">H253*H254</f>
        <v>828.664620535714</v>
      </c>
    </row>
    <row r="256" customFormat="false" ht="17.15" hidden="false" customHeight="false" outlineLevel="0" collapsed="false">
      <c r="A256" s="5" t="s">
        <v>580</v>
      </c>
      <c r="B256" s="5" t="s">
        <v>539</v>
      </c>
      <c r="D256" s="16" t="n">
        <f aca="false">MAX(0,E255-D255)+dlt*D255</f>
        <v>150.841393798899</v>
      </c>
      <c r="E256" s="16" t="n">
        <f aca="false">MAX(0,F255-E255)+dlt*E255</f>
        <v>185.466964285715</v>
      </c>
      <c r="F256" s="16" t="n">
        <f aca="false">MAX(0,G255-F255)+dlt*F255</f>
        <v>248.953124999999</v>
      </c>
      <c r="G256" s="16" t="n">
        <f aca="false">MAX(0,H255-G255)+dlt*G255</f>
        <v>286.265959821428</v>
      </c>
    </row>
    <row r="257" customFormat="false" ht="17.15" hidden="false" customHeight="false" outlineLevel="0" collapsed="false">
      <c r="A257" s="1" t="s">
        <v>581</v>
      </c>
    </row>
    <row r="258" customFormat="false" ht="17.15" hidden="false" customHeight="false" outlineLevel="0" collapsed="false">
      <c r="A258" s="0" t="s">
        <v>582</v>
      </c>
      <c r="B258" s="0" t="s">
        <v>252</v>
      </c>
      <c r="C258" s="16" t="n">
        <f aca="false">0</f>
        <v>0</v>
      </c>
      <c r="D258" s="16" t="n">
        <f aca="false">hbm26</f>
        <v>0</v>
      </c>
      <c r="E258" s="16" t="n">
        <f aca="false">E251*asp*shm_A</f>
        <v>76.9407258451095</v>
      </c>
      <c r="F258" s="16" t="n">
        <f aca="false">F251*asp*shm_A</f>
        <v>164.440854117233</v>
      </c>
      <c r="G258" s="16" t="n">
        <f aca="false">G251*asp*shm_A</f>
        <v>127.742468381314</v>
      </c>
      <c r="I258" s="8" t="s">
        <v>583</v>
      </c>
    </row>
    <row r="259" customFormat="false" ht="17.15" hidden="false" customHeight="false" outlineLevel="0" collapsed="false">
      <c r="A259" s="5" t="s">
        <v>584</v>
      </c>
      <c r="B259" s="0" t="s">
        <v>252</v>
      </c>
      <c r="C259" s="16" t="n">
        <f aca="false">hb25</f>
        <v>120</v>
      </c>
      <c r="D259" s="16" t="n">
        <f aca="false">rev26*hb_sh26-hbm26</f>
        <v>250.4</v>
      </c>
      <c r="E259" s="16" t="n">
        <f aca="false">$D260*E256*shl_A</f>
        <v>307.879201375306</v>
      </c>
      <c r="F259" s="16" t="n">
        <f aca="false">$D260*F256*shl_A</f>
        <v>413.267611297123</v>
      </c>
      <c r="G259" s="16" t="n">
        <f aca="false">$D260*G256*shl_A</f>
        <v>475.207730013755</v>
      </c>
      <c r="I259" s="8" t="s">
        <v>585</v>
      </c>
    </row>
    <row r="260" customFormat="false" ht="17.15" hidden="false" customHeight="false" outlineLevel="0" collapsed="false">
      <c r="A260" s="5" t="s">
        <v>586</v>
      </c>
      <c r="B260" s="0" t="s">
        <v>587</v>
      </c>
      <c r="D260" s="21" t="n">
        <f aca="false">D259/D256</f>
        <v>1.66002178641913</v>
      </c>
      <c r="I260" s="5" t="s">
        <v>588</v>
      </c>
    </row>
    <row r="261" customFormat="false" ht="15" hidden="false" customHeight="false" outlineLevel="0" collapsed="false">
      <c r="A261" s="5" t="s">
        <v>589</v>
      </c>
      <c r="B261" s="0" t="s">
        <v>252</v>
      </c>
      <c r="C261" s="16" t="n">
        <f aca="false">C258+C259</f>
        <v>120</v>
      </c>
      <c r="D261" s="16" t="n">
        <f aca="false">D258+D259</f>
        <v>250.4</v>
      </c>
      <c r="E261" s="16" t="n">
        <f aca="false">E258+E259</f>
        <v>384.819927220415</v>
      </c>
      <c r="F261" s="16" t="n">
        <f aca="false">F258+F259</f>
        <v>577.708465414357</v>
      </c>
      <c r="G261" s="16" t="n">
        <f aca="false">G258+G259</f>
        <v>602.950198395069</v>
      </c>
    </row>
    <row r="262" customFormat="false" ht="17.15" hidden="false" customHeight="false" outlineLevel="0" collapsed="false">
      <c r="A262" s="5" t="s">
        <v>590</v>
      </c>
      <c r="B262" s="0" t="s">
        <v>252</v>
      </c>
      <c r="C262" s="16" t="n">
        <f aca="false">a25_rev-hb25</f>
        <v>471.3</v>
      </c>
      <c r="D262" s="16" t="n">
        <f aca="false">rev26-D261</f>
        <v>751.2</v>
      </c>
      <c r="E262" s="16" t="n">
        <f aca="false">D262*(1+el*eqgA_27)</f>
        <v>900.497182193768</v>
      </c>
      <c r="F262" s="16" t="n">
        <f aca="false">E262*(1+el*eqgA_28)</f>
        <v>1015.22529871935</v>
      </c>
      <c r="G262" s="16" t="n">
        <f aca="false">F262*(1+el*eqgA_29)</f>
        <v>1075.58315674599</v>
      </c>
      <c r="I262" s="8" t="s">
        <v>591</v>
      </c>
    </row>
    <row r="263" customFormat="false" ht="15" hidden="false" customHeight="false" outlineLevel="0" collapsed="false">
      <c r="A263" s="5" t="s">
        <v>499</v>
      </c>
      <c r="B263" s="0" t="s">
        <v>252</v>
      </c>
      <c r="C263" s="16" t="n">
        <f aca="false">C261+C262</f>
        <v>591.3</v>
      </c>
      <c r="D263" s="16" t="n">
        <f aca="false">D261+D262</f>
        <v>1001.6</v>
      </c>
      <c r="E263" s="16" t="n">
        <f aca="false">E261+E262</f>
        <v>1285.31710941418</v>
      </c>
      <c r="F263" s="16" t="n">
        <f aca="false">F261+F262</f>
        <v>1592.93376413371</v>
      </c>
      <c r="G263" s="16" t="n">
        <f aca="false">G261+G262</f>
        <v>1678.53335514106</v>
      </c>
    </row>
    <row r="264" customFormat="false" ht="15" hidden="false" customHeight="false" outlineLevel="0" collapsed="false">
      <c r="A264" s="5" t="s">
        <v>592</v>
      </c>
      <c r="B264" s="0" t="s">
        <v>69</v>
      </c>
      <c r="C264" s="10" t="n">
        <f aca="false">C261/C263</f>
        <v>0.202942668696093</v>
      </c>
      <c r="D264" s="10" t="n">
        <f aca="false">D261/D263</f>
        <v>0.25</v>
      </c>
      <c r="E264" s="10" t="n">
        <f aca="false">E261/E263</f>
        <v>0.299396875994133</v>
      </c>
      <c r="F264" s="10" t="n">
        <f aca="false">F261/F263</f>
        <v>0.362669483453717</v>
      </c>
      <c r="G264" s="10" t="n">
        <f aca="false">G261/G263</f>
        <v>0.359212521186032</v>
      </c>
    </row>
    <row r="265" customFormat="false" ht="17.15" hidden="false" customHeight="false" outlineLevel="0" collapsed="false">
      <c r="A265" s="5" t="s">
        <v>506</v>
      </c>
      <c r="B265" s="0" t="s">
        <v>69</v>
      </c>
      <c r="C265" s="10" t="n">
        <f aca="false">a25_gp/a25_rev</f>
        <v>0.633012007441231</v>
      </c>
      <c r="D265" s="10" t="n">
        <f aca="false">gp26/rev26</f>
        <v>0.646641373801917</v>
      </c>
      <c r="E265" s="10" t="n">
        <f aca="false">$D265+gm_prem*(E264-$D264)+0</f>
        <v>0.650593123881448</v>
      </c>
      <c r="F265" s="10" t="n">
        <f aca="false">$D265+gm_prem*(F264-$D264)+0</f>
        <v>0.655654932478214</v>
      </c>
      <c r="G265" s="10" t="n">
        <f aca="false">$D265+gm_prem*(G264-$D264)+0</f>
        <v>0.655378375496799</v>
      </c>
      <c r="I265" s="8" t="s">
        <v>593</v>
      </c>
    </row>
    <row r="266" customFormat="false" ht="15" hidden="false" customHeight="false" outlineLevel="0" collapsed="false">
      <c r="A266" s="5" t="s">
        <v>502</v>
      </c>
      <c r="B266" s="0" t="s">
        <v>252</v>
      </c>
      <c r="C266" s="16" t="n">
        <f aca="false">a25_gp</f>
        <v>374.3</v>
      </c>
      <c r="D266" s="16" t="n">
        <f aca="false">gp26</f>
        <v>647.676</v>
      </c>
      <c r="E266" s="16" t="n">
        <f aca="false">E263*E265</f>
        <v>836.218473392046</v>
      </c>
      <c r="F266" s="16" t="n">
        <f aca="false">F263*F265</f>
        <v>1044.41487956535</v>
      </c>
      <c r="G266" s="16" t="n">
        <f aca="false">G263*G265</f>
        <v>1100.07446350954</v>
      </c>
    </row>
    <row r="267" customFormat="false" ht="17.15" hidden="false" customHeight="false" outlineLevel="0" collapsed="false">
      <c r="A267" s="5" t="s">
        <v>594</v>
      </c>
      <c r="B267" s="0" t="s">
        <v>252</v>
      </c>
      <c r="C267" s="16" t="n">
        <f aca="false">a25_opx</f>
        <v>201.2</v>
      </c>
      <c r="D267" s="16" t="n">
        <f aca="false">opx26</f>
        <v>223.1325</v>
      </c>
      <c r="E267" s="16" t="n">
        <f aca="false">opex_fix+opex_var*E263</f>
        <v>248.414651723786</v>
      </c>
      <c r="F267" s="16" t="n">
        <f aca="false">opex_fix+opex_var*F263</f>
        <v>275.826502046951</v>
      </c>
      <c r="G267" s="16" t="n">
        <f aca="false">opex_fix+opex_var*G263</f>
        <v>283.454317837865</v>
      </c>
      <c r="I267" s="5" t="s">
        <v>595</v>
      </c>
    </row>
    <row r="268" customFormat="false" ht="15" hidden="false" customHeight="false" outlineLevel="0" collapsed="false">
      <c r="A268" s="5" t="s">
        <v>510</v>
      </c>
      <c r="B268" s="0" t="s">
        <v>252</v>
      </c>
      <c r="C268" s="16" t="n">
        <f aca="false">C266-C267</f>
        <v>173.1</v>
      </c>
      <c r="D268" s="16" t="n">
        <f aca="false">D266-D267</f>
        <v>424.5435</v>
      </c>
      <c r="E268" s="16" t="n">
        <f aca="false">E266-E267</f>
        <v>587.80382166826</v>
      </c>
      <c r="F268" s="16" t="n">
        <f aca="false">F266-F267</f>
        <v>768.588377518404</v>
      </c>
      <c r="G268" s="16" t="n">
        <f aca="false">G266-G267</f>
        <v>816.620145671676</v>
      </c>
    </row>
    <row r="269" customFormat="false" ht="15" hidden="false" customHeight="false" outlineLevel="0" collapsed="false">
      <c r="A269" s="5" t="s">
        <v>555</v>
      </c>
      <c r="B269" s="0" t="s">
        <v>69</v>
      </c>
      <c r="C269" s="10" t="n">
        <f aca="false">C268/C263</f>
        <v>0.292744799594115</v>
      </c>
      <c r="D269" s="10" t="n">
        <f aca="false">D268/D263</f>
        <v>0.423865315495208</v>
      </c>
      <c r="E269" s="10" t="n">
        <f aca="false">E268/E263</f>
        <v>0.457322023773703</v>
      </c>
      <c r="F269" s="10" t="n">
        <f aca="false">F268/F263</f>
        <v>0.482498641703654</v>
      </c>
      <c r="G269" s="10" t="n">
        <f aca="false">G268/G263</f>
        <v>0.486508143058646</v>
      </c>
    </row>
    <row r="270" customFormat="false" ht="15" hidden="false" customHeight="false" outlineLevel="0" collapsed="false">
      <c r="A270" s="5" t="s">
        <v>515</v>
      </c>
      <c r="B270" s="0" t="s">
        <v>252</v>
      </c>
      <c r="C270" s="16" t="n">
        <f aca="false">a25_ni</f>
        <v>131.6</v>
      </c>
      <c r="D270" s="16" t="n">
        <f aca="false">ni26</f>
        <v>348.2641275</v>
      </c>
      <c r="E270" s="16" t="n">
        <f aca="false">(E268-fin)*(1-tax)</f>
        <v>491.150305743045</v>
      </c>
      <c r="F270" s="16" t="n">
        <f aca="false">(F268-fin)*(1-tax)</f>
        <v>647.528946553419</v>
      </c>
      <c r="G270" s="16" t="n">
        <f aca="false">(G268-fin)*(1-tax)</f>
        <v>689.076426006</v>
      </c>
    </row>
    <row r="271" customFormat="false" ht="15" hidden="false" customHeight="false" outlineLevel="0" collapsed="false">
      <c r="A271" s="0" t="s">
        <v>556</v>
      </c>
      <c r="B271" s="0" t="s">
        <v>271</v>
      </c>
      <c r="C271" s="18" t="n">
        <f aca="false">a25_eps</f>
        <v>1.66</v>
      </c>
      <c r="D271" s="18" t="n">
        <f aca="false">eps26</f>
        <v>4.3364299400653</v>
      </c>
      <c r="E271" s="18" t="n">
        <f aca="false">E270/shares</f>
        <v>6.09356256192397</v>
      </c>
      <c r="F271" s="18" t="n">
        <f aca="false">F270/shares</f>
        <v>8.03370801227656</v>
      </c>
      <c r="G271" s="18" t="n">
        <f aca="false">G270/shares</f>
        <v>8.54917580772369</v>
      </c>
    </row>
    <row r="272" customFormat="false" ht="17.15" hidden="false" customHeight="false" outlineLevel="0" collapsed="false">
      <c r="A272" s="5" t="s">
        <v>596</v>
      </c>
      <c r="B272" s="5" t="s">
        <v>390</v>
      </c>
      <c r="C272" s="19" t="n">
        <f aca="false">C261/asp</f>
        <v>48</v>
      </c>
      <c r="D272" s="19" t="n">
        <f aca="false">D261/asp</f>
        <v>100.16</v>
      </c>
      <c r="E272" s="19" t="n">
        <f aca="false">E261/asp</f>
        <v>153.927970888166</v>
      </c>
      <c r="F272" s="19" t="n">
        <f aca="false">F261/asp</f>
        <v>231.083386165743</v>
      </c>
      <c r="G272" s="19" t="n">
        <f aca="false">G261/asp</f>
        <v>241.180079358028</v>
      </c>
    </row>
    <row r="285" customFormat="false" ht="17.15" hidden="false" customHeight="false" outlineLevel="0" collapsed="false">
      <c r="A285" s="4" t="s">
        <v>898</v>
      </c>
    </row>
    <row r="286" customFormat="false" ht="15" hidden="false" customHeight="false" outlineLevel="0" collapsed="false">
      <c r="A286" s="6" t="s">
        <v>21</v>
      </c>
      <c r="B286" s="6" t="s">
        <v>22</v>
      </c>
      <c r="C286" s="14" t="s">
        <v>524</v>
      </c>
      <c r="D286" s="14" t="s">
        <v>525</v>
      </c>
      <c r="E286" s="14" t="s">
        <v>526</v>
      </c>
      <c r="F286" s="14" t="s">
        <v>527</v>
      </c>
      <c r="G286" s="14" t="s">
        <v>528</v>
      </c>
      <c r="H286" s="14" t="s">
        <v>529</v>
      </c>
      <c r="I286" s="6" t="s">
        <v>427</v>
      </c>
    </row>
    <row r="287" customFormat="false" ht="17.15" hidden="false" customHeight="false" outlineLevel="0" collapsed="false">
      <c r="A287" s="1" t="s">
        <v>559</v>
      </c>
    </row>
    <row r="288" customFormat="false" ht="17.15" hidden="false" customHeight="false" outlineLevel="0" collapsed="false">
      <c r="A288" s="0" t="s">
        <v>560</v>
      </c>
      <c r="B288" s="0" t="s">
        <v>32</v>
      </c>
      <c r="C288" s="18" t="n">
        <f aca="false">hsA_25</f>
        <v>2.22511470588235</v>
      </c>
      <c r="D288" s="18" t="n">
        <f aca="false">hsA_26</f>
        <v>3.782695</v>
      </c>
      <c r="E288" s="18" t="n">
        <f aca="false">hsA_27</f>
        <v>5.86317725</v>
      </c>
      <c r="F288" s="18" t="n">
        <f aca="false">hsA_28</f>
        <v>8.5016070125</v>
      </c>
      <c r="G288" s="18" t="n">
        <f aca="false">hsA_29</f>
        <v>11.477169466875</v>
      </c>
      <c r="H288" s="18" t="n">
        <f aca="false">G288*(1+g_tail)</f>
        <v>12.6248864135625</v>
      </c>
      <c r="I288" s="8" t="s">
        <v>561</v>
      </c>
    </row>
    <row r="289" customFormat="false" ht="17.15" hidden="false" customHeight="false" outlineLevel="0" collapsed="false">
      <c r="A289" s="0" t="s">
        <v>562</v>
      </c>
      <c r="B289" s="0" t="s">
        <v>563</v>
      </c>
      <c r="C289" s="20" t="n">
        <f aca="false">den_25</f>
        <v>24</v>
      </c>
      <c r="D289" s="20" t="n">
        <f aca="false">den_26</f>
        <v>24</v>
      </c>
      <c r="E289" s="20" t="n">
        <f aca="false">den_27</f>
        <v>26</v>
      </c>
      <c r="F289" s="20" t="n">
        <f aca="false">den_28</f>
        <v>28</v>
      </c>
      <c r="G289" s="20" t="n">
        <f aca="false">den_29</f>
        <v>30</v>
      </c>
      <c r="H289" s="20" t="n">
        <f aca="false">den_30</f>
        <v>32</v>
      </c>
    </row>
    <row r="290" customFormat="false" ht="17.15" hidden="false" customHeight="false" outlineLevel="0" collapsed="false">
      <c r="A290" s="5" t="s">
        <v>564</v>
      </c>
      <c r="B290" s="5" t="s">
        <v>533</v>
      </c>
      <c r="C290" s="19" t="n">
        <f aca="false">C288*8000/C289</f>
        <v>741.704901960783</v>
      </c>
      <c r="D290" s="19" t="n">
        <f aca="false">D288*8000/D289</f>
        <v>1260.89833333333</v>
      </c>
      <c r="E290" s="19" t="n">
        <f aca="false">E288*8000/E289</f>
        <v>1804.05453846154</v>
      </c>
      <c r="F290" s="19" t="n">
        <f aca="false">F288*8000/F289</f>
        <v>2429.030575</v>
      </c>
      <c r="G290" s="19" t="n">
        <f aca="false">G288*8000/G289</f>
        <v>3060.5785245</v>
      </c>
      <c r="H290" s="19" t="n">
        <f aca="false">H288*8000/H289</f>
        <v>3156.22160339063</v>
      </c>
      <c r="I290" s="8" t="s">
        <v>565</v>
      </c>
    </row>
    <row r="291" customFormat="false" ht="15" hidden="false" customHeight="false" outlineLevel="0" collapsed="false">
      <c r="A291" s="5" t="s">
        <v>566</v>
      </c>
      <c r="B291" s="5" t="s">
        <v>96</v>
      </c>
      <c r="C291" s="20" t="n">
        <f aca="false">stk_25</f>
        <v>10</v>
      </c>
      <c r="D291" s="20" t="n">
        <f aca="false">stk_26</f>
        <v>12</v>
      </c>
      <c r="E291" s="20" t="n">
        <f aca="false">stk_27</f>
        <v>12.5</v>
      </c>
      <c r="F291" s="20" t="n">
        <f aca="false">stk_28</f>
        <v>14</v>
      </c>
      <c r="G291" s="20" t="n">
        <f aca="false">stk_29</f>
        <v>15</v>
      </c>
      <c r="H291" s="20" t="n">
        <f aca="false">stk_30</f>
        <v>16</v>
      </c>
    </row>
    <row r="292" customFormat="false" ht="15" hidden="false" customHeight="false" outlineLevel="0" collapsed="false">
      <c r="A292" s="5" t="s">
        <v>567</v>
      </c>
      <c r="B292" s="0" t="s">
        <v>116</v>
      </c>
      <c r="C292" s="21" t="n">
        <f aca="false">1+beta*(C291-$C291)/4</f>
        <v>1</v>
      </c>
      <c r="D292" s="21" t="n">
        <f aca="false">1+beta*(D291-$C291)/4</f>
        <v>1.05</v>
      </c>
      <c r="E292" s="21" t="n">
        <f aca="false">1+beta*(E291-$C291)/4</f>
        <v>1.0625</v>
      </c>
      <c r="F292" s="21" t="n">
        <f aca="false">1+beta*(F291-$C291)/4</f>
        <v>1.1</v>
      </c>
      <c r="G292" s="21" t="n">
        <f aca="false">1+beta*(G291-$C291)/4</f>
        <v>1.125</v>
      </c>
      <c r="H292" s="21" t="n">
        <f aca="false">1+beta*(H291-$C291)/4</f>
        <v>1.15</v>
      </c>
    </row>
    <row r="293" customFormat="false" ht="17.15" hidden="false" customHeight="false" outlineLevel="0" collapsed="false">
      <c r="A293" s="5" t="s">
        <v>568</v>
      </c>
      <c r="B293" s="0" t="s">
        <v>69</v>
      </c>
      <c r="C293" s="10" t="n">
        <f aca="false">hbp_25_hi</f>
        <v>0</v>
      </c>
      <c r="D293" s="10" t="n">
        <f aca="false">hbp_26_hi</f>
        <v>0</v>
      </c>
      <c r="E293" s="10" t="n">
        <f aca="false">hbp_27_hi</f>
        <v>0.05</v>
      </c>
      <c r="F293" s="10" t="n">
        <f aca="false">hbp_28_hi</f>
        <v>0.15</v>
      </c>
      <c r="G293" s="10" t="n">
        <f aca="false">hbp_29_hi</f>
        <v>0.3</v>
      </c>
      <c r="H293" s="10" t="n">
        <f aca="false">hbp_30_hi</f>
        <v>0.4</v>
      </c>
      <c r="I293" s="5" t="s">
        <v>569</v>
      </c>
    </row>
    <row r="294" customFormat="false" ht="17.15" hidden="false" customHeight="false" outlineLevel="0" collapsed="false">
      <c r="A294" s="5" t="s">
        <v>570</v>
      </c>
      <c r="B294" s="5" t="s">
        <v>571</v>
      </c>
      <c r="C294" s="19" t="n">
        <f aca="false">C290*C292*C293</f>
        <v>0</v>
      </c>
      <c r="D294" s="19" t="n">
        <f aca="false">D290*D292*D293</f>
        <v>0</v>
      </c>
      <c r="E294" s="19" t="n">
        <f aca="false">E290*E292*E293</f>
        <v>95.8403973557692</v>
      </c>
      <c r="F294" s="19" t="n">
        <f aca="false">F290*F292*F293</f>
        <v>400.790044875</v>
      </c>
      <c r="G294" s="19" t="n">
        <f aca="false">G290*G292*G293</f>
        <v>1032.94525201875</v>
      </c>
      <c r="H294" s="19" t="n">
        <f aca="false">H290*H292*H293</f>
        <v>1451.86193755969</v>
      </c>
    </row>
    <row r="295" customFormat="false" ht="17.15" hidden="false" customHeight="false" outlineLevel="0" collapsed="false">
      <c r="A295" s="5" t="s">
        <v>572</v>
      </c>
      <c r="B295" s="5" t="s">
        <v>390</v>
      </c>
      <c r="C295" s="19" t="n">
        <f aca="false">C294/thr</f>
        <v>0</v>
      </c>
      <c r="D295" s="19" t="n">
        <f aca="false">D294/thr</f>
        <v>0</v>
      </c>
      <c r="E295" s="19" t="n">
        <f aca="false">E294/thr</f>
        <v>15.6295494709343</v>
      </c>
      <c r="F295" s="19" t="n">
        <f aca="false">F294/thr</f>
        <v>65.3604117539139</v>
      </c>
      <c r="G295" s="19" t="n">
        <f aca="false">G294/thr</f>
        <v>168.451606656678</v>
      </c>
      <c r="H295" s="19" t="n">
        <f aca="false">H294/thr</f>
        <v>236.768091578553</v>
      </c>
    </row>
    <row r="296" customFormat="false" ht="17.15" hidden="false" customHeight="false" outlineLevel="0" collapsed="false">
      <c r="A296" s="5" t="s">
        <v>573</v>
      </c>
      <c r="B296" s="5" t="s">
        <v>390</v>
      </c>
      <c r="C296" s="19" t="n">
        <f aca="false">MAX(0,D295-C295)+dlt*C295</f>
        <v>0</v>
      </c>
      <c r="D296" s="19" t="n">
        <f aca="false">MAX(0,E295-D295)+dlt*D295</f>
        <v>15.6295494709343</v>
      </c>
      <c r="E296" s="19" t="n">
        <f aca="false">MAX(0,F295-E295)+dlt*E295</f>
        <v>51.293817230073</v>
      </c>
      <c r="F296" s="19" t="n">
        <f aca="false">MAX(0,G295-F295)+dlt*F295</f>
        <v>109.627236078156</v>
      </c>
      <c r="G296" s="19" t="n">
        <f aca="false">MAX(0,H295-G295)+dlt*G295</f>
        <v>85.1616455875428</v>
      </c>
      <c r="I296" s="5" t="s">
        <v>574</v>
      </c>
    </row>
    <row r="297" customFormat="false" ht="17.15" hidden="false" customHeight="false" outlineLevel="0" collapsed="false">
      <c r="A297" s="1" t="s">
        <v>575</v>
      </c>
    </row>
    <row r="298" customFormat="false" ht="17.15" hidden="false" customHeight="false" outlineLevel="0" collapsed="false">
      <c r="A298" s="0" t="s">
        <v>576</v>
      </c>
      <c r="B298" s="5" t="s">
        <v>146</v>
      </c>
      <c r="D298" s="19" t="n">
        <f aca="false">cow_26*1</f>
        <v>1107.85762580894</v>
      </c>
      <c r="E298" s="19" t="n">
        <f aca="false">cow_27*1</f>
        <v>2096.42857142857</v>
      </c>
      <c r="F298" s="19" t="n">
        <f aca="false">cow_28*um28_A</f>
        <v>2620.08928571429</v>
      </c>
      <c r="G298" s="19" t="n">
        <f aca="false">cow_29*um29_A</f>
        <v>3013.32589285714</v>
      </c>
      <c r="H298" s="19" t="n">
        <f aca="false">G298*(1+g_tail)</f>
        <v>3314.65848214285</v>
      </c>
      <c r="I298" s="8" t="s">
        <v>577</v>
      </c>
    </row>
    <row r="299" customFormat="false" ht="17.15" hidden="false" customHeight="false" outlineLevel="0" collapsed="false">
      <c r="A299" s="5" t="s">
        <v>578</v>
      </c>
      <c r="B299" s="0" t="s">
        <v>69</v>
      </c>
      <c r="D299" s="10" t="n">
        <f aca="false">attA_26</f>
        <v>0.08</v>
      </c>
      <c r="E299" s="10" t="n">
        <f aca="false">attA_27</f>
        <v>0.11</v>
      </c>
      <c r="F299" s="10" t="n">
        <f aca="false">attA_28</f>
        <v>0.18</v>
      </c>
      <c r="G299" s="10" t="n">
        <f aca="false">attA_29</f>
        <v>0.26</v>
      </c>
      <c r="H299" s="10" t="n">
        <f aca="false">attA_30</f>
        <v>0.34</v>
      </c>
    </row>
    <row r="300" customFormat="false" ht="15" hidden="false" customHeight="false" outlineLevel="0" collapsed="false">
      <c r="A300" s="5" t="s">
        <v>579</v>
      </c>
      <c r="B300" s="5" t="s">
        <v>539</v>
      </c>
      <c r="D300" s="16" t="n">
        <f aca="false">D298*D299</f>
        <v>88.6286100647152</v>
      </c>
      <c r="E300" s="16" t="n">
        <f aca="false">E298*E299</f>
        <v>230.607142857143</v>
      </c>
      <c r="F300" s="16" t="n">
        <f aca="false">F298*F299</f>
        <v>471.616071428572</v>
      </c>
      <c r="G300" s="16" t="n">
        <f aca="false">G298*G299</f>
        <v>783.464732142856</v>
      </c>
      <c r="H300" s="16" t="n">
        <f aca="false">H298*H299</f>
        <v>1126.98388392857</v>
      </c>
    </row>
    <row r="301" customFormat="false" ht="17.15" hidden="false" customHeight="false" outlineLevel="0" collapsed="false">
      <c r="A301" s="5" t="s">
        <v>580</v>
      </c>
      <c r="B301" s="5" t="s">
        <v>539</v>
      </c>
      <c r="D301" s="16" t="n">
        <f aca="false">MAX(0,E300-D300)+dlt*D300</f>
        <v>150.841393798899</v>
      </c>
      <c r="E301" s="16" t="n">
        <f aca="false">MAX(0,F300-E300)+dlt*E300</f>
        <v>264.069642857144</v>
      </c>
      <c r="F301" s="16" t="n">
        <f aca="false">MAX(0,G300-F300)+dlt*F300</f>
        <v>359.010267857141</v>
      </c>
      <c r="G301" s="16" t="n">
        <f aca="false">MAX(0,H300-G300)+dlt*G300</f>
        <v>421.865625</v>
      </c>
    </row>
    <row r="302" customFormat="false" ht="17.15" hidden="false" customHeight="false" outlineLevel="0" collapsed="false">
      <c r="A302" s="1" t="s">
        <v>581</v>
      </c>
    </row>
    <row r="303" customFormat="false" ht="17.15" hidden="false" customHeight="false" outlineLevel="0" collapsed="false">
      <c r="A303" s="0" t="s">
        <v>582</v>
      </c>
      <c r="B303" s="0" t="s">
        <v>252</v>
      </c>
      <c r="C303" s="16" t="n">
        <f aca="false">0</f>
        <v>0</v>
      </c>
      <c r="D303" s="16" t="n">
        <f aca="false">hbm26</f>
        <v>0</v>
      </c>
      <c r="E303" s="16" t="n">
        <f aca="false">E296*asp*shm_A</f>
        <v>76.9407258451095</v>
      </c>
      <c r="F303" s="16" t="n">
        <f aca="false">F296*asp*shm_A</f>
        <v>164.440854117233</v>
      </c>
      <c r="G303" s="16" t="n">
        <f aca="false">G296*asp*shm_A</f>
        <v>127.742468381314</v>
      </c>
      <c r="I303" s="8" t="s">
        <v>583</v>
      </c>
    </row>
    <row r="304" customFormat="false" ht="17.15" hidden="false" customHeight="false" outlineLevel="0" collapsed="false">
      <c r="A304" s="5" t="s">
        <v>584</v>
      </c>
      <c r="B304" s="0" t="s">
        <v>252</v>
      </c>
      <c r="C304" s="16" t="n">
        <f aca="false">hb25</f>
        <v>120</v>
      </c>
      <c r="D304" s="16" t="n">
        <f aca="false">rev26*hb_sh26_lo-hbm26</f>
        <v>180.288</v>
      </c>
      <c r="E304" s="16" t="n">
        <f aca="false">$D305*E301*shl_A</f>
        <v>315.62017939784</v>
      </c>
      <c r="F304" s="16" t="n">
        <f aca="false">$D305*F301*shl_A</f>
        <v>429.094703657536</v>
      </c>
      <c r="G304" s="16" t="n">
        <f aca="false">$D305*G301*shl_A</f>
        <v>504.220412477752</v>
      </c>
      <c r="I304" s="8" t="s">
        <v>585</v>
      </c>
    </row>
    <row r="305" customFormat="false" ht="17.15" hidden="false" customHeight="false" outlineLevel="0" collapsed="false">
      <c r="A305" s="5" t="s">
        <v>586</v>
      </c>
      <c r="B305" s="0" t="s">
        <v>587</v>
      </c>
      <c r="D305" s="21" t="n">
        <f aca="false">D304/D301</f>
        <v>1.19521568622177</v>
      </c>
      <c r="I305" s="5" t="s">
        <v>588</v>
      </c>
    </row>
    <row r="306" customFormat="false" ht="15" hidden="false" customHeight="false" outlineLevel="0" collapsed="false">
      <c r="A306" s="5" t="s">
        <v>589</v>
      </c>
      <c r="B306" s="0" t="s">
        <v>252</v>
      </c>
      <c r="C306" s="16" t="n">
        <f aca="false">C303+C304</f>
        <v>120</v>
      </c>
      <c r="D306" s="16" t="n">
        <f aca="false">D303+D304</f>
        <v>180.288</v>
      </c>
      <c r="E306" s="16" t="n">
        <f aca="false">E303+E304</f>
        <v>392.560905242949</v>
      </c>
      <c r="F306" s="16" t="n">
        <f aca="false">F303+F304</f>
        <v>593.53555777477</v>
      </c>
      <c r="G306" s="16" t="n">
        <f aca="false">G303+G304</f>
        <v>631.962880859067</v>
      </c>
    </row>
    <row r="307" customFormat="false" ht="17.15" hidden="false" customHeight="false" outlineLevel="0" collapsed="false">
      <c r="A307" s="5" t="s">
        <v>590</v>
      </c>
      <c r="B307" s="0" t="s">
        <v>252</v>
      </c>
      <c r="C307" s="16" t="n">
        <f aca="false">a25_rev-hb25</f>
        <v>471.3</v>
      </c>
      <c r="D307" s="16" t="n">
        <f aca="false">rev26-D306</f>
        <v>821.312</v>
      </c>
      <c r="E307" s="16" t="n">
        <f aca="false">D307*(1+el*eqgA_27)</f>
        <v>984.543585865186</v>
      </c>
      <c r="F307" s="16" t="n">
        <f aca="false">E307*(1+el*eqgA_28)</f>
        <v>1109.97965993316</v>
      </c>
      <c r="G307" s="16" t="n">
        <f aca="false">F307*(1+el*eqgA_29)</f>
        <v>1175.97091804229</v>
      </c>
      <c r="I307" s="8" t="s">
        <v>591</v>
      </c>
    </row>
    <row r="308" customFormat="false" ht="15" hidden="false" customHeight="false" outlineLevel="0" collapsed="false">
      <c r="A308" s="5" t="s">
        <v>499</v>
      </c>
      <c r="B308" s="0" t="s">
        <v>252</v>
      </c>
      <c r="C308" s="16" t="n">
        <f aca="false">C306+C307</f>
        <v>591.3</v>
      </c>
      <c r="D308" s="16" t="n">
        <f aca="false">D306+D307</f>
        <v>1001.6</v>
      </c>
      <c r="E308" s="16" t="n">
        <f aca="false">E306+E307</f>
        <v>1377.10449110814</v>
      </c>
      <c r="F308" s="16" t="n">
        <f aca="false">F306+F307</f>
        <v>1703.51521770793</v>
      </c>
      <c r="G308" s="16" t="n">
        <f aca="false">G306+G307</f>
        <v>1807.93379890135</v>
      </c>
    </row>
    <row r="309" customFormat="false" ht="15" hidden="false" customHeight="false" outlineLevel="0" collapsed="false">
      <c r="A309" s="5" t="s">
        <v>592</v>
      </c>
      <c r="B309" s="0" t="s">
        <v>69</v>
      </c>
      <c r="C309" s="10" t="n">
        <f aca="false">C306/C308</f>
        <v>0.202942668696093</v>
      </c>
      <c r="D309" s="10" t="n">
        <f aca="false">D306/D308</f>
        <v>0.18</v>
      </c>
      <c r="E309" s="10" t="n">
        <f aca="false">E306/E308</f>
        <v>0.285062540843986</v>
      </c>
      <c r="F309" s="10" t="n">
        <f aca="false">F306/F308</f>
        <v>0.348418113090512</v>
      </c>
      <c r="G309" s="10" t="n">
        <f aca="false">G306/G308</f>
        <v>0.349549790619048</v>
      </c>
    </row>
    <row r="310" customFormat="false" ht="17.15" hidden="false" customHeight="false" outlineLevel="0" collapsed="false">
      <c r="A310" s="5" t="s">
        <v>506</v>
      </c>
      <c r="B310" s="0" t="s">
        <v>69</v>
      </c>
      <c r="C310" s="10" t="n">
        <f aca="false">a25_gp/a25_rev</f>
        <v>0.633012007441231</v>
      </c>
      <c r="D310" s="10" t="n">
        <f aca="false">gp26/rev26</f>
        <v>0.646641373801917</v>
      </c>
      <c r="E310" s="10" t="n">
        <f aca="false">$D310+gm_prem*(E309-$D309)+0</f>
        <v>0.655046377069436</v>
      </c>
      <c r="F310" s="10" t="n">
        <f aca="false">$D310+gm_prem*(F309-$D309)+0</f>
        <v>0.660114822849158</v>
      </c>
      <c r="G310" s="10" t="n">
        <f aca="false">$D310+gm_prem*(G309-$D309)+0</f>
        <v>0.660205357051441</v>
      </c>
      <c r="I310" s="8" t="s">
        <v>593</v>
      </c>
    </row>
    <row r="311" customFormat="false" ht="15" hidden="false" customHeight="false" outlineLevel="0" collapsed="false">
      <c r="A311" s="5" t="s">
        <v>502</v>
      </c>
      <c r="B311" s="0" t="s">
        <v>252</v>
      </c>
      <c r="C311" s="16" t="n">
        <f aca="false">a25_gp</f>
        <v>374.3</v>
      </c>
      <c r="D311" s="16" t="n">
        <f aca="false">gp26</f>
        <v>647.676</v>
      </c>
      <c r="E311" s="16" t="n">
        <f aca="false">E308*E310</f>
        <v>902.067307746433</v>
      </c>
      <c r="F311" s="16" t="n">
        <f aca="false">F308*F310</f>
        <v>1124.51564615811</v>
      </c>
      <c r="G311" s="16" t="n">
        <f aca="false">G308*G310</f>
        <v>1193.60757922903</v>
      </c>
    </row>
    <row r="312" customFormat="false" ht="17.15" hidden="false" customHeight="false" outlineLevel="0" collapsed="false">
      <c r="A312" s="5" t="s">
        <v>594</v>
      </c>
      <c r="B312" s="0" t="s">
        <v>252</v>
      </c>
      <c r="C312" s="16" t="n">
        <f aca="false">a25_opx</f>
        <v>201.2</v>
      </c>
      <c r="D312" s="16" t="n">
        <f aca="false">opx26</f>
        <v>223.1325</v>
      </c>
      <c r="E312" s="16" t="n">
        <f aca="false">opex_fix+opex_var*E308</f>
        <v>256.593864162215</v>
      </c>
      <c r="F312" s="16" t="n">
        <f aca="false">opex_fix+opex_var*F308</f>
        <v>285.680462186587</v>
      </c>
      <c r="G312" s="16" t="n">
        <f aca="false">opex_fix+opex_var*G308</f>
        <v>294.985246159487</v>
      </c>
      <c r="I312" s="5" t="s">
        <v>595</v>
      </c>
    </row>
    <row r="313" customFormat="false" ht="15" hidden="false" customHeight="false" outlineLevel="0" collapsed="false">
      <c r="A313" s="5" t="s">
        <v>510</v>
      </c>
      <c r="B313" s="0" t="s">
        <v>252</v>
      </c>
      <c r="C313" s="16" t="n">
        <f aca="false">C311-C312</f>
        <v>173.1</v>
      </c>
      <c r="D313" s="16" t="n">
        <f aca="false">D311-D312</f>
        <v>424.5435</v>
      </c>
      <c r="E313" s="16" t="n">
        <f aca="false">E311-E312</f>
        <v>645.473443584218</v>
      </c>
      <c r="F313" s="16" t="n">
        <f aca="false">F311-F312</f>
        <v>838.835183971527</v>
      </c>
      <c r="G313" s="16" t="n">
        <f aca="false">G311-G312</f>
        <v>898.622333069547</v>
      </c>
    </row>
    <row r="314" customFormat="false" ht="15" hidden="false" customHeight="false" outlineLevel="0" collapsed="false">
      <c r="A314" s="5" t="s">
        <v>555</v>
      </c>
      <c r="B314" s="0" t="s">
        <v>69</v>
      </c>
      <c r="C314" s="10" t="n">
        <f aca="false">C313/C308</f>
        <v>0.292744799594115</v>
      </c>
      <c r="D314" s="10" t="n">
        <f aca="false">D313/D308</f>
        <v>0.423865315495208</v>
      </c>
      <c r="E314" s="10" t="n">
        <f aca="false">E313/E308</f>
        <v>0.468717840768071</v>
      </c>
      <c r="F314" s="10" t="n">
        <f aca="false">F313/F308</f>
        <v>0.492414259204667</v>
      </c>
      <c r="G314" s="10" t="n">
        <f aca="false">G313/G308</f>
        <v>0.497043826281484</v>
      </c>
    </row>
    <row r="315" customFormat="false" ht="15" hidden="false" customHeight="false" outlineLevel="0" collapsed="false">
      <c r="A315" s="5" t="s">
        <v>515</v>
      </c>
      <c r="B315" s="0" t="s">
        <v>252</v>
      </c>
      <c r="C315" s="16" t="n">
        <f aca="false">a25_ni</f>
        <v>131.6</v>
      </c>
      <c r="D315" s="16" t="n">
        <f aca="false">ni26</f>
        <v>348.2641275</v>
      </c>
      <c r="E315" s="16" t="n">
        <f aca="false">(E313-fin)*(1-tax)</f>
        <v>541.034528700349</v>
      </c>
      <c r="F315" s="16" t="n">
        <f aca="false">(F313-fin)*(1-tax)</f>
        <v>708.29243413537</v>
      </c>
      <c r="G315" s="16" t="n">
        <f aca="false">(G313-fin)*(1-tax)</f>
        <v>760.008318105158</v>
      </c>
    </row>
    <row r="316" customFormat="false" ht="15" hidden="false" customHeight="false" outlineLevel="0" collapsed="false">
      <c r="A316" s="0" t="s">
        <v>556</v>
      </c>
      <c r="B316" s="0" t="s">
        <v>271</v>
      </c>
      <c r="C316" s="18" t="n">
        <f aca="false">a25_eps</f>
        <v>1.66</v>
      </c>
      <c r="D316" s="18" t="n">
        <f aca="false">eps26</f>
        <v>4.3364299400653</v>
      </c>
      <c r="E316" s="18" t="n">
        <f aca="false">E315/shares</f>
        <v>6.71246196988306</v>
      </c>
      <c r="F316" s="18" t="n">
        <f aca="false">F315/shares</f>
        <v>8.78758337126905</v>
      </c>
      <c r="G316" s="18" t="n">
        <f aca="false">G315/shares</f>
        <v>9.42920767798377</v>
      </c>
    </row>
    <row r="317" customFormat="false" ht="17.15" hidden="false" customHeight="false" outlineLevel="0" collapsed="false">
      <c r="A317" s="5" t="s">
        <v>596</v>
      </c>
      <c r="B317" s="5" t="s">
        <v>390</v>
      </c>
      <c r="C317" s="19" t="n">
        <f aca="false">C306/asp</f>
        <v>48</v>
      </c>
      <c r="D317" s="19" t="n">
        <f aca="false">D306/asp</f>
        <v>72.1152</v>
      </c>
      <c r="E317" s="19" t="n">
        <f aca="false">E306/asp</f>
        <v>157.02436209718</v>
      </c>
      <c r="F317" s="19" t="n">
        <f aca="false">F306/asp</f>
        <v>237.414223109908</v>
      </c>
      <c r="G317" s="19" t="n">
        <f aca="false">G306/asp</f>
        <v>252.785152343627</v>
      </c>
    </row>
    <row r="330" customFormat="false" ht="17.15" hidden="false" customHeight="false" outlineLevel="0" collapsed="false">
      <c r="A330" s="4" t="s">
        <v>899</v>
      </c>
    </row>
    <row r="331" customFormat="false" ht="15" hidden="false" customHeight="false" outlineLevel="0" collapsed="false">
      <c r="A331" s="6" t="s">
        <v>21</v>
      </c>
      <c r="B331" s="6" t="s">
        <v>22</v>
      </c>
      <c r="C331" s="14" t="s">
        <v>524</v>
      </c>
      <c r="D331" s="14" t="s">
        <v>525</v>
      </c>
      <c r="E331" s="14" t="s">
        <v>526</v>
      </c>
      <c r="F331" s="14" t="s">
        <v>527</v>
      </c>
      <c r="G331" s="14" t="s">
        <v>528</v>
      </c>
      <c r="H331" s="14" t="s">
        <v>529</v>
      </c>
      <c r="I331" s="6" t="s">
        <v>427</v>
      </c>
    </row>
    <row r="332" customFormat="false" ht="17.15" hidden="false" customHeight="false" outlineLevel="0" collapsed="false">
      <c r="A332" s="1" t="s">
        <v>559</v>
      </c>
    </row>
    <row r="333" customFormat="false" ht="17.15" hidden="false" customHeight="false" outlineLevel="0" collapsed="false">
      <c r="A333" s="0" t="s">
        <v>560</v>
      </c>
      <c r="B333" s="0" t="s">
        <v>32</v>
      </c>
      <c r="C333" s="18" t="n">
        <f aca="false">hsA_25</f>
        <v>2.22511470588235</v>
      </c>
      <c r="D333" s="18" t="n">
        <f aca="false">hsA_26</f>
        <v>3.782695</v>
      </c>
      <c r="E333" s="18" t="n">
        <f aca="false">hsA_27</f>
        <v>5.86317725</v>
      </c>
      <c r="F333" s="18" t="n">
        <f aca="false">hsA_28</f>
        <v>8.5016070125</v>
      </c>
      <c r="G333" s="18" t="n">
        <f aca="false">hsA_29</f>
        <v>11.477169466875</v>
      </c>
      <c r="H333" s="18" t="n">
        <f aca="false">G333*(1+g_tail)</f>
        <v>12.6248864135625</v>
      </c>
      <c r="I333" s="8" t="s">
        <v>561</v>
      </c>
    </row>
    <row r="334" customFormat="false" ht="17.15" hidden="false" customHeight="false" outlineLevel="0" collapsed="false">
      <c r="A334" s="0" t="s">
        <v>562</v>
      </c>
      <c r="B334" s="0" t="s">
        <v>563</v>
      </c>
      <c r="C334" s="20" t="n">
        <f aca="false">den_25</f>
        <v>24</v>
      </c>
      <c r="D334" s="20" t="n">
        <f aca="false">den_26</f>
        <v>24</v>
      </c>
      <c r="E334" s="20" t="n">
        <f aca="false">den_27</f>
        <v>26</v>
      </c>
      <c r="F334" s="20" t="n">
        <f aca="false">den_28</f>
        <v>28</v>
      </c>
      <c r="G334" s="20" t="n">
        <f aca="false">den_29</f>
        <v>30</v>
      </c>
      <c r="H334" s="20" t="n">
        <f aca="false">den_30</f>
        <v>32</v>
      </c>
    </row>
    <row r="335" customFormat="false" ht="17.15" hidden="false" customHeight="false" outlineLevel="0" collapsed="false">
      <c r="A335" s="5" t="s">
        <v>564</v>
      </c>
      <c r="B335" s="5" t="s">
        <v>533</v>
      </c>
      <c r="C335" s="19" t="n">
        <f aca="false">C333*8000/C334</f>
        <v>741.704901960783</v>
      </c>
      <c r="D335" s="19" t="n">
        <f aca="false">D333*8000/D334</f>
        <v>1260.89833333333</v>
      </c>
      <c r="E335" s="19" t="n">
        <f aca="false">E333*8000/E334</f>
        <v>1804.05453846154</v>
      </c>
      <c r="F335" s="19" t="n">
        <f aca="false">F333*8000/F334</f>
        <v>2429.030575</v>
      </c>
      <c r="G335" s="19" t="n">
        <f aca="false">G333*8000/G334</f>
        <v>3060.5785245</v>
      </c>
      <c r="H335" s="19" t="n">
        <f aca="false">H333*8000/H334</f>
        <v>3156.22160339063</v>
      </c>
      <c r="I335" s="8" t="s">
        <v>565</v>
      </c>
    </row>
    <row r="336" customFormat="false" ht="15" hidden="false" customHeight="false" outlineLevel="0" collapsed="false">
      <c r="A336" s="5" t="s">
        <v>566</v>
      </c>
      <c r="B336" s="5" t="s">
        <v>96</v>
      </c>
      <c r="C336" s="20" t="n">
        <f aca="false">stk_25</f>
        <v>10</v>
      </c>
      <c r="D336" s="20" t="n">
        <f aca="false">stk_26</f>
        <v>12</v>
      </c>
      <c r="E336" s="20" t="n">
        <f aca="false">stk_27</f>
        <v>12.5</v>
      </c>
      <c r="F336" s="20" t="n">
        <f aca="false">stk_28</f>
        <v>14</v>
      </c>
      <c r="G336" s="20" t="n">
        <f aca="false">stk_29</f>
        <v>15</v>
      </c>
      <c r="H336" s="20" t="n">
        <f aca="false">stk_30</f>
        <v>16</v>
      </c>
    </row>
    <row r="337" customFormat="false" ht="15" hidden="false" customHeight="false" outlineLevel="0" collapsed="false">
      <c r="A337" s="5" t="s">
        <v>567</v>
      </c>
      <c r="B337" s="0" t="s">
        <v>116</v>
      </c>
      <c r="C337" s="21" t="n">
        <f aca="false">1+beta*(C336-$C336)/4</f>
        <v>1</v>
      </c>
      <c r="D337" s="21" t="n">
        <f aca="false">1+beta*(D336-$C336)/4</f>
        <v>1.05</v>
      </c>
      <c r="E337" s="21" t="n">
        <f aca="false">1+beta*(E336-$C336)/4</f>
        <v>1.0625</v>
      </c>
      <c r="F337" s="21" t="n">
        <f aca="false">1+beta*(F336-$C336)/4</f>
        <v>1.1</v>
      </c>
      <c r="G337" s="21" t="n">
        <f aca="false">1+beta*(G336-$C336)/4</f>
        <v>1.125</v>
      </c>
      <c r="H337" s="21" t="n">
        <f aca="false">1+beta*(H336-$C336)/4</f>
        <v>1.15</v>
      </c>
    </row>
    <row r="338" customFormat="false" ht="17.15" hidden="false" customHeight="false" outlineLevel="0" collapsed="false">
      <c r="A338" s="5" t="s">
        <v>568</v>
      </c>
      <c r="B338" s="0" t="s">
        <v>69</v>
      </c>
      <c r="C338" s="10" t="n">
        <f aca="false">hbp_25_hi</f>
        <v>0</v>
      </c>
      <c r="D338" s="10" t="n">
        <f aca="false">hbp_26_hi</f>
        <v>0</v>
      </c>
      <c r="E338" s="10" t="n">
        <f aca="false">hbp_27_hi</f>
        <v>0.05</v>
      </c>
      <c r="F338" s="10" t="n">
        <f aca="false">hbp_28_hi</f>
        <v>0.15</v>
      </c>
      <c r="G338" s="10" t="n">
        <f aca="false">hbp_29_hi</f>
        <v>0.3</v>
      </c>
      <c r="H338" s="10" t="n">
        <f aca="false">hbp_30_hi</f>
        <v>0.4</v>
      </c>
      <c r="I338" s="5" t="s">
        <v>569</v>
      </c>
    </row>
    <row r="339" customFormat="false" ht="17.15" hidden="false" customHeight="false" outlineLevel="0" collapsed="false">
      <c r="A339" s="5" t="s">
        <v>570</v>
      </c>
      <c r="B339" s="5" t="s">
        <v>571</v>
      </c>
      <c r="C339" s="19" t="n">
        <f aca="false">C335*C337*C338</f>
        <v>0</v>
      </c>
      <c r="D339" s="19" t="n">
        <f aca="false">D335*D337*D338</f>
        <v>0</v>
      </c>
      <c r="E339" s="19" t="n">
        <f aca="false">E335*E337*E338</f>
        <v>95.8403973557692</v>
      </c>
      <c r="F339" s="19" t="n">
        <f aca="false">F335*F337*F338</f>
        <v>400.790044875</v>
      </c>
      <c r="G339" s="19" t="n">
        <f aca="false">G335*G337*G338</f>
        <v>1032.94525201875</v>
      </c>
      <c r="H339" s="19" t="n">
        <f aca="false">H335*H337*H338</f>
        <v>1451.86193755969</v>
      </c>
    </row>
    <row r="340" customFormat="false" ht="17.15" hidden="false" customHeight="false" outlineLevel="0" collapsed="false">
      <c r="A340" s="5" t="s">
        <v>572</v>
      </c>
      <c r="B340" s="5" t="s">
        <v>390</v>
      </c>
      <c r="C340" s="19" t="n">
        <f aca="false">C339/thr</f>
        <v>0</v>
      </c>
      <c r="D340" s="19" t="n">
        <f aca="false">D339/thr</f>
        <v>0</v>
      </c>
      <c r="E340" s="19" t="n">
        <f aca="false">E339/thr</f>
        <v>15.6295494709343</v>
      </c>
      <c r="F340" s="19" t="n">
        <f aca="false">F339/thr</f>
        <v>65.3604117539139</v>
      </c>
      <c r="G340" s="19" t="n">
        <f aca="false">G339/thr</f>
        <v>168.451606656678</v>
      </c>
      <c r="H340" s="19" t="n">
        <f aca="false">H339/thr</f>
        <v>236.768091578553</v>
      </c>
    </row>
    <row r="341" customFormat="false" ht="17.15" hidden="false" customHeight="false" outlineLevel="0" collapsed="false">
      <c r="A341" s="5" t="s">
        <v>573</v>
      </c>
      <c r="B341" s="5" t="s">
        <v>390</v>
      </c>
      <c r="C341" s="19" t="n">
        <f aca="false">MAX(0,D340-C340)+dlt*C340</f>
        <v>0</v>
      </c>
      <c r="D341" s="19" t="n">
        <f aca="false">MAX(0,E340-D340)+dlt*D340</f>
        <v>15.6295494709343</v>
      </c>
      <c r="E341" s="19" t="n">
        <f aca="false">MAX(0,F340-E340)+dlt*E340</f>
        <v>51.293817230073</v>
      </c>
      <c r="F341" s="19" t="n">
        <f aca="false">MAX(0,G340-F340)+dlt*F340</f>
        <v>109.627236078156</v>
      </c>
      <c r="G341" s="19" t="n">
        <f aca="false">MAX(0,H340-G340)+dlt*G340</f>
        <v>85.1616455875428</v>
      </c>
      <c r="I341" s="5" t="s">
        <v>574</v>
      </c>
    </row>
    <row r="342" customFormat="false" ht="17.15" hidden="false" customHeight="false" outlineLevel="0" collapsed="false">
      <c r="A342" s="1" t="s">
        <v>575</v>
      </c>
    </row>
    <row r="343" customFormat="false" ht="17.15" hidden="false" customHeight="false" outlineLevel="0" collapsed="false">
      <c r="A343" s="0" t="s">
        <v>576</v>
      </c>
      <c r="B343" s="5" t="s">
        <v>146</v>
      </c>
      <c r="D343" s="19" t="n">
        <f aca="false">cow_26*1</f>
        <v>1107.85762580894</v>
      </c>
      <c r="E343" s="19" t="n">
        <f aca="false">cow_27*1</f>
        <v>2096.42857142857</v>
      </c>
      <c r="F343" s="19" t="n">
        <f aca="false">cow_28*um28_A</f>
        <v>2620.08928571429</v>
      </c>
      <c r="G343" s="19" t="n">
        <f aca="false">cow_29*um29_A</f>
        <v>3013.32589285714</v>
      </c>
      <c r="H343" s="19" t="n">
        <f aca="false">G343*(1+g_tail)</f>
        <v>3314.65848214285</v>
      </c>
      <c r="I343" s="8" t="s">
        <v>577</v>
      </c>
    </row>
    <row r="344" customFormat="false" ht="17.15" hidden="false" customHeight="false" outlineLevel="0" collapsed="false">
      <c r="A344" s="5" t="s">
        <v>578</v>
      </c>
      <c r="B344" s="0" t="s">
        <v>69</v>
      </c>
      <c r="D344" s="10" t="n">
        <f aca="false">attA_26</f>
        <v>0.08</v>
      </c>
      <c r="E344" s="10" t="n">
        <f aca="false">attA_27</f>
        <v>0.11</v>
      </c>
      <c r="F344" s="10" t="n">
        <f aca="false">attA_28</f>
        <v>0.18</v>
      </c>
      <c r="G344" s="10" t="n">
        <f aca="false">attA_29</f>
        <v>0.26</v>
      </c>
      <c r="H344" s="10" t="n">
        <f aca="false">attA_30</f>
        <v>0.34</v>
      </c>
    </row>
    <row r="345" customFormat="false" ht="15" hidden="false" customHeight="false" outlineLevel="0" collapsed="false">
      <c r="A345" s="5" t="s">
        <v>579</v>
      </c>
      <c r="B345" s="5" t="s">
        <v>539</v>
      </c>
      <c r="D345" s="16" t="n">
        <f aca="false">D343*D344</f>
        <v>88.6286100647152</v>
      </c>
      <c r="E345" s="16" t="n">
        <f aca="false">E343*E344</f>
        <v>230.607142857143</v>
      </c>
      <c r="F345" s="16" t="n">
        <f aca="false">F343*F344</f>
        <v>471.616071428572</v>
      </c>
      <c r="G345" s="16" t="n">
        <f aca="false">G343*G344</f>
        <v>783.464732142856</v>
      </c>
      <c r="H345" s="16" t="n">
        <f aca="false">H343*H344</f>
        <v>1126.98388392857</v>
      </c>
    </row>
    <row r="346" customFormat="false" ht="17.15" hidden="false" customHeight="false" outlineLevel="0" collapsed="false">
      <c r="A346" s="5" t="s">
        <v>580</v>
      </c>
      <c r="B346" s="5" t="s">
        <v>539</v>
      </c>
      <c r="D346" s="16" t="n">
        <f aca="false">MAX(0,E345-D345)+dlt*D345</f>
        <v>150.841393798899</v>
      </c>
      <c r="E346" s="16" t="n">
        <f aca="false">MAX(0,F345-E345)+dlt*E345</f>
        <v>264.069642857144</v>
      </c>
      <c r="F346" s="16" t="n">
        <f aca="false">MAX(0,G345-F345)+dlt*F345</f>
        <v>359.010267857141</v>
      </c>
      <c r="G346" s="16" t="n">
        <f aca="false">MAX(0,H345-G345)+dlt*G345</f>
        <v>421.865625</v>
      </c>
    </row>
    <row r="347" customFormat="false" ht="17.15" hidden="false" customHeight="false" outlineLevel="0" collapsed="false">
      <c r="A347" s="1" t="s">
        <v>581</v>
      </c>
    </row>
    <row r="348" customFormat="false" ht="17.15" hidden="false" customHeight="false" outlineLevel="0" collapsed="false">
      <c r="A348" s="0" t="s">
        <v>582</v>
      </c>
      <c r="B348" s="0" t="s">
        <v>252</v>
      </c>
      <c r="C348" s="16" t="n">
        <f aca="false">0</f>
        <v>0</v>
      </c>
      <c r="D348" s="16" t="n">
        <f aca="false">hbm26</f>
        <v>0</v>
      </c>
      <c r="E348" s="16" t="n">
        <f aca="false">E341*asp*shm_A</f>
        <v>76.9407258451095</v>
      </c>
      <c r="F348" s="16" t="n">
        <f aca="false">F341*asp*shm_A</f>
        <v>164.440854117233</v>
      </c>
      <c r="G348" s="16" t="n">
        <f aca="false">G341*asp*shm_A</f>
        <v>127.742468381314</v>
      </c>
      <c r="I348" s="8" t="s">
        <v>583</v>
      </c>
    </row>
    <row r="349" customFormat="false" ht="17.15" hidden="false" customHeight="false" outlineLevel="0" collapsed="false">
      <c r="A349" s="5" t="s">
        <v>584</v>
      </c>
      <c r="B349" s="0" t="s">
        <v>252</v>
      </c>
      <c r="C349" s="16" t="n">
        <f aca="false">hb25</f>
        <v>120</v>
      </c>
      <c r="D349" s="16" t="n">
        <f aca="false">rev26*hb_sh26_hi-hbm26</f>
        <v>350.56</v>
      </c>
      <c r="E349" s="16" t="n">
        <f aca="false">$D350*E346*shl_A</f>
        <v>613.705904384689</v>
      </c>
      <c r="F349" s="16" t="n">
        <f aca="false">$D350*F346*shl_A</f>
        <v>834.350812667432</v>
      </c>
      <c r="G349" s="16" t="n">
        <f aca="false">$D350*G346*shl_A</f>
        <v>980.428579817852</v>
      </c>
      <c r="I349" s="8" t="s">
        <v>585</v>
      </c>
    </row>
    <row r="350" customFormat="false" ht="17.15" hidden="false" customHeight="false" outlineLevel="0" collapsed="false">
      <c r="A350" s="5" t="s">
        <v>586</v>
      </c>
      <c r="B350" s="0" t="s">
        <v>587</v>
      </c>
      <c r="D350" s="21" t="n">
        <f aca="false">D349/D346</f>
        <v>2.32403050098678</v>
      </c>
      <c r="I350" s="5" t="s">
        <v>588</v>
      </c>
    </row>
    <row r="351" customFormat="false" ht="15" hidden="false" customHeight="false" outlineLevel="0" collapsed="false">
      <c r="A351" s="5" t="s">
        <v>589</v>
      </c>
      <c r="B351" s="0" t="s">
        <v>252</v>
      </c>
      <c r="C351" s="16" t="n">
        <f aca="false">C348+C349</f>
        <v>120</v>
      </c>
      <c r="D351" s="16" t="n">
        <f aca="false">D348+D349</f>
        <v>350.56</v>
      </c>
      <c r="E351" s="16" t="n">
        <f aca="false">E348+E349</f>
        <v>690.646630229798</v>
      </c>
      <c r="F351" s="16" t="n">
        <f aca="false">F348+F349</f>
        <v>998.791666784665</v>
      </c>
      <c r="G351" s="16" t="n">
        <f aca="false">G348+G349</f>
        <v>1108.17104819917</v>
      </c>
    </row>
    <row r="352" customFormat="false" ht="17.15" hidden="false" customHeight="false" outlineLevel="0" collapsed="false">
      <c r="A352" s="5" t="s">
        <v>590</v>
      </c>
      <c r="B352" s="0" t="s">
        <v>252</v>
      </c>
      <c r="C352" s="16" t="n">
        <f aca="false">a25_rev-hb25</f>
        <v>471.3</v>
      </c>
      <c r="D352" s="16" t="n">
        <f aca="false">rev26-D351</f>
        <v>651.04</v>
      </c>
      <c r="E352" s="16" t="n">
        <f aca="false">D352*(1+el*eqgA_27)</f>
        <v>780.430891234599</v>
      </c>
      <c r="F352" s="16" t="n">
        <f aca="false">E352*(1+el*eqgA_28)</f>
        <v>879.861925556772</v>
      </c>
      <c r="G352" s="16" t="n">
        <f aca="false">F352*(1+el*eqgA_29)</f>
        <v>932.17206917986</v>
      </c>
      <c r="I352" s="8" t="s">
        <v>591</v>
      </c>
    </row>
    <row r="353" customFormat="false" ht="15" hidden="false" customHeight="false" outlineLevel="0" collapsed="false">
      <c r="A353" s="5" t="s">
        <v>499</v>
      </c>
      <c r="B353" s="0" t="s">
        <v>252</v>
      </c>
      <c r="C353" s="16" t="n">
        <f aca="false">C351+C352</f>
        <v>591.3</v>
      </c>
      <c r="D353" s="16" t="n">
        <f aca="false">D351+D352</f>
        <v>1001.6</v>
      </c>
      <c r="E353" s="16" t="n">
        <f aca="false">E351+E352</f>
        <v>1471.0775214644</v>
      </c>
      <c r="F353" s="16" t="n">
        <f aca="false">F351+F352</f>
        <v>1878.65359234144</v>
      </c>
      <c r="G353" s="16" t="n">
        <f aca="false">G351+G352</f>
        <v>2040.34311737903</v>
      </c>
    </row>
    <row r="354" customFormat="false" ht="15" hidden="false" customHeight="false" outlineLevel="0" collapsed="false">
      <c r="A354" s="5" t="s">
        <v>592</v>
      </c>
      <c r="B354" s="0" t="s">
        <v>69</v>
      </c>
      <c r="C354" s="10" t="n">
        <f aca="false">C351/C353</f>
        <v>0.202942668696093</v>
      </c>
      <c r="D354" s="10" t="n">
        <f aca="false">D351/D353</f>
        <v>0.35</v>
      </c>
      <c r="E354" s="10" t="n">
        <f aca="false">E351/E353</f>
        <v>0.469483504541819</v>
      </c>
      <c r="F354" s="10" t="n">
        <f aca="false">F351/F353</f>
        <v>0.531652919333486</v>
      </c>
      <c r="G354" s="10" t="n">
        <f aca="false">G351/G353</f>
        <v>0.543129750462116</v>
      </c>
    </row>
    <row r="355" customFormat="false" ht="17.15" hidden="false" customHeight="false" outlineLevel="0" collapsed="false">
      <c r="A355" s="5" t="s">
        <v>506</v>
      </c>
      <c r="B355" s="0" t="s">
        <v>69</v>
      </c>
      <c r="C355" s="10" t="n">
        <f aca="false">a25_gp/a25_rev</f>
        <v>0.633012007441231</v>
      </c>
      <c r="D355" s="10" t="n">
        <f aca="false">gp26/rev26</f>
        <v>0.646641373801917</v>
      </c>
      <c r="E355" s="10" t="n">
        <f aca="false">$D355+gm_prem*(E354-$D354)+0</f>
        <v>0.656200054165262</v>
      </c>
      <c r="F355" s="10" t="n">
        <f aca="false">$D355+gm_prem*(F354-$D354)+0</f>
        <v>0.661173607348596</v>
      </c>
      <c r="G355" s="10" t="n">
        <f aca="false">$D355+gm_prem*(G354-$D354)+0</f>
        <v>0.662091753838886</v>
      </c>
      <c r="I355" s="8" t="s">
        <v>593</v>
      </c>
    </row>
    <row r="356" customFormat="false" ht="15" hidden="false" customHeight="false" outlineLevel="0" collapsed="false">
      <c r="A356" s="5" t="s">
        <v>502</v>
      </c>
      <c r="B356" s="0" t="s">
        <v>252</v>
      </c>
      <c r="C356" s="16" t="n">
        <f aca="false">a25_gp</f>
        <v>374.3</v>
      </c>
      <c r="D356" s="16" t="n">
        <f aca="false">gp26</f>
        <v>647.676</v>
      </c>
      <c r="E356" s="16" t="n">
        <f aca="false">E353*E355</f>
        <v>965.321149266237</v>
      </c>
      <c r="F356" s="16" t="n">
        <f aca="false">F353*F355</f>
        <v>1242.11617260679</v>
      </c>
      <c r="G356" s="16" t="n">
        <f aca="false">G353*G355</f>
        <v>1350.89435301858</v>
      </c>
    </row>
    <row r="357" customFormat="false" ht="17.15" hidden="false" customHeight="false" outlineLevel="0" collapsed="false">
      <c r="A357" s="5" t="s">
        <v>594</v>
      </c>
      <c r="B357" s="0" t="s">
        <v>252</v>
      </c>
      <c r="C357" s="16" t="n">
        <f aca="false">a25_opx</f>
        <v>201.2</v>
      </c>
      <c r="D357" s="16" t="n">
        <f aca="false">opx26</f>
        <v>223.1325</v>
      </c>
      <c r="E357" s="16" t="n">
        <f aca="false">opex_fix+opex_var*E353</f>
        <v>264.967840678177</v>
      </c>
      <c r="F357" s="16" t="n">
        <f aca="false">opex_fix+opex_var*F353</f>
        <v>301.287116890226</v>
      </c>
      <c r="G357" s="16" t="n">
        <f aca="false">opex_fix+opex_var*G353</f>
        <v>315.695338913169</v>
      </c>
      <c r="I357" s="5" t="s">
        <v>595</v>
      </c>
    </row>
    <row r="358" customFormat="false" ht="15" hidden="false" customHeight="false" outlineLevel="0" collapsed="false">
      <c r="A358" s="5" t="s">
        <v>510</v>
      </c>
      <c r="B358" s="0" t="s">
        <v>252</v>
      </c>
      <c r="C358" s="16" t="n">
        <f aca="false">C356-C357</f>
        <v>173.1</v>
      </c>
      <c r="D358" s="16" t="n">
        <f aca="false">D356-D357</f>
        <v>424.5435</v>
      </c>
      <c r="E358" s="16" t="n">
        <f aca="false">E356-E357</f>
        <v>700.35330858806</v>
      </c>
      <c r="F358" s="16" t="n">
        <f aca="false">F356-F357</f>
        <v>940.82905571656</v>
      </c>
      <c r="G358" s="16" t="n">
        <f aca="false">G356-G357</f>
        <v>1035.19901410541</v>
      </c>
    </row>
    <row r="359" customFormat="false" ht="15" hidden="false" customHeight="false" outlineLevel="0" collapsed="false">
      <c r="A359" s="5" t="s">
        <v>555</v>
      </c>
      <c r="B359" s="0" t="s">
        <v>69</v>
      </c>
      <c r="C359" s="10" t="n">
        <f aca="false">C358/C353</f>
        <v>0.292744799594115</v>
      </c>
      <c r="D359" s="10" t="n">
        <f aca="false">D358/D353</f>
        <v>0.423865315495208</v>
      </c>
      <c r="E359" s="10" t="n">
        <f aca="false">E358/E353</f>
        <v>0.476081850459443</v>
      </c>
      <c r="F359" s="10" t="n">
        <f aca="false">F358/F353</f>
        <v>0.500799646913069</v>
      </c>
      <c r="G359" s="10" t="n">
        <f aca="false">G358/G353</f>
        <v>0.507365160931952</v>
      </c>
    </row>
    <row r="360" customFormat="false" ht="15" hidden="false" customHeight="false" outlineLevel="0" collapsed="false">
      <c r="A360" s="5" t="s">
        <v>515</v>
      </c>
      <c r="B360" s="0" t="s">
        <v>252</v>
      </c>
      <c r="C360" s="16" t="n">
        <f aca="false">a25_ni</f>
        <v>131.6</v>
      </c>
      <c r="D360" s="16" t="n">
        <f aca="false">ni26</f>
        <v>348.2641275</v>
      </c>
      <c r="E360" s="16" t="n">
        <f aca="false">(E358-fin)*(1-tax)</f>
        <v>588.505611928672</v>
      </c>
      <c r="F360" s="16" t="n">
        <f aca="false">(F358-fin)*(1-tax)</f>
        <v>796.517133194824</v>
      </c>
      <c r="G360" s="16" t="n">
        <f aca="false">(G358-fin)*(1-tax)</f>
        <v>878.14714720118</v>
      </c>
    </row>
    <row r="361" customFormat="false" ht="15" hidden="false" customHeight="false" outlineLevel="0" collapsed="false">
      <c r="A361" s="0" t="s">
        <v>556</v>
      </c>
      <c r="B361" s="0" t="s">
        <v>271</v>
      </c>
      <c r="C361" s="18" t="n">
        <f aca="false">a25_eps</f>
        <v>1.66</v>
      </c>
      <c r="D361" s="18" t="n">
        <f aca="false">eps26</f>
        <v>4.3364299400653</v>
      </c>
      <c r="E361" s="18" t="n">
        <f aca="false">E360/shares</f>
        <v>7.30142223754789</v>
      </c>
      <c r="F361" s="18" t="n">
        <f aca="false">F360/shares</f>
        <v>9.88216219355519</v>
      </c>
      <c r="G361" s="18" t="n">
        <f aca="false">G360/shares</f>
        <v>10.8949226285221</v>
      </c>
    </row>
    <row r="362" customFormat="false" ht="17.15" hidden="false" customHeight="false" outlineLevel="0" collapsed="false">
      <c r="A362" s="5" t="s">
        <v>596</v>
      </c>
      <c r="B362" s="5" t="s">
        <v>390</v>
      </c>
      <c r="C362" s="19" t="n">
        <f aca="false">C351/asp</f>
        <v>48</v>
      </c>
      <c r="D362" s="19" t="n">
        <f aca="false">D351/asp</f>
        <v>140.224</v>
      </c>
      <c r="E362" s="19" t="n">
        <f aca="false">E351/asp</f>
        <v>276.258652091919</v>
      </c>
      <c r="F362" s="19" t="n">
        <f aca="false">F351/asp</f>
        <v>399.516666713866</v>
      </c>
      <c r="G362" s="19" t="n">
        <f aca="false">G351/asp</f>
        <v>443.268419279666</v>
      </c>
    </row>
    <row r="375" customFormat="false" ht="17.15" hidden="false" customHeight="false" outlineLevel="0" collapsed="false">
      <c r="A375" s="4" t="s">
        <v>900</v>
      </c>
    </row>
    <row r="376" customFormat="false" ht="15" hidden="false" customHeight="false" outlineLevel="0" collapsed="false">
      <c r="A376" s="6" t="s">
        <v>21</v>
      </c>
      <c r="B376" s="6" t="s">
        <v>22</v>
      </c>
      <c r="C376" s="14" t="s">
        <v>524</v>
      </c>
      <c r="D376" s="14" t="s">
        <v>525</v>
      </c>
      <c r="E376" s="14" t="s">
        <v>526</v>
      </c>
      <c r="F376" s="14" t="s">
        <v>527</v>
      </c>
      <c r="G376" s="14" t="s">
        <v>528</v>
      </c>
      <c r="H376" s="14" t="s">
        <v>529</v>
      </c>
      <c r="I376" s="6" t="s">
        <v>427</v>
      </c>
    </row>
    <row r="377" customFormat="false" ht="17.15" hidden="false" customHeight="false" outlineLevel="0" collapsed="false">
      <c r="A377" s="1" t="s">
        <v>559</v>
      </c>
    </row>
    <row r="378" customFormat="false" ht="17.15" hidden="false" customHeight="false" outlineLevel="0" collapsed="false">
      <c r="A378" s="0" t="s">
        <v>560</v>
      </c>
      <c r="B378" s="0" t="s">
        <v>32</v>
      </c>
      <c r="C378" s="18" t="n">
        <f aca="false">hsA_25</f>
        <v>2.22511470588235</v>
      </c>
      <c r="D378" s="18" t="n">
        <f aca="false">hsA_26</f>
        <v>3.782695</v>
      </c>
      <c r="E378" s="18" t="n">
        <f aca="false">hsA_27</f>
        <v>5.86317725</v>
      </c>
      <c r="F378" s="18" t="n">
        <f aca="false">hsA_28</f>
        <v>8.5016070125</v>
      </c>
      <c r="G378" s="18" t="n">
        <f aca="false">hsA_29</f>
        <v>11.477169466875</v>
      </c>
      <c r="H378" s="18" t="n">
        <f aca="false">G378*(1+g_tail)</f>
        <v>12.6248864135625</v>
      </c>
      <c r="I378" s="8" t="s">
        <v>561</v>
      </c>
    </row>
    <row r="379" customFormat="false" ht="17.15" hidden="false" customHeight="false" outlineLevel="0" collapsed="false">
      <c r="A379" s="0" t="s">
        <v>562</v>
      </c>
      <c r="B379" s="0" t="s">
        <v>563</v>
      </c>
      <c r="C379" s="20" t="n">
        <f aca="false">den_25</f>
        <v>24</v>
      </c>
      <c r="D379" s="20" t="n">
        <f aca="false">den_26</f>
        <v>24</v>
      </c>
      <c r="E379" s="20" t="n">
        <f aca="false">den_27</f>
        <v>26</v>
      </c>
      <c r="F379" s="20" t="n">
        <f aca="false">den_28</f>
        <v>28</v>
      </c>
      <c r="G379" s="20" t="n">
        <f aca="false">den_29</f>
        <v>30</v>
      </c>
      <c r="H379" s="20" t="n">
        <f aca="false">den_30</f>
        <v>32</v>
      </c>
    </row>
    <row r="380" customFormat="false" ht="17.15" hidden="false" customHeight="false" outlineLevel="0" collapsed="false">
      <c r="A380" s="5" t="s">
        <v>564</v>
      </c>
      <c r="B380" s="5" t="s">
        <v>533</v>
      </c>
      <c r="C380" s="19" t="n">
        <f aca="false">C378*8000/C379</f>
        <v>741.704901960783</v>
      </c>
      <c r="D380" s="19" t="n">
        <f aca="false">D378*8000/D379</f>
        <v>1260.89833333333</v>
      </c>
      <c r="E380" s="19" t="n">
        <f aca="false">E378*8000/E379</f>
        <v>1804.05453846154</v>
      </c>
      <c r="F380" s="19" t="n">
        <f aca="false">F378*8000/F379</f>
        <v>2429.030575</v>
      </c>
      <c r="G380" s="19" t="n">
        <f aca="false">G378*8000/G379</f>
        <v>3060.5785245</v>
      </c>
      <c r="H380" s="19" t="n">
        <f aca="false">H378*8000/H379</f>
        <v>3156.22160339063</v>
      </c>
      <c r="I380" s="8" t="s">
        <v>565</v>
      </c>
    </row>
    <row r="381" customFormat="false" ht="15" hidden="false" customHeight="false" outlineLevel="0" collapsed="false">
      <c r="A381" s="5" t="s">
        <v>566</v>
      </c>
      <c r="B381" s="5" t="s">
        <v>96</v>
      </c>
      <c r="C381" s="20" t="n">
        <f aca="false">stk_25</f>
        <v>10</v>
      </c>
      <c r="D381" s="20" t="n">
        <f aca="false">stk_26</f>
        <v>12</v>
      </c>
      <c r="E381" s="20" t="n">
        <f aca="false">stk_27</f>
        <v>12.5</v>
      </c>
      <c r="F381" s="20" t="n">
        <f aca="false">stk_28</f>
        <v>14</v>
      </c>
      <c r="G381" s="20" t="n">
        <f aca="false">stk_29</f>
        <v>15</v>
      </c>
      <c r="H381" s="20" t="n">
        <f aca="false">stk_30</f>
        <v>16</v>
      </c>
    </row>
    <row r="382" customFormat="false" ht="15" hidden="false" customHeight="false" outlineLevel="0" collapsed="false">
      <c r="A382" s="5" t="s">
        <v>567</v>
      </c>
      <c r="B382" s="0" t="s">
        <v>116</v>
      </c>
      <c r="C382" s="21" t="n">
        <f aca="false">1+beta*(C381-$C381)/4</f>
        <v>1</v>
      </c>
      <c r="D382" s="21" t="n">
        <f aca="false">1+beta*(D381-$C381)/4</f>
        <v>1.05</v>
      </c>
      <c r="E382" s="21" t="n">
        <f aca="false">1+beta*(E381-$C381)/4</f>
        <v>1.0625</v>
      </c>
      <c r="F382" s="21" t="n">
        <f aca="false">1+beta*(F381-$C381)/4</f>
        <v>1.1</v>
      </c>
      <c r="G382" s="21" t="n">
        <f aca="false">1+beta*(G381-$C381)/4</f>
        <v>1.125</v>
      </c>
      <c r="H382" s="21" t="n">
        <f aca="false">1+beta*(H381-$C381)/4</f>
        <v>1.15</v>
      </c>
    </row>
    <row r="383" customFormat="false" ht="17.15" hidden="false" customHeight="false" outlineLevel="0" collapsed="false">
      <c r="A383" s="5" t="s">
        <v>568</v>
      </c>
      <c r="B383" s="0" t="s">
        <v>69</v>
      </c>
      <c r="C383" s="10" t="n">
        <f aca="false">hbp_25_hi</f>
        <v>0</v>
      </c>
      <c r="D383" s="10" t="n">
        <f aca="false">hbp_26_hi</f>
        <v>0</v>
      </c>
      <c r="E383" s="10" t="n">
        <f aca="false">hbp_27_hi</f>
        <v>0.05</v>
      </c>
      <c r="F383" s="10" t="n">
        <f aca="false">hbp_28_hi</f>
        <v>0.15</v>
      </c>
      <c r="G383" s="10" t="n">
        <f aca="false">hbp_29_hi</f>
        <v>0.3</v>
      </c>
      <c r="H383" s="10" t="n">
        <f aca="false">hbp_30_hi</f>
        <v>0.4</v>
      </c>
      <c r="I383" s="5" t="s">
        <v>569</v>
      </c>
    </row>
    <row r="384" customFormat="false" ht="17.15" hidden="false" customHeight="false" outlineLevel="0" collapsed="false">
      <c r="A384" s="5" t="s">
        <v>570</v>
      </c>
      <c r="B384" s="5" t="s">
        <v>571</v>
      </c>
      <c r="C384" s="19" t="n">
        <f aca="false">C380*C382*C383</f>
        <v>0</v>
      </c>
      <c r="D384" s="19" t="n">
        <f aca="false">D380*D382*D383</f>
        <v>0</v>
      </c>
      <c r="E384" s="19" t="n">
        <f aca="false">E380*E382*E383</f>
        <v>95.8403973557692</v>
      </c>
      <c r="F384" s="19" t="n">
        <f aca="false">F380*F382*F383</f>
        <v>400.790044875</v>
      </c>
      <c r="G384" s="19" t="n">
        <f aca="false">G380*G382*G383</f>
        <v>1032.94525201875</v>
      </c>
      <c r="H384" s="19" t="n">
        <f aca="false">H380*H382*H383</f>
        <v>1451.86193755969</v>
      </c>
    </row>
    <row r="385" customFormat="false" ht="17.15" hidden="false" customHeight="false" outlineLevel="0" collapsed="false">
      <c r="A385" s="5" t="s">
        <v>572</v>
      </c>
      <c r="B385" s="5" t="s">
        <v>390</v>
      </c>
      <c r="C385" s="19" t="n">
        <f aca="false">C384/(uph_lo*8760*util/1000000)</f>
        <v>0</v>
      </c>
      <c r="D385" s="19" t="n">
        <f aca="false">D384/(uph_lo*8760*util/1000000)</f>
        <v>0</v>
      </c>
      <c r="E385" s="19" t="n">
        <f aca="false">E384/(uph_lo*8760*util/1000000)</f>
        <v>26.0492491182239</v>
      </c>
      <c r="F385" s="19" t="n">
        <f aca="false">F384/(uph_lo*8760*util/1000000)</f>
        <v>108.934019589857</v>
      </c>
      <c r="G385" s="19" t="n">
        <f aca="false">G384/(uph_lo*8760*util/1000000)</f>
        <v>280.75267776113</v>
      </c>
      <c r="H385" s="19" t="n">
        <f aca="false">H384/(uph_lo*8760*util/1000000)</f>
        <v>394.613485964255</v>
      </c>
    </row>
    <row r="386" customFormat="false" ht="17.15" hidden="false" customHeight="false" outlineLevel="0" collapsed="false">
      <c r="A386" s="5" t="s">
        <v>573</v>
      </c>
      <c r="B386" s="5" t="s">
        <v>390</v>
      </c>
      <c r="C386" s="19" t="n">
        <f aca="false">MAX(0,D385-C385)+dlt*C385</f>
        <v>0</v>
      </c>
      <c r="D386" s="19" t="n">
        <f aca="false">MAX(0,E385-D385)+dlt*D385</f>
        <v>26.0492491182239</v>
      </c>
      <c r="E386" s="19" t="n">
        <f aca="false">MAX(0,F385-E385)+dlt*E385</f>
        <v>85.489695383455</v>
      </c>
      <c r="F386" s="19" t="n">
        <f aca="false">MAX(0,G385-F385)+dlt*F385</f>
        <v>182.712060130259</v>
      </c>
      <c r="G386" s="19" t="n">
        <f aca="false">MAX(0,H385-G385)+dlt*G385</f>
        <v>141.936075979238</v>
      </c>
      <c r="I386" s="5" t="s">
        <v>574</v>
      </c>
    </row>
    <row r="387" customFormat="false" ht="17.15" hidden="false" customHeight="false" outlineLevel="0" collapsed="false">
      <c r="A387" s="1" t="s">
        <v>575</v>
      </c>
    </row>
    <row r="388" customFormat="false" ht="17.15" hidden="false" customHeight="false" outlineLevel="0" collapsed="false">
      <c r="A388" s="0" t="s">
        <v>576</v>
      </c>
      <c r="B388" s="5" t="s">
        <v>146</v>
      </c>
      <c r="D388" s="19" t="n">
        <f aca="false">cow_26*1</f>
        <v>1107.85762580894</v>
      </c>
      <c r="E388" s="19" t="n">
        <f aca="false">cow_27*1</f>
        <v>2096.42857142857</v>
      </c>
      <c r="F388" s="19" t="n">
        <f aca="false">cow_28*um28_A</f>
        <v>2620.08928571429</v>
      </c>
      <c r="G388" s="19" t="n">
        <f aca="false">cow_29*um29_A</f>
        <v>3013.32589285714</v>
      </c>
      <c r="H388" s="19" t="n">
        <f aca="false">G388*(1+g_tail)</f>
        <v>3314.65848214285</v>
      </c>
      <c r="I388" s="8" t="s">
        <v>577</v>
      </c>
    </row>
    <row r="389" customFormat="false" ht="17.15" hidden="false" customHeight="false" outlineLevel="0" collapsed="false">
      <c r="A389" s="5" t="s">
        <v>578</v>
      </c>
      <c r="B389" s="0" t="s">
        <v>69</v>
      </c>
      <c r="D389" s="10" t="n">
        <f aca="false">attA_26</f>
        <v>0.08</v>
      </c>
      <c r="E389" s="10" t="n">
        <f aca="false">attA_27</f>
        <v>0.11</v>
      </c>
      <c r="F389" s="10" t="n">
        <f aca="false">attA_28</f>
        <v>0.18</v>
      </c>
      <c r="G389" s="10" t="n">
        <f aca="false">attA_29</f>
        <v>0.26</v>
      </c>
      <c r="H389" s="10" t="n">
        <f aca="false">attA_30</f>
        <v>0.34</v>
      </c>
    </row>
    <row r="390" customFormat="false" ht="15" hidden="false" customHeight="false" outlineLevel="0" collapsed="false">
      <c r="A390" s="5" t="s">
        <v>579</v>
      </c>
      <c r="B390" s="5" t="s">
        <v>539</v>
      </c>
      <c r="D390" s="16" t="n">
        <f aca="false">D388*D389</f>
        <v>88.6286100647152</v>
      </c>
      <c r="E390" s="16" t="n">
        <f aca="false">E388*E389</f>
        <v>230.607142857143</v>
      </c>
      <c r="F390" s="16" t="n">
        <f aca="false">F388*F389</f>
        <v>471.616071428572</v>
      </c>
      <c r="G390" s="16" t="n">
        <f aca="false">G388*G389</f>
        <v>783.464732142856</v>
      </c>
      <c r="H390" s="16" t="n">
        <f aca="false">H388*H389</f>
        <v>1126.98388392857</v>
      </c>
    </row>
    <row r="391" customFormat="false" ht="17.15" hidden="false" customHeight="false" outlineLevel="0" collapsed="false">
      <c r="A391" s="5" t="s">
        <v>580</v>
      </c>
      <c r="B391" s="5" t="s">
        <v>539</v>
      </c>
      <c r="D391" s="16" t="n">
        <f aca="false">MAX(0,E390-D390)+dlt*D390</f>
        <v>150.841393798899</v>
      </c>
      <c r="E391" s="16" t="n">
        <f aca="false">MAX(0,F390-E390)+dlt*E390</f>
        <v>264.069642857144</v>
      </c>
      <c r="F391" s="16" t="n">
        <f aca="false">MAX(0,G390-F390)+dlt*F390</f>
        <v>359.010267857141</v>
      </c>
      <c r="G391" s="16" t="n">
        <f aca="false">MAX(0,H390-G390)+dlt*G390</f>
        <v>421.865625</v>
      </c>
    </row>
    <row r="392" customFormat="false" ht="17.15" hidden="false" customHeight="false" outlineLevel="0" collapsed="false">
      <c r="A392" s="1" t="s">
        <v>581</v>
      </c>
    </row>
    <row r="393" customFormat="false" ht="17.15" hidden="false" customHeight="false" outlineLevel="0" collapsed="false">
      <c r="A393" s="0" t="s">
        <v>582</v>
      </c>
      <c r="B393" s="0" t="s">
        <v>252</v>
      </c>
      <c r="C393" s="16" t="n">
        <f aca="false">0</f>
        <v>0</v>
      </c>
      <c r="D393" s="16" t="n">
        <f aca="false">hbm26</f>
        <v>0</v>
      </c>
      <c r="E393" s="16" t="n">
        <f aca="false">E386*asp*shm_A</f>
        <v>128.234543075183</v>
      </c>
      <c r="F393" s="16" t="n">
        <f aca="false">F386*asp*shm_A</f>
        <v>274.068090195389</v>
      </c>
      <c r="G393" s="16" t="n">
        <f aca="false">G386*asp*shm_A</f>
        <v>212.904113968857</v>
      </c>
      <c r="I393" s="8" t="s">
        <v>583</v>
      </c>
    </row>
    <row r="394" customFormat="false" ht="17.15" hidden="false" customHeight="false" outlineLevel="0" collapsed="false">
      <c r="A394" s="5" t="s">
        <v>584</v>
      </c>
      <c r="B394" s="0" t="s">
        <v>252</v>
      </c>
      <c r="C394" s="16" t="n">
        <f aca="false">hb25</f>
        <v>120</v>
      </c>
      <c r="D394" s="16" t="n">
        <f aca="false">rev26*hb_sh26-hbm26</f>
        <v>250.4</v>
      </c>
      <c r="E394" s="16" t="n">
        <f aca="false">$D395*E391*shl_A</f>
        <v>438.361360274778</v>
      </c>
      <c r="F394" s="16" t="n">
        <f aca="false">$D395*F391*shl_A</f>
        <v>595.964866191023</v>
      </c>
      <c r="G394" s="16" t="n">
        <f aca="false">$D395*G391*shl_A</f>
        <v>700.306128441323</v>
      </c>
      <c r="I394" s="8" t="s">
        <v>585</v>
      </c>
    </row>
    <row r="395" customFormat="false" ht="17.15" hidden="false" customHeight="false" outlineLevel="0" collapsed="false">
      <c r="A395" s="5" t="s">
        <v>586</v>
      </c>
      <c r="B395" s="0" t="s">
        <v>587</v>
      </c>
      <c r="D395" s="21" t="n">
        <f aca="false">D394/D391</f>
        <v>1.66002178641913</v>
      </c>
      <c r="I395" s="5" t="s">
        <v>588</v>
      </c>
    </row>
    <row r="396" customFormat="false" ht="15" hidden="false" customHeight="false" outlineLevel="0" collapsed="false">
      <c r="A396" s="5" t="s">
        <v>589</v>
      </c>
      <c r="B396" s="0" t="s">
        <v>252</v>
      </c>
      <c r="C396" s="16" t="n">
        <f aca="false">C393+C394</f>
        <v>120</v>
      </c>
      <c r="D396" s="16" t="n">
        <f aca="false">D393+D394</f>
        <v>250.4</v>
      </c>
      <c r="E396" s="16" t="n">
        <f aca="false">E393+E394</f>
        <v>566.59590334996</v>
      </c>
      <c r="F396" s="16" t="n">
        <f aca="false">F393+F394</f>
        <v>870.032956386412</v>
      </c>
      <c r="G396" s="16" t="n">
        <f aca="false">G393+G394</f>
        <v>913.21024241018</v>
      </c>
    </row>
    <row r="397" customFormat="false" ht="17.15" hidden="false" customHeight="false" outlineLevel="0" collapsed="false">
      <c r="A397" s="5" t="s">
        <v>590</v>
      </c>
      <c r="B397" s="0" t="s">
        <v>252</v>
      </c>
      <c r="C397" s="16" t="n">
        <f aca="false">a25_rev-hb25</f>
        <v>471.3</v>
      </c>
      <c r="D397" s="16" t="n">
        <f aca="false">rev26-D396</f>
        <v>751.2</v>
      </c>
      <c r="E397" s="16" t="n">
        <f aca="false">D397*(1+el*eqgA_27)</f>
        <v>900.497182193768</v>
      </c>
      <c r="F397" s="16" t="n">
        <f aca="false">E397*(1+el*eqgA_28)</f>
        <v>1015.22529871935</v>
      </c>
      <c r="G397" s="16" t="n">
        <f aca="false">F397*(1+el*eqgA_29)</f>
        <v>1075.58315674599</v>
      </c>
      <c r="I397" s="8" t="s">
        <v>591</v>
      </c>
    </row>
    <row r="398" customFormat="false" ht="15" hidden="false" customHeight="false" outlineLevel="0" collapsed="false">
      <c r="A398" s="5" t="s">
        <v>499</v>
      </c>
      <c r="B398" s="0" t="s">
        <v>252</v>
      </c>
      <c r="C398" s="16" t="n">
        <f aca="false">C396+C397</f>
        <v>591.3</v>
      </c>
      <c r="D398" s="16" t="n">
        <f aca="false">D396+D397</f>
        <v>1001.6</v>
      </c>
      <c r="E398" s="16" t="n">
        <f aca="false">E396+E397</f>
        <v>1467.09308554373</v>
      </c>
      <c r="F398" s="16" t="n">
        <f aca="false">F396+F397</f>
        <v>1885.25825510576</v>
      </c>
      <c r="G398" s="16" t="n">
        <f aca="false">G396+G397</f>
        <v>1988.79339915617</v>
      </c>
    </row>
    <row r="399" customFormat="false" ht="15" hidden="false" customHeight="false" outlineLevel="0" collapsed="false">
      <c r="A399" s="5" t="s">
        <v>592</v>
      </c>
      <c r="B399" s="0" t="s">
        <v>69</v>
      </c>
      <c r="C399" s="10" t="n">
        <f aca="false">C396/C398</f>
        <v>0.202942668696093</v>
      </c>
      <c r="D399" s="10" t="n">
        <f aca="false">D396/D398</f>
        <v>0.25</v>
      </c>
      <c r="E399" s="10" t="n">
        <f aca="false">E396/E398</f>
        <v>0.386203103901871</v>
      </c>
      <c r="F399" s="10" t="n">
        <f aca="false">F396/F398</f>
        <v>0.461492718056075</v>
      </c>
      <c r="G399" s="10" t="n">
        <f aca="false">G396/G398</f>
        <v>0.459178033674914</v>
      </c>
    </row>
    <row r="400" customFormat="false" ht="17.15" hidden="false" customHeight="false" outlineLevel="0" collapsed="false">
      <c r="A400" s="5" t="s">
        <v>506</v>
      </c>
      <c r="B400" s="0" t="s">
        <v>69</v>
      </c>
      <c r="C400" s="10" t="n">
        <f aca="false">a25_gp/a25_rev</f>
        <v>0.633012007441231</v>
      </c>
      <c r="D400" s="10" t="n">
        <f aca="false">gp26/rev26</f>
        <v>0.646641373801917</v>
      </c>
      <c r="E400" s="10" t="n">
        <f aca="false">$D400+gm_prem*(E399-$D399)+0</f>
        <v>0.657537622114067</v>
      </c>
      <c r="F400" s="10" t="n">
        <f aca="false">$D400+gm_prem*(F399-$D399)+0</f>
        <v>0.663560791246403</v>
      </c>
      <c r="G400" s="10" t="n">
        <f aca="false">$D400+gm_prem*(G399-$D399)+0</f>
        <v>0.66337561649591</v>
      </c>
      <c r="I400" s="8" t="s">
        <v>593</v>
      </c>
    </row>
    <row r="401" customFormat="false" ht="15" hidden="false" customHeight="false" outlineLevel="0" collapsed="false">
      <c r="A401" s="5" t="s">
        <v>502</v>
      </c>
      <c r="B401" s="0" t="s">
        <v>252</v>
      </c>
      <c r="C401" s="16" t="n">
        <f aca="false">a25_gp</f>
        <v>374.3</v>
      </c>
      <c r="D401" s="16" t="n">
        <f aca="false">gp26</f>
        <v>647.676</v>
      </c>
      <c r="E401" s="16" t="n">
        <f aca="false">E398*E400</f>
        <v>964.668898888412</v>
      </c>
      <c r="F401" s="16" t="n">
        <f aca="false">F398*F400</f>
        <v>1250.98345946179</v>
      </c>
      <c r="G401" s="16" t="n">
        <f aca="false">G398*G400</f>
        <v>1319.31704724822</v>
      </c>
    </row>
    <row r="402" customFormat="false" ht="17.15" hidden="false" customHeight="false" outlineLevel="0" collapsed="false">
      <c r="A402" s="5" t="s">
        <v>594</v>
      </c>
      <c r="B402" s="0" t="s">
        <v>252</v>
      </c>
      <c r="C402" s="16" t="n">
        <f aca="false">a25_opx</f>
        <v>201.2</v>
      </c>
      <c r="D402" s="16" t="n">
        <f aca="false">opx26</f>
        <v>223.1325</v>
      </c>
      <c r="E402" s="16" t="n">
        <f aca="false">opex_fix+opex_var*E398</f>
        <v>264.612785906584</v>
      </c>
      <c r="F402" s="16" t="n">
        <f aca="false">opex_fix+opex_var*F398</f>
        <v>301.875661185059</v>
      </c>
      <c r="G402" s="16" t="n">
        <f aca="false">opex_fix+opex_var*G398</f>
        <v>311.101721700166</v>
      </c>
      <c r="I402" s="5" t="s">
        <v>595</v>
      </c>
    </row>
    <row r="403" customFormat="false" ht="15" hidden="false" customHeight="false" outlineLevel="0" collapsed="false">
      <c r="A403" s="5" t="s">
        <v>510</v>
      </c>
      <c r="B403" s="0" t="s">
        <v>252</v>
      </c>
      <c r="C403" s="16" t="n">
        <f aca="false">C401-C402</f>
        <v>173.1</v>
      </c>
      <c r="D403" s="16" t="n">
        <f aca="false">D401-D402</f>
        <v>424.5435</v>
      </c>
      <c r="E403" s="16" t="n">
        <f aca="false">E401-E402</f>
        <v>700.056112981828</v>
      </c>
      <c r="F403" s="16" t="n">
        <f aca="false">F401-F402</f>
        <v>949.107798276735</v>
      </c>
      <c r="G403" s="16" t="n">
        <f aca="false">G401-G402</f>
        <v>1008.21532554806</v>
      </c>
    </row>
    <row r="404" customFormat="false" ht="15" hidden="false" customHeight="false" outlineLevel="0" collapsed="false">
      <c r="A404" s="5" t="s">
        <v>555</v>
      </c>
      <c r="B404" s="0" t="s">
        <v>69</v>
      </c>
      <c r="C404" s="10" t="n">
        <f aca="false">C403/C398</f>
        <v>0.292744799594115</v>
      </c>
      <c r="D404" s="10" t="n">
        <f aca="false">D403/D398</f>
        <v>0.423865315495208</v>
      </c>
      <c r="E404" s="10" t="n">
        <f aca="false">E403/E398</f>
        <v>0.477172252994687</v>
      </c>
      <c r="F404" s="10" t="n">
        <f aca="false">F403/F398</f>
        <v>0.503436489778685</v>
      </c>
      <c r="G404" s="10" t="n">
        <f aca="false">G403/G398</f>
        <v>0.506948246095263</v>
      </c>
    </row>
    <row r="405" customFormat="false" ht="15" hidden="false" customHeight="false" outlineLevel="0" collapsed="false">
      <c r="A405" s="5" t="s">
        <v>515</v>
      </c>
      <c r="B405" s="0" t="s">
        <v>252</v>
      </c>
      <c r="C405" s="16" t="n">
        <f aca="false">a25_ni</f>
        <v>131.6</v>
      </c>
      <c r="D405" s="16" t="n">
        <f aca="false">ni26</f>
        <v>348.2641275</v>
      </c>
      <c r="E405" s="16" t="n">
        <f aca="false">(E403-fin)*(1-tax)</f>
        <v>588.248537729281</v>
      </c>
      <c r="F405" s="16" t="n">
        <f aca="false">(F403-fin)*(1-tax)</f>
        <v>803.678245509375</v>
      </c>
      <c r="G405" s="16" t="n">
        <f aca="false">(G403-fin)*(1-tax)</f>
        <v>854.806256599069</v>
      </c>
    </row>
    <row r="406" customFormat="false" ht="15" hidden="false" customHeight="false" outlineLevel="0" collapsed="false">
      <c r="A406" s="0" t="s">
        <v>556</v>
      </c>
      <c r="B406" s="0" t="s">
        <v>271</v>
      </c>
      <c r="C406" s="18" t="n">
        <f aca="false">a25_eps</f>
        <v>1.66</v>
      </c>
      <c r="D406" s="18" t="n">
        <f aca="false">eps26</f>
        <v>4.3364299400653</v>
      </c>
      <c r="E406" s="18" t="n">
        <f aca="false">E405/shares</f>
        <v>7.29823279085768</v>
      </c>
      <c r="F406" s="18" t="n">
        <f aca="false">F405/shares</f>
        <v>9.97100808327863</v>
      </c>
      <c r="G406" s="18" t="n">
        <f aca="false">G405/shares</f>
        <v>10.6053388178802</v>
      </c>
    </row>
    <row r="407" customFormat="false" ht="17.15" hidden="false" customHeight="false" outlineLevel="0" collapsed="false">
      <c r="A407" s="5" t="s">
        <v>596</v>
      </c>
      <c r="B407" s="5" t="s">
        <v>390</v>
      </c>
      <c r="C407" s="19" t="n">
        <f aca="false">C396/asp</f>
        <v>48</v>
      </c>
      <c r="D407" s="19" t="n">
        <f aca="false">D396/asp</f>
        <v>100.16</v>
      </c>
      <c r="E407" s="19" t="n">
        <f aca="false">E396/asp</f>
        <v>226.638361339984</v>
      </c>
      <c r="F407" s="19" t="n">
        <f aca="false">F396/asp</f>
        <v>348.013182554565</v>
      </c>
      <c r="G407" s="19" t="n">
        <f aca="false">G396/asp</f>
        <v>365.284096964072</v>
      </c>
    </row>
    <row r="420" customFormat="false" ht="17.15" hidden="false" customHeight="false" outlineLevel="0" collapsed="false">
      <c r="A420" s="4" t="s">
        <v>901</v>
      </c>
    </row>
    <row r="421" customFormat="false" ht="15" hidden="false" customHeight="false" outlineLevel="0" collapsed="false">
      <c r="A421" s="6" t="s">
        <v>21</v>
      </c>
      <c r="B421" s="6" t="s">
        <v>22</v>
      </c>
      <c r="C421" s="14" t="s">
        <v>524</v>
      </c>
      <c r="D421" s="14" t="s">
        <v>525</v>
      </c>
      <c r="E421" s="14" t="s">
        <v>526</v>
      </c>
      <c r="F421" s="14" t="s">
        <v>527</v>
      </c>
      <c r="G421" s="14" t="s">
        <v>528</v>
      </c>
      <c r="H421" s="14" t="s">
        <v>529</v>
      </c>
      <c r="I421" s="6" t="s">
        <v>427</v>
      </c>
    </row>
    <row r="422" customFormat="false" ht="17.15" hidden="false" customHeight="false" outlineLevel="0" collapsed="false">
      <c r="A422" s="1" t="s">
        <v>559</v>
      </c>
    </row>
    <row r="423" customFormat="false" ht="17.15" hidden="false" customHeight="false" outlineLevel="0" collapsed="false">
      <c r="A423" s="0" t="s">
        <v>560</v>
      </c>
      <c r="B423" s="0" t="s">
        <v>32</v>
      </c>
      <c r="C423" s="18" t="n">
        <f aca="false">hsA_25</f>
        <v>2.22511470588235</v>
      </c>
      <c r="D423" s="18" t="n">
        <f aca="false">hsA_26</f>
        <v>3.782695</v>
      </c>
      <c r="E423" s="18" t="n">
        <f aca="false">hsA_27</f>
        <v>5.86317725</v>
      </c>
      <c r="F423" s="18" t="n">
        <f aca="false">hsA_28</f>
        <v>8.5016070125</v>
      </c>
      <c r="G423" s="18" t="n">
        <f aca="false">hsA_29</f>
        <v>11.477169466875</v>
      </c>
      <c r="H423" s="18" t="n">
        <f aca="false">G423*(1+g_tail)</f>
        <v>12.6248864135625</v>
      </c>
      <c r="I423" s="8" t="s">
        <v>561</v>
      </c>
    </row>
    <row r="424" customFormat="false" ht="17.15" hidden="false" customHeight="false" outlineLevel="0" collapsed="false">
      <c r="A424" s="0" t="s">
        <v>562</v>
      </c>
      <c r="B424" s="0" t="s">
        <v>563</v>
      </c>
      <c r="C424" s="20" t="n">
        <f aca="false">den_25</f>
        <v>24</v>
      </c>
      <c r="D424" s="20" t="n">
        <f aca="false">den_26</f>
        <v>24</v>
      </c>
      <c r="E424" s="20" t="n">
        <f aca="false">den_27</f>
        <v>26</v>
      </c>
      <c r="F424" s="20" t="n">
        <f aca="false">den_28</f>
        <v>28</v>
      </c>
      <c r="G424" s="20" t="n">
        <f aca="false">den_29</f>
        <v>30</v>
      </c>
      <c r="H424" s="20" t="n">
        <f aca="false">den_30</f>
        <v>32</v>
      </c>
    </row>
    <row r="425" customFormat="false" ht="17.15" hidden="false" customHeight="false" outlineLevel="0" collapsed="false">
      <c r="A425" s="5" t="s">
        <v>564</v>
      </c>
      <c r="B425" s="5" t="s">
        <v>533</v>
      </c>
      <c r="C425" s="19" t="n">
        <f aca="false">C423*8000/C424</f>
        <v>741.704901960783</v>
      </c>
      <c r="D425" s="19" t="n">
        <f aca="false">D423*8000/D424</f>
        <v>1260.89833333333</v>
      </c>
      <c r="E425" s="19" t="n">
        <f aca="false">E423*8000/E424</f>
        <v>1804.05453846154</v>
      </c>
      <c r="F425" s="19" t="n">
        <f aca="false">F423*8000/F424</f>
        <v>2429.030575</v>
      </c>
      <c r="G425" s="19" t="n">
        <f aca="false">G423*8000/G424</f>
        <v>3060.5785245</v>
      </c>
      <c r="H425" s="19" t="n">
        <f aca="false">H423*8000/H424</f>
        <v>3156.22160339063</v>
      </c>
      <c r="I425" s="8" t="s">
        <v>565</v>
      </c>
    </row>
    <row r="426" customFormat="false" ht="15" hidden="false" customHeight="false" outlineLevel="0" collapsed="false">
      <c r="A426" s="5" t="s">
        <v>566</v>
      </c>
      <c r="B426" s="5" t="s">
        <v>96</v>
      </c>
      <c r="C426" s="20" t="n">
        <f aca="false">stk_25</f>
        <v>10</v>
      </c>
      <c r="D426" s="20" t="n">
        <f aca="false">stk_26</f>
        <v>12</v>
      </c>
      <c r="E426" s="20" t="n">
        <f aca="false">stk_27</f>
        <v>12.5</v>
      </c>
      <c r="F426" s="20" t="n">
        <f aca="false">stk_28</f>
        <v>14</v>
      </c>
      <c r="G426" s="20" t="n">
        <f aca="false">stk_29</f>
        <v>15</v>
      </c>
      <c r="H426" s="20" t="n">
        <f aca="false">stk_30</f>
        <v>16</v>
      </c>
    </row>
    <row r="427" customFormat="false" ht="15" hidden="false" customHeight="false" outlineLevel="0" collapsed="false">
      <c r="A427" s="5" t="s">
        <v>567</v>
      </c>
      <c r="B427" s="0" t="s">
        <v>116</v>
      </c>
      <c r="C427" s="21" t="n">
        <f aca="false">1+beta*(C426-$C426)/4</f>
        <v>1</v>
      </c>
      <c r="D427" s="21" t="n">
        <f aca="false">1+beta*(D426-$C426)/4</f>
        <v>1.05</v>
      </c>
      <c r="E427" s="21" t="n">
        <f aca="false">1+beta*(E426-$C426)/4</f>
        <v>1.0625</v>
      </c>
      <c r="F427" s="21" t="n">
        <f aca="false">1+beta*(F426-$C426)/4</f>
        <v>1.1</v>
      </c>
      <c r="G427" s="21" t="n">
        <f aca="false">1+beta*(G426-$C426)/4</f>
        <v>1.125</v>
      </c>
      <c r="H427" s="21" t="n">
        <f aca="false">1+beta*(H426-$C426)/4</f>
        <v>1.15</v>
      </c>
    </row>
    <row r="428" customFormat="false" ht="17.15" hidden="false" customHeight="false" outlineLevel="0" collapsed="false">
      <c r="A428" s="5" t="s">
        <v>568</v>
      </c>
      <c r="B428" s="0" t="s">
        <v>69</v>
      </c>
      <c r="C428" s="10" t="n">
        <f aca="false">hbp_25_hi</f>
        <v>0</v>
      </c>
      <c r="D428" s="10" t="n">
        <f aca="false">hbp_26_hi</f>
        <v>0</v>
      </c>
      <c r="E428" s="10" t="n">
        <f aca="false">hbp_27_hi</f>
        <v>0.05</v>
      </c>
      <c r="F428" s="10" t="n">
        <f aca="false">hbp_28_hi</f>
        <v>0.15</v>
      </c>
      <c r="G428" s="10" t="n">
        <f aca="false">hbp_29_hi</f>
        <v>0.3</v>
      </c>
      <c r="H428" s="10" t="n">
        <f aca="false">hbp_30_hi</f>
        <v>0.4</v>
      </c>
      <c r="I428" s="5" t="s">
        <v>569</v>
      </c>
    </row>
    <row r="429" customFormat="false" ht="17.15" hidden="false" customHeight="false" outlineLevel="0" collapsed="false">
      <c r="A429" s="5" t="s">
        <v>570</v>
      </c>
      <c r="B429" s="5" t="s">
        <v>571</v>
      </c>
      <c r="C429" s="19" t="n">
        <f aca="false">C425*C427*C428</f>
        <v>0</v>
      </c>
      <c r="D429" s="19" t="n">
        <f aca="false">D425*D427*D428</f>
        <v>0</v>
      </c>
      <c r="E429" s="19" t="n">
        <f aca="false">E425*E427*E428</f>
        <v>95.8403973557692</v>
      </c>
      <c r="F429" s="19" t="n">
        <f aca="false">F425*F427*F428</f>
        <v>400.790044875</v>
      </c>
      <c r="G429" s="19" t="n">
        <f aca="false">G425*G427*G428</f>
        <v>1032.94525201875</v>
      </c>
      <c r="H429" s="19" t="n">
        <f aca="false">H425*H427*H428</f>
        <v>1451.86193755969</v>
      </c>
    </row>
    <row r="430" customFormat="false" ht="17.15" hidden="false" customHeight="false" outlineLevel="0" collapsed="false">
      <c r="A430" s="5" t="s">
        <v>572</v>
      </c>
      <c r="B430" s="5" t="s">
        <v>390</v>
      </c>
      <c r="C430" s="19" t="n">
        <f aca="false">C429/(uph_hi*8760*util/1000000)</f>
        <v>0</v>
      </c>
      <c r="D430" s="19" t="n">
        <f aca="false">D429/(uph_hi*8760*util/1000000)</f>
        <v>0</v>
      </c>
      <c r="E430" s="19" t="n">
        <f aca="false">E429/(uph_hi*8760*util/1000000)</f>
        <v>10.4196996472895</v>
      </c>
      <c r="F430" s="19" t="n">
        <f aca="false">F429/(uph_hi*8760*util/1000000)</f>
        <v>43.5736078359426</v>
      </c>
      <c r="G430" s="19" t="n">
        <f aca="false">G429/(uph_hi*8760*util/1000000)</f>
        <v>112.301071104452</v>
      </c>
      <c r="H430" s="19" t="n">
        <f aca="false">H429/(uph_hi*8760*util/1000000)</f>
        <v>157.845394385702</v>
      </c>
    </row>
    <row r="431" customFormat="false" ht="17.15" hidden="false" customHeight="false" outlineLevel="0" collapsed="false">
      <c r="A431" s="5" t="s">
        <v>573</v>
      </c>
      <c r="B431" s="5" t="s">
        <v>390</v>
      </c>
      <c r="C431" s="19" t="n">
        <f aca="false">MAX(0,D430-C430)+dlt*C430</f>
        <v>0</v>
      </c>
      <c r="D431" s="19" t="n">
        <f aca="false">MAX(0,E430-D430)+dlt*D430</f>
        <v>10.4196996472895</v>
      </c>
      <c r="E431" s="19" t="n">
        <f aca="false">MAX(0,F430-E430)+dlt*E430</f>
        <v>34.195878153382</v>
      </c>
      <c r="F431" s="19" t="n">
        <f aca="false">MAX(0,G430-F430)+dlt*F430</f>
        <v>73.0848240521037</v>
      </c>
      <c r="G431" s="19" t="n">
        <f aca="false">MAX(0,H430-G430)+dlt*G430</f>
        <v>56.7744303916952</v>
      </c>
      <c r="I431" s="5" t="s">
        <v>574</v>
      </c>
    </row>
    <row r="432" customFormat="false" ht="17.15" hidden="false" customHeight="false" outlineLevel="0" collapsed="false">
      <c r="A432" s="1" t="s">
        <v>575</v>
      </c>
    </row>
    <row r="433" customFormat="false" ht="17.15" hidden="false" customHeight="false" outlineLevel="0" collapsed="false">
      <c r="A433" s="0" t="s">
        <v>576</v>
      </c>
      <c r="B433" s="5" t="s">
        <v>146</v>
      </c>
      <c r="D433" s="19" t="n">
        <f aca="false">cow_26*1</f>
        <v>1107.85762580894</v>
      </c>
      <c r="E433" s="19" t="n">
        <f aca="false">cow_27*1</f>
        <v>2096.42857142857</v>
      </c>
      <c r="F433" s="19" t="n">
        <f aca="false">cow_28*um28_A</f>
        <v>2620.08928571429</v>
      </c>
      <c r="G433" s="19" t="n">
        <f aca="false">cow_29*um29_A</f>
        <v>3013.32589285714</v>
      </c>
      <c r="H433" s="19" t="n">
        <f aca="false">G433*(1+g_tail)</f>
        <v>3314.65848214285</v>
      </c>
      <c r="I433" s="8" t="s">
        <v>577</v>
      </c>
    </row>
    <row r="434" customFormat="false" ht="17.15" hidden="false" customHeight="false" outlineLevel="0" collapsed="false">
      <c r="A434" s="5" t="s">
        <v>578</v>
      </c>
      <c r="B434" s="0" t="s">
        <v>69</v>
      </c>
      <c r="D434" s="10" t="n">
        <f aca="false">attA_26</f>
        <v>0.08</v>
      </c>
      <c r="E434" s="10" t="n">
        <f aca="false">attA_27</f>
        <v>0.11</v>
      </c>
      <c r="F434" s="10" t="n">
        <f aca="false">attA_28</f>
        <v>0.18</v>
      </c>
      <c r="G434" s="10" t="n">
        <f aca="false">attA_29</f>
        <v>0.26</v>
      </c>
      <c r="H434" s="10" t="n">
        <f aca="false">attA_30</f>
        <v>0.34</v>
      </c>
    </row>
    <row r="435" customFormat="false" ht="15" hidden="false" customHeight="false" outlineLevel="0" collapsed="false">
      <c r="A435" s="5" t="s">
        <v>579</v>
      </c>
      <c r="B435" s="5" t="s">
        <v>539</v>
      </c>
      <c r="D435" s="16" t="n">
        <f aca="false">D433*D434</f>
        <v>88.6286100647152</v>
      </c>
      <c r="E435" s="16" t="n">
        <f aca="false">E433*E434</f>
        <v>230.607142857143</v>
      </c>
      <c r="F435" s="16" t="n">
        <f aca="false">F433*F434</f>
        <v>471.616071428572</v>
      </c>
      <c r="G435" s="16" t="n">
        <f aca="false">G433*G434</f>
        <v>783.464732142856</v>
      </c>
      <c r="H435" s="16" t="n">
        <f aca="false">H433*H434</f>
        <v>1126.98388392857</v>
      </c>
    </row>
    <row r="436" customFormat="false" ht="17.15" hidden="false" customHeight="false" outlineLevel="0" collapsed="false">
      <c r="A436" s="5" t="s">
        <v>580</v>
      </c>
      <c r="B436" s="5" t="s">
        <v>539</v>
      </c>
      <c r="D436" s="16" t="n">
        <f aca="false">MAX(0,E435-D435)+dlt*D435</f>
        <v>150.841393798899</v>
      </c>
      <c r="E436" s="16" t="n">
        <f aca="false">MAX(0,F435-E435)+dlt*E435</f>
        <v>264.069642857144</v>
      </c>
      <c r="F436" s="16" t="n">
        <f aca="false">MAX(0,G435-F435)+dlt*F435</f>
        <v>359.010267857141</v>
      </c>
      <c r="G436" s="16" t="n">
        <f aca="false">MAX(0,H435-G435)+dlt*G435</f>
        <v>421.865625</v>
      </c>
    </row>
    <row r="437" customFormat="false" ht="17.15" hidden="false" customHeight="false" outlineLevel="0" collapsed="false">
      <c r="A437" s="1" t="s">
        <v>581</v>
      </c>
    </row>
    <row r="438" customFormat="false" ht="17.15" hidden="false" customHeight="false" outlineLevel="0" collapsed="false">
      <c r="A438" s="0" t="s">
        <v>582</v>
      </c>
      <c r="B438" s="0" t="s">
        <v>252</v>
      </c>
      <c r="C438" s="16" t="n">
        <f aca="false">0</f>
        <v>0</v>
      </c>
      <c r="D438" s="16" t="n">
        <f aca="false">hbm26</f>
        <v>0</v>
      </c>
      <c r="E438" s="16" t="n">
        <f aca="false">E431*asp*shm_A</f>
        <v>51.293817230073</v>
      </c>
      <c r="F438" s="16" t="n">
        <f aca="false">F431*asp*shm_A</f>
        <v>109.627236078156</v>
      </c>
      <c r="G438" s="16" t="n">
        <f aca="false">G431*asp*shm_A</f>
        <v>85.1616455875428</v>
      </c>
      <c r="I438" s="8" t="s">
        <v>583</v>
      </c>
    </row>
    <row r="439" customFormat="false" ht="17.15" hidden="false" customHeight="false" outlineLevel="0" collapsed="false">
      <c r="A439" s="5" t="s">
        <v>584</v>
      </c>
      <c r="B439" s="0" t="s">
        <v>252</v>
      </c>
      <c r="C439" s="16" t="n">
        <f aca="false">hb25</f>
        <v>120</v>
      </c>
      <c r="D439" s="16" t="n">
        <f aca="false">rev26*hb_sh26-hbm26</f>
        <v>250.4</v>
      </c>
      <c r="E439" s="16" t="n">
        <f aca="false">$D440*E436*shl_A</f>
        <v>438.361360274778</v>
      </c>
      <c r="F439" s="16" t="n">
        <f aca="false">$D440*F436*shl_A</f>
        <v>595.964866191023</v>
      </c>
      <c r="G439" s="16" t="n">
        <f aca="false">$D440*G436*shl_A</f>
        <v>700.306128441323</v>
      </c>
      <c r="I439" s="8" t="s">
        <v>585</v>
      </c>
    </row>
    <row r="440" customFormat="false" ht="17.15" hidden="false" customHeight="false" outlineLevel="0" collapsed="false">
      <c r="A440" s="5" t="s">
        <v>586</v>
      </c>
      <c r="B440" s="0" t="s">
        <v>587</v>
      </c>
      <c r="D440" s="21" t="n">
        <f aca="false">D439/D436</f>
        <v>1.66002178641913</v>
      </c>
      <c r="I440" s="5" t="s">
        <v>588</v>
      </c>
    </row>
    <row r="441" customFormat="false" ht="15" hidden="false" customHeight="false" outlineLevel="0" collapsed="false">
      <c r="A441" s="5" t="s">
        <v>589</v>
      </c>
      <c r="B441" s="0" t="s">
        <v>252</v>
      </c>
      <c r="C441" s="16" t="n">
        <f aca="false">C438+C439</f>
        <v>120</v>
      </c>
      <c r="D441" s="16" t="n">
        <f aca="false">D438+D439</f>
        <v>250.4</v>
      </c>
      <c r="E441" s="16" t="n">
        <f aca="false">E438+E439</f>
        <v>489.655177504851</v>
      </c>
      <c r="F441" s="16" t="n">
        <f aca="false">F438+F439</f>
        <v>705.592102269178</v>
      </c>
      <c r="G441" s="16" t="n">
        <f aca="false">G438+G439</f>
        <v>785.467774028866</v>
      </c>
    </row>
    <row r="442" customFormat="false" ht="17.15" hidden="false" customHeight="false" outlineLevel="0" collapsed="false">
      <c r="A442" s="5" t="s">
        <v>590</v>
      </c>
      <c r="B442" s="0" t="s">
        <v>252</v>
      </c>
      <c r="C442" s="16" t="n">
        <f aca="false">a25_rev-hb25</f>
        <v>471.3</v>
      </c>
      <c r="D442" s="16" t="n">
        <f aca="false">rev26-D441</f>
        <v>751.2</v>
      </c>
      <c r="E442" s="16" t="n">
        <f aca="false">D442*(1+el*eqgA_27)</f>
        <v>900.497182193768</v>
      </c>
      <c r="F442" s="16" t="n">
        <f aca="false">E442*(1+el*eqgA_28)</f>
        <v>1015.22529871935</v>
      </c>
      <c r="G442" s="16" t="n">
        <f aca="false">F442*(1+el*eqgA_29)</f>
        <v>1075.58315674599</v>
      </c>
      <c r="I442" s="8" t="s">
        <v>591</v>
      </c>
    </row>
    <row r="443" customFormat="false" ht="15" hidden="false" customHeight="false" outlineLevel="0" collapsed="false">
      <c r="A443" s="5" t="s">
        <v>499</v>
      </c>
      <c r="B443" s="0" t="s">
        <v>252</v>
      </c>
      <c r="C443" s="16" t="n">
        <f aca="false">C441+C442</f>
        <v>591.3</v>
      </c>
      <c r="D443" s="16" t="n">
        <f aca="false">D441+D442</f>
        <v>1001.6</v>
      </c>
      <c r="E443" s="16" t="n">
        <f aca="false">E441+E442</f>
        <v>1390.15235969862</v>
      </c>
      <c r="F443" s="16" t="n">
        <f aca="false">F441+F442</f>
        <v>1720.81740098853</v>
      </c>
      <c r="G443" s="16" t="n">
        <f aca="false">G441+G442</f>
        <v>1861.05093077486</v>
      </c>
    </row>
    <row r="444" customFormat="false" ht="15" hidden="false" customHeight="false" outlineLevel="0" collapsed="false">
      <c r="A444" s="5" t="s">
        <v>592</v>
      </c>
      <c r="B444" s="0" t="s">
        <v>69</v>
      </c>
      <c r="C444" s="10" t="n">
        <f aca="false">C441/C443</f>
        <v>0.202942668696093</v>
      </c>
      <c r="D444" s="10" t="n">
        <f aca="false">D441/D443</f>
        <v>0.25</v>
      </c>
      <c r="E444" s="10" t="n">
        <f aca="false">E441/E443</f>
        <v>0.352231303345057</v>
      </c>
      <c r="F444" s="10" t="n">
        <f aca="false">F441/F443</f>
        <v>0.410033105118444</v>
      </c>
      <c r="G444" s="10" t="n">
        <f aca="false">G441/G443</f>
        <v>0.422056033523936</v>
      </c>
    </row>
    <row r="445" customFormat="false" ht="17.15" hidden="false" customHeight="false" outlineLevel="0" collapsed="false">
      <c r="A445" s="5" t="s">
        <v>506</v>
      </c>
      <c r="B445" s="0" t="s">
        <v>69</v>
      </c>
      <c r="C445" s="10" t="n">
        <f aca="false">a25_gp/a25_rev</f>
        <v>0.633012007441231</v>
      </c>
      <c r="D445" s="10" t="n">
        <f aca="false">gp26/rev26</f>
        <v>0.646641373801917</v>
      </c>
      <c r="E445" s="10" t="n">
        <f aca="false">$D445+gm_prem*(E444-$D444)+0</f>
        <v>0.654819878069522</v>
      </c>
      <c r="F445" s="10" t="n">
        <f aca="false">$D445+gm_prem*(F444-$D444)+0</f>
        <v>0.659444022211392</v>
      </c>
      <c r="G445" s="10" t="n">
        <f aca="false">$D445+gm_prem*(G444-$D444)+0</f>
        <v>0.660405856483832</v>
      </c>
      <c r="I445" s="8" t="s">
        <v>593</v>
      </c>
    </row>
    <row r="446" customFormat="false" ht="15" hidden="false" customHeight="false" outlineLevel="0" collapsed="false">
      <c r="A446" s="5" t="s">
        <v>502</v>
      </c>
      <c r="B446" s="0" t="s">
        <v>252</v>
      </c>
      <c r="C446" s="16" t="n">
        <f aca="false">a25_gp</f>
        <v>374.3</v>
      </c>
      <c r="D446" s="16" t="n">
        <f aca="false">gp26</f>
        <v>647.676</v>
      </c>
      <c r="E446" s="16" t="n">
        <f aca="false">E443*E445</f>
        <v>910.299398675907</v>
      </c>
      <c r="F446" s="16" t="n">
        <f aca="false">F443*F445</f>
        <v>1134.78274839923</v>
      </c>
      <c r="G446" s="16" t="n">
        <f aca="false">G443*G445</f>
        <v>1229.0489338984</v>
      </c>
    </row>
    <row r="447" customFormat="false" ht="17.15" hidden="false" customHeight="false" outlineLevel="0" collapsed="false">
      <c r="A447" s="5" t="s">
        <v>594</v>
      </c>
      <c r="B447" s="0" t="s">
        <v>252</v>
      </c>
      <c r="C447" s="16" t="n">
        <f aca="false">a25_opx</f>
        <v>201.2</v>
      </c>
      <c r="D447" s="16" t="n">
        <f aca="false">opx26</f>
        <v>223.1325</v>
      </c>
      <c r="E447" s="16" t="n">
        <f aca="false">opex_fix+opex_var*E443</f>
        <v>257.756565255772</v>
      </c>
      <c r="F447" s="16" t="n">
        <f aca="false">opex_fix+opex_var*F443</f>
        <v>287.222267063128</v>
      </c>
      <c r="G447" s="16" t="n">
        <f aca="false">opex_fix+opex_var*G443</f>
        <v>299.718536266422</v>
      </c>
      <c r="I447" s="5" t="s">
        <v>595</v>
      </c>
    </row>
    <row r="448" customFormat="false" ht="15" hidden="false" customHeight="false" outlineLevel="0" collapsed="false">
      <c r="A448" s="5" t="s">
        <v>510</v>
      </c>
      <c r="B448" s="0" t="s">
        <v>252</v>
      </c>
      <c r="C448" s="16" t="n">
        <f aca="false">C446-C447</f>
        <v>173.1</v>
      </c>
      <c r="D448" s="16" t="n">
        <f aca="false">D446-D447</f>
        <v>424.5435</v>
      </c>
      <c r="E448" s="16" t="n">
        <f aca="false">E446-E447</f>
        <v>652.542833420135</v>
      </c>
      <c r="F448" s="16" t="n">
        <f aca="false">F446-F447</f>
        <v>847.560481336103</v>
      </c>
      <c r="G448" s="16" t="n">
        <f aca="false">G446-G447</f>
        <v>929.33039763198</v>
      </c>
    </row>
    <row r="449" customFormat="false" ht="15" hidden="false" customHeight="false" outlineLevel="0" collapsed="false">
      <c r="A449" s="5" t="s">
        <v>555</v>
      </c>
      <c r="B449" s="0" t="s">
        <v>69</v>
      </c>
      <c r="C449" s="10" t="n">
        <f aca="false">C448/C443</f>
        <v>0.292744799594115</v>
      </c>
      <c r="D449" s="10" t="n">
        <f aca="false">D448/D443</f>
        <v>0.423865315495208</v>
      </c>
      <c r="E449" s="10" t="n">
        <f aca="false">E448/E443</f>
        <v>0.469403823881294</v>
      </c>
      <c r="F449" s="10" t="n">
        <f aca="false">F448/F443</f>
        <v>0.492533653395891</v>
      </c>
      <c r="G449" s="10" t="n">
        <f aca="false">G448/G443</f>
        <v>0.499357853277583</v>
      </c>
    </row>
    <row r="450" customFormat="false" ht="15" hidden="false" customHeight="false" outlineLevel="0" collapsed="false">
      <c r="A450" s="5" t="s">
        <v>515</v>
      </c>
      <c r="B450" s="0" t="s">
        <v>252</v>
      </c>
      <c r="C450" s="16" t="n">
        <f aca="false">a25_ni</f>
        <v>131.6</v>
      </c>
      <c r="D450" s="16" t="n">
        <f aca="false">ni26</f>
        <v>348.2641275</v>
      </c>
      <c r="E450" s="16" t="n">
        <f aca="false">(E448-fin)*(1-tax)</f>
        <v>547.149550908417</v>
      </c>
      <c r="F450" s="16" t="n">
        <f aca="false">(F448-fin)*(1-tax)</f>
        <v>715.839816355729</v>
      </c>
      <c r="G450" s="16" t="n">
        <f aca="false">(G448-fin)*(1-tax)</f>
        <v>786.570793951663</v>
      </c>
    </row>
    <row r="451" customFormat="false" ht="15" hidden="false" customHeight="false" outlineLevel="0" collapsed="false">
      <c r="A451" s="0" t="s">
        <v>556</v>
      </c>
      <c r="B451" s="0" t="s">
        <v>271</v>
      </c>
      <c r="C451" s="18" t="n">
        <f aca="false">a25_eps</f>
        <v>1.66</v>
      </c>
      <c r="D451" s="18" t="n">
        <f aca="false">eps26</f>
        <v>4.3364299400653</v>
      </c>
      <c r="E451" s="18" t="n">
        <f aca="false">E450/shares</f>
        <v>6.78832931630778</v>
      </c>
      <c r="F451" s="18" t="n">
        <f aca="false">F450/shares</f>
        <v>8.88122160217462</v>
      </c>
      <c r="G451" s="18" t="n">
        <f aca="false">G450/shares</f>
        <v>9.75876078316895</v>
      </c>
    </row>
    <row r="452" customFormat="false" ht="17.15" hidden="false" customHeight="false" outlineLevel="0" collapsed="false">
      <c r="A452" s="5" t="s">
        <v>596</v>
      </c>
      <c r="B452" s="5" t="s">
        <v>390</v>
      </c>
      <c r="C452" s="19" t="n">
        <f aca="false">C441/asp</f>
        <v>48</v>
      </c>
      <c r="D452" s="19" t="n">
        <f aca="false">D441/asp</f>
        <v>100.16</v>
      </c>
      <c r="E452" s="19" t="n">
        <f aca="false">E441/asp</f>
        <v>195.86207100194</v>
      </c>
      <c r="F452" s="19" t="n">
        <f aca="false">F441/asp</f>
        <v>282.236840907671</v>
      </c>
      <c r="G452" s="19" t="n">
        <f aca="false">G441/asp</f>
        <v>314.187109611546</v>
      </c>
    </row>
    <row r="465" customFormat="false" ht="17.15" hidden="false" customHeight="false" outlineLevel="0" collapsed="false">
      <c r="A465" s="4" t="s">
        <v>902</v>
      </c>
    </row>
    <row r="466" customFormat="false" ht="15" hidden="false" customHeight="false" outlineLevel="0" collapsed="false">
      <c r="A466" s="6" t="s">
        <v>21</v>
      </c>
      <c r="B466" s="6" t="s">
        <v>22</v>
      </c>
      <c r="C466" s="14" t="s">
        <v>524</v>
      </c>
      <c r="D466" s="14" t="s">
        <v>525</v>
      </c>
      <c r="E466" s="14" t="s">
        <v>526</v>
      </c>
      <c r="F466" s="14" t="s">
        <v>527</v>
      </c>
      <c r="G466" s="14" t="s">
        <v>528</v>
      </c>
      <c r="H466" s="14" t="s">
        <v>529</v>
      </c>
      <c r="I466" s="6" t="s">
        <v>427</v>
      </c>
    </row>
    <row r="467" customFormat="false" ht="17.15" hidden="false" customHeight="false" outlineLevel="0" collapsed="false">
      <c r="A467" s="1" t="s">
        <v>559</v>
      </c>
    </row>
    <row r="468" customFormat="false" ht="17.15" hidden="false" customHeight="false" outlineLevel="0" collapsed="false">
      <c r="A468" s="0" t="s">
        <v>560</v>
      </c>
      <c r="B468" s="0" t="s">
        <v>32</v>
      </c>
      <c r="C468" s="18" t="n">
        <f aca="false">hsA_25</f>
        <v>2.22511470588235</v>
      </c>
      <c r="D468" s="18" t="n">
        <f aca="false">hsA_26</f>
        <v>3.782695</v>
      </c>
      <c r="E468" s="18" t="n">
        <f aca="false">hsA_27</f>
        <v>5.86317725</v>
      </c>
      <c r="F468" s="18" t="n">
        <f aca="false">hsA_28</f>
        <v>8.5016070125</v>
      </c>
      <c r="G468" s="18" t="n">
        <f aca="false">hsA_29</f>
        <v>11.477169466875</v>
      </c>
      <c r="H468" s="18" t="n">
        <f aca="false">G468*(1+g_tail)</f>
        <v>12.6248864135625</v>
      </c>
      <c r="I468" s="8" t="s">
        <v>561</v>
      </c>
    </row>
    <row r="469" customFormat="false" ht="17.15" hidden="false" customHeight="false" outlineLevel="0" collapsed="false">
      <c r="A469" s="0" t="s">
        <v>562</v>
      </c>
      <c r="B469" s="0" t="s">
        <v>563</v>
      </c>
      <c r="C469" s="20" t="n">
        <f aca="false">den_25</f>
        <v>24</v>
      </c>
      <c r="D469" s="20" t="n">
        <f aca="false">den_26</f>
        <v>24</v>
      </c>
      <c r="E469" s="20" t="n">
        <f aca="false">den_27</f>
        <v>26</v>
      </c>
      <c r="F469" s="20" t="n">
        <f aca="false">den_28</f>
        <v>28</v>
      </c>
      <c r="G469" s="20" t="n">
        <f aca="false">den_29</f>
        <v>30</v>
      </c>
      <c r="H469" s="20" t="n">
        <f aca="false">den_30</f>
        <v>32</v>
      </c>
    </row>
    <row r="470" customFormat="false" ht="17.15" hidden="false" customHeight="false" outlineLevel="0" collapsed="false">
      <c r="A470" s="5" t="s">
        <v>564</v>
      </c>
      <c r="B470" s="5" t="s">
        <v>533</v>
      </c>
      <c r="C470" s="19" t="n">
        <f aca="false">C468*8000/C469</f>
        <v>741.704901960783</v>
      </c>
      <c r="D470" s="19" t="n">
        <f aca="false">D468*8000/D469</f>
        <v>1260.89833333333</v>
      </c>
      <c r="E470" s="19" t="n">
        <f aca="false">E468*8000/E469</f>
        <v>1804.05453846154</v>
      </c>
      <c r="F470" s="19" t="n">
        <f aca="false">F468*8000/F469</f>
        <v>2429.030575</v>
      </c>
      <c r="G470" s="19" t="n">
        <f aca="false">G468*8000/G469</f>
        <v>3060.5785245</v>
      </c>
      <c r="H470" s="19" t="n">
        <f aca="false">H468*8000/H469</f>
        <v>3156.22160339063</v>
      </c>
      <c r="I470" s="8" t="s">
        <v>565</v>
      </c>
    </row>
    <row r="471" customFormat="false" ht="15" hidden="false" customHeight="false" outlineLevel="0" collapsed="false">
      <c r="A471" s="5" t="s">
        <v>566</v>
      </c>
      <c r="B471" s="5" t="s">
        <v>96</v>
      </c>
      <c r="C471" s="20" t="n">
        <f aca="false">stk_25</f>
        <v>10</v>
      </c>
      <c r="D471" s="20" t="n">
        <f aca="false">stk_26</f>
        <v>12</v>
      </c>
      <c r="E471" s="20" t="n">
        <f aca="false">stk_27</f>
        <v>12.5</v>
      </c>
      <c r="F471" s="20" t="n">
        <f aca="false">stk_28</f>
        <v>14</v>
      </c>
      <c r="G471" s="20" t="n">
        <f aca="false">stk_29</f>
        <v>15</v>
      </c>
      <c r="H471" s="20" t="n">
        <f aca="false">stk_30</f>
        <v>16</v>
      </c>
    </row>
    <row r="472" customFormat="false" ht="15" hidden="false" customHeight="false" outlineLevel="0" collapsed="false">
      <c r="A472" s="5" t="s">
        <v>567</v>
      </c>
      <c r="B472" s="0" t="s">
        <v>116</v>
      </c>
      <c r="C472" s="21" t="n">
        <f aca="false">1+beta*(C471-$C471)/4</f>
        <v>1</v>
      </c>
      <c r="D472" s="21" t="n">
        <f aca="false">1+beta*(D471-$C471)/4</f>
        <v>1.05</v>
      </c>
      <c r="E472" s="21" t="n">
        <f aca="false">1+beta*(E471-$C471)/4</f>
        <v>1.0625</v>
      </c>
      <c r="F472" s="21" t="n">
        <f aca="false">1+beta*(F471-$C471)/4</f>
        <v>1.1</v>
      </c>
      <c r="G472" s="21" t="n">
        <f aca="false">1+beta*(G471-$C471)/4</f>
        <v>1.125</v>
      </c>
      <c r="H472" s="21" t="n">
        <f aca="false">1+beta*(H471-$C471)/4</f>
        <v>1.15</v>
      </c>
    </row>
    <row r="473" customFormat="false" ht="17.15" hidden="false" customHeight="false" outlineLevel="0" collapsed="false">
      <c r="A473" s="5" t="s">
        <v>568</v>
      </c>
      <c r="B473" s="0" t="s">
        <v>69</v>
      </c>
      <c r="C473" s="10" t="n">
        <f aca="false">hbp_25_hi</f>
        <v>0</v>
      </c>
      <c r="D473" s="10" t="n">
        <f aca="false">hbp_26_hi</f>
        <v>0</v>
      </c>
      <c r="E473" s="10" t="n">
        <f aca="false">hbp_27_hi</f>
        <v>0.05</v>
      </c>
      <c r="F473" s="10" t="n">
        <f aca="false">hbp_28_hi</f>
        <v>0.15</v>
      </c>
      <c r="G473" s="10" t="n">
        <f aca="false">hbp_29_hi</f>
        <v>0.3</v>
      </c>
      <c r="H473" s="10" t="n">
        <f aca="false">hbp_30_hi</f>
        <v>0.4</v>
      </c>
      <c r="I473" s="5" t="s">
        <v>569</v>
      </c>
    </row>
    <row r="474" customFormat="false" ht="17.15" hidden="false" customHeight="false" outlineLevel="0" collapsed="false">
      <c r="A474" s="5" t="s">
        <v>570</v>
      </c>
      <c r="B474" s="5" t="s">
        <v>571</v>
      </c>
      <c r="C474" s="19" t="n">
        <f aca="false">C470*C472*C473</f>
        <v>0</v>
      </c>
      <c r="D474" s="19" t="n">
        <f aca="false">D470*D472*D473</f>
        <v>0</v>
      </c>
      <c r="E474" s="19" t="n">
        <f aca="false">E470*E472*E473</f>
        <v>95.8403973557692</v>
      </c>
      <c r="F474" s="19" t="n">
        <f aca="false">F470*F472*F473</f>
        <v>400.790044875</v>
      </c>
      <c r="G474" s="19" t="n">
        <f aca="false">G470*G472*G473</f>
        <v>1032.94525201875</v>
      </c>
      <c r="H474" s="19" t="n">
        <f aca="false">H470*H472*H473</f>
        <v>1451.86193755969</v>
      </c>
    </row>
    <row r="475" customFormat="false" ht="17.15" hidden="false" customHeight="false" outlineLevel="0" collapsed="false">
      <c r="A475" s="5" t="s">
        <v>572</v>
      </c>
      <c r="B475" s="5" t="s">
        <v>390</v>
      </c>
      <c r="C475" s="19" t="n">
        <f aca="false">C474/thr</f>
        <v>0</v>
      </c>
      <c r="D475" s="19" t="n">
        <f aca="false">D474/thr</f>
        <v>0</v>
      </c>
      <c r="E475" s="19" t="n">
        <f aca="false">E474/thr</f>
        <v>15.6295494709343</v>
      </c>
      <c r="F475" s="19" t="n">
        <f aca="false">F474/thr</f>
        <v>65.3604117539139</v>
      </c>
      <c r="G475" s="19" t="n">
        <f aca="false">G474/thr</f>
        <v>168.451606656678</v>
      </c>
      <c r="H475" s="19" t="n">
        <f aca="false">H474/thr</f>
        <v>236.768091578553</v>
      </c>
    </row>
    <row r="476" customFormat="false" ht="17.15" hidden="false" customHeight="false" outlineLevel="0" collapsed="false">
      <c r="A476" s="5" t="s">
        <v>573</v>
      </c>
      <c r="B476" s="5" t="s">
        <v>390</v>
      </c>
      <c r="C476" s="19" t="n">
        <f aca="false">MAX(0,D475-C475)+dlt*C475</f>
        <v>0</v>
      </c>
      <c r="D476" s="19" t="n">
        <f aca="false">MAX(0,E475-D475)+dlt*D475</f>
        <v>15.6295494709343</v>
      </c>
      <c r="E476" s="19" t="n">
        <f aca="false">MAX(0,F475-E475)+dlt*E475</f>
        <v>51.293817230073</v>
      </c>
      <c r="F476" s="19" t="n">
        <f aca="false">MAX(0,G475-F475)+dlt*F475</f>
        <v>109.627236078156</v>
      </c>
      <c r="G476" s="19" t="n">
        <f aca="false">MAX(0,H475-G475)+dlt*G475</f>
        <v>85.1616455875428</v>
      </c>
      <c r="I476" s="5" t="s">
        <v>574</v>
      </c>
    </row>
    <row r="477" customFormat="false" ht="17.15" hidden="false" customHeight="false" outlineLevel="0" collapsed="false">
      <c r="A477" s="1" t="s">
        <v>575</v>
      </c>
    </row>
    <row r="478" customFormat="false" ht="17.15" hidden="false" customHeight="false" outlineLevel="0" collapsed="false">
      <c r="A478" s="0" t="s">
        <v>576</v>
      </c>
      <c r="B478" s="5" t="s">
        <v>146</v>
      </c>
      <c r="D478" s="19" t="n">
        <f aca="false">cow_26*1</f>
        <v>1107.85762580894</v>
      </c>
      <c r="E478" s="19" t="n">
        <f aca="false">cow_27*1</f>
        <v>2096.42857142857</v>
      </c>
      <c r="F478" s="19" t="n">
        <f aca="false">cow_28*um28_A</f>
        <v>2620.08928571429</v>
      </c>
      <c r="G478" s="19" t="n">
        <f aca="false">cow_29*um29_A</f>
        <v>3013.32589285714</v>
      </c>
      <c r="H478" s="19" t="n">
        <f aca="false">G478*(1+g_tail)</f>
        <v>3314.65848214285</v>
      </c>
      <c r="I478" s="8" t="s">
        <v>577</v>
      </c>
    </row>
    <row r="479" customFormat="false" ht="17.15" hidden="false" customHeight="false" outlineLevel="0" collapsed="false">
      <c r="A479" s="5" t="s">
        <v>578</v>
      </c>
      <c r="B479" s="0" t="s">
        <v>69</v>
      </c>
      <c r="D479" s="10" t="n">
        <f aca="false">attA_26</f>
        <v>0.08</v>
      </c>
      <c r="E479" s="10" t="n">
        <f aca="false">attA_27</f>
        <v>0.11</v>
      </c>
      <c r="F479" s="10" t="n">
        <f aca="false">attA_28</f>
        <v>0.18</v>
      </c>
      <c r="G479" s="10" t="n">
        <f aca="false">attA_29</f>
        <v>0.26</v>
      </c>
      <c r="H479" s="10" t="n">
        <f aca="false">attA_30</f>
        <v>0.34</v>
      </c>
    </row>
    <row r="480" customFormat="false" ht="15" hidden="false" customHeight="false" outlineLevel="0" collapsed="false">
      <c r="A480" s="5" t="s">
        <v>579</v>
      </c>
      <c r="B480" s="5" t="s">
        <v>539</v>
      </c>
      <c r="D480" s="16" t="n">
        <f aca="false">D478*D479</f>
        <v>88.6286100647152</v>
      </c>
      <c r="E480" s="16" t="n">
        <f aca="false">E478*E479</f>
        <v>230.607142857143</v>
      </c>
      <c r="F480" s="16" t="n">
        <f aca="false">F478*F479</f>
        <v>471.616071428572</v>
      </c>
      <c r="G480" s="16" t="n">
        <f aca="false">G478*G479</f>
        <v>783.464732142856</v>
      </c>
      <c r="H480" s="16" t="n">
        <f aca="false">H478*H479</f>
        <v>1126.98388392857</v>
      </c>
    </row>
    <row r="481" customFormat="false" ht="17.15" hidden="false" customHeight="false" outlineLevel="0" collapsed="false">
      <c r="A481" s="5" t="s">
        <v>580</v>
      </c>
      <c r="B481" s="5" t="s">
        <v>539</v>
      </c>
      <c r="D481" s="16" t="n">
        <f aca="false">MAX(0,E480-D480)+dlt*D480</f>
        <v>150.841393798899</v>
      </c>
      <c r="E481" s="16" t="n">
        <f aca="false">MAX(0,F480-E480)+dlt*E480</f>
        <v>264.069642857144</v>
      </c>
      <c r="F481" s="16" t="n">
        <f aca="false">MAX(0,G480-F480)+dlt*F480</f>
        <v>359.010267857141</v>
      </c>
      <c r="G481" s="16" t="n">
        <f aca="false">MAX(0,H480-G480)+dlt*G480</f>
        <v>421.865625</v>
      </c>
    </row>
    <row r="482" customFormat="false" ht="17.15" hidden="false" customHeight="false" outlineLevel="0" collapsed="false">
      <c r="A482" s="1" t="s">
        <v>581</v>
      </c>
    </row>
    <row r="483" customFormat="false" ht="17.15" hidden="false" customHeight="false" outlineLevel="0" collapsed="false">
      <c r="A483" s="0" t="s">
        <v>582</v>
      </c>
      <c r="B483" s="0" t="s">
        <v>252</v>
      </c>
      <c r="C483" s="16" t="n">
        <f aca="false">0</f>
        <v>0</v>
      </c>
      <c r="D483" s="16" t="n">
        <f aca="false">hbm26</f>
        <v>0</v>
      </c>
      <c r="E483" s="16" t="n">
        <f aca="false">E476*asp_lo*shm_A</f>
        <v>61.5525806760876</v>
      </c>
      <c r="F483" s="16" t="n">
        <f aca="false">F476*asp_lo*shm_A</f>
        <v>131.552683293787</v>
      </c>
      <c r="G483" s="16" t="n">
        <f aca="false">G476*asp_lo*shm_A</f>
        <v>102.193974705051</v>
      </c>
      <c r="I483" s="8" t="s">
        <v>583</v>
      </c>
    </row>
    <row r="484" customFormat="false" ht="17.15" hidden="false" customHeight="false" outlineLevel="0" collapsed="false">
      <c r="A484" s="5" t="s">
        <v>584</v>
      </c>
      <c r="B484" s="0" t="s">
        <v>252</v>
      </c>
      <c r="C484" s="16" t="n">
        <f aca="false">hb25</f>
        <v>120</v>
      </c>
      <c r="D484" s="16" t="n">
        <f aca="false">rev26*hb_sh26-hbm26</f>
        <v>250.4</v>
      </c>
      <c r="E484" s="16" t="n">
        <f aca="false">$D485*E481*shl_A</f>
        <v>438.361360274778</v>
      </c>
      <c r="F484" s="16" t="n">
        <f aca="false">$D485*F481*shl_A</f>
        <v>595.964866191023</v>
      </c>
      <c r="G484" s="16" t="n">
        <f aca="false">$D485*G481*shl_A</f>
        <v>700.306128441323</v>
      </c>
      <c r="I484" s="8" t="s">
        <v>585</v>
      </c>
    </row>
    <row r="485" customFormat="false" ht="17.15" hidden="false" customHeight="false" outlineLevel="0" collapsed="false">
      <c r="A485" s="5" t="s">
        <v>586</v>
      </c>
      <c r="B485" s="0" t="s">
        <v>587</v>
      </c>
      <c r="D485" s="21" t="n">
        <f aca="false">D484/D481</f>
        <v>1.66002178641913</v>
      </c>
      <c r="I485" s="5" t="s">
        <v>588</v>
      </c>
    </row>
    <row r="486" customFormat="false" ht="15" hidden="false" customHeight="false" outlineLevel="0" collapsed="false">
      <c r="A486" s="5" t="s">
        <v>589</v>
      </c>
      <c r="B486" s="0" t="s">
        <v>252</v>
      </c>
      <c r="C486" s="16" t="n">
        <f aca="false">C483+C484</f>
        <v>120</v>
      </c>
      <c r="D486" s="16" t="n">
        <f aca="false">D483+D484</f>
        <v>250.4</v>
      </c>
      <c r="E486" s="16" t="n">
        <f aca="false">E483+E484</f>
        <v>499.913940950865</v>
      </c>
      <c r="F486" s="16" t="n">
        <f aca="false">F483+F484</f>
        <v>727.517549484809</v>
      </c>
      <c r="G486" s="16" t="n">
        <f aca="false">G483+G484</f>
        <v>802.500103146374</v>
      </c>
    </row>
    <row r="487" customFormat="false" ht="17.15" hidden="false" customHeight="false" outlineLevel="0" collapsed="false">
      <c r="A487" s="5" t="s">
        <v>590</v>
      </c>
      <c r="B487" s="0" t="s">
        <v>252</v>
      </c>
      <c r="C487" s="16" t="n">
        <f aca="false">a25_rev-hb25</f>
        <v>471.3</v>
      </c>
      <c r="D487" s="16" t="n">
        <f aca="false">rev26-D486</f>
        <v>751.2</v>
      </c>
      <c r="E487" s="16" t="n">
        <f aca="false">D487*(1+el*eqgA_27)</f>
        <v>900.497182193768</v>
      </c>
      <c r="F487" s="16" t="n">
        <f aca="false">E487*(1+el*eqgA_28)</f>
        <v>1015.22529871935</v>
      </c>
      <c r="G487" s="16" t="n">
        <f aca="false">F487*(1+el*eqgA_29)</f>
        <v>1075.58315674599</v>
      </c>
      <c r="I487" s="8" t="s">
        <v>591</v>
      </c>
    </row>
    <row r="488" customFormat="false" ht="15" hidden="false" customHeight="false" outlineLevel="0" collapsed="false">
      <c r="A488" s="5" t="s">
        <v>499</v>
      </c>
      <c r="B488" s="0" t="s">
        <v>252</v>
      </c>
      <c r="C488" s="16" t="n">
        <f aca="false">C486+C487</f>
        <v>591.3</v>
      </c>
      <c r="D488" s="16" t="n">
        <f aca="false">D486+D487</f>
        <v>1001.6</v>
      </c>
      <c r="E488" s="16" t="n">
        <f aca="false">E486+E487</f>
        <v>1400.41112314463</v>
      </c>
      <c r="F488" s="16" t="n">
        <f aca="false">F486+F487</f>
        <v>1742.74284820416</v>
      </c>
      <c r="G488" s="16" t="n">
        <f aca="false">G486+G487</f>
        <v>1878.08325989237</v>
      </c>
    </row>
    <row r="489" customFormat="false" ht="15" hidden="false" customHeight="false" outlineLevel="0" collapsed="false">
      <c r="A489" s="5" t="s">
        <v>592</v>
      </c>
      <c r="B489" s="0" t="s">
        <v>69</v>
      </c>
      <c r="C489" s="10" t="n">
        <f aca="false">C486/C488</f>
        <v>0.202942668696093</v>
      </c>
      <c r="D489" s="10" t="n">
        <f aca="false">D486/D488</f>
        <v>0.25</v>
      </c>
      <c r="E489" s="10" t="n">
        <f aca="false">E486/E488</f>
        <v>0.356976556875887</v>
      </c>
      <c r="F489" s="10" t="n">
        <f aca="false">F486/F488</f>
        <v>0.417455478434178</v>
      </c>
      <c r="G489" s="10" t="n">
        <f aca="false">G486/G488</f>
        <v>0.427297404904384</v>
      </c>
    </row>
    <row r="490" customFormat="false" ht="17.15" hidden="false" customHeight="false" outlineLevel="0" collapsed="false">
      <c r="A490" s="5" t="s">
        <v>506</v>
      </c>
      <c r="B490" s="0" t="s">
        <v>69</v>
      </c>
      <c r="C490" s="10" t="n">
        <f aca="false">a25_gp/a25_rev</f>
        <v>0.633012007441231</v>
      </c>
      <c r="D490" s="10" t="n">
        <f aca="false">gp26/rev26</f>
        <v>0.646641373801917</v>
      </c>
      <c r="E490" s="10" t="n">
        <f aca="false">$D490+gm_prem*(E489-$D489)+0</f>
        <v>0.655199498351988</v>
      </c>
      <c r="F490" s="10" t="n">
        <f aca="false">$D490+gm_prem*(F489-$D489)+0</f>
        <v>0.660037812076651</v>
      </c>
      <c r="G490" s="10" t="n">
        <f aca="false">$D490+gm_prem*(G489-$D489)+0</f>
        <v>0.660825166194268</v>
      </c>
      <c r="I490" s="8" t="s">
        <v>593</v>
      </c>
    </row>
    <row r="491" customFormat="false" ht="15" hidden="false" customHeight="false" outlineLevel="0" collapsed="false">
      <c r="A491" s="5" t="s">
        <v>502</v>
      </c>
      <c r="B491" s="0" t="s">
        <v>252</v>
      </c>
      <c r="C491" s="16" t="n">
        <f aca="false">a25_gp</f>
        <v>374.3</v>
      </c>
      <c r="D491" s="16" t="n">
        <f aca="false">gp26</f>
        <v>647.676</v>
      </c>
      <c r="E491" s="16" t="n">
        <f aca="false">E488*E490</f>
        <v>917.548665370907</v>
      </c>
      <c r="F491" s="16" t="n">
        <f aca="false">F488*F490</f>
        <v>1150.27617654091</v>
      </c>
      <c r="G491" s="16" t="n">
        <f aca="false">G488*G490</f>
        <v>1241.08468234504</v>
      </c>
    </row>
    <row r="492" customFormat="false" ht="17.15" hidden="false" customHeight="false" outlineLevel="0" collapsed="false">
      <c r="A492" s="5" t="s">
        <v>594</v>
      </c>
      <c r="B492" s="0" t="s">
        <v>252</v>
      </c>
      <c r="C492" s="16" t="n">
        <f aca="false">a25_opx</f>
        <v>201.2</v>
      </c>
      <c r="D492" s="16" t="n">
        <f aca="false">opx26</f>
        <v>223.1325</v>
      </c>
      <c r="E492" s="16" t="n">
        <f aca="false">opex_fix+opex_var*E488</f>
        <v>258.670728009213</v>
      </c>
      <c r="F492" s="16" t="n">
        <f aca="false">opex_fix+opex_var*F488</f>
        <v>289.176052946052</v>
      </c>
      <c r="G492" s="16" t="n">
        <f aca="false">opex_fix+opex_var*G488</f>
        <v>301.236294324255</v>
      </c>
      <c r="I492" s="5" t="s">
        <v>595</v>
      </c>
    </row>
    <row r="493" customFormat="false" ht="15" hidden="false" customHeight="false" outlineLevel="0" collapsed="false">
      <c r="A493" s="5" t="s">
        <v>510</v>
      </c>
      <c r="B493" s="0" t="s">
        <v>252</v>
      </c>
      <c r="C493" s="16" t="n">
        <f aca="false">C491-C492</f>
        <v>173.1</v>
      </c>
      <c r="D493" s="16" t="n">
        <f aca="false">D491-D492</f>
        <v>424.5435</v>
      </c>
      <c r="E493" s="16" t="n">
        <f aca="false">E491-E492</f>
        <v>658.877937361694</v>
      </c>
      <c r="F493" s="16" t="n">
        <f aca="false">F491-F492</f>
        <v>861.100123594854</v>
      </c>
      <c r="G493" s="16" t="n">
        <f aca="false">G491-G492</f>
        <v>939.84838802079</v>
      </c>
    </row>
    <row r="494" customFormat="false" ht="15" hidden="false" customHeight="false" outlineLevel="0" collapsed="false">
      <c r="A494" s="5" t="s">
        <v>555</v>
      </c>
      <c r="B494" s="0" t="s">
        <v>69</v>
      </c>
      <c r="C494" s="10" t="n">
        <f aca="false">C493/C488</f>
        <v>0.292744799594115</v>
      </c>
      <c r="D494" s="10" t="n">
        <f aca="false">D493/D488</f>
        <v>0.423865315495208</v>
      </c>
      <c r="E494" s="10" t="n">
        <f aca="false">E493/E488</f>
        <v>0.470488934622412</v>
      </c>
      <c r="F494" s="10" t="n">
        <f aca="false">F493/F488</f>
        <v>0.494106244350501</v>
      </c>
      <c r="G494" s="10" t="n">
        <f aca="false">G493/G488</f>
        <v>0.500429564594838</v>
      </c>
    </row>
    <row r="495" customFormat="false" ht="15" hidden="false" customHeight="false" outlineLevel="0" collapsed="false">
      <c r="A495" s="5" t="s">
        <v>515</v>
      </c>
      <c r="B495" s="0" t="s">
        <v>252</v>
      </c>
      <c r="C495" s="16" t="n">
        <f aca="false">a25_ni</f>
        <v>131.6</v>
      </c>
      <c r="D495" s="16" t="n">
        <f aca="false">ni26</f>
        <v>348.2641275</v>
      </c>
      <c r="E495" s="16" t="n">
        <f aca="false">(E493-fin)*(1-tax)</f>
        <v>552.629415817866</v>
      </c>
      <c r="F495" s="16" t="n">
        <f aca="false">(F493-fin)*(1-tax)</f>
        <v>727.551606909549</v>
      </c>
      <c r="G495" s="16" t="n">
        <f aca="false">(G493-fin)*(1-tax)</f>
        <v>795.668855637983</v>
      </c>
    </row>
    <row r="496" customFormat="false" ht="15" hidden="false" customHeight="false" outlineLevel="0" collapsed="false">
      <c r="A496" s="0" t="s">
        <v>556</v>
      </c>
      <c r="B496" s="0" t="s">
        <v>271</v>
      </c>
      <c r="C496" s="18" t="n">
        <f aca="false">a25_eps</f>
        <v>1.66</v>
      </c>
      <c r="D496" s="18" t="n">
        <f aca="false">eps26</f>
        <v>4.3364299400653</v>
      </c>
      <c r="E496" s="18" t="n">
        <f aca="false">E495/shares</f>
        <v>6.85631644624777</v>
      </c>
      <c r="F496" s="18" t="n">
        <f aca="false">F495/shares</f>
        <v>9.02652646632182</v>
      </c>
      <c r="G496" s="18" t="n">
        <f aca="false">G495/shares</f>
        <v>9.87163785446379</v>
      </c>
    </row>
    <row r="497" customFormat="false" ht="17.15" hidden="false" customHeight="false" outlineLevel="0" collapsed="false">
      <c r="A497" s="5" t="s">
        <v>596</v>
      </c>
      <c r="B497" s="5" t="s">
        <v>390</v>
      </c>
      <c r="C497" s="19" t="n">
        <f aca="false">C486/asp_lo</f>
        <v>60</v>
      </c>
      <c r="D497" s="19" t="n">
        <f aca="false">D486/asp_lo</f>
        <v>125.2</v>
      </c>
      <c r="E497" s="19" t="n">
        <f aca="false">E486/asp_lo</f>
        <v>249.956970475433</v>
      </c>
      <c r="F497" s="19" t="n">
        <f aca="false">F486/asp_lo</f>
        <v>363.758774742405</v>
      </c>
      <c r="G497" s="19" t="n">
        <f aca="false">G486/asp_lo</f>
        <v>401.250051573187</v>
      </c>
    </row>
    <row r="510" customFormat="false" ht="17.15" hidden="false" customHeight="false" outlineLevel="0" collapsed="false">
      <c r="A510" s="4" t="s">
        <v>903</v>
      </c>
    </row>
    <row r="511" customFormat="false" ht="15" hidden="false" customHeight="false" outlineLevel="0" collapsed="false">
      <c r="A511" s="6" t="s">
        <v>21</v>
      </c>
      <c r="B511" s="6" t="s">
        <v>22</v>
      </c>
      <c r="C511" s="14" t="s">
        <v>524</v>
      </c>
      <c r="D511" s="14" t="s">
        <v>525</v>
      </c>
      <c r="E511" s="14" t="s">
        <v>526</v>
      </c>
      <c r="F511" s="14" t="s">
        <v>527</v>
      </c>
      <c r="G511" s="14" t="s">
        <v>528</v>
      </c>
      <c r="H511" s="14" t="s">
        <v>529</v>
      </c>
      <c r="I511" s="6" t="s">
        <v>427</v>
      </c>
    </row>
    <row r="512" customFormat="false" ht="17.15" hidden="false" customHeight="false" outlineLevel="0" collapsed="false">
      <c r="A512" s="1" t="s">
        <v>559</v>
      </c>
    </row>
    <row r="513" customFormat="false" ht="17.15" hidden="false" customHeight="false" outlineLevel="0" collapsed="false">
      <c r="A513" s="0" t="s">
        <v>560</v>
      </c>
      <c r="B513" s="0" t="s">
        <v>32</v>
      </c>
      <c r="C513" s="18" t="n">
        <f aca="false">hsA_25</f>
        <v>2.22511470588235</v>
      </c>
      <c r="D513" s="18" t="n">
        <f aca="false">hsA_26</f>
        <v>3.782695</v>
      </c>
      <c r="E513" s="18" t="n">
        <f aca="false">hsA_27</f>
        <v>5.86317725</v>
      </c>
      <c r="F513" s="18" t="n">
        <f aca="false">hsA_28</f>
        <v>8.5016070125</v>
      </c>
      <c r="G513" s="18" t="n">
        <f aca="false">hsA_29</f>
        <v>11.477169466875</v>
      </c>
      <c r="H513" s="18" t="n">
        <f aca="false">G513*(1+g_tail)</f>
        <v>12.6248864135625</v>
      </c>
      <c r="I513" s="8" t="s">
        <v>561</v>
      </c>
    </row>
    <row r="514" customFormat="false" ht="17.15" hidden="false" customHeight="false" outlineLevel="0" collapsed="false">
      <c r="A514" s="0" t="s">
        <v>562</v>
      </c>
      <c r="B514" s="0" t="s">
        <v>563</v>
      </c>
      <c r="C514" s="20" t="n">
        <f aca="false">den_25</f>
        <v>24</v>
      </c>
      <c r="D514" s="20" t="n">
        <f aca="false">den_26</f>
        <v>24</v>
      </c>
      <c r="E514" s="20" t="n">
        <f aca="false">den_27</f>
        <v>26</v>
      </c>
      <c r="F514" s="20" t="n">
        <f aca="false">den_28</f>
        <v>28</v>
      </c>
      <c r="G514" s="20" t="n">
        <f aca="false">den_29</f>
        <v>30</v>
      </c>
      <c r="H514" s="20" t="n">
        <f aca="false">den_30</f>
        <v>32</v>
      </c>
    </row>
    <row r="515" customFormat="false" ht="17.15" hidden="false" customHeight="false" outlineLevel="0" collapsed="false">
      <c r="A515" s="5" t="s">
        <v>564</v>
      </c>
      <c r="B515" s="5" t="s">
        <v>533</v>
      </c>
      <c r="C515" s="19" t="n">
        <f aca="false">C513*8000/C514</f>
        <v>741.704901960783</v>
      </c>
      <c r="D515" s="19" t="n">
        <f aca="false">D513*8000/D514</f>
        <v>1260.89833333333</v>
      </c>
      <c r="E515" s="19" t="n">
        <f aca="false">E513*8000/E514</f>
        <v>1804.05453846154</v>
      </c>
      <c r="F515" s="19" t="n">
        <f aca="false">F513*8000/F514</f>
        <v>2429.030575</v>
      </c>
      <c r="G515" s="19" t="n">
        <f aca="false">G513*8000/G514</f>
        <v>3060.5785245</v>
      </c>
      <c r="H515" s="19" t="n">
        <f aca="false">H513*8000/H514</f>
        <v>3156.22160339063</v>
      </c>
      <c r="I515" s="8" t="s">
        <v>565</v>
      </c>
    </row>
    <row r="516" customFormat="false" ht="15" hidden="false" customHeight="false" outlineLevel="0" collapsed="false">
      <c r="A516" s="5" t="s">
        <v>566</v>
      </c>
      <c r="B516" s="5" t="s">
        <v>96</v>
      </c>
      <c r="C516" s="20" t="n">
        <f aca="false">stk_25</f>
        <v>10</v>
      </c>
      <c r="D516" s="20" t="n">
        <f aca="false">stk_26</f>
        <v>12</v>
      </c>
      <c r="E516" s="20" t="n">
        <f aca="false">stk_27</f>
        <v>12.5</v>
      </c>
      <c r="F516" s="20" t="n">
        <f aca="false">stk_28</f>
        <v>14</v>
      </c>
      <c r="G516" s="20" t="n">
        <f aca="false">stk_29</f>
        <v>15</v>
      </c>
      <c r="H516" s="20" t="n">
        <f aca="false">stk_30</f>
        <v>16</v>
      </c>
    </row>
    <row r="517" customFormat="false" ht="15" hidden="false" customHeight="false" outlineLevel="0" collapsed="false">
      <c r="A517" s="5" t="s">
        <v>567</v>
      </c>
      <c r="B517" s="0" t="s">
        <v>116</v>
      </c>
      <c r="C517" s="21" t="n">
        <f aca="false">1+beta*(C516-$C516)/4</f>
        <v>1</v>
      </c>
      <c r="D517" s="21" t="n">
        <f aca="false">1+beta*(D516-$C516)/4</f>
        <v>1.05</v>
      </c>
      <c r="E517" s="21" t="n">
        <f aca="false">1+beta*(E516-$C516)/4</f>
        <v>1.0625</v>
      </c>
      <c r="F517" s="21" t="n">
        <f aca="false">1+beta*(F516-$C516)/4</f>
        <v>1.1</v>
      </c>
      <c r="G517" s="21" t="n">
        <f aca="false">1+beta*(G516-$C516)/4</f>
        <v>1.125</v>
      </c>
      <c r="H517" s="21" t="n">
        <f aca="false">1+beta*(H516-$C516)/4</f>
        <v>1.15</v>
      </c>
    </row>
    <row r="518" customFormat="false" ht="17.15" hidden="false" customHeight="false" outlineLevel="0" collapsed="false">
      <c r="A518" s="5" t="s">
        <v>568</v>
      </c>
      <c r="B518" s="0" t="s">
        <v>69</v>
      </c>
      <c r="C518" s="10" t="n">
        <f aca="false">hbp_25_hi</f>
        <v>0</v>
      </c>
      <c r="D518" s="10" t="n">
        <f aca="false">hbp_26_hi</f>
        <v>0</v>
      </c>
      <c r="E518" s="10" t="n">
        <f aca="false">hbp_27_hi</f>
        <v>0.05</v>
      </c>
      <c r="F518" s="10" t="n">
        <f aca="false">hbp_28_hi</f>
        <v>0.15</v>
      </c>
      <c r="G518" s="10" t="n">
        <f aca="false">hbp_29_hi</f>
        <v>0.3</v>
      </c>
      <c r="H518" s="10" t="n">
        <f aca="false">hbp_30_hi</f>
        <v>0.4</v>
      </c>
      <c r="I518" s="5" t="s">
        <v>569</v>
      </c>
    </row>
    <row r="519" customFormat="false" ht="17.15" hidden="false" customHeight="false" outlineLevel="0" collapsed="false">
      <c r="A519" s="5" t="s">
        <v>570</v>
      </c>
      <c r="B519" s="5" t="s">
        <v>571</v>
      </c>
      <c r="C519" s="19" t="n">
        <f aca="false">C515*C517*C518</f>
        <v>0</v>
      </c>
      <c r="D519" s="19" t="n">
        <f aca="false">D515*D517*D518</f>
        <v>0</v>
      </c>
      <c r="E519" s="19" t="n">
        <f aca="false">E515*E517*E518</f>
        <v>95.8403973557692</v>
      </c>
      <c r="F519" s="19" t="n">
        <f aca="false">F515*F517*F518</f>
        <v>400.790044875</v>
      </c>
      <c r="G519" s="19" t="n">
        <f aca="false">G515*G517*G518</f>
        <v>1032.94525201875</v>
      </c>
      <c r="H519" s="19" t="n">
        <f aca="false">H515*H517*H518</f>
        <v>1451.86193755969</v>
      </c>
    </row>
    <row r="520" customFormat="false" ht="17.15" hidden="false" customHeight="false" outlineLevel="0" collapsed="false">
      <c r="A520" s="5" t="s">
        <v>572</v>
      </c>
      <c r="B520" s="5" t="s">
        <v>390</v>
      </c>
      <c r="C520" s="19" t="n">
        <f aca="false">C519/thr</f>
        <v>0</v>
      </c>
      <c r="D520" s="19" t="n">
        <f aca="false">D519/thr</f>
        <v>0</v>
      </c>
      <c r="E520" s="19" t="n">
        <f aca="false">E519/thr</f>
        <v>15.6295494709343</v>
      </c>
      <c r="F520" s="19" t="n">
        <f aca="false">F519/thr</f>
        <v>65.3604117539139</v>
      </c>
      <c r="G520" s="19" t="n">
        <f aca="false">G519/thr</f>
        <v>168.451606656678</v>
      </c>
      <c r="H520" s="19" t="n">
        <f aca="false">H519/thr</f>
        <v>236.768091578553</v>
      </c>
    </row>
    <row r="521" customFormat="false" ht="17.15" hidden="false" customHeight="false" outlineLevel="0" collapsed="false">
      <c r="A521" s="5" t="s">
        <v>573</v>
      </c>
      <c r="B521" s="5" t="s">
        <v>390</v>
      </c>
      <c r="C521" s="19" t="n">
        <f aca="false">MAX(0,D520-C520)+dlt*C520</f>
        <v>0</v>
      </c>
      <c r="D521" s="19" t="n">
        <f aca="false">MAX(0,E520-D520)+dlt*D520</f>
        <v>15.6295494709343</v>
      </c>
      <c r="E521" s="19" t="n">
        <f aca="false">MAX(0,F520-E520)+dlt*E520</f>
        <v>51.293817230073</v>
      </c>
      <c r="F521" s="19" t="n">
        <f aca="false">MAX(0,G520-F520)+dlt*F520</f>
        <v>109.627236078156</v>
      </c>
      <c r="G521" s="19" t="n">
        <f aca="false">MAX(0,H520-G520)+dlt*G520</f>
        <v>85.1616455875428</v>
      </c>
      <c r="I521" s="5" t="s">
        <v>574</v>
      </c>
    </row>
    <row r="522" customFormat="false" ht="17.15" hidden="false" customHeight="false" outlineLevel="0" collapsed="false">
      <c r="A522" s="1" t="s">
        <v>575</v>
      </c>
    </row>
    <row r="523" customFormat="false" ht="17.15" hidden="false" customHeight="false" outlineLevel="0" collapsed="false">
      <c r="A523" s="0" t="s">
        <v>576</v>
      </c>
      <c r="B523" s="5" t="s">
        <v>146</v>
      </c>
      <c r="D523" s="19" t="n">
        <f aca="false">cow_26*1</f>
        <v>1107.85762580894</v>
      </c>
      <c r="E523" s="19" t="n">
        <f aca="false">cow_27*1</f>
        <v>2096.42857142857</v>
      </c>
      <c r="F523" s="19" t="n">
        <f aca="false">cow_28*um28_A</f>
        <v>2620.08928571429</v>
      </c>
      <c r="G523" s="19" t="n">
        <f aca="false">cow_29*um29_A</f>
        <v>3013.32589285714</v>
      </c>
      <c r="H523" s="19" t="n">
        <f aca="false">G523*(1+g_tail)</f>
        <v>3314.65848214285</v>
      </c>
      <c r="I523" s="8" t="s">
        <v>577</v>
      </c>
    </row>
    <row r="524" customFormat="false" ht="17.15" hidden="false" customHeight="false" outlineLevel="0" collapsed="false">
      <c r="A524" s="5" t="s">
        <v>578</v>
      </c>
      <c r="B524" s="0" t="s">
        <v>69</v>
      </c>
      <c r="D524" s="10" t="n">
        <f aca="false">attA_26</f>
        <v>0.08</v>
      </c>
      <c r="E524" s="10" t="n">
        <f aca="false">attA_27</f>
        <v>0.11</v>
      </c>
      <c r="F524" s="10" t="n">
        <f aca="false">attA_28</f>
        <v>0.18</v>
      </c>
      <c r="G524" s="10" t="n">
        <f aca="false">attA_29</f>
        <v>0.26</v>
      </c>
      <c r="H524" s="10" t="n">
        <f aca="false">attA_30</f>
        <v>0.34</v>
      </c>
    </row>
    <row r="525" customFormat="false" ht="15" hidden="false" customHeight="false" outlineLevel="0" collapsed="false">
      <c r="A525" s="5" t="s">
        <v>579</v>
      </c>
      <c r="B525" s="5" t="s">
        <v>539</v>
      </c>
      <c r="D525" s="16" t="n">
        <f aca="false">D523*D524</f>
        <v>88.6286100647152</v>
      </c>
      <c r="E525" s="16" t="n">
        <f aca="false">E523*E524</f>
        <v>230.607142857143</v>
      </c>
      <c r="F525" s="16" t="n">
        <f aca="false">F523*F524</f>
        <v>471.616071428572</v>
      </c>
      <c r="G525" s="16" t="n">
        <f aca="false">G523*G524</f>
        <v>783.464732142856</v>
      </c>
      <c r="H525" s="16" t="n">
        <f aca="false">H523*H524</f>
        <v>1126.98388392857</v>
      </c>
    </row>
    <row r="526" customFormat="false" ht="17.15" hidden="false" customHeight="false" outlineLevel="0" collapsed="false">
      <c r="A526" s="5" t="s">
        <v>580</v>
      </c>
      <c r="B526" s="5" t="s">
        <v>539</v>
      </c>
      <c r="D526" s="16" t="n">
        <f aca="false">MAX(0,E525-D525)+dlt*D525</f>
        <v>150.841393798899</v>
      </c>
      <c r="E526" s="16" t="n">
        <f aca="false">MAX(0,F525-E525)+dlt*E525</f>
        <v>264.069642857144</v>
      </c>
      <c r="F526" s="16" t="n">
        <f aca="false">MAX(0,G525-F525)+dlt*F525</f>
        <v>359.010267857141</v>
      </c>
      <c r="G526" s="16" t="n">
        <f aca="false">MAX(0,H525-G525)+dlt*G525</f>
        <v>421.865625</v>
      </c>
    </row>
    <row r="527" customFormat="false" ht="17.15" hidden="false" customHeight="false" outlineLevel="0" collapsed="false">
      <c r="A527" s="1" t="s">
        <v>581</v>
      </c>
    </row>
    <row r="528" customFormat="false" ht="17.15" hidden="false" customHeight="false" outlineLevel="0" collapsed="false">
      <c r="A528" s="0" t="s">
        <v>582</v>
      </c>
      <c r="B528" s="0" t="s">
        <v>252</v>
      </c>
      <c r="C528" s="16" t="n">
        <f aca="false">0</f>
        <v>0</v>
      </c>
      <c r="D528" s="16" t="n">
        <f aca="false">hbm26</f>
        <v>0</v>
      </c>
      <c r="E528" s="16" t="n">
        <f aca="false">E521*asp_hi*shm_A</f>
        <v>107.717016183153</v>
      </c>
      <c r="F528" s="16" t="n">
        <f aca="false">F521*asp_hi*shm_A</f>
        <v>230.217195764127</v>
      </c>
      <c r="G528" s="16" t="n">
        <f aca="false">G521*asp_hi*shm_A</f>
        <v>178.83945573384</v>
      </c>
      <c r="I528" s="8" t="s">
        <v>583</v>
      </c>
    </row>
    <row r="529" customFormat="false" ht="17.15" hidden="false" customHeight="false" outlineLevel="0" collapsed="false">
      <c r="A529" s="5" t="s">
        <v>584</v>
      </c>
      <c r="B529" s="0" t="s">
        <v>252</v>
      </c>
      <c r="C529" s="16" t="n">
        <f aca="false">hb25</f>
        <v>120</v>
      </c>
      <c r="D529" s="16" t="n">
        <f aca="false">rev26*hb_sh26-hbm26</f>
        <v>250.4</v>
      </c>
      <c r="E529" s="16" t="n">
        <f aca="false">$D530*E526*shl_A</f>
        <v>438.361360274778</v>
      </c>
      <c r="F529" s="16" t="n">
        <f aca="false">$D530*F526*shl_A</f>
        <v>595.964866191023</v>
      </c>
      <c r="G529" s="16" t="n">
        <f aca="false">$D530*G526*shl_A</f>
        <v>700.306128441323</v>
      </c>
      <c r="I529" s="8" t="s">
        <v>585</v>
      </c>
    </row>
    <row r="530" customFormat="false" ht="17.15" hidden="false" customHeight="false" outlineLevel="0" collapsed="false">
      <c r="A530" s="5" t="s">
        <v>586</v>
      </c>
      <c r="B530" s="0" t="s">
        <v>587</v>
      </c>
      <c r="D530" s="21" t="n">
        <f aca="false">D529/D526</f>
        <v>1.66002178641913</v>
      </c>
      <c r="I530" s="5" t="s">
        <v>588</v>
      </c>
    </row>
    <row r="531" customFormat="false" ht="15" hidden="false" customHeight="false" outlineLevel="0" collapsed="false">
      <c r="A531" s="5" t="s">
        <v>589</v>
      </c>
      <c r="B531" s="0" t="s">
        <v>252</v>
      </c>
      <c r="C531" s="16" t="n">
        <f aca="false">C528+C529</f>
        <v>120</v>
      </c>
      <c r="D531" s="16" t="n">
        <f aca="false">D528+D529</f>
        <v>250.4</v>
      </c>
      <c r="E531" s="16" t="n">
        <f aca="false">E528+E529</f>
        <v>546.078376457931</v>
      </c>
      <c r="F531" s="16" t="n">
        <f aca="false">F528+F529</f>
        <v>826.18206195515</v>
      </c>
      <c r="G531" s="16" t="n">
        <f aca="false">G528+G529</f>
        <v>879.145584175163</v>
      </c>
    </row>
    <row r="532" customFormat="false" ht="17.15" hidden="false" customHeight="false" outlineLevel="0" collapsed="false">
      <c r="A532" s="5" t="s">
        <v>590</v>
      </c>
      <c r="B532" s="0" t="s">
        <v>252</v>
      </c>
      <c r="C532" s="16" t="n">
        <f aca="false">a25_rev-hb25</f>
        <v>471.3</v>
      </c>
      <c r="D532" s="16" t="n">
        <f aca="false">rev26-D531</f>
        <v>751.2</v>
      </c>
      <c r="E532" s="16" t="n">
        <f aca="false">D532*(1+el*eqgA_27)</f>
        <v>900.497182193768</v>
      </c>
      <c r="F532" s="16" t="n">
        <f aca="false">E532*(1+el*eqgA_28)</f>
        <v>1015.22529871935</v>
      </c>
      <c r="G532" s="16" t="n">
        <f aca="false">F532*(1+el*eqgA_29)</f>
        <v>1075.58315674599</v>
      </c>
      <c r="I532" s="8" t="s">
        <v>591</v>
      </c>
    </row>
    <row r="533" customFormat="false" ht="15" hidden="false" customHeight="false" outlineLevel="0" collapsed="false">
      <c r="A533" s="5" t="s">
        <v>499</v>
      </c>
      <c r="B533" s="0" t="s">
        <v>252</v>
      </c>
      <c r="C533" s="16" t="n">
        <f aca="false">C531+C532</f>
        <v>591.3</v>
      </c>
      <c r="D533" s="16" t="n">
        <f aca="false">D531+D532</f>
        <v>1001.6</v>
      </c>
      <c r="E533" s="16" t="n">
        <f aca="false">E531+E532</f>
        <v>1446.5755586517</v>
      </c>
      <c r="F533" s="16" t="n">
        <f aca="false">F531+F532</f>
        <v>1841.4073606745</v>
      </c>
      <c r="G533" s="16" t="n">
        <f aca="false">G531+G532</f>
        <v>1954.72874092115</v>
      </c>
    </row>
    <row r="534" customFormat="false" ht="15" hidden="false" customHeight="false" outlineLevel="0" collapsed="false">
      <c r="A534" s="5" t="s">
        <v>592</v>
      </c>
      <c r="B534" s="0" t="s">
        <v>69</v>
      </c>
      <c r="C534" s="10" t="n">
        <f aca="false">C531/C533</f>
        <v>0.202942668696093</v>
      </c>
      <c r="D534" s="10" t="n">
        <f aca="false">D531/D533</f>
        <v>0.25</v>
      </c>
      <c r="E534" s="10" t="n">
        <f aca="false">E531/E533</f>
        <v>0.377497306097796</v>
      </c>
      <c r="F534" s="10" t="n">
        <f aca="false">F531/F533</f>
        <v>0.448668816905631</v>
      </c>
      <c r="G534" s="10" t="n">
        <f aca="false">G531/G533</f>
        <v>0.449753239808031</v>
      </c>
    </row>
    <row r="535" customFormat="false" ht="17.15" hidden="false" customHeight="false" outlineLevel="0" collapsed="false">
      <c r="A535" s="5" t="s">
        <v>506</v>
      </c>
      <c r="B535" s="0" t="s">
        <v>69</v>
      </c>
      <c r="C535" s="10" t="n">
        <f aca="false">a25_gp/a25_rev</f>
        <v>0.633012007441231</v>
      </c>
      <c r="D535" s="10" t="n">
        <f aca="false">gp26/rev26</f>
        <v>0.646641373801917</v>
      </c>
      <c r="E535" s="10" t="n">
        <f aca="false">$D535+gm_prem*(E534-$D534)+0</f>
        <v>0.656841158289741</v>
      </c>
      <c r="F535" s="10" t="n">
        <f aca="false">$D535+gm_prem*(F534-$D534)+0</f>
        <v>0.662534879154367</v>
      </c>
      <c r="G535" s="10" t="n">
        <f aca="false">$D535+gm_prem*(G534-$D534)+0</f>
        <v>0.662621632986559</v>
      </c>
      <c r="I535" s="8" t="s">
        <v>593</v>
      </c>
    </row>
    <row r="536" customFormat="false" ht="15" hidden="false" customHeight="false" outlineLevel="0" collapsed="false">
      <c r="A536" s="5" t="s">
        <v>502</v>
      </c>
      <c r="B536" s="0" t="s">
        <v>252</v>
      </c>
      <c r="C536" s="16" t="n">
        <f aca="false">a25_gp</f>
        <v>374.3</v>
      </c>
      <c r="D536" s="16" t="n">
        <f aca="false">gp26</f>
        <v>647.676</v>
      </c>
      <c r="E536" s="16" t="n">
        <f aca="false">E533*E535</f>
        <v>950.17036549841</v>
      </c>
      <c r="F536" s="16" t="n">
        <f aca="false">F533*F535</f>
        <v>1219.99660317844</v>
      </c>
      <c r="G536" s="16" t="n">
        <f aca="false">G533*G535</f>
        <v>1295.24555035494</v>
      </c>
    </row>
    <row r="537" customFormat="false" ht="17.15" hidden="false" customHeight="false" outlineLevel="0" collapsed="false">
      <c r="A537" s="5" t="s">
        <v>594</v>
      </c>
      <c r="B537" s="0" t="s">
        <v>252</v>
      </c>
      <c r="C537" s="16" t="n">
        <f aca="false">a25_opx</f>
        <v>201.2</v>
      </c>
      <c r="D537" s="16" t="n">
        <f aca="false">opx26</f>
        <v>223.1325</v>
      </c>
      <c r="E537" s="16" t="n">
        <f aca="false">opex_fix+opex_var*E533</f>
        <v>262.784460399701</v>
      </c>
      <c r="F537" s="16" t="n">
        <f aca="false">opex_fix+opex_var*F533</f>
        <v>297.968089419211</v>
      </c>
      <c r="G537" s="16" t="n">
        <f aca="false">opex_fix+opex_var*G533</f>
        <v>308.066205584501</v>
      </c>
      <c r="I537" s="5" t="s">
        <v>595</v>
      </c>
    </row>
    <row r="538" customFormat="false" ht="15" hidden="false" customHeight="false" outlineLevel="0" collapsed="false">
      <c r="A538" s="5" t="s">
        <v>510</v>
      </c>
      <c r="B538" s="0" t="s">
        <v>252</v>
      </c>
      <c r="C538" s="16" t="n">
        <f aca="false">C536-C537</f>
        <v>173.1</v>
      </c>
      <c r="D538" s="16" t="n">
        <f aca="false">D536-D537</f>
        <v>424.5435</v>
      </c>
      <c r="E538" s="16" t="n">
        <f aca="false">E536-E537</f>
        <v>687.38590509871</v>
      </c>
      <c r="F538" s="16" t="n">
        <f aca="false">F536-F537</f>
        <v>922.028513759233</v>
      </c>
      <c r="G538" s="16" t="n">
        <f aca="false">G536-G537</f>
        <v>987.179344770436</v>
      </c>
    </row>
    <row r="539" customFormat="false" ht="15" hidden="false" customHeight="false" outlineLevel="0" collapsed="false">
      <c r="A539" s="5" t="s">
        <v>555</v>
      </c>
      <c r="B539" s="0" t="s">
        <v>69</v>
      </c>
      <c r="C539" s="10" t="n">
        <f aca="false">C538/C533</f>
        <v>0.292744799594115</v>
      </c>
      <c r="D539" s="10" t="n">
        <f aca="false">D538/D533</f>
        <v>0.423865315495208</v>
      </c>
      <c r="E539" s="10" t="n">
        <f aca="false">E538/E533</f>
        <v>0.475181473230059</v>
      </c>
      <c r="F539" s="10" t="n">
        <f aca="false">F538/F533</f>
        <v>0.500719467864784</v>
      </c>
      <c r="G539" s="10" t="n">
        <f aca="false">G538/G533</f>
        <v>0.505021143908302</v>
      </c>
    </row>
    <row r="540" customFormat="false" ht="15" hidden="false" customHeight="false" outlineLevel="0" collapsed="false">
      <c r="A540" s="5" t="s">
        <v>515</v>
      </c>
      <c r="B540" s="0" t="s">
        <v>252</v>
      </c>
      <c r="C540" s="16" t="n">
        <f aca="false">a25_ni</f>
        <v>131.6</v>
      </c>
      <c r="D540" s="16" t="n">
        <f aca="false">ni26</f>
        <v>348.2641275</v>
      </c>
      <c r="E540" s="16" t="n">
        <f aca="false">(E538-fin)*(1-tax)</f>
        <v>577.288807910384</v>
      </c>
      <c r="F540" s="16" t="n">
        <f aca="false">(F538-fin)*(1-tax)</f>
        <v>780.254664401736</v>
      </c>
      <c r="G540" s="16" t="n">
        <f aca="false">(G538-fin)*(1-tax)</f>
        <v>836.610133226427</v>
      </c>
    </row>
    <row r="541" customFormat="false" ht="15" hidden="false" customHeight="false" outlineLevel="0" collapsed="false">
      <c r="A541" s="0" t="s">
        <v>556</v>
      </c>
      <c r="B541" s="0" t="s">
        <v>271</v>
      </c>
      <c r="C541" s="18" t="n">
        <f aca="false">a25_eps</f>
        <v>1.66</v>
      </c>
      <c r="D541" s="18" t="n">
        <f aca="false">eps26</f>
        <v>4.3364299400653</v>
      </c>
      <c r="E541" s="18" t="n">
        <f aca="false">E540/shares</f>
        <v>7.16225853097771</v>
      </c>
      <c r="F541" s="18" t="n">
        <f aca="false">F540/shares</f>
        <v>9.68039835498423</v>
      </c>
      <c r="G541" s="18" t="n">
        <f aca="false">G540/shares</f>
        <v>10.3795846752906</v>
      </c>
    </row>
    <row r="542" customFormat="false" ht="17.15" hidden="false" customHeight="false" outlineLevel="0" collapsed="false">
      <c r="A542" s="5" t="s">
        <v>596</v>
      </c>
      <c r="B542" s="5" t="s">
        <v>390</v>
      </c>
      <c r="C542" s="19" t="n">
        <f aca="false">C531/asp_hi</f>
        <v>34.2857142857143</v>
      </c>
      <c r="D542" s="19" t="n">
        <f aca="false">D531/asp_hi</f>
        <v>71.5428571428571</v>
      </c>
      <c r="E542" s="19" t="n">
        <f aca="false">E531/asp_hi</f>
        <v>156.022393273695</v>
      </c>
      <c r="F542" s="19" t="n">
        <f aca="false">F531/asp_hi</f>
        <v>236.052017701471</v>
      </c>
      <c r="G542" s="19" t="n">
        <f aca="false">G531/asp_hi</f>
        <v>251.184452621475</v>
      </c>
    </row>
    <row r="555" customFormat="false" ht="17.15" hidden="false" customHeight="false" outlineLevel="0" collapsed="false">
      <c r="A555" s="4" t="s">
        <v>904</v>
      </c>
    </row>
    <row r="556" customFormat="false" ht="15" hidden="false" customHeight="false" outlineLevel="0" collapsed="false">
      <c r="A556" s="6" t="s">
        <v>21</v>
      </c>
      <c r="B556" s="6" t="s">
        <v>22</v>
      </c>
      <c r="C556" s="14" t="s">
        <v>524</v>
      </c>
      <c r="D556" s="14" t="s">
        <v>525</v>
      </c>
      <c r="E556" s="14" t="s">
        <v>526</v>
      </c>
      <c r="F556" s="14" t="s">
        <v>527</v>
      </c>
      <c r="G556" s="14" t="s">
        <v>528</v>
      </c>
      <c r="H556" s="14" t="s">
        <v>529</v>
      </c>
      <c r="I556" s="6" t="s">
        <v>427</v>
      </c>
    </row>
    <row r="557" customFormat="false" ht="17.15" hidden="false" customHeight="false" outlineLevel="0" collapsed="false">
      <c r="A557" s="1" t="s">
        <v>559</v>
      </c>
    </row>
    <row r="558" customFormat="false" ht="17.15" hidden="false" customHeight="false" outlineLevel="0" collapsed="false">
      <c r="A558" s="0" t="s">
        <v>560</v>
      </c>
      <c r="B558" s="0" t="s">
        <v>32</v>
      </c>
      <c r="C558" s="18" t="n">
        <f aca="false">hsA_25</f>
        <v>2.22511470588235</v>
      </c>
      <c r="D558" s="18" t="n">
        <f aca="false">hsA_26</f>
        <v>3.782695</v>
      </c>
      <c r="E558" s="18" t="n">
        <f aca="false">hsA_27</f>
        <v>5.86317725</v>
      </c>
      <c r="F558" s="18" t="n">
        <f aca="false">hsA_28</f>
        <v>8.5016070125</v>
      </c>
      <c r="G558" s="18" t="n">
        <f aca="false">hsA_29</f>
        <v>11.477169466875</v>
      </c>
      <c r="H558" s="18" t="n">
        <f aca="false">G558*(1+g_tail)</f>
        <v>12.6248864135625</v>
      </c>
      <c r="I558" s="8" t="s">
        <v>561</v>
      </c>
    </row>
    <row r="559" customFormat="false" ht="17.15" hidden="false" customHeight="false" outlineLevel="0" collapsed="false">
      <c r="A559" s="0" t="s">
        <v>562</v>
      </c>
      <c r="B559" s="0" t="s">
        <v>563</v>
      </c>
      <c r="C559" s="20" t="n">
        <f aca="false">den_25</f>
        <v>24</v>
      </c>
      <c r="D559" s="20" t="n">
        <f aca="false">den_26</f>
        <v>24</v>
      </c>
      <c r="E559" s="20" t="n">
        <f aca="false">den_27</f>
        <v>26</v>
      </c>
      <c r="F559" s="20" t="n">
        <f aca="false">den_28</f>
        <v>28</v>
      </c>
      <c r="G559" s="20" t="n">
        <f aca="false">den_29</f>
        <v>30</v>
      </c>
      <c r="H559" s="20" t="n">
        <f aca="false">den_30</f>
        <v>32</v>
      </c>
    </row>
    <row r="560" customFormat="false" ht="17.15" hidden="false" customHeight="false" outlineLevel="0" collapsed="false">
      <c r="A560" s="5" t="s">
        <v>564</v>
      </c>
      <c r="B560" s="5" t="s">
        <v>533</v>
      </c>
      <c r="C560" s="19" t="n">
        <f aca="false">C558*8000/C559</f>
        <v>741.704901960783</v>
      </c>
      <c r="D560" s="19" t="n">
        <f aca="false">D558*8000/D559</f>
        <v>1260.89833333333</v>
      </c>
      <c r="E560" s="19" t="n">
        <f aca="false">E558*8000/E559</f>
        <v>1804.05453846154</v>
      </c>
      <c r="F560" s="19" t="n">
        <f aca="false">F558*8000/F559</f>
        <v>2429.030575</v>
      </c>
      <c r="G560" s="19" t="n">
        <f aca="false">G558*8000/G559</f>
        <v>3060.5785245</v>
      </c>
      <c r="H560" s="19" t="n">
        <f aca="false">H558*8000/H559</f>
        <v>3156.22160339063</v>
      </c>
      <c r="I560" s="8" t="s">
        <v>565</v>
      </c>
    </row>
    <row r="561" customFormat="false" ht="15" hidden="false" customHeight="false" outlineLevel="0" collapsed="false">
      <c r="A561" s="5" t="s">
        <v>566</v>
      </c>
      <c r="B561" s="5" t="s">
        <v>96</v>
      </c>
      <c r="C561" s="20" t="n">
        <f aca="false">stk_25</f>
        <v>10</v>
      </c>
      <c r="D561" s="20" t="n">
        <f aca="false">stk_26</f>
        <v>12</v>
      </c>
      <c r="E561" s="20" t="n">
        <f aca="false">stk_27</f>
        <v>12.5</v>
      </c>
      <c r="F561" s="20" t="n">
        <f aca="false">stk_28</f>
        <v>14</v>
      </c>
      <c r="G561" s="20" t="n">
        <f aca="false">stk_29</f>
        <v>15</v>
      </c>
      <c r="H561" s="20" t="n">
        <f aca="false">stk_30</f>
        <v>16</v>
      </c>
    </row>
    <row r="562" customFormat="false" ht="15" hidden="false" customHeight="false" outlineLevel="0" collapsed="false">
      <c r="A562" s="5" t="s">
        <v>567</v>
      </c>
      <c r="B562" s="0" t="s">
        <v>116</v>
      </c>
      <c r="C562" s="21" t="n">
        <f aca="false">1+beta*(C561-$C561)/4</f>
        <v>1</v>
      </c>
      <c r="D562" s="21" t="n">
        <f aca="false">1+beta*(D561-$C561)/4</f>
        <v>1.05</v>
      </c>
      <c r="E562" s="21" t="n">
        <f aca="false">1+beta*(E561-$C561)/4</f>
        <v>1.0625</v>
      </c>
      <c r="F562" s="21" t="n">
        <f aca="false">1+beta*(F561-$C561)/4</f>
        <v>1.1</v>
      </c>
      <c r="G562" s="21" t="n">
        <f aca="false">1+beta*(G561-$C561)/4</f>
        <v>1.125</v>
      </c>
      <c r="H562" s="21" t="n">
        <f aca="false">1+beta*(H561-$C561)/4</f>
        <v>1.15</v>
      </c>
    </row>
    <row r="563" customFormat="false" ht="17.15" hidden="false" customHeight="false" outlineLevel="0" collapsed="false">
      <c r="A563" s="5" t="s">
        <v>568</v>
      </c>
      <c r="B563" s="0" t="s">
        <v>69</v>
      </c>
      <c r="C563" s="10" t="n">
        <f aca="false">hbp_25_hi</f>
        <v>0</v>
      </c>
      <c r="D563" s="10" t="n">
        <f aca="false">hbp_26_hi</f>
        <v>0</v>
      </c>
      <c r="E563" s="10" t="n">
        <f aca="false">hbp_27_hi</f>
        <v>0.05</v>
      </c>
      <c r="F563" s="10" t="n">
        <f aca="false">hbp_28_hi</f>
        <v>0.15</v>
      </c>
      <c r="G563" s="10" t="n">
        <f aca="false">hbp_29_hi</f>
        <v>0.3</v>
      </c>
      <c r="H563" s="10" t="n">
        <f aca="false">hbp_30_hi</f>
        <v>0.4</v>
      </c>
      <c r="I563" s="5" t="s">
        <v>569</v>
      </c>
    </row>
    <row r="564" customFormat="false" ht="17.15" hidden="false" customHeight="false" outlineLevel="0" collapsed="false">
      <c r="A564" s="5" t="s">
        <v>570</v>
      </c>
      <c r="B564" s="5" t="s">
        <v>571</v>
      </c>
      <c r="C564" s="19" t="n">
        <f aca="false">C560*C562*C563</f>
        <v>0</v>
      </c>
      <c r="D564" s="19" t="n">
        <f aca="false">D560*D562*D563</f>
        <v>0</v>
      </c>
      <c r="E564" s="19" t="n">
        <f aca="false">E560*E562*E563</f>
        <v>95.8403973557692</v>
      </c>
      <c r="F564" s="19" t="n">
        <f aca="false">F560*F562*F563</f>
        <v>400.790044875</v>
      </c>
      <c r="G564" s="19" t="n">
        <f aca="false">G560*G562*G563</f>
        <v>1032.94525201875</v>
      </c>
      <c r="H564" s="19" t="n">
        <f aca="false">H560*H562*H563</f>
        <v>1451.86193755969</v>
      </c>
    </row>
    <row r="565" customFormat="false" ht="17.15" hidden="false" customHeight="false" outlineLevel="0" collapsed="false">
      <c r="A565" s="5" t="s">
        <v>572</v>
      </c>
      <c r="B565" s="5" t="s">
        <v>390</v>
      </c>
      <c r="C565" s="19" t="n">
        <f aca="false">C564/thr</f>
        <v>0</v>
      </c>
      <c r="D565" s="19" t="n">
        <f aca="false">D564/thr</f>
        <v>0</v>
      </c>
      <c r="E565" s="19" t="n">
        <f aca="false">E564/thr</f>
        <v>15.6295494709343</v>
      </c>
      <c r="F565" s="19" t="n">
        <f aca="false">F564/thr</f>
        <v>65.3604117539139</v>
      </c>
      <c r="G565" s="19" t="n">
        <f aca="false">G564/thr</f>
        <v>168.451606656678</v>
      </c>
      <c r="H565" s="19" t="n">
        <f aca="false">H564/thr</f>
        <v>236.768091578553</v>
      </c>
    </row>
    <row r="566" customFormat="false" ht="17.15" hidden="false" customHeight="false" outlineLevel="0" collapsed="false">
      <c r="A566" s="5" t="s">
        <v>573</v>
      </c>
      <c r="B566" s="5" t="s">
        <v>390</v>
      </c>
      <c r="C566" s="19" t="n">
        <f aca="false">MAX(0,D565-C565)+dlt*C565</f>
        <v>0</v>
      </c>
      <c r="D566" s="19" t="n">
        <f aca="false">MAX(0,E565-D565)+dlt*D565</f>
        <v>15.6295494709343</v>
      </c>
      <c r="E566" s="19" t="n">
        <f aca="false">MAX(0,F565-E565)+dlt*E565</f>
        <v>51.293817230073</v>
      </c>
      <c r="F566" s="19" t="n">
        <f aca="false">MAX(0,G565-F565)+dlt*F565</f>
        <v>109.627236078156</v>
      </c>
      <c r="G566" s="19" t="n">
        <f aca="false">MAX(0,H565-G565)+dlt*G565</f>
        <v>85.1616455875428</v>
      </c>
      <c r="I566" s="5" t="s">
        <v>574</v>
      </c>
    </row>
    <row r="567" customFormat="false" ht="17.15" hidden="false" customHeight="false" outlineLevel="0" collapsed="false">
      <c r="A567" s="1" t="s">
        <v>575</v>
      </c>
    </row>
    <row r="568" customFormat="false" ht="17.15" hidden="false" customHeight="false" outlineLevel="0" collapsed="false">
      <c r="A568" s="0" t="s">
        <v>576</v>
      </c>
      <c r="B568" s="5" t="s">
        <v>146</v>
      </c>
      <c r="D568" s="19" t="n">
        <f aca="false">cow_26*1</f>
        <v>1107.85762580894</v>
      </c>
      <c r="E568" s="19" t="n">
        <f aca="false">cow_27*1</f>
        <v>2096.42857142857</v>
      </c>
      <c r="F568" s="19" t="n">
        <f aca="false">cow_28*um28_A</f>
        <v>2620.08928571429</v>
      </c>
      <c r="G568" s="19" t="n">
        <f aca="false">cow_29*um29_A</f>
        <v>3013.32589285714</v>
      </c>
      <c r="H568" s="19" t="n">
        <f aca="false">G568*(1+g_tail)</f>
        <v>3314.65848214285</v>
      </c>
      <c r="I568" s="8" t="s">
        <v>577</v>
      </c>
    </row>
    <row r="569" customFormat="false" ht="17.15" hidden="false" customHeight="false" outlineLevel="0" collapsed="false">
      <c r="A569" s="5" t="s">
        <v>578</v>
      </c>
      <c r="B569" s="0" t="s">
        <v>69</v>
      </c>
      <c r="D569" s="10" t="n">
        <f aca="false">attA_26</f>
        <v>0.08</v>
      </c>
      <c r="E569" s="10" t="n">
        <f aca="false">attA_27</f>
        <v>0.11</v>
      </c>
      <c r="F569" s="10" t="n">
        <f aca="false">attA_28</f>
        <v>0.18</v>
      </c>
      <c r="G569" s="10" t="n">
        <f aca="false">attA_29</f>
        <v>0.26</v>
      </c>
      <c r="H569" s="10" t="n">
        <f aca="false">attA_30</f>
        <v>0.34</v>
      </c>
    </row>
    <row r="570" customFormat="false" ht="15" hidden="false" customHeight="false" outlineLevel="0" collapsed="false">
      <c r="A570" s="5" t="s">
        <v>579</v>
      </c>
      <c r="B570" s="5" t="s">
        <v>539</v>
      </c>
      <c r="D570" s="16" t="n">
        <f aca="false">D568*D569</f>
        <v>88.6286100647152</v>
      </c>
      <c r="E570" s="16" t="n">
        <f aca="false">E568*E569</f>
        <v>230.607142857143</v>
      </c>
      <c r="F570" s="16" t="n">
        <f aca="false">F568*F569</f>
        <v>471.616071428572</v>
      </c>
      <c r="G570" s="16" t="n">
        <f aca="false">G568*G569</f>
        <v>783.464732142856</v>
      </c>
      <c r="H570" s="16" t="n">
        <f aca="false">H568*H569</f>
        <v>1126.98388392857</v>
      </c>
    </row>
    <row r="571" customFormat="false" ht="17.15" hidden="false" customHeight="false" outlineLevel="0" collapsed="false">
      <c r="A571" s="5" t="s">
        <v>580</v>
      </c>
      <c r="B571" s="5" t="s">
        <v>539</v>
      </c>
      <c r="D571" s="16" t="n">
        <f aca="false">MAX(0,E570-D570)+dlt*D570</f>
        <v>150.841393798899</v>
      </c>
      <c r="E571" s="16" t="n">
        <f aca="false">MAX(0,F570-E570)+dlt*E570</f>
        <v>264.069642857144</v>
      </c>
      <c r="F571" s="16" t="n">
        <f aca="false">MAX(0,G570-F570)+dlt*F570</f>
        <v>359.010267857141</v>
      </c>
      <c r="G571" s="16" t="n">
        <f aca="false">MAX(0,H570-G570)+dlt*G570</f>
        <v>421.865625</v>
      </c>
    </row>
    <row r="572" customFormat="false" ht="17.15" hidden="false" customHeight="false" outlineLevel="0" collapsed="false">
      <c r="A572" s="1" t="s">
        <v>581</v>
      </c>
    </row>
    <row r="573" customFormat="false" ht="17.15" hidden="false" customHeight="false" outlineLevel="0" collapsed="false">
      <c r="A573" s="0" t="s">
        <v>582</v>
      </c>
      <c r="B573" s="0" t="s">
        <v>252</v>
      </c>
      <c r="C573" s="16" t="n">
        <f aca="false">0</f>
        <v>0</v>
      </c>
      <c r="D573" s="16" t="n">
        <f aca="false">hbm26</f>
        <v>0</v>
      </c>
      <c r="E573" s="16" t="n">
        <f aca="false">E566*asp*shm_A_lo</f>
        <v>64.1172715375913</v>
      </c>
      <c r="F573" s="16" t="n">
        <f aca="false">F566*asp*shm_A_lo</f>
        <v>137.034045097695</v>
      </c>
      <c r="G573" s="16" t="n">
        <f aca="false">G566*asp*shm_A_lo</f>
        <v>106.452056984428</v>
      </c>
      <c r="I573" s="8" t="s">
        <v>583</v>
      </c>
    </row>
    <row r="574" customFormat="false" ht="17.15" hidden="false" customHeight="false" outlineLevel="0" collapsed="false">
      <c r="A574" s="5" t="s">
        <v>584</v>
      </c>
      <c r="B574" s="0" t="s">
        <v>252</v>
      </c>
      <c r="C574" s="16" t="n">
        <f aca="false">hb25</f>
        <v>120</v>
      </c>
      <c r="D574" s="16" t="n">
        <f aca="false">rev26*hb_sh26-hbm26</f>
        <v>250.4</v>
      </c>
      <c r="E574" s="16" t="n">
        <f aca="false">$D575*E571*shl_A</f>
        <v>438.361360274778</v>
      </c>
      <c r="F574" s="16" t="n">
        <f aca="false">$D575*F571*shl_A</f>
        <v>595.964866191023</v>
      </c>
      <c r="G574" s="16" t="n">
        <f aca="false">$D575*G571*shl_A</f>
        <v>700.306128441323</v>
      </c>
      <c r="I574" s="8" t="s">
        <v>585</v>
      </c>
    </row>
    <row r="575" customFormat="false" ht="17.15" hidden="false" customHeight="false" outlineLevel="0" collapsed="false">
      <c r="A575" s="5" t="s">
        <v>586</v>
      </c>
      <c r="B575" s="0" t="s">
        <v>587</v>
      </c>
      <c r="D575" s="21" t="n">
        <f aca="false">D574/D571</f>
        <v>1.66002178641913</v>
      </c>
      <c r="I575" s="5" t="s">
        <v>588</v>
      </c>
    </row>
    <row r="576" customFormat="false" ht="15" hidden="false" customHeight="false" outlineLevel="0" collapsed="false">
      <c r="A576" s="5" t="s">
        <v>589</v>
      </c>
      <c r="B576" s="0" t="s">
        <v>252</v>
      </c>
      <c r="C576" s="16" t="n">
        <f aca="false">C573+C574</f>
        <v>120</v>
      </c>
      <c r="D576" s="16" t="n">
        <f aca="false">D573+D574</f>
        <v>250.4</v>
      </c>
      <c r="E576" s="16" t="n">
        <f aca="false">E573+E574</f>
        <v>502.478631812369</v>
      </c>
      <c r="F576" s="16" t="n">
        <f aca="false">F573+F574</f>
        <v>732.998911288717</v>
      </c>
      <c r="G576" s="16" t="n">
        <f aca="false">G573+G574</f>
        <v>806.758185425751</v>
      </c>
    </row>
    <row r="577" customFormat="false" ht="17.15" hidden="false" customHeight="false" outlineLevel="0" collapsed="false">
      <c r="A577" s="5" t="s">
        <v>590</v>
      </c>
      <c r="B577" s="0" t="s">
        <v>252</v>
      </c>
      <c r="C577" s="16" t="n">
        <f aca="false">a25_rev-hb25</f>
        <v>471.3</v>
      </c>
      <c r="D577" s="16" t="n">
        <f aca="false">rev26-D576</f>
        <v>751.2</v>
      </c>
      <c r="E577" s="16" t="n">
        <f aca="false">D577*(1+el*eqgA_27)</f>
        <v>900.497182193768</v>
      </c>
      <c r="F577" s="16" t="n">
        <f aca="false">E577*(1+el*eqgA_28)</f>
        <v>1015.22529871935</v>
      </c>
      <c r="G577" s="16" t="n">
        <f aca="false">F577*(1+el*eqgA_29)</f>
        <v>1075.58315674599</v>
      </c>
      <c r="I577" s="8" t="s">
        <v>591</v>
      </c>
    </row>
    <row r="578" customFormat="false" ht="15" hidden="false" customHeight="false" outlineLevel="0" collapsed="false">
      <c r="A578" s="5" t="s">
        <v>499</v>
      </c>
      <c r="B578" s="0" t="s">
        <v>252</v>
      </c>
      <c r="C578" s="16" t="n">
        <f aca="false">C576+C577</f>
        <v>591.3</v>
      </c>
      <c r="D578" s="16" t="n">
        <f aca="false">D576+D577</f>
        <v>1001.6</v>
      </c>
      <c r="E578" s="16" t="n">
        <f aca="false">E576+E577</f>
        <v>1402.97581400614</v>
      </c>
      <c r="F578" s="16" t="n">
        <f aca="false">F576+F577</f>
        <v>1748.22421000807</v>
      </c>
      <c r="G578" s="16" t="n">
        <f aca="false">G576+G577</f>
        <v>1882.34134217174</v>
      </c>
    </row>
    <row r="579" customFormat="false" ht="15" hidden="false" customHeight="false" outlineLevel="0" collapsed="false">
      <c r="A579" s="5" t="s">
        <v>592</v>
      </c>
      <c r="B579" s="0" t="s">
        <v>69</v>
      </c>
      <c r="C579" s="10" t="n">
        <f aca="false">C576/C578</f>
        <v>0.202942668696093</v>
      </c>
      <c r="D579" s="10" t="n">
        <f aca="false">D576/D578</f>
        <v>0.25</v>
      </c>
      <c r="E579" s="10" t="n">
        <f aca="false">E576/E578</f>
        <v>0.358152027138346</v>
      </c>
      <c r="F579" s="10" t="n">
        <f aca="false">F576/F578</f>
        <v>0.419281981734673</v>
      </c>
      <c r="G579" s="10" t="n">
        <f aca="false">G576/G578</f>
        <v>0.428592926984729</v>
      </c>
    </row>
    <row r="580" customFormat="false" ht="17.15" hidden="false" customHeight="false" outlineLevel="0" collapsed="false">
      <c r="A580" s="5" t="s">
        <v>506</v>
      </c>
      <c r="B580" s="0" t="s">
        <v>69</v>
      </c>
      <c r="C580" s="10" t="n">
        <f aca="false">a25_gp/a25_rev</f>
        <v>0.633012007441231</v>
      </c>
      <c r="D580" s="10" t="n">
        <f aca="false">gp26/rev26</f>
        <v>0.646641373801917</v>
      </c>
      <c r="E580" s="10" t="n">
        <f aca="false">$D580+gm_prem*(E579-$D579)+0</f>
        <v>0.655293535972985</v>
      </c>
      <c r="F580" s="10" t="n">
        <f aca="false">$D580+gm_prem*(F579-$D579)+0</f>
        <v>0.660183932340691</v>
      </c>
      <c r="G580" s="10" t="n">
        <f aca="false">$D580+gm_prem*(G579-$D579)+0</f>
        <v>0.660928807960695</v>
      </c>
      <c r="I580" s="8" t="s">
        <v>593</v>
      </c>
    </row>
    <row r="581" customFormat="false" ht="15" hidden="false" customHeight="false" outlineLevel="0" collapsed="false">
      <c r="A581" s="5" t="s">
        <v>502</v>
      </c>
      <c r="B581" s="0" t="s">
        <v>252</v>
      </c>
      <c r="C581" s="16" t="n">
        <f aca="false">a25_gp</f>
        <v>374.3</v>
      </c>
      <c r="D581" s="16" t="n">
        <f aca="false">gp26</f>
        <v>647.676</v>
      </c>
      <c r="E581" s="16" t="n">
        <f aca="false">E578*E580</f>
        <v>919.360982044658</v>
      </c>
      <c r="F581" s="16" t="n">
        <f aca="false">F578*F580</f>
        <v>1154.14953357632</v>
      </c>
      <c r="G581" s="16" t="n">
        <f aca="false">G578*G580</f>
        <v>1244.09361945671</v>
      </c>
    </row>
    <row r="582" customFormat="false" ht="17.15" hidden="false" customHeight="false" outlineLevel="0" collapsed="false">
      <c r="A582" s="5" t="s">
        <v>594</v>
      </c>
      <c r="B582" s="0" t="s">
        <v>252</v>
      </c>
      <c r="C582" s="16" t="n">
        <f aca="false">a25_opx</f>
        <v>201.2</v>
      </c>
      <c r="D582" s="16" t="n">
        <f aca="false">opx26</f>
        <v>223.1325</v>
      </c>
      <c r="E582" s="16" t="n">
        <f aca="false">opex_fix+opex_var*E578</f>
        <v>258.899268697574</v>
      </c>
      <c r="F582" s="16" t="n">
        <f aca="false">opex_fix+opex_var*F578</f>
        <v>289.664499416783</v>
      </c>
      <c r="G582" s="16" t="n">
        <f aca="false">opex_fix+opex_var*G578</f>
        <v>301.615733838713</v>
      </c>
      <c r="I582" s="5" t="s">
        <v>595</v>
      </c>
    </row>
    <row r="583" customFormat="false" ht="15" hidden="false" customHeight="false" outlineLevel="0" collapsed="false">
      <c r="A583" s="5" t="s">
        <v>510</v>
      </c>
      <c r="B583" s="0" t="s">
        <v>252</v>
      </c>
      <c r="C583" s="16" t="n">
        <f aca="false">C581-C582</f>
        <v>173.1</v>
      </c>
      <c r="D583" s="16" t="n">
        <f aca="false">D581-D582</f>
        <v>424.5435</v>
      </c>
      <c r="E583" s="16" t="n">
        <f aca="false">E581-E582</f>
        <v>660.461713347084</v>
      </c>
      <c r="F583" s="16" t="n">
        <f aca="false">F581-F582</f>
        <v>864.485034159541</v>
      </c>
      <c r="G583" s="16" t="n">
        <f aca="false">G581-G582</f>
        <v>942.477885617993</v>
      </c>
    </row>
    <row r="584" customFormat="false" ht="15" hidden="false" customHeight="false" outlineLevel="0" collapsed="false">
      <c r="A584" s="5" t="s">
        <v>555</v>
      </c>
      <c r="B584" s="0" t="s">
        <v>69</v>
      </c>
      <c r="C584" s="10" t="n">
        <f aca="false">C583/C578</f>
        <v>0.292744799594115</v>
      </c>
      <c r="D584" s="10" t="n">
        <f aca="false">D583/D578</f>
        <v>0.423865315495208</v>
      </c>
      <c r="E584" s="10" t="n">
        <f aca="false">E583/E578</f>
        <v>0.470757732780271</v>
      </c>
      <c r="F584" s="10" t="n">
        <f aca="false">F583/F578</f>
        <v>0.494493228734975</v>
      </c>
      <c r="G584" s="10" t="n">
        <f aca="false">G583/G578</f>
        <v>0.500694461999444</v>
      </c>
    </row>
    <row r="585" customFormat="false" ht="15" hidden="false" customHeight="false" outlineLevel="0" collapsed="false">
      <c r="A585" s="5" t="s">
        <v>515</v>
      </c>
      <c r="B585" s="0" t="s">
        <v>252</v>
      </c>
      <c r="C585" s="16" t="n">
        <f aca="false">a25_ni</f>
        <v>131.6</v>
      </c>
      <c r="D585" s="16" t="n">
        <f aca="false">ni26</f>
        <v>348.2641275</v>
      </c>
      <c r="E585" s="16" t="n">
        <f aca="false">(E583-fin)*(1-tax)</f>
        <v>553.999382045227</v>
      </c>
      <c r="F585" s="16" t="n">
        <f aca="false">(F583-fin)*(1-tax)</f>
        <v>730.479554548003</v>
      </c>
      <c r="G585" s="16" t="n">
        <f aca="false">(G583-fin)*(1-tax)</f>
        <v>797.943371059564</v>
      </c>
    </row>
    <row r="586" customFormat="false" ht="15" hidden="false" customHeight="false" outlineLevel="0" collapsed="false">
      <c r="A586" s="0" t="s">
        <v>556</v>
      </c>
      <c r="B586" s="0" t="s">
        <v>271</v>
      </c>
      <c r="C586" s="18" t="n">
        <f aca="false">a25_eps</f>
        <v>1.66</v>
      </c>
      <c r="D586" s="18" t="n">
        <f aca="false">eps26</f>
        <v>4.3364299400653</v>
      </c>
      <c r="E586" s="18" t="n">
        <f aca="false">E585/shares</f>
        <v>6.87331322873277</v>
      </c>
      <c r="F586" s="18" t="n">
        <f aca="false">F585/shares</f>
        <v>9.06285268235862</v>
      </c>
      <c r="G586" s="18" t="n">
        <f aca="false">G585/shares</f>
        <v>9.8998571222875</v>
      </c>
    </row>
    <row r="587" customFormat="false" ht="17.15" hidden="false" customHeight="false" outlineLevel="0" collapsed="false">
      <c r="A587" s="5" t="s">
        <v>596</v>
      </c>
      <c r="B587" s="5" t="s">
        <v>390</v>
      </c>
      <c r="C587" s="19" t="n">
        <f aca="false">C576/asp</f>
        <v>48</v>
      </c>
      <c r="D587" s="19" t="n">
        <f aca="false">D576/asp</f>
        <v>100.16</v>
      </c>
      <c r="E587" s="19" t="n">
        <f aca="false">E576/asp</f>
        <v>200.991452724948</v>
      </c>
      <c r="F587" s="19" t="n">
        <f aca="false">F576/asp</f>
        <v>293.199564515487</v>
      </c>
      <c r="G587" s="19" t="n">
        <f aca="false">G576/asp</f>
        <v>322.703274170301</v>
      </c>
    </row>
    <row r="600" customFormat="false" ht="17.15" hidden="false" customHeight="false" outlineLevel="0" collapsed="false">
      <c r="A600" s="4" t="s">
        <v>905</v>
      </c>
    </row>
    <row r="601" customFormat="false" ht="15" hidden="false" customHeight="false" outlineLevel="0" collapsed="false">
      <c r="A601" s="6" t="s">
        <v>21</v>
      </c>
      <c r="B601" s="6" t="s">
        <v>22</v>
      </c>
      <c r="C601" s="14" t="s">
        <v>524</v>
      </c>
      <c r="D601" s="14" t="s">
        <v>525</v>
      </c>
      <c r="E601" s="14" t="s">
        <v>526</v>
      </c>
      <c r="F601" s="14" t="s">
        <v>527</v>
      </c>
      <c r="G601" s="14" t="s">
        <v>528</v>
      </c>
      <c r="H601" s="14" t="s">
        <v>529</v>
      </c>
      <c r="I601" s="6" t="s">
        <v>427</v>
      </c>
    </row>
    <row r="602" customFormat="false" ht="17.15" hidden="false" customHeight="false" outlineLevel="0" collapsed="false">
      <c r="A602" s="1" t="s">
        <v>559</v>
      </c>
    </row>
    <row r="603" customFormat="false" ht="17.15" hidden="false" customHeight="false" outlineLevel="0" collapsed="false">
      <c r="A603" s="0" t="s">
        <v>560</v>
      </c>
      <c r="B603" s="0" t="s">
        <v>32</v>
      </c>
      <c r="C603" s="18" t="n">
        <f aca="false">hsA_25</f>
        <v>2.22511470588235</v>
      </c>
      <c r="D603" s="18" t="n">
        <f aca="false">hsA_26</f>
        <v>3.782695</v>
      </c>
      <c r="E603" s="18" t="n">
        <f aca="false">hsA_27</f>
        <v>5.86317725</v>
      </c>
      <c r="F603" s="18" t="n">
        <f aca="false">hsA_28</f>
        <v>8.5016070125</v>
      </c>
      <c r="G603" s="18" t="n">
        <f aca="false">hsA_29</f>
        <v>11.477169466875</v>
      </c>
      <c r="H603" s="18" t="n">
        <f aca="false">G603*(1+g_tail)</f>
        <v>12.6248864135625</v>
      </c>
      <c r="I603" s="8" t="s">
        <v>561</v>
      </c>
    </row>
    <row r="604" customFormat="false" ht="17.15" hidden="false" customHeight="false" outlineLevel="0" collapsed="false">
      <c r="A604" s="0" t="s">
        <v>562</v>
      </c>
      <c r="B604" s="0" t="s">
        <v>563</v>
      </c>
      <c r="C604" s="20" t="n">
        <f aca="false">den_25</f>
        <v>24</v>
      </c>
      <c r="D604" s="20" t="n">
        <f aca="false">den_26</f>
        <v>24</v>
      </c>
      <c r="E604" s="20" t="n">
        <f aca="false">den_27</f>
        <v>26</v>
      </c>
      <c r="F604" s="20" t="n">
        <f aca="false">den_28</f>
        <v>28</v>
      </c>
      <c r="G604" s="20" t="n">
        <f aca="false">den_29</f>
        <v>30</v>
      </c>
      <c r="H604" s="20" t="n">
        <f aca="false">den_30</f>
        <v>32</v>
      </c>
    </row>
    <row r="605" customFormat="false" ht="17.15" hidden="false" customHeight="false" outlineLevel="0" collapsed="false">
      <c r="A605" s="5" t="s">
        <v>564</v>
      </c>
      <c r="B605" s="5" t="s">
        <v>533</v>
      </c>
      <c r="C605" s="19" t="n">
        <f aca="false">C603*8000/C604</f>
        <v>741.704901960783</v>
      </c>
      <c r="D605" s="19" t="n">
        <f aca="false">D603*8000/D604</f>
        <v>1260.89833333333</v>
      </c>
      <c r="E605" s="19" t="n">
        <f aca="false">E603*8000/E604</f>
        <v>1804.05453846154</v>
      </c>
      <c r="F605" s="19" t="n">
        <f aca="false">F603*8000/F604</f>
        <v>2429.030575</v>
      </c>
      <c r="G605" s="19" t="n">
        <f aca="false">G603*8000/G604</f>
        <v>3060.5785245</v>
      </c>
      <c r="H605" s="19" t="n">
        <f aca="false">H603*8000/H604</f>
        <v>3156.22160339063</v>
      </c>
      <c r="I605" s="8" t="s">
        <v>565</v>
      </c>
    </row>
    <row r="606" customFormat="false" ht="15" hidden="false" customHeight="false" outlineLevel="0" collapsed="false">
      <c r="A606" s="5" t="s">
        <v>566</v>
      </c>
      <c r="B606" s="5" t="s">
        <v>96</v>
      </c>
      <c r="C606" s="20" t="n">
        <f aca="false">stk_25</f>
        <v>10</v>
      </c>
      <c r="D606" s="20" t="n">
        <f aca="false">stk_26</f>
        <v>12</v>
      </c>
      <c r="E606" s="20" t="n">
        <f aca="false">stk_27</f>
        <v>12.5</v>
      </c>
      <c r="F606" s="20" t="n">
        <f aca="false">stk_28</f>
        <v>14</v>
      </c>
      <c r="G606" s="20" t="n">
        <f aca="false">stk_29</f>
        <v>15</v>
      </c>
      <c r="H606" s="20" t="n">
        <f aca="false">stk_30</f>
        <v>16</v>
      </c>
    </row>
    <row r="607" customFormat="false" ht="15" hidden="false" customHeight="false" outlineLevel="0" collapsed="false">
      <c r="A607" s="5" t="s">
        <v>567</v>
      </c>
      <c r="B607" s="0" t="s">
        <v>116</v>
      </c>
      <c r="C607" s="21" t="n">
        <f aca="false">1+beta*(C606-$C606)/4</f>
        <v>1</v>
      </c>
      <c r="D607" s="21" t="n">
        <f aca="false">1+beta*(D606-$C606)/4</f>
        <v>1.05</v>
      </c>
      <c r="E607" s="21" t="n">
        <f aca="false">1+beta*(E606-$C606)/4</f>
        <v>1.0625</v>
      </c>
      <c r="F607" s="21" t="n">
        <f aca="false">1+beta*(F606-$C606)/4</f>
        <v>1.1</v>
      </c>
      <c r="G607" s="21" t="n">
        <f aca="false">1+beta*(G606-$C606)/4</f>
        <v>1.125</v>
      </c>
      <c r="H607" s="21" t="n">
        <f aca="false">1+beta*(H606-$C606)/4</f>
        <v>1.15</v>
      </c>
    </row>
    <row r="608" customFormat="false" ht="17.15" hidden="false" customHeight="false" outlineLevel="0" collapsed="false">
      <c r="A608" s="5" t="s">
        <v>568</v>
      </c>
      <c r="B608" s="0" t="s">
        <v>69</v>
      </c>
      <c r="C608" s="10" t="n">
        <f aca="false">hbp_25_hi</f>
        <v>0</v>
      </c>
      <c r="D608" s="10" t="n">
        <f aca="false">hbp_26_hi</f>
        <v>0</v>
      </c>
      <c r="E608" s="10" t="n">
        <f aca="false">hbp_27_hi</f>
        <v>0.05</v>
      </c>
      <c r="F608" s="10" t="n">
        <f aca="false">hbp_28_hi</f>
        <v>0.15</v>
      </c>
      <c r="G608" s="10" t="n">
        <f aca="false">hbp_29_hi</f>
        <v>0.3</v>
      </c>
      <c r="H608" s="10" t="n">
        <f aca="false">hbp_30_hi</f>
        <v>0.4</v>
      </c>
      <c r="I608" s="5" t="s">
        <v>569</v>
      </c>
    </row>
    <row r="609" customFormat="false" ht="17.15" hidden="false" customHeight="false" outlineLevel="0" collapsed="false">
      <c r="A609" s="5" t="s">
        <v>570</v>
      </c>
      <c r="B609" s="5" t="s">
        <v>571</v>
      </c>
      <c r="C609" s="19" t="n">
        <f aca="false">C605*C607*C608</f>
        <v>0</v>
      </c>
      <c r="D609" s="19" t="n">
        <f aca="false">D605*D607*D608</f>
        <v>0</v>
      </c>
      <c r="E609" s="19" t="n">
        <f aca="false">E605*E607*E608</f>
        <v>95.8403973557692</v>
      </c>
      <c r="F609" s="19" t="n">
        <f aca="false">F605*F607*F608</f>
        <v>400.790044875</v>
      </c>
      <c r="G609" s="19" t="n">
        <f aca="false">G605*G607*G608</f>
        <v>1032.94525201875</v>
      </c>
      <c r="H609" s="19" t="n">
        <f aca="false">H605*H607*H608</f>
        <v>1451.86193755969</v>
      </c>
    </row>
    <row r="610" customFormat="false" ht="17.15" hidden="false" customHeight="false" outlineLevel="0" collapsed="false">
      <c r="A610" s="5" t="s">
        <v>572</v>
      </c>
      <c r="B610" s="5" t="s">
        <v>390</v>
      </c>
      <c r="C610" s="19" t="n">
        <f aca="false">C609/thr</f>
        <v>0</v>
      </c>
      <c r="D610" s="19" t="n">
        <f aca="false">D609/thr</f>
        <v>0</v>
      </c>
      <c r="E610" s="19" t="n">
        <f aca="false">E609/thr</f>
        <v>15.6295494709343</v>
      </c>
      <c r="F610" s="19" t="n">
        <f aca="false">F609/thr</f>
        <v>65.3604117539139</v>
      </c>
      <c r="G610" s="19" t="n">
        <f aca="false">G609/thr</f>
        <v>168.451606656678</v>
      </c>
      <c r="H610" s="19" t="n">
        <f aca="false">H609/thr</f>
        <v>236.768091578553</v>
      </c>
    </row>
    <row r="611" customFormat="false" ht="17.15" hidden="false" customHeight="false" outlineLevel="0" collapsed="false">
      <c r="A611" s="5" t="s">
        <v>573</v>
      </c>
      <c r="B611" s="5" t="s">
        <v>390</v>
      </c>
      <c r="C611" s="19" t="n">
        <f aca="false">MAX(0,D610-C610)+dlt*C610</f>
        <v>0</v>
      </c>
      <c r="D611" s="19" t="n">
        <f aca="false">MAX(0,E610-D610)+dlt*D610</f>
        <v>15.6295494709343</v>
      </c>
      <c r="E611" s="19" t="n">
        <f aca="false">MAX(0,F610-E610)+dlt*E610</f>
        <v>51.293817230073</v>
      </c>
      <c r="F611" s="19" t="n">
        <f aca="false">MAX(0,G610-F610)+dlt*F610</f>
        <v>109.627236078156</v>
      </c>
      <c r="G611" s="19" t="n">
        <f aca="false">MAX(0,H610-G610)+dlt*G610</f>
        <v>85.1616455875428</v>
      </c>
      <c r="I611" s="5" t="s">
        <v>574</v>
      </c>
    </row>
    <row r="612" customFormat="false" ht="17.15" hidden="false" customHeight="false" outlineLevel="0" collapsed="false">
      <c r="A612" s="1" t="s">
        <v>575</v>
      </c>
    </row>
    <row r="613" customFormat="false" ht="17.15" hidden="false" customHeight="false" outlineLevel="0" collapsed="false">
      <c r="A613" s="0" t="s">
        <v>576</v>
      </c>
      <c r="B613" s="5" t="s">
        <v>146</v>
      </c>
      <c r="D613" s="19" t="n">
        <f aca="false">cow_26*1</f>
        <v>1107.85762580894</v>
      </c>
      <c r="E613" s="19" t="n">
        <f aca="false">cow_27*1</f>
        <v>2096.42857142857</v>
      </c>
      <c r="F613" s="19" t="n">
        <f aca="false">cow_28*um28_A</f>
        <v>2620.08928571429</v>
      </c>
      <c r="G613" s="19" t="n">
        <f aca="false">cow_29*um29_A</f>
        <v>3013.32589285714</v>
      </c>
      <c r="H613" s="19" t="n">
        <f aca="false">G613*(1+g_tail)</f>
        <v>3314.65848214285</v>
      </c>
      <c r="I613" s="8" t="s">
        <v>577</v>
      </c>
    </row>
    <row r="614" customFormat="false" ht="17.15" hidden="false" customHeight="false" outlineLevel="0" collapsed="false">
      <c r="A614" s="5" t="s">
        <v>578</v>
      </c>
      <c r="B614" s="0" t="s">
        <v>69</v>
      </c>
      <c r="D614" s="10" t="n">
        <f aca="false">attA_26</f>
        <v>0.08</v>
      </c>
      <c r="E614" s="10" t="n">
        <f aca="false">attA_27</f>
        <v>0.11</v>
      </c>
      <c r="F614" s="10" t="n">
        <f aca="false">attA_28</f>
        <v>0.18</v>
      </c>
      <c r="G614" s="10" t="n">
        <f aca="false">attA_29</f>
        <v>0.26</v>
      </c>
      <c r="H614" s="10" t="n">
        <f aca="false">attA_30</f>
        <v>0.34</v>
      </c>
    </row>
    <row r="615" customFormat="false" ht="15" hidden="false" customHeight="false" outlineLevel="0" collapsed="false">
      <c r="A615" s="5" t="s">
        <v>579</v>
      </c>
      <c r="B615" s="5" t="s">
        <v>539</v>
      </c>
      <c r="D615" s="16" t="n">
        <f aca="false">D613*D614</f>
        <v>88.6286100647152</v>
      </c>
      <c r="E615" s="16" t="n">
        <f aca="false">E613*E614</f>
        <v>230.607142857143</v>
      </c>
      <c r="F615" s="16" t="n">
        <f aca="false">F613*F614</f>
        <v>471.616071428572</v>
      </c>
      <c r="G615" s="16" t="n">
        <f aca="false">G613*G614</f>
        <v>783.464732142856</v>
      </c>
      <c r="H615" s="16" t="n">
        <f aca="false">H613*H614</f>
        <v>1126.98388392857</v>
      </c>
    </row>
    <row r="616" customFormat="false" ht="17.15" hidden="false" customHeight="false" outlineLevel="0" collapsed="false">
      <c r="A616" s="5" t="s">
        <v>580</v>
      </c>
      <c r="B616" s="5" t="s">
        <v>539</v>
      </c>
      <c r="D616" s="16" t="n">
        <f aca="false">MAX(0,E615-D615)+dlt*D615</f>
        <v>150.841393798899</v>
      </c>
      <c r="E616" s="16" t="n">
        <f aca="false">MAX(0,F615-E615)+dlt*E615</f>
        <v>264.069642857144</v>
      </c>
      <c r="F616" s="16" t="n">
        <f aca="false">MAX(0,G615-F615)+dlt*F615</f>
        <v>359.010267857141</v>
      </c>
      <c r="G616" s="16" t="n">
        <f aca="false">MAX(0,H615-G615)+dlt*G615</f>
        <v>421.865625</v>
      </c>
    </row>
    <row r="617" customFormat="false" ht="17.15" hidden="false" customHeight="false" outlineLevel="0" collapsed="false">
      <c r="A617" s="1" t="s">
        <v>581</v>
      </c>
    </row>
    <row r="618" customFormat="false" ht="17.15" hidden="false" customHeight="false" outlineLevel="0" collapsed="false">
      <c r="A618" s="0" t="s">
        <v>582</v>
      </c>
      <c r="B618" s="0" t="s">
        <v>252</v>
      </c>
      <c r="C618" s="16" t="n">
        <f aca="false">0</f>
        <v>0</v>
      </c>
      <c r="D618" s="16" t="n">
        <f aca="false">hbm26</f>
        <v>0</v>
      </c>
      <c r="E618" s="16" t="n">
        <f aca="false">E611*asp*shm_A_hi</f>
        <v>89.7641801526277</v>
      </c>
      <c r="F618" s="16" t="n">
        <f aca="false">F611*asp*shm_A_hi</f>
        <v>191.847663136772</v>
      </c>
      <c r="G618" s="16" t="n">
        <f aca="false">G611*asp*shm_A_hi</f>
        <v>149.0328797782</v>
      </c>
      <c r="I618" s="8" t="s">
        <v>583</v>
      </c>
    </row>
    <row r="619" customFormat="false" ht="17.15" hidden="false" customHeight="false" outlineLevel="0" collapsed="false">
      <c r="A619" s="5" t="s">
        <v>584</v>
      </c>
      <c r="B619" s="0" t="s">
        <v>252</v>
      </c>
      <c r="C619" s="16" t="n">
        <f aca="false">hb25</f>
        <v>120</v>
      </c>
      <c r="D619" s="16" t="n">
        <f aca="false">rev26*hb_sh26-hbm26</f>
        <v>250.4</v>
      </c>
      <c r="E619" s="16" t="n">
        <f aca="false">$D620*E616*shl_A</f>
        <v>438.361360274778</v>
      </c>
      <c r="F619" s="16" t="n">
        <f aca="false">$D620*F616*shl_A</f>
        <v>595.964866191023</v>
      </c>
      <c r="G619" s="16" t="n">
        <f aca="false">$D620*G616*shl_A</f>
        <v>700.306128441323</v>
      </c>
      <c r="I619" s="8" t="s">
        <v>585</v>
      </c>
    </row>
    <row r="620" customFormat="false" ht="17.15" hidden="false" customHeight="false" outlineLevel="0" collapsed="false">
      <c r="A620" s="5" t="s">
        <v>586</v>
      </c>
      <c r="B620" s="0" t="s">
        <v>587</v>
      </c>
      <c r="D620" s="21" t="n">
        <f aca="false">D619/D616</f>
        <v>1.66002178641913</v>
      </c>
      <c r="I620" s="5" t="s">
        <v>588</v>
      </c>
    </row>
    <row r="621" customFormat="false" ht="15" hidden="false" customHeight="false" outlineLevel="0" collapsed="false">
      <c r="A621" s="5" t="s">
        <v>589</v>
      </c>
      <c r="B621" s="0" t="s">
        <v>252</v>
      </c>
      <c r="C621" s="16" t="n">
        <f aca="false">C618+C619</f>
        <v>120</v>
      </c>
      <c r="D621" s="16" t="n">
        <f aca="false">D618+D619</f>
        <v>250.4</v>
      </c>
      <c r="E621" s="16" t="n">
        <f aca="false">E618+E619</f>
        <v>528.125540427405</v>
      </c>
      <c r="F621" s="16" t="n">
        <f aca="false">F618+F619</f>
        <v>787.812529327795</v>
      </c>
      <c r="G621" s="16" t="n">
        <f aca="false">G618+G619</f>
        <v>849.339008219523</v>
      </c>
    </row>
    <row r="622" customFormat="false" ht="17.15" hidden="false" customHeight="false" outlineLevel="0" collapsed="false">
      <c r="A622" s="5" t="s">
        <v>590</v>
      </c>
      <c r="B622" s="0" t="s">
        <v>252</v>
      </c>
      <c r="C622" s="16" t="n">
        <f aca="false">a25_rev-hb25</f>
        <v>471.3</v>
      </c>
      <c r="D622" s="16" t="n">
        <f aca="false">rev26-D621</f>
        <v>751.2</v>
      </c>
      <c r="E622" s="16" t="n">
        <f aca="false">D622*(1+el*eqgA_27)</f>
        <v>900.497182193768</v>
      </c>
      <c r="F622" s="16" t="n">
        <f aca="false">E622*(1+el*eqgA_28)</f>
        <v>1015.22529871935</v>
      </c>
      <c r="G622" s="16" t="n">
        <f aca="false">F622*(1+el*eqgA_29)</f>
        <v>1075.58315674599</v>
      </c>
      <c r="I622" s="8" t="s">
        <v>591</v>
      </c>
    </row>
    <row r="623" customFormat="false" ht="15" hidden="false" customHeight="false" outlineLevel="0" collapsed="false">
      <c r="A623" s="5" t="s">
        <v>499</v>
      </c>
      <c r="B623" s="0" t="s">
        <v>252</v>
      </c>
      <c r="C623" s="16" t="n">
        <f aca="false">C621+C622</f>
        <v>591.3</v>
      </c>
      <c r="D623" s="16" t="n">
        <f aca="false">D621+D622</f>
        <v>1001.6</v>
      </c>
      <c r="E623" s="16" t="n">
        <f aca="false">E621+E622</f>
        <v>1428.62272262117</v>
      </c>
      <c r="F623" s="16" t="n">
        <f aca="false">F621+F622</f>
        <v>1803.03782804715</v>
      </c>
      <c r="G623" s="16" t="n">
        <f aca="false">G621+G622</f>
        <v>1924.92216496551</v>
      </c>
    </row>
    <row r="624" customFormat="false" ht="15" hidden="false" customHeight="false" outlineLevel="0" collapsed="false">
      <c r="A624" s="5" t="s">
        <v>592</v>
      </c>
      <c r="B624" s="0" t="s">
        <v>69</v>
      </c>
      <c r="C624" s="10" t="n">
        <f aca="false">C621/C623</f>
        <v>0.202942668696093</v>
      </c>
      <c r="D624" s="10" t="n">
        <f aca="false">D621/D623</f>
        <v>0.25</v>
      </c>
      <c r="E624" s="10" t="n">
        <f aca="false">E621/E623</f>
        <v>0.369674604823885</v>
      </c>
      <c r="F624" s="10" t="n">
        <f aca="false">F621/F623</f>
        <v>0.436936217905682</v>
      </c>
      <c r="G624" s="10" t="n">
        <f aca="false">G621/G623</f>
        <v>0.441232909921186</v>
      </c>
    </row>
    <row r="625" customFormat="false" ht="17.15" hidden="false" customHeight="false" outlineLevel="0" collapsed="false">
      <c r="A625" s="5" t="s">
        <v>506</v>
      </c>
      <c r="B625" s="0" t="s">
        <v>69</v>
      </c>
      <c r="C625" s="10" t="n">
        <f aca="false">a25_gp/a25_rev</f>
        <v>0.633012007441231</v>
      </c>
      <c r="D625" s="10" t="n">
        <f aca="false">gp26/rev26</f>
        <v>0.646641373801917</v>
      </c>
      <c r="E625" s="10" t="n">
        <f aca="false">$D625+gm_prem*(E624-$D624)+0</f>
        <v>0.656215342187828</v>
      </c>
      <c r="F625" s="10" t="n">
        <f aca="false">$D625+gm_prem*(F624-$D624)+0</f>
        <v>0.661596271234371</v>
      </c>
      <c r="G625" s="10" t="n">
        <f aca="false">$D625+gm_prem*(G624-$D624)+0</f>
        <v>0.661940006595612</v>
      </c>
      <c r="I625" s="8" t="s">
        <v>593</v>
      </c>
    </row>
    <row r="626" customFormat="false" ht="15" hidden="false" customHeight="false" outlineLevel="0" collapsed="false">
      <c r="A626" s="5" t="s">
        <v>502</v>
      </c>
      <c r="B626" s="0" t="s">
        <v>252</v>
      </c>
      <c r="C626" s="16" t="n">
        <f aca="false">a25_gp</f>
        <v>374.3</v>
      </c>
      <c r="D626" s="16" t="n">
        <f aca="false">gp26</f>
        <v>647.676</v>
      </c>
      <c r="E626" s="16" t="n">
        <f aca="false">E623*E625</f>
        <v>937.484148782159</v>
      </c>
      <c r="F626" s="16" t="n">
        <f aca="false">F623*F625</f>
        <v>1192.88310393051</v>
      </c>
      <c r="G626" s="16" t="n">
        <f aca="false">G623*G625</f>
        <v>1274.18299057331</v>
      </c>
    </row>
    <row r="627" customFormat="false" ht="17.15" hidden="false" customHeight="false" outlineLevel="0" collapsed="false">
      <c r="A627" s="5" t="s">
        <v>594</v>
      </c>
      <c r="B627" s="0" t="s">
        <v>252</v>
      </c>
      <c r="C627" s="16" t="n">
        <f aca="false">a25_opx</f>
        <v>201.2</v>
      </c>
      <c r="D627" s="16" t="n">
        <f aca="false">opx26</f>
        <v>223.1325</v>
      </c>
      <c r="E627" s="16" t="n">
        <f aca="false">opex_fix+opex_var*E623</f>
        <v>261.184675581178</v>
      </c>
      <c r="F627" s="16" t="n">
        <f aca="false">opex_fix+opex_var*F623</f>
        <v>294.548964124094</v>
      </c>
      <c r="G627" s="16" t="n">
        <f aca="false">opex_fix+opex_var*G623</f>
        <v>305.410128983294</v>
      </c>
      <c r="I627" s="5" t="s">
        <v>595</v>
      </c>
    </row>
    <row r="628" customFormat="false" ht="15" hidden="false" customHeight="false" outlineLevel="0" collapsed="false">
      <c r="A628" s="5" t="s">
        <v>510</v>
      </c>
      <c r="B628" s="0" t="s">
        <v>252</v>
      </c>
      <c r="C628" s="16" t="n">
        <f aca="false">C626-C627</f>
        <v>173.1</v>
      </c>
      <c r="D628" s="16" t="n">
        <f aca="false">D626-D627</f>
        <v>424.5435</v>
      </c>
      <c r="E628" s="16" t="n">
        <f aca="false">E626-E627</f>
        <v>676.299473200981</v>
      </c>
      <c r="F628" s="16" t="n">
        <f aca="false">F626-F627</f>
        <v>898.334139806419</v>
      </c>
      <c r="G628" s="16" t="n">
        <f aca="false">G626-G627</f>
        <v>968.772861590018</v>
      </c>
    </row>
    <row r="629" customFormat="false" ht="15" hidden="false" customHeight="false" outlineLevel="0" collapsed="false">
      <c r="A629" s="5" t="s">
        <v>555</v>
      </c>
      <c r="B629" s="0" t="s">
        <v>69</v>
      </c>
      <c r="C629" s="10" t="n">
        <f aca="false">C628/C623</f>
        <v>0.292744799594115</v>
      </c>
      <c r="D629" s="10" t="n">
        <f aca="false">D628/D623</f>
        <v>0.423865315495208</v>
      </c>
      <c r="E629" s="10" t="n">
        <f aca="false">E628/E623</f>
        <v>0.473392633682976</v>
      </c>
      <c r="F629" s="10" t="n">
        <f aca="false">F628/F623</f>
        <v>0.498233662007744</v>
      </c>
      <c r="G629" s="10" t="n">
        <f aca="false">G628/G623</f>
        <v>0.50327897887101</v>
      </c>
    </row>
    <row r="630" customFormat="false" ht="15" hidden="false" customHeight="false" outlineLevel="0" collapsed="false">
      <c r="A630" s="5" t="s">
        <v>515</v>
      </c>
      <c r="B630" s="0" t="s">
        <v>252</v>
      </c>
      <c r="C630" s="16" t="n">
        <f aca="false">a25_ni</f>
        <v>131.6</v>
      </c>
      <c r="D630" s="16" t="n">
        <f aca="false">ni26</f>
        <v>348.2641275</v>
      </c>
      <c r="E630" s="16" t="n">
        <f aca="false">(E628-fin)*(1-tax)</f>
        <v>567.699044318849</v>
      </c>
      <c r="F630" s="16" t="n">
        <f aca="false">(F628-fin)*(1-tax)</f>
        <v>759.759030932552</v>
      </c>
      <c r="G630" s="16" t="n">
        <f aca="false">(G628-fin)*(1-tax)</f>
        <v>820.688525275366</v>
      </c>
    </row>
    <row r="631" customFormat="false" ht="15" hidden="false" customHeight="false" outlineLevel="0" collapsed="false">
      <c r="A631" s="0" t="s">
        <v>556</v>
      </c>
      <c r="B631" s="0" t="s">
        <v>271</v>
      </c>
      <c r="C631" s="18" t="n">
        <f aca="false">a25_eps</f>
        <v>1.66</v>
      </c>
      <c r="D631" s="18" t="n">
        <f aca="false">eps26</f>
        <v>4.3364299400653</v>
      </c>
      <c r="E631" s="18" t="n">
        <f aca="false">E630/shares</f>
        <v>7.04328105358273</v>
      </c>
      <c r="F631" s="18" t="n">
        <f aca="false">F630/shares</f>
        <v>9.42611484272663</v>
      </c>
      <c r="G631" s="18" t="n">
        <f aca="false">G630/shares</f>
        <v>10.1820498005246</v>
      </c>
    </row>
    <row r="632" customFormat="false" ht="17.15" hidden="false" customHeight="false" outlineLevel="0" collapsed="false">
      <c r="A632" s="5" t="s">
        <v>596</v>
      </c>
      <c r="B632" s="5" t="s">
        <v>390</v>
      </c>
      <c r="C632" s="19" t="n">
        <f aca="false">C621/asp</f>
        <v>48</v>
      </c>
      <c r="D632" s="19" t="n">
        <f aca="false">D621/asp</f>
        <v>100.16</v>
      </c>
      <c r="E632" s="19" t="n">
        <f aca="false">E621/asp</f>
        <v>211.250216170962</v>
      </c>
      <c r="F632" s="19" t="n">
        <f aca="false">F621/asp</f>
        <v>315.125011731118</v>
      </c>
      <c r="G632" s="19" t="n">
        <f aca="false">G621/asp</f>
        <v>339.735603287809</v>
      </c>
    </row>
    <row r="645" customFormat="false" ht="17.15" hidden="false" customHeight="false" outlineLevel="0" collapsed="false">
      <c r="A645" s="4" t="s">
        <v>906</v>
      </c>
    </row>
    <row r="646" customFormat="false" ht="15" hidden="false" customHeight="false" outlineLevel="0" collapsed="false">
      <c r="A646" s="6" t="s">
        <v>21</v>
      </c>
      <c r="B646" s="6" t="s">
        <v>22</v>
      </c>
      <c r="C646" s="14" t="s">
        <v>524</v>
      </c>
      <c r="D646" s="14" t="s">
        <v>525</v>
      </c>
      <c r="E646" s="14" t="s">
        <v>526</v>
      </c>
      <c r="F646" s="14" t="s">
        <v>527</v>
      </c>
      <c r="G646" s="14" t="s">
        <v>528</v>
      </c>
      <c r="H646" s="14" t="s">
        <v>529</v>
      </c>
      <c r="I646" s="6" t="s">
        <v>427</v>
      </c>
    </row>
    <row r="647" customFormat="false" ht="17.15" hidden="false" customHeight="false" outlineLevel="0" collapsed="false">
      <c r="A647" s="1" t="s">
        <v>559</v>
      </c>
    </row>
    <row r="648" customFormat="false" ht="17.15" hidden="false" customHeight="false" outlineLevel="0" collapsed="false">
      <c r="A648" s="0" t="s">
        <v>560</v>
      </c>
      <c r="B648" s="0" t="s">
        <v>32</v>
      </c>
      <c r="C648" s="18" t="n">
        <f aca="false">hsA_25</f>
        <v>2.22511470588235</v>
      </c>
      <c r="D648" s="18" t="n">
        <f aca="false">hsA_26</f>
        <v>3.782695</v>
      </c>
      <c r="E648" s="18" t="n">
        <f aca="false">hsA_27</f>
        <v>5.86317725</v>
      </c>
      <c r="F648" s="18" t="n">
        <f aca="false">hsA_28</f>
        <v>8.5016070125</v>
      </c>
      <c r="G648" s="18" t="n">
        <f aca="false">hsA_29</f>
        <v>11.477169466875</v>
      </c>
      <c r="H648" s="18" t="n">
        <f aca="false">G648*(1+g_tail)</f>
        <v>12.6248864135625</v>
      </c>
      <c r="I648" s="8" t="s">
        <v>561</v>
      </c>
    </row>
    <row r="649" customFormat="false" ht="17.15" hidden="false" customHeight="false" outlineLevel="0" collapsed="false">
      <c r="A649" s="0" t="s">
        <v>562</v>
      </c>
      <c r="B649" s="0" t="s">
        <v>563</v>
      </c>
      <c r="C649" s="20" t="n">
        <f aca="false">den_25</f>
        <v>24</v>
      </c>
      <c r="D649" s="20" t="n">
        <f aca="false">den_26</f>
        <v>24</v>
      </c>
      <c r="E649" s="20" t="n">
        <f aca="false">den_27</f>
        <v>26</v>
      </c>
      <c r="F649" s="20" t="n">
        <f aca="false">den_28</f>
        <v>28</v>
      </c>
      <c r="G649" s="20" t="n">
        <f aca="false">den_29</f>
        <v>30</v>
      </c>
      <c r="H649" s="20" t="n">
        <f aca="false">den_30</f>
        <v>32</v>
      </c>
    </row>
    <row r="650" customFormat="false" ht="17.15" hidden="false" customHeight="false" outlineLevel="0" collapsed="false">
      <c r="A650" s="5" t="s">
        <v>564</v>
      </c>
      <c r="B650" s="5" t="s">
        <v>533</v>
      </c>
      <c r="C650" s="19" t="n">
        <f aca="false">C648*8000/C649</f>
        <v>741.704901960783</v>
      </c>
      <c r="D650" s="19" t="n">
        <f aca="false">D648*8000/D649</f>
        <v>1260.89833333333</v>
      </c>
      <c r="E650" s="19" t="n">
        <f aca="false">E648*8000/E649</f>
        <v>1804.05453846154</v>
      </c>
      <c r="F650" s="19" t="n">
        <f aca="false">F648*8000/F649</f>
        <v>2429.030575</v>
      </c>
      <c r="G650" s="19" t="n">
        <f aca="false">G648*8000/G649</f>
        <v>3060.5785245</v>
      </c>
      <c r="H650" s="19" t="n">
        <f aca="false">H648*8000/H649</f>
        <v>3156.22160339063</v>
      </c>
      <c r="I650" s="8" t="s">
        <v>565</v>
      </c>
    </row>
    <row r="651" customFormat="false" ht="15" hidden="false" customHeight="false" outlineLevel="0" collapsed="false">
      <c r="A651" s="5" t="s">
        <v>566</v>
      </c>
      <c r="B651" s="5" t="s">
        <v>96</v>
      </c>
      <c r="C651" s="20" t="n">
        <f aca="false">stk_25</f>
        <v>10</v>
      </c>
      <c r="D651" s="20" t="n">
        <f aca="false">stk_26</f>
        <v>12</v>
      </c>
      <c r="E651" s="20" t="n">
        <f aca="false">stk_27</f>
        <v>12.5</v>
      </c>
      <c r="F651" s="20" t="n">
        <f aca="false">stk_28</f>
        <v>14</v>
      </c>
      <c r="G651" s="20" t="n">
        <f aca="false">stk_29</f>
        <v>15</v>
      </c>
      <c r="H651" s="20" t="n">
        <f aca="false">stk_30</f>
        <v>16</v>
      </c>
    </row>
    <row r="652" customFormat="false" ht="15" hidden="false" customHeight="false" outlineLevel="0" collapsed="false">
      <c r="A652" s="5" t="s">
        <v>567</v>
      </c>
      <c r="B652" s="0" t="s">
        <v>116</v>
      </c>
      <c r="C652" s="21" t="n">
        <f aca="false">1+beta*(C651-$C651)/4</f>
        <v>1</v>
      </c>
      <c r="D652" s="21" t="n">
        <f aca="false">1+beta*(D651-$C651)/4</f>
        <v>1.05</v>
      </c>
      <c r="E652" s="21" t="n">
        <f aca="false">1+beta*(E651-$C651)/4</f>
        <v>1.0625</v>
      </c>
      <c r="F652" s="21" t="n">
        <f aca="false">1+beta*(F651-$C651)/4</f>
        <v>1.1</v>
      </c>
      <c r="G652" s="21" t="n">
        <f aca="false">1+beta*(G651-$C651)/4</f>
        <v>1.125</v>
      </c>
      <c r="H652" s="21" t="n">
        <f aca="false">1+beta*(H651-$C651)/4</f>
        <v>1.15</v>
      </c>
    </row>
    <row r="653" customFormat="false" ht="17.15" hidden="false" customHeight="false" outlineLevel="0" collapsed="false">
      <c r="A653" s="5" t="s">
        <v>568</v>
      </c>
      <c r="B653" s="0" t="s">
        <v>69</v>
      </c>
      <c r="C653" s="10" t="n">
        <f aca="false">hbp_25_hi</f>
        <v>0</v>
      </c>
      <c r="D653" s="10" t="n">
        <f aca="false">hbp_26_hi</f>
        <v>0</v>
      </c>
      <c r="E653" s="10" t="n">
        <f aca="false">hbp_27_hi</f>
        <v>0.05</v>
      </c>
      <c r="F653" s="10" t="n">
        <f aca="false">hbp_28_hi</f>
        <v>0.15</v>
      </c>
      <c r="G653" s="10" t="n">
        <f aca="false">hbp_29_hi</f>
        <v>0.3</v>
      </c>
      <c r="H653" s="10" t="n">
        <f aca="false">hbp_30_hi</f>
        <v>0.4</v>
      </c>
      <c r="I653" s="5" t="s">
        <v>569</v>
      </c>
    </row>
    <row r="654" customFormat="false" ht="17.15" hidden="false" customHeight="false" outlineLevel="0" collapsed="false">
      <c r="A654" s="5" t="s">
        <v>570</v>
      </c>
      <c r="B654" s="5" t="s">
        <v>571</v>
      </c>
      <c r="C654" s="19" t="n">
        <f aca="false">C650*C652*C653</f>
        <v>0</v>
      </c>
      <c r="D654" s="19" t="n">
        <f aca="false">D650*D652*D653</f>
        <v>0</v>
      </c>
      <c r="E654" s="19" t="n">
        <f aca="false">E650*E652*E653</f>
        <v>95.8403973557692</v>
      </c>
      <c r="F654" s="19" t="n">
        <f aca="false">F650*F652*F653</f>
        <v>400.790044875</v>
      </c>
      <c r="G654" s="19" t="n">
        <f aca="false">G650*G652*G653</f>
        <v>1032.94525201875</v>
      </c>
      <c r="H654" s="19" t="n">
        <f aca="false">H650*H652*H653</f>
        <v>1451.86193755969</v>
      </c>
    </row>
    <row r="655" customFormat="false" ht="17.15" hidden="false" customHeight="false" outlineLevel="0" collapsed="false">
      <c r="A655" s="5" t="s">
        <v>572</v>
      </c>
      <c r="B655" s="5" t="s">
        <v>390</v>
      </c>
      <c r="C655" s="19" t="n">
        <f aca="false">C654/thr</f>
        <v>0</v>
      </c>
      <c r="D655" s="19" t="n">
        <f aca="false">D654/thr</f>
        <v>0</v>
      </c>
      <c r="E655" s="19" t="n">
        <f aca="false">E654/thr</f>
        <v>15.6295494709343</v>
      </c>
      <c r="F655" s="19" t="n">
        <f aca="false">F654/thr</f>
        <v>65.3604117539139</v>
      </c>
      <c r="G655" s="19" t="n">
        <f aca="false">G654/thr</f>
        <v>168.451606656678</v>
      </c>
      <c r="H655" s="19" t="n">
        <f aca="false">H654/thr</f>
        <v>236.768091578553</v>
      </c>
    </row>
    <row r="656" customFormat="false" ht="17.15" hidden="false" customHeight="false" outlineLevel="0" collapsed="false">
      <c r="A656" s="5" t="s">
        <v>573</v>
      </c>
      <c r="B656" s="5" t="s">
        <v>390</v>
      </c>
      <c r="C656" s="19" t="n">
        <f aca="false">MAX(0,D655-C655)+dlt*C655</f>
        <v>0</v>
      </c>
      <c r="D656" s="19" t="n">
        <f aca="false">MAX(0,E655-D655)+dlt*D655</f>
        <v>15.6295494709343</v>
      </c>
      <c r="E656" s="19" t="n">
        <f aca="false">MAX(0,F655-E655)+dlt*E655</f>
        <v>51.293817230073</v>
      </c>
      <c r="F656" s="19" t="n">
        <f aca="false">MAX(0,G655-F655)+dlt*F655</f>
        <v>109.627236078156</v>
      </c>
      <c r="G656" s="19" t="n">
        <f aca="false">MAX(0,H655-G655)+dlt*G655</f>
        <v>85.1616455875428</v>
      </c>
      <c r="I656" s="5" t="s">
        <v>574</v>
      </c>
    </row>
    <row r="657" customFormat="false" ht="17.15" hidden="false" customHeight="false" outlineLevel="0" collapsed="false">
      <c r="A657" s="1" t="s">
        <v>575</v>
      </c>
    </row>
    <row r="658" customFormat="false" ht="17.15" hidden="false" customHeight="false" outlineLevel="0" collapsed="false">
      <c r="A658" s="0" t="s">
        <v>576</v>
      </c>
      <c r="B658" s="5" t="s">
        <v>146</v>
      </c>
      <c r="D658" s="19" t="n">
        <f aca="false">cow_26*1</f>
        <v>1107.85762580894</v>
      </c>
      <c r="E658" s="19" t="n">
        <f aca="false">cow_27*1</f>
        <v>2096.42857142857</v>
      </c>
      <c r="F658" s="19" t="n">
        <f aca="false">cow_28*um28_A</f>
        <v>2620.08928571429</v>
      </c>
      <c r="G658" s="19" t="n">
        <f aca="false">cow_29*um29_A</f>
        <v>3013.32589285714</v>
      </c>
      <c r="H658" s="19" t="n">
        <f aca="false">G658*(1+g_tail)</f>
        <v>3314.65848214285</v>
      </c>
      <c r="I658" s="8" t="s">
        <v>577</v>
      </c>
    </row>
    <row r="659" customFormat="false" ht="17.15" hidden="false" customHeight="false" outlineLevel="0" collapsed="false">
      <c r="A659" s="5" t="s">
        <v>578</v>
      </c>
      <c r="B659" s="0" t="s">
        <v>69</v>
      </c>
      <c r="D659" s="10" t="n">
        <f aca="false">attA_26</f>
        <v>0.08</v>
      </c>
      <c r="E659" s="10" t="n">
        <f aca="false">attA_27</f>
        <v>0.11</v>
      </c>
      <c r="F659" s="10" t="n">
        <f aca="false">attA_28</f>
        <v>0.18</v>
      </c>
      <c r="G659" s="10" t="n">
        <f aca="false">attA_29</f>
        <v>0.26</v>
      </c>
      <c r="H659" s="10" t="n">
        <f aca="false">attA_30</f>
        <v>0.34</v>
      </c>
    </row>
    <row r="660" customFormat="false" ht="15" hidden="false" customHeight="false" outlineLevel="0" collapsed="false">
      <c r="A660" s="5" t="s">
        <v>579</v>
      </c>
      <c r="B660" s="5" t="s">
        <v>539</v>
      </c>
      <c r="D660" s="16" t="n">
        <f aca="false">D658*D659</f>
        <v>88.6286100647152</v>
      </c>
      <c r="E660" s="16" t="n">
        <f aca="false">E658*E659</f>
        <v>230.607142857143</v>
      </c>
      <c r="F660" s="16" t="n">
        <f aca="false">F658*F659</f>
        <v>471.616071428572</v>
      </c>
      <c r="G660" s="16" t="n">
        <f aca="false">G658*G659</f>
        <v>783.464732142856</v>
      </c>
      <c r="H660" s="16" t="n">
        <f aca="false">H658*H659</f>
        <v>1126.98388392857</v>
      </c>
    </row>
    <row r="661" customFormat="false" ht="17.15" hidden="false" customHeight="false" outlineLevel="0" collapsed="false">
      <c r="A661" s="5" t="s">
        <v>580</v>
      </c>
      <c r="B661" s="5" t="s">
        <v>539</v>
      </c>
      <c r="D661" s="16" t="n">
        <f aca="false">MAX(0,E660-D660)+dlt*D660</f>
        <v>150.841393798899</v>
      </c>
      <c r="E661" s="16" t="n">
        <f aca="false">MAX(0,F660-E660)+dlt*E660</f>
        <v>264.069642857144</v>
      </c>
      <c r="F661" s="16" t="n">
        <f aca="false">MAX(0,G660-F660)+dlt*F660</f>
        <v>359.010267857141</v>
      </c>
      <c r="G661" s="16" t="n">
        <f aca="false">MAX(0,H660-G660)+dlt*G660</f>
        <v>421.865625</v>
      </c>
    </row>
    <row r="662" customFormat="false" ht="17.15" hidden="false" customHeight="false" outlineLevel="0" collapsed="false">
      <c r="A662" s="1" t="s">
        <v>581</v>
      </c>
    </row>
    <row r="663" customFormat="false" ht="17.15" hidden="false" customHeight="false" outlineLevel="0" collapsed="false">
      <c r="A663" s="0" t="s">
        <v>582</v>
      </c>
      <c r="B663" s="0" t="s">
        <v>252</v>
      </c>
      <c r="C663" s="16" t="n">
        <f aca="false">0</f>
        <v>0</v>
      </c>
      <c r="D663" s="16" t="n">
        <f aca="false">hbm26</f>
        <v>0</v>
      </c>
      <c r="E663" s="16" t="n">
        <f aca="false">E656*asp*shm_A</f>
        <v>76.9407258451095</v>
      </c>
      <c r="F663" s="16" t="n">
        <f aca="false">F656*asp*shm_A</f>
        <v>164.440854117233</v>
      </c>
      <c r="G663" s="16" t="n">
        <f aca="false">G656*asp*shm_A</f>
        <v>127.742468381314</v>
      </c>
      <c r="I663" s="8" t="s">
        <v>583</v>
      </c>
    </row>
    <row r="664" customFormat="false" ht="17.15" hidden="false" customHeight="false" outlineLevel="0" collapsed="false">
      <c r="A664" s="5" t="s">
        <v>584</v>
      </c>
      <c r="B664" s="0" t="s">
        <v>252</v>
      </c>
      <c r="C664" s="16" t="n">
        <f aca="false">hb25</f>
        <v>120</v>
      </c>
      <c r="D664" s="16" t="n">
        <f aca="false">rev26*hb_sh26-hbm26</f>
        <v>250.4</v>
      </c>
      <c r="E664" s="16" t="n">
        <f aca="false">$D665*E661*shl_A_lo</f>
        <v>394.5252242473</v>
      </c>
      <c r="F664" s="16" t="n">
        <f aca="false">$D665*F661*shl_A_lo</f>
        <v>536.36837957192</v>
      </c>
      <c r="G664" s="16" t="n">
        <f aca="false">$D665*G661*shl_A_lo</f>
        <v>630.275515597191</v>
      </c>
      <c r="I664" s="8" t="s">
        <v>585</v>
      </c>
    </row>
    <row r="665" customFormat="false" ht="17.15" hidden="false" customHeight="false" outlineLevel="0" collapsed="false">
      <c r="A665" s="5" t="s">
        <v>586</v>
      </c>
      <c r="B665" s="0" t="s">
        <v>587</v>
      </c>
      <c r="D665" s="21" t="n">
        <f aca="false">D664/D661</f>
        <v>1.66002178641913</v>
      </c>
      <c r="I665" s="5" t="s">
        <v>588</v>
      </c>
    </row>
    <row r="666" customFormat="false" ht="15" hidden="false" customHeight="false" outlineLevel="0" collapsed="false">
      <c r="A666" s="5" t="s">
        <v>589</v>
      </c>
      <c r="B666" s="0" t="s">
        <v>252</v>
      </c>
      <c r="C666" s="16" t="n">
        <f aca="false">C663+C664</f>
        <v>120</v>
      </c>
      <c r="D666" s="16" t="n">
        <f aca="false">D663+D664</f>
        <v>250.4</v>
      </c>
      <c r="E666" s="16" t="n">
        <f aca="false">E663+E664</f>
        <v>471.465950092409</v>
      </c>
      <c r="F666" s="16" t="n">
        <f aca="false">F663+F664</f>
        <v>700.809233689154</v>
      </c>
      <c r="G666" s="16" t="n">
        <f aca="false">G663+G664</f>
        <v>758.017983978505</v>
      </c>
    </row>
    <row r="667" customFormat="false" ht="17.15" hidden="false" customHeight="false" outlineLevel="0" collapsed="false">
      <c r="A667" s="5" t="s">
        <v>590</v>
      </c>
      <c r="B667" s="0" t="s">
        <v>252</v>
      </c>
      <c r="C667" s="16" t="n">
        <f aca="false">a25_rev-hb25</f>
        <v>471.3</v>
      </c>
      <c r="D667" s="16" t="n">
        <f aca="false">rev26-D666</f>
        <v>751.2</v>
      </c>
      <c r="E667" s="16" t="n">
        <f aca="false">D667*(1+el*eqgA_27)</f>
        <v>900.497182193768</v>
      </c>
      <c r="F667" s="16" t="n">
        <f aca="false">E667*(1+el*eqgA_28)</f>
        <v>1015.22529871935</v>
      </c>
      <c r="G667" s="16" t="n">
        <f aca="false">F667*(1+el*eqgA_29)</f>
        <v>1075.58315674599</v>
      </c>
      <c r="I667" s="8" t="s">
        <v>591</v>
      </c>
    </row>
    <row r="668" customFormat="false" ht="15" hidden="false" customHeight="false" outlineLevel="0" collapsed="false">
      <c r="A668" s="5" t="s">
        <v>499</v>
      </c>
      <c r="B668" s="0" t="s">
        <v>252</v>
      </c>
      <c r="C668" s="16" t="n">
        <f aca="false">C666+C667</f>
        <v>591.3</v>
      </c>
      <c r="D668" s="16" t="n">
        <f aca="false">D666+D667</f>
        <v>1001.6</v>
      </c>
      <c r="E668" s="16" t="n">
        <f aca="false">E666+E667</f>
        <v>1371.96313228618</v>
      </c>
      <c r="F668" s="16" t="n">
        <f aca="false">F666+F667</f>
        <v>1716.03453240851</v>
      </c>
      <c r="G668" s="16" t="n">
        <f aca="false">G666+G667</f>
        <v>1833.6011407245</v>
      </c>
    </row>
    <row r="669" customFormat="false" ht="15" hidden="false" customHeight="false" outlineLevel="0" collapsed="false">
      <c r="A669" s="5" t="s">
        <v>592</v>
      </c>
      <c r="B669" s="0" t="s">
        <v>69</v>
      </c>
      <c r="C669" s="10" t="n">
        <f aca="false">C666/C668</f>
        <v>0.202942668696093</v>
      </c>
      <c r="D669" s="10" t="n">
        <f aca="false">D666/D668</f>
        <v>0.25</v>
      </c>
      <c r="E669" s="10" t="n">
        <f aca="false">E666/E668</f>
        <v>0.343643308626508</v>
      </c>
      <c r="F669" s="10" t="n">
        <f aca="false">F666/F668</f>
        <v>0.408388771003079</v>
      </c>
      <c r="G669" s="10" t="n">
        <f aca="false">G666/G668</f>
        <v>0.413403966185904</v>
      </c>
    </row>
    <row r="670" customFormat="false" ht="17.15" hidden="false" customHeight="false" outlineLevel="0" collapsed="false">
      <c r="A670" s="5" t="s">
        <v>506</v>
      </c>
      <c r="B670" s="0" t="s">
        <v>69</v>
      </c>
      <c r="C670" s="10" t="n">
        <f aca="false">a25_gp/a25_rev</f>
        <v>0.633012007441231</v>
      </c>
      <c r="D670" s="10" t="n">
        <f aca="false">gp26/rev26</f>
        <v>0.646641373801917</v>
      </c>
      <c r="E670" s="10" t="n">
        <f aca="false">$D670+gm_prem*(E669-$D669)+0</f>
        <v>0.654132838492038</v>
      </c>
      <c r="F670" s="10" t="n">
        <f aca="false">$D670+gm_prem*(F669-$D669)+0</f>
        <v>0.659312475482163</v>
      </c>
      <c r="G670" s="10" t="n">
        <f aca="false">$D670+gm_prem*(G669-$D669)+0</f>
        <v>0.659713691096789</v>
      </c>
      <c r="I670" s="8" t="s">
        <v>593</v>
      </c>
    </row>
    <row r="671" customFormat="false" ht="15" hidden="false" customHeight="false" outlineLevel="0" collapsed="false">
      <c r="A671" s="5" t="s">
        <v>502</v>
      </c>
      <c r="B671" s="0" t="s">
        <v>252</v>
      </c>
      <c r="C671" s="16" t="n">
        <f aca="false">a25_gp</f>
        <v>374.3</v>
      </c>
      <c r="D671" s="16" t="n">
        <f aca="false">gp26</f>
        <v>647.676</v>
      </c>
      <c r="E671" s="16" t="n">
        <f aca="false">E668*E670</f>
        <v>897.446138028784</v>
      </c>
      <c r="F671" s="16" t="n">
        <f aca="false">F668*F670</f>
        <v>1131.40297557513</v>
      </c>
      <c r="G671" s="16" t="n">
        <f aca="false">G668*G670</f>
        <v>1209.65177654664</v>
      </c>
    </row>
    <row r="672" customFormat="false" ht="17.15" hidden="false" customHeight="false" outlineLevel="0" collapsed="false">
      <c r="A672" s="5" t="s">
        <v>594</v>
      </c>
      <c r="B672" s="0" t="s">
        <v>252</v>
      </c>
      <c r="C672" s="16" t="n">
        <f aca="false">a25_opx</f>
        <v>201.2</v>
      </c>
      <c r="D672" s="16" t="n">
        <f aca="false">opx26</f>
        <v>223.1325</v>
      </c>
      <c r="E672" s="16" t="n">
        <f aca="false">opex_fix+opex_var*E668</f>
        <v>256.135715501136</v>
      </c>
      <c r="F672" s="16" t="n">
        <f aca="false">opex_fix+opex_var*F668</f>
        <v>286.796063619266</v>
      </c>
      <c r="G672" s="16" t="n">
        <f aca="false">opex_fix+opex_var*G668</f>
        <v>297.272473854916</v>
      </c>
      <c r="I672" s="5" t="s">
        <v>595</v>
      </c>
    </row>
    <row r="673" customFormat="false" ht="15" hidden="false" customHeight="false" outlineLevel="0" collapsed="false">
      <c r="A673" s="5" t="s">
        <v>510</v>
      </c>
      <c r="B673" s="0" t="s">
        <v>252</v>
      </c>
      <c r="C673" s="16" t="n">
        <f aca="false">C671-C672</f>
        <v>173.1</v>
      </c>
      <c r="D673" s="16" t="n">
        <f aca="false">D671-D672</f>
        <v>424.5435</v>
      </c>
      <c r="E673" s="16" t="n">
        <f aca="false">E671-E672</f>
        <v>641.310422527647</v>
      </c>
      <c r="F673" s="16" t="n">
        <f aca="false">F671-F672</f>
        <v>844.606911955863</v>
      </c>
      <c r="G673" s="16" t="n">
        <f aca="false">G671-G672</f>
        <v>912.379302691725</v>
      </c>
    </row>
    <row r="674" customFormat="false" ht="15" hidden="false" customHeight="false" outlineLevel="0" collapsed="false">
      <c r="A674" s="5" t="s">
        <v>555</v>
      </c>
      <c r="B674" s="0" t="s">
        <v>69</v>
      </c>
      <c r="C674" s="10" t="n">
        <f aca="false">C673/C668</f>
        <v>0.292744799594115</v>
      </c>
      <c r="D674" s="10" t="n">
        <f aca="false">D673/D668</f>
        <v>0.423865315495208</v>
      </c>
      <c r="E674" s="10" t="n">
        <f aca="false">E673/E668</f>
        <v>0.467439982486262</v>
      </c>
      <c r="F674" s="10" t="n">
        <f aca="false">F673/F668</f>
        <v>0.492185265508866</v>
      </c>
      <c r="G674" s="10" t="n">
        <f aca="false">G673/G668</f>
        <v>0.497588751679781</v>
      </c>
    </row>
    <row r="675" customFormat="false" ht="15" hidden="false" customHeight="false" outlineLevel="0" collapsed="false">
      <c r="A675" s="5" t="s">
        <v>515</v>
      </c>
      <c r="B675" s="0" t="s">
        <v>252</v>
      </c>
      <c r="C675" s="16" t="n">
        <f aca="false">a25_ni</f>
        <v>131.6</v>
      </c>
      <c r="D675" s="16" t="n">
        <f aca="false">ni26</f>
        <v>348.2641275</v>
      </c>
      <c r="E675" s="16" t="n">
        <f aca="false">(E673-fin)*(1-tax)</f>
        <v>537.433515486415</v>
      </c>
      <c r="F675" s="16" t="n">
        <f aca="false">(F673-fin)*(1-tax)</f>
        <v>713.284978841821</v>
      </c>
      <c r="G675" s="16" t="n">
        <f aca="false">(G673-fin)*(1-tax)</f>
        <v>771.908096828342</v>
      </c>
    </row>
    <row r="676" customFormat="false" ht="15" hidden="false" customHeight="false" outlineLevel="0" collapsed="false">
      <c r="A676" s="0" t="s">
        <v>556</v>
      </c>
      <c r="B676" s="0" t="s">
        <v>271</v>
      </c>
      <c r="C676" s="18" t="n">
        <f aca="false">a25_eps</f>
        <v>1.66</v>
      </c>
      <c r="D676" s="18" t="n">
        <f aca="false">eps26</f>
        <v>4.3364299400653</v>
      </c>
      <c r="E676" s="18" t="n">
        <f aca="false">E675/shares</f>
        <v>6.66778522012063</v>
      </c>
      <c r="F676" s="18" t="n">
        <f aca="false">F675/shares</f>
        <v>8.84952445764573</v>
      </c>
      <c r="G676" s="18" t="n">
        <f aca="false">G675/shares</f>
        <v>9.5768448580382</v>
      </c>
    </row>
    <row r="677" customFormat="false" ht="17.15" hidden="false" customHeight="false" outlineLevel="0" collapsed="false">
      <c r="A677" s="5" t="s">
        <v>596</v>
      </c>
      <c r="B677" s="5" t="s">
        <v>390</v>
      </c>
      <c r="C677" s="19" t="n">
        <f aca="false">C666/asp</f>
        <v>48</v>
      </c>
      <c r="D677" s="19" t="n">
        <f aca="false">D666/asp</f>
        <v>100.16</v>
      </c>
      <c r="E677" s="19" t="n">
        <f aca="false">E666/asp</f>
        <v>188.586380036964</v>
      </c>
      <c r="F677" s="19" t="n">
        <f aca="false">F666/asp</f>
        <v>280.323693475662</v>
      </c>
      <c r="G677" s="19" t="n">
        <f aca="false">G666/asp</f>
        <v>303.207193591402</v>
      </c>
    </row>
    <row r="690" customFormat="false" ht="17.15" hidden="false" customHeight="false" outlineLevel="0" collapsed="false">
      <c r="A690" s="4" t="s">
        <v>907</v>
      </c>
    </row>
    <row r="691" customFormat="false" ht="15" hidden="false" customHeight="false" outlineLevel="0" collapsed="false">
      <c r="A691" s="6" t="s">
        <v>21</v>
      </c>
      <c r="B691" s="6" t="s">
        <v>22</v>
      </c>
      <c r="C691" s="14" t="s">
        <v>524</v>
      </c>
      <c r="D691" s="14" t="s">
        <v>525</v>
      </c>
      <c r="E691" s="14" t="s">
        <v>526</v>
      </c>
      <c r="F691" s="14" t="s">
        <v>527</v>
      </c>
      <c r="G691" s="14" t="s">
        <v>528</v>
      </c>
      <c r="H691" s="14" t="s">
        <v>529</v>
      </c>
      <c r="I691" s="6" t="s">
        <v>427</v>
      </c>
    </row>
    <row r="692" customFormat="false" ht="17.15" hidden="false" customHeight="false" outlineLevel="0" collapsed="false">
      <c r="A692" s="1" t="s">
        <v>559</v>
      </c>
    </row>
    <row r="693" customFormat="false" ht="17.15" hidden="false" customHeight="false" outlineLevel="0" collapsed="false">
      <c r="A693" s="0" t="s">
        <v>560</v>
      </c>
      <c r="B693" s="0" t="s">
        <v>32</v>
      </c>
      <c r="C693" s="18" t="n">
        <f aca="false">hsA_25</f>
        <v>2.22511470588235</v>
      </c>
      <c r="D693" s="18" t="n">
        <f aca="false">hsA_26</f>
        <v>3.782695</v>
      </c>
      <c r="E693" s="18" t="n">
        <f aca="false">hsA_27</f>
        <v>5.86317725</v>
      </c>
      <c r="F693" s="18" t="n">
        <f aca="false">hsA_28</f>
        <v>8.5016070125</v>
      </c>
      <c r="G693" s="18" t="n">
        <f aca="false">hsA_29</f>
        <v>11.477169466875</v>
      </c>
      <c r="H693" s="18" t="n">
        <f aca="false">G693*(1+g_tail)</f>
        <v>12.6248864135625</v>
      </c>
      <c r="I693" s="8" t="s">
        <v>561</v>
      </c>
    </row>
    <row r="694" customFormat="false" ht="17.15" hidden="false" customHeight="false" outlineLevel="0" collapsed="false">
      <c r="A694" s="0" t="s">
        <v>562</v>
      </c>
      <c r="B694" s="0" t="s">
        <v>563</v>
      </c>
      <c r="C694" s="20" t="n">
        <f aca="false">den_25_lo</f>
        <v>22</v>
      </c>
      <c r="D694" s="20" t="n">
        <f aca="false">den_26_lo</f>
        <v>24</v>
      </c>
      <c r="E694" s="20" t="n">
        <f aca="false">den_27_lo</f>
        <v>24</v>
      </c>
      <c r="F694" s="20" t="n">
        <f aca="false">den_28_lo</f>
        <v>24</v>
      </c>
      <c r="G694" s="20" t="n">
        <f aca="false">den_29_lo</f>
        <v>26</v>
      </c>
      <c r="H694" s="20" t="n">
        <f aca="false">den_30_lo</f>
        <v>28</v>
      </c>
    </row>
    <row r="695" customFormat="false" ht="17.15" hidden="false" customHeight="false" outlineLevel="0" collapsed="false">
      <c r="A695" s="5" t="s">
        <v>564</v>
      </c>
      <c r="B695" s="5" t="s">
        <v>533</v>
      </c>
      <c r="C695" s="19" t="n">
        <f aca="false">C693*8000/C694</f>
        <v>809.132620320855</v>
      </c>
      <c r="D695" s="19" t="n">
        <f aca="false">D693*8000/D694</f>
        <v>1260.89833333333</v>
      </c>
      <c r="E695" s="19" t="n">
        <f aca="false">E693*8000/E694</f>
        <v>1954.39241666667</v>
      </c>
      <c r="F695" s="19" t="n">
        <f aca="false">F693*8000/F694</f>
        <v>2833.86900416667</v>
      </c>
      <c r="G695" s="19" t="n">
        <f aca="false">G693*8000/G694</f>
        <v>3531.43675903846</v>
      </c>
      <c r="H695" s="19" t="n">
        <f aca="false">H693*8000/H694</f>
        <v>3607.110403875</v>
      </c>
      <c r="I695" s="8" t="s">
        <v>565</v>
      </c>
    </row>
    <row r="696" customFormat="false" ht="15" hidden="false" customHeight="false" outlineLevel="0" collapsed="false">
      <c r="A696" s="5" t="s">
        <v>566</v>
      </c>
      <c r="B696" s="5" t="s">
        <v>96</v>
      </c>
      <c r="C696" s="20" t="n">
        <f aca="false">stk_25</f>
        <v>10</v>
      </c>
      <c r="D696" s="20" t="n">
        <f aca="false">stk_26</f>
        <v>12</v>
      </c>
      <c r="E696" s="20" t="n">
        <f aca="false">stk_27</f>
        <v>12.5</v>
      </c>
      <c r="F696" s="20" t="n">
        <f aca="false">stk_28</f>
        <v>14</v>
      </c>
      <c r="G696" s="20" t="n">
        <f aca="false">stk_29</f>
        <v>15</v>
      </c>
      <c r="H696" s="20" t="n">
        <f aca="false">stk_30</f>
        <v>16</v>
      </c>
    </row>
    <row r="697" customFormat="false" ht="15" hidden="false" customHeight="false" outlineLevel="0" collapsed="false">
      <c r="A697" s="5" t="s">
        <v>567</v>
      </c>
      <c r="B697" s="0" t="s">
        <v>116</v>
      </c>
      <c r="C697" s="21" t="n">
        <f aca="false">1+beta*(C696-$C696)/4</f>
        <v>1</v>
      </c>
      <c r="D697" s="21" t="n">
        <f aca="false">1+beta*(D696-$C696)/4</f>
        <v>1.05</v>
      </c>
      <c r="E697" s="21" t="n">
        <f aca="false">1+beta*(E696-$C696)/4</f>
        <v>1.0625</v>
      </c>
      <c r="F697" s="21" t="n">
        <f aca="false">1+beta*(F696-$C696)/4</f>
        <v>1.1</v>
      </c>
      <c r="G697" s="21" t="n">
        <f aca="false">1+beta*(G696-$C696)/4</f>
        <v>1.125</v>
      </c>
      <c r="H697" s="21" t="n">
        <f aca="false">1+beta*(H696-$C696)/4</f>
        <v>1.15</v>
      </c>
    </row>
    <row r="698" customFormat="false" ht="17.15" hidden="false" customHeight="false" outlineLevel="0" collapsed="false">
      <c r="A698" s="5" t="s">
        <v>568</v>
      </c>
      <c r="B698" s="0" t="s">
        <v>69</v>
      </c>
      <c r="C698" s="10" t="n">
        <f aca="false">hbp_25_hi</f>
        <v>0</v>
      </c>
      <c r="D698" s="10" t="n">
        <f aca="false">hbp_26_hi</f>
        <v>0</v>
      </c>
      <c r="E698" s="10" t="n">
        <f aca="false">hbp_27_hi</f>
        <v>0.05</v>
      </c>
      <c r="F698" s="10" t="n">
        <f aca="false">hbp_28_hi</f>
        <v>0.15</v>
      </c>
      <c r="G698" s="10" t="n">
        <f aca="false">hbp_29_hi</f>
        <v>0.3</v>
      </c>
      <c r="H698" s="10" t="n">
        <f aca="false">hbp_30_hi</f>
        <v>0.4</v>
      </c>
      <c r="I698" s="5" t="s">
        <v>569</v>
      </c>
    </row>
    <row r="699" customFormat="false" ht="17.15" hidden="false" customHeight="false" outlineLevel="0" collapsed="false">
      <c r="A699" s="5" t="s">
        <v>570</v>
      </c>
      <c r="B699" s="5" t="s">
        <v>571</v>
      </c>
      <c r="C699" s="19" t="n">
        <f aca="false">C695*C697*C698</f>
        <v>0</v>
      </c>
      <c r="D699" s="19" t="n">
        <f aca="false">D695*D697*D698</f>
        <v>0</v>
      </c>
      <c r="E699" s="19" t="n">
        <f aca="false">E695*E697*E698</f>
        <v>103.827097135417</v>
      </c>
      <c r="F699" s="19" t="n">
        <f aca="false">F695*F697*F698</f>
        <v>467.5883856875</v>
      </c>
      <c r="G699" s="19" t="n">
        <f aca="false">G695*G697*G698</f>
        <v>1191.85990617548</v>
      </c>
      <c r="H699" s="19" t="n">
        <f aca="false">H695*H697*H698</f>
        <v>1659.2707857825</v>
      </c>
    </row>
    <row r="700" customFormat="false" ht="17.15" hidden="false" customHeight="false" outlineLevel="0" collapsed="false">
      <c r="A700" s="5" t="s">
        <v>572</v>
      </c>
      <c r="B700" s="5" t="s">
        <v>390</v>
      </c>
      <c r="C700" s="19" t="n">
        <f aca="false">C699/thr</f>
        <v>0</v>
      </c>
      <c r="D700" s="19" t="n">
        <f aca="false">D699/thr</f>
        <v>0</v>
      </c>
      <c r="E700" s="19" t="n">
        <f aca="false">E699/thr</f>
        <v>16.9320119268455</v>
      </c>
      <c r="F700" s="19" t="n">
        <f aca="false">F699/thr</f>
        <v>76.2538137128995</v>
      </c>
      <c r="G700" s="19" t="n">
        <f aca="false">G699/thr</f>
        <v>194.367238450013</v>
      </c>
      <c r="H700" s="19" t="n">
        <f aca="false">H699/thr</f>
        <v>270.592104661204</v>
      </c>
    </row>
    <row r="701" customFormat="false" ht="17.15" hidden="false" customHeight="false" outlineLevel="0" collapsed="false">
      <c r="A701" s="5" t="s">
        <v>573</v>
      </c>
      <c r="B701" s="5" t="s">
        <v>390</v>
      </c>
      <c r="C701" s="19" t="n">
        <f aca="false">MAX(0,D700-C700)+dlt*C700</f>
        <v>0</v>
      </c>
      <c r="D701" s="19" t="n">
        <f aca="false">MAX(0,E700-D700)+dlt*D700</f>
        <v>16.9320119268455</v>
      </c>
      <c r="E701" s="19" t="n">
        <f aca="false">MAX(0,F700-E700)+dlt*E700</f>
        <v>61.0150029787386</v>
      </c>
      <c r="F701" s="19" t="n">
        <f aca="false">MAX(0,G700-F700)+dlt*F700</f>
        <v>125.738806108404</v>
      </c>
      <c r="G701" s="19" t="n">
        <f aca="false">MAX(0,H700-G700)+dlt*G700</f>
        <v>95.6615900561917</v>
      </c>
      <c r="I701" s="5" t="s">
        <v>574</v>
      </c>
    </row>
    <row r="702" customFormat="false" ht="17.15" hidden="false" customHeight="false" outlineLevel="0" collapsed="false">
      <c r="A702" s="1" t="s">
        <v>575</v>
      </c>
    </row>
    <row r="703" customFormat="false" ht="17.15" hidden="false" customHeight="false" outlineLevel="0" collapsed="false">
      <c r="A703" s="0" t="s">
        <v>576</v>
      </c>
      <c r="B703" s="5" t="s">
        <v>146</v>
      </c>
      <c r="D703" s="19" t="n">
        <f aca="false">cow_26*1</f>
        <v>1107.85762580894</v>
      </c>
      <c r="E703" s="19" t="n">
        <f aca="false">cow_27*1</f>
        <v>2096.42857142857</v>
      </c>
      <c r="F703" s="19" t="n">
        <f aca="false">cow_28*um28_A</f>
        <v>2620.08928571429</v>
      </c>
      <c r="G703" s="19" t="n">
        <f aca="false">cow_29*um29_A</f>
        <v>3013.32589285714</v>
      </c>
      <c r="H703" s="19" t="n">
        <f aca="false">G703*(1+g_tail)</f>
        <v>3314.65848214285</v>
      </c>
      <c r="I703" s="8" t="s">
        <v>577</v>
      </c>
    </row>
    <row r="704" customFormat="false" ht="17.15" hidden="false" customHeight="false" outlineLevel="0" collapsed="false">
      <c r="A704" s="5" t="s">
        <v>578</v>
      </c>
      <c r="B704" s="0" t="s">
        <v>69</v>
      </c>
      <c r="D704" s="10" t="n">
        <f aca="false">attA_26</f>
        <v>0.08</v>
      </c>
      <c r="E704" s="10" t="n">
        <f aca="false">attA_27</f>
        <v>0.11</v>
      </c>
      <c r="F704" s="10" t="n">
        <f aca="false">attA_28</f>
        <v>0.18</v>
      </c>
      <c r="G704" s="10" t="n">
        <f aca="false">attA_29</f>
        <v>0.26</v>
      </c>
      <c r="H704" s="10" t="n">
        <f aca="false">attA_30</f>
        <v>0.34</v>
      </c>
    </row>
    <row r="705" customFormat="false" ht="15" hidden="false" customHeight="false" outlineLevel="0" collapsed="false">
      <c r="A705" s="5" t="s">
        <v>579</v>
      </c>
      <c r="B705" s="5" t="s">
        <v>539</v>
      </c>
      <c r="D705" s="16" t="n">
        <f aca="false">D703*D704</f>
        <v>88.6286100647152</v>
      </c>
      <c r="E705" s="16" t="n">
        <f aca="false">E703*E704</f>
        <v>230.607142857143</v>
      </c>
      <c r="F705" s="16" t="n">
        <f aca="false">F703*F704</f>
        <v>471.616071428572</v>
      </c>
      <c r="G705" s="16" t="n">
        <f aca="false">G703*G704</f>
        <v>783.464732142856</v>
      </c>
      <c r="H705" s="16" t="n">
        <f aca="false">H703*H704</f>
        <v>1126.98388392857</v>
      </c>
    </row>
    <row r="706" customFormat="false" ht="17.15" hidden="false" customHeight="false" outlineLevel="0" collapsed="false">
      <c r="A706" s="5" t="s">
        <v>580</v>
      </c>
      <c r="B706" s="5" t="s">
        <v>539</v>
      </c>
      <c r="D706" s="16" t="n">
        <f aca="false">MAX(0,E705-D705)+dlt*D705</f>
        <v>150.841393798899</v>
      </c>
      <c r="E706" s="16" t="n">
        <f aca="false">MAX(0,F705-E705)+dlt*E705</f>
        <v>264.069642857144</v>
      </c>
      <c r="F706" s="16" t="n">
        <f aca="false">MAX(0,G705-F705)+dlt*F705</f>
        <v>359.010267857141</v>
      </c>
      <c r="G706" s="16" t="n">
        <f aca="false">MAX(0,H705-G705)+dlt*G705</f>
        <v>421.865625</v>
      </c>
    </row>
    <row r="707" customFormat="false" ht="17.15" hidden="false" customHeight="false" outlineLevel="0" collapsed="false">
      <c r="A707" s="1" t="s">
        <v>581</v>
      </c>
    </row>
    <row r="708" customFormat="false" ht="17.15" hidden="false" customHeight="false" outlineLevel="0" collapsed="false">
      <c r="A708" s="0" t="s">
        <v>582</v>
      </c>
      <c r="B708" s="0" t="s">
        <v>252</v>
      </c>
      <c r="C708" s="16" t="n">
        <f aca="false">0</f>
        <v>0</v>
      </c>
      <c r="D708" s="16" t="n">
        <f aca="false">hbm26</f>
        <v>0</v>
      </c>
      <c r="E708" s="16" t="n">
        <f aca="false">E701*asp*shm_A</f>
        <v>91.5225044681079</v>
      </c>
      <c r="F708" s="16" t="n">
        <f aca="false">F701*asp*shm_A</f>
        <v>188.608209162605</v>
      </c>
      <c r="G708" s="16" t="n">
        <f aca="false">G701*asp*shm_A</f>
        <v>143.492385084288</v>
      </c>
      <c r="I708" s="8" t="s">
        <v>583</v>
      </c>
    </row>
    <row r="709" customFormat="false" ht="17.15" hidden="false" customHeight="false" outlineLevel="0" collapsed="false">
      <c r="A709" s="5" t="s">
        <v>584</v>
      </c>
      <c r="B709" s="0" t="s">
        <v>252</v>
      </c>
      <c r="C709" s="16" t="n">
        <f aca="false">hb25</f>
        <v>120</v>
      </c>
      <c r="D709" s="16" t="n">
        <f aca="false">rev26*hb_sh26-hbm26</f>
        <v>250.4</v>
      </c>
      <c r="E709" s="16" t="n">
        <f aca="false">$D710*E706*shl_A</f>
        <v>438.361360274778</v>
      </c>
      <c r="F709" s="16" t="n">
        <f aca="false">$D710*F706*shl_A</f>
        <v>595.964866191023</v>
      </c>
      <c r="G709" s="16" t="n">
        <f aca="false">$D710*G706*shl_A</f>
        <v>700.306128441323</v>
      </c>
      <c r="I709" s="8" t="s">
        <v>585</v>
      </c>
    </row>
    <row r="710" customFormat="false" ht="17.15" hidden="false" customHeight="false" outlineLevel="0" collapsed="false">
      <c r="A710" s="5" t="s">
        <v>586</v>
      </c>
      <c r="B710" s="0" t="s">
        <v>587</v>
      </c>
      <c r="D710" s="21" t="n">
        <f aca="false">D709/D706</f>
        <v>1.66002178641913</v>
      </c>
      <c r="I710" s="5" t="s">
        <v>588</v>
      </c>
    </row>
    <row r="711" customFormat="false" ht="15" hidden="false" customHeight="false" outlineLevel="0" collapsed="false">
      <c r="A711" s="5" t="s">
        <v>589</v>
      </c>
      <c r="B711" s="0" t="s">
        <v>252</v>
      </c>
      <c r="C711" s="16" t="n">
        <f aca="false">C708+C709</f>
        <v>120</v>
      </c>
      <c r="D711" s="16" t="n">
        <f aca="false">D708+D709</f>
        <v>250.4</v>
      </c>
      <c r="E711" s="16" t="n">
        <f aca="false">E708+E709</f>
        <v>529.883864742886</v>
      </c>
      <c r="F711" s="16" t="n">
        <f aca="false">F708+F709</f>
        <v>784.573075353628</v>
      </c>
      <c r="G711" s="16" t="n">
        <f aca="false">G708+G709</f>
        <v>843.79851352561</v>
      </c>
    </row>
    <row r="712" customFormat="false" ht="17.15" hidden="false" customHeight="false" outlineLevel="0" collapsed="false">
      <c r="A712" s="5" t="s">
        <v>590</v>
      </c>
      <c r="B712" s="0" t="s">
        <v>252</v>
      </c>
      <c r="C712" s="16" t="n">
        <f aca="false">a25_rev-hb25</f>
        <v>471.3</v>
      </c>
      <c r="D712" s="16" t="n">
        <f aca="false">rev26-D711</f>
        <v>751.2</v>
      </c>
      <c r="E712" s="16" t="n">
        <f aca="false">D712*(1+el*eqgA_27)</f>
        <v>900.497182193768</v>
      </c>
      <c r="F712" s="16" t="n">
        <f aca="false">E712*(1+el*eqgA_28)</f>
        <v>1015.22529871935</v>
      </c>
      <c r="G712" s="16" t="n">
        <f aca="false">F712*(1+el*eqgA_29)</f>
        <v>1075.58315674599</v>
      </c>
      <c r="I712" s="8" t="s">
        <v>591</v>
      </c>
    </row>
    <row r="713" customFormat="false" ht="15" hidden="false" customHeight="false" outlineLevel="0" collapsed="false">
      <c r="A713" s="5" t="s">
        <v>499</v>
      </c>
      <c r="B713" s="0" t="s">
        <v>252</v>
      </c>
      <c r="C713" s="16" t="n">
        <f aca="false">C711+C712</f>
        <v>591.3</v>
      </c>
      <c r="D713" s="16" t="n">
        <f aca="false">D711+D712</f>
        <v>1001.6</v>
      </c>
      <c r="E713" s="16" t="n">
        <f aca="false">E711+E712</f>
        <v>1430.38104693665</v>
      </c>
      <c r="F713" s="16" t="n">
        <f aca="false">F711+F712</f>
        <v>1799.79837407298</v>
      </c>
      <c r="G713" s="16" t="n">
        <f aca="false">G711+G712</f>
        <v>1919.3816702716</v>
      </c>
    </row>
    <row r="714" customFormat="false" ht="15" hidden="false" customHeight="false" outlineLevel="0" collapsed="false">
      <c r="A714" s="5" t="s">
        <v>592</v>
      </c>
      <c r="B714" s="0" t="s">
        <v>69</v>
      </c>
      <c r="C714" s="10" t="n">
        <f aca="false">C711/C713</f>
        <v>0.202942668696093</v>
      </c>
      <c r="D714" s="10" t="n">
        <f aca="false">D711/D713</f>
        <v>0.25</v>
      </c>
      <c r="E714" s="10" t="n">
        <f aca="false">E711/E713</f>
        <v>0.370449444836885</v>
      </c>
      <c r="F714" s="10" t="n">
        <f aca="false">F711/F713</f>
        <v>0.435922760380166</v>
      </c>
      <c r="G714" s="10" t="n">
        <f aca="false">G711/G713</f>
        <v>0.439619970636798</v>
      </c>
    </row>
    <row r="715" customFormat="false" ht="17.15" hidden="false" customHeight="false" outlineLevel="0" collapsed="false">
      <c r="A715" s="5" t="s">
        <v>506</v>
      </c>
      <c r="B715" s="0" t="s">
        <v>69</v>
      </c>
      <c r="C715" s="10" t="n">
        <f aca="false">a25_gp/a25_rev</f>
        <v>0.633012007441231</v>
      </c>
      <c r="D715" s="10" t="n">
        <f aca="false">gp26/rev26</f>
        <v>0.646641373801917</v>
      </c>
      <c r="E715" s="10" t="n">
        <f aca="false">$D715+gm_prem*(E714-$D714)+0</f>
        <v>0.656277329388868</v>
      </c>
      <c r="F715" s="10" t="n">
        <f aca="false">$D715+gm_prem*(F714-$D714)+0</f>
        <v>0.66151519463233</v>
      </c>
      <c r="G715" s="10" t="n">
        <f aca="false">$D715+gm_prem*(G714-$D714)+0</f>
        <v>0.661810971452861</v>
      </c>
      <c r="I715" s="8" t="s">
        <v>593</v>
      </c>
    </row>
    <row r="716" customFormat="false" ht="15" hidden="false" customHeight="false" outlineLevel="0" collapsed="false">
      <c r="A716" s="5" t="s">
        <v>502</v>
      </c>
      <c r="B716" s="0" t="s">
        <v>252</v>
      </c>
      <c r="C716" s="16" t="n">
        <f aca="false">a25_gp</f>
        <v>374.3</v>
      </c>
      <c r="D716" s="16" t="n">
        <f aca="false">gp26</f>
        <v>647.676</v>
      </c>
      <c r="E716" s="16" t="n">
        <f aca="false">E713*E715</f>
        <v>938.726653492039</v>
      </c>
      <c r="F716" s="16" t="n">
        <f aca="false">F713*F715</f>
        <v>1190.59397172384</v>
      </c>
      <c r="G716" s="16" t="n">
        <f aca="false">G713*G715</f>
        <v>1270.26784779126</v>
      </c>
    </row>
    <row r="717" customFormat="false" ht="17.15" hidden="false" customHeight="false" outlineLevel="0" collapsed="false">
      <c r="A717" s="5" t="s">
        <v>594</v>
      </c>
      <c r="B717" s="0" t="s">
        <v>252</v>
      </c>
      <c r="C717" s="16" t="n">
        <f aca="false">a25_opx</f>
        <v>201.2</v>
      </c>
      <c r="D717" s="16" t="n">
        <f aca="false">opx26</f>
        <v>223.1325</v>
      </c>
      <c r="E717" s="16" t="n">
        <f aca="false">opex_fix+opex_var*E713</f>
        <v>261.341360605269</v>
      </c>
      <c r="F717" s="16" t="n">
        <f aca="false">opex_fix+opex_var*F713</f>
        <v>294.260295009121</v>
      </c>
      <c r="G717" s="16" t="n">
        <f aca="false">opex_fix+opex_var*G713</f>
        <v>304.916413155702</v>
      </c>
      <c r="I717" s="5" t="s">
        <v>595</v>
      </c>
    </row>
    <row r="718" customFormat="false" ht="15" hidden="false" customHeight="false" outlineLevel="0" collapsed="false">
      <c r="A718" s="5" t="s">
        <v>510</v>
      </c>
      <c r="B718" s="0" t="s">
        <v>252</v>
      </c>
      <c r="C718" s="16" t="n">
        <f aca="false">C716-C717</f>
        <v>173.1</v>
      </c>
      <c r="D718" s="16" t="n">
        <f aca="false">D716-D717</f>
        <v>424.5435</v>
      </c>
      <c r="E718" s="16" t="n">
        <f aca="false">E716-E717</f>
        <v>677.385292886771</v>
      </c>
      <c r="F718" s="16" t="n">
        <f aca="false">F716-F717</f>
        <v>896.333676714718</v>
      </c>
      <c r="G718" s="16" t="n">
        <f aca="false">G716-G717</f>
        <v>965.351434635561</v>
      </c>
    </row>
    <row r="719" customFormat="false" ht="15" hidden="false" customHeight="false" outlineLevel="0" collapsed="false">
      <c r="A719" s="5" t="s">
        <v>555</v>
      </c>
      <c r="B719" s="0" t="s">
        <v>69</v>
      </c>
      <c r="C719" s="10" t="n">
        <f aca="false">C718/C713</f>
        <v>0.292744799594115</v>
      </c>
      <c r="D719" s="10" t="n">
        <f aca="false">D718/D713</f>
        <v>0.423865315495208</v>
      </c>
      <c r="E719" s="10" t="n">
        <f aca="false">E718/E713</f>
        <v>0.473569818572107</v>
      </c>
      <c r="F719" s="10" t="n">
        <f aca="false">F718/F713</f>
        <v>0.498018939024985</v>
      </c>
      <c r="G719" s="10" t="n">
        <f aca="false">G718/G713</f>
        <v>0.502949178679486</v>
      </c>
    </row>
    <row r="720" customFormat="false" ht="15" hidden="false" customHeight="false" outlineLevel="0" collapsed="false">
      <c r="A720" s="5" t="s">
        <v>515</v>
      </c>
      <c r="B720" s="0" t="s">
        <v>252</v>
      </c>
      <c r="C720" s="16" t="n">
        <f aca="false">a25_ni</f>
        <v>131.6</v>
      </c>
      <c r="D720" s="16" t="n">
        <f aca="false">ni26</f>
        <v>348.2641275</v>
      </c>
      <c r="E720" s="16" t="n">
        <f aca="false">(E718-fin)*(1-tax)</f>
        <v>568.638278347057</v>
      </c>
      <c r="F720" s="16" t="n">
        <f aca="false">(F718-fin)*(1-tax)</f>
        <v>758.028630358231</v>
      </c>
      <c r="G720" s="16" t="n">
        <f aca="false">(G718-fin)*(1-tax)</f>
        <v>817.728990959761</v>
      </c>
    </row>
    <row r="721" customFormat="false" ht="15" hidden="false" customHeight="false" outlineLevel="0" collapsed="false">
      <c r="A721" s="0" t="s">
        <v>556</v>
      </c>
      <c r="B721" s="0" t="s">
        <v>271</v>
      </c>
      <c r="C721" s="18" t="n">
        <f aca="false">a25_eps</f>
        <v>1.66</v>
      </c>
      <c r="D721" s="18" t="n">
        <f aca="false">eps26</f>
        <v>4.3364299400653</v>
      </c>
      <c r="E721" s="18" t="n">
        <f aca="false">E720/shares</f>
        <v>7.05493386382076</v>
      </c>
      <c r="F721" s="18" t="n">
        <f aca="false">F720/shares</f>
        <v>9.40464625351163</v>
      </c>
      <c r="G721" s="18" t="n">
        <f aca="false">G720/shares</f>
        <v>10.1453316975418</v>
      </c>
    </row>
    <row r="722" customFormat="false" ht="17.15" hidden="false" customHeight="false" outlineLevel="0" collapsed="false">
      <c r="A722" s="5" t="s">
        <v>596</v>
      </c>
      <c r="B722" s="5" t="s">
        <v>390</v>
      </c>
      <c r="C722" s="19" t="n">
        <f aca="false">C711/asp</f>
        <v>48</v>
      </c>
      <c r="D722" s="19" t="n">
        <f aca="false">D711/asp</f>
        <v>100.16</v>
      </c>
      <c r="E722" s="19" t="n">
        <f aca="false">E711/asp</f>
        <v>211.953545897154</v>
      </c>
      <c r="F722" s="19" t="n">
        <f aca="false">F711/asp</f>
        <v>313.829230141451</v>
      </c>
      <c r="G722" s="19" t="n">
        <f aca="false">G711/asp</f>
        <v>337.519405410244</v>
      </c>
    </row>
    <row r="735" customFormat="false" ht="17.15" hidden="false" customHeight="false" outlineLevel="0" collapsed="false">
      <c r="A735" s="4" t="s">
        <v>908</v>
      </c>
    </row>
    <row r="736" customFormat="false" ht="15" hidden="false" customHeight="false" outlineLevel="0" collapsed="false">
      <c r="A736" s="6" t="s">
        <v>21</v>
      </c>
      <c r="B736" s="6" t="s">
        <v>22</v>
      </c>
      <c r="C736" s="14" t="s">
        <v>524</v>
      </c>
      <c r="D736" s="14" t="s">
        <v>525</v>
      </c>
      <c r="E736" s="14" t="s">
        <v>526</v>
      </c>
      <c r="F736" s="14" t="s">
        <v>527</v>
      </c>
      <c r="G736" s="14" t="s">
        <v>528</v>
      </c>
      <c r="H736" s="14" t="s">
        <v>529</v>
      </c>
      <c r="I736" s="6" t="s">
        <v>427</v>
      </c>
    </row>
    <row r="737" customFormat="false" ht="17.15" hidden="false" customHeight="false" outlineLevel="0" collapsed="false">
      <c r="A737" s="1" t="s">
        <v>559</v>
      </c>
    </row>
    <row r="738" customFormat="false" ht="17.15" hidden="false" customHeight="false" outlineLevel="0" collapsed="false">
      <c r="A738" s="0" t="s">
        <v>560</v>
      </c>
      <c r="B738" s="0" t="s">
        <v>32</v>
      </c>
      <c r="C738" s="18" t="n">
        <f aca="false">hsA_25</f>
        <v>2.22511470588235</v>
      </c>
      <c r="D738" s="18" t="n">
        <f aca="false">hsA_26</f>
        <v>3.782695</v>
      </c>
      <c r="E738" s="18" t="n">
        <f aca="false">hsA_27</f>
        <v>5.86317725</v>
      </c>
      <c r="F738" s="18" t="n">
        <f aca="false">hsA_28</f>
        <v>8.5016070125</v>
      </c>
      <c r="G738" s="18" t="n">
        <f aca="false">hsA_29</f>
        <v>11.477169466875</v>
      </c>
      <c r="H738" s="18" t="n">
        <f aca="false">G738*(1+g_tail)</f>
        <v>12.6248864135625</v>
      </c>
      <c r="I738" s="8" t="s">
        <v>561</v>
      </c>
    </row>
    <row r="739" customFormat="false" ht="17.15" hidden="false" customHeight="false" outlineLevel="0" collapsed="false">
      <c r="A739" s="0" t="s">
        <v>562</v>
      </c>
      <c r="B739" s="0" t="s">
        <v>563</v>
      </c>
      <c r="C739" s="20" t="n">
        <f aca="false">den_25_hi</f>
        <v>24</v>
      </c>
      <c r="D739" s="20" t="n">
        <f aca="false">den_26_hi</f>
        <v>26</v>
      </c>
      <c r="E739" s="20" t="n">
        <f aca="false">den_27_hi</f>
        <v>28</v>
      </c>
      <c r="F739" s="20" t="n">
        <f aca="false">den_28_hi</f>
        <v>32</v>
      </c>
      <c r="G739" s="20" t="n">
        <f aca="false">den_29_hi</f>
        <v>32</v>
      </c>
      <c r="H739" s="20" t="n">
        <f aca="false">den_30_hi</f>
        <v>32</v>
      </c>
    </row>
    <row r="740" customFormat="false" ht="17.15" hidden="false" customHeight="false" outlineLevel="0" collapsed="false">
      <c r="A740" s="5" t="s">
        <v>564</v>
      </c>
      <c r="B740" s="5" t="s">
        <v>533</v>
      </c>
      <c r="C740" s="19" t="n">
        <f aca="false">C738*8000/C739</f>
        <v>741.704901960783</v>
      </c>
      <c r="D740" s="19" t="n">
        <f aca="false">D738*8000/D739</f>
        <v>1163.90615384615</v>
      </c>
      <c r="E740" s="19" t="n">
        <f aca="false">E738*8000/E739</f>
        <v>1675.1935</v>
      </c>
      <c r="F740" s="19" t="n">
        <f aca="false">F738*8000/F739</f>
        <v>2125.401753125</v>
      </c>
      <c r="G740" s="19" t="n">
        <f aca="false">G738*8000/G739</f>
        <v>2869.29236671875</v>
      </c>
      <c r="H740" s="19" t="n">
        <f aca="false">H738*8000/H739</f>
        <v>3156.22160339063</v>
      </c>
      <c r="I740" s="8" t="s">
        <v>565</v>
      </c>
    </row>
    <row r="741" customFormat="false" ht="15" hidden="false" customHeight="false" outlineLevel="0" collapsed="false">
      <c r="A741" s="5" t="s">
        <v>566</v>
      </c>
      <c r="B741" s="5" t="s">
        <v>96</v>
      </c>
      <c r="C741" s="20" t="n">
        <f aca="false">stk_25</f>
        <v>10</v>
      </c>
      <c r="D741" s="20" t="n">
        <f aca="false">stk_26</f>
        <v>12</v>
      </c>
      <c r="E741" s="20" t="n">
        <f aca="false">stk_27</f>
        <v>12.5</v>
      </c>
      <c r="F741" s="20" t="n">
        <f aca="false">stk_28</f>
        <v>14</v>
      </c>
      <c r="G741" s="20" t="n">
        <f aca="false">stk_29</f>
        <v>15</v>
      </c>
      <c r="H741" s="20" t="n">
        <f aca="false">stk_30</f>
        <v>16</v>
      </c>
    </row>
    <row r="742" customFormat="false" ht="15" hidden="false" customHeight="false" outlineLevel="0" collapsed="false">
      <c r="A742" s="5" t="s">
        <v>567</v>
      </c>
      <c r="B742" s="0" t="s">
        <v>116</v>
      </c>
      <c r="C742" s="21" t="n">
        <f aca="false">1+beta*(C741-$C741)/4</f>
        <v>1</v>
      </c>
      <c r="D742" s="21" t="n">
        <f aca="false">1+beta*(D741-$C741)/4</f>
        <v>1.05</v>
      </c>
      <c r="E742" s="21" t="n">
        <f aca="false">1+beta*(E741-$C741)/4</f>
        <v>1.0625</v>
      </c>
      <c r="F742" s="21" t="n">
        <f aca="false">1+beta*(F741-$C741)/4</f>
        <v>1.1</v>
      </c>
      <c r="G742" s="21" t="n">
        <f aca="false">1+beta*(G741-$C741)/4</f>
        <v>1.125</v>
      </c>
      <c r="H742" s="21" t="n">
        <f aca="false">1+beta*(H741-$C741)/4</f>
        <v>1.15</v>
      </c>
    </row>
    <row r="743" customFormat="false" ht="17.15" hidden="false" customHeight="false" outlineLevel="0" collapsed="false">
      <c r="A743" s="5" t="s">
        <v>568</v>
      </c>
      <c r="B743" s="0" t="s">
        <v>69</v>
      </c>
      <c r="C743" s="10" t="n">
        <f aca="false">hbp_25_hi</f>
        <v>0</v>
      </c>
      <c r="D743" s="10" t="n">
        <f aca="false">hbp_26_hi</f>
        <v>0</v>
      </c>
      <c r="E743" s="10" t="n">
        <f aca="false">hbp_27_hi</f>
        <v>0.05</v>
      </c>
      <c r="F743" s="10" t="n">
        <f aca="false">hbp_28_hi</f>
        <v>0.15</v>
      </c>
      <c r="G743" s="10" t="n">
        <f aca="false">hbp_29_hi</f>
        <v>0.3</v>
      </c>
      <c r="H743" s="10" t="n">
        <f aca="false">hbp_30_hi</f>
        <v>0.4</v>
      </c>
      <c r="I743" s="5" t="s">
        <v>569</v>
      </c>
    </row>
    <row r="744" customFormat="false" ht="17.15" hidden="false" customHeight="false" outlineLevel="0" collapsed="false">
      <c r="A744" s="5" t="s">
        <v>570</v>
      </c>
      <c r="B744" s="5" t="s">
        <v>571</v>
      </c>
      <c r="C744" s="19" t="n">
        <f aca="false">C740*C742*C743</f>
        <v>0</v>
      </c>
      <c r="D744" s="19" t="n">
        <f aca="false">D740*D742*D743</f>
        <v>0</v>
      </c>
      <c r="E744" s="19" t="n">
        <f aca="false">E740*E742*E743</f>
        <v>88.9946546875</v>
      </c>
      <c r="F744" s="19" t="n">
        <f aca="false">F740*F742*F743</f>
        <v>350.691289265625</v>
      </c>
      <c r="G744" s="19" t="n">
        <f aca="false">G740*G742*G743</f>
        <v>968.386173767578</v>
      </c>
      <c r="H744" s="19" t="n">
        <f aca="false">H740*H742*H743</f>
        <v>1451.86193755969</v>
      </c>
    </row>
    <row r="745" customFormat="false" ht="17.15" hidden="false" customHeight="false" outlineLevel="0" collapsed="false">
      <c r="A745" s="5" t="s">
        <v>572</v>
      </c>
      <c r="B745" s="5" t="s">
        <v>390</v>
      </c>
      <c r="C745" s="19" t="n">
        <f aca="false">C744/thr</f>
        <v>0</v>
      </c>
      <c r="D745" s="19" t="n">
        <f aca="false">D744/thr</f>
        <v>0</v>
      </c>
      <c r="E745" s="19" t="n">
        <f aca="false">E744/thr</f>
        <v>14.5131530801533</v>
      </c>
      <c r="F745" s="19" t="n">
        <f aca="false">F744/thr</f>
        <v>57.1903602846747</v>
      </c>
      <c r="G745" s="19" t="n">
        <f aca="false">G744/thr</f>
        <v>157.923381240636</v>
      </c>
      <c r="H745" s="19" t="n">
        <f aca="false">H744/thr</f>
        <v>236.768091578553</v>
      </c>
    </row>
    <row r="746" customFormat="false" ht="17.15" hidden="false" customHeight="false" outlineLevel="0" collapsed="false">
      <c r="A746" s="5" t="s">
        <v>573</v>
      </c>
      <c r="B746" s="5" t="s">
        <v>390</v>
      </c>
      <c r="C746" s="19" t="n">
        <f aca="false">MAX(0,D745-C745)+dlt*C745</f>
        <v>0</v>
      </c>
      <c r="D746" s="19" t="n">
        <f aca="false">MAX(0,E745-D745)+dlt*D745</f>
        <v>14.5131530801533</v>
      </c>
      <c r="E746" s="19" t="n">
        <f aca="false">MAX(0,F745-E745)+dlt*E745</f>
        <v>44.1285225125367</v>
      </c>
      <c r="F746" s="19" t="n">
        <f aca="false">MAX(0,G745-F745)+dlt*F745</f>
        <v>106.452056984429</v>
      </c>
      <c r="G746" s="19" t="n">
        <f aca="false">MAX(0,H745-G745)+dlt*G745</f>
        <v>94.637048461981</v>
      </c>
      <c r="I746" s="5" t="s">
        <v>574</v>
      </c>
    </row>
    <row r="747" customFormat="false" ht="17.15" hidden="false" customHeight="false" outlineLevel="0" collapsed="false">
      <c r="A747" s="1" t="s">
        <v>575</v>
      </c>
    </row>
    <row r="748" customFormat="false" ht="17.15" hidden="false" customHeight="false" outlineLevel="0" collapsed="false">
      <c r="A748" s="0" t="s">
        <v>576</v>
      </c>
      <c r="B748" s="5" t="s">
        <v>146</v>
      </c>
      <c r="D748" s="19" t="n">
        <f aca="false">cow_26*1</f>
        <v>1107.85762580894</v>
      </c>
      <c r="E748" s="19" t="n">
        <f aca="false">cow_27*1</f>
        <v>2096.42857142857</v>
      </c>
      <c r="F748" s="19" t="n">
        <f aca="false">cow_28*um28_A</f>
        <v>2620.08928571429</v>
      </c>
      <c r="G748" s="19" t="n">
        <f aca="false">cow_29*um29_A</f>
        <v>3013.32589285714</v>
      </c>
      <c r="H748" s="19" t="n">
        <f aca="false">G748*(1+g_tail)</f>
        <v>3314.65848214285</v>
      </c>
      <c r="I748" s="8" t="s">
        <v>577</v>
      </c>
    </row>
    <row r="749" customFormat="false" ht="17.15" hidden="false" customHeight="false" outlineLevel="0" collapsed="false">
      <c r="A749" s="5" t="s">
        <v>578</v>
      </c>
      <c r="B749" s="0" t="s">
        <v>69</v>
      </c>
      <c r="D749" s="10" t="n">
        <f aca="false">attA_26</f>
        <v>0.08</v>
      </c>
      <c r="E749" s="10" t="n">
        <f aca="false">attA_27</f>
        <v>0.11</v>
      </c>
      <c r="F749" s="10" t="n">
        <f aca="false">attA_28</f>
        <v>0.18</v>
      </c>
      <c r="G749" s="10" t="n">
        <f aca="false">attA_29</f>
        <v>0.26</v>
      </c>
      <c r="H749" s="10" t="n">
        <f aca="false">attA_30</f>
        <v>0.34</v>
      </c>
    </row>
    <row r="750" customFormat="false" ht="15" hidden="false" customHeight="false" outlineLevel="0" collapsed="false">
      <c r="A750" s="5" t="s">
        <v>579</v>
      </c>
      <c r="B750" s="5" t="s">
        <v>539</v>
      </c>
      <c r="D750" s="16" t="n">
        <f aca="false">D748*D749</f>
        <v>88.6286100647152</v>
      </c>
      <c r="E750" s="16" t="n">
        <f aca="false">E748*E749</f>
        <v>230.607142857143</v>
      </c>
      <c r="F750" s="16" t="n">
        <f aca="false">F748*F749</f>
        <v>471.616071428572</v>
      </c>
      <c r="G750" s="16" t="n">
        <f aca="false">G748*G749</f>
        <v>783.464732142856</v>
      </c>
      <c r="H750" s="16" t="n">
        <f aca="false">H748*H749</f>
        <v>1126.98388392857</v>
      </c>
    </row>
    <row r="751" customFormat="false" ht="17.15" hidden="false" customHeight="false" outlineLevel="0" collapsed="false">
      <c r="A751" s="5" t="s">
        <v>580</v>
      </c>
      <c r="B751" s="5" t="s">
        <v>539</v>
      </c>
      <c r="D751" s="16" t="n">
        <f aca="false">MAX(0,E750-D750)+dlt*D750</f>
        <v>150.841393798899</v>
      </c>
      <c r="E751" s="16" t="n">
        <f aca="false">MAX(0,F750-E750)+dlt*E750</f>
        <v>264.069642857144</v>
      </c>
      <c r="F751" s="16" t="n">
        <f aca="false">MAX(0,G750-F750)+dlt*F750</f>
        <v>359.010267857141</v>
      </c>
      <c r="G751" s="16" t="n">
        <f aca="false">MAX(0,H750-G750)+dlt*G750</f>
        <v>421.865625</v>
      </c>
    </row>
    <row r="752" customFormat="false" ht="17.15" hidden="false" customHeight="false" outlineLevel="0" collapsed="false">
      <c r="A752" s="1" t="s">
        <v>581</v>
      </c>
    </row>
    <row r="753" customFormat="false" ht="17.15" hidden="false" customHeight="false" outlineLevel="0" collapsed="false">
      <c r="A753" s="0" t="s">
        <v>582</v>
      </c>
      <c r="B753" s="0" t="s">
        <v>252</v>
      </c>
      <c r="C753" s="16" t="n">
        <f aca="false">0</f>
        <v>0</v>
      </c>
      <c r="D753" s="16" t="n">
        <f aca="false">hbm26</f>
        <v>0</v>
      </c>
      <c r="E753" s="16" t="n">
        <f aca="false">E746*asp*shm_A</f>
        <v>66.192783768805</v>
      </c>
      <c r="F753" s="16" t="n">
        <f aca="false">F746*asp*shm_A</f>
        <v>159.678085476643</v>
      </c>
      <c r="G753" s="16" t="n">
        <f aca="false">G746*asp*shm_A</f>
        <v>141.955572692971</v>
      </c>
      <c r="I753" s="8" t="s">
        <v>583</v>
      </c>
    </row>
    <row r="754" customFormat="false" ht="17.15" hidden="false" customHeight="false" outlineLevel="0" collapsed="false">
      <c r="A754" s="5" t="s">
        <v>584</v>
      </c>
      <c r="B754" s="0" t="s">
        <v>252</v>
      </c>
      <c r="C754" s="16" t="n">
        <f aca="false">hb25</f>
        <v>120</v>
      </c>
      <c r="D754" s="16" t="n">
        <f aca="false">rev26*hb_sh26-hbm26</f>
        <v>250.4</v>
      </c>
      <c r="E754" s="16" t="n">
        <f aca="false">$D755*E751*shl_A</f>
        <v>438.361360274778</v>
      </c>
      <c r="F754" s="16" t="n">
        <f aca="false">$D755*F751*shl_A</f>
        <v>595.964866191023</v>
      </c>
      <c r="G754" s="16" t="n">
        <f aca="false">$D755*G751*shl_A</f>
        <v>700.306128441323</v>
      </c>
      <c r="I754" s="8" t="s">
        <v>585</v>
      </c>
    </row>
    <row r="755" customFormat="false" ht="17.15" hidden="false" customHeight="false" outlineLevel="0" collapsed="false">
      <c r="A755" s="5" t="s">
        <v>586</v>
      </c>
      <c r="B755" s="0" t="s">
        <v>587</v>
      </c>
      <c r="D755" s="21" t="n">
        <f aca="false">D754/D751</f>
        <v>1.66002178641913</v>
      </c>
      <c r="I755" s="5" t="s">
        <v>588</v>
      </c>
    </row>
    <row r="756" customFormat="false" ht="15" hidden="false" customHeight="false" outlineLevel="0" collapsed="false">
      <c r="A756" s="5" t="s">
        <v>589</v>
      </c>
      <c r="B756" s="0" t="s">
        <v>252</v>
      </c>
      <c r="C756" s="16" t="n">
        <f aca="false">C753+C754</f>
        <v>120</v>
      </c>
      <c r="D756" s="16" t="n">
        <f aca="false">D753+D754</f>
        <v>250.4</v>
      </c>
      <c r="E756" s="16" t="n">
        <f aca="false">E753+E754</f>
        <v>504.554144043583</v>
      </c>
      <c r="F756" s="16" t="n">
        <f aca="false">F753+F754</f>
        <v>755.642951667665</v>
      </c>
      <c r="G756" s="16" t="n">
        <f aca="false">G753+G754</f>
        <v>842.261701134294</v>
      </c>
    </row>
    <row r="757" customFormat="false" ht="17.15" hidden="false" customHeight="false" outlineLevel="0" collapsed="false">
      <c r="A757" s="5" t="s">
        <v>590</v>
      </c>
      <c r="B757" s="0" t="s">
        <v>252</v>
      </c>
      <c r="C757" s="16" t="n">
        <f aca="false">a25_rev-hb25</f>
        <v>471.3</v>
      </c>
      <c r="D757" s="16" t="n">
        <f aca="false">rev26-D756</f>
        <v>751.2</v>
      </c>
      <c r="E757" s="16" t="n">
        <f aca="false">D757*(1+el*eqgA_27)</f>
        <v>900.497182193768</v>
      </c>
      <c r="F757" s="16" t="n">
        <f aca="false">E757*(1+el*eqgA_28)</f>
        <v>1015.22529871935</v>
      </c>
      <c r="G757" s="16" t="n">
        <f aca="false">F757*(1+el*eqgA_29)</f>
        <v>1075.58315674599</v>
      </c>
      <c r="I757" s="8" t="s">
        <v>591</v>
      </c>
    </row>
    <row r="758" customFormat="false" ht="15" hidden="false" customHeight="false" outlineLevel="0" collapsed="false">
      <c r="A758" s="5" t="s">
        <v>499</v>
      </c>
      <c r="B758" s="0" t="s">
        <v>252</v>
      </c>
      <c r="C758" s="16" t="n">
        <f aca="false">C756+C757</f>
        <v>591.3</v>
      </c>
      <c r="D758" s="16" t="n">
        <f aca="false">D756+D757</f>
        <v>1001.6</v>
      </c>
      <c r="E758" s="16" t="n">
        <f aca="false">E756+E757</f>
        <v>1405.05132623735</v>
      </c>
      <c r="F758" s="16" t="n">
        <f aca="false">F756+F757</f>
        <v>1770.86825038702</v>
      </c>
      <c r="G758" s="16" t="n">
        <f aca="false">G756+G757</f>
        <v>1917.84485788029</v>
      </c>
    </row>
    <row r="759" customFormat="false" ht="15" hidden="false" customHeight="false" outlineLevel="0" collapsed="false">
      <c r="A759" s="5" t="s">
        <v>592</v>
      </c>
      <c r="B759" s="0" t="s">
        <v>69</v>
      </c>
      <c r="C759" s="10" t="n">
        <f aca="false">C756/C758</f>
        <v>0.202942668696093</v>
      </c>
      <c r="D759" s="10" t="n">
        <f aca="false">D756/D758</f>
        <v>0.25</v>
      </c>
      <c r="E759" s="10" t="n">
        <f aca="false">E756/E758</f>
        <v>0.35910015144767</v>
      </c>
      <c r="F759" s="10" t="n">
        <f aca="false">F756/F758</f>
        <v>0.42670760600204</v>
      </c>
      <c r="G759" s="10" t="n">
        <f aca="false">G756/G758</f>
        <v>0.439170925465374</v>
      </c>
    </row>
    <row r="760" customFormat="false" ht="17.15" hidden="false" customHeight="false" outlineLevel="0" collapsed="false">
      <c r="A760" s="5" t="s">
        <v>506</v>
      </c>
      <c r="B760" s="0" t="s">
        <v>69</v>
      </c>
      <c r="C760" s="10" t="n">
        <f aca="false">a25_gp/a25_rev</f>
        <v>0.633012007441231</v>
      </c>
      <c r="D760" s="10" t="n">
        <f aca="false">gp26/rev26</f>
        <v>0.646641373801917</v>
      </c>
      <c r="E760" s="10" t="n">
        <f aca="false">$D760+gm_prem*(E759-$D759)+0</f>
        <v>0.655369385917731</v>
      </c>
      <c r="F760" s="10" t="n">
        <f aca="false">$D760+gm_prem*(F759-$D759)+0</f>
        <v>0.66077798228208</v>
      </c>
      <c r="G760" s="10" t="n">
        <f aca="false">$D760+gm_prem*(G759-$D759)+0</f>
        <v>0.661775047839147</v>
      </c>
      <c r="I760" s="8" t="s">
        <v>593</v>
      </c>
    </row>
    <row r="761" customFormat="false" ht="15" hidden="false" customHeight="false" outlineLevel="0" collapsed="false">
      <c r="A761" s="5" t="s">
        <v>502</v>
      </c>
      <c r="B761" s="0" t="s">
        <v>252</v>
      </c>
      <c r="C761" s="16" t="n">
        <f aca="false">a25_gp</f>
        <v>374.3</v>
      </c>
      <c r="D761" s="16" t="n">
        <f aca="false">gp26</f>
        <v>647.676</v>
      </c>
      <c r="E761" s="16" t="n">
        <f aca="false">E758*E760</f>
        <v>920.827624859065</v>
      </c>
      <c r="F761" s="16" t="n">
        <f aca="false">F758*F760</f>
        <v>1170.15074937813</v>
      </c>
      <c r="G761" s="16" t="n">
        <f aca="false">G758*G760</f>
        <v>1269.18187257179</v>
      </c>
    </row>
    <row r="762" customFormat="false" ht="17.15" hidden="false" customHeight="false" outlineLevel="0" collapsed="false">
      <c r="A762" s="5" t="s">
        <v>594</v>
      </c>
      <c r="B762" s="0" t="s">
        <v>252</v>
      </c>
      <c r="C762" s="16" t="n">
        <f aca="false">a25_opx</f>
        <v>201.2</v>
      </c>
      <c r="D762" s="16" t="n">
        <f aca="false">opx26</f>
        <v>223.1325</v>
      </c>
      <c r="E762" s="16" t="n">
        <f aca="false">opex_fix+opex_var*E758</f>
        <v>259.084218471109</v>
      </c>
      <c r="F762" s="16" t="n">
        <f aca="false">opex_fix+opex_var*F758</f>
        <v>291.682319440688</v>
      </c>
      <c r="G762" s="16" t="n">
        <f aca="false">opex_fix+opex_var*G758</f>
        <v>304.779467152945</v>
      </c>
      <c r="I762" s="5" t="s">
        <v>595</v>
      </c>
    </row>
    <row r="763" customFormat="false" ht="15" hidden="false" customHeight="false" outlineLevel="0" collapsed="false">
      <c r="A763" s="5" t="s">
        <v>510</v>
      </c>
      <c r="B763" s="0" t="s">
        <v>252</v>
      </c>
      <c r="C763" s="16" t="n">
        <f aca="false">C761-C762</f>
        <v>173.1</v>
      </c>
      <c r="D763" s="16" t="n">
        <f aca="false">D761-D762</f>
        <v>424.5435</v>
      </c>
      <c r="E763" s="16" t="n">
        <f aca="false">E761-E762</f>
        <v>661.743406387957</v>
      </c>
      <c r="F763" s="16" t="n">
        <f aca="false">F761-F762</f>
        <v>878.468429937443</v>
      </c>
      <c r="G763" s="16" t="n">
        <f aca="false">G761-G762</f>
        <v>964.402405418844</v>
      </c>
    </row>
    <row r="764" customFormat="false" ht="15" hidden="false" customHeight="false" outlineLevel="0" collapsed="false">
      <c r="A764" s="5" t="s">
        <v>555</v>
      </c>
      <c r="B764" s="0" t="s">
        <v>69</v>
      </c>
      <c r="C764" s="10" t="n">
        <f aca="false">C763/C758</f>
        <v>0.292744799594115</v>
      </c>
      <c r="D764" s="10" t="n">
        <f aca="false">D763/D758</f>
        <v>0.423865315495208</v>
      </c>
      <c r="E764" s="10" t="n">
        <f aca="false">E763/E758</f>
        <v>0.470974543086671</v>
      </c>
      <c r="F764" s="10" t="n">
        <f aca="false">F763/F758</f>
        <v>0.496066508474279</v>
      </c>
      <c r="G764" s="10" t="n">
        <f aca="false">G763/G758</f>
        <v>0.502857361718381</v>
      </c>
    </row>
    <row r="765" customFormat="false" ht="15" hidden="false" customHeight="false" outlineLevel="0" collapsed="false">
      <c r="A765" s="5" t="s">
        <v>515</v>
      </c>
      <c r="B765" s="0" t="s">
        <v>252</v>
      </c>
      <c r="C765" s="16" t="n">
        <f aca="false">a25_ni</f>
        <v>131.6</v>
      </c>
      <c r="D765" s="16" t="n">
        <f aca="false">ni26</f>
        <v>348.2641275</v>
      </c>
      <c r="E765" s="16" t="n">
        <f aca="false">(E763-fin)*(1-tax)</f>
        <v>555.108046525583</v>
      </c>
      <c r="F765" s="16" t="n">
        <f aca="false">(F763-fin)*(1-tax)</f>
        <v>742.575191895888</v>
      </c>
      <c r="G765" s="16" t="n">
        <f aca="false">(G763-fin)*(1-tax)</f>
        <v>816.9080806873</v>
      </c>
    </row>
    <row r="766" customFormat="false" ht="15" hidden="false" customHeight="false" outlineLevel="0" collapsed="false">
      <c r="A766" s="0" t="s">
        <v>556</v>
      </c>
      <c r="B766" s="0" t="s">
        <v>271</v>
      </c>
      <c r="C766" s="18" t="n">
        <f aca="false">a25_eps</f>
        <v>1.66</v>
      </c>
      <c r="D766" s="18" t="n">
        <f aca="false">eps26</f>
        <v>4.3364299400653</v>
      </c>
      <c r="E766" s="18" t="n">
        <f aca="false">E765/shares</f>
        <v>6.88706811454314</v>
      </c>
      <c r="F766" s="18" t="n">
        <f aca="false">F765/shares</f>
        <v>9.21291982482772</v>
      </c>
      <c r="G766" s="18" t="n">
        <f aca="false">G765/shares</f>
        <v>10.1351468965868</v>
      </c>
    </row>
    <row r="767" customFormat="false" ht="17.15" hidden="false" customHeight="false" outlineLevel="0" collapsed="false">
      <c r="A767" s="5" t="s">
        <v>596</v>
      </c>
      <c r="B767" s="5" t="s">
        <v>390</v>
      </c>
      <c r="C767" s="19" t="n">
        <f aca="false">C756/asp</f>
        <v>48</v>
      </c>
      <c r="D767" s="19" t="n">
        <f aca="false">D756/asp</f>
        <v>100.16</v>
      </c>
      <c r="E767" s="19" t="n">
        <f aca="false">E756/asp</f>
        <v>201.821657617433</v>
      </c>
      <c r="F767" s="19" t="n">
        <f aca="false">F756/asp</f>
        <v>302.257180667066</v>
      </c>
      <c r="G767" s="19" t="n">
        <f aca="false">G756/asp</f>
        <v>336.904680453718</v>
      </c>
    </row>
    <row r="780" customFormat="false" ht="17.15" hidden="false" customHeight="false" outlineLevel="0" collapsed="false">
      <c r="A780" s="4" t="s">
        <v>909</v>
      </c>
    </row>
    <row r="781" customFormat="false" ht="15" hidden="false" customHeight="false" outlineLevel="0" collapsed="false">
      <c r="A781" s="6" t="s">
        <v>21</v>
      </c>
      <c r="B781" s="6" t="s">
        <v>22</v>
      </c>
      <c r="C781" s="14" t="s">
        <v>524</v>
      </c>
      <c r="D781" s="14" t="s">
        <v>525</v>
      </c>
      <c r="E781" s="14" t="s">
        <v>526</v>
      </c>
      <c r="F781" s="14" t="s">
        <v>527</v>
      </c>
      <c r="G781" s="14" t="s">
        <v>528</v>
      </c>
      <c r="H781" s="14" t="s">
        <v>529</v>
      </c>
      <c r="I781" s="6" t="s">
        <v>427</v>
      </c>
    </row>
    <row r="782" customFormat="false" ht="17.15" hidden="false" customHeight="false" outlineLevel="0" collapsed="false">
      <c r="A782" s="1" t="s">
        <v>559</v>
      </c>
    </row>
    <row r="783" customFormat="false" ht="17.15" hidden="false" customHeight="false" outlineLevel="0" collapsed="false">
      <c r="A783" s="0" t="s">
        <v>560</v>
      </c>
      <c r="B783" s="0" t="s">
        <v>32</v>
      </c>
      <c r="C783" s="18" t="n">
        <f aca="false">hsA_25</f>
        <v>2.22511470588235</v>
      </c>
      <c r="D783" s="18" t="n">
        <f aca="false">hsA_26</f>
        <v>3.782695</v>
      </c>
      <c r="E783" s="18" t="n">
        <f aca="false">hsA_27</f>
        <v>5.86317725</v>
      </c>
      <c r="F783" s="18" t="n">
        <f aca="false">hsA_28</f>
        <v>8.5016070125</v>
      </c>
      <c r="G783" s="18" t="n">
        <f aca="false">hsA_29</f>
        <v>11.477169466875</v>
      </c>
      <c r="H783" s="18" t="n">
        <f aca="false">G783*(1+g_tail)</f>
        <v>12.6248864135625</v>
      </c>
      <c r="I783" s="8" t="s">
        <v>561</v>
      </c>
    </row>
    <row r="784" customFormat="false" ht="17.15" hidden="false" customHeight="false" outlineLevel="0" collapsed="false">
      <c r="A784" s="0" t="s">
        <v>562</v>
      </c>
      <c r="B784" s="0" t="s">
        <v>563</v>
      </c>
      <c r="C784" s="20" t="n">
        <f aca="false">den_25</f>
        <v>24</v>
      </c>
      <c r="D784" s="20" t="n">
        <f aca="false">den_26</f>
        <v>24</v>
      </c>
      <c r="E784" s="20" t="n">
        <f aca="false">den_27</f>
        <v>26</v>
      </c>
      <c r="F784" s="20" t="n">
        <f aca="false">den_28</f>
        <v>28</v>
      </c>
      <c r="G784" s="20" t="n">
        <f aca="false">den_29</f>
        <v>30</v>
      </c>
      <c r="H784" s="20" t="n">
        <f aca="false">den_30</f>
        <v>32</v>
      </c>
    </row>
    <row r="785" customFormat="false" ht="17.15" hidden="false" customHeight="false" outlineLevel="0" collapsed="false">
      <c r="A785" s="5" t="s">
        <v>564</v>
      </c>
      <c r="B785" s="5" t="s">
        <v>533</v>
      </c>
      <c r="C785" s="19" t="n">
        <f aca="false">C783*8000/C784</f>
        <v>741.704901960783</v>
      </c>
      <c r="D785" s="19" t="n">
        <f aca="false">D783*8000/D784</f>
        <v>1260.89833333333</v>
      </c>
      <c r="E785" s="19" t="n">
        <f aca="false">E783*8000/E784</f>
        <v>1804.05453846154</v>
      </c>
      <c r="F785" s="19" t="n">
        <f aca="false">F783*8000/F784</f>
        <v>2429.030575</v>
      </c>
      <c r="G785" s="19" t="n">
        <f aca="false">G783*8000/G784</f>
        <v>3060.5785245</v>
      </c>
      <c r="H785" s="19" t="n">
        <f aca="false">H783*8000/H784</f>
        <v>3156.22160339063</v>
      </c>
      <c r="I785" s="8" t="s">
        <v>565</v>
      </c>
    </row>
    <row r="786" customFormat="false" ht="15" hidden="false" customHeight="false" outlineLevel="0" collapsed="false">
      <c r="A786" s="5" t="s">
        <v>566</v>
      </c>
      <c r="B786" s="5" t="s">
        <v>96</v>
      </c>
      <c r="C786" s="20" t="n">
        <f aca="false">stk_25</f>
        <v>10</v>
      </c>
      <c r="D786" s="20" t="n">
        <f aca="false">stk_26</f>
        <v>12</v>
      </c>
      <c r="E786" s="20" t="n">
        <f aca="false">stk_27</f>
        <v>12.5</v>
      </c>
      <c r="F786" s="20" t="n">
        <f aca="false">stk_28</f>
        <v>14</v>
      </c>
      <c r="G786" s="20" t="n">
        <f aca="false">stk_29</f>
        <v>15</v>
      </c>
      <c r="H786" s="20" t="n">
        <f aca="false">stk_30</f>
        <v>16</v>
      </c>
    </row>
    <row r="787" customFormat="false" ht="15" hidden="false" customHeight="false" outlineLevel="0" collapsed="false">
      <c r="A787" s="5" t="s">
        <v>567</v>
      </c>
      <c r="B787" s="0" t="s">
        <v>116</v>
      </c>
      <c r="C787" s="21" t="n">
        <f aca="false">1+beta*(C786-$C786)/4</f>
        <v>1</v>
      </c>
      <c r="D787" s="21" t="n">
        <f aca="false">1+beta*(D786-$C786)/4</f>
        <v>1.05</v>
      </c>
      <c r="E787" s="21" t="n">
        <f aca="false">1+beta*(E786-$C786)/4</f>
        <v>1.0625</v>
      </c>
      <c r="F787" s="21" t="n">
        <f aca="false">1+beta*(F786-$C786)/4</f>
        <v>1.1</v>
      </c>
      <c r="G787" s="21" t="n">
        <f aca="false">1+beta*(G786-$C786)/4</f>
        <v>1.125</v>
      </c>
      <c r="H787" s="21" t="n">
        <f aca="false">1+beta*(H786-$C786)/4</f>
        <v>1.15</v>
      </c>
    </row>
    <row r="788" customFormat="false" ht="17.15" hidden="false" customHeight="false" outlineLevel="0" collapsed="false">
      <c r="A788" s="5" t="s">
        <v>568</v>
      </c>
      <c r="B788" s="0" t="s">
        <v>69</v>
      </c>
      <c r="C788" s="10" t="n">
        <f aca="false">hbp_25_hi</f>
        <v>0</v>
      </c>
      <c r="D788" s="10" t="n">
        <f aca="false">hbp_26_hi</f>
        <v>0</v>
      </c>
      <c r="E788" s="10" t="n">
        <f aca="false">hbp_27_hi</f>
        <v>0.05</v>
      </c>
      <c r="F788" s="10" t="n">
        <f aca="false">hbp_28_hi</f>
        <v>0.15</v>
      </c>
      <c r="G788" s="10" t="n">
        <f aca="false">hbp_29_hi</f>
        <v>0.3</v>
      </c>
      <c r="H788" s="10" t="n">
        <f aca="false">hbp_30_hi</f>
        <v>0.4</v>
      </c>
      <c r="I788" s="5" t="s">
        <v>569</v>
      </c>
    </row>
    <row r="789" customFormat="false" ht="17.15" hidden="false" customHeight="false" outlineLevel="0" collapsed="false">
      <c r="A789" s="5" t="s">
        <v>570</v>
      </c>
      <c r="B789" s="5" t="s">
        <v>571</v>
      </c>
      <c r="C789" s="19" t="n">
        <f aca="false">C785*C787*C788</f>
        <v>0</v>
      </c>
      <c r="D789" s="19" t="n">
        <f aca="false">D785*D787*D788</f>
        <v>0</v>
      </c>
      <c r="E789" s="19" t="n">
        <f aca="false">E785*E787*E788</f>
        <v>95.8403973557692</v>
      </c>
      <c r="F789" s="19" t="n">
        <f aca="false">F785*F787*F788</f>
        <v>400.790044875</v>
      </c>
      <c r="G789" s="19" t="n">
        <f aca="false">G785*G787*G788</f>
        <v>1032.94525201875</v>
      </c>
      <c r="H789" s="19" t="n">
        <f aca="false">H785*H787*H788</f>
        <v>1451.86193755969</v>
      </c>
    </row>
    <row r="790" customFormat="false" ht="17.15" hidden="false" customHeight="false" outlineLevel="0" collapsed="false">
      <c r="A790" s="5" t="s">
        <v>572</v>
      </c>
      <c r="B790" s="5" t="s">
        <v>390</v>
      </c>
      <c r="C790" s="19" t="n">
        <f aca="false">C789/thr</f>
        <v>0</v>
      </c>
      <c r="D790" s="19" t="n">
        <f aca="false">D789/thr</f>
        <v>0</v>
      </c>
      <c r="E790" s="19" t="n">
        <f aca="false">E789/thr</f>
        <v>15.6295494709343</v>
      </c>
      <c r="F790" s="19" t="n">
        <f aca="false">F789/thr</f>
        <v>65.3604117539139</v>
      </c>
      <c r="G790" s="19" t="n">
        <f aca="false">G789/thr</f>
        <v>168.451606656678</v>
      </c>
      <c r="H790" s="19" t="n">
        <f aca="false">H789/thr</f>
        <v>236.768091578553</v>
      </c>
    </row>
    <row r="791" customFormat="false" ht="17.15" hidden="false" customHeight="false" outlineLevel="0" collapsed="false">
      <c r="A791" s="5" t="s">
        <v>573</v>
      </c>
      <c r="B791" s="5" t="s">
        <v>390</v>
      </c>
      <c r="C791" s="19" t="n">
        <f aca="false">MAX(0,D790-C790)+dlt_lo*C790</f>
        <v>0</v>
      </c>
      <c r="D791" s="19" t="n">
        <f aca="false">MAX(0,E790-D790)+dlt_lo*D790</f>
        <v>15.6295494709343</v>
      </c>
      <c r="E791" s="19" t="n">
        <f aca="false">MAX(0,F790-E790)+dlt_lo*E790</f>
        <v>50.5123397565263</v>
      </c>
      <c r="F791" s="19" t="n">
        <f aca="false">MAX(0,G790-F790)+dlt_lo*F790</f>
        <v>106.35921549046</v>
      </c>
      <c r="G791" s="19" t="n">
        <f aca="false">MAX(0,H790-G790)+dlt_lo*G790</f>
        <v>76.7390652547089</v>
      </c>
      <c r="I791" s="5" t="s">
        <v>574</v>
      </c>
    </row>
    <row r="792" customFormat="false" ht="17.15" hidden="false" customHeight="false" outlineLevel="0" collapsed="false">
      <c r="A792" s="1" t="s">
        <v>575</v>
      </c>
    </row>
    <row r="793" customFormat="false" ht="17.15" hidden="false" customHeight="false" outlineLevel="0" collapsed="false">
      <c r="A793" s="0" t="s">
        <v>576</v>
      </c>
      <c r="B793" s="5" t="s">
        <v>146</v>
      </c>
      <c r="D793" s="19" t="n">
        <f aca="false">cow_26*1</f>
        <v>1107.85762580894</v>
      </c>
      <c r="E793" s="19" t="n">
        <f aca="false">cow_27*1</f>
        <v>2096.42857142857</v>
      </c>
      <c r="F793" s="19" t="n">
        <f aca="false">cow_28*um28_A</f>
        <v>2620.08928571429</v>
      </c>
      <c r="G793" s="19" t="n">
        <f aca="false">cow_29*um29_A</f>
        <v>3013.32589285714</v>
      </c>
      <c r="H793" s="19" t="n">
        <f aca="false">G793*(1+g_tail)</f>
        <v>3314.65848214285</v>
      </c>
      <c r="I793" s="8" t="s">
        <v>577</v>
      </c>
    </row>
    <row r="794" customFormat="false" ht="17.15" hidden="false" customHeight="false" outlineLevel="0" collapsed="false">
      <c r="A794" s="5" t="s">
        <v>578</v>
      </c>
      <c r="B794" s="0" t="s">
        <v>69</v>
      </c>
      <c r="D794" s="10" t="n">
        <f aca="false">attA_26</f>
        <v>0.08</v>
      </c>
      <c r="E794" s="10" t="n">
        <f aca="false">attA_27</f>
        <v>0.11</v>
      </c>
      <c r="F794" s="10" t="n">
        <f aca="false">attA_28</f>
        <v>0.18</v>
      </c>
      <c r="G794" s="10" t="n">
        <f aca="false">attA_29</f>
        <v>0.26</v>
      </c>
      <c r="H794" s="10" t="n">
        <f aca="false">attA_30</f>
        <v>0.34</v>
      </c>
    </row>
    <row r="795" customFormat="false" ht="15" hidden="false" customHeight="false" outlineLevel="0" collapsed="false">
      <c r="A795" s="5" t="s">
        <v>579</v>
      </c>
      <c r="B795" s="5" t="s">
        <v>539</v>
      </c>
      <c r="D795" s="16" t="n">
        <f aca="false">D793*D794</f>
        <v>88.6286100647152</v>
      </c>
      <c r="E795" s="16" t="n">
        <f aca="false">E793*E794</f>
        <v>230.607142857143</v>
      </c>
      <c r="F795" s="16" t="n">
        <f aca="false">F793*F794</f>
        <v>471.616071428572</v>
      </c>
      <c r="G795" s="16" t="n">
        <f aca="false">G793*G794</f>
        <v>783.464732142856</v>
      </c>
      <c r="H795" s="16" t="n">
        <f aca="false">H793*H794</f>
        <v>1126.98388392857</v>
      </c>
    </row>
    <row r="796" customFormat="false" ht="17.15" hidden="false" customHeight="false" outlineLevel="0" collapsed="false">
      <c r="A796" s="5" t="s">
        <v>580</v>
      </c>
      <c r="B796" s="5" t="s">
        <v>539</v>
      </c>
      <c r="D796" s="16" t="n">
        <f aca="false">MAX(0,E795-D795)+dlt_lo*D795</f>
        <v>146.409963295663</v>
      </c>
      <c r="E796" s="16" t="n">
        <f aca="false">MAX(0,F795-E795)+dlt_lo*E795</f>
        <v>252.539285714287</v>
      </c>
      <c r="F796" s="16" t="n">
        <f aca="false">MAX(0,G795-F795)+dlt_lo*F795</f>
        <v>335.429464285713</v>
      </c>
      <c r="G796" s="16" t="n">
        <f aca="false">MAX(0,H795-G795)+dlt_lo*G795</f>
        <v>382.692388392857</v>
      </c>
    </row>
    <row r="797" customFormat="false" ht="17.15" hidden="false" customHeight="false" outlineLevel="0" collapsed="false">
      <c r="A797" s="1" t="s">
        <v>581</v>
      </c>
    </row>
    <row r="798" customFormat="false" ht="17.15" hidden="false" customHeight="false" outlineLevel="0" collapsed="false">
      <c r="A798" s="0" t="s">
        <v>582</v>
      </c>
      <c r="B798" s="0" t="s">
        <v>252</v>
      </c>
      <c r="C798" s="16" t="n">
        <f aca="false">0</f>
        <v>0</v>
      </c>
      <c r="D798" s="16" t="n">
        <f aca="false">hbm26</f>
        <v>0</v>
      </c>
      <c r="E798" s="16" t="n">
        <f aca="false">E791*asp*shm_A</f>
        <v>75.7685096347894</v>
      </c>
      <c r="F798" s="16" t="n">
        <f aca="false">F791*asp*shm_A</f>
        <v>159.53882323569</v>
      </c>
      <c r="G798" s="16" t="n">
        <f aca="false">G791*asp*shm_A</f>
        <v>115.108597882063</v>
      </c>
      <c r="I798" s="8" t="s">
        <v>583</v>
      </c>
    </row>
    <row r="799" customFormat="false" ht="17.15" hidden="false" customHeight="false" outlineLevel="0" collapsed="false">
      <c r="A799" s="5" t="s">
        <v>584</v>
      </c>
      <c r="B799" s="0" t="s">
        <v>252</v>
      </c>
      <c r="C799" s="16" t="n">
        <f aca="false">hb25</f>
        <v>120</v>
      </c>
      <c r="D799" s="16" t="n">
        <f aca="false">rev26*hb_sh26-hbm26</f>
        <v>250.4</v>
      </c>
      <c r="E799" s="16" t="n">
        <f aca="false">$D800*E796*shl_A</f>
        <v>431.909384576223</v>
      </c>
      <c r="F799" s="16" t="n">
        <f aca="false">$D800*F796*shl_A</f>
        <v>573.673648749766</v>
      </c>
      <c r="G799" s="16" t="n">
        <f aca="false">$D800*G796*shl_A</f>
        <v>654.505826629149</v>
      </c>
      <c r="I799" s="8" t="s">
        <v>585</v>
      </c>
    </row>
    <row r="800" customFormat="false" ht="17.15" hidden="false" customHeight="false" outlineLevel="0" collapsed="false">
      <c r="A800" s="5" t="s">
        <v>586</v>
      </c>
      <c r="B800" s="0" t="s">
        <v>587</v>
      </c>
      <c r="D800" s="21" t="n">
        <f aca="false">D799/D796</f>
        <v>1.71026612099026</v>
      </c>
      <c r="I800" s="5" t="s">
        <v>588</v>
      </c>
    </row>
    <row r="801" customFormat="false" ht="15" hidden="false" customHeight="false" outlineLevel="0" collapsed="false">
      <c r="A801" s="5" t="s">
        <v>589</v>
      </c>
      <c r="B801" s="0" t="s">
        <v>252</v>
      </c>
      <c r="C801" s="16" t="n">
        <f aca="false">C798+C799</f>
        <v>120</v>
      </c>
      <c r="D801" s="16" t="n">
        <f aca="false">D798+D799</f>
        <v>250.4</v>
      </c>
      <c r="E801" s="16" t="n">
        <f aca="false">E798+E799</f>
        <v>507.677894211013</v>
      </c>
      <c r="F801" s="16" t="n">
        <f aca="false">F798+F799</f>
        <v>733.212471985456</v>
      </c>
      <c r="G801" s="16" t="n">
        <f aca="false">G798+G799</f>
        <v>769.614424511212</v>
      </c>
    </row>
    <row r="802" customFormat="false" ht="17.15" hidden="false" customHeight="false" outlineLevel="0" collapsed="false">
      <c r="A802" s="5" t="s">
        <v>590</v>
      </c>
      <c r="B802" s="0" t="s">
        <v>252</v>
      </c>
      <c r="C802" s="16" t="n">
        <f aca="false">a25_rev-hb25</f>
        <v>471.3</v>
      </c>
      <c r="D802" s="16" t="n">
        <f aca="false">rev26-D801</f>
        <v>751.2</v>
      </c>
      <c r="E802" s="16" t="n">
        <f aca="false">D802*(1+el*eqgA_27)</f>
        <v>900.497182193768</v>
      </c>
      <c r="F802" s="16" t="n">
        <f aca="false">E802*(1+el*eqgA_28)</f>
        <v>1015.22529871935</v>
      </c>
      <c r="G802" s="16" t="n">
        <f aca="false">F802*(1+el*eqgA_29)</f>
        <v>1075.58315674599</v>
      </c>
      <c r="I802" s="8" t="s">
        <v>591</v>
      </c>
    </row>
    <row r="803" customFormat="false" ht="15" hidden="false" customHeight="false" outlineLevel="0" collapsed="false">
      <c r="A803" s="5" t="s">
        <v>499</v>
      </c>
      <c r="B803" s="0" t="s">
        <v>252</v>
      </c>
      <c r="C803" s="16" t="n">
        <f aca="false">C801+C802</f>
        <v>591.3</v>
      </c>
      <c r="D803" s="16" t="n">
        <f aca="false">D801+D802</f>
        <v>1001.6</v>
      </c>
      <c r="E803" s="16" t="n">
        <f aca="false">E801+E802</f>
        <v>1408.17507640478</v>
      </c>
      <c r="F803" s="16" t="n">
        <f aca="false">F801+F802</f>
        <v>1748.43777070481</v>
      </c>
      <c r="G803" s="16" t="n">
        <f aca="false">G801+G802</f>
        <v>1845.1975812572</v>
      </c>
    </row>
    <row r="804" customFormat="false" ht="15" hidden="false" customHeight="false" outlineLevel="0" collapsed="false">
      <c r="A804" s="5" t="s">
        <v>592</v>
      </c>
      <c r="B804" s="0" t="s">
        <v>69</v>
      </c>
      <c r="C804" s="10" t="n">
        <f aca="false">C801/C803</f>
        <v>0.202942668696093</v>
      </c>
      <c r="D804" s="10" t="n">
        <f aca="false">D801/D803</f>
        <v>0.25</v>
      </c>
      <c r="E804" s="10" t="n">
        <f aca="false">E801/E803</f>
        <v>0.360521857486051</v>
      </c>
      <c r="F804" s="10" t="n">
        <f aca="false">F801/F803</f>
        <v>0.41935291279477</v>
      </c>
      <c r="G804" s="10" t="n">
        <f aca="false">G801/G803</f>
        <v>0.417090523166004</v>
      </c>
    </row>
    <row r="805" customFormat="false" ht="17.15" hidden="false" customHeight="false" outlineLevel="0" collapsed="false">
      <c r="A805" s="5" t="s">
        <v>506</v>
      </c>
      <c r="B805" s="0" t="s">
        <v>69</v>
      </c>
      <c r="C805" s="10" t="n">
        <f aca="false">a25_gp/a25_rev</f>
        <v>0.633012007441231</v>
      </c>
      <c r="D805" s="10" t="n">
        <f aca="false">gp26/rev26</f>
        <v>0.646641373801917</v>
      </c>
      <c r="E805" s="10" t="n">
        <f aca="false">$D805+gm_prem*(E804-$D804)+0</f>
        <v>0.655483122400801</v>
      </c>
      <c r="F805" s="10" t="n">
        <f aca="false">$D805+gm_prem*(F804-$D804)+0</f>
        <v>0.660189606825499</v>
      </c>
      <c r="G805" s="10" t="n">
        <f aca="false">$D805+gm_prem*(G804-$D804)+0</f>
        <v>0.660008615655197</v>
      </c>
      <c r="I805" s="8" t="s">
        <v>593</v>
      </c>
    </row>
    <row r="806" customFormat="false" ht="15" hidden="false" customHeight="false" outlineLevel="0" collapsed="false">
      <c r="A806" s="5" t="s">
        <v>502</v>
      </c>
      <c r="B806" s="0" t="s">
        <v>252</v>
      </c>
      <c r="C806" s="16" t="n">
        <f aca="false">a25_gp</f>
        <v>374.3</v>
      </c>
      <c r="D806" s="16" t="n">
        <f aca="false">gp26</f>
        <v>647.676</v>
      </c>
      <c r="E806" s="16" t="n">
        <f aca="false">E803*E805</f>
        <v>923.034995968792</v>
      </c>
      <c r="F806" s="16" t="n">
        <f aca="false">F803*F805</f>
        <v>1154.30044440046</v>
      </c>
      <c r="G806" s="16" t="n">
        <f aca="false">G803*G805</f>
        <v>1217.84630121589</v>
      </c>
    </row>
    <row r="807" customFormat="false" ht="17.15" hidden="false" customHeight="false" outlineLevel="0" collapsed="false">
      <c r="A807" s="5" t="s">
        <v>594</v>
      </c>
      <c r="B807" s="0" t="s">
        <v>252</v>
      </c>
      <c r="C807" s="16" t="n">
        <f aca="false">a25_opx</f>
        <v>201.2</v>
      </c>
      <c r="D807" s="16" t="n">
        <f aca="false">opx26</f>
        <v>223.1325</v>
      </c>
      <c r="E807" s="16" t="n">
        <f aca="false">opex_fix+opex_var*E803</f>
        <v>259.362577170883</v>
      </c>
      <c r="F807" s="16" t="n">
        <f aca="false">opex_fix+opex_var*F803</f>
        <v>289.683529900875</v>
      </c>
      <c r="G807" s="16" t="n">
        <f aca="false">opex_fix+opex_var*G803</f>
        <v>298.305837579822</v>
      </c>
      <c r="I807" s="5" t="s">
        <v>595</v>
      </c>
    </row>
    <row r="808" customFormat="false" ht="15" hidden="false" customHeight="false" outlineLevel="0" collapsed="false">
      <c r="A808" s="5" t="s">
        <v>510</v>
      </c>
      <c r="B808" s="0" t="s">
        <v>252</v>
      </c>
      <c r="C808" s="16" t="n">
        <f aca="false">C806-C807</f>
        <v>173.1</v>
      </c>
      <c r="D808" s="16" t="n">
        <f aca="false">D806-D807</f>
        <v>424.5435</v>
      </c>
      <c r="E808" s="16" t="n">
        <f aca="false">E806-E807</f>
        <v>663.672418797909</v>
      </c>
      <c r="F808" s="16" t="n">
        <f aca="false">F806-F807</f>
        <v>864.616914499583</v>
      </c>
      <c r="G808" s="16" t="n">
        <f aca="false">G806-G807</f>
        <v>919.540463636064</v>
      </c>
    </row>
    <row r="809" customFormat="false" ht="15" hidden="false" customHeight="false" outlineLevel="0" collapsed="false">
      <c r="A809" s="5" t="s">
        <v>555</v>
      </c>
      <c r="B809" s="0" t="s">
        <v>69</v>
      </c>
      <c r="C809" s="10" t="n">
        <f aca="false">C808/C803</f>
        <v>0.292744799594115</v>
      </c>
      <c r="D809" s="10" t="n">
        <f aca="false">D808/D803</f>
        <v>0.423865315495208</v>
      </c>
      <c r="E809" s="10" t="n">
        <f aca="false">E808/E803</f>
        <v>0.471299648685968</v>
      </c>
      <c r="F809" s="10" t="n">
        <f aca="false">F808/F803</f>
        <v>0.494508257020237</v>
      </c>
      <c r="G809" s="10" t="n">
        <f aca="false">G808/G803</f>
        <v>0.4983425476905</v>
      </c>
    </row>
    <row r="810" customFormat="false" ht="15" hidden="false" customHeight="false" outlineLevel="0" collapsed="false">
      <c r="A810" s="5" t="s">
        <v>515</v>
      </c>
      <c r="B810" s="0" t="s">
        <v>252</v>
      </c>
      <c r="C810" s="16" t="n">
        <f aca="false">a25_ni</f>
        <v>131.6</v>
      </c>
      <c r="D810" s="16" t="n">
        <f aca="false">ni26</f>
        <v>348.2641275</v>
      </c>
      <c r="E810" s="16" t="n">
        <f aca="false">(E808-fin)*(1-tax)</f>
        <v>556.776642260192</v>
      </c>
      <c r="F810" s="16" t="n">
        <f aca="false">(F808-fin)*(1-tax)</f>
        <v>730.59363104214</v>
      </c>
      <c r="G810" s="16" t="n">
        <f aca="false">(G808-fin)*(1-tax)</f>
        <v>778.102501045195</v>
      </c>
    </row>
    <row r="811" customFormat="false" ht="15" hidden="false" customHeight="false" outlineLevel="0" collapsed="false">
      <c r="A811" s="0" t="s">
        <v>556</v>
      </c>
      <c r="B811" s="0" t="s">
        <v>271</v>
      </c>
      <c r="C811" s="18" t="n">
        <f aca="false">a25_eps</f>
        <v>1.66</v>
      </c>
      <c r="D811" s="18" t="n">
        <f aca="false">eps26</f>
        <v>4.3364299400653</v>
      </c>
      <c r="E811" s="18" t="n">
        <f aca="false">E810/shares</f>
        <v>6.90776990863857</v>
      </c>
      <c r="F811" s="18" t="n">
        <f aca="false">F810/shares</f>
        <v>9.06426799707132</v>
      </c>
      <c r="G811" s="18" t="n">
        <f aca="false">G810/shares</f>
        <v>9.6536970745346</v>
      </c>
    </row>
    <row r="812" customFormat="false" ht="17.15" hidden="false" customHeight="false" outlineLevel="0" collapsed="false">
      <c r="A812" s="5" t="s">
        <v>596</v>
      </c>
      <c r="B812" s="5" t="s">
        <v>390</v>
      </c>
      <c r="C812" s="19" t="n">
        <f aca="false">C801/asp</f>
        <v>48</v>
      </c>
      <c r="D812" s="19" t="n">
        <f aca="false">D801/asp</f>
        <v>100.16</v>
      </c>
      <c r="E812" s="19" t="n">
        <f aca="false">E801/asp</f>
        <v>203.071157684405</v>
      </c>
      <c r="F812" s="19" t="n">
        <f aca="false">F801/asp</f>
        <v>293.284988794182</v>
      </c>
      <c r="G812" s="19" t="n">
        <f aca="false">G801/asp</f>
        <v>307.845769804485</v>
      </c>
    </row>
    <row r="825" customFormat="false" ht="17.15" hidden="false" customHeight="false" outlineLevel="0" collapsed="false">
      <c r="A825" s="4" t="s">
        <v>910</v>
      </c>
    </row>
    <row r="826" customFormat="false" ht="15" hidden="false" customHeight="false" outlineLevel="0" collapsed="false">
      <c r="A826" s="6" t="s">
        <v>21</v>
      </c>
      <c r="B826" s="6" t="s">
        <v>22</v>
      </c>
      <c r="C826" s="14" t="s">
        <v>524</v>
      </c>
      <c r="D826" s="14" t="s">
        <v>525</v>
      </c>
      <c r="E826" s="14" t="s">
        <v>526</v>
      </c>
      <c r="F826" s="14" t="s">
        <v>527</v>
      </c>
      <c r="G826" s="14" t="s">
        <v>528</v>
      </c>
      <c r="H826" s="14" t="s">
        <v>529</v>
      </c>
      <c r="I826" s="6" t="s">
        <v>427</v>
      </c>
    </row>
    <row r="827" customFormat="false" ht="17.15" hidden="false" customHeight="false" outlineLevel="0" collapsed="false">
      <c r="A827" s="1" t="s">
        <v>559</v>
      </c>
    </row>
    <row r="828" customFormat="false" ht="17.15" hidden="false" customHeight="false" outlineLevel="0" collapsed="false">
      <c r="A828" s="0" t="s">
        <v>560</v>
      </c>
      <c r="B828" s="0" t="s">
        <v>32</v>
      </c>
      <c r="C828" s="18" t="n">
        <f aca="false">hsA_25</f>
        <v>2.22511470588235</v>
      </c>
      <c r="D828" s="18" t="n">
        <f aca="false">hsA_26</f>
        <v>3.782695</v>
      </c>
      <c r="E828" s="18" t="n">
        <f aca="false">hsA_27</f>
        <v>5.86317725</v>
      </c>
      <c r="F828" s="18" t="n">
        <f aca="false">hsA_28</f>
        <v>8.5016070125</v>
      </c>
      <c r="G828" s="18" t="n">
        <f aca="false">hsA_29</f>
        <v>11.477169466875</v>
      </c>
      <c r="H828" s="18" t="n">
        <f aca="false">G828*(1+g_tail)</f>
        <v>12.6248864135625</v>
      </c>
      <c r="I828" s="8" t="s">
        <v>561</v>
      </c>
    </row>
    <row r="829" customFormat="false" ht="17.15" hidden="false" customHeight="false" outlineLevel="0" collapsed="false">
      <c r="A829" s="0" t="s">
        <v>562</v>
      </c>
      <c r="B829" s="0" t="s">
        <v>563</v>
      </c>
      <c r="C829" s="20" t="n">
        <f aca="false">den_25</f>
        <v>24</v>
      </c>
      <c r="D829" s="20" t="n">
        <f aca="false">den_26</f>
        <v>24</v>
      </c>
      <c r="E829" s="20" t="n">
        <f aca="false">den_27</f>
        <v>26</v>
      </c>
      <c r="F829" s="20" t="n">
        <f aca="false">den_28</f>
        <v>28</v>
      </c>
      <c r="G829" s="20" t="n">
        <f aca="false">den_29</f>
        <v>30</v>
      </c>
      <c r="H829" s="20" t="n">
        <f aca="false">den_30</f>
        <v>32</v>
      </c>
    </row>
    <row r="830" customFormat="false" ht="17.15" hidden="false" customHeight="false" outlineLevel="0" collapsed="false">
      <c r="A830" s="5" t="s">
        <v>564</v>
      </c>
      <c r="B830" s="5" t="s">
        <v>533</v>
      </c>
      <c r="C830" s="19" t="n">
        <f aca="false">C828*8000/C829</f>
        <v>741.704901960783</v>
      </c>
      <c r="D830" s="19" t="n">
        <f aca="false">D828*8000/D829</f>
        <v>1260.89833333333</v>
      </c>
      <c r="E830" s="19" t="n">
        <f aca="false">E828*8000/E829</f>
        <v>1804.05453846154</v>
      </c>
      <c r="F830" s="19" t="n">
        <f aca="false">F828*8000/F829</f>
        <v>2429.030575</v>
      </c>
      <c r="G830" s="19" t="n">
        <f aca="false">G828*8000/G829</f>
        <v>3060.5785245</v>
      </c>
      <c r="H830" s="19" t="n">
        <f aca="false">H828*8000/H829</f>
        <v>3156.22160339063</v>
      </c>
      <c r="I830" s="8" t="s">
        <v>565</v>
      </c>
    </row>
    <row r="831" customFormat="false" ht="15" hidden="false" customHeight="false" outlineLevel="0" collapsed="false">
      <c r="A831" s="5" t="s">
        <v>566</v>
      </c>
      <c r="B831" s="5" t="s">
        <v>96</v>
      </c>
      <c r="C831" s="20" t="n">
        <f aca="false">stk_25</f>
        <v>10</v>
      </c>
      <c r="D831" s="20" t="n">
        <f aca="false">stk_26</f>
        <v>12</v>
      </c>
      <c r="E831" s="20" t="n">
        <f aca="false">stk_27</f>
        <v>12.5</v>
      </c>
      <c r="F831" s="20" t="n">
        <f aca="false">stk_28</f>
        <v>14</v>
      </c>
      <c r="G831" s="20" t="n">
        <f aca="false">stk_29</f>
        <v>15</v>
      </c>
      <c r="H831" s="20" t="n">
        <f aca="false">stk_30</f>
        <v>16</v>
      </c>
    </row>
    <row r="832" customFormat="false" ht="15" hidden="false" customHeight="false" outlineLevel="0" collapsed="false">
      <c r="A832" s="5" t="s">
        <v>567</v>
      </c>
      <c r="B832" s="0" t="s">
        <v>116</v>
      </c>
      <c r="C832" s="21" t="n">
        <f aca="false">1+beta*(C831-$C831)/4</f>
        <v>1</v>
      </c>
      <c r="D832" s="21" t="n">
        <f aca="false">1+beta*(D831-$C831)/4</f>
        <v>1.05</v>
      </c>
      <c r="E832" s="21" t="n">
        <f aca="false">1+beta*(E831-$C831)/4</f>
        <v>1.0625</v>
      </c>
      <c r="F832" s="21" t="n">
        <f aca="false">1+beta*(F831-$C831)/4</f>
        <v>1.1</v>
      </c>
      <c r="G832" s="21" t="n">
        <f aca="false">1+beta*(G831-$C831)/4</f>
        <v>1.125</v>
      </c>
      <c r="H832" s="21" t="n">
        <f aca="false">1+beta*(H831-$C831)/4</f>
        <v>1.15</v>
      </c>
    </row>
    <row r="833" customFormat="false" ht="17.15" hidden="false" customHeight="false" outlineLevel="0" collapsed="false">
      <c r="A833" s="5" t="s">
        <v>568</v>
      </c>
      <c r="B833" s="0" t="s">
        <v>69</v>
      </c>
      <c r="C833" s="10" t="n">
        <f aca="false">hbp_25_hi</f>
        <v>0</v>
      </c>
      <c r="D833" s="10" t="n">
        <f aca="false">hbp_26_hi</f>
        <v>0</v>
      </c>
      <c r="E833" s="10" t="n">
        <f aca="false">hbp_27_hi</f>
        <v>0.05</v>
      </c>
      <c r="F833" s="10" t="n">
        <f aca="false">hbp_28_hi</f>
        <v>0.15</v>
      </c>
      <c r="G833" s="10" t="n">
        <f aca="false">hbp_29_hi</f>
        <v>0.3</v>
      </c>
      <c r="H833" s="10" t="n">
        <f aca="false">hbp_30_hi</f>
        <v>0.4</v>
      </c>
      <c r="I833" s="5" t="s">
        <v>569</v>
      </c>
    </row>
    <row r="834" customFormat="false" ht="17.15" hidden="false" customHeight="false" outlineLevel="0" collapsed="false">
      <c r="A834" s="5" t="s">
        <v>570</v>
      </c>
      <c r="B834" s="5" t="s">
        <v>571</v>
      </c>
      <c r="C834" s="19" t="n">
        <f aca="false">C830*C832*C833</f>
        <v>0</v>
      </c>
      <c r="D834" s="19" t="n">
        <f aca="false">D830*D832*D833</f>
        <v>0</v>
      </c>
      <c r="E834" s="19" t="n">
        <f aca="false">E830*E832*E833</f>
        <v>95.8403973557692</v>
      </c>
      <c r="F834" s="19" t="n">
        <f aca="false">F830*F832*F833</f>
        <v>400.790044875</v>
      </c>
      <c r="G834" s="19" t="n">
        <f aca="false">G830*G832*G833</f>
        <v>1032.94525201875</v>
      </c>
      <c r="H834" s="19" t="n">
        <f aca="false">H830*H832*H833</f>
        <v>1451.86193755969</v>
      </c>
    </row>
    <row r="835" customFormat="false" ht="17.15" hidden="false" customHeight="false" outlineLevel="0" collapsed="false">
      <c r="A835" s="5" t="s">
        <v>572</v>
      </c>
      <c r="B835" s="5" t="s">
        <v>390</v>
      </c>
      <c r="C835" s="19" t="n">
        <f aca="false">C834/thr</f>
        <v>0</v>
      </c>
      <c r="D835" s="19" t="n">
        <f aca="false">D834/thr</f>
        <v>0</v>
      </c>
      <c r="E835" s="19" t="n">
        <f aca="false">E834/thr</f>
        <v>15.6295494709343</v>
      </c>
      <c r="F835" s="19" t="n">
        <f aca="false">F834/thr</f>
        <v>65.3604117539139</v>
      </c>
      <c r="G835" s="19" t="n">
        <f aca="false">G834/thr</f>
        <v>168.451606656678</v>
      </c>
      <c r="H835" s="19" t="n">
        <f aca="false">H834/thr</f>
        <v>236.768091578553</v>
      </c>
    </row>
    <row r="836" customFormat="false" ht="17.15" hidden="false" customHeight="false" outlineLevel="0" collapsed="false">
      <c r="A836" s="5" t="s">
        <v>573</v>
      </c>
      <c r="B836" s="5" t="s">
        <v>390</v>
      </c>
      <c r="C836" s="19" t="n">
        <f aca="false">MAX(0,D835-C835)+dlt_hi*C835</f>
        <v>0</v>
      </c>
      <c r="D836" s="19" t="n">
        <f aca="false">MAX(0,E835-D835)+dlt_hi*D835</f>
        <v>15.6295494709343</v>
      </c>
      <c r="E836" s="19" t="n">
        <f aca="false">MAX(0,F835-E835)+dlt_hi*E835</f>
        <v>52.0752947036197</v>
      </c>
      <c r="F836" s="19" t="n">
        <f aca="false">MAX(0,G835-F835)+dlt_hi*F835</f>
        <v>112.895256665851</v>
      </c>
      <c r="G836" s="19" t="n">
        <f aca="false">MAX(0,H835-G835)+dlt_hi*G835</f>
        <v>93.5842259203767</v>
      </c>
      <c r="I836" s="5" t="s">
        <v>574</v>
      </c>
    </row>
    <row r="837" customFormat="false" ht="17.15" hidden="false" customHeight="false" outlineLevel="0" collapsed="false">
      <c r="A837" s="1" t="s">
        <v>575</v>
      </c>
    </row>
    <row r="838" customFormat="false" ht="17.15" hidden="false" customHeight="false" outlineLevel="0" collapsed="false">
      <c r="A838" s="0" t="s">
        <v>576</v>
      </c>
      <c r="B838" s="5" t="s">
        <v>146</v>
      </c>
      <c r="D838" s="19" t="n">
        <f aca="false">cow_26*1</f>
        <v>1107.85762580894</v>
      </c>
      <c r="E838" s="19" t="n">
        <f aca="false">cow_27*1</f>
        <v>2096.42857142857</v>
      </c>
      <c r="F838" s="19" t="n">
        <f aca="false">cow_28*um28_A</f>
        <v>2620.08928571429</v>
      </c>
      <c r="G838" s="19" t="n">
        <f aca="false">cow_29*um29_A</f>
        <v>3013.32589285714</v>
      </c>
      <c r="H838" s="19" t="n">
        <f aca="false">G838*(1+g_tail)</f>
        <v>3314.65848214285</v>
      </c>
      <c r="I838" s="8" t="s">
        <v>577</v>
      </c>
    </row>
    <row r="839" customFormat="false" ht="17.15" hidden="false" customHeight="false" outlineLevel="0" collapsed="false">
      <c r="A839" s="5" t="s">
        <v>578</v>
      </c>
      <c r="B839" s="0" t="s">
        <v>69</v>
      </c>
      <c r="D839" s="10" t="n">
        <f aca="false">attA_26</f>
        <v>0.08</v>
      </c>
      <c r="E839" s="10" t="n">
        <f aca="false">attA_27</f>
        <v>0.11</v>
      </c>
      <c r="F839" s="10" t="n">
        <f aca="false">attA_28</f>
        <v>0.18</v>
      </c>
      <c r="G839" s="10" t="n">
        <f aca="false">attA_29</f>
        <v>0.26</v>
      </c>
      <c r="H839" s="10" t="n">
        <f aca="false">attA_30</f>
        <v>0.34</v>
      </c>
    </row>
    <row r="840" customFormat="false" ht="15" hidden="false" customHeight="false" outlineLevel="0" collapsed="false">
      <c r="A840" s="5" t="s">
        <v>579</v>
      </c>
      <c r="B840" s="5" t="s">
        <v>539</v>
      </c>
      <c r="D840" s="16" t="n">
        <f aca="false">D838*D839</f>
        <v>88.6286100647152</v>
      </c>
      <c r="E840" s="16" t="n">
        <f aca="false">E838*E839</f>
        <v>230.607142857143</v>
      </c>
      <c r="F840" s="16" t="n">
        <f aca="false">F838*F839</f>
        <v>471.616071428572</v>
      </c>
      <c r="G840" s="16" t="n">
        <f aca="false">G838*G839</f>
        <v>783.464732142856</v>
      </c>
      <c r="H840" s="16" t="n">
        <f aca="false">H838*H839</f>
        <v>1126.98388392857</v>
      </c>
    </row>
    <row r="841" customFormat="false" ht="17.15" hidden="false" customHeight="false" outlineLevel="0" collapsed="false">
      <c r="A841" s="5" t="s">
        <v>580</v>
      </c>
      <c r="B841" s="5" t="s">
        <v>539</v>
      </c>
      <c r="D841" s="16" t="n">
        <f aca="false">MAX(0,E840-D840)+dlt_hi*D840</f>
        <v>155.272824302135</v>
      </c>
      <c r="E841" s="16" t="n">
        <f aca="false">MAX(0,F840-E840)+dlt_hi*E840</f>
        <v>275.600000000001</v>
      </c>
      <c r="F841" s="16" t="n">
        <f aca="false">MAX(0,G840-F840)+dlt_hi*F840</f>
        <v>382.59107142857</v>
      </c>
      <c r="G841" s="16" t="n">
        <f aca="false">MAX(0,H840-G840)+dlt_hi*G840</f>
        <v>461.038861607143</v>
      </c>
    </row>
    <row r="842" customFormat="false" ht="17.15" hidden="false" customHeight="false" outlineLevel="0" collapsed="false">
      <c r="A842" s="1" t="s">
        <v>581</v>
      </c>
    </row>
    <row r="843" customFormat="false" ht="17.15" hidden="false" customHeight="false" outlineLevel="0" collapsed="false">
      <c r="A843" s="0" t="s">
        <v>582</v>
      </c>
      <c r="B843" s="0" t="s">
        <v>252</v>
      </c>
      <c r="C843" s="16" t="n">
        <f aca="false">0</f>
        <v>0</v>
      </c>
      <c r="D843" s="16" t="n">
        <f aca="false">hbm26</f>
        <v>0</v>
      </c>
      <c r="E843" s="16" t="n">
        <f aca="false">E836*asp*shm_A</f>
        <v>78.1129420554296</v>
      </c>
      <c r="F843" s="16" t="n">
        <f aca="false">F836*asp*shm_A</f>
        <v>169.342884998777</v>
      </c>
      <c r="G843" s="16" t="n">
        <f aca="false">G836*asp*shm_A</f>
        <v>140.376338880565</v>
      </c>
      <c r="I843" s="8" t="s">
        <v>583</v>
      </c>
    </row>
    <row r="844" customFormat="false" ht="17.15" hidden="false" customHeight="false" outlineLevel="0" collapsed="false">
      <c r="A844" s="5" t="s">
        <v>584</v>
      </c>
      <c r="B844" s="0" t="s">
        <v>252</v>
      </c>
      <c r="C844" s="16" t="n">
        <f aca="false">hb25</f>
        <v>120</v>
      </c>
      <c r="D844" s="16" t="n">
        <f aca="false">rev26*hb_sh26-hbm26</f>
        <v>250.4</v>
      </c>
      <c r="E844" s="16" t="n">
        <f aca="false">$D845*E841*shl_A</f>
        <v>444.445061846224</v>
      </c>
      <c r="F844" s="16" t="n">
        <f aca="false">$D845*F841*shl_A</f>
        <v>616.983716991595</v>
      </c>
      <c r="G844" s="16" t="n">
        <f aca="false">$D845*G841*shl_A</f>
        <v>743.492182004712</v>
      </c>
      <c r="I844" s="8" t="s">
        <v>585</v>
      </c>
    </row>
    <row r="845" customFormat="false" ht="17.15" hidden="false" customHeight="false" outlineLevel="0" collapsed="false">
      <c r="A845" s="5" t="s">
        <v>586</v>
      </c>
      <c r="B845" s="0" t="s">
        <v>587</v>
      </c>
      <c r="D845" s="21" t="n">
        <f aca="false">D844/D841</f>
        <v>1.61264536228673</v>
      </c>
      <c r="I845" s="5" t="s">
        <v>588</v>
      </c>
    </row>
    <row r="846" customFormat="false" ht="15" hidden="false" customHeight="false" outlineLevel="0" collapsed="false">
      <c r="A846" s="5" t="s">
        <v>589</v>
      </c>
      <c r="B846" s="0" t="s">
        <v>252</v>
      </c>
      <c r="C846" s="16" t="n">
        <f aca="false">C843+C844</f>
        <v>120</v>
      </c>
      <c r="D846" s="16" t="n">
        <f aca="false">D843+D844</f>
        <v>250.4</v>
      </c>
      <c r="E846" s="16" t="n">
        <f aca="false">E843+E844</f>
        <v>522.558003901654</v>
      </c>
      <c r="F846" s="16" t="n">
        <f aca="false">F843+F844</f>
        <v>786.326601990372</v>
      </c>
      <c r="G846" s="16" t="n">
        <f aca="false">G843+G844</f>
        <v>883.868520885277</v>
      </c>
    </row>
    <row r="847" customFormat="false" ht="17.15" hidden="false" customHeight="false" outlineLevel="0" collapsed="false">
      <c r="A847" s="5" t="s">
        <v>590</v>
      </c>
      <c r="B847" s="0" t="s">
        <v>252</v>
      </c>
      <c r="C847" s="16" t="n">
        <f aca="false">a25_rev-hb25</f>
        <v>471.3</v>
      </c>
      <c r="D847" s="16" t="n">
        <f aca="false">rev26-D846</f>
        <v>751.2</v>
      </c>
      <c r="E847" s="16" t="n">
        <f aca="false">D847*(1+el*eqgA_27)</f>
        <v>900.497182193768</v>
      </c>
      <c r="F847" s="16" t="n">
        <f aca="false">E847*(1+el*eqgA_28)</f>
        <v>1015.22529871935</v>
      </c>
      <c r="G847" s="16" t="n">
        <f aca="false">F847*(1+el*eqgA_29)</f>
        <v>1075.58315674599</v>
      </c>
      <c r="I847" s="8" t="s">
        <v>591</v>
      </c>
    </row>
    <row r="848" customFormat="false" ht="15" hidden="false" customHeight="false" outlineLevel="0" collapsed="false">
      <c r="A848" s="5" t="s">
        <v>499</v>
      </c>
      <c r="B848" s="0" t="s">
        <v>252</v>
      </c>
      <c r="C848" s="16" t="n">
        <f aca="false">C846+C847</f>
        <v>591.3</v>
      </c>
      <c r="D848" s="16" t="n">
        <f aca="false">D846+D847</f>
        <v>1001.6</v>
      </c>
      <c r="E848" s="16" t="n">
        <f aca="false">E846+E847</f>
        <v>1423.05518609542</v>
      </c>
      <c r="F848" s="16" t="n">
        <f aca="false">F846+F847</f>
        <v>1801.55190070972</v>
      </c>
      <c r="G848" s="16" t="n">
        <f aca="false">G846+G847</f>
        <v>1959.45167763127</v>
      </c>
    </row>
    <row r="849" customFormat="false" ht="15" hidden="false" customHeight="false" outlineLevel="0" collapsed="false">
      <c r="A849" s="5" t="s">
        <v>592</v>
      </c>
      <c r="B849" s="0" t="s">
        <v>69</v>
      </c>
      <c r="C849" s="10" t="n">
        <f aca="false">C846/C848</f>
        <v>0.202942668696093</v>
      </c>
      <c r="D849" s="10" t="n">
        <f aca="false">D846/D848</f>
        <v>0.25</v>
      </c>
      <c r="E849" s="10" t="n">
        <f aca="false">E846/E848</f>
        <v>0.367208530637135</v>
      </c>
      <c r="F849" s="10" t="n">
        <f aca="false">F846/F848</f>
        <v>0.436471800607353</v>
      </c>
      <c r="G849" s="10" t="n">
        <f aca="false">G846/G848</f>
        <v>0.451079519324387</v>
      </c>
    </row>
    <row r="850" customFormat="false" ht="17.15" hidden="false" customHeight="false" outlineLevel="0" collapsed="false">
      <c r="A850" s="5" t="s">
        <v>506</v>
      </c>
      <c r="B850" s="0" t="s">
        <v>69</v>
      </c>
      <c r="C850" s="10" t="n">
        <f aca="false">a25_gp/a25_rev</f>
        <v>0.633012007441231</v>
      </c>
      <c r="D850" s="10" t="n">
        <f aca="false">gp26/rev26</f>
        <v>0.646641373801917</v>
      </c>
      <c r="E850" s="10" t="n">
        <f aca="false">$D850+gm_prem*(E849-$D849)+0</f>
        <v>0.656018056252888</v>
      </c>
      <c r="F850" s="10" t="n">
        <f aca="false">$D850+gm_prem*(F849-$D849)+0</f>
        <v>0.661559117850505</v>
      </c>
      <c r="G850" s="10" t="n">
        <f aca="false">$D850+gm_prem*(G849-$D849)+0</f>
        <v>0.662727735347868</v>
      </c>
      <c r="I850" s="8" t="s">
        <v>593</v>
      </c>
    </row>
    <row r="851" customFormat="false" ht="15" hidden="false" customHeight="false" outlineLevel="0" collapsed="false">
      <c r="A851" s="5" t="s">
        <v>502</v>
      </c>
      <c r="B851" s="0" t="s">
        <v>252</v>
      </c>
      <c r="C851" s="16" t="n">
        <f aca="false">a25_gp</f>
        <v>374.3</v>
      </c>
      <c r="D851" s="16" t="n">
        <f aca="false">gp26</f>
        <v>647.676</v>
      </c>
      <c r="E851" s="16" t="n">
        <f aca="false">E848*E850</f>
        <v>933.54989712291</v>
      </c>
      <c r="F851" s="16" t="n">
        <f aca="false">F848*F850</f>
        <v>1191.83308619543</v>
      </c>
      <c r="G851" s="16" t="n">
        <f aca="false">G848*G850</f>
        <v>1298.58297284015</v>
      </c>
    </row>
    <row r="852" customFormat="false" ht="17.15" hidden="false" customHeight="false" outlineLevel="0" collapsed="false">
      <c r="A852" s="5" t="s">
        <v>594</v>
      </c>
      <c r="B852" s="0" t="s">
        <v>252</v>
      </c>
      <c r="C852" s="16" t="n">
        <f aca="false">a25_opx</f>
        <v>201.2</v>
      </c>
      <c r="D852" s="16" t="n">
        <f aca="false">opx26</f>
        <v>223.1325</v>
      </c>
      <c r="E852" s="16" t="n">
        <f aca="false">opex_fix+opex_var*E848</f>
        <v>260.688550044504</v>
      </c>
      <c r="F852" s="16" t="n">
        <f aca="false">opex_fix+opex_var*F848</f>
        <v>294.416552510029</v>
      </c>
      <c r="G852" s="16" t="n">
        <f aca="false">opex_fix+opex_var*G848</f>
        <v>308.487068474065</v>
      </c>
      <c r="I852" s="5" t="s">
        <v>595</v>
      </c>
    </row>
    <row r="853" customFormat="false" ht="15" hidden="false" customHeight="false" outlineLevel="0" collapsed="false">
      <c r="A853" s="5" t="s">
        <v>510</v>
      </c>
      <c r="B853" s="0" t="s">
        <v>252</v>
      </c>
      <c r="C853" s="16" t="n">
        <f aca="false">C851-C852</f>
        <v>173.1</v>
      </c>
      <c r="D853" s="16" t="n">
        <f aca="false">D851-D852</f>
        <v>424.5435</v>
      </c>
      <c r="E853" s="16" t="n">
        <f aca="false">E851-E852</f>
        <v>672.861347078406</v>
      </c>
      <c r="F853" s="16" t="n">
        <f aca="false">F851-F852</f>
        <v>897.416533685397</v>
      </c>
      <c r="G853" s="16" t="n">
        <f aca="false">G851-G852</f>
        <v>990.095904366086</v>
      </c>
    </row>
    <row r="854" customFormat="false" ht="15" hidden="false" customHeight="false" outlineLevel="0" collapsed="false">
      <c r="A854" s="5" t="s">
        <v>555</v>
      </c>
      <c r="B854" s="0" t="s">
        <v>69</v>
      </c>
      <c r="C854" s="10" t="n">
        <f aca="false">C853/C848</f>
        <v>0.292744799594115</v>
      </c>
      <c r="D854" s="10" t="n">
        <f aca="false">D853/D848</f>
        <v>0.423865315495208</v>
      </c>
      <c r="E854" s="10" t="n">
        <f aca="false">E853/E848</f>
        <v>0.472828709422439</v>
      </c>
      <c r="F854" s="10" t="n">
        <f aca="false">F853/F848</f>
        <v>0.498135265118845</v>
      </c>
      <c r="G854" s="10" t="n">
        <f aca="false">G853/G848</f>
        <v>0.505292330333447</v>
      </c>
    </row>
    <row r="855" customFormat="false" ht="15" hidden="false" customHeight="false" outlineLevel="0" collapsed="false">
      <c r="A855" s="5" t="s">
        <v>515</v>
      </c>
      <c r="B855" s="0" t="s">
        <v>252</v>
      </c>
      <c r="C855" s="16" t="n">
        <f aca="false">a25_ni</f>
        <v>131.6</v>
      </c>
      <c r="D855" s="16" t="n">
        <f aca="false">ni26</f>
        <v>348.2641275</v>
      </c>
      <c r="E855" s="16" t="n">
        <f aca="false">(E853-fin)*(1-tax)</f>
        <v>564.725065222821</v>
      </c>
      <c r="F855" s="16" t="n">
        <f aca="false">(F853-fin)*(1-tax)</f>
        <v>758.965301637868</v>
      </c>
      <c r="G855" s="16" t="n">
        <f aca="false">(G853-fin)*(1-tax)</f>
        <v>839.132957276665</v>
      </c>
    </row>
    <row r="856" customFormat="false" ht="15" hidden="false" customHeight="false" outlineLevel="0" collapsed="false">
      <c r="A856" s="0" t="s">
        <v>556</v>
      </c>
      <c r="B856" s="0" t="s">
        <v>271</v>
      </c>
      <c r="C856" s="18" t="n">
        <f aca="false">a25_eps</f>
        <v>1.66</v>
      </c>
      <c r="D856" s="18" t="n">
        <f aca="false">eps26</f>
        <v>4.3364299400653</v>
      </c>
      <c r="E856" s="18" t="n">
        <f aca="false">E855/shares</f>
        <v>7.00638373830553</v>
      </c>
      <c r="F856" s="18" t="n">
        <f aca="false">F855/shares</f>
        <v>9.41626726845489</v>
      </c>
      <c r="G856" s="18" t="n">
        <f aca="false">G855/shares</f>
        <v>10.4108846378541</v>
      </c>
    </row>
    <row r="857" customFormat="false" ht="17.15" hidden="false" customHeight="false" outlineLevel="0" collapsed="false">
      <c r="A857" s="5" t="s">
        <v>596</v>
      </c>
      <c r="B857" s="5" t="s">
        <v>390</v>
      </c>
      <c r="C857" s="19" t="n">
        <f aca="false">C846/asp</f>
        <v>48</v>
      </c>
      <c r="D857" s="19" t="n">
        <f aca="false">D846/asp</f>
        <v>100.16</v>
      </c>
      <c r="E857" s="19" t="n">
        <f aca="false">E846/asp</f>
        <v>209.023201560662</v>
      </c>
      <c r="F857" s="19" t="n">
        <f aca="false">F846/asp</f>
        <v>314.530640796149</v>
      </c>
      <c r="G857" s="19" t="n">
        <f aca="false">G846/asp</f>
        <v>353.547408354111</v>
      </c>
    </row>
    <row r="870" customFormat="false" ht="17.15" hidden="false" customHeight="false" outlineLevel="0" collapsed="false">
      <c r="A870" s="4" t="s">
        <v>911</v>
      </c>
    </row>
    <row r="871" customFormat="false" ht="15" hidden="false" customHeight="false" outlineLevel="0" collapsed="false">
      <c r="A871" s="6" t="s">
        <v>21</v>
      </c>
      <c r="B871" s="6" t="s">
        <v>22</v>
      </c>
      <c r="C871" s="14" t="s">
        <v>524</v>
      </c>
      <c r="D871" s="14" t="s">
        <v>525</v>
      </c>
      <c r="E871" s="14" t="s">
        <v>526</v>
      </c>
      <c r="F871" s="14" t="s">
        <v>527</v>
      </c>
      <c r="G871" s="14" t="s">
        <v>528</v>
      </c>
      <c r="H871" s="14" t="s">
        <v>529</v>
      </c>
      <c r="I871" s="6" t="s">
        <v>427</v>
      </c>
    </row>
    <row r="872" customFormat="false" ht="17.15" hidden="false" customHeight="false" outlineLevel="0" collapsed="false">
      <c r="A872" s="1" t="s">
        <v>559</v>
      </c>
    </row>
    <row r="873" customFormat="false" ht="17.15" hidden="false" customHeight="false" outlineLevel="0" collapsed="false">
      <c r="A873" s="0" t="s">
        <v>560</v>
      </c>
      <c r="B873" s="0" t="s">
        <v>32</v>
      </c>
      <c r="C873" s="18" t="n">
        <f aca="false">hsA_25</f>
        <v>2.22511470588235</v>
      </c>
      <c r="D873" s="18" t="n">
        <f aca="false">hsA_26</f>
        <v>3.782695</v>
      </c>
      <c r="E873" s="18" t="n">
        <f aca="false">hsA_27</f>
        <v>5.86317725</v>
      </c>
      <c r="F873" s="18" t="n">
        <f aca="false">hsA_28</f>
        <v>8.5016070125</v>
      </c>
      <c r="G873" s="18" t="n">
        <f aca="false">hsA_29</f>
        <v>11.477169466875</v>
      </c>
      <c r="H873" s="18" t="n">
        <f aca="false">G873*(1+g_tail)</f>
        <v>12.6248864135625</v>
      </c>
      <c r="I873" s="8" t="s">
        <v>561</v>
      </c>
    </row>
    <row r="874" customFormat="false" ht="17.15" hidden="false" customHeight="false" outlineLevel="0" collapsed="false">
      <c r="A874" s="0" t="s">
        <v>562</v>
      </c>
      <c r="B874" s="0" t="s">
        <v>563</v>
      </c>
      <c r="C874" s="20" t="n">
        <f aca="false">den_25</f>
        <v>24</v>
      </c>
      <c r="D874" s="20" t="n">
        <f aca="false">den_26</f>
        <v>24</v>
      </c>
      <c r="E874" s="20" t="n">
        <f aca="false">den_27</f>
        <v>26</v>
      </c>
      <c r="F874" s="20" t="n">
        <f aca="false">den_28</f>
        <v>28</v>
      </c>
      <c r="G874" s="20" t="n">
        <f aca="false">den_29</f>
        <v>30</v>
      </c>
      <c r="H874" s="20" t="n">
        <f aca="false">den_30</f>
        <v>32</v>
      </c>
    </row>
    <row r="875" customFormat="false" ht="17.15" hidden="false" customHeight="false" outlineLevel="0" collapsed="false">
      <c r="A875" s="5" t="s">
        <v>564</v>
      </c>
      <c r="B875" s="5" t="s">
        <v>533</v>
      </c>
      <c r="C875" s="19" t="n">
        <f aca="false">C873*8000/C874</f>
        <v>741.704901960783</v>
      </c>
      <c r="D875" s="19" t="n">
        <f aca="false">D873*8000/D874</f>
        <v>1260.89833333333</v>
      </c>
      <c r="E875" s="19" t="n">
        <f aca="false">E873*8000/E874</f>
        <v>1804.05453846154</v>
      </c>
      <c r="F875" s="19" t="n">
        <f aca="false">F873*8000/F874</f>
        <v>2429.030575</v>
      </c>
      <c r="G875" s="19" t="n">
        <f aca="false">G873*8000/G874</f>
        <v>3060.5785245</v>
      </c>
      <c r="H875" s="19" t="n">
        <f aca="false">H873*8000/H874</f>
        <v>3156.22160339063</v>
      </c>
      <c r="I875" s="8" t="s">
        <v>565</v>
      </c>
    </row>
    <row r="876" customFormat="false" ht="15" hidden="false" customHeight="false" outlineLevel="0" collapsed="false">
      <c r="A876" s="5" t="s">
        <v>566</v>
      </c>
      <c r="B876" s="5" t="s">
        <v>96</v>
      </c>
      <c r="C876" s="20" t="n">
        <f aca="false">stk_25</f>
        <v>10</v>
      </c>
      <c r="D876" s="20" t="n">
        <f aca="false">stk_26</f>
        <v>12</v>
      </c>
      <c r="E876" s="20" t="n">
        <f aca="false">stk_27</f>
        <v>12.5</v>
      </c>
      <c r="F876" s="20" t="n">
        <f aca="false">stk_28</f>
        <v>14</v>
      </c>
      <c r="G876" s="20" t="n">
        <f aca="false">stk_29</f>
        <v>15</v>
      </c>
      <c r="H876" s="20" t="n">
        <f aca="false">stk_30</f>
        <v>16</v>
      </c>
    </row>
    <row r="877" customFormat="false" ht="15" hidden="false" customHeight="false" outlineLevel="0" collapsed="false">
      <c r="A877" s="5" t="s">
        <v>567</v>
      </c>
      <c r="B877" s="0" t="s">
        <v>116</v>
      </c>
      <c r="C877" s="21" t="n">
        <f aca="false">1+beta*(C876-$C876)/4</f>
        <v>1</v>
      </c>
      <c r="D877" s="21" t="n">
        <f aca="false">1+beta*(D876-$C876)/4</f>
        <v>1.05</v>
      </c>
      <c r="E877" s="21" t="n">
        <f aca="false">1+beta*(E876-$C876)/4</f>
        <v>1.0625</v>
      </c>
      <c r="F877" s="21" t="n">
        <f aca="false">1+beta*(F876-$C876)/4</f>
        <v>1.1</v>
      </c>
      <c r="G877" s="21" t="n">
        <f aca="false">1+beta*(G876-$C876)/4</f>
        <v>1.125</v>
      </c>
      <c r="H877" s="21" t="n">
        <f aca="false">1+beta*(H876-$C876)/4</f>
        <v>1.15</v>
      </c>
    </row>
    <row r="878" customFormat="false" ht="17.15" hidden="false" customHeight="false" outlineLevel="0" collapsed="false">
      <c r="A878" s="5" t="s">
        <v>568</v>
      </c>
      <c r="B878" s="0" t="s">
        <v>69</v>
      </c>
      <c r="C878" s="10" t="n">
        <f aca="false">hbp_25_hi</f>
        <v>0</v>
      </c>
      <c r="D878" s="10" t="n">
        <f aca="false">hbp_26_hi</f>
        <v>0</v>
      </c>
      <c r="E878" s="10" t="n">
        <f aca="false">hbp_27_hi</f>
        <v>0.05</v>
      </c>
      <c r="F878" s="10" t="n">
        <f aca="false">hbp_28_hi</f>
        <v>0.15</v>
      </c>
      <c r="G878" s="10" t="n">
        <f aca="false">hbp_29_hi</f>
        <v>0.3</v>
      </c>
      <c r="H878" s="10" t="n">
        <f aca="false">hbp_30_hi</f>
        <v>0.4</v>
      </c>
      <c r="I878" s="5" t="s">
        <v>569</v>
      </c>
    </row>
    <row r="879" customFormat="false" ht="17.15" hidden="false" customHeight="false" outlineLevel="0" collapsed="false">
      <c r="A879" s="5" t="s">
        <v>570</v>
      </c>
      <c r="B879" s="5" t="s">
        <v>571</v>
      </c>
      <c r="C879" s="19" t="n">
        <f aca="false">C875*C877*C878</f>
        <v>0</v>
      </c>
      <c r="D879" s="19" t="n">
        <f aca="false">D875*D877*D878</f>
        <v>0</v>
      </c>
      <c r="E879" s="19" t="n">
        <f aca="false">E875*E877*E878</f>
        <v>95.8403973557692</v>
      </c>
      <c r="F879" s="19" t="n">
        <f aca="false">F875*F877*F878</f>
        <v>400.790044875</v>
      </c>
      <c r="G879" s="19" t="n">
        <f aca="false">G875*G877*G878</f>
        <v>1032.94525201875</v>
      </c>
      <c r="H879" s="19" t="n">
        <f aca="false">H875*H877*H878</f>
        <v>1451.86193755969</v>
      </c>
    </row>
    <row r="880" customFormat="false" ht="17.15" hidden="false" customHeight="false" outlineLevel="0" collapsed="false">
      <c r="A880" s="5" t="s">
        <v>572</v>
      </c>
      <c r="B880" s="5" t="s">
        <v>390</v>
      </c>
      <c r="C880" s="19" t="n">
        <f aca="false">C879/thr</f>
        <v>0</v>
      </c>
      <c r="D880" s="19" t="n">
        <f aca="false">D879/thr</f>
        <v>0</v>
      </c>
      <c r="E880" s="19" t="n">
        <f aca="false">E879/thr</f>
        <v>15.6295494709343</v>
      </c>
      <c r="F880" s="19" t="n">
        <f aca="false">F879/thr</f>
        <v>65.3604117539139</v>
      </c>
      <c r="G880" s="19" t="n">
        <f aca="false">G879/thr</f>
        <v>168.451606656678</v>
      </c>
      <c r="H880" s="19" t="n">
        <f aca="false">H879/thr</f>
        <v>236.768091578553</v>
      </c>
    </row>
    <row r="881" customFormat="false" ht="17.15" hidden="false" customHeight="false" outlineLevel="0" collapsed="false">
      <c r="A881" s="5" t="s">
        <v>573</v>
      </c>
      <c r="B881" s="5" t="s">
        <v>390</v>
      </c>
      <c r="C881" s="19" t="n">
        <f aca="false">MAX(0,D880-C880)+dlt*C880</f>
        <v>0</v>
      </c>
      <c r="D881" s="19" t="n">
        <f aca="false">MAX(0,E880-D880)+dlt*D880</f>
        <v>15.6295494709343</v>
      </c>
      <c r="E881" s="19" t="n">
        <f aca="false">MAX(0,F880-E880)+dlt*E880</f>
        <v>51.293817230073</v>
      </c>
      <c r="F881" s="19" t="n">
        <f aca="false">MAX(0,G880-F880)+dlt*F880</f>
        <v>109.627236078156</v>
      </c>
      <c r="G881" s="19" t="n">
        <f aca="false">MAX(0,H880-G880)+dlt*G880</f>
        <v>85.1616455875428</v>
      </c>
      <c r="I881" s="5" t="s">
        <v>574</v>
      </c>
    </row>
    <row r="882" customFormat="false" ht="17.15" hidden="false" customHeight="false" outlineLevel="0" collapsed="false">
      <c r="A882" s="1" t="s">
        <v>575</v>
      </c>
    </row>
    <row r="883" customFormat="false" ht="17.15" hidden="false" customHeight="false" outlineLevel="0" collapsed="false">
      <c r="A883" s="0" t="s">
        <v>576</v>
      </c>
      <c r="B883" s="5" t="s">
        <v>146</v>
      </c>
      <c r="D883" s="19" t="n">
        <f aca="false">cow_26*1</f>
        <v>1107.85762580894</v>
      </c>
      <c r="E883" s="19" t="n">
        <f aca="false">cow_27*1</f>
        <v>2096.42857142857</v>
      </c>
      <c r="F883" s="19" t="n">
        <f aca="false">cow_28*um28_A</f>
        <v>2620.08928571429</v>
      </c>
      <c r="G883" s="19" t="n">
        <f aca="false">cow_29*um29_A</f>
        <v>3013.32589285714</v>
      </c>
      <c r="H883" s="19" t="n">
        <f aca="false">G883*(1+g_tail)</f>
        <v>3314.65848214285</v>
      </c>
      <c r="I883" s="8" t="s">
        <v>577</v>
      </c>
    </row>
    <row r="884" customFormat="false" ht="17.15" hidden="false" customHeight="false" outlineLevel="0" collapsed="false">
      <c r="A884" s="5" t="s">
        <v>578</v>
      </c>
      <c r="B884" s="0" t="s">
        <v>69</v>
      </c>
      <c r="D884" s="10" t="n">
        <f aca="false">attA_26</f>
        <v>0.08</v>
      </c>
      <c r="E884" s="10" t="n">
        <f aca="false">attA_27</f>
        <v>0.11</v>
      </c>
      <c r="F884" s="10" t="n">
        <f aca="false">attA_28</f>
        <v>0.18</v>
      </c>
      <c r="G884" s="10" t="n">
        <f aca="false">attA_29</f>
        <v>0.26</v>
      </c>
      <c r="H884" s="10" t="n">
        <f aca="false">attA_30</f>
        <v>0.34</v>
      </c>
    </row>
    <row r="885" customFormat="false" ht="15" hidden="false" customHeight="false" outlineLevel="0" collapsed="false">
      <c r="A885" s="5" t="s">
        <v>579</v>
      </c>
      <c r="B885" s="5" t="s">
        <v>539</v>
      </c>
      <c r="D885" s="16" t="n">
        <f aca="false">D883*D884</f>
        <v>88.6286100647152</v>
      </c>
      <c r="E885" s="16" t="n">
        <f aca="false">E883*E884</f>
        <v>230.607142857143</v>
      </c>
      <c r="F885" s="16" t="n">
        <f aca="false">F883*F884</f>
        <v>471.616071428572</v>
      </c>
      <c r="G885" s="16" t="n">
        <f aca="false">G883*G884</f>
        <v>783.464732142856</v>
      </c>
      <c r="H885" s="16" t="n">
        <f aca="false">H883*H884</f>
        <v>1126.98388392857</v>
      </c>
    </row>
    <row r="886" customFormat="false" ht="17.15" hidden="false" customHeight="false" outlineLevel="0" collapsed="false">
      <c r="A886" s="5" t="s">
        <v>580</v>
      </c>
      <c r="B886" s="5" t="s">
        <v>539</v>
      </c>
      <c r="D886" s="16" t="n">
        <f aca="false">MAX(0,E885-D885)+dlt*D885</f>
        <v>150.841393798899</v>
      </c>
      <c r="E886" s="16" t="n">
        <f aca="false">MAX(0,F885-E885)+dlt*E885</f>
        <v>264.069642857144</v>
      </c>
      <c r="F886" s="16" t="n">
        <f aca="false">MAX(0,G885-F885)+dlt*F885</f>
        <v>359.010267857141</v>
      </c>
      <c r="G886" s="16" t="n">
        <f aca="false">MAX(0,H885-G885)+dlt*G885</f>
        <v>421.865625</v>
      </c>
    </row>
    <row r="887" customFormat="false" ht="17.15" hidden="false" customHeight="false" outlineLevel="0" collapsed="false">
      <c r="A887" s="1" t="s">
        <v>581</v>
      </c>
    </row>
    <row r="888" customFormat="false" ht="17.15" hidden="false" customHeight="false" outlineLevel="0" collapsed="false">
      <c r="A888" s="0" t="s">
        <v>582</v>
      </c>
      <c r="B888" s="0" t="s">
        <v>252</v>
      </c>
      <c r="C888" s="16" t="n">
        <f aca="false">0</f>
        <v>0</v>
      </c>
      <c r="D888" s="16" t="n">
        <f aca="false">hbm26</f>
        <v>0</v>
      </c>
      <c r="E888" s="16" t="n">
        <f aca="false">E881*asp*shm_A</f>
        <v>76.9407258451095</v>
      </c>
      <c r="F888" s="16" t="n">
        <f aca="false">F881*asp*shm_A</f>
        <v>164.440854117233</v>
      </c>
      <c r="G888" s="16" t="n">
        <f aca="false">G881*asp*shm_A</f>
        <v>127.742468381314</v>
      </c>
      <c r="I888" s="8" t="s">
        <v>583</v>
      </c>
    </row>
    <row r="889" customFormat="false" ht="17.15" hidden="false" customHeight="false" outlineLevel="0" collapsed="false">
      <c r="A889" s="5" t="s">
        <v>584</v>
      </c>
      <c r="B889" s="0" t="s">
        <v>252</v>
      </c>
      <c r="C889" s="16" t="n">
        <f aca="false">hb25</f>
        <v>120</v>
      </c>
      <c r="D889" s="16" t="n">
        <f aca="false">rev26*hb_sh26-hbm26</f>
        <v>250.4</v>
      </c>
      <c r="E889" s="16" t="n">
        <f aca="false">$D890*E886*shl_A</f>
        <v>438.361360274778</v>
      </c>
      <c r="F889" s="16" t="n">
        <f aca="false">$D890*F886*shl_A</f>
        <v>595.964866191023</v>
      </c>
      <c r="G889" s="16" t="n">
        <f aca="false">$D890*G886*shl_A</f>
        <v>700.306128441323</v>
      </c>
      <c r="I889" s="8" t="s">
        <v>585</v>
      </c>
    </row>
    <row r="890" customFormat="false" ht="17.15" hidden="false" customHeight="false" outlineLevel="0" collapsed="false">
      <c r="A890" s="5" t="s">
        <v>586</v>
      </c>
      <c r="B890" s="0" t="s">
        <v>587</v>
      </c>
      <c r="D890" s="21" t="n">
        <f aca="false">D889/D886</f>
        <v>1.66002178641913</v>
      </c>
      <c r="I890" s="5" t="s">
        <v>588</v>
      </c>
    </row>
    <row r="891" customFormat="false" ht="15" hidden="false" customHeight="false" outlineLevel="0" collapsed="false">
      <c r="A891" s="5" t="s">
        <v>589</v>
      </c>
      <c r="B891" s="0" t="s">
        <v>252</v>
      </c>
      <c r="C891" s="16" t="n">
        <f aca="false">C888+C889</f>
        <v>120</v>
      </c>
      <c r="D891" s="16" t="n">
        <f aca="false">D888+D889</f>
        <v>250.4</v>
      </c>
      <c r="E891" s="16" t="n">
        <f aca="false">E888+E889</f>
        <v>515.302086119887</v>
      </c>
      <c r="F891" s="16" t="n">
        <f aca="false">F888+F889</f>
        <v>760.405720308256</v>
      </c>
      <c r="G891" s="16" t="n">
        <f aca="false">G888+G889</f>
        <v>828.048596822637</v>
      </c>
    </row>
    <row r="892" customFormat="false" ht="17.15" hidden="false" customHeight="false" outlineLevel="0" collapsed="false">
      <c r="A892" s="5" t="s">
        <v>590</v>
      </c>
      <c r="B892" s="0" t="s">
        <v>252</v>
      </c>
      <c r="C892" s="16" t="n">
        <f aca="false">a25_rev-hb25</f>
        <v>471.3</v>
      </c>
      <c r="D892" s="16" t="n">
        <f aca="false">rev26-D891</f>
        <v>751.2</v>
      </c>
      <c r="E892" s="16" t="n">
        <f aca="false">D892*(1+el_lo*eqgA_27)</f>
        <v>825.848591096884</v>
      </c>
      <c r="F892" s="16" t="n">
        <f aca="false">E892*(1+el_lo*eqgA_28)</f>
        <v>878.457336168706</v>
      </c>
      <c r="G892" s="16" t="n">
        <f aca="false">F892*(1+el_lo*eqgA_29)</f>
        <v>904.570654683235</v>
      </c>
      <c r="I892" s="8" t="s">
        <v>591</v>
      </c>
    </row>
    <row r="893" customFormat="false" ht="15" hidden="false" customHeight="false" outlineLevel="0" collapsed="false">
      <c r="A893" s="5" t="s">
        <v>499</v>
      </c>
      <c r="B893" s="0" t="s">
        <v>252</v>
      </c>
      <c r="C893" s="16" t="n">
        <f aca="false">C891+C892</f>
        <v>591.3</v>
      </c>
      <c r="D893" s="16" t="n">
        <f aca="false">D891+D892</f>
        <v>1001.6</v>
      </c>
      <c r="E893" s="16" t="n">
        <f aca="false">E891+E892</f>
        <v>1341.15067721677</v>
      </c>
      <c r="F893" s="16" t="n">
        <f aca="false">F891+F892</f>
        <v>1638.86305647696</v>
      </c>
      <c r="G893" s="16" t="n">
        <f aca="false">G891+G892</f>
        <v>1732.61925150587</v>
      </c>
    </row>
    <row r="894" customFormat="false" ht="15" hidden="false" customHeight="false" outlineLevel="0" collapsed="false">
      <c r="A894" s="5" t="s">
        <v>592</v>
      </c>
      <c r="B894" s="0" t="s">
        <v>69</v>
      </c>
      <c r="C894" s="10" t="n">
        <f aca="false">C891/C893</f>
        <v>0.202942668696093</v>
      </c>
      <c r="D894" s="10" t="n">
        <f aca="false">D891/D893</f>
        <v>0.25</v>
      </c>
      <c r="E894" s="10" t="n">
        <f aca="false">E891/E893</f>
        <v>0.384223857075679</v>
      </c>
      <c r="F894" s="10" t="n">
        <f aca="false">F891/F893</f>
        <v>0.463983685093792</v>
      </c>
      <c r="G894" s="10" t="n">
        <f aca="false">G891/G893</f>
        <v>0.477917232019069</v>
      </c>
    </row>
    <row r="895" customFormat="false" ht="17.15" hidden="false" customHeight="false" outlineLevel="0" collapsed="false">
      <c r="A895" s="5" t="s">
        <v>506</v>
      </c>
      <c r="B895" s="0" t="s">
        <v>69</v>
      </c>
      <c r="C895" s="10" t="n">
        <f aca="false">a25_gp/a25_rev</f>
        <v>0.633012007441231</v>
      </c>
      <c r="D895" s="10" t="n">
        <f aca="false">gp26/rev26</f>
        <v>0.646641373801917</v>
      </c>
      <c r="E895" s="10" t="n">
        <f aca="false">$D895+gm_prem*(E894-$D894)+0</f>
        <v>0.657379282367971</v>
      </c>
      <c r="F895" s="10" t="n">
        <f aca="false">$D895+gm_prem*(F894-$D894)+0</f>
        <v>0.66376006860942</v>
      </c>
      <c r="G895" s="10" t="n">
        <f aca="false">$D895+gm_prem*(G894-$D894)+0</f>
        <v>0.664874752363442</v>
      </c>
      <c r="I895" s="8" t="s">
        <v>593</v>
      </c>
    </row>
    <row r="896" customFormat="false" ht="15" hidden="false" customHeight="false" outlineLevel="0" collapsed="false">
      <c r="A896" s="5" t="s">
        <v>502</v>
      </c>
      <c r="B896" s="0" t="s">
        <v>252</v>
      </c>
      <c r="C896" s="16" t="n">
        <f aca="false">a25_gp</f>
        <v>374.3</v>
      </c>
      <c r="D896" s="16" t="n">
        <f aca="false">gp26</f>
        <v>647.676</v>
      </c>
      <c r="E896" s="16" t="n">
        <f aca="false">E893*E895</f>
        <v>881.64466973608</v>
      </c>
      <c r="F896" s="16" t="n">
        <f aca="false">F893*F895</f>
        <v>1087.81185480859</v>
      </c>
      <c r="G896" s="16" t="n">
        <f aca="false">G893*G895</f>
        <v>1151.9747957851</v>
      </c>
    </row>
    <row r="897" customFormat="false" ht="17.15" hidden="false" customHeight="false" outlineLevel="0" collapsed="false">
      <c r="A897" s="5" t="s">
        <v>594</v>
      </c>
      <c r="B897" s="0" t="s">
        <v>252</v>
      </c>
      <c r="C897" s="16" t="n">
        <f aca="false">a25_opx</f>
        <v>201.2</v>
      </c>
      <c r="D897" s="16" t="n">
        <f aca="false">opx26</f>
        <v>223.1325</v>
      </c>
      <c r="E897" s="16" t="n">
        <f aca="false">opex_fix+opex_var*E893</f>
        <v>253.39000458629</v>
      </c>
      <c r="F897" s="16" t="n">
        <f aca="false">opex_fix+opex_var*F893</f>
        <v>279.91928073057</v>
      </c>
      <c r="G897" s="16" t="n">
        <f aca="false">opex_fix+opex_var*G893</f>
        <v>288.27393495872</v>
      </c>
      <c r="I897" s="5" t="s">
        <v>595</v>
      </c>
    </row>
    <row r="898" customFormat="false" ht="15" hidden="false" customHeight="false" outlineLevel="0" collapsed="false">
      <c r="A898" s="5" t="s">
        <v>510</v>
      </c>
      <c r="B898" s="0" t="s">
        <v>252</v>
      </c>
      <c r="C898" s="16" t="n">
        <f aca="false">C896-C897</f>
        <v>173.1</v>
      </c>
      <c r="D898" s="16" t="n">
        <f aca="false">D896-D897</f>
        <v>424.5435</v>
      </c>
      <c r="E898" s="16" t="n">
        <f aca="false">E896-E897</f>
        <v>628.254665149789</v>
      </c>
      <c r="F898" s="16" t="n">
        <f aca="false">F896-F897</f>
        <v>807.892574078023</v>
      </c>
      <c r="G898" s="16" t="n">
        <f aca="false">G896-G897</f>
        <v>863.70086082638</v>
      </c>
    </row>
    <row r="899" customFormat="false" ht="15" hidden="false" customHeight="false" outlineLevel="0" collapsed="false">
      <c r="A899" s="5" t="s">
        <v>555</v>
      </c>
      <c r="B899" s="0" t="s">
        <v>69</v>
      </c>
      <c r="C899" s="10" t="n">
        <f aca="false">C898/C893</f>
        <v>0.292744799594115</v>
      </c>
      <c r="D899" s="10" t="n">
        <f aca="false">D898/D893</f>
        <v>0.423865315495208</v>
      </c>
      <c r="E899" s="10" t="n">
        <f aca="false">E898/E893</f>
        <v>0.46844450502279</v>
      </c>
      <c r="F899" s="10" t="n">
        <f aca="false">F898/F893</f>
        <v>0.492959171228581</v>
      </c>
      <c r="G899" s="10" t="n">
        <f aca="false">G898/G893</f>
        <v>0.498494323017426</v>
      </c>
    </row>
    <row r="900" customFormat="false" ht="15" hidden="false" customHeight="false" outlineLevel="0" collapsed="false">
      <c r="A900" s="5" t="s">
        <v>515</v>
      </c>
      <c r="B900" s="0" t="s">
        <v>252</v>
      </c>
      <c r="C900" s="16" t="n">
        <f aca="false">a25_ni</f>
        <v>131.6</v>
      </c>
      <c r="D900" s="16" t="n">
        <f aca="false">ni26</f>
        <v>348.2641275</v>
      </c>
      <c r="E900" s="16" t="n">
        <f aca="false">(E898-fin)*(1-tax)</f>
        <v>526.140285354568</v>
      </c>
      <c r="F900" s="16" t="n">
        <f aca="false">(F898-fin)*(1-tax)</f>
        <v>681.52707657749</v>
      </c>
      <c r="G900" s="16" t="n">
        <f aca="false">(G898-fin)*(1-tax)</f>
        <v>729.801244614818</v>
      </c>
    </row>
    <row r="901" customFormat="false" ht="15" hidden="false" customHeight="false" outlineLevel="0" collapsed="false">
      <c r="A901" s="0" t="s">
        <v>556</v>
      </c>
      <c r="B901" s="0" t="s">
        <v>271</v>
      </c>
      <c r="C901" s="18" t="n">
        <f aca="false">a25_eps</f>
        <v>1.66</v>
      </c>
      <c r="D901" s="18" t="n">
        <f aca="false">eps26</f>
        <v>4.3364299400653</v>
      </c>
      <c r="E901" s="18" t="n">
        <f aca="false">E900/shares</f>
        <v>6.5276733164326</v>
      </c>
      <c r="F901" s="18" t="n">
        <f aca="false">F900/shares</f>
        <v>8.45551317022446</v>
      </c>
      <c r="G901" s="18" t="n">
        <f aca="false">G900/shares</f>
        <v>9.05443708337415</v>
      </c>
    </row>
    <row r="902" customFormat="false" ht="17.15" hidden="false" customHeight="false" outlineLevel="0" collapsed="false">
      <c r="A902" s="5" t="s">
        <v>596</v>
      </c>
      <c r="B902" s="5" t="s">
        <v>390</v>
      </c>
      <c r="C902" s="19" t="n">
        <f aca="false">C891/asp</f>
        <v>48</v>
      </c>
      <c r="D902" s="19" t="n">
        <f aca="false">D891/asp</f>
        <v>100.16</v>
      </c>
      <c r="E902" s="19" t="n">
        <f aca="false">E891/asp</f>
        <v>206.120834447955</v>
      </c>
      <c r="F902" s="19" t="n">
        <f aca="false">F891/asp</f>
        <v>304.162288123302</v>
      </c>
      <c r="G902" s="19" t="n">
        <f aca="false">G891/asp</f>
        <v>331.219438729055</v>
      </c>
    </row>
    <row r="915" customFormat="false" ht="17.15" hidden="false" customHeight="false" outlineLevel="0" collapsed="false">
      <c r="A915" s="4" t="s">
        <v>912</v>
      </c>
    </row>
    <row r="916" customFormat="false" ht="15" hidden="false" customHeight="false" outlineLevel="0" collapsed="false">
      <c r="A916" s="6" t="s">
        <v>21</v>
      </c>
      <c r="B916" s="6" t="s">
        <v>22</v>
      </c>
      <c r="C916" s="14" t="s">
        <v>524</v>
      </c>
      <c r="D916" s="14" t="s">
        <v>525</v>
      </c>
      <c r="E916" s="14" t="s">
        <v>526</v>
      </c>
      <c r="F916" s="14" t="s">
        <v>527</v>
      </c>
      <c r="G916" s="14" t="s">
        <v>528</v>
      </c>
      <c r="H916" s="14" t="s">
        <v>529</v>
      </c>
      <c r="I916" s="6" t="s">
        <v>427</v>
      </c>
    </row>
    <row r="917" customFormat="false" ht="17.15" hidden="false" customHeight="false" outlineLevel="0" collapsed="false">
      <c r="A917" s="1" t="s">
        <v>559</v>
      </c>
    </row>
    <row r="918" customFormat="false" ht="17.15" hidden="false" customHeight="false" outlineLevel="0" collapsed="false">
      <c r="A918" s="0" t="s">
        <v>560</v>
      </c>
      <c r="B918" s="0" t="s">
        <v>32</v>
      </c>
      <c r="C918" s="18" t="n">
        <f aca="false">hsA_25</f>
        <v>2.22511470588235</v>
      </c>
      <c r="D918" s="18" t="n">
        <f aca="false">hsA_26</f>
        <v>3.782695</v>
      </c>
      <c r="E918" s="18" t="n">
        <f aca="false">hsA_27</f>
        <v>5.86317725</v>
      </c>
      <c r="F918" s="18" t="n">
        <f aca="false">hsA_28</f>
        <v>8.5016070125</v>
      </c>
      <c r="G918" s="18" t="n">
        <f aca="false">hsA_29</f>
        <v>11.477169466875</v>
      </c>
      <c r="H918" s="18" t="n">
        <f aca="false">G918*(1+g_tail)</f>
        <v>12.6248864135625</v>
      </c>
      <c r="I918" s="8" t="s">
        <v>561</v>
      </c>
    </row>
    <row r="919" customFormat="false" ht="17.15" hidden="false" customHeight="false" outlineLevel="0" collapsed="false">
      <c r="A919" s="0" t="s">
        <v>562</v>
      </c>
      <c r="B919" s="0" t="s">
        <v>563</v>
      </c>
      <c r="C919" s="20" t="n">
        <f aca="false">den_25</f>
        <v>24</v>
      </c>
      <c r="D919" s="20" t="n">
        <f aca="false">den_26</f>
        <v>24</v>
      </c>
      <c r="E919" s="20" t="n">
        <f aca="false">den_27</f>
        <v>26</v>
      </c>
      <c r="F919" s="20" t="n">
        <f aca="false">den_28</f>
        <v>28</v>
      </c>
      <c r="G919" s="20" t="n">
        <f aca="false">den_29</f>
        <v>30</v>
      </c>
      <c r="H919" s="20" t="n">
        <f aca="false">den_30</f>
        <v>32</v>
      </c>
    </row>
    <row r="920" customFormat="false" ht="17.15" hidden="false" customHeight="false" outlineLevel="0" collapsed="false">
      <c r="A920" s="5" t="s">
        <v>564</v>
      </c>
      <c r="B920" s="5" t="s">
        <v>533</v>
      </c>
      <c r="C920" s="19" t="n">
        <f aca="false">C918*8000/C919</f>
        <v>741.704901960783</v>
      </c>
      <c r="D920" s="19" t="n">
        <f aca="false">D918*8000/D919</f>
        <v>1260.89833333333</v>
      </c>
      <c r="E920" s="19" t="n">
        <f aca="false">E918*8000/E919</f>
        <v>1804.05453846154</v>
      </c>
      <c r="F920" s="19" t="n">
        <f aca="false">F918*8000/F919</f>
        <v>2429.030575</v>
      </c>
      <c r="G920" s="19" t="n">
        <f aca="false">G918*8000/G919</f>
        <v>3060.5785245</v>
      </c>
      <c r="H920" s="19" t="n">
        <f aca="false">H918*8000/H919</f>
        <v>3156.22160339063</v>
      </c>
      <c r="I920" s="8" t="s">
        <v>565</v>
      </c>
    </row>
    <row r="921" customFormat="false" ht="15" hidden="false" customHeight="false" outlineLevel="0" collapsed="false">
      <c r="A921" s="5" t="s">
        <v>566</v>
      </c>
      <c r="B921" s="5" t="s">
        <v>96</v>
      </c>
      <c r="C921" s="20" t="n">
        <f aca="false">stk_25</f>
        <v>10</v>
      </c>
      <c r="D921" s="20" t="n">
        <f aca="false">stk_26</f>
        <v>12</v>
      </c>
      <c r="E921" s="20" t="n">
        <f aca="false">stk_27</f>
        <v>12.5</v>
      </c>
      <c r="F921" s="20" t="n">
        <f aca="false">stk_28</f>
        <v>14</v>
      </c>
      <c r="G921" s="20" t="n">
        <f aca="false">stk_29</f>
        <v>15</v>
      </c>
      <c r="H921" s="20" t="n">
        <f aca="false">stk_30</f>
        <v>16</v>
      </c>
    </row>
    <row r="922" customFormat="false" ht="15" hidden="false" customHeight="false" outlineLevel="0" collapsed="false">
      <c r="A922" s="5" t="s">
        <v>567</v>
      </c>
      <c r="B922" s="0" t="s">
        <v>116</v>
      </c>
      <c r="C922" s="21" t="n">
        <f aca="false">1+beta*(C921-$C921)/4</f>
        <v>1</v>
      </c>
      <c r="D922" s="21" t="n">
        <f aca="false">1+beta*(D921-$C921)/4</f>
        <v>1.05</v>
      </c>
      <c r="E922" s="21" t="n">
        <f aca="false">1+beta*(E921-$C921)/4</f>
        <v>1.0625</v>
      </c>
      <c r="F922" s="21" t="n">
        <f aca="false">1+beta*(F921-$C921)/4</f>
        <v>1.1</v>
      </c>
      <c r="G922" s="21" t="n">
        <f aca="false">1+beta*(G921-$C921)/4</f>
        <v>1.125</v>
      </c>
      <c r="H922" s="21" t="n">
        <f aca="false">1+beta*(H921-$C921)/4</f>
        <v>1.15</v>
      </c>
    </row>
    <row r="923" customFormat="false" ht="17.15" hidden="false" customHeight="false" outlineLevel="0" collapsed="false">
      <c r="A923" s="5" t="s">
        <v>568</v>
      </c>
      <c r="B923" s="0" t="s">
        <v>69</v>
      </c>
      <c r="C923" s="10" t="n">
        <f aca="false">hbp_25_hi</f>
        <v>0</v>
      </c>
      <c r="D923" s="10" t="n">
        <f aca="false">hbp_26_hi</f>
        <v>0</v>
      </c>
      <c r="E923" s="10" t="n">
        <f aca="false">hbp_27_hi</f>
        <v>0.05</v>
      </c>
      <c r="F923" s="10" t="n">
        <f aca="false">hbp_28_hi</f>
        <v>0.15</v>
      </c>
      <c r="G923" s="10" t="n">
        <f aca="false">hbp_29_hi</f>
        <v>0.3</v>
      </c>
      <c r="H923" s="10" t="n">
        <f aca="false">hbp_30_hi</f>
        <v>0.4</v>
      </c>
      <c r="I923" s="5" t="s">
        <v>569</v>
      </c>
    </row>
    <row r="924" customFormat="false" ht="17.15" hidden="false" customHeight="false" outlineLevel="0" collapsed="false">
      <c r="A924" s="5" t="s">
        <v>570</v>
      </c>
      <c r="B924" s="5" t="s">
        <v>571</v>
      </c>
      <c r="C924" s="19" t="n">
        <f aca="false">C920*C922*C923</f>
        <v>0</v>
      </c>
      <c r="D924" s="19" t="n">
        <f aca="false">D920*D922*D923</f>
        <v>0</v>
      </c>
      <c r="E924" s="19" t="n">
        <f aca="false">E920*E922*E923</f>
        <v>95.8403973557692</v>
      </c>
      <c r="F924" s="19" t="n">
        <f aca="false">F920*F922*F923</f>
        <v>400.790044875</v>
      </c>
      <c r="G924" s="19" t="n">
        <f aca="false">G920*G922*G923</f>
        <v>1032.94525201875</v>
      </c>
      <c r="H924" s="19" t="n">
        <f aca="false">H920*H922*H923</f>
        <v>1451.86193755969</v>
      </c>
    </row>
    <row r="925" customFormat="false" ht="17.15" hidden="false" customHeight="false" outlineLevel="0" collapsed="false">
      <c r="A925" s="5" t="s">
        <v>572</v>
      </c>
      <c r="B925" s="5" t="s">
        <v>390</v>
      </c>
      <c r="C925" s="19" t="n">
        <f aca="false">C924/thr</f>
        <v>0</v>
      </c>
      <c r="D925" s="19" t="n">
        <f aca="false">D924/thr</f>
        <v>0</v>
      </c>
      <c r="E925" s="19" t="n">
        <f aca="false">E924/thr</f>
        <v>15.6295494709343</v>
      </c>
      <c r="F925" s="19" t="n">
        <f aca="false">F924/thr</f>
        <v>65.3604117539139</v>
      </c>
      <c r="G925" s="19" t="n">
        <f aca="false">G924/thr</f>
        <v>168.451606656678</v>
      </c>
      <c r="H925" s="19" t="n">
        <f aca="false">H924/thr</f>
        <v>236.768091578553</v>
      </c>
    </row>
    <row r="926" customFormat="false" ht="17.15" hidden="false" customHeight="false" outlineLevel="0" collapsed="false">
      <c r="A926" s="5" t="s">
        <v>573</v>
      </c>
      <c r="B926" s="5" t="s">
        <v>390</v>
      </c>
      <c r="C926" s="19" t="n">
        <f aca="false">MAX(0,D925-C925)+dlt*C925</f>
        <v>0</v>
      </c>
      <c r="D926" s="19" t="n">
        <f aca="false">MAX(0,E925-D925)+dlt*D925</f>
        <v>15.6295494709343</v>
      </c>
      <c r="E926" s="19" t="n">
        <f aca="false">MAX(0,F925-E925)+dlt*E925</f>
        <v>51.293817230073</v>
      </c>
      <c r="F926" s="19" t="n">
        <f aca="false">MAX(0,G925-F925)+dlt*F925</f>
        <v>109.627236078156</v>
      </c>
      <c r="G926" s="19" t="n">
        <f aca="false">MAX(0,H925-G925)+dlt*G925</f>
        <v>85.1616455875428</v>
      </c>
      <c r="I926" s="5" t="s">
        <v>574</v>
      </c>
    </row>
    <row r="927" customFormat="false" ht="17.15" hidden="false" customHeight="false" outlineLevel="0" collapsed="false">
      <c r="A927" s="1" t="s">
        <v>575</v>
      </c>
    </row>
    <row r="928" customFormat="false" ht="17.15" hidden="false" customHeight="false" outlineLevel="0" collapsed="false">
      <c r="A928" s="0" t="s">
        <v>576</v>
      </c>
      <c r="B928" s="5" t="s">
        <v>146</v>
      </c>
      <c r="D928" s="19" t="n">
        <f aca="false">cow_26*1</f>
        <v>1107.85762580894</v>
      </c>
      <c r="E928" s="19" t="n">
        <f aca="false">cow_27*1</f>
        <v>2096.42857142857</v>
      </c>
      <c r="F928" s="19" t="n">
        <f aca="false">cow_28*um28_A</f>
        <v>2620.08928571429</v>
      </c>
      <c r="G928" s="19" t="n">
        <f aca="false">cow_29*um29_A</f>
        <v>3013.32589285714</v>
      </c>
      <c r="H928" s="19" t="n">
        <f aca="false">G928*(1+g_tail)</f>
        <v>3314.65848214285</v>
      </c>
      <c r="I928" s="8" t="s">
        <v>577</v>
      </c>
    </row>
    <row r="929" customFormat="false" ht="17.15" hidden="false" customHeight="false" outlineLevel="0" collapsed="false">
      <c r="A929" s="5" t="s">
        <v>578</v>
      </c>
      <c r="B929" s="0" t="s">
        <v>69</v>
      </c>
      <c r="D929" s="10" t="n">
        <f aca="false">attA_26</f>
        <v>0.08</v>
      </c>
      <c r="E929" s="10" t="n">
        <f aca="false">attA_27</f>
        <v>0.11</v>
      </c>
      <c r="F929" s="10" t="n">
        <f aca="false">attA_28</f>
        <v>0.18</v>
      </c>
      <c r="G929" s="10" t="n">
        <f aca="false">attA_29</f>
        <v>0.26</v>
      </c>
      <c r="H929" s="10" t="n">
        <f aca="false">attA_30</f>
        <v>0.34</v>
      </c>
    </row>
    <row r="930" customFormat="false" ht="15" hidden="false" customHeight="false" outlineLevel="0" collapsed="false">
      <c r="A930" s="5" t="s">
        <v>579</v>
      </c>
      <c r="B930" s="5" t="s">
        <v>539</v>
      </c>
      <c r="D930" s="16" t="n">
        <f aca="false">D928*D929</f>
        <v>88.6286100647152</v>
      </c>
      <c r="E930" s="16" t="n">
        <f aca="false">E928*E929</f>
        <v>230.607142857143</v>
      </c>
      <c r="F930" s="16" t="n">
        <f aca="false">F928*F929</f>
        <v>471.616071428572</v>
      </c>
      <c r="G930" s="16" t="n">
        <f aca="false">G928*G929</f>
        <v>783.464732142856</v>
      </c>
      <c r="H930" s="16" t="n">
        <f aca="false">H928*H929</f>
        <v>1126.98388392857</v>
      </c>
    </row>
    <row r="931" customFormat="false" ht="17.15" hidden="false" customHeight="false" outlineLevel="0" collapsed="false">
      <c r="A931" s="5" t="s">
        <v>580</v>
      </c>
      <c r="B931" s="5" t="s">
        <v>539</v>
      </c>
      <c r="D931" s="16" t="n">
        <f aca="false">MAX(0,E930-D930)+dlt*D930</f>
        <v>150.841393798899</v>
      </c>
      <c r="E931" s="16" t="n">
        <f aca="false">MAX(0,F930-E930)+dlt*E930</f>
        <v>264.069642857144</v>
      </c>
      <c r="F931" s="16" t="n">
        <f aca="false">MAX(0,G930-F930)+dlt*F930</f>
        <v>359.010267857141</v>
      </c>
      <c r="G931" s="16" t="n">
        <f aca="false">MAX(0,H930-G930)+dlt*G930</f>
        <v>421.865625</v>
      </c>
    </row>
    <row r="932" customFormat="false" ht="17.15" hidden="false" customHeight="false" outlineLevel="0" collapsed="false">
      <c r="A932" s="1" t="s">
        <v>581</v>
      </c>
    </row>
    <row r="933" customFormat="false" ht="17.15" hidden="false" customHeight="false" outlineLevel="0" collapsed="false">
      <c r="A933" s="0" t="s">
        <v>582</v>
      </c>
      <c r="B933" s="0" t="s">
        <v>252</v>
      </c>
      <c r="C933" s="16" t="n">
        <f aca="false">0</f>
        <v>0</v>
      </c>
      <c r="D933" s="16" t="n">
        <f aca="false">hbm26</f>
        <v>0</v>
      </c>
      <c r="E933" s="16" t="n">
        <f aca="false">E926*asp*shm_A</f>
        <v>76.9407258451095</v>
      </c>
      <c r="F933" s="16" t="n">
        <f aca="false">F926*asp*shm_A</f>
        <v>164.440854117233</v>
      </c>
      <c r="G933" s="16" t="n">
        <f aca="false">G926*asp*shm_A</f>
        <v>127.742468381314</v>
      </c>
      <c r="I933" s="8" t="s">
        <v>583</v>
      </c>
    </row>
    <row r="934" customFormat="false" ht="17.15" hidden="false" customHeight="false" outlineLevel="0" collapsed="false">
      <c r="A934" s="5" t="s">
        <v>584</v>
      </c>
      <c r="B934" s="0" t="s">
        <v>252</v>
      </c>
      <c r="C934" s="16" t="n">
        <f aca="false">hb25</f>
        <v>120</v>
      </c>
      <c r="D934" s="16" t="n">
        <f aca="false">rev26*hb_sh26-hbm26</f>
        <v>250.4</v>
      </c>
      <c r="E934" s="16" t="n">
        <f aca="false">$D935*E931*shl_A</f>
        <v>438.361360274778</v>
      </c>
      <c r="F934" s="16" t="n">
        <f aca="false">$D935*F931*shl_A</f>
        <v>595.964866191023</v>
      </c>
      <c r="G934" s="16" t="n">
        <f aca="false">$D935*G931*shl_A</f>
        <v>700.306128441323</v>
      </c>
      <c r="I934" s="8" t="s">
        <v>585</v>
      </c>
    </row>
    <row r="935" customFormat="false" ht="17.15" hidden="false" customHeight="false" outlineLevel="0" collapsed="false">
      <c r="A935" s="5" t="s">
        <v>586</v>
      </c>
      <c r="B935" s="0" t="s">
        <v>587</v>
      </c>
      <c r="D935" s="21" t="n">
        <f aca="false">D934/D931</f>
        <v>1.66002178641913</v>
      </c>
      <c r="I935" s="5" t="s">
        <v>588</v>
      </c>
    </row>
    <row r="936" customFormat="false" ht="15" hidden="false" customHeight="false" outlineLevel="0" collapsed="false">
      <c r="A936" s="5" t="s">
        <v>589</v>
      </c>
      <c r="B936" s="0" t="s">
        <v>252</v>
      </c>
      <c r="C936" s="16" t="n">
        <f aca="false">C933+C934</f>
        <v>120</v>
      </c>
      <c r="D936" s="16" t="n">
        <f aca="false">D933+D934</f>
        <v>250.4</v>
      </c>
      <c r="E936" s="16" t="n">
        <f aca="false">E933+E934</f>
        <v>515.302086119887</v>
      </c>
      <c r="F936" s="16" t="n">
        <f aca="false">F933+F934</f>
        <v>760.405720308256</v>
      </c>
      <c r="G936" s="16" t="n">
        <f aca="false">G933+G934</f>
        <v>828.048596822637</v>
      </c>
    </row>
    <row r="937" customFormat="false" ht="17.15" hidden="false" customHeight="false" outlineLevel="0" collapsed="false">
      <c r="A937" s="5" t="s">
        <v>590</v>
      </c>
      <c r="B937" s="0" t="s">
        <v>252</v>
      </c>
      <c r="C937" s="16" t="n">
        <f aca="false">a25_rev-hb25</f>
        <v>471.3</v>
      </c>
      <c r="D937" s="16" t="n">
        <f aca="false">rev26-D936</f>
        <v>751.2</v>
      </c>
      <c r="E937" s="16" t="n">
        <f aca="false">D937*(1+el_hi*eqgA_27)</f>
        <v>975.145773290652</v>
      </c>
      <c r="F937" s="16" t="n">
        <f aca="false">E937*(1+el_hi*eqgA_28)</f>
        <v>1161.50388765194</v>
      </c>
      <c r="G937" s="16" t="n">
        <f aca="false">F937*(1+el_hi*eqgA_29)</f>
        <v>1265.08565443324</v>
      </c>
      <c r="I937" s="8" t="s">
        <v>591</v>
      </c>
    </row>
    <row r="938" customFormat="false" ht="15" hidden="false" customHeight="false" outlineLevel="0" collapsed="false">
      <c r="A938" s="5" t="s">
        <v>499</v>
      </c>
      <c r="B938" s="0" t="s">
        <v>252</v>
      </c>
      <c r="C938" s="16" t="n">
        <f aca="false">C936+C937</f>
        <v>591.3</v>
      </c>
      <c r="D938" s="16" t="n">
        <f aca="false">D936+D937</f>
        <v>1001.6</v>
      </c>
      <c r="E938" s="16" t="n">
        <f aca="false">E936+E937</f>
        <v>1490.44785941054</v>
      </c>
      <c r="F938" s="16" t="n">
        <f aca="false">F936+F937</f>
        <v>1921.90960796019</v>
      </c>
      <c r="G938" s="16" t="n">
        <f aca="false">G936+G937</f>
        <v>2093.13425125588</v>
      </c>
    </row>
    <row r="939" customFormat="false" ht="15" hidden="false" customHeight="false" outlineLevel="0" collapsed="false">
      <c r="A939" s="5" t="s">
        <v>592</v>
      </c>
      <c r="B939" s="0" t="s">
        <v>69</v>
      </c>
      <c r="C939" s="10" t="n">
        <f aca="false">C936/C938</f>
        <v>0.202942668696093</v>
      </c>
      <c r="D939" s="10" t="n">
        <f aca="false">D936/D938</f>
        <v>0.25</v>
      </c>
      <c r="E939" s="10" t="n">
        <f aca="false">E936/E938</f>
        <v>0.345736405917403</v>
      </c>
      <c r="F939" s="10" t="n">
        <f aca="false">F936/F938</f>
        <v>0.395651136327534</v>
      </c>
      <c r="G939" s="10" t="n">
        <f aca="false">G936/G938</f>
        <v>0.395602239238027</v>
      </c>
    </row>
    <row r="940" customFormat="false" ht="17.15" hidden="false" customHeight="false" outlineLevel="0" collapsed="false">
      <c r="A940" s="5" t="s">
        <v>506</v>
      </c>
      <c r="B940" s="0" t="s">
        <v>69</v>
      </c>
      <c r="C940" s="10" t="n">
        <f aca="false">a25_gp/a25_rev</f>
        <v>0.633012007441231</v>
      </c>
      <c r="D940" s="10" t="n">
        <f aca="false">gp26/rev26</f>
        <v>0.646641373801917</v>
      </c>
      <c r="E940" s="10" t="n">
        <f aca="false">$D940+gm_prem*(E939-$D939)+0</f>
        <v>0.654300286275309</v>
      </c>
      <c r="F940" s="10" t="n">
        <f aca="false">$D940+gm_prem*(F939-$D939)+0</f>
        <v>0.65829346470812</v>
      </c>
      <c r="G940" s="10" t="n">
        <f aca="false">$D940+gm_prem*(G939-$D939)+0</f>
        <v>0.658289552940959</v>
      </c>
      <c r="I940" s="8" t="s">
        <v>593</v>
      </c>
    </row>
    <row r="941" customFormat="false" ht="15" hidden="false" customHeight="false" outlineLevel="0" collapsed="false">
      <c r="A941" s="5" t="s">
        <v>502</v>
      </c>
      <c r="B941" s="0" t="s">
        <v>252</v>
      </c>
      <c r="C941" s="16" t="n">
        <f aca="false">a25_gp</f>
        <v>374.3</v>
      </c>
      <c r="D941" s="16" t="n">
        <f aca="false">gp26</f>
        <v>647.676</v>
      </c>
      <c r="E941" s="16" t="n">
        <f aca="false">E938*E940</f>
        <v>975.200461090737</v>
      </c>
      <c r="F941" s="16" t="n">
        <f aca="false">F938*F940</f>
        <v>1265.18053467994</v>
      </c>
      <c r="G941" s="16" t="n">
        <f aca="false">G938*G940</f>
        <v>1377.88841050464</v>
      </c>
    </row>
    <row r="942" customFormat="false" ht="17.15" hidden="false" customHeight="false" outlineLevel="0" collapsed="false">
      <c r="A942" s="5" t="s">
        <v>594</v>
      </c>
      <c r="B942" s="0" t="s">
        <v>252</v>
      </c>
      <c r="C942" s="16" t="n">
        <f aca="false">a25_opx</f>
        <v>201.2</v>
      </c>
      <c r="D942" s="16" t="n">
        <f aca="false">opx26</f>
        <v>223.1325</v>
      </c>
      <c r="E942" s="16" t="n">
        <f aca="false">opex_fix+opex_var*E938</f>
        <v>266.693939692461</v>
      </c>
      <c r="F942" s="16" t="n">
        <f aca="false">opex_fix+opex_var*F938</f>
        <v>305.141678753266</v>
      </c>
      <c r="G942" s="16" t="n">
        <f aca="false">opex_fix+opex_var*G938</f>
        <v>320.39957920062</v>
      </c>
      <c r="I942" s="5" t="s">
        <v>595</v>
      </c>
    </row>
    <row r="943" customFormat="false" ht="15" hidden="false" customHeight="false" outlineLevel="0" collapsed="false">
      <c r="A943" s="5" t="s">
        <v>510</v>
      </c>
      <c r="B943" s="0" t="s">
        <v>252</v>
      </c>
      <c r="C943" s="16" t="n">
        <f aca="false">C941-C942</f>
        <v>173.1</v>
      </c>
      <c r="D943" s="16" t="n">
        <f aca="false">D941-D942</f>
        <v>424.5435</v>
      </c>
      <c r="E943" s="16" t="n">
        <f aca="false">E941-E942</f>
        <v>708.506521398276</v>
      </c>
      <c r="F943" s="16" t="n">
        <f aca="false">F941-F942</f>
        <v>960.038855926674</v>
      </c>
      <c r="G943" s="16" t="n">
        <f aca="false">G941-G942</f>
        <v>1057.48883130402</v>
      </c>
    </row>
    <row r="944" customFormat="false" ht="15" hidden="false" customHeight="false" outlineLevel="0" collapsed="false">
      <c r="A944" s="5" t="s">
        <v>555</v>
      </c>
      <c r="B944" s="0" t="s">
        <v>69</v>
      </c>
      <c r="C944" s="10" t="n">
        <f aca="false">C943/C938</f>
        <v>0.292744799594115</v>
      </c>
      <c r="D944" s="10" t="n">
        <f aca="false">D943/D938</f>
        <v>0.423865315495208</v>
      </c>
      <c r="E944" s="10" t="n">
        <f aca="false">E943/E938</f>
        <v>0.475364848843814</v>
      </c>
      <c r="F944" s="10" t="n">
        <f aca="false">F943/F938</f>
        <v>0.499523417724939</v>
      </c>
      <c r="G944" s="10" t="n">
        <f aca="false">G943/G938</f>
        <v>0.505217871557703</v>
      </c>
    </row>
    <row r="945" customFormat="false" ht="15" hidden="false" customHeight="false" outlineLevel="0" collapsed="false">
      <c r="A945" s="5" t="s">
        <v>515</v>
      </c>
      <c r="B945" s="0" t="s">
        <v>252</v>
      </c>
      <c r="C945" s="16" t="n">
        <f aca="false">a25_ni</f>
        <v>131.6</v>
      </c>
      <c r="D945" s="16" t="n">
        <f aca="false">ni26</f>
        <v>348.2641275</v>
      </c>
      <c r="E945" s="16" t="n">
        <f aca="false">(E943-fin)*(1-tax)</f>
        <v>595.558141009509</v>
      </c>
      <c r="F945" s="16" t="n">
        <f aca="false">(F943-fin)*(1-tax)</f>
        <v>813.133610376573</v>
      </c>
      <c r="G945" s="16" t="n">
        <f aca="false">(G943-fin)*(1-tax)</f>
        <v>897.427839077979</v>
      </c>
    </row>
    <row r="946" customFormat="false" ht="15" hidden="false" customHeight="false" outlineLevel="0" collapsed="false">
      <c r="A946" s="0" t="s">
        <v>556</v>
      </c>
      <c r="B946" s="0" t="s">
        <v>271</v>
      </c>
      <c r="C946" s="18" t="n">
        <f aca="false">a25_eps</f>
        <v>1.66</v>
      </c>
      <c r="D946" s="18" t="n">
        <f aca="false">eps26</f>
        <v>4.3364299400653</v>
      </c>
      <c r="E946" s="18" t="n">
        <f aca="false">E945/shares</f>
        <v>7.3889209658829</v>
      </c>
      <c r="F946" s="18" t="n">
        <f aca="false">F945/shares</f>
        <v>10.0883181138138</v>
      </c>
      <c r="G946" s="18" t="n">
        <f aca="false">G945/shares</f>
        <v>11.1341327049787</v>
      </c>
    </row>
    <row r="947" customFormat="false" ht="17.15" hidden="false" customHeight="false" outlineLevel="0" collapsed="false">
      <c r="A947" s="5" t="s">
        <v>596</v>
      </c>
      <c r="B947" s="5" t="s">
        <v>390</v>
      </c>
      <c r="C947" s="19" t="n">
        <f aca="false">C936/asp</f>
        <v>48</v>
      </c>
      <c r="D947" s="19" t="n">
        <f aca="false">D936/asp</f>
        <v>100.16</v>
      </c>
      <c r="E947" s="19" t="n">
        <f aca="false">E936/asp</f>
        <v>206.120834447955</v>
      </c>
      <c r="F947" s="19" t="n">
        <f aca="false">F936/asp</f>
        <v>304.162288123302</v>
      </c>
      <c r="G947" s="19" t="n">
        <f aca="false">G936/asp</f>
        <v>331.219438729055</v>
      </c>
    </row>
    <row r="960" customFormat="false" ht="17.15" hidden="false" customHeight="false" outlineLevel="0" collapsed="false">
      <c r="A960" s="4" t="s">
        <v>913</v>
      </c>
    </row>
    <row r="961" customFormat="false" ht="15" hidden="false" customHeight="false" outlineLevel="0" collapsed="false">
      <c r="A961" s="6" t="s">
        <v>21</v>
      </c>
      <c r="B961" s="6" t="s">
        <v>22</v>
      </c>
      <c r="C961" s="14" t="s">
        <v>524</v>
      </c>
      <c r="D961" s="14" t="s">
        <v>525</v>
      </c>
      <c r="E961" s="14" t="s">
        <v>526</v>
      </c>
      <c r="F961" s="14" t="s">
        <v>527</v>
      </c>
      <c r="G961" s="14" t="s">
        <v>528</v>
      </c>
      <c r="H961" s="14" t="s">
        <v>529</v>
      </c>
      <c r="I961" s="6" t="s">
        <v>427</v>
      </c>
    </row>
    <row r="962" customFormat="false" ht="17.15" hidden="false" customHeight="false" outlineLevel="0" collapsed="false">
      <c r="A962" s="1" t="s">
        <v>559</v>
      </c>
    </row>
    <row r="963" customFormat="false" ht="17.15" hidden="false" customHeight="false" outlineLevel="0" collapsed="false">
      <c r="A963" s="0" t="s">
        <v>560</v>
      </c>
      <c r="B963" s="0" t="s">
        <v>32</v>
      </c>
      <c r="C963" s="18" t="n">
        <f aca="false">hsA_25</f>
        <v>2.22511470588235</v>
      </c>
      <c r="D963" s="18" t="n">
        <f aca="false">hsA_26</f>
        <v>3.782695</v>
      </c>
      <c r="E963" s="18" t="n">
        <f aca="false">hsA_27</f>
        <v>5.86317725</v>
      </c>
      <c r="F963" s="18" t="n">
        <f aca="false">hsA_28</f>
        <v>8.5016070125</v>
      </c>
      <c r="G963" s="18" t="n">
        <f aca="false">hsA_29</f>
        <v>11.477169466875</v>
      </c>
      <c r="H963" s="18" t="n">
        <f aca="false">G963*(1+g_tail)</f>
        <v>12.6248864135625</v>
      </c>
      <c r="I963" s="8" t="s">
        <v>561</v>
      </c>
    </row>
    <row r="964" customFormat="false" ht="17.15" hidden="false" customHeight="false" outlineLevel="0" collapsed="false">
      <c r="A964" s="0" t="s">
        <v>562</v>
      </c>
      <c r="B964" s="0" t="s">
        <v>563</v>
      </c>
      <c r="C964" s="20" t="n">
        <f aca="false">den_25</f>
        <v>24</v>
      </c>
      <c r="D964" s="20" t="n">
        <f aca="false">den_26</f>
        <v>24</v>
      </c>
      <c r="E964" s="20" t="n">
        <f aca="false">den_27</f>
        <v>26</v>
      </c>
      <c r="F964" s="20" t="n">
        <f aca="false">den_28</f>
        <v>28</v>
      </c>
      <c r="G964" s="20" t="n">
        <f aca="false">den_29</f>
        <v>30</v>
      </c>
      <c r="H964" s="20" t="n">
        <f aca="false">den_30</f>
        <v>32</v>
      </c>
    </row>
    <row r="965" customFormat="false" ht="17.15" hidden="false" customHeight="false" outlineLevel="0" collapsed="false">
      <c r="A965" s="5" t="s">
        <v>564</v>
      </c>
      <c r="B965" s="5" t="s">
        <v>533</v>
      </c>
      <c r="C965" s="19" t="n">
        <f aca="false">C963*8000/C964</f>
        <v>741.704901960783</v>
      </c>
      <c r="D965" s="19" t="n">
        <f aca="false">D963*8000/D964</f>
        <v>1260.89833333333</v>
      </c>
      <c r="E965" s="19" t="n">
        <f aca="false">E963*8000/E964</f>
        <v>1804.05453846154</v>
      </c>
      <c r="F965" s="19" t="n">
        <f aca="false">F963*8000/F964</f>
        <v>2429.030575</v>
      </c>
      <c r="G965" s="19" t="n">
        <f aca="false">G963*8000/G964</f>
        <v>3060.5785245</v>
      </c>
      <c r="H965" s="19" t="n">
        <f aca="false">H963*8000/H964</f>
        <v>3156.22160339063</v>
      </c>
      <c r="I965" s="8" t="s">
        <v>565</v>
      </c>
    </row>
    <row r="966" customFormat="false" ht="15" hidden="false" customHeight="false" outlineLevel="0" collapsed="false">
      <c r="A966" s="5" t="s">
        <v>566</v>
      </c>
      <c r="B966" s="5" t="s">
        <v>96</v>
      </c>
      <c r="C966" s="20" t="n">
        <f aca="false">stk_25</f>
        <v>10</v>
      </c>
      <c r="D966" s="20" t="n">
        <f aca="false">stk_26</f>
        <v>12</v>
      </c>
      <c r="E966" s="20" t="n">
        <f aca="false">stk_27</f>
        <v>12.5</v>
      </c>
      <c r="F966" s="20" t="n">
        <f aca="false">stk_28</f>
        <v>14</v>
      </c>
      <c r="G966" s="20" t="n">
        <f aca="false">stk_29</f>
        <v>15</v>
      </c>
      <c r="H966" s="20" t="n">
        <f aca="false">stk_30</f>
        <v>16</v>
      </c>
    </row>
    <row r="967" customFormat="false" ht="15" hidden="false" customHeight="false" outlineLevel="0" collapsed="false">
      <c r="A967" s="5" t="s">
        <v>567</v>
      </c>
      <c r="B967" s="0" t="s">
        <v>116</v>
      </c>
      <c r="C967" s="21" t="n">
        <f aca="false">1+beta*(C966-$C966)/4</f>
        <v>1</v>
      </c>
      <c r="D967" s="21" t="n">
        <f aca="false">1+beta*(D966-$C966)/4</f>
        <v>1.05</v>
      </c>
      <c r="E967" s="21" t="n">
        <f aca="false">1+beta*(E966-$C966)/4</f>
        <v>1.0625</v>
      </c>
      <c r="F967" s="21" t="n">
        <f aca="false">1+beta*(F966-$C966)/4</f>
        <v>1.1</v>
      </c>
      <c r="G967" s="21" t="n">
        <f aca="false">1+beta*(G966-$C966)/4</f>
        <v>1.125</v>
      </c>
      <c r="H967" s="21" t="n">
        <f aca="false">1+beta*(H966-$C966)/4</f>
        <v>1.15</v>
      </c>
    </row>
    <row r="968" customFormat="false" ht="17.15" hidden="false" customHeight="false" outlineLevel="0" collapsed="false">
      <c r="A968" s="5" t="s">
        <v>568</v>
      </c>
      <c r="B968" s="0" t="s">
        <v>69</v>
      </c>
      <c r="C968" s="10" t="n">
        <f aca="false">hbp_25_hi</f>
        <v>0</v>
      </c>
      <c r="D968" s="10" t="n">
        <f aca="false">hbp_26_hi</f>
        <v>0</v>
      </c>
      <c r="E968" s="10" t="n">
        <f aca="false">hbp_27_hi</f>
        <v>0.05</v>
      </c>
      <c r="F968" s="10" t="n">
        <f aca="false">hbp_28_hi</f>
        <v>0.15</v>
      </c>
      <c r="G968" s="10" t="n">
        <f aca="false">hbp_29_hi</f>
        <v>0.3</v>
      </c>
      <c r="H968" s="10" t="n">
        <f aca="false">hbp_30_hi</f>
        <v>0.4</v>
      </c>
      <c r="I968" s="5" t="s">
        <v>569</v>
      </c>
    </row>
    <row r="969" customFormat="false" ht="17.15" hidden="false" customHeight="false" outlineLevel="0" collapsed="false">
      <c r="A969" s="5" t="s">
        <v>570</v>
      </c>
      <c r="B969" s="5" t="s">
        <v>571</v>
      </c>
      <c r="C969" s="19" t="n">
        <f aca="false">C965*C967*C968</f>
        <v>0</v>
      </c>
      <c r="D969" s="19" t="n">
        <f aca="false">D965*D967*D968</f>
        <v>0</v>
      </c>
      <c r="E969" s="19" t="n">
        <f aca="false">E965*E967*E968</f>
        <v>95.8403973557692</v>
      </c>
      <c r="F969" s="19" t="n">
        <f aca="false">F965*F967*F968</f>
        <v>400.790044875</v>
      </c>
      <c r="G969" s="19" t="n">
        <f aca="false">G965*G967*G968</f>
        <v>1032.94525201875</v>
      </c>
      <c r="H969" s="19" t="n">
        <f aca="false">H965*H967*H968</f>
        <v>1451.86193755969</v>
      </c>
    </row>
    <row r="970" customFormat="false" ht="17.15" hidden="false" customHeight="false" outlineLevel="0" collapsed="false">
      <c r="A970" s="5" t="s">
        <v>572</v>
      </c>
      <c r="B970" s="5" t="s">
        <v>390</v>
      </c>
      <c r="C970" s="19" t="n">
        <f aca="false">C969/thr</f>
        <v>0</v>
      </c>
      <c r="D970" s="19" t="n">
        <f aca="false">D969/thr</f>
        <v>0</v>
      </c>
      <c r="E970" s="19" t="n">
        <f aca="false">E969/thr</f>
        <v>15.6295494709343</v>
      </c>
      <c r="F970" s="19" t="n">
        <f aca="false">F969/thr</f>
        <v>65.3604117539139</v>
      </c>
      <c r="G970" s="19" t="n">
        <f aca="false">G969/thr</f>
        <v>168.451606656678</v>
      </c>
      <c r="H970" s="19" t="n">
        <f aca="false">H969/thr</f>
        <v>236.768091578553</v>
      </c>
    </row>
    <row r="971" customFormat="false" ht="17.15" hidden="false" customHeight="false" outlineLevel="0" collapsed="false">
      <c r="A971" s="5" t="s">
        <v>573</v>
      </c>
      <c r="B971" s="5" t="s">
        <v>390</v>
      </c>
      <c r="C971" s="19" t="n">
        <f aca="false">MAX(0,D970-C970)+dlt*C970</f>
        <v>0</v>
      </c>
      <c r="D971" s="19" t="n">
        <f aca="false">MAX(0,E970-D970)+dlt*D970</f>
        <v>15.6295494709343</v>
      </c>
      <c r="E971" s="19" t="n">
        <f aca="false">MAX(0,F970-E970)+dlt*E970</f>
        <v>51.293817230073</v>
      </c>
      <c r="F971" s="19" t="n">
        <f aca="false">MAX(0,G970-F970)+dlt*F970</f>
        <v>109.627236078156</v>
      </c>
      <c r="G971" s="19" t="n">
        <f aca="false">MAX(0,H970-G970)+dlt*G970</f>
        <v>85.1616455875428</v>
      </c>
      <c r="I971" s="5" t="s">
        <v>574</v>
      </c>
    </row>
    <row r="972" customFormat="false" ht="17.15" hidden="false" customHeight="false" outlineLevel="0" collapsed="false">
      <c r="A972" s="1" t="s">
        <v>575</v>
      </c>
    </row>
    <row r="973" customFormat="false" ht="17.15" hidden="false" customHeight="false" outlineLevel="0" collapsed="false">
      <c r="A973" s="0" t="s">
        <v>576</v>
      </c>
      <c r="B973" s="5" t="s">
        <v>146</v>
      </c>
      <c r="D973" s="19" t="n">
        <f aca="false">cow_26*1</f>
        <v>1107.85762580894</v>
      </c>
      <c r="E973" s="19" t="n">
        <f aca="false">cow_27*1</f>
        <v>2096.42857142857</v>
      </c>
      <c r="F973" s="19" t="n">
        <f aca="false">cow_28*um28_A</f>
        <v>2620.08928571429</v>
      </c>
      <c r="G973" s="19" t="n">
        <f aca="false">cow_29*um29_A</f>
        <v>3013.32589285714</v>
      </c>
      <c r="H973" s="19" t="n">
        <f aca="false">G973*(1+g_tail)</f>
        <v>3314.65848214285</v>
      </c>
      <c r="I973" s="8" t="s">
        <v>577</v>
      </c>
    </row>
    <row r="974" customFormat="false" ht="17.15" hidden="false" customHeight="false" outlineLevel="0" collapsed="false">
      <c r="A974" s="5" t="s">
        <v>578</v>
      </c>
      <c r="B974" s="0" t="s">
        <v>69</v>
      </c>
      <c r="D974" s="10" t="n">
        <f aca="false">attA_26</f>
        <v>0.08</v>
      </c>
      <c r="E974" s="10" t="n">
        <f aca="false">attA_27</f>
        <v>0.11</v>
      </c>
      <c r="F974" s="10" t="n">
        <f aca="false">attA_28</f>
        <v>0.18</v>
      </c>
      <c r="G974" s="10" t="n">
        <f aca="false">attA_29</f>
        <v>0.26</v>
      </c>
      <c r="H974" s="10" t="n">
        <f aca="false">attA_30</f>
        <v>0.34</v>
      </c>
    </row>
    <row r="975" customFormat="false" ht="15" hidden="false" customHeight="false" outlineLevel="0" collapsed="false">
      <c r="A975" s="5" t="s">
        <v>579</v>
      </c>
      <c r="B975" s="5" t="s">
        <v>539</v>
      </c>
      <c r="D975" s="16" t="n">
        <f aca="false">D973*D974</f>
        <v>88.6286100647152</v>
      </c>
      <c r="E975" s="16" t="n">
        <f aca="false">E973*E974</f>
        <v>230.607142857143</v>
      </c>
      <c r="F975" s="16" t="n">
        <f aca="false">F973*F974</f>
        <v>471.616071428572</v>
      </c>
      <c r="G975" s="16" t="n">
        <f aca="false">G973*G974</f>
        <v>783.464732142856</v>
      </c>
      <c r="H975" s="16" t="n">
        <f aca="false">H973*H974</f>
        <v>1126.98388392857</v>
      </c>
    </row>
    <row r="976" customFormat="false" ht="17.15" hidden="false" customHeight="false" outlineLevel="0" collapsed="false">
      <c r="A976" s="5" t="s">
        <v>580</v>
      </c>
      <c r="B976" s="5" t="s">
        <v>539</v>
      </c>
      <c r="D976" s="16" t="n">
        <f aca="false">MAX(0,E975-D975)+dlt*D975</f>
        <v>150.841393798899</v>
      </c>
      <c r="E976" s="16" t="n">
        <f aca="false">MAX(0,F975-E975)+dlt*E975</f>
        <v>264.069642857144</v>
      </c>
      <c r="F976" s="16" t="n">
        <f aca="false">MAX(0,G975-F975)+dlt*F975</f>
        <v>359.010267857141</v>
      </c>
      <c r="G976" s="16" t="n">
        <f aca="false">MAX(0,H975-G975)+dlt*G975</f>
        <v>421.865625</v>
      </c>
    </row>
    <row r="977" customFormat="false" ht="17.15" hidden="false" customHeight="false" outlineLevel="0" collapsed="false">
      <c r="A977" s="1" t="s">
        <v>581</v>
      </c>
    </row>
    <row r="978" customFormat="false" ht="17.15" hidden="false" customHeight="false" outlineLevel="0" collapsed="false">
      <c r="A978" s="0" t="s">
        <v>582</v>
      </c>
      <c r="B978" s="0" t="s">
        <v>252</v>
      </c>
      <c r="C978" s="16" t="n">
        <f aca="false">0</f>
        <v>0</v>
      </c>
      <c r="D978" s="16" t="n">
        <f aca="false">hbm26</f>
        <v>0</v>
      </c>
      <c r="E978" s="16" t="n">
        <f aca="false">E971*asp*shm_A</f>
        <v>76.9407258451095</v>
      </c>
      <c r="F978" s="16" t="n">
        <f aca="false">F971*asp*shm_A</f>
        <v>164.440854117233</v>
      </c>
      <c r="G978" s="16" t="n">
        <f aca="false">G971*asp*shm_A</f>
        <v>127.742468381314</v>
      </c>
      <c r="I978" s="8" t="s">
        <v>583</v>
      </c>
    </row>
    <row r="979" customFormat="false" ht="17.15" hidden="false" customHeight="false" outlineLevel="0" collapsed="false">
      <c r="A979" s="5" t="s">
        <v>584</v>
      </c>
      <c r="B979" s="0" t="s">
        <v>252</v>
      </c>
      <c r="C979" s="16" t="n">
        <f aca="false">hb25</f>
        <v>120</v>
      </c>
      <c r="D979" s="16" t="n">
        <f aca="false">rev26*hb_sh26-hbm26</f>
        <v>250.4</v>
      </c>
      <c r="E979" s="16" t="n">
        <f aca="false">$D980*E976*shl_A</f>
        <v>438.361360274778</v>
      </c>
      <c r="F979" s="16" t="n">
        <f aca="false">$D980*F976*shl_A</f>
        <v>595.964866191023</v>
      </c>
      <c r="G979" s="16" t="n">
        <f aca="false">$D980*G976*shl_A</f>
        <v>700.306128441323</v>
      </c>
      <c r="I979" s="8" t="s">
        <v>585</v>
      </c>
    </row>
    <row r="980" customFormat="false" ht="17.15" hidden="false" customHeight="false" outlineLevel="0" collapsed="false">
      <c r="A980" s="5" t="s">
        <v>586</v>
      </c>
      <c r="B980" s="0" t="s">
        <v>587</v>
      </c>
      <c r="D980" s="21" t="n">
        <f aca="false">D979/D976</f>
        <v>1.66002178641913</v>
      </c>
      <c r="I980" s="5" t="s">
        <v>588</v>
      </c>
    </row>
    <row r="981" customFormat="false" ht="15" hidden="false" customHeight="false" outlineLevel="0" collapsed="false">
      <c r="A981" s="5" t="s">
        <v>589</v>
      </c>
      <c r="B981" s="0" t="s">
        <v>252</v>
      </c>
      <c r="C981" s="16" t="n">
        <f aca="false">C978+C979</f>
        <v>120</v>
      </c>
      <c r="D981" s="16" t="n">
        <f aca="false">D978+D979</f>
        <v>250.4</v>
      </c>
      <c r="E981" s="16" t="n">
        <f aca="false">E978+E979</f>
        <v>515.302086119887</v>
      </c>
      <c r="F981" s="16" t="n">
        <f aca="false">F978+F979</f>
        <v>760.405720308256</v>
      </c>
      <c r="G981" s="16" t="n">
        <f aca="false">G978+G979</f>
        <v>828.048596822637</v>
      </c>
    </row>
    <row r="982" customFormat="false" ht="17.15" hidden="false" customHeight="false" outlineLevel="0" collapsed="false">
      <c r="A982" s="5" t="s">
        <v>590</v>
      </c>
      <c r="B982" s="0" t="s">
        <v>252</v>
      </c>
      <c r="C982" s="16" t="n">
        <f aca="false">a25_rev-hb25</f>
        <v>471.3</v>
      </c>
      <c r="D982" s="16" t="n">
        <f aca="false">rev26-D981</f>
        <v>751.2</v>
      </c>
      <c r="E982" s="16" t="n">
        <f aca="false">D982*(1+el*eqgA_27)</f>
        <v>900.497182193768</v>
      </c>
      <c r="F982" s="16" t="n">
        <f aca="false">E982*(1+el*eqgA_28)</f>
        <v>1015.22529871935</v>
      </c>
      <c r="G982" s="16" t="n">
        <f aca="false">F982*(1+el*eqgA_29)</f>
        <v>1075.58315674599</v>
      </c>
      <c r="I982" s="8" t="s">
        <v>591</v>
      </c>
    </row>
    <row r="983" customFormat="false" ht="15" hidden="false" customHeight="false" outlineLevel="0" collapsed="false">
      <c r="A983" s="5" t="s">
        <v>499</v>
      </c>
      <c r="B983" s="0" t="s">
        <v>252</v>
      </c>
      <c r="C983" s="16" t="n">
        <f aca="false">C981+C982</f>
        <v>591.3</v>
      </c>
      <c r="D983" s="16" t="n">
        <f aca="false">D981+D982</f>
        <v>1001.6</v>
      </c>
      <c r="E983" s="16" t="n">
        <f aca="false">E981+E982</f>
        <v>1415.79926831366</v>
      </c>
      <c r="F983" s="16" t="n">
        <f aca="false">F981+F982</f>
        <v>1775.63101902761</v>
      </c>
      <c r="G983" s="16" t="n">
        <f aca="false">G981+G982</f>
        <v>1903.63175356863</v>
      </c>
    </row>
    <row r="984" customFormat="false" ht="15" hidden="false" customHeight="false" outlineLevel="0" collapsed="false">
      <c r="A984" s="5" t="s">
        <v>592</v>
      </c>
      <c r="B984" s="0" t="s">
        <v>69</v>
      </c>
      <c r="C984" s="10" t="n">
        <f aca="false">C981/C983</f>
        <v>0.202942668696093</v>
      </c>
      <c r="D984" s="10" t="n">
        <f aca="false">D981/D983</f>
        <v>0.25</v>
      </c>
      <c r="E984" s="10" t="n">
        <f aca="false">E981/E983</f>
        <v>0.363965498254324</v>
      </c>
      <c r="F984" s="10" t="n">
        <f aca="false">F981/F983</f>
        <v>0.428245346110634</v>
      </c>
      <c r="G984" s="10" t="n">
        <f aca="false">G981/G983</f>
        <v>0.434983601881163</v>
      </c>
    </row>
    <row r="985" customFormat="false" ht="17.15" hidden="false" customHeight="false" outlineLevel="0" collapsed="false">
      <c r="A985" s="5" t="s">
        <v>506</v>
      </c>
      <c r="B985" s="0" t="s">
        <v>69</v>
      </c>
      <c r="C985" s="10" t="n">
        <f aca="false">a25_gp/a25_rev</f>
        <v>0.633012007441231</v>
      </c>
      <c r="D985" s="10" t="n">
        <f aca="false">gp26/rev26</f>
        <v>0.646641373801917</v>
      </c>
      <c r="E985" s="10" t="n">
        <f aca="false">$D985+gm_prem_lo*(E984-$D984)+0</f>
        <v>0.646641373801917</v>
      </c>
      <c r="F985" s="10" t="n">
        <f aca="false">$D985+gm_prem_lo*(F984-$D984)+0</f>
        <v>0.646641373801917</v>
      </c>
      <c r="G985" s="10" t="n">
        <f aca="false">$D985+gm_prem_lo*(G984-$D984)+0</f>
        <v>0.646641373801917</v>
      </c>
      <c r="I985" s="8" t="s">
        <v>593</v>
      </c>
    </row>
    <row r="986" customFormat="false" ht="15" hidden="false" customHeight="false" outlineLevel="0" collapsed="false">
      <c r="A986" s="5" t="s">
        <v>502</v>
      </c>
      <c r="B986" s="0" t="s">
        <v>252</v>
      </c>
      <c r="C986" s="16" t="n">
        <f aca="false">a25_gp</f>
        <v>374.3</v>
      </c>
      <c r="D986" s="16" t="n">
        <f aca="false">gp26</f>
        <v>647.676</v>
      </c>
      <c r="E986" s="16" t="n">
        <f aca="false">E983*E985</f>
        <v>915.514383890091</v>
      </c>
      <c r="F986" s="16" t="n">
        <f aca="false">F983*F985</f>
        <v>1148.19648150931</v>
      </c>
      <c r="G986" s="16" t="n">
        <f aca="false">G983*G985</f>
        <v>1230.96705234057</v>
      </c>
    </row>
    <row r="987" customFormat="false" ht="17.15" hidden="false" customHeight="false" outlineLevel="0" collapsed="false">
      <c r="A987" s="5" t="s">
        <v>594</v>
      </c>
      <c r="B987" s="0" t="s">
        <v>252</v>
      </c>
      <c r="C987" s="16" t="n">
        <f aca="false">a25_opx</f>
        <v>201.2</v>
      </c>
      <c r="D987" s="16" t="n">
        <f aca="false">opx26</f>
        <v>223.1325</v>
      </c>
      <c r="E987" s="16" t="n">
        <f aca="false">opex_fix+opex_var*E983</f>
        <v>260.041972139376</v>
      </c>
      <c r="F987" s="16" t="n">
        <f aca="false">opex_fix+opex_var*F983</f>
        <v>292.106731770439</v>
      </c>
      <c r="G987" s="16" t="n">
        <f aca="false">opex_fix+opex_var*G983</f>
        <v>303.512931411003</v>
      </c>
      <c r="I987" s="5" t="s">
        <v>595</v>
      </c>
    </row>
    <row r="988" customFormat="false" ht="15" hidden="false" customHeight="false" outlineLevel="0" collapsed="false">
      <c r="A988" s="5" t="s">
        <v>510</v>
      </c>
      <c r="B988" s="0" t="s">
        <v>252</v>
      </c>
      <c r="C988" s="16" t="n">
        <f aca="false">C986-C987</f>
        <v>173.1</v>
      </c>
      <c r="D988" s="16" t="n">
        <f aca="false">D986-D987</f>
        <v>424.5435</v>
      </c>
      <c r="E988" s="16" t="n">
        <f aca="false">E986-E987</f>
        <v>655.472411750715</v>
      </c>
      <c r="F988" s="16" t="n">
        <f aca="false">F986-F987</f>
        <v>856.089749738872</v>
      </c>
      <c r="G988" s="16" t="n">
        <f aca="false">G986-G987</f>
        <v>927.454120929567</v>
      </c>
    </row>
    <row r="989" customFormat="false" ht="15" hidden="false" customHeight="false" outlineLevel="0" collapsed="false">
      <c r="A989" s="5" t="s">
        <v>555</v>
      </c>
      <c r="B989" s="0" t="s">
        <v>69</v>
      </c>
      <c r="C989" s="10" t="n">
        <f aca="false">C988/C983</f>
        <v>0.292744799594115</v>
      </c>
      <c r="D989" s="10" t="n">
        <f aca="false">D988/D983</f>
        <v>0.423865315495208</v>
      </c>
      <c r="E989" s="10" t="n">
        <f aca="false">E988/E983</f>
        <v>0.462969876041426</v>
      </c>
      <c r="F989" s="10" t="n">
        <f aca="false">F988/F983</f>
        <v>0.482132684417562</v>
      </c>
      <c r="G989" s="10" t="n">
        <f aca="false">G988/G983</f>
        <v>0.487202485034683</v>
      </c>
    </row>
    <row r="990" customFormat="false" ht="15" hidden="false" customHeight="false" outlineLevel="0" collapsed="false">
      <c r="A990" s="5" t="s">
        <v>515</v>
      </c>
      <c r="B990" s="0" t="s">
        <v>252</v>
      </c>
      <c r="C990" s="16" t="n">
        <f aca="false">a25_ni</f>
        <v>131.6</v>
      </c>
      <c r="D990" s="16" t="n">
        <f aca="false">ni26</f>
        <v>348.2641275</v>
      </c>
      <c r="E990" s="16" t="n">
        <f aca="false">(E988-fin)*(1-tax)</f>
        <v>549.683636164368</v>
      </c>
      <c r="F990" s="16" t="n">
        <f aca="false">(F988-fin)*(1-tax)</f>
        <v>723.217633524124</v>
      </c>
      <c r="G990" s="16" t="n">
        <f aca="false">(G988-fin)*(1-tax)</f>
        <v>784.947814604075</v>
      </c>
    </row>
    <row r="991" customFormat="false" ht="15" hidden="false" customHeight="false" outlineLevel="0" collapsed="false">
      <c r="A991" s="0" t="s">
        <v>556</v>
      </c>
      <c r="B991" s="0" t="s">
        <v>271</v>
      </c>
      <c r="C991" s="18" t="n">
        <f aca="false">a25_eps</f>
        <v>1.66</v>
      </c>
      <c r="D991" s="18" t="n">
        <f aca="false">eps26</f>
        <v>4.3364299400653</v>
      </c>
      <c r="E991" s="18" t="n">
        <f aca="false">E990/shares</f>
        <v>6.81976899345718</v>
      </c>
      <c r="F991" s="18" t="n">
        <f aca="false">F990/shares</f>
        <v>8.97275608756609</v>
      </c>
      <c r="G991" s="18" t="n">
        <f aca="false">G990/shares</f>
        <v>9.73862493865131</v>
      </c>
    </row>
    <row r="992" customFormat="false" ht="17.15" hidden="false" customHeight="false" outlineLevel="0" collapsed="false">
      <c r="A992" s="5" t="s">
        <v>596</v>
      </c>
      <c r="B992" s="5" t="s">
        <v>390</v>
      </c>
      <c r="C992" s="19" t="n">
        <f aca="false">C981/asp</f>
        <v>48</v>
      </c>
      <c r="D992" s="19" t="n">
        <f aca="false">D981/asp</f>
        <v>100.16</v>
      </c>
      <c r="E992" s="19" t="n">
        <f aca="false">E981/asp</f>
        <v>206.120834447955</v>
      </c>
      <c r="F992" s="19" t="n">
        <f aca="false">F981/asp</f>
        <v>304.162288123302</v>
      </c>
      <c r="G992" s="19" t="n">
        <f aca="false">G981/asp</f>
        <v>331.219438729055</v>
      </c>
    </row>
    <row r="1005" customFormat="false" ht="17.15" hidden="false" customHeight="false" outlineLevel="0" collapsed="false">
      <c r="A1005" s="4" t="s">
        <v>914</v>
      </c>
    </row>
    <row r="1006" customFormat="false" ht="15" hidden="false" customHeight="false" outlineLevel="0" collapsed="false">
      <c r="A1006" s="6" t="s">
        <v>21</v>
      </c>
      <c r="B1006" s="6" t="s">
        <v>22</v>
      </c>
      <c r="C1006" s="14" t="s">
        <v>524</v>
      </c>
      <c r="D1006" s="14" t="s">
        <v>525</v>
      </c>
      <c r="E1006" s="14" t="s">
        <v>526</v>
      </c>
      <c r="F1006" s="14" t="s">
        <v>527</v>
      </c>
      <c r="G1006" s="14" t="s">
        <v>528</v>
      </c>
      <c r="H1006" s="14" t="s">
        <v>529</v>
      </c>
      <c r="I1006" s="6" t="s">
        <v>427</v>
      </c>
    </row>
    <row r="1007" customFormat="false" ht="17.15" hidden="false" customHeight="false" outlineLevel="0" collapsed="false">
      <c r="A1007" s="1" t="s">
        <v>559</v>
      </c>
    </row>
    <row r="1008" customFormat="false" ht="17.15" hidden="false" customHeight="false" outlineLevel="0" collapsed="false">
      <c r="A1008" s="0" t="s">
        <v>560</v>
      </c>
      <c r="B1008" s="0" t="s">
        <v>32</v>
      </c>
      <c r="C1008" s="18" t="n">
        <f aca="false">hsA_25</f>
        <v>2.22511470588235</v>
      </c>
      <c r="D1008" s="18" t="n">
        <f aca="false">hsA_26</f>
        <v>3.782695</v>
      </c>
      <c r="E1008" s="18" t="n">
        <f aca="false">hsA_27</f>
        <v>5.86317725</v>
      </c>
      <c r="F1008" s="18" t="n">
        <f aca="false">hsA_28</f>
        <v>8.5016070125</v>
      </c>
      <c r="G1008" s="18" t="n">
        <f aca="false">hsA_29</f>
        <v>11.477169466875</v>
      </c>
      <c r="H1008" s="18" t="n">
        <f aca="false">G1008*(1+g_tail)</f>
        <v>12.6248864135625</v>
      </c>
      <c r="I1008" s="8" t="s">
        <v>561</v>
      </c>
    </row>
    <row r="1009" customFormat="false" ht="17.15" hidden="false" customHeight="false" outlineLevel="0" collapsed="false">
      <c r="A1009" s="0" t="s">
        <v>562</v>
      </c>
      <c r="B1009" s="0" t="s">
        <v>563</v>
      </c>
      <c r="C1009" s="20" t="n">
        <f aca="false">den_25</f>
        <v>24</v>
      </c>
      <c r="D1009" s="20" t="n">
        <f aca="false">den_26</f>
        <v>24</v>
      </c>
      <c r="E1009" s="20" t="n">
        <f aca="false">den_27</f>
        <v>26</v>
      </c>
      <c r="F1009" s="20" t="n">
        <f aca="false">den_28</f>
        <v>28</v>
      </c>
      <c r="G1009" s="20" t="n">
        <f aca="false">den_29</f>
        <v>30</v>
      </c>
      <c r="H1009" s="20" t="n">
        <f aca="false">den_30</f>
        <v>32</v>
      </c>
    </row>
    <row r="1010" customFormat="false" ht="17.15" hidden="false" customHeight="false" outlineLevel="0" collapsed="false">
      <c r="A1010" s="5" t="s">
        <v>564</v>
      </c>
      <c r="B1010" s="5" t="s">
        <v>533</v>
      </c>
      <c r="C1010" s="19" t="n">
        <f aca="false">C1008*8000/C1009</f>
        <v>741.704901960783</v>
      </c>
      <c r="D1010" s="19" t="n">
        <f aca="false">D1008*8000/D1009</f>
        <v>1260.89833333333</v>
      </c>
      <c r="E1010" s="19" t="n">
        <f aca="false">E1008*8000/E1009</f>
        <v>1804.05453846154</v>
      </c>
      <c r="F1010" s="19" t="n">
        <f aca="false">F1008*8000/F1009</f>
        <v>2429.030575</v>
      </c>
      <c r="G1010" s="19" t="n">
        <f aca="false">G1008*8000/G1009</f>
        <v>3060.5785245</v>
      </c>
      <c r="H1010" s="19" t="n">
        <f aca="false">H1008*8000/H1009</f>
        <v>3156.22160339063</v>
      </c>
      <c r="I1010" s="8" t="s">
        <v>565</v>
      </c>
    </row>
    <row r="1011" customFormat="false" ht="15" hidden="false" customHeight="false" outlineLevel="0" collapsed="false">
      <c r="A1011" s="5" t="s">
        <v>566</v>
      </c>
      <c r="B1011" s="5" t="s">
        <v>96</v>
      </c>
      <c r="C1011" s="20" t="n">
        <f aca="false">stk_25</f>
        <v>10</v>
      </c>
      <c r="D1011" s="20" t="n">
        <f aca="false">stk_26</f>
        <v>12</v>
      </c>
      <c r="E1011" s="20" t="n">
        <f aca="false">stk_27</f>
        <v>12.5</v>
      </c>
      <c r="F1011" s="20" t="n">
        <f aca="false">stk_28</f>
        <v>14</v>
      </c>
      <c r="G1011" s="20" t="n">
        <f aca="false">stk_29</f>
        <v>15</v>
      </c>
      <c r="H1011" s="20" t="n">
        <f aca="false">stk_30</f>
        <v>16</v>
      </c>
    </row>
    <row r="1012" customFormat="false" ht="15" hidden="false" customHeight="false" outlineLevel="0" collapsed="false">
      <c r="A1012" s="5" t="s">
        <v>567</v>
      </c>
      <c r="B1012" s="0" t="s">
        <v>116</v>
      </c>
      <c r="C1012" s="21" t="n">
        <f aca="false">1+beta*(C1011-$C1011)/4</f>
        <v>1</v>
      </c>
      <c r="D1012" s="21" t="n">
        <f aca="false">1+beta*(D1011-$C1011)/4</f>
        <v>1.05</v>
      </c>
      <c r="E1012" s="21" t="n">
        <f aca="false">1+beta*(E1011-$C1011)/4</f>
        <v>1.0625</v>
      </c>
      <c r="F1012" s="21" t="n">
        <f aca="false">1+beta*(F1011-$C1011)/4</f>
        <v>1.1</v>
      </c>
      <c r="G1012" s="21" t="n">
        <f aca="false">1+beta*(G1011-$C1011)/4</f>
        <v>1.125</v>
      </c>
      <c r="H1012" s="21" t="n">
        <f aca="false">1+beta*(H1011-$C1011)/4</f>
        <v>1.15</v>
      </c>
    </row>
    <row r="1013" customFormat="false" ht="17.15" hidden="false" customHeight="false" outlineLevel="0" collapsed="false">
      <c r="A1013" s="5" t="s">
        <v>568</v>
      </c>
      <c r="B1013" s="0" t="s">
        <v>69</v>
      </c>
      <c r="C1013" s="10" t="n">
        <f aca="false">hbp_25_hi</f>
        <v>0</v>
      </c>
      <c r="D1013" s="10" t="n">
        <f aca="false">hbp_26_hi</f>
        <v>0</v>
      </c>
      <c r="E1013" s="10" t="n">
        <f aca="false">hbp_27_hi</f>
        <v>0.05</v>
      </c>
      <c r="F1013" s="10" t="n">
        <f aca="false">hbp_28_hi</f>
        <v>0.15</v>
      </c>
      <c r="G1013" s="10" t="n">
        <f aca="false">hbp_29_hi</f>
        <v>0.3</v>
      </c>
      <c r="H1013" s="10" t="n">
        <f aca="false">hbp_30_hi</f>
        <v>0.4</v>
      </c>
      <c r="I1013" s="5" t="s">
        <v>569</v>
      </c>
    </row>
    <row r="1014" customFormat="false" ht="17.15" hidden="false" customHeight="false" outlineLevel="0" collapsed="false">
      <c r="A1014" s="5" t="s">
        <v>570</v>
      </c>
      <c r="B1014" s="5" t="s">
        <v>571</v>
      </c>
      <c r="C1014" s="19" t="n">
        <f aca="false">C1010*C1012*C1013</f>
        <v>0</v>
      </c>
      <c r="D1014" s="19" t="n">
        <f aca="false">D1010*D1012*D1013</f>
        <v>0</v>
      </c>
      <c r="E1014" s="19" t="n">
        <f aca="false">E1010*E1012*E1013</f>
        <v>95.8403973557692</v>
      </c>
      <c r="F1014" s="19" t="n">
        <f aca="false">F1010*F1012*F1013</f>
        <v>400.790044875</v>
      </c>
      <c r="G1014" s="19" t="n">
        <f aca="false">G1010*G1012*G1013</f>
        <v>1032.94525201875</v>
      </c>
      <c r="H1014" s="19" t="n">
        <f aca="false">H1010*H1012*H1013</f>
        <v>1451.86193755969</v>
      </c>
    </row>
    <row r="1015" customFormat="false" ht="17.15" hidden="false" customHeight="false" outlineLevel="0" collapsed="false">
      <c r="A1015" s="5" t="s">
        <v>572</v>
      </c>
      <c r="B1015" s="5" t="s">
        <v>390</v>
      </c>
      <c r="C1015" s="19" t="n">
        <f aca="false">C1014/thr</f>
        <v>0</v>
      </c>
      <c r="D1015" s="19" t="n">
        <f aca="false">D1014/thr</f>
        <v>0</v>
      </c>
      <c r="E1015" s="19" t="n">
        <f aca="false">E1014/thr</f>
        <v>15.6295494709343</v>
      </c>
      <c r="F1015" s="19" t="n">
        <f aca="false">F1014/thr</f>
        <v>65.3604117539139</v>
      </c>
      <c r="G1015" s="19" t="n">
        <f aca="false">G1014/thr</f>
        <v>168.451606656678</v>
      </c>
      <c r="H1015" s="19" t="n">
        <f aca="false">H1014/thr</f>
        <v>236.768091578553</v>
      </c>
    </row>
    <row r="1016" customFormat="false" ht="17.15" hidden="false" customHeight="false" outlineLevel="0" collapsed="false">
      <c r="A1016" s="5" t="s">
        <v>573</v>
      </c>
      <c r="B1016" s="5" t="s">
        <v>390</v>
      </c>
      <c r="C1016" s="19" t="n">
        <f aca="false">MAX(0,D1015-C1015)+dlt*C1015</f>
        <v>0</v>
      </c>
      <c r="D1016" s="19" t="n">
        <f aca="false">MAX(0,E1015-D1015)+dlt*D1015</f>
        <v>15.6295494709343</v>
      </c>
      <c r="E1016" s="19" t="n">
        <f aca="false">MAX(0,F1015-E1015)+dlt*E1015</f>
        <v>51.293817230073</v>
      </c>
      <c r="F1016" s="19" t="n">
        <f aca="false">MAX(0,G1015-F1015)+dlt*F1015</f>
        <v>109.627236078156</v>
      </c>
      <c r="G1016" s="19" t="n">
        <f aca="false">MAX(0,H1015-G1015)+dlt*G1015</f>
        <v>85.1616455875428</v>
      </c>
      <c r="I1016" s="5" t="s">
        <v>574</v>
      </c>
    </row>
    <row r="1017" customFormat="false" ht="17.15" hidden="false" customHeight="false" outlineLevel="0" collapsed="false">
      <c r="A1017" s="1" t="s">
        <v>575</v>
      </c>
    </row>
    <row r="1018" customFormat="false" ht="17.15" hidden="false" customHeight="false" outlineLevel="0" collapsed="false">
      <c r="A1018" s="0" t="s">
        <v>576</v>
      </c>
      <c r="B1018" s="5" t="s">
        <v>146</v>
      </c>
      <c r="D1018" s="19" t="n">
        <f aca="false">cow_26*1</f>
        <v>1107.85762580894</v>
      </c>
      <c r="E1018" s="19" t="n">
        <f aca="false">cow_27*1</f>
        <v>2096.42857142857</v>
      </c>
      <c r="F1018" s="19" t="n">
        <f aca="false">cow_28*um28_A</f>
        <v>2620.08928571429</v>
      </c>
      <c r="G1018" s="19" t="n">
        <f aca="false">cow_29*um29_A</f>
        <v>3013.32589285714</v>
      </c>
      <c r="H1018" s="19" t="n">
        <f aca="false">G1018*(1+g_tail)</f>
        <v>3314.65848214285</v>
      </c>
      <c r="I1018" s="8" t="s">
        <v>577</v>
      </c>
    </row>
    <row r="1019" customFormat="false" ht="17.15" hidden="false" customHeight="false" outlineLevel="0" collapsed="false">
      <c r="A1019" s="5" t="s">
        <v>578</v>
      </c>
      <c r="B1019" s="0" t="s">
        <v>69</v>
      </c>
      <c r="D1019" s="10" t="n">
        <f aca="false">attA_26</f>
        <v>0.08</v>
      </c>
      <c r="E1019" s="10" t="n">
        <f aca="false">attA_27</f>
        <v>0.11</v>
      </c>
      <c r="F1019" s="10" t="n">
        <f aca="false">attA_28</f>
        <v>0.18</v>
      </c>
      <c r="G1019" s="10" t="n">
        <f aca="false">attA_29</f>
        <v>0.26</v>
      </c>
      <c r="H1019" s="10" t="n">
        <f aca="false">attA_30</f>
        <v>0.34</v>
      </c>
    </row>
    <row r="1020" customFormat="false" ht="15" hidden="false" customHeight="false" outlineLevel="0" collapsed="false">
      <c r="A1020" s="5" t="s">
        <v>579</v>
      </c>
      <c r="B1020" s="5" t="s">
        <v>539</v>
      </c>
      <c r="D1020" s="16" t="n">
        <f aca="false">D1018*D1019</f>
        <v>88.6286100647152</v>
      </c>
      <c r="E1020" s="16" t="n">
        <f aca="false">E1018*E1019</f>
        <v>230.607142857143</v>
      </c>
      <c r="F1020" s="16" t="n">
        <f aca="false">F1018*F1019</f>
        <v>471.616071428572</v>
      </c>
      <c r="G1020" s="16" t="n">
        <f aca="false">G1018*G1019</f>
        <v>783.464732142856</v>
      </c>
      <c r="H1020" s="16" t="n">
        <f aca="false">H1018*H1019</f>
        <v>1126.98388392857</v>
      </c>
    </row>
    <row r="1021" customFormat="false" ht="17.15" hidden="false" customHeight="false" outlineLevel="0" collapsed="false">
      <c r="A1021" s="5" t="s">
        <v>580</v>
      </c>
      <c r="B1021" s="5" t="s">
        <v>539</v>
      </c>
      <c r="D1021" s="16" t="n">
        <f aca="false">MAX(0,E1020-D1020)+dlt*D1020</f>
        <v>150.841393798899</v>
      </c>
      <c r="E1021" s="16" t="n">
        <f aca="false">MAX(0,F1020-E1020)+dlt*E1020</f>
        <v>264.069642857144</v>
      </c>
      <c r="F1021" s="16" t="n">
        <f aca="false">MAX(0,G1020-F1020)+dlt*F1020</f>
        <v>359.010267857141</v>
      </c>
      <c r="G1021" s="16" t="n">
        <f aca="false">MAX(0,H1020-G1020)+dlt*G1020</f>
        <v>421.865625</v>
      </c>
    </row>
    <row r="1022" customFormat="false" ht="17.15" hidden="false" customHeight="false" outlineLevel="0" collapsed="false">
      <c r="A1022" s="1" t="s">
        <v>581</v>
      </c>
    </row>
    <row r="1023" customFormat="false" ht="17.15" hidden="false" customHeight="false" outlineLevel="0" collapsed="false">
      <c r="A1023" s="0" t="s">
        <v>582</v>
      </c>
      <c r="B1023" s="0" t="s">
        <v>252</v>
      </c>
      <c r="C1023" s="16" t="n">
        <f aca="false">0</f>
        <v>0</v>
      </c>
      <c r="D1023" s="16" t="n">
        <f aca="false">hbm26</f>
        <v>0</v>
      </c>
      <c r="E1023" s="16" t="n">
        <f aca="false">E1016*asp*shm_A</f>
        <v>76.9407258451095</v>
      </c>
      <c r="F1023" s="16" t="n">
        <f aca="false">F1016*asp*shm_A</f>
        <v>164.440854117233</v>
      </c>
      <c r="G1023" s="16" t="n">
        <f aca="false">G1016*asp*shm_A</f>
        <v>127.742468381314</v>
      </c>
      <c r="I1023" s="8" t="s">
        <v>583</v>
      </c>
    </row>
    <row r="1024" customFormat="false" ht="17.15" hidden="false" customHeight="false" outlineLevel="0" collapsed="false">
      <c r="A1024" s="5" t="s">
        <v>584</v>
      </c>
      <c r="B1024" s="0" t="s">
        <v>252</v>
      </c>
      <c r="C1024" s="16" t="n">
        <f aca="false">hb25</f>
        <v>120</v>
      </c>
      <c r="D1024" s="16" t="n">
        <f aca="false">rev26*hb_sh26-hbm26</f>
        <v>250.4</v>
      </c>
      <c r="E1024" s="16" t="n">
        <f aca="false">$D1025*E1021*shl_A</f>
        <v>438.361360274778</v>
      </c>
      <c r="F1024" s="16" t="n">
        <f aca="false">$D1025*F1021*shl_A</f>
        <v>595.964866191023</v>
      </c>
      <c r="G1024" s="16" t="n">
        <f aca="false">$D1025*G1021*shl_A</f>
        <v>700.306128441323</v>
      </c>
      <c r="I1024" s="8" t="s">
        <v>585</v>
      </c>
    </row>
    <row r="1025" customFormat="false" ht="17.15" hidden="false" customHeight="false" outlineLevel="0" collapsed="false">
      <c r="A1025" s="5" t="s">
        <v>586</v>
      </c>
      <c r="B1025" s="0" t="s">
        <v>587</v>
      </c>
      <c r="D1025" s="21" t="n">
        <f aca="false">D1024/D1021</f>
        <v>1.66002178641913</v>
      </c>
      <c r="I1025" s="5" t="s">
        <v>588</v>
      </c>
    </row>
    <row r="1026" customFormat="false" ht="15" hidden="false" customHeight="false" outlineLevel="0" collapsed="false">
      <c r="A1026" s="5" t="s">
        <v>589</v>
      </c>
      <c r="B1026" s="0" t="s">
        <v>252</v>
      </c>
      <c r="C1026" s="16" t="n">
        <f aca="false">C1023+C1024</f>
        <v>120</v>
      </c>
      <c r="D1026" s="16" t="n">
        <f aca="false">D1023+D1024</f>
        <v>250.4</v>
      </c>
      <c r="E1026" s="16" t="n">
        <f aca="false">E1023+E1024</f>
        <v>515.302086119887</v>
      </c>
      <c r="F1026" s="16" t="n">
        <f aca="false">F1023+F1024</f>
        <v>760.405720308256</v>
      </c>
      <c r="G1026" s="16" t="n">
        <f aca="false">G1023+G1024</f>
        <v>828.048596822637</v>
      </c>
    </row>
    <row r="1027" customFormat="false" ht="17.15" hidden="false" customHeight="false" outlineLevel="0" collapsed="false">
      <c r="A1027" s="5" t="s">
        <v>590</v>
      </c>
      <c r="B1027" s="0" t="s">
        <v>252</v>
      </c>
      <c r="C1027" s="16" t="n">
        <f aca="false">a25_rev-hb25</f>
        <v>471.3</v>
      </c>
      <c r="D1027" s="16" t="n">
        <f aca="false">rev26-D1026</f>
        <v>751.2</v>
      </c>
      <c r="E1027" s="16" t="n">
        <f aca="false">D1027*(1+el*eqgA_27)</f>
        <v>900.497182193768</v>
      </c>
      <c r="F1027" s="16" t="n">
        <f aca="false">E1027*(1+el*eqgA_28)</f>
        <v>1015.22529871935</v>
      </c>
      <c r="G1027" s="16" t="n">
        <f aca="false">F1027*(1+el*eqgA_29)</f>
        <v>1075.58315674599</v>
      </c>
      <c r="I1027" s="8" t="s">
        <v>591</v>
      </c>
    </row>
    <row r="1028" customFormat="false" ht="15" hidden="false" customHeight="false" outlineLevel="0" collapsed="false">
      <c r="A1028" s="5" t="s">
        <v>499</v>
      </c>
      <c r="B1028" s="0" t="s">
        <v>252</v>
      </c>
      <c r="C1028" s="16" t="n">
        <f aca="false">C1026+C1027</f>
        <v>591.3</v>
      </c>
      <c r="D1028" s="16" t="n">
        <f aca="false">D1026+D1027</f>
        <v>1001.6</v>
      </c>
      <c r="E1028" s="16" t="n">
        <f aca="false">E1026+E1027</f>
        <v>1415.79926831366</v>
      </c>
      <c r="F1028" s="16" t="n">
        <f aca="false">F1026+F1027</f>
        <v>1775.63101902761</v>
      </c>
      <c r="G1028" s="16" t="n">
        <f aca="false">G1026+G1027</f>
        <v>1903.63175356863</v>
      </c>
    </row>
    <row r="1029" customFormat="false" ht="15" hidden="false" customHeight="false" outlineLevel="0" collapsed="false">
      <c r="A1029" s="5" t="s">
        <v>592</v>
      </c>
      <c r="B1029" s="0" t="s">
        <v>69</v>
      </c>
      <c r="C1029" s="10" t="n">
        <f aca="false">C1026/C1028</f>
        <v>0.202942668696093</v>
      </c>
      <c r="D1029" s="10" t="n">
        <f aca="false">D1026/D1028</f>
        <v>0.25</v>
      </c>
      <c r="E1029" s="10" t="n">
        <f aca="false">E1026/E1028</f>
        <v>0.363965498254324</v>
      </c>
      <c r="F1029" s="10" t="n">
        <f aca="false">F1026/F1028</f>
        <v>0.428245346110634</v>
      </c>
      <c r="G1029" s="10" t="n">
        <f aca="false">G1026/G1028</f>
        <v>0.434983601881163</v>
      </c>
    </row>
    <row r="1030" customFormat="false" ht="17.15" hidden="false" customHeight="false" outlineLevel="0" collapsed="false">
      <c r="A1030" s="5" t="s">
        <v>506</v>
      </c>
      <c r="B1030" s="0" t="s">
        <v>69</v>
      </c>
      <c r="C1030" s="10" t="n">
        <f aca="false">a25_gp/a25_rev</f>
        <v>0.633012007441231</v>
      </c>
      <c r="D1030" s="10" t="n">
        <f aca="false">gp26/rev26</f>
        <v>0.646641373801917</v>
      </c>
      <c r="E1030" s="10" t="n">
        <f aca="false">$D1030+gm_prem_hi*(E1029-$D1029)+0</f>
        <v>0.663736198540066</v>
      </c>
      <c r="F1030" s="10" t="n">
        <f aca="false">$D1030+gm_prem_hi*(F1029-$D1029)+0</f>
        <v>0.673378175718512</v>
      </c>
      <c r="G1030" s="10" t="n">
        <f aca="false">$D1030+gm_prem_hi*(G1029-$D1029)+0</f>
        <v>0.674388914084091</v>
      </c>
      <c r="I1030" s="8" t="s">
        <v>593</v>
      </c>
    </row>
    <row r="1031" customFormat="false" ht="15" hidden="false" customHeight="false" outlineLevel="0" collapsed="false">
      <c r="A1031" s="5" t="s">
        <v>502</v>
      </c>
      <c r="B1031" s="0" t="s">
        <v>252</v>
      </c>
      <c r="C1031" s="16" t="n">
        <f aca="false">a25_gp</f>
        <v>374.3</v>
      </c>
      <c r="D1031" s="16" t="n">
        <f aca="false">gp26</f>
        <v>647.676</v>
      </c>
      <c r="E1031" s="16" t="n">
        <f aca="false">E1028*E1030</f>
        <v>939.717224246312</v>
      </c>
      <c r="F1031" s="16" t="n">
        <f aca="false">F1028*F1030</f>
        <v>1195.67117634201</v>
      </c>
      <c r="G1031" s="16" t="n">
        <f aca="false">G1028*G1030</f>
        <v>1283.78815110514</v>
      </c>
    </row>
    <row r="1032" customFormat="false" ht="17.15" hidden="false" customHeight="false" outlineLevel="0" collapsed="false">
      <c r="A1032" s="5" t="s">
        <v>594</v>
      </c>
      <c r="B1032" s="0" t="s">
        <v>252</v>
      </c>
      <c r="C1032" s="16" t="n">
        <f aca="false">a25_opx</f>
        <v>201.2</v>
      </c>
      <c r="D1032" s="16" t="n">
        <f aca="false">opx26</f>
        <v>223.1325</v>
      </c>
      <c r="E1032" s="16" t="n">
        <f aca="false">opex_fix+opex_var*E1028</f>
        <v>260.041972139376</v>
      </c>
      <c r="F1032" s="16" t="n">
        <f aca="false">opex_fix+opex_var*F1028</f>
        <v>292.106731770439</v>
      </c>
      <c r="G1032" s="16" t="n">
        <f aca="false">opex_fix+opex_var*G1028</f>
        <v>303.512931411003</v>
      </c>
      <c r="I1032" s="5" t="s">
        <v>595</v>
      </c>
    </row>
    <row r="1033" customFormat="false" ht="15" hidden="false" customHeight="false" outlineLevel="0" collapsed="false">
      <c r="A1033" s="5" t="s">
        <v>510</v>
      </c>
      <c r="B1033" s="0" t="s">
        <v>252</v>
      </c>
      <c r="C1033" s="16" t="n">
        <f aca="false">C1031-C1032</f>
        <v>173.1</v>
      </c>
      <c r="D1033" s="16" t="n">
        <f aca="false">D1031-D1032</f>
        <v>424.5435</v>
      </c>
      <c r="E1033" s="16" t="n">
        <f aca="false">E1031-E1032</f>
        <v>679.675252106936</v>
      </c>
      <c r="F1033" s="16" t="n">
        <f aca="false">F1031-F1032</f>
        <v>903.564444571575</v>
      </c>
      <c r="G1033" s="16" t="n">
        <f aca="false">G1031-G1032</f>
        <v>980.275219694139</v>
      </c>
    </row>
    <row r="1034" customFormat="false" ht="15" hidden="false" customHeight="false" outlineLevel="0" collapsed="false">
      <c r="A1034" s="5" t="s">
        <v>555</v>
      </c>
      <c r="B1034" s="0" t="s">
        <v>69</v>
      </c>
      <c r="C1034" s="10" t="n">
        <f aca="false">C1033/C1028</f>
        <v>0.292744799594115</v>
      </c>
      <c r="D1034" s="10" t="n">
        <f aca="false">D1033/D1028</f>
        <v>0.423865315495208</v>
      </c>
      <c r="E1034" s="10" t="n">
        <f aca="false">E1033/E1028</f>
        <v>0.480064700779575</v>
      </c>
      <c r="F1034" s="10" t="n">
        <f aca="false">F1033/F1028</f>
        <v>0.508869486334157</v>
      </c>
      <c r="G1034" s="10" t="n">
        <f aca="false">G1033/G1028</f>
        <v>0.514950025316857</v>
      </c>
    </row>
    <row r="1035" customFormat="false" ht="15" hidden="false" customHeight="false" outlineLevel="0" collapsed="false">
      <c r="A1035" s="5" t="s">
        <v>515</v>
      </c>
      <c r="B1035" s="0" t="s">
        <v>252</v>
      </c>
      <c r="C1035" s="16" t="n">
        <f aca="false">a25_ni</f>
        <v>131.6</v>
      </c>
      <c r="D1035" s="16" t="n">
        <f aca="false">ni26</f>
        <v>348.2641275</v>
      </c>
      <c r="E1035" s="16" t="n">
        <f aca="false">(E1033-fin)*(1-tax)</f>
        <v>570.6190930725</v>
      </c>
      <c r="F1035" s="16" t="n">
        <f aca="false">(F1033-fin)*(1-tax)</f>
        <v>764.283244554412</v>
      </c>
      <c r="G1035" s="16" t="n">
        <f aca="false">(G1033-fin)*(1-tax)</f>
        <v>830.63806503543</v>
      </c>
    </row>
    <row r="1036" customFormat="false" ht="15" hidden="false" customHeight="false" outlineLevel="0" collapsed="false">
      <c r="A1036" s="0" t="s">
        <v>556</v>
      </c>
      <c r="B1036" s="0" t="s">
        <v>271</v>
      </c>
      <c r="C1036" s="18" t="n">
        <f aca="false">a25_eps</f>
        <v>1.66</v>
      </c>
      <c r="D1036" s="18" t="n">
        <f aca="false">eps26</f>
        <v>4.3364299400653</v>
      </c>
      <c r="E1036" s="18" t="n">
        <f aca="false">E1035/shares</f>
        <v>7.07950927039575</v>
      </c>
      <c r="F1036" s="18" t="n">
        <f aca="false">F1035/shares</f>
        <v>9.48224547814709</v>
      </c>
      <c r="G1036" s="18" t="n">
        <f aca="false">G1035/shares</f>
        <v>10.3054909188164</v>
      </c>
    </row>
    <row r="1037" customFormat="false" ht="17.15" hidden="false" customHeight="false" outlineLevel="0" collapsed="false">
      <c r="A1037" s="5" t="s">
        <v>596</v>
      </c>
      <c r="B1037" s="5" t="s">
        <v>390</v>
      </c>
      <c r="C1037" s="19" t="n">
        <f aca="false">C1026/asp</f>
        <v>48</v>
      </c>
      <c r="D1037" s="19" t="n">
        <f aca="false">D1026/asp</f>
        <v>100.16</v>
      </c>
      <c r="E1037" s="19" t="n">
        <f aca="false">E1026/asp</f>
        <v>206.120834447955</v>
      </c>
      <c r="F1037" s="19" t="n">
        <f aca="false">F1026/asp</f>
        <v>304.162288123302</v>
      </c>
      <c r="G1037" s="19" t="n">
        <f aca="false">G1026/asp</f>
        <v>331.219438729055</v>
      </c>
    </row>
    <row r="1050" customFormat="false" ht="17.15" hidden="false" customHeight="false" outlineLevel="0" collapsed="false">
      <c r="A1050" s="4" t="s">
        <v>915</v>
      </c>
    </row>
    <row r="1051" customFormat="false" ht="15" hidden="false" customHeight="false" outlineLevel="0" collapsed="false">
      <c r="A1051" s="6" t="s">
        <v>21</v>
      </c>
      <c r="B1051" s="6" t="s">
        <v>22</v>
      </c>
      <c r="C1051" s="14" t="s">
        <v>524</v>
      </c>
      <c r="D1051" s="14" t="s">
        <v>525</v>
      </c>
      <c r="E1051" s="14" t="s">
        <v>526</v>
      </c>
      <c r="F1051" s="14" t="s">
        <v>527</v>
      </c>
      <c r="G1051" s="14" t="s">
        <v>528</v>
      </c>
      <c r="H1051" s="14" t="s">
        <v>529</v>
      </c>
      <c r="I1051" s="6" t="s">
        <v>427</v>
      </c>
    </row>
    <row r="1052" customFormat="false" ht="17.15" hidden="false" customHeight="false" outlineLevel="0" collapsed="false">
      <c r="A1052" s="1" t="s">
        <v>559</v>
      </c>
    </row>
    <row r="1053" customFormat="false" ht="17.15" hidden="false" customHeight="false" outlineLevel="0" collapsed="false">
      <c r="A1053" s="0" t="s">
        <v>560</v>
      </c>
      <c r="B1053" s="0" t="s">
        <v>32</v>
      </c>
      <c r="C1053" s="18" t="n">
        <f aca="false">hsA_25</f>
        <v>2.22511470588235</v>
      </c>
      <c r="D1053" s="18" t="n">
        <f aca="false">hsA_26</f>
        <v>3.782695</v>
      </c>
      <c r="E1053" s="18" t="n">
        <f aca="false">hsA_27</f>
        <v>5.86317725</v>
      </c>
      <c r="F1053" s="18" t="n">
        <f aca="false">hsA_28</f>
        <v>8.5016070125</v>
      </c>
      <c r="G1053" s="18" t="n">
        <f aca="false">hsA_29</f>
        <v>11.477169466875</v>
      </c>
      <c r="H1053" s="18" t="n">
        <f aca="false">G1053*(1+g_tail)</f>
        <v>12.6248864135625</v>
      </c>
      <c r="I1053" s="8" t="s">
        <v>561</v>
      </c>
    </row>
    <row r="1054" customFormat="false" ht="17.15" hidden="false" customHeight="false" outlineLevel="0" collapsed="false">
      <c r="A1054" s="0" t="s">
        <v>562</v>
      </c>
      <c r="B1054" s="0" t="s">
        <v>563</v>
      </c>
      <c r="C1054" s="20" t="n">
        <f aca="false">den_25</f>
        <v>24</v>
      </c>
      <c r="D1054" s="20" t="n">
        <f aca="false">den_26</f>
        <v>24</v>
      </c>
      <c r="E1054" s="20" t="n">
        <f aca="false">den_27</f>
        <v>26</v>
      </c>
      <c r="F1054" s="20" t="n">
        <f aca="false">den_28</f>
        <v>28</v>
      </c>
      <c r="G1054" s="20" t="n">
        <f aca="false">den_29</f>
        <v>30</v>
      </c>
      <c r="H1054" s="20" t="n">
        <f aca="false">den_30</f>
        <v>32</v>
      </c>
    </row>
    <row r="1055" customFormat="false" ht="17.15" hidden="false" customHeight="false" outlineLevel="0" collapsed="false">
      <c r="A1055" s="5" t="s">
        <v>564</v>
      </c>
      <c r="B1055" s="5" t="s">
        <v>533</v>
      </c>
      <c r="C1055" s="19" t="n">
        <f aca="false">C1053*8000/C1054</f>
        <v>741.704901960783</v>
      </c>
      <c r="D1055" s="19" t="n">
        <f aca="false">D1053*8000/D1054</f>
        <v>1260.89833333333</v>
      </c>
      <c r="E1055" s="19" t="n">
        <f aca="false">E1053*8000/E1054</f>
        <v>1804.05453846154</v>
      </c>
      <c r="F1055" s="19" t="n">
        <f aca="false">F1053*8000/F1054</f>
        <v>2429.030575</v>
      </c>
      <c r="G1055" s="19" t="n">
        <f aca="false">G1053*8000/G1054</f>
        <v>3060.5785245</v>
      </c>
      <c r="H1055" s="19" t="n">
        <f aca="false">H1053*8000/H1054</f>
        <v>3156.22160339063</v>
      </c>
      <c r="I1055" s="8" t="s">
        <v>565</v>
      </c>
    </row>
    <row r="1056" customFormat="false" ht="15" hidden="false" customHeight="false" outlineLevel="0" collapsed="false">
      <c r="A1056" s="5" t="s">
        <v>566</v>
      </c>
      <c r="B1056" s="5" t="s">
        <v>96</v>
      </c>
      <c r="C1056" s="20" t="n">
        <f aca="false">stk_25</f>
        <v>10</v>
      </c>
      <c r="D1056" s="20" t="n">
        <f aca="false">stk_26</f>
        <v>12</v>
      </c>
      <c r="E1056" s="20" t="n">
        <f aca="false">stk_27</f>
        <v>12.5</v>
      </c>
      <c r="F1056" s="20" t="n">
        <f aca="false">stk_28</f>
        <v>14</v>
      </c>
      <c r="G1056" s="20" t="n">
        <f aca="false">stk_29</f>
        <v>15</v>
      </c>
      <c r="H1056" s="20" t="n">
        <f aca="false">stk_30</f>
        <v>16</v>
      </c>
    </row>
    <row r="1057" customFormat="false" ht="15" hidden="false" customHeight="false" outlineLevel="0" collapsed="false">
      <c r="A1057" s="5" t="s">
        <v>567</v>
      </c>
      <c r="B1057" s="0" t="s">
        <v>116</v>
      </c>
      <c r="C1057" s="21" t="n">
        <f aca="false">1+beta*(C1056-$C1056)/4</f>
        <v>1</v>
      </c>
      <c r="D1057" s="21" t="n">
        <f aca="false">1+beta*(D1056-$C1056)/4</f>
        <v>1.05</v>
      </c>
      <c r="E1057" s="21" t="n">
        <f aca="false">1+beta*(E1056-$C1056)/4</f>
        <v>1.0625</v>
      </c>
      <c r="F1057" s="21" t="n">
        <f aca="false">1+beta*(F1056-$C1056)/4</f>
        <v>1.1</v>
      </c>
      <c r="G1057" s="21" t="n">
        <f aca="false">1+beta*(G1056-$C1056)/4</f>
        <v>1.125</v>
      </c>
      <c r="H1057" s="21" t="n">
        <f aca="false">1+beta*(H1056-$C1056)/4</f>
        <v>1.15</v>
      </c>
    </row>
    <row r="1058" customFormat="false" ht="17.15" hidden="false" customHeight="false" outlineLevel="0" collapsed="false">
      <c r="A1058" s="5" t="s">
        <v>568</v>
      </c>
      <c r="B1058" s="0" t="s">
        <v>69</v>
      </c>
      <c r="C1058" s="10" t="n">
        <f aca="false">hbp_25_hi</f>
        <v>0</v>
      </c>
      <c r="D1058" s="10" t="n">
        <f aca="false">hbp_26_hi</f>
        <v>0</v>
      </c>
      <c r="E1058" s="10" t="n">
        <f aca="false">hbp_27_hi</f>
        <v>0.05</v>
      </c>
      <c r="F1058" s="10" t="n">
        <f aca="false">hbp_28_hi</f>
        <v>0.15</v>
      </c>
      <c r="G1058" s="10" t="n">
        <f aca="false">hbp_29_hi</f>
        <v>0.3</v>
      </c>
      <c r="H1058" s="10" t="n">
        <f aca="false">hbp_30_hi</f>
        <v>0.4</v>
      </c>
      <c r="I1058" s="5" t="s">
        <v>569</v>
      </c>
    </row>
    <row r="1059" customFormat="false" ht="17.15" hidden="false" customHeight="false" outlineLevel="0" collapsed="false">
      <c r="A1059" s="5" t="s">
        <v>570</v>
      </c>
      <c r="B1059" s="5" t="s">
        <v>571</v>
      </c>
      <c r="C1059" s="19" t="n">
        <f aca="false">C1055*C1057*C1058</f>
        <v>0</v>
      </c>
      <c r="D1059" s="19" t="n">
        <f aca="false">D1055*D1057*D1058</f>
        <v>0</v>
      </c>
      <c r="E1059" s="19" t="n">
        <f aca="false">E1055*E1057*E1058</f>
        <v>95.8403973557692</v>
      </c>
      <c r="F1059" s="19" t="n">
        <f aca="false">F1055*F1057*F1058</f>
        <v>400.790044875</v>
      </c>
      <c r="G1059" s="19" t="n">
        <f aca="false">G1055*G1057*G1058</f>
        <v>1032.94525201875</v>
      </c>
      <c r="H1059" s="19" t="n">
        <f aca="false">H1055*H1057*H1058</f>
        <v>1451.86193755969</v>
      </c>
    </row>
    <row r="1060" customFormat="false" ht="17.15" hidden="false" customHeight="false" outlineLevel="0" collapsed="false">
      <c r="A1060" s="5" t="s">
        <v>572</v>
      </c>
      <c r="B1060" s="5" t="s">
        <v>390</v>
      </c>
      <c r="C1060" s="19" t="n">
        <f aca="false">C1059/thr</f>
        <v>0</v>
      </c>
      <c r="D1060" s="19" t="n">
        <f aca="false">D1059/thr</f>
        <v>0</v>
      </c>
      <c r="E1060" s="19" t="n">
        <f aca="false">E1059/thr</f>
        <v>15.6295494709343</v>
      </c>
      <c r="F1060" s="19" t="n">
        <f aca="false">F1059/thr</f>
        <v>65.3604117539139</v>
      </c>
      <c r="G1060" s="19" t="n">
        <f aca="false">G1059/thr</f>
        <v>168.451606656678</v>
      </c>
      <c r="H1060" s="19" t="n">
        <f aca="false">H1059/thr</f>
        <v>236.768091578553</v>
      </c>
    </row>
    <row r="1061" customFormat="false" ht="17.15" hidden="false" customHeight="false" outlineLevel="0" collapsed="false">
      <c r="A1061" s="5" t="s">
        <v>573</v>
      </c>
      <c r="B1061" s="5" t="s">
        <v>390</v>
      </c>
      <c r="C1061" s="19" t="n">
        <f aca="false">MAX(0,D1060-C1060)+dlt*C1060</f>
        <v>0</v>
      </c>
      <c r="D1061" s="19" t="n">
        <f aca="false">MAX(0,E1060-D1060)+dlt*D1060</f>
        <v>15.6295494709343</v>
      </c>
      <c r="E1061" s="19" t="n">
        <f aca="false">MAX(0,F1060-E1060)+dlt*E1060</f>
        <v>51.293817230073</v>
      </c>
      <c r="F1061" s="19" t="n">
        <f aca="false">MAX(0,G1060-F1060)+dlt*F1060</f>
        <v>109.627236078156</v>
      </c>
      <c r="G1061" s="19" t="n">
        <f aca="false">MAX(0,H1060-G1060)+dlt*G1060</f>
        <v>85.1616455875428</v>
      </c>
      <c r="I1061" s="5" t="s">
        <v>574</v>
      </c>
    </row>
    <row r="1062" customFormat="false" ht="17.15" hidden="false" customHeight="false" outlineLevel="0" collapsed="false">
      <c r="A1062" s="1" t="s">
        <v>575</v>
      </c>
    </row>
    <row r="1063" customFormat="false" ht="17.15" hidden="false" customHeight="false" outlineLevel="0" collapsed="false">
      <c r="A1063" s="0" t="s">
        <v>576</v>
      </c>
      <c r="B1063" s="5" t="s">
        <v>146</v>
      </c>
      <c r="D1063" s="19" t="n">
        <f aca="false">cow_26*1</f>
        <v>1107.85762580894</v>
      </c>
      <c r="E1063" s="19" t="n">
        <f aca="false">cow_27*1</f>
        <v>2096.42857142857</v>
      </c>
      <c r="F1063" s="19" t="n">
        <f aca="false">cow_28*um28_A</f>
        <v>2620.08928571429</v>
      </c>
      <c r="G1063" s="19" t="n">
        <f aca="false">cow_29*um29_A</f>
        <v>3013.32589285714</v>
      </c>
      <c r="H1063" s="19" t="n">
        <f aca="false">G1063*(1+g_tail)</f>
        <v>3314.65848214285</v>
      </c>
      <c r="I1063" s="8" t="s">
        <v>577</v>
      </c>
    </row>
    <row r="1064" customFormat="false" ht="17.15" hidden="false" customHeight="false" outlineLevel="0" collapsed="false">
      <c r="A1064" s="5" t="s">
        <v>578</v>
      </c>
      <c r="B1064" s="0" t="s">
        <v>69</v>
      </c>
      <c r="D1064" s="10" t="n">
        <f aca="false">attA_26</f>
        <v>0.08</v>
      </c>
      <c r="E1064" s="10" t="n">
        <f aca="false">attA_27</f>
        <v>0.11</v>
      </c>
      <c r="F1064" s="10" t="n">
        <f aca="false">attA_28</f>
        <v>0.18</v>
      </c>
      <c r="G1064" s="10" t="n">
        <f aca="false">attA_29</f>
        <v>0.26</v>
      </c>
      <c r="H1064" s="10" t="n">
        <f aca="false">attA_30</f>
        <v>0.34</v>
      </c>
    </row>
    <row r="1065" customFormat="false" ht="15" hidden="false" customHeight="false" outlineLevel="0" collapsed="false">
      <c r="A1065" s="5" t="s">
        <v>579</v>
      </c>
      <c r="B1065" s="5" t="s">
        <v>539</v>
      </c>
      <c r="D1065" s="16" t="n">
        <f aca="false">D1063*D1064</f>
        <v>88.6286100647152</v>
      </c>
      <c r="E1065" s="16" t="n">
        <f aca="false">E1063*E1064</f>
        <v>230.607142857143</v>
      </c>
      <c r="F1065" s="16" t="n">
        <f aca="false">F1063*F1064</f>
        <v>471.616071428572</v>
      </c>
      <c r="G1065" s="16" t="n">
        <f aca="false">G1063*G1064</f>
        <v>783.464732142856</v>
      </c>
      <c r="H1065" s="16" t="n">
        <f aca="false">H1063*H1064</f>
        <v>1126.98388392857</v>
      </c>
    </row>
    <row r="1066" customFormat="false" ht="17.15" hidden="false" customHeight="false" outlineLevel="0" collapsed="false">
      <c r="A1066" s="5" t="s">
        <v>580</v>
      </c>
      <c r="B1066" s="5" t="s">
        <v>539</v>
      </c>
      <c r="D1066" s="16" t="n">
        <f aca="false">MAX(0,E1065-D1065)+dlt*D1065</f>
        <v>150.841393798899</v>
      </c>
      <c r="E1066" s="16" t="n">
        <f aca="false">MAX(0,F1065-E1065)+dlt*E1065</f>
        <v>264.069642857144</v>
      </c>
      <c r="F1066" s="16" t="n">
        <f aca="false">MAX(0,G1065-F1065)+dlt*F1065</f>
        <v>359.010267857141</v>
      </c>
      <c r="G1066" s="16" t="n">
        <f aca="false">MAX(0,H1065-G1065)+dlt*G1065</f>
        <v>421.865625</v>
      </c>
    </row>
    <row r="1067" customFormat="false" ht="17.15" hidden="false" customHeight="false" outlineLevel="0" collapsed="false">
      <c r="A1067" s="1" t="s">
        <v>581</v>
      </c>
    </row>
    <row r="1068" customFormat="false" ht="17.15" hidden="false" customHeight="false" outlineLevel="0" collapsed="false">
      <c r="A1068" s="0" t="s">
        <v>582</v>
      </c>
      <c r="B1068" s="0" t="s">
        <v>252</v>
      </c>
      <c r="C1068" s="16" t="n">
        <f aca="false">0</f>
        <v>0</v>
      </c>
      <c r="D1068" s="16" t="n">
        <f aca="false">hbm26</f>
        <v>0</v>
      </c>
      <c r="E1068" s="16" t="n">
        <f aca="false">E1061*asp*shm_A</f>
        <v>76.9407258451095</v>
      </c>
      <c r="F1068" s="16" t="n">
        <f aca="false">F1061*asp*shm_A</f>
        <v>164.440854117233</v>
      </c>
      <c r="G1068" s="16" t="n">
        <f aca="false">G1061*asp*shm_A</f>
        <v>127.742468381314</v>
      </c>
      <c r="I1068" s="8" t="s">
        <v>583</v>
      </c>
    </row>
    <row r="1069" customFormat="false" ht="17.15" hidden="false" customHeight="false" outlineLevel="0" collapsed="false">
      <c r="A1069" s="5" t="s">
        <v>584</v>
      </c>
      <c r="B1069" s="0" t="s">
        <v>252</v>
      </c>
      <c r="C1069" s="16" t="n">
        <f aca="false">hb25</f>
        <v>120</v>
      </c>
      <c r="D1069" s="16" t="n">
        <f aca="false">rev26*hb_sh26-hbm26</f>
        <v>250.4</v>
      </c>
      <c r="E1069" s="16" t="n">
        <f aca="false">$D1070*E1066*shl_A</f>
        <v>438.361360274778</v>
      </c>
      <c r="F1069" s="16" t="n">
        <f aca="false">$D1070*F1066*shl_A</f>
        <v>595.964866191023</v>
      </c>
      <c r="G1069" s="16" t="n">
        <f aca="false">$D1070*G1066*shl_A</f>
        <v>700.306128441323</v>
      </c>
      <c r="I1069" s="8" t="s">
        <v>585</v>
      </c>
    </row>
    <row r="1070" customFormat="false" ht="17.15" hidden="false" customHeight="false" outlineLevel="0" collapsed="false">
      <c r="A1070" s="5" t="s">
        <v>586</v>
      </c>
      <c r="B1070" s="0" t="s">
        <v>587</v>
      </c>
      <c r="D1070" s="21" t="n">
        <f aca="false">D1069/D1066</f>
        <v>1.66002178641913</v>
      </c>
      <c r="I1070" s="5" t="s">
        <v>588</v>
      </c>
    </row>
    <row r="1071" customFormat="false" ht="15" hidden="false" customHeight="false" outlineLevel="0" collapsed="false">
      <c r="A1071" s="5" t="s">
        <v>589</v>
      </c>
      <c r="B1071" s="0" t="s">
        <v>252</v>
      </c>
      <c r="C1071" s="16" t="n">
        <f aca="false">C1068+C1069</f>
        <v>120</v>
      </c>
      <c r="D1071" s="16" t="n">
        <f aca="false">D1068+D1069</f>
        <v>250.4</v>
      </c>
      <c r="E1071" s="16" t="n">
        <f aca="false">E1068+E1069</f>
        <v>515.302086119887</v>
      </c>
      <c r="F1071" s="16" t="n">
        <f aca="false">F1068+F1069</f>
        <v>760.405720308256</v>
      </c>
      <c r="G1071" s="16" t="n">
        <f aca="false">G1068+G1069</f>
        <v>828.048596822637</v>
      </c>
    </row>
    <row r="1072" customFormat="false" ht="17.15" hidden="false" customHeight="false" outlineLevel="0" collapsed="false">
      <c r="A1072" s="5" t="s">
        <v>590</v>
      </c>
      <c r="B1072" s="0" t="s">
        <v>252</v>
      </c>
      <c r="C1072" s="16" t="n">
        <f aca="false">a25_rev-hb25</f>
        <v>471.3</v>
      </c>
      <c r="D1072" s="16" t="n">
        <f aca="false">rev26-D1071</f>
        <v>751.2</v>
      </c>
      <c r="E1072" s="16" t="n">
        <f aca="false">D1072*(1+el*eqgA_27)</f>
        <v>900.497182193768</v>
      </c>
      <c r="F1072" s="16" t="n">
        <f aca="false">E1072*(1+el*eqgA_28)</f>
        <v>1015.22529871935</v>
      </c>
      <c r="G1072" s="16" t="n">
        <f aca="false">F1072*(1+el*eqgA_29)</f>
        <v>1075.58315674599</v>
      </c>
      <c r="I1072" s="8" t="s">
        <v>591</v>
      </c>
    </row>
    <row r="1073" customFormat="false" ht="15" hidden="false" customHeight="false" outlineLevel="0" collapsed="false">
      <c r="A1073" s="5" t="s">
        <v>499</v>
      </c>
      <c r="B1073" s="0" t="s">
        <v>252</v>
      </c>
      <c r="C1073" s="16" t="n">
        <f aca="false">C1071+C1072</f>
        <v>591.3</v>
      </c>
      <c r="D1073" s="16" t="n">
        <f aca="false">D1071+D1072</f>
        <v>1001.6</v>
      </c>
      <c r="E1073" s="16" t="n">
        <f aca="false">E1071+E1072</f>
        <v>1415.79926831366</v>
      </c>
      <c r="F1073" s="16" t="n">
        <f aca="false">F1071+F1072</f>
        <v>1775.63101902761</v>
      </c>
      <c r="G1073" s="16" t="n">
        <f aca="false">G1071+G1072</f>
        <v>1903.63175356863</v>
      </c>
    </row>
    <row r="1074" customFormat="false" ht="15" hidden="false" customHeight="false" outlineLevel="0" collapsed="false">
      <c r="A1074" s="5" t="s">
        <v>592</v>
      </c>
      <c r="B1074" s="0" t="s">
        <v>69</v>
      </c>
      <c r="C1074" s="10" t="n">
        <f aca="false">C1071/C1073</f>
        <v>0.202942668696093</v>
      </c>
      <c r="D1074" s="10" t="n">
        <f aca="false">D1071/D1073</f>
        <v>0.25</v>
      </c>
      <c r="E1074" s="10" t="n">
        <f aca="false">E1071/E1073</f>
        <v>0.363965498254324</v>
      </c>
      <c r="F1074" s="10" t="n">
        <f aca="false">F1071/F1073</f>
        <v>0.428245346110634</v>
      </c>
      <c r="G1074" s="10" t="n">
        <f aca="false">G1071/G1073</f>
        <v>0.434983601881163</v>
      </c>
    </row>
    <row r="1075" customFormat="false" ht="17.15" hidden="false" customHeight="false" outlineLevel="0" collapsed="false">
      <c r="A1075" s="5" t="s">
        <v>506</v>
      </c>
      <c r="B1075" s="0" t="s">
        <v>69</v>
      </c>
      <c r="C1075" s="10" t="n">
        <f aca="false">a25_gp/a25_rev</f>
        <v>0.633012007441231</v>
      </c>
      <c r="D1075" s="10" t="n">
        <f aca="false">gp26/rev26</f>
        <v>0.646641373801917</v>
      </c>
      <c r="E1075" s="10" t="n">
        <f aca="false">$D1075+gm_prem*(E1074-$D1074)+0</f>
        <v>0.655758613662263</v>
      </c>
      <c r="F1075" s="10" t="n">
        <f aca="false">$D1075+gm_prem*(F1074-$D1074)+0</f>
        <v>0.660901001490768</v>
      </c>
      <c r="G1075" s="10" t="n">
        <f aca="false">$D1075+gm_prem*(G1074-$D1074)+0</f>
        <v>0.66144006195241</v>
      </c>
      <c r="I1075" s="8" t="s">
        <v>593</v>
      </c>
    </row>
    <row r="1076" customFormat="false" ht="15" hidden="false" customHeight="false" outlineLevel="0" collapsed="false">
      <c r="A1076" s="5" t="s">
        <v>502</v>
      </c>
      <c r="B1076" s="0" t="s">
        <v>252</v>
      </c>
      <c r="C1076" s="16" t="n">
        <f aca="false">a25_gp</f>
        <v>374.3</v>
      </c>
      <c r="D1076" s="16" t="n">
        <f aca="false">gp26</f>
        <v>647.676</v>
      </c>
      <c r="E1076" s="16" t="n">
        <f aca="false">E1073*E1075</f>
        <v>928.422565413409</v>
      </c>
      <c r="F1076" s="16" t="n">
        <f aca="false">F1073*F1075</f>
        <v>1173.51631875342</v>
      </c>
      <c r="G1076" s="16" t="n">
        <f aca="false">G1073*G1075</f>
        <v>1259.13830501501</v>
      </c>
    </row>
    <row r="1077" customFormat="false" ht="17.15" hidden="false" customHeight="false" outlineLevel="0" collapsed="false">
      <c r="A1077" s="5" t="s">
        <v>594</v>
      </c>
      <c r="B1077" s="0" t="s">
        <v>252</v>
      </c>
      <c r="C1077" s="16" t="n">
        <f aca="false">a25_opx</f>
        <v>201.2</v>
      </c>
      <c r="D1077" s="16" t="n">
        <f aca="false">opx26</f>
        <v>223.1325</v>
      </c>
      <c r="E1077" s="16" t="n">
        <f aca="false">(1-phi_lo)*opx26+phi_lo*opx26/rev26*E1073</f>
        <v>246.20092008711</v>
      </c>
      <c r="F1077" s="16" t="n">
        <f aca="false">(1-phi_lo)*opx26+phi_lo*opx26/rev26*F1073</f>
        <v>266.241394856524</v>
      </c>
      <c r="G1077" s="16" t="n">
        <f aca="false">(1-phi_lo)*opx26+phi_lo*opx26/rev26*G1073</f>
        <v>273.370269631877</v>
      </c>
      <c r="I1077" s="5" t="s">
        <v>595</v>
      </c>
    </row>
    <row r="1078" customFormat="false" ht="15" hidden="false" customHeight="false" outlineLevel="0" collapsed="false">
      <c r="A1078" s="5" t="s">
        <v>510</v>
      </c>
      <c r="B1078" s="0" t="s">
        <v>252</v>
      </c>
      <c r="C1078" s="16" t="n">
        <f aca="false">C1076-C1077</f>
        <v>173.1</v>
      </c>
      <c r="D1078" s="16" t="n">
        <f aca="false">D1076-D1077</f>
        <v>424.5435</v>
      </c>
      <c r="E1078" s="16" t="n">
        <f aca="false">E1076-E1077</f>
        <v>682.221645326299</v>
      </c>
      <c r="F1078" s="16" t="n">
        <f aca="false">F1076-F1077</f>
        <v>907.274923896894</v>
      </c>
      <c r="G1078" s="16" t="n">
        <f aca="false">G1076-G1077</f>
        <v>985.768035383132</v>
      </c>
    </row>
    <row r="1079" customFormat="false" ht="15" hidden="false" customHeight="false" outlineLevel="0" collapsed="false">
      <c r="A1079" s="5" t="s">
        <v>555</v>
      </c>
      <c r="B1079" s="0" t="s">
        <v>69</v>
      </c>
      <c r="C1079" s="10" t="n">
        <f aca="false">C1078/C1073</f>
        <v>0.292744799594115</v>
      </c>
      <c r="D1079" s="10" t="n">
        <f aca="false">D1078/D1073</f>
        <v>0.423865315495208</v>
      </c>
      <c r="E1079" s="10" t="n">
        <f aca="false">E1078/E1073</f>
        <v>0.481863256038327</v>
      </c>
      <c r="F1079" s="10" t="n">
        <f aca="false">F1078/F1073</f>
        <v>0.510959154337001</v>
      </c>
      <c r="G1079" s="10" t="n">
        <f aca="false">G1078/G1073</f>
        <v>0.517835465570045</v>
      </c>
    </row>
    <row r="1080" customFormat="false" ht="15" hidden="false" customHeight="false" outlineLevel="0" collapsed="false">
      <c r="A1080" s="5" t="s">
        <v>515</v>
      </c>
      <c r="B1080" s="0" t="s">
        <v>252</v>
      </c>
      <c r="C1080" s="16" t="n">
        <f aca="false">a25_ni</f>
        <v>131.6</v>
      </c>
      <c r="D1080" s="16" t="n">
        <f aca="false">ni26</f>
        <v>348.2641275</v>
      </c>
      <c r="E1080" s="16" t="n">
        <f aca="false">(E1078-fin)*(1-tax)</f>
        <v>572.821723207248</v>
      </c>
      <c r="F1080" s="16" t="n">
        <f aca="false">(F1078-fin)*(1-tax)</f>
        <v>767.492809170814</v>
      </c>
      <c r="G1080" s="16" t="n">
        <f aca="false">(G1078-fin)*(1-tax)</f>
        <v>835.389350606409</v>
      </c>
    </row>
    <row r="1081" customFormat="false" ht="15" hidden="false" customHeight="false" outlineLevel="0" collapsed="false">
      <c r="A1081" s="0" t="s">
        <v>556</v>
      </c>
      <c r="B1081" s="0" t="s">
        <v>271</v>
      </c>
      <c r="C1081" s="18" t="n">
        <f aca="false">a25_eps</f>
        <v>1.66</v>
      </c>
      <c r="D1081" s="18" t="n">
        <f aca="false">eps26</f>
        <v>4.3364299400653</v>
      </c>
      <c r="E1081" s="18" t="n">
        <f aca="false">E1080/shares</f>
        <v>7.10683667785112</v>
      </c>
      <c r="F1081" s="18" t="n">
        <f aca="false">F1080/shares</f>
        <v>9.52206563616774</v>
      </c>
      <c r="G1081" s="18" t="n">
        <f aca="false">G1080/shares</f>
        <v>10.3644387715161</v>
      </c>
    </row>
    <row r="1082" customFormat="false" ht="17.15" hidden="false" customHeight="false" outlineLevel="0" collapsed="false">
      <c r="A1082" s="5" t="s">
        <v>596</v>
      </c>
      <c r="B1082" s="5" t="s">
        <v>390</v>
      </c>
      <c r="C1082" s="19" t="n">
        <f aca="false">C1071/asp</f>
        <v>48</v>
      </c>
      <c r="D1082" s="19" t="n">
        <f aca="false">D1071/asp</f>
        <v>100.16</v>
      </c>
      <c r="E1082" s="19" t="n">
        <f aca="false">E1071/asp</f>
        <v>206.120834447955</v>
      </c>
      <c r="F1082" s="19" t="n">
        <f aca="false">F1071/asp</f>
        <v>304.162288123302</v>
      </c>
      <c r="G1082" s="19" t="n">
        <f aca="false">G1071/asp</f>
        <v>331.219438729055</v>
      </c>
    </row>
    <row r="1095" customFormat="false" ht="17.15" hidden="false" customHeight="false" outlineLevel="0" collapsed="false">
      <c r="A1095" s="4" t="s">
        <v>916</v>
      </c>
    </row>
    <row r="1096" customFormat="false" ht="15" hidden="false" customHeight="false" outlineLevel="0" collapsed="false">
      <c r="A1096" s="6" t="s">
        <v>21</v>
      </c>
      <c r="B1096" s="6" t="s">
        <v>22</v>
      </c>
      <c r="C1096" s="14" t="s">
        <v>524</v>
      </c>
      <c r="D1096" s="14" t="s">
        <v>525</v>
      </c>
      <c r="E1096" s="14" t="s">
        <v>526</v>
      </c>
      <c r="F1096" s="14" t="s">
        <v>527</v>
      </c>
      <c r="G1096" s="14" t="s">
        <v>528</v>
      </c>
      <c r="H1096" s="14" t="s">
        <v>529</v>
      </c>
      <c r="I1096" s="6" t="s">
        <v>427</v>
      </c>
    </row>
    <row r="1097" customFormat="false" ht="17.15" hidden="false" customHeight="false" outlineLevel="0" collapsed="false">
      <c r="A1097" s="1" t="s">
        <v>559</v>
      </c>
    </row>
    <row r="1098" customFormat="false" ht="17.15" hidden="false" customHeight="false" outlineLevel="0" collapsed="false">
      <c r="A1098" s="0" t="s">
        <v>560</v>
      </c>
      <c r="B1098" s="0" t="s">
        <v>32</v>
      </c>
      <c r="C1098" s="18" t="n">
        <f aca="false">hsA_25</f>
        <v>2.22511470588235</v>
      </c>
      <c r="D1098" s="18" t="n">
        <f aca="false">hsA_26</f>
        <v>3.782695</v>
      </c>
      <c r="E1098" s="18" t="n">
        <f aca="false">hsA_27</f>
        <v>5.86317725</v>
      </c>
      <c r="F1098" s="18" t="n">
        <f aca="false">hsA_28</f>
        <v>8.5016070125</v>
      </c>
      <c r="G1098" s="18" t="n">
        <f aca="false">hsA_29</f>
        <v>11.477169466875</v>
      </c>
      <c r="H1098" s="18" t="n">
        <f aca="false">G1098*(1+g_tail)</f>
        <v>12.6248864135625</v>
      </c>
      <c r="I1098" s="8" t="s">
        <v>561</v>
      </c>
    </row>
    <row r="1099" customFormat="false" ht="17.15" hidden="false" customHeight="false" outlineLevel="0" collapsed="false">
      <c r="A1099" s="0" t="s">
        <v>562</v>
      </c>
      <c r="B1099" s="0" t="s">
        <v>563</v>
      </c>
      <c r="C1099" s="20" t="n">
        <f aca="false">den_25</f>
        <v>24</v>
      </c>
      <c r="D1099" s="20" t="n">
        <f aca="false">den_26</f>
        <v>24</v>
      </c>
      <c r="E1099" s="20" t="n">
        <f aca="false">den_27</f>
        <v>26</v>
      </c>
      <c r="F1099" s="20" t="n">
        <f aca="false">den_28</f>
        <v>28</v>
      </c>
      <c r="G1099" s="20" t="n">
        <f aca="false">den_29</f>
        <v>30</v>
      </c>
      <c r="H1099" s="20" t="n">
        <f aca="false">den_30</f>
        <v>32</v>
      </c>
    </row>
    <row r="1100" customFormat="false" ht="17.15" hidden="false" customHeight="false" outlineLevel="0" collapsed="false">
      <c r="A1100" s="5" t="s">
        <v>564</v>
      </c>
      <c r="B1100" s="5" t="s">
        <v>533</v>
      </c>
      <c r="C1100" s="19" t="n">
        <f aca="false">C1098*8000/C1099</f>
        <v>741.704901960783</v>
      </c>
      <c r="D1100" s="19" t="n">
        <f aca="false">D1098*8000/D1099</f>
        <v>1260.89833333333</v>
      </c>
      <c r="E1100" s="19" t="n">
        <f aca="false">E1098*8000/E1099</f>
        <v>1804.05453846154</v>
      </c>
      <c r="F1100" s="19" t="n">
        <f aca="false">F1098*8000/F1099</f>
        <v>2429.030575</v>
      </c>
      <c r="G1100" s="19" t="n">
        <f aca="false">G1098*8000/G1099</f>
        <v>3060.5785245</v>
      </c>
      <c r="H1100" s="19" t="n">
        <f aca="false">H1098*8000/H1099</f>
        <v>3156.22160339063</v>
      </c>
      <c r="I1100" s="8" t="s">
        <v>565</v>
      </c>
    </row>
    <row r="1101" customFormat="false" ht="15" hidden="false" customHeight="false" outlineLevel="0" collapsed="false">
      <c r="A1101" s="5" t="s">
        <v>566</v>
      </c>
      <c r="B1101" s="5" t="s">
        <v>96</v>
      </c>
      <c r="C1101" s="20" t="n">
        <f aca="false">stk_25</f>
        <v>10</v>
      </c>
      <c r="D1101" s="20" t="n">
        <f aca="false">stk_26</f>
        <v>12</v>
      </c>
      <c r="E1101" s="20" t="n">
        <f aca="false">stk_27</f>
        <v>12.5</v>
      </c>
      <c r="F1101" s="20" t="n">
        <f aca="false">stk_28</f>
        <v>14</v>
      </c>
      <c r="G1101" s="20" t="n">
        <f aca="false">stk_29</f>
        <v>15</v>
      </c>
      <c r="H1101" s="20" t="n">
        <f aca="false">stk_30</f>
        <v>16</v>
      </c>
    </row>
    <row r="1102" customFormat="false" ht="15" hidden="false" customHeight="false" outlineLevel="0" collapsed="false">
      <c r="A1102" s="5" t="s">
        <v>567</v>
      </c>
      <c r="B1102" s="0" t="s">
        <v>116</v>
      </c>
      <c r="C1102" s="21" t="n">
        <f aca="false">1+beta*(C1101-$C1101)/4</f>
        <v>1</v>
      </c>
      <c r="D1102" s="21" t="n">
        <f aca="false">1+beta*(D1101-$C1101)/4</f>
        <v>1.05</v>
      </c>
      <c r="E1102" s="21" t="n">
        <f aca="false">1+beta*(E1101-$C1101)/4</f>
        <v>1.0625</v>
      </c>
      <c r="F1102" s="21" t="n">
        <f aca="false">1+beta*(F1101-$C1101)/4</f>
        <v>1.1</v>
      </c>
      <c r="G1102" s="21" t="n">
        <f aca="false">1+beta*(G1101-$C1101)/4</f>
        <v>1.125</v>
      </c>
      <c r="H1102" s="21" t="n">
        <f aca="false">1+beta*(H1101-$C1101)/4</f>
        <v>1.15</v>
      </c>
    </row>
    <row r="1103" customFormat="false" ht="17.15" hidden="false" customHeight="false" outlineLevel="0" collapsed="false">
      <c r="A1103" s="5" t="s">
        <v>568</v>
      </c>
      <c r="B1103" s="0" t="s">
        <v>69</v>
      </c>
      <c r="C1103" s="10" t="n">
        <f aca="false">hbp_25_hi</f>
        <v>0</v>
      </c>
      <c r="D1103" s="10" t="n">
        <f aca="false">hbp_26_hi</f>
        <v>0</v>
      </c>
      <c r="E1103" s="10" t="n">
        <f aca="false">hbp_27_hi</f>
        <v>0.05</v>
      </c>
      <c r="F1103" s="10" t="n">
        <f aca="false">hbp_28_hi</f>
        <v>0.15</v>
      </c>
      <c r="G1103" s="10" t="n">
        <f aca="false">hbp_29_hi</f>
        <v>0.3</v>
      </c>
      <c r="H1103" s="10" t="n">
        <f aca="false">hbp_30_hi</f>
        <v>0.4</v>
      </c>
      <c r="I1103" s="5" t="s">
        <v>569</v>
      </c>
    </row>
    <row r="1104" customFormat="false" ht="17.15" hidden="false" customHeight="false" outlineLevel="0" collapsed="false">
      <c r="A1104" s="5" t="s">
        <v>570</v>
      </c>
      <c r="B1104" s="5" t="s">
        <v>571</v>
      </c>
      <c r="C1104" s="19" t="n">
        <f aca="false">C1100*C1102*C1103</f>
        <v>0</v>
      </c>
      <c r="D1104" s="19" t="n">
        <f aca="false">D1100*D1102*D1103</f>
        <v>0</v>
      </c>
      <c r="E1104" s="19" t="n">
        <f aca="false">E1100*E1102*E1103</f>
        <v>95.8403973557692</v>
      </c>
      <c r="F1104" s="19" t="n">
        <f aca="false">F1100*F1102*F1103</f>
        <v>400.790044875</v>
      </c>
      <c r="G1104" s="19" t="n">
        <f aca="false">G1100*G1102*G1103</f>
        <v>1032.94525201875</v>
      </c>
      <c r="H1104" s="19" t="n">
        <f aca="false">H1100*H1102*H1103</f>
        <v>1451.86193755969</v>
      </c>
    </row>
    <row r="1105" customFormat="false" ht="17.15" hidden="false" customHeight="false" outlineLevel="0" collapsed="false">
      <c r="A1105" s="5" t="s">
        <v>572</v>
      </c>
      <c r="B1105" s="5" t="s">
        <v>390</v>
      </c>
      <c r="C1105" s="19" t="n">
        <f aca="false">C1104/thr</f>
        <v>0</v>
      </c>
      <c r="D1105" s="19" t="n">
        <f aca="false">D1104/thr</f>
        <v>0</v>
      </c>
      <c r="E1105" s="19" t="n">
        <f aca="false">E1104/thr</f>
        <v>15.6295494709343</v>
      </c>
      <c r="F1105" s="19" t="n">
        <f aca="false">F1104/thr</f>
        <v>65.3604117539139</v>
      </c>
      <c r="G1105" s="19" t="n">
        <f aca="false">G1104/thr</f>
        <v>168.451606656678</v>
      </c>
      <c r="H1105" s="19" t="n">
        <f aca="false">H1104/thr</f>
        <v>236.768091578553</v>
      </c>
    </row>
    <row r="1106" customFormat="false" ht="17.15" hidden="false" customHeight="false" outlineLevel="0" collapsed="false">
      <c r="A1106" s="5" t="s">
        <v>573</v>
      </c>
      <c r="B1106" s="5" t="s">
        <v>390</v>
      </c>
      <c r="C1106" s="19" t="n">
        <f aca="false">MAX(0,D1105-C1105)+dlt*C1105</f>
        <v>0</v>
      </c>
      <c r="D1106" s="19" t="n">
        <f aca="false">MAX(0,E1105-D1105)+dlt*D1105</f>
        <v>15.6295494709343</v>
      </c>
      <c r="E1106" s="19" t="n">
        <f aca="false">MAX(0,F1105-E1105)+dlt*E1105</f>
        <v>51.293817230073</v>
      </c>
      <c r="F1106" s="19" t="n">
        <f aca="false">MAX(0,G1105-F1105)+dlt*F1105</f>
        <v>109.627236078156</v>
      </c>
      <c r="G1106" s="19" t="n">
        <f aca="false">MAX(0,H1105-G1105)+dlt*G1105</f>
        <v>85.1616455875428</v>
      </c>
      <c r="I1106" s="5" t="s">
        <v>574</v>
      </c>
    </row>
    <row r="1107" customFormat="false" ht="17.15" hidden="false" customHeight="false" outlineLevel="0" collapsed="false">
      <c r="A1107" s="1" t="s">
        <v>575</v>
      </c>
    </row>
    <row r="1108" customFormat="false" ht="17.15" hidden="false" customHeight="false" outlineLevel="0" collapsed="false">
      <c r="A1108" s="0" t="s">
        <v>576</v>
      </c>
      <c r="B1108" s="5" t="s">
        <v>146</v>
      </c>
      <c r="D1108" s="19" t="n">
        <f aca="false">cow_26*1</f>
        <v>1107.85762580894</v>
      </c>
      <c r="E1108" s="19" t="n">
        <f aca="false">cow_27*1</f>
        <v>2096.42857142857</v>
      </c>
      <c r="F1108" s="19" t="n">
        <f aca="false">cow_28*um28_A</f>
        <v>2620.08928571429</v>
      </c>
      <c r="G1108" s="19" t="n">
        <f aca="false">cow_29*um29_A</f>
        <v>3013.32589285714</v>
      </c>
      <c r="H1108" s="19" t="n">
        <f aca="false">G1108*(1+g_tail)</f>
        <v>3314.65848214285</v>
      </c>
      <c r="I1108" s="8" t="s">
        <v>577</v>
      </c>
    </row>
    <row r="1109" customFormat="false" ht="17.15" hidden="false" customHeight="false" outlineLevel="0" collapsed="false">
      <c r="A1109" s="5" t="s">
        <v>578</v>
      </c>
      <c r="B1109" s="0" t="s">
        <v>69</v>
      </c>
      <c r="D1109" s="10" t="n">
        <f aca="false">attA_26</f>
        <v>0.08</v>
      </c>
      <c r="E1109" s="10" t="n">
        <f aca="false">attA_27</f>
        <v>0.11</v>
      </c>
      <c r="F1109" s="10" t="n">
        <f aca="false">attA_28</f>
        <v>0.18</v>
      </c>
      <c r="G1109" s="10" t="n">
        <f aca="false">attA_29</f>
        <v>0.26</v>
      </c>
      <c r="H1109" s="10" t="n">
        <f aca="false">attA_30</f>
        <v>0.34</v>
      </c>
    </row>
    <row r="1110" customFormat="false" ht="15" hidden="false" customHeight="false" outlineLevel="0" collapsed="false">
      <c r="A1110" s="5" t="s">
        <v>579</v>
      </c>
      <c r="B1110" s="5" t="s">
        <v>539</v>
      </c>
      <c r="D1110" s="16" t="n">
        <f aca="false">D1108*D1109</f>
        <v>88.6286100647152</v>
      </c>
      <c r="E1110" s="16" t="n">
        <f aca="false">E1108*E1109</f>
        <v>230.607142857143</v>
      </c>
      <c r="F1110" s="16" t="n">
        <f aca="false">F1108*F1109</f>
        <v>471.616071428572</v>
      </c>
      <c r="G1110" s="16" t="n">
        <f aca="false">G1108*G1109</f>
        <v>783.464732142856</v>
      </c>
      <c r="H1110" s="16" t="n">
        <f aca="false">H1108*H1109</f>
        <v>1126.98388392857</v>
      </c>
    </row>
    <row r="1111" customFormat="false" ht="17.15" hidden="false" customHeight="false" outlineLevel="0" collapsed="false">
      <c r="A1111" s="5" t="s">
        <v>580</v>
      </c>
      <c r="B1111" s="5" t="s">
        <v>539</v>
      </c>
      <c r="D1111" s="16" t="n">
        <f aca="false">MAX(0,E1110-D1110)+dlt*D1110</f>
        <v>150.841393798899</v>
      </c>
      <c r="E1111" s="16" t="n">
        <f aca="false">MAX(0,F1110-E1110)+dlt*E1110</f>
        <v>264.069642857144</v>
      </c>
      <c r="F1111" s="16" t="n">
        <f aca="false">MAX(0,G1110-F1110)+dlt*F1110</f>
        <v>359.010267857141</v>
      </c>
      <c r="G1111" s="16" t="n">
        <f aca="false">MAX(0,H1110-G1110)+dlt*G1110</f>
        <v>421.865625</v>
      </c>
    </row>
    <row r="1112" customFormat="false" ht="17.15" hidden="false" customHeight="false" outlineLevel="0" collapsed="false">
      <c r="A1112" s="1" t="s">
        <v>581</v>
      </c>
    </row>
    <row r="1113" customFormat="false" ht="17.15" hidden="false" customHeight="false" outlineLevel="0" collapsed="false">
      <c r="A1113" s="0" t="s">
        <v>582</v>
      </c>
      <c r="B1113" s="0" t="s">
        <v>252</v>
      </c>
      <c r="C1113" s="16" t="n">
        <f aca="false">0</f>
        <v>0</v>
      </c>
      <c r="D1113" s="16" t="n">
        <f aca="false">hbm26</f>
        <v>0</v>
      </c>
      <c r="E1113" s="16" t="n">
        <f aca="false">E1106*asp*shm_A</f>
        <v>76.9407258451095</v>
      </c>
      <c r="F1113" s="16" t="n">
        <f aca="false">F1106*asp*shm_A</f>
        <v>164.440854117233</v>
      </c>
      <c r="G1113" s="16" t="n">
        <f aca="false">G1106*asp*shm_A</f>
        <v>127.742468381314</v>
      </c>
      <c r="I1113" s="8" t="s">
        <v>583</v>
      </c>
    </row>
    <row r="1114" customFormat="false" ht="17.15" hidden="false" customHeight="false" outlineLevel="0" collapsed="false">
      <c r="A1114" s="5" t="s">
        <v>584</v>
      </c>
      <c r="B1114" s="0" t="s">
        <v>252</v>
      </c>
      <c r="C1114" s="16" t="n">
        <f aca="false">hb25</f>
        <v>120</v>
      </c>
      <c r="D1114" s="16" t="n">
        <f aca="false">rev26*hb_sh26-hbm26</f>
        <v>250.4</v>
      </c>
      <c r="E1114" s="16" t="n">
        <f aca="false">$D1115*E1111*shl_A</f>
        <v>438.361360274778</v>
      </c>
      <c r="F1114" s="16" t="n">
        <f aca="false">$D1115*F1111*shl_A</f>
        <v>595.964866191023</v>
      </c>
      <c r="G1114" s="16" t="n">
        <f aca="false">$D1115*G1111*shl_A</f>
        <v>700.306128441323</v>
      </c>
      <c r="I1114" s="8" t="s">
        <v>585</v>
      </c>
    </row>
    <row r="1115" customFormat="false" ht="17.15" hidden="false" customHeight="false" outlineLevel="0" collapsed="false">
      <c r="A1115" s="5" t="s">
        <v>586</v>
      </c>
      <c r="B1115" s="0" t="s">
        <v>587</v>
      </c>
      <c r="D1115" s="21" t="n">
        <f aca="false">D1114/D1111</f>
        <v>1.66002178641913</v>
      </c>
      <c r="I1115" s="5" t="s">
        <v>588</v>
      </c>
    </row>
    <row r="1116" customFormat="false" ht="15" hidden="false" customHeight="false" outlineLevel="0" collapsed="false">
      <c r="A1116" s="5" t="s">
        <v>589</v>
      </c>
      <c r="B1116" s="0" t="s">
        <v>252</v>
      </c>
      <c r="C1116" s="16" t="n">
        <f aca="false">C1113+C1114</f>
        <v>120</v>
      </c>
      <c r="D1116" s="16" t="n">
        <f aca="false">D1113+D1114</f>
        <v>250.4</v>
      </c>
      <c r="E1116" s="16" t="n">
        <f aca="false">E1113+E1114</f>
        <v>515.302086119887</v>
      </c>
      <c r="F1116" s="16" t="n">
        <f aca="false">F1113+F1114</f>
        <v>760.405720308256</v>
      </c>
      <c r="G1116" s="16" t="n">
        <f aca="false">G1113+G1114</f>
        <v>828.048596822637</v>
      </c>
    </row>
    <row r="1117" customFormat="false" ht="17.15" hidden="false" customHeight="false" outlineLevel="0" collapsed="false">
      <c r="A1117" s="5" t="s">
        <v>590</v>
      </c>
      <c r="B1117" s="0" t="s">
        <v>252</v>
      </c>
      <c r="C1117" s="16" t="n">
        <f aca="false">a25_rev-hb25</f>
        <v>471.3</v>
      </c>
      <c r="D1117" s="16" t="n">
        <f aca="false">rev26-D1116</f>
        <v>751.2</v>
      </c>
      <c r="E1117" s="16" t="n">
        <f aca="false">D1117*(1+el*eqgA_27)</f>
        <v>900.497182193768</v>
      </c>
      <c r="F1117" s="16" t="n">
        <f aca="false">E1117*(1+el*eqgA_28)</f>
        <v>1015.22529871935</v>
      </c>
      <c r="G1117" s="16" t="n">
        <f aca="false">F1117*(1+el*eqgA_29)</f>
        <v>1075.58315674599</v>
      </c>
      <c r="I1117" s="8" t="s">
        <v>591</v>
      </c>
    </row>
    <row r="1118" customFormat="false" ht="15" hidden="false" customHeight="false" outlineLevel="0" collapsed="false">
      <c r="A1118" s="5" t="s">
        <v>499</v>
      </c>
      <c r="B1118" s="0" t="s">
        <v>252</v>
      </c>
      <c r="C1118" s="16" t="n">
        <f aca="false">C1116+C1117</f>
        <v>591.3</v>
      </c>
      <c r="D1118" s="16" t="n">
        <f aca="false">D1116+D1117</f>
        <v>1001.6</v>
      </c>
      <c r="E1118" s="16" t="n">
        <f aca="false">E1116+E1117</f>
        <v>1415.79926831366</v>
      </c>
      <c r="F1118" s="16" t="n">
        <f aca="false">F1116+F1117</f>
        <v>1775.63101902761</v>
      </c>
      <c r="G1118" s="16" t="n">
        <f aca="false">G1116+G1117</f>
        <v>1903.63175356863</v>
      </c>
    </row>
    <row r="1119" customFormat="false" ht="15" hidden="false" customHeight="false" outlineLevel="0" collapsed="false">
      <c r="A1119" s="5" t="s">
        <v>592</v>
      </c>
      <c r="B1119" s="0" t="s">
        <v>69</v>
      </c>
      <c r="C1119" s="10" t="n">
        <f aca="false">C1116/C1118</f>
        <v>0.202942668696093</v>
      </c>
      <c r="D1119" s="10" t="n">
        <f aca="false">D1116/D1118</f>
        <v>0.25</v>
      </c>
      <c r="E1119" s="10" t="n">
        <f aca="false">E1116/E1118</f>
        <v>0.363965498254324</v>
      </c>
      <c r="F1119" s="10" t="n">
        <f aca="false">F1116/F1118</f>
        <v>0.428245346110634</v>
      </c>
      <c r="G1119" s="10" t="n">
        <f aca="false">G1116/G1118</f>
        <v>0.434983601881163</v>
      </c>
    </row>
    <row r="1120" customFormat="false" ht="17.15" hidden="false" customHeight="false" outlineLevel="0" collapsed="false">
      <c r="A1120" s="5" t="s">
        <v>506</v>
      </c>
      <c r="B1120" s="0" t="s">
        <v>69</v>
      </c>
      <c r="C1120" s="10" t="n">
        <f aca="false">a25_gp/a25_rev</f>
        <v>0.633012007441231</v>
      </c>
      <c r="D1120" s="10" t="n">
        <f aca="false">gp26/rev26</f>
        <v>0.646641373801917</v>
      </c>
      <c r="E1120" s="10" t="n">
        <f aca="false">$D1120+gm_prem*(E1119-$D1119)+0</f>
        <v>0.655758613662263</v>
      </c>
      <c r="F1120" s="10" t="n">
        <f aca="false">$D1120+gm_prem*(F1119-$D1119)+0</f>
        <v>0.660901001490768</v>
      </c>
      <c r="G1120" s="10" t="n">
        <f aca="false">$D1120+gm_prem*(G1119-$D1119)+0</f>
        <v>0.66144006195241</v>
      </c>
      <c r="I1120" s="8" t="s">
        <v>593</v>
      </c>
    </row>
    <row r="1121" customFormat="false" ht="15" hidden="false" customHeight="false" outlineLevel="0" collapsed="false">
      <c r="A1121" s="5" t="s">
        <v>502</v>
      </c>
      <c r="B1121" s="0" t="s">
        <v>252</v>
      </c>
      <c r="C1121" s="16" t="n">
        <f aca="false">a25_gp</f>
        <v>374.3</v>
      </c>
      <c r="D1121" s="16" t="n">
        <f aca="false">gp26</f>
        <v>647.676</v>
      </c>
      <c r="E1121" s="16" t="n">
        <f aca="false">E1118*E1120</f>
        <v>928.422565413409</v>
      </c>
      <c r="F1121" s="16" t="n">
        <f aca="false">F1118*F1120</f>
        <v>1173.51631875342</v>
      </c>
      <c r="G1121" s="16" t="n">
        <f aca="false">G1118*G1120</f>
        <v>1259.13830501501</v>
      </c>
    </row>
    <row r="1122" customFormat="false" ht="17.15" hidden="false" customHeight="false" outlineLevel="0" collapsed="false">
      <c r="A1122" s="5" t="s">
        <v>594</v>
      </c>
      <c r="B1122" s="0" t="s">
        <v>252</v>
      </c>
      <c r="C1122" s="16" t="n">
        <f aca="false">a25_opx</f>
        <v>201.2</v>
      </c>
      <c r="D1122" s="16" t="n">
        <f aca="false">opx26</f>
        <v>223.1325</v>
      </c>
      <c r="E1122" s="16" t="n">
        <f aca="false">(1-phi_hi)*opx26+phi_hi*opx26/rev26*E1118</f>
        <v>278.496708209064</v>
      </c>
      <c r="F1122" s="16" t="n">
        <f aca="false">(1-phi_hi)*opx26+phi_hi*opx26/rev26*F1118</f>
        <v>326.593847655658</v>
      </c>
      <c r="G1122" s="16" t="n">
        <f aca="false">(1-phi_hi)*opx26+phi_hi*opx26/rev26*G1118</f>
        <v>343.703147116505</v>
      </c>
      <c r="I1122" s="5" t="s">
        <v>595</v>
      </c>
    </row>
    <row r="1123" customFormat="false" ht="15" hidden="false" customHeight="false" outlineLevel="0" collapsed="false">
      <c r="A1123" s="5" t="s">
        <v>510</v>
      </c>
      <c r="B1123" s="0" t="s">
        <v>252</v>
      </c>
      <c r="C1123" s="16" t="n">
        <f aca="false">C1121-C1122</f>
        <v>173.1</v>
      </c>
      <c r="D1123" s="16" t="n">
        <f aca="false">D1121-D1122</f>
        <v>424.5435</v>
      </c>
      <c r="E1123" s="16" t="n">
        <f aca="false">E1121-E1122</f>
        <v>649.925857204345</v>
      </c>
      <c r="F1123" s="16" t="n">
        <f aca="false">F1121-F1122</f>
        <v>846.922471097761</v>
      </c>
      <c r="G1123" s="16" t="n">
        <f aca="false">G1121-G1122</f>
        <v>915.435157898504</v>
      </c>
    </row>
    <row r="1124" customFormat="false" ht="15" hidden="false" customHeight="false" outlineLevel="0" collapsed="false">
      <c r="A1124" s="5" t="s">
        <v>555</v>
      </c>
      <c r="B1124" s="0" t="s">
        <v>69</v>
      </c>
      <c r="C1124" s="10" t="n">
        <f aca="false">C1123/C1118</f>
        <v>0.292744799594115</v>
      </c>
      <c r="D1124" s="10" t="n">
        <f aca="false">D1123/D1118</f>
        <v>0.423865315495208</v>
      </c>
      <c r="E1124" s="10" t="n">
        <f aca="false">E1123/E1118</f>
        <v>0.459052262386366</v>
      </c>
      <c r="F1124" s="10" t="n">
        <f aca="false">F1123/F1118</f>
        <v>0.476969855798961</v>
      </c>
      <c r="G1124" s="10" t="n">
        <f aca="false">G1123/G1118</f>
        <v>0.480888783338684</v>
      </c>
    </row>
    <row r="1125" customFormat="false" ht="15" hidden="false" customHeight="false" outlineLevel="0" collapsed="false">
      <c r="A1125" s="5" t="s">
        <v>515</v>
      </c>
      <c r="B1125" s="0" t="s">
        <v>252</v>
      </c>
      <c r="C1125" s="16" t="n">
        <f aca="false">a25_ni</f>
        <v>131.6</v>
      </c>
      <c r="D1125" s="16" t="n">
        <f aca="false">ni26</f>
        <v>348.2641275</v>
      </c>
      <c r="E1125" s="16" t="n">
        <f aca="false">(E1123-fin)*(1-tax)</f>
        <v>544.885866481758</v>
      </c>
      <c r="F1125" s="16" t="n">
        <f aca="false">(F1123-fin)*(1-tax)</f>
        <v>715.287937499563</v>
      </c>
      <c r="G1125" s="16" t="n">
        <f aca="false">(G1123-fin)*(1-tax)</f>
        <v>774.551411582206</v>
      </c>
    </row>
    <row r="1126" customFormat="false" ht="15" hidden="false" customHeight="false" outlineLevel="0" collapsed="false">
      <c r="A1126" s="0" t="s">
        <v>556</v>
      </c>
      <c r="B1126" s="0" t="s">
        <v>271</v>
      </c>
      <c r="C1126" s="18" t="n">
        <f aca="false">a25_eps</f>
        <v>1.66</v>
      </c>
      <c r="D1126" s="18" t="n">
        <f aca="false">eps26</f>
        <v>4.3364299400653</v>
      </c>
      <c r="E1126" s="18" t="n">
        <f aca="false">E1125/shares</f>
        <v>6.76024442556659</v>
      </c>
      <c r="F1126" s="18" t="n">
        <f aca="false">F1125/shares</f>
        <v>8.87437459770913</v>
      </c>
      <c r="G1126" s="18" t="n">
        <f aca="false">G1125/shares</f>
        <v>9.60963971459267</v>
      </c>
    </row>
    <row r="1127" customFormat="false" ht="17.15" hidden="false" customHeight="false" outlineLevel="0" collapsed="false">
      <c r="A1127" s="5" t="s">
        <v>596</v>
      </c>
      <c r="B1127" s="5" t="s">
        <v>390</v>
      </c>
      <c r="C1127" s="19" t="n">
        <f aca="false">C1116/asp</f>
        <v>48</v>
      </c>
      <c r="D1127" s="19" t="n">
        <f aca="false">D1116/asp</f>
        <v>100.16</v>
      </c>
      <c r="E1127" s="19" t="n">
        <f aca="false">E1116/asp</f>
        <v>206.120834447955</v>
      </c>
      <c r="F1127" s="19" t="n">
        <f aca="false">F1116/asp</f>
        <v>304.162288123302</v>
      </c>
      <c r="G1127" s="19" t="n">
        <f aca="false">G1116/asp</f>
        <v>331.219438729055</v>
      </c>
    </row>
    <row r="1140" customFormat="false" ht="17.15" hidden="false" customHeight="false" outlineLevel="0" collapsed="false">
      <c r="A1140" s="4" t="s">
        <v>917</v>
      </c>
    </row>
    <row r="1141" customFormat="false" ht="15" hidden="false" customHeight="false" outlineLevel="0" collapsed="false">
      <c r="A1141" s="6" t="s">
        <v>21</v>
      </c>
      <c r="B1141" s="6" t="s">
        <v>22</v>
      </c>
      <c r="C1141" s="14" t="s">
        <v>524</v>
      </c>
      <c r="D1141" s="14" t="s">
        <v>525</v>
      </c>
      <c r="E1141" s="14" t="s">
        <v>526</v>
      </c>
      <c r="F1141" s="14" t="s">
        <v>527</v>
      </c>
      <c r="G1141" s="14" t="s">
        <v>528</v>
      </c>
      <c r="H1141" s="14" t="s">
        <v>529</v>
      </c>
      <c r="I1141" s="6" t="s">
        <v>427</v>
      </c>
    </row>
    <row r="1142" customFormat="false" ht="17.15" hidden="false" customHeight="false" outlineLevel="0" collapsed="false">
      <c r="A1142" s="1" t="s">
        <v>559</v>
      </c>
    </row>
    <row r="1143" customFormat="false" ht="17.15" hidden="false" customHeight="false" outlineLevel="0" collapsed="false">
      <c r="A1143" s="0" t="s">
        <v>560</v>
      </c>
      <c r="B1143" s="0" t="s">
        <v>32</v>
      </c>
      <c r="C1143" s="18" t="n">
        <f aca="false">hsA_25</f>
        <v>2.22511470588235</v>
      </c>
      <c r="D1143" s="18" t="n">
        <f aca="false">hsA_26</f>
        <v>3.782695</v>
      </c>
      <c r="E1143" s="18" t="n">
        <f aca="false">hsA_27</f>
        <v>5.86317725</v>
      </c>
      <c r="F1143" s="18" t="n">
        <f aca="false">hsA_28</f>
        <v>8.5016070125</v>
      </c>
      <c r="G1143" s="18" t="n">
        <f aca="false">hsA_29</f>
        <v>11.477169466875</v>
      </c>
      <c r="H1143" s="18" t="n">
        <f aca="false">G1143*(1+g_tail)</f>
        <v>12.6248864135625</v>
      </c>
      <c r="I1143" s="8" t="s">
        <v>561</v>
      </c>
    </row>
    <row r="1144" customFormat="false" ht="17.15" hidden="false" customHeight="false" outlineLevel="0" collapsed="false">
      <c r="A1144" s="0" t="s">
        <v>562</v>
      </c>
      <c r="B1144" s="0" t="s">
        <v>563</v>
      </c>
      <c r="C1144" s="20" t="n">
        <f aca="false">den_25</f>
        <v>24</v>
      </c>
      <c r="D1144" s="20" t="n">
        <f aca="false">den_26</f>
        <v>24</v>
      </c>
      <c r="E1144" s="20" t="n">
        <f aca="false">den_27</f>
        <v>26</v>
      </c>
      <c r="F1144" s="20" t="n">
        <f aca="false">den_28</f>
        <v>28</v>
      </c>
      <c r="G1144" s="20" t="n">
        <f aca="false">den_29</f>
        <v>30</v>
      </c>
      <c r="H1144" s="20" t="n">
        <f aca="false">den_30</f>
        <v>32</v>
      </c>
    </row>
    <row r="1145" customFormat="false" ht="17.15" hidden="false" customHeight="false" outlineLevel="0" collapsed="false">
      <c r="A1145" s="5" t="s">
        <v>564</v>
      </c>
      <c r="B1145" s="5" t="s">
        <v>533</v>
      </c>
      <c r="C1145" s="19" t="n">
        <f aca="false">C1143*8000/C1144</f>
        <v>741.704901960783</v>
      </c>
      <c r="D1145" s="19" t="n">
        <f aca="false">D1143*8000/D1144</f>
        <v>1260.89833333333</v>
      </c>
      <c r="E1145" s="19" t="n">
        <f aca="false">E1143*8000/E1144</f>
        <v>1804.05453846154</v>
      </c>
      <c r="F1145" s="19" t="n">
        <f aca="false">F1143*8000/F1144</f>
        <v>2429.030575</v>
      </c>
      <c r="G1145" s="19" t="n">
        <f aca="false">G1143*8000/G1144</f>
        <v>3060.5785245</v>
      </c>
      <c r="H1145" s="19" t="n">
        <f aca="false">H1143*8000/H1144</f>
        <v>3156.22160339063</v>
      </c>
      <c r="I1145" s="8" t="s">
        <v>565</v>
      </c>
    </row>
    <row r="1146" customFormat="false" ht="15" hidden="false" customHeight="false" outlineLevel="0" collapsed="false">
      <c r="A1146" s="5" t="s">
        <v>566</v>
      </c>
      <c r="B1146" s="5" t="s">
        <v>96</v>
      </c>
      <c r="C1146" s="20" t="n">
        <f aca="false">stk_25</f>
        <v>10</v>
      </c>
      <c r="D1146" s="20" t="n">
        <f aca="false">stk_26</f>
        <v>12</v>
      </c>
      <c r="E1146" s="20" t="n">
        <f aca="false">stk_27</f>
        <v>12.5</v>
      </c>
      <c r="F1146" s="20" t="n">
        <f aca="false">stk_28</f>
        <v>14</v>
      </c>
      <c r="G1146" s="20" t="n">
        <f aca="false">stk_29</f>
        <v>15</v>
      </c>
      <c r="H1146" s="20" t="n">
        <f aca="false">stk_30</f>
        <v>16</v>
      </c>
    </row>
    <row r="1147" customFormat="false" ht="15" hidden="false" customHeight="false" outlineLevel="0" collapsed="false">
      <c r="A1147" s="5" t="s">
        <v>567</v>
      </c>
      <c r="B1147" s="0" t="s">
        <v>116</v>
      </c>
      <c r="C1147" s="21" t="n">
        <f aca="false">1+beta*(C1146-$C1146)/4</f>
        <v>1</v>
      </c>
      <c r="D1147" s="21" t="n">
        <f aca="false">1+beta*(D1146-$C1146)/4</f>
        <v>1.05</v>
      </c>
      <c r="E1147" s="21" t="n">
        <f aca="false">1+beta*(E1146-$C1146)/4</f>
        <v>1.0625</v>
      </c>
      <c r="F1147" s="21" t="n">
        <f aca="false">1+beta*(F1146-$C1146)/4</f>
        <v>1.1</v>
      </c>
      <c r="G1147" s="21" t="n">
        <f aca="false">1+beta*(G1146-$C1146)/4</f>
        <v>1.125</v>
      </c>
      <c r="H1147" s="21" t="n">
        <f aca="false">1+beta*(H1146-$C1146)/4</f>
        <v>1.15</v>
      </c>
    </row>
    <row r="1148" customFormat="false" ht="17.15" hidden="false" customHeight="false" outlineLevel="0" collapsed="false">
      <c r="A1148" s="5" t="s">
        <v>568</v>
      </c>
      <c r="B1148" s="0" t="s">
        <v>69</v>
      </c>
      <c r="C1148" s="10" t="n">
        <f aca="false">hbp_25_hi</f>
        <v>0</v>
      </c>
      <c r="D1148" s="10" t="n">
        <f aca="false">hbp_26_hi</f>
        <v>0</v>
      </c>
      <c r="E1148" s="10" t="n">
        <f aca="false">hbp_27_hi</f>
        <v>0.05</v>
      </c>
      <c r="F1148" s="10" t="n">
        <f aca="false">hbp_28_hi</f>
        <v>0.15</v>
      </c>
      <c r="G1148" s="10" t="n">
        <f aca="false">hbp_29_hi</f>
        <v>0.3</v>
      </c>
      <c r="H1148" s="10" t="n">
        <f aca="false">hbp_30_hi</f>
        <v>0.4</v>
      </c>
      <c r="I1148" s="5" t="s">
        <v>569</v>
      </c>
    </row>
    <row r="1149" customFormat="false" ht="17.15" hidden="false" customHeight="false" outlineLevel="0" collapsed="false">
      <c r="A1149" s="5" t="s">
        <v>570</v>
      </c>
      <c r="B1149" s="5" t="s">
        <v>571</v>
      </c>
      <c r="C1149" s="19" t="n">
        <f aca="false">C1145*C1147*C1148</f>
        <v>0</v>
      </c>
      <c r="D1149" s="19" t="n">
        <f aca="false">D1145*D1147*D1148</f>
        <v>0</v>
      </c>
      <c r="E1149" s="19" t="n">
        <f aca="false">E1145*E1147*E1148</f>
        <v>95.8403973557692</v>
      </c>
      <c r="F1149" s="19" t="n">
        <f aca="false">F1145*F1147*F1148</f>
        <v>400.790044875</v>
      </c>
      <c r="G1149" s="19" t="n">
        <f aca="false">G1145*G1147*G1148</f>
        <v>1032.94525201875</v>
      </c>
      <c r="H1149" s="19" t="n">
        <f aca="false">H1145*H1147*H1148</f>
        <v>1451.86193755969</v>
      </c>
    </row>
    <row r="1150" customFormat="false" ht="17.15" hidden="false" customHeight="false" outlineLevel="0" collapsed="false">
      <c r="A1150" s="5" t="s">
        <v>572</v>
      </c>
      <c r="B1150" s="5" t="s">
        <v>390</v>
      </c>
      <c r="C1150" s="19" t="n">
        <f aca="false">C1149/thr</f>
        <v>0</v>
      </c>
      <c r="D1150" s="19" t="n">
        <f aca="false">D1149/thr</f>
        <v>0</v>
      </c>
      <c r="E1150" s="19" t="n">
        <f aca="false">E1149/thr</f>
        <v>15.6295494709343</v>
      </c>
      <c r="F1150" s="19" t="n">
        <f aca="false">F1149/thr</f>
        <v>65.3604117539139</v>
      </c>
      <c r="G1150" s="19" t="n">
        <f aca="false">G1149/thr</f>
        <v>168.451606656678</v>
      </c>
      <c r="H1150" s="19" t="n">
        <f aca="false">H1149/thr</f>
        <v>236.768091578553</v>
      </c>
    </row>
    <row r="1151" customFormat="false" ht="17.15" hidden="false" customHeight="false" outlineLevel="0" collapsed="false">
      <c r="A1151" s="5" t="s">
        <v>573</v>
      </c>
      <c r="B1151" s="5" t="s">
        <v>390</v>
      </c>
      <c r="C1151" s="19" t="n">
        <f aca="false">MAX(0,D1150-C1150)+dlt*C1150</f>
        <v>0</v>
      </c>
      <c r="D1151" s="19" t="n">
        <f aca="false">MAX(0,E1150-D1150)+dlt*D1150</f>
        <v>15.6295494709343</v>
      </c>
      <c r="E1151" s="19" t="n">
        <f aca="false">MAX(0,F1150-E1150)+dlt*E1150</f>
        <v>51.293817230073</v>
      </c>
      <c r="F1151" s="19" t="n">
        <f aca="false">MAX(0,G1150-F1150)+dlt*F1150</f>
        <v>109.627236078156</v>
      </c>
      <c r="G1151" s="19" t="n">
        <f aca="false">MAX(0,H1150-G1150)+dlt*G1150</f>
        <v>85.1616455875428</v>
      </c>
      <c r="I1151" s="5" t="s">
        <v>574</v>
      </c>
    </row>
    <row r="1152" customFormat="false" ht="17.15" hidden="false" customHeight="false" outlineLevel="0" collapsed="false">
      <c r="A1152" s="1" t="s">
        <v>575</v>
      </c>
    </row>
    <row r="1153" customFormat="false" ht="17.15" hidden="false" customHeight="false" outlineLevel="0" collapsed="false">
      <c r="A1153" s="0" t="s">
        <v>576</v>
      </c>
      <c r="B1153" s="5" t="s">
        <v>146</v>
      </c>
      <c r="D1153" s="19" t="n">
        <f aca="false">cow_26*1</f>
        <v>1107.85762580894</v>
      </c>
      <c r="E1153" s="19" t="n">
        <f aca="false">cow_27*1</f>
        <v>2096.42857142857</v>
      </c>
      <c r="F1153" s="19" t="n">
        <f aca="false">cow_28*um28_A</f>
        <v>2620.08928571429</v>
      </c>
      <c r="G1153" s="19" t="n">
        <f aca="false">cow_29*um29_A</f>
        <v>3013.32589285714</v>
      </c>
      <c r="H1153" s="19" t="n">
        <f aca="false">G1153*(1+g_tail)</f>
        <v>3314.65848214285</v>
      </c>
      <c r="I1153" s="8" t="s">
        <v>577</v>
      </c>
    </row>
    <row r="1154" customFormat="false" ht="17.15" hidden="false" customHeight="false" outlineLevel="0" collapsed="false">
      <c r="A1154" s="5" t="s">
        <v>578</v>
      </c>
      <c r="B1154" s="0" t="s">
        <v>69</v>
      </c>
      <c r="D1154" s="10" t="n">
        <f aca="false">attA_26</f>
        <v>0.08</v>
      </c>
      <c r="E1154" s="10" t="n">
        <f aca="false">attA_27</f>
        <v>0.11</v>
      </c>
      <c r="F1154" s="10" t="n">
        <f aca="false">attA_28</f>
        <v>0.18</v>
      </c>
      <c r="G1154" s="10" t="n">
        <f aca="false">attA_29</f>
        <v>0.26</v>
      </c>
      <c r="H1154" s="10" t="n">
        <f aca="false">attA_30</f>
        <v>0.34</v>
      </c>
    </row>
    <row r="1155" customFormat="false" ht="15" hidden="false" customHeight="false" outlineLevel="0" collapsed="false">
      <c r="A1155" s="5" t="s">
        <v>579</v>
      </c>
      <c r="B1155" s="5" t="s">
        <v>539</v>
      </c>
      <c r="D1155" s="16" t="n">
        <f aca="false">D1153*D1154</f>
        <v>88.6286100647152</v>
      </c>
      <c r="E1155" s="16" t="n">
        <f aca="false">E1153*E1154</f>
        <v>230.607142857143</v>
      </c>
      <c r="F1155" s="16" t="n">
        <f aca="false">F1153*F1154</f>
        <v>471.616071428572</v>
      </c>
      <c r="G1155" s="16" t="n">
        <f aca="false">G1153*G1154</f>
        <v>783.464732142856</v>
      </c>
      <c r="H1155" s="16" t="n">
        <f aca="false">H1153*H1154</f>
        <v>1126.98388392857</v>
      </c>
    </row>
    <row r="1156" customFormat="false" ht="17.15" hidden="false" customHeight="false" outlineLevel="0" collapsed="false">
      <c r="A1156" s="5" t="s">
        <v>580</v>
      </c>
      <c r="B1156" s="5" t="s">
        <v>539</v>
      </c>
      <c r="D1156" s="16" t="n">
        <f aca="false">MAX(0,E1155-D1155)+dlt*D1155</f>
        <v>150.841393798899</v>
      </c>
      <c r="E1156" s="16" t="n">
        <f aca="false">MAX(0,F1155-E1155)+dlt*E1155</f>
        <v>264.069642857144</v>
      </c>
      <c r="F1156" s="16" t="n">
        <f aca="false">MAX(0,G1155-F1155)+dlt*F1155</f>
        <v>359.010267857141</v>
      </c>
      <c r="G1156" s="16" t="n">
        <f aca="false">MAX(0,H1155-G1155)+dlt*G1155</f>
        <v>421.865625</v>
      </c>
    </row>
    <row r="1157" customFormat="false" ht="17.15" hidden="false" customHeight="false" outlineLevel="0" collapsed="false">
      <c r="A1157" s="1" t="s">
        <v>581</v>
      </c>
    </row>
    <row r="1158" customFormat="false" ht="17.15" hidden="false" customHeight="false" outlineLevel="0" collapsed="false">
      <c r="A1158" s="0" t="s">
        <v>582</v>
      </c>
      <c r="B1158" s="0" t="s">
        <v>252</v>
      </c>
      <c r="C1158" s="16" t="n">
        <f aca="false">0</f>
        <v>0</v>
      </c>
      <c r="D1158" s="16" t="n">
        <f aca="false">hbm26</f>
        <v>0</v>
      </c>
      <c r="E1158" s="16" t="n">
        <f aca="false">E1151*asp*shm_A</f>
        <v>76.9407258451095</v>
      </c>
      <c r="F1158" s="16" t="n">
        <f aca="false">F1151*asp*shm_A</f>
        <v>164.440854117233</v>
      </c>
      <c r="G1158" s="16" t="n">
        <f aca="false">G1151*asp*shm_A</f>
        <v>127.742468381314</v>
      </c>
      <c r="I1158" s="8" t="s">
        <v>583</v>
      </c>
    </row>
    <row r="1159" customFormat="false" ht="17.15" hidden="false" customHeight="false" outlineLevel="0" collapsed="false">
      <c r="A1159" s="5" t="s">
        <v>584</v>
      </c>
      <c r="B1159" s="0" t="s">
        <v>252</v>
      </c>
      <c r="C1159" s="16" t="n">
        <f aca="false">hb25</f>
        <v>120</v>
      </c>
      <c r="D1159" s="16" t="n">
        <f aca="false">(q1_rev+q2_rev+q3_rev+q3_rev*(1+q4g_lo))*hb_sh26-hbm26</f>
        <v>246.8575</v>
      </c>
      <c r="E1159" s="16" t="n">
        <f aca="false">$D1160*E1156*shl_A</f>
        <v>432.1597024522</v>
      </c>
      <c r="F1159" s="16" t="n">
        <f aca="false">$D1160*F1156*shl_A</f>
        <v>587.533534168332</v>
      </c>
      <c r="G1159" s="16" t="n">
        <f aca="false">$D1160*G1156*shl_A</f>
        <v>690.39864257869</v>
      </c>
      <c r="I1159" s="8" t="s">
        <v>585</v>
      </c>
    </row>
    <row r="1160" customFormat="false" ht="17.15" hidden="false" customHeight="false" outlineLevel="0" collapsed="false">
      <c r="A1160" s="5" t="s">
        <v>586</v>
      </c>
      <c r="B1160" s="0" t="s">
        <v>587</v>
      </c>
      <c r="D1160" s="21" t="n">
        <f aca="false">D1159/D1156</f>
        <v>1.63653685359809</v>
      </c>
      <c r="I1160" s="5" t="s">
        <v>588</v>
      </c>
    </row>
    <row r="1161" customFormat="false" ht="15" hidden="false" customHeight="false" outlineLevel="0" collapsed="false">
      <c r="A1161" s="5" t="s">
        <v>589</v>
      </c>
      <c r="B1161" s="0" t="s">
        <v>252</v>
      </c>
      <c r="C1161" s="16" t="n">
        <f aca="false">C1158+C1159</f>
        <v>120</v>
      </c>
      <c r="D1161" s="16" t="n">
        <f aca="false">D1158+D1159</f>
        <v>246.8575</v>
      </c>
      <c r="E1161" s="16" t="n">
        <f aca="false">E1158+E1159</f>
        <v>509.10042829731</v>
      </c>
      <c r="F1161" s="16" t="n">
        <f aca="false">F1158+F1159</f>
        <v>751.974388285566</v>
      </c>
      <c r="G1161" s="16" t="n">
        <f aca="false">G1158+G1159</f>
        <v>818.141110960004</v>
      </c>
    </row>
    <row r="1162" customFormat="false" ht="17.15" hidden="false" customHeight="false" outlineLevel="0" collapsed="false">
      <c r="A1162" s="5" t="s">
        <v>590</v>
      </c>
      <c r="B1162" s="0" t="s">
        <v>252</v>
      </c>
      <c r="C1162" s="16" t="n">
        <f aca="false">a25_rev-hb25</f>
        <v>471.3</v>
      </c>
      <c r="D1162" s="16" t="n">
        <f aca="false">(q1_rev+q2_rev+q3_rev+q3_rev*(1+q4g_lo))-D1161</f>
        <v>740.5725</v>
      </c>
      <c r="E1162" s="16" t="n">
        <f aca="false">D1162*(1+el*eqgA_27)</f>
        <v>887.757520580663</v>
      </c>
      <c r="F1162" s="16" t="n">
        <f aca="false">E1162*(1+el*eqgA_28)</f>
        <v>1000.8625366558</v>
      </c>
      <c r="G1162" s="16" t="n">
        <f aca="false">F1162*(1+el*eqgA_29)</f>
        <v>1060.36649008156</v>
      </c>
      <c r="I1162" s="8" t="s">
        <v>591</v>
      </c>
    </row>
    <row r="1163" customFormat="false" ht="15" hidden="false" customHeight="false" outlineLevel="0" collapsed="false">
      <c r="A1163" s="5" t="s">
        <v>499</v>
      </c>
      <c r="B1163" s="0" t="s">
        <v>252</v>
      </c>
      <c r="C1163" s="16" t="n">
        <f aca="false">C1161+C1162</f>
        <v>591.3</v>
      </c>
      <c r="D1163" s="16" t="n">
        <f aca="false">D1161+D1162</f>
        <v>987.43</v>
      </c>
      <c r="E1163" s="16" t="n">
        <f aca="false">E1161+E1162</f>
        <v>1396.85794887797</v>
      </c>
      <c r="F1163" s="16" t="n">
        <f aca="false">F1161+F1162</f>
        <v>1752.83692494137</v>
      </c>
      <c r="G1163" s="16" t="n">
        <f aca="false">G1161+G1162</f>
        <v>1878.50760104157</v>
      </c>
    </row>
    <row r="1164" customFormat="false" ht="15" hidden="false" customHeight="false" outlineLevel="0" collapsed="false">
      <c r="A1164" s="5" t="s">
        <v>592</v>
      </c>
      <c r="B1164" s="0" t="s">
        <v>69</v>
      </c>
      <c r="C1164" s="10" t="n">
        <f aca="false">C1161/C1163</f>
        <v>0.202942668696093</v>
      </c>
      <c r="D1164" s="10" t="n">
        <f aca="false">D1161/D1163</f>
        <v>0.25</v>
      </c>
      <c r="E1164" s="10" t="n">
        <f aca="false">E1161/E1163</f>
        <v>0.364461131288436</v>
      </c>
      <c r="F1164" s="10" t="n">
        <f aca="false">F1161/F1163</f>
        <v>0.429004191767993</v>
      </c>
      <c r="G1164" s="10" t="n">
        <f aca="false">G1161/G1163</f>
        <v>0.43552717620433</v>
      </c>
    </row>
    <row r="1165" customFormat="false" ht="17.15" hidden="false" customHeight="false" outlineLevel="0" collapsed="false">
      <c r="A1165" s="5" t="s">
        <v>506</v>
      </c>
      <c r="B1165" s="0" t="s">
        <v>69</v>
      </c>
      <c r="C1165" s="10" t="n">
        <f aca="false">a25_gp/a25_rev</f>
        <v>0.633012007441231</v>
      </c>
      <c r="D1165" s="10" t="n">
        <f aca="false">gp26/(q1_rev+q2_rev+q3_rev+q3_rev*(1+q4g_lo))</f>
        <v>0.655920926040327</v>
      </c>
      <c r="E1165" s="10" t="n">
        <f aca="false">$D1165+gm_prem*(E1164-$D1164)+0</f>
        <v>0.665077816543402</v>
      </c>
      <c r="F1165" s="10" t="n">
        <f aca="false">$D1165+gm_prem*(F1164-$D1164)+0</f>
        <v>0.670241261381766</v>
      </c>
      <c r="G1165" s="10" t="n">
        <f aca="false">$D1165+gm_prem*(G1164-$D1164)+0</f>
        <v>0.670763100136673</v>
      </c>
      <c r="I1165" s="8" t="s">
        <v>593</v>
      </c>
    </row>
    <row r="1166" customFormat="false" ht="15" hidden="false" customHeight="false" outlineLevel="0" collapsed="false">
      <c r="A1166" s="5" t="s">
        <v>502</v>
      </c>
      <c r="B1166" s="0" t="s">
        <v>252</v>
      </c>
      <c r="C1166" s="16" t="n">
        <f aca="false">a25_gp</f>
        <v>374.3</v>
      </c>
      <c r="D1166" s="16" t="n">
        <f aca="false">gp26</f>
        <v>647.676</v>
      </c>
      <c r="E1166" s="16" t="n">
        <f aca="false">E1163*E1165</f>
        <v>929.019234661057</v>
      </c>
      <c r="F1166" s="16" t="n">
        <f aca="false">F1163*F1165</f>
        <v>1174.82363156924</v>
      </c>
      <c r="G1166" s="16" t="n">
        <f aca="false">G1163*G1165</f>
        <v>1260.03358210495</v>
      </c>
    </row>
    <row r="1167" customFormat="false" ht="17.15" hidden="false" customHeight="false" outlineLevel="0" collapsed="false">
      <c r="A1167" s="5" t="s">
        <v>594</v>
      </c>
      <c r="B1167" s="0" t="s">
        <v>252</v>
      </c>
      <c r="C1167" s="16" t="n">
        <f aca="false">a25_opx</f>
        <v>201.2</v>
      </c>
      <c r="D1167" s="16" t="n">
        <f aca="false">opx26</f>
        <v>223.1325</v>
      </c>
      <c r="E1167" s="16" t="n">
        <f aca="false">opex_fix+opex_var*E1163</f>
        <v>258.354103146172</v>
      </c>
      <c r="F1167" s="16" t="n">
        <f aca="false">opex_fix+opex_var*F1163</f>
        <v>290.075540397156</v>
      </c>
      <c r="G1167" s="16" t="n">
        <f aca="false">opex_fix+opex_var*G1163</f>
        <v>301.274107543693</v>
      </c>
      <c r="I1167" s="5" t="s">
        <v>595</v>
      </c>
    </row>
    <row r="1168" customFormat="false" ht="15" hidden="false" customHeight="false" outlineLevel="0" collapsed="false">
      <c r="A1168" s="5" t="s">
        <v>510</v>
      </c>
      <c r="B1168" s="0" t="s">
        <v>252</v>
      </c>
      <c r="C1168" s="16" t="n">
        <f aca="false">C1166-C1167</f>
        <v>173.1</v>
      </c>
      <c r="D1168" s="16" t="n">
        <f aca="false">D1166-D1167</f>
        <v>424.5435</v>
      </c>
      <c r="E1168" s="16" t="n">
        <f aca="false">E1166-E1167</f>
        <v>670.665131514885</v>
      </c>
      <c r="F1168" s="16" t="n">
        <f aca="false">F1166-F1167</f>
        <v>884.748091172081</v>
      </c>
      <c r="G1168" s="16" t="n">
        <f aca="false">G1166-G1167</f>
        <v>958.759474561254</v>
      </c>
    </row>
    <row r="1169" customFormat="false" ht="15" hidden="false" customHeight="false" outlineLevel="0" collapsed="false">
      <c r="A1169" s="5" t="s">
        <v>555</v>
      </c>
      <c r="B1169" s="0" t="s">
        <v>69</v>
      </c>
      <c r="C1169" s="10" t="n">
        <f aca="false">C1168/C1163</f>
        <v>0.292744799594115</v>
      </c>
      <c r="D1169" s="10" t="n">
        <f aca="false">D1168/D1163</f>
        <v>0.429947945677162</v>
      </c>
      <c r="E1169" s="10" t="n">
        <f aca="false">E1168/E1163</f>
        <v>0.480124075646774</v>
      </c>
      <c r="F1169" s="10" t="n">
        <f aca="false">F1168/F1163</f>
        <v>0.504752084225791</v>
      </c>
      <c r="G1169" s="10" t="n">
        <f aca="false">G1168/G1163</f>
        <v>0.510383601338453</v>
      </c>
    </row>
    <row r="1170" customFormat="false" ht="15" hidden="false" customHeight="false" outlineLevel="0" collapsed="false">
      <c r="A1170" s="5" t="s">
        <v>515</v>
      </c>
      <c r="B1170" s="0" t="s">
        <v>252</v>
      </c>
      <c r="C1170" s="16" t="n">
        <f aca="false">a25_ni</f>
        <v>131.6</v>
      </c>
      <c r="D1170" s="16" t="n">
        <f aca="false">ni26</f>
        <v>348.2641275</v>
      </c>
      <c r="E1170" s="16" t="n">
        <f aca="false">(E1168-fin)*(1-tax)</f>
        <v>562.825338760375</v>
      </c>
      <c r="F1170" s="16" t="n">
        <f aca="false">(F1168-fin)*(1-tax)</f>
        <v>748.00709886385</v>
      </c>
      <c r="G1170" s="16" t="n">
        <f aca="false">(G1168-fin)*(1-tax)</f>
        <v>812.026945495485</v>
      </c>
    </row>
    <row r="1171" customFormat="false" ht="15" hidden="false" customHeight="false" outlineLevel="0" collapsed="false">
      <c r="A1171" s="0" t="s">
        <v>556</v>
      </c>
      <c r="B1171" s="0" t="s">
        <v>271</v>
      </c>
      <c r="C1171" s="18" t="n">
        <f aca="false">a25_eps</f>
        <v>1.66</v>
      </c>
      <c r="D1171" s="18" t="n">
        <f aca="false">eps26</f>
        <v>4.3364299400653</v>
      </c>
      <c r="E1171" s="18" t="n">
        <f aca="false">E1170/shares</f>
        <v>6.98281437081436</v>
      </c>
      <c r="F1171" s="18" t="n">
        <f aca="false">F1170/shares</f>
        <v>9.28031195418769</v>
      </c>
      <c r="G1171" s="18" t="n">
        <f aca="false">G1170/shares</f>
        <v>10.0745880364645</v>
      </c>
    </row>
    <row r="1172" customFormat="false" ht="17.15" hidden="false" customHeight="false" outlineLevel="0" collapsed="false">
      <c r="A1172" s="5" t="s">
        <v>596</v>
      </c>
      <c r="B1172" s="5" t="s">
        <v>390</v>
      </c>
      <c r="C1172" s="19" t="n">
        <f aca="false">C1161/asp</f>
        <v>48</v>
      </c>
      <c r="D1172" s="19" t="n">
        <f aca="false">D1161/asp</f>
        <v>98.743</v>
      </c>
      <c r="E1172" s="19" t="n">
        <f aca="false">E1161/asp</f>
        <v>203.640171318924</v>
      </c>
      <c r="F1172" s="19" t="n">
        <f aca="false">F1161/asp</f>
        <v>300.789755314226</v>
      </c>
      <c r="G1172" s="19" t="n">
        <f aca="false">G1161/asp</f>
        <v>327.256444384002</v>
      </c>
    </row>
    <row r="1185" customFormat="false" ht="17.15" hidden="false" customHeight="false" outlineLevel="0" collapsed="false">
      <c r="A1185" s="4" t="s">
        <v>918</v>
      </c>
    </row>
    <row r="1186" customFormat="false" ht="15" hidden="false" customHeight="false" outlineLevel="0" collapsed="false">
      <c r="A1186" s="6" t="s">
        <v>21</v>
      </c>
      <c r="B1186" s="6" t="s">
        <v>22</v>
      </c>
      <c r="C1186" s="14" t="s">
        <v>524</v>
      </c>
      <c r="D1186" s="14" t="s">
        <v>525</v>
      </c>
      <c r="E1186" s="14" t="s">
        <v>526</v>
      </c>
      <c r="F1186" s="14" t="s">
        <v>527</v>
      </c>
      <c r="G1186" s="14" t="s">
        <v>528</v>
      </c>
      <c r="H1186" s="14" t="s">
        <v>529</v>
      </c>
      <c r="I1186" s="6" t="s">
        <v>427</v>
      </c>
    </row>
    <row r="1187" customFormat="false" ht="17.15" hidden="false" customHeight="false" outlineLevel="0" collapsed="false">
      <c r="A1187" s="1" t="s">
        <v>559</v>
      </c>
    </row>
    <row r="1188" customFormat="false" ht="17.15" hidden="false" customHeight="false" outlineLevel="0" collapsed="false">
      <c r="A1188" s="0" t="s">
        <v>560</v>
      </c>
      <c r="B1188" s="0" t="s">
        <v>32</v>
      </c>
      <c r="C1188" s="18" t="n">
        <f aca="false">hsA_25</f>
        <v>2.22511470588235</v>
      </c>
      <c r="D1188" s="18" t="n">
        <f aca="false">hsA_26</f>
        <v>3.782695</v>
      </c>
      <c r="E1188" s="18" t="n">
        <f aca="false">hsA_27</f>
        <v>5.86317725</v>
      </c>
      <c r="F1188" s="18" t="n">
        <f aca="false">hsA_28</f>
        <v>8.5016070125</v>
      </c>
      <c r="G1188" s="18" t="n">
        <f aca="false">hsA_29</f>
        <v>11.477169466875</v>
      </c>
      <c r="H1188" s="18" t="n">
        <f aca="false">G1188*(1+g_tail)</f>
        <v>12.6248864135625</v>
      </c>
      <c r="I1188" s="8" t="s">
        <v>561</v>
      </c>
    </row>
    <row r="1189" customFormat="false" ht="17.15" hidden="false" customHeight="false" outlineLevel="0" collapsed="false">
      <c r="A1189" s="0" t="s">
        <v>562</v>
      </c>
      <c r="B1189" s="0" t="s">
        <v>563</v>
      </c>
      <c r="C1189" s="20" t="n">
        <f aca="false">den_25</f>
        <v>24</v>
      </c>
      <c r="D1189" s="20" t="n">
        <f aca="false">den_26</f>
        <v>24</v>
      </c>
      <c r="E1189" s="20" t="n">
        <f aca="false">den_27</f>
        <v>26</v>
      </c>
      <c r="F1189" s="20" t="n">
        <f aca="false">den_28</f>
        <v>28</v>
      </c>
      <c r="G1189" s="20" t="n">
        <f aca="false">den_29</f>
        <v>30</v>
      </c>
      <c r="H1189" s="20" t="n">
        <f aca="false">den_30</f>
        <v>32</v>
      </c>
    </row>
    <row r="1190" customFormat="false" ht="17.15" hidden="false" customHeight="false" outlineLevel="0" collapsed="false">
      <c r="A1190" s="5" t="s">
        <v>564</v>
      </c>
      <c r="B1190" s="5" t="s">
        <v>533</v>
      </c>
      <c r="C1190" s="19" t="n">
        <f aca="false">C1188*8000/C1189</f>
        <v>741.704901960783</v>
      </c>
      <c r="D1190" s="19" t="n">
        <f aca="false">D1188*8000/D1189</f>
        <v>1260.89833333333</v>
      </c>
      <c r="E1190" s="19" t="n">
        <f aca="false">E1188*8000/E1189</f>
        <v>1804.05453846154</v>
      </c>
      <c r="F1190" s="19" t="n">
        <f aca="false">F1188*8000/F1189</f>
        <v>2429.030575</v>
      </c>
      <c r="G1190" s="19" t="n">
        <f aca="false">G1188*8000/G1189</f>
        <v>3060.5785245</v>
      </c>
      <c r="H1190" s="19" t="n">
        <f aca="false">H1188*8000/H1189</f>
        <v>3156.22160339063</v>
      </c>
      <c r="I1190" s="8" t="s">
        <v>565</v>
      </c>
    </row>
    <row r="1191" customFormat="false" ht="15" hidden="false" customHeight="false" outlineLevel="0" collapsed="false">
      <c r="A1191" s="5" t="s">
        <v>566</v>
      </c>
      <c r="B1191" s="5" t="s">
        <v>96</v>
      </c>
      <c r="C1191" s="20" t="n">
        <f aca="false">stk_25</f>
        <v>10</v>
      </c>
      <c r="D1191" s="20" t="n">
        <f aca="false">stk_26</f>
        <v>12</v>
      </c>
      <c r="E1191" s="20" t="n">
        <f aca="false">stk_27</f>
        <v>12.5</v>
      </c>
      <c r="F1191" s="20" t="n">
        <f aca="false">stk_28</f>
        <v>14</v>
      </c>
      <c r="G1191" s="20" t="n">
        <f aca="false">stk_29</f>
        <v>15</v>
      </c>
      <c r="H1191" s="20" t="n">
        <f aca="false">stk_30</f>
        <v>16</v>
      </c>
    </row>
    <row r="1192" customFormat="false" ht="15" hidden="false" customHeight="false" outlineLevel="0" collapsed="false">
      <c r="A1192" s="5" t="s">
        <v>567</v>
      </c>
      <c r="B1192" s="0" t="s">
        <v>116</v>
      </c>
      <c r="C1192" s="21" t="n">
        <f aca="false">1+beta*(C1191-$C1191)/4</f>
        <v>1</v>
      </c>
      <c r="D1192" s="21" t="n">
        <f aca="false">1+beta*(D1191-$C1191)/4</f>
        <v>1.05</v>
      </c>
      <c r="E1192" s="21" t="n">
        <f aca="false">1+beta*(E1191-$C1191)/4</f>
        <v>1.0625</v>
      </c>
      <c r="F1192" s="21" t="n">
        <f aca="false">1+beta*(F1191-$C1191)/4</f>
        <v>1.1</v>
      </c>
      <c r="G1192" s="21" t="n">
        <f aca="false">1+beta*(G1191-$C1191)/4</f>
        <v>1.125</v>
      </c>
      <c r="H1192" s="21" t="n">
        <f aca="false">1+beta*(H1191-$C1191)/4</f>
        <v>1.15</v>
      </c>
    </row>
    <row r="1193" customFormat="false" ht="17.15" hidden="false" customHeight="false" outlineLevel="0" collapsed="false">
      <c r="A1193" s="5" t="s">
        <v>568</v>
      </c>
      <c r="B1193" s="0" t="s">
        <v>69</v>
      </c>
      <c r="C1193" s="10" t="n">
        <f aca="false">hbp_25_hi</f>
        <v>0</v>
      </c>
      <c r="D1193" s="10" t="n">
        <f aca="false">hbp_26_hi</f>
        <v>0</v>
      </c>
      <c r="E1193" s="10" t="n">
        <f aca="false">hbp_27_hi</f>
        <v>0.05</v>
      </c>
      <c r="F1193" s="10" t="n">
        <f aca="false">hbp_28_hi</f>
        <v>0.15</v>
      </c>
      <c r="G1193" s="10" t="n">
        <f aca="false">hbp_29_hi</f>
        <v>0.3</v>
      </c>
      <c r="H1193" s="10" t="n">
        <f aca="false">hbp_30_hi</f>
        <v>0.4</v>
      </c>
      <c r="I1193" s="5" t="s">
        <v>569</v>
      </c>
    </row>
    <row r="1194" customFormat="false" ht="17.15" hidden="false" customHeight="false" outlineLevel="0" collapsed="false">
      <c r="A1194" s="5" t="s">
        <v>570</v>
      </c>
      <c r="B1194" s="5" t="s">
        <v>571</v>
      </c>
      <c r="C1194" s="19" t="n">
        <f aca="false">C1190*C1192*C1193</f>
        <v>0</v>
      </c>
      <c r="D1194" s="19" t="n">
        <f aca="false">D1190*D1192*D1193</f>
        <v>0</v>
      </c>
      <c r="E1194" s="19" t="n">
        <f aca="false">E1190*E1192*E1193</f>
        <v>95.8403973557692</v>
      </c>
      <c r="F1194" s="19" t="n">
        <f aca="false">F1190*F1192*F1193</f>
        <v>400.790044875</v>
      </c>
      <c r="G1194" s="19" t="n">
        <f aca="false">G1190*G1192*G1193</f>
        <v>1032.94525201875</v>
      </c>
      <c r="H1194" s="19" t="n">
        <f aca="false">H1190*H1192*H1193</f>
        <v>1451.86193755969</v>
      </c>
    </row>
    <row r="1195" customFormat="false" ht="17.15" hidden="false" customHeight="false" outlineLevel="0" collapsed="false">
      <c r="A1195" s="5" t="s">
        <v>572</v>
      </c>
      <c r="B1195" s="5" t="s">
        <v>390</v>
      </c>
      <c r="C1195" s="19" t="n">
        <f aca="false">C1194/thr</f>
        <v>0</v>
      </c>
      <c r="D1195" s="19" t="n">
        <f aca="false">D1194/thr</f>
        <v>0</v>
      </c>
      <c r="E1195" s="19" t="n">
        <f aca="false">E1194/thr</f>
        <v>15.6295494709343</v>
      </c>
      <c r="F1195" s="19" t="n">
        <f aca="false">F1194/thr</f>
        <v>65.3604117539139</v>
      </c>
      <c r="G1195" s="19" t="n">
        <f aca="false">G1194/thr</f>
        <v>168.451606656678</v>
      </c>
      <c r="H1195" s="19" t="n">
        <f aca="false">H1194/thr</f>
        <v>236.768091578553</v>
      </c>
    </row>
    <row r="1196" customFormat="false" ht="17.15" hidden="false" customHeight="false" outlineLevel="0" collapsed="false">
      <c r="A1196" s="5" t="s">
        <v>573</v>
      </c>
      <c r="B1196" s="5" t="s">
        <v>390</v>
      </c>
      <c r="C1196" s="19" t="n">
        <f aca="false">MAX(0,D1195-C1195)+dlt*C1195</f>
        <v>0</v>
      </c>
      <c r="D1196" s="19" t="n">
        <f aca="false">MAX(0,E1195-D1195)+dlt*D1195</f>
        <v>15.6295494709343</v>
      </c>
      <c r="E1196" s="19" t="n">
        <f aca="false">MAX(0,F1195-E1195)+dlt*E1195</f>
        <v>51.293817230073</v>
      </c>
      <c r="F1196" s="19" t="n">
        <f aca="false">MAX(0,G1195-F1195)+dlt*F1195</f>
        <v>109.627236078156</v>
      </c>
      <c r="G1196" s="19" t="n">
        <f aca="false">MAX(0,H1195-G1195)+dlt*G1195</f>
        <v>85.1616455875428</v>
      </c>
      <c r="I1196" s="5" t="s">
        <v>574</v>
      </c>
    </row>
    <row r="1197" customFormat="false" ht="17.15" hidden="false" customHeight="false" outlineLevel="0" collapsed="false">
      <c r="A1197" s="1" t="s">
        <v>575</v>
      </c>
    </row>
    <row r="1198" customFormat="false" ht="17.15" hidden="false" customHeight="false" outlineLevel="0" collapsed="false">
      <c r="A1198" s="0" t="s">
        <v>576</v>
      </c>
      <c r="B1198" s="5" t="s">
        <v>146</v>
      </c>
      <c r="D1198" s="19" t="n">
        <f aca="false">cow_26*1</f>
        <v>1107.85762580894</v>
      </c>
      <c r="E1198" s="19" t="n">
        <f aca="false">cow_27*1</f>
        <v>2096.42857142857</v>
      </c>
      <c r="F1198" s="19" t="n">
        <f aca="false">cow_28*um28_A</f>
        <v>2620.08928571429</v>
      </c>
      <c r="G1198" s="19" t="n">
        <f aca="false">cow_29*um29_A</f>
        <v>3013.32589285714</v>
      </c>
      <c r="H1198" s="19" t="n">
        <f aca="false">G1198*(1+g_tail)</f>
        <v>3314.65848214285</v>
      </c>
      <c r="I1198" s="8" t="s">
        <v>577</v>
      </c>
    </row>
    <row r="1199" customFormat="false" ht="17.15" hidden="false" customHeight="false" outlineLevel="0" collapsed="false">
      <c r="A1199" s="5" t="s">
        <v>578</v>
      </c>
      <c r="B1199" s="0" t="s">
        <v>69</v>
      </c>
      <c r="D1199" s="10" t="n">
        <f aca="false">attA_26</f>
        <v>0.08</v>
      </c>
      <c r="E1199" s="10" t="n">
        <f aca="false">attA_27</f>
        <v>0.11</v>
      </c>
      <c r="F1199" s="10" t="n">
        <f aca="false">attA_28</f>
        <v>0.18</v>
      </c>
      <c r="G1199" s="10" t="n">
        <f aca="false">attA_29</f>
        <v>0.26</v>
      </c>
      <c r="H1199" s="10" t="n">
        <f aca="false">attA_30</f>
        <v>0.34</v>
      </c>
    </row>
    <row r="1200" customFormat="false" ht="15" hidden="false" customHeight="false" outlineLevel="0" collapsed="false">
      <c r="A1200" s="5" t="s">
        <v>579</v>
      </c>
      <c r="B1200" s="5" t="s">
        <v>539</v>
      </c>
      <c r="D1200" s="16" t="n">
        <f aca="false">D1198*D1199</f>
        <v>88.6286100647152</v>
      </c>
      <c r="E1200" s="16" t="n">
        <f aca="false">E1198*E1199</f>
        <v>230.607142857143</v>
      </c>
      <c r="F1200" s="16" t="n">
        <f aca="false">F1198*F1199</f>
        <v>471.616071428572</v>
      </c>
      <c r="G1200" s="16" t="n">
        <f aca="false">G1198*G1199</f>
        <v>783.464732142856</v>
      </c>
      <c r="H1200" s="16" t="n">
        <f aca="false">H1198*H1199</f>
        <v>1126.98388392857</v>
      </c>
    </row>
    <row r="1201" customFormat="false" ht="17.15" hidden="false" customHeight="false" outlineLevel="0" collapsed="false">
      <c r="A1201" s="5" t="s">
        <v>580</v>
      </c>
      <c r="B1201" s="5" t="s">
        <v>539</v>
      </c>
      <c r="D1201" s="16" t="n">
        <f aca="false">MAX(0,E1200-D1200)+dlt*D1200</f>
        <v>150.841393798899</v>
      </c>
      <c r="E1201" s="16" t="n">
        <f aca="false">MAX(0,F1200-E1200)+dlt*E1200</f>
        <v>264.069642857144</v>
      </c>
      <c r="F1201" s="16" t="n">
        <f aca="false">MAX(0,G1200-F1200)+dlt*F1200</f>
        <v>359.010267857141</v>
      </c>
      <c r="G1201" s="16" t="n">
        <f aca="false">MAX(0,H1200-G1200)+dlt*G1200</f>
        <v>421.865625</v>
      </c>
    </row>
    <row r="1202" customFormat="false" ht="17.15" hidden="false" customHeight="false" outlineLevel="0" collapsed="false">
      <c r="A1202" s="1" t="s">
        <v>581</v>
      </c>
    </row>
    <row r="1203" customFormat="false" ht="17.15" hidden="false" customHeight="false" outlineLevel="0" collapsed="false">
      <c r="A1203" s="0" t="s">
        <v>582</v>
      </c>
      <c r="B1203" s="0" t="s">
        <v>252</v>
      </c>
      <c r="C1203" s="16" t="n">
        <f aca="false">0</f>
        <v>0</v>
      </c>
      <c r="D1203" s="16" t="n">
        <f aca="false">hbm26</f>
        <v>0</v>
      </c>
      <c r="E1203" s="16" t="n">
        <f aca="false">E1196*asp*shm_A</f>
        <v>76.9407258451095</v>
      </c>
      <c r="F1203" s="16" t="n">
        <f aca="false">F1196*asp*shm_A</f>
        <v>164.440854117233</v>
      </c>
      <c r="G1203" s="16" t="n">
        <f aca="false">G1196*asp*shm_A</f>
        <v>127.742468381314</v>
      </c>
      <c r="I1203" s="8" t="s">
        <v>583</v>
      </c>
    </row>
    <row r="1204" customFormat="false" ht="17.15" hidden="false" customHeight="false" outlineLevel="0" collapsed="false">
      <c r="A1204" s="5" t="s">
        <v>584</v>
      </c>
      <c r="B1204" s="0" t="s">
        <v>252</v>
      </c>
      <c r="C1204" s="16" t="n">
        <f aca="false">hb25</f>
        <v>120</v>
      </c>
      <c r="D1204" s="16" t="n">
        <f aca="false">(q1_rev+q2_rev+q3_rev+q3_rev*(1+q4g_hi))*hb_sh26-hbm26</f>
        <v>253.9425</v>
      </c>
      <c r="E1204" s="16" t="n">
        <f aca="false">$D1205*E1201*shl_A</f>
        <v>444.563018097355</v>
      </c>
      <c r="F1204" s="16" t="n">
        <f aca="false">$D1205*F1201*shl_A</f>
        <v>604.396198213713</v>
      </c>
      <c r="G1204" s="16" t="n">
        <f aca="false">$D1205*G1201*shl_A</f>
        <v>710.213614303956</v>
      </c>
      <c r="I1204" s="8" t="s">
        <v>585</v>
      </c>
    </row>
    <row r="1205" customFormat="false" ht="17.15" hidden="false" customHeight="false" outlineLevel="0" collapsed="false">
      <c r="A1205" s="5" t="s">
        <v>586</v>
      </c>
      <c r="B1205" s="0" t="s">
        <v>587</v>
      </c>
      <c r="D1205" s="21" t="n">
        <f aca="false">D1204/D1201</f>
        <v>1.68350671924018</v>
      </c>
      <c r="I1205" s="5" t="s">
        <v>588</v>
      </c>
    </row>
    <row r="1206" customFormat="false" ht="15" hidden="false" customHeight="false" outlineLevel="0" collapsed="false">
      <c r="A1206" s="5" t="s">
        <v>589</v>
      </c>
      <c r="B1206" s="0" t="s">
        <v>252</v>
      </c>
      <c r="C1206" s="16" t="n">
        <f aca="false">C1203+C1204</f>
        <v>120</v>
      </c>
      <c r="D1206" s="16" t="n">
        <f aca="false">D1203+D1204</f>
        <v>253.9425</v>
      </c>
      <c r="E1206" s="16" t="n">
        <f aca="false">E1203+E1204</f>
        <v>521.503743942465</v>
      </c>
      <c r="F1206" s="16" t="n">
        <f aca="false">F1203+F1204</f>
        <v>768.837052330946</v>
      </c>
      <c r="G1206" s="16" t="n">
        <f aca="false">G1203+G1204</f>
        <v>837.95608268527</v>
      </c>
    </row>
    <row r="1207" customFormat="false" ht="17.15" hidden="false" customHeight="false" outlineLevel="0" collapsed="false">
      <c r="A1207" s="5" t="s">
        <v>590</v>
      </c>
      <c r="B1207" s="0" t="s">
        <v>252</v>
      </c>
      <c r="C1207" s="16" t="n">
        <f aca="false">a25_rev-hb25</f>
        <v>471.3</v>
      </c>
      <c r="D1207" s="16" t="n">
        <f aca="false">(q1_rev+q2_rev+q3_rev+q3_rev*(1+q4g_hi))-D1206</f>
        <v>761.8275</v>
      </c>
      <c r="E1207" s="16" t="n">
        <f aca="false">D1207*(1+el*eqgA_27)</f>
        <v>913.236843806872</v>
      </c>
      <c r="F1207" s="16" t="n">
        <f aca="false">E1207*(1+el*eqgA_28)</f>
        <v>1029.5880607829</v>
      </c>
      <c r="G1207" s="16" t="n">
        <f aca="false">F1207*(1+el*eqgA_29)</f>
        <v>1090.79982341042</v>
      </c>
      <c r="I1207" s="8" t="s">
        <v>591</v>
      </c>
    </row>
    <row r="1208" customFormat="false" ht="15" hidden="false" customHeight="false" outlineLevel="0" collapsed="false">
      <c r="A1208" s="5" t="s">
        <v>499</v>
      </c>
      <c r="B1208" s="0" t="s">
        <v>252</v>
      </c>
      <c r="C1208" s="16" t="n">
        <f aca="false">C1206+C1207</f>
        <v>591.3</v>
      </c>
      <c r="D1208" s="16" t="n">
        <f aca="false">D1206+D1207</f>
        <v>1015.77</v>
      </c>
      <c r="E1208" s="16" t="n">
        <f aca="false">E1206+E1207</f>
        <v>1434.74058774934</v>
      </c>
      <c r="F1208" s="16" t="n">
        <f aca="false">F1206+F1207</f>
        <v>1798.42511311385</v>
      </c>
      <c r="G1208" s="16" t="n">
        <f aca="false">G1206+G1207</f>
        <v>1928.75590609569</v>
      </c>
    </row>
    <row r="1209" customFormat="false" ht="15" hidden="false" customHeight="false" outlineLevel="0" collapsed="false">
      <c r="A1209" s="5" t="s">
        <v>592</v>
      </c>
      <c r="B1209" s="0" t="s">
        <v>69</v>
      </c>
      <c r="C1209" s="10" t="n">
        <f aca="false">C1206/C1208</f>
        <v>0.202942668696093</v>
      </c>
      <c r="D1209" s="10" t="n">
        <f aca="false">D1206/D1208</f>
        <v>0.25</v>
      </c>
      <c r="E1209" s="10" t="n">
        <f aca="false">E1206/E1208</f>
        <v>0.363482951827927</v>
      </c>
      <c r="F1209" s="10" t="n">
        <f aca="false">F1206/F1208</f>
        <v>0.427505736393859</v>
      </c>
      <c r="G1209" s="10" t="n">
        <f aca="false">G1206/G1208</f>
        <v>0.434454188856647</v>
      </c>
    </row>
    <row r="1210" customFormat="false" ht="17.15" hidden="false" customHeight="false" outlineLevel="0" collapsed="false">
      <c r="A1210" s="5" t="s">
        <v>506</v>
      </c>
      <c r="B1210" s="0" t="s">
        <v>69</v>
      </c>
      <c r="C1210" s="10" t="n">
        <f aca="false">a25_gp/a25_rev</f>
        <v>0.633012007441231</v>
      </c>
      <c r="D1210" s="10" t="n">
        <f aca="false">gp26/(q1_rev+q2_rev+q3_rev+q3_rev*(1+q4g_hi))</f>
        <v>0.637620721226262</v>
      </c>
      <c r="E1210" s="10" t="n">
        <f aca="false">$D1210+gm_prem*(E1209-$D1209)+0</f>
        <v>0.646699357372496</v>
      </c>
      <c r="F1210" s="10" t="n">
        <f aca="false">$D1210+gm_prem*(F1209-$D1209)+0</f>
        <v>0.651821180137771</v>
      </c>
      <c r="G1210" s="10" t="n">
        <f aca="false">$D1210+gm_prem*(G1209-$D1209)+0</f>
        <v>0.652377056334794</v>
      </c>
      <c r="I1210" s="8" t="s">
        <v>593</v>
      </c>
    </row>
    <row r="1211" customFormat="false" ht="15" hidden="false" customHeight="false" outlineLevel="0" collapsed="false">
      <c r="A1211" s="5" t="s">
        <v>502</v>
      </c>
      <c r="B1211" s="0" t="s">
        <v>252</v>
      </c>
      <c r="C1211" s="16" t="n">
        <f aca="false">a25_gp</f>
        <v>374.3</v>
      </c>
      <c r="D1211" s="16" t="n">
        <f aca="false">gp26</f>
        <v>647.676</v>
      </c>
      <c r="E1211" s="16" t="n">
        <f aca="false">E1208*E1210</f>
        <v>927.845816093733</v>
      </c>
      <c r="F1211" s="16" t="n">
        <f aca="false">F1208*F1210</f>
        <v>1172.25157961927</v>
      </c>
      <c r="G1211" s="16" t="n">
        <f aca="false">G1208*G1210</f>
        <v>1258.27610040705</v>
      </c>
    </row>
    <row r="1212" customFormat="false" ht="17.15" hidden="false" customHeight="false" outlineLevel="0" collapsed="false">
      <c r="A1212" s="5" t="s">
        <v>594</v>
      </c>
      <c r="B1212" s="0" t="s">
        <v>252</v>
      </c>
      <c r="C1212" s="16" t="n">
        <f aca="false">a25_opx</f>
        <v>201.2</v>
      </c>
      <c r="D1212" s="16" t="n">
        <f aca="false">opx26</f>
        <v>223.1325</v>
      </c>
      <c r="E1212" s="16" t="n">
        <f aca="false">opex_fix+opex_var*E1208</f>
        <v>261.72984113258</v>
      </c>
      <c r="F1212" s="16" t="n">
        <f aca="false">opex_fix+opex_var*F1208</f>
        <v>294.137923143721</v>
      </c>
      <c r="G1212" s="16" t="n">
        <f aca="false">opex_fix+opex_var*G1208</f>
        <v>305.751755278313</v>
      </c>
      <c r="I1212" s="5" t="s">
        <v>595</v>
      </c>
    </row>
    <row r="1213" customFormat="false" ht="15" hidden="false" customHeight="false" outlineLevel="0" collapsed="false">
      <c r="A1213" s="5" t="s">
        <v>510</v>
      </c>
      <c r="B1213" s="0" t="s">
        <v>252</v>
      </c>
      <c r="C1213" s="16" t="n">
        <f aca="false">C1211-C1212</f>
        <v>173.1</v>
      </c>
      <c r="D1213" s="16" t="n">
        <f aca="false">D1211-D1212</f>
        <v>424.5435</v>
      </c>
      <c r="E1213" s="16" t="n">
        <f aca="false">E1211-E1212</f>
        <v>666.115974961154</v>
      </c>
      <c r="F1213" s="16" t="n">
        <f aca="false">F1211-F1212</f>
        <v>878.113656475553</v>
      </c>
      <c r="G1213" s="16" t="n">
        <f aca="false">G1211-G1212</f>
        <v>952.52434512874</v>
      </c>
    </row>
    <row r="1214" customFormat="false" ht="15" hidden="false" customHeight="false" outlineLevel="0" collapsed="false">
      <c r="A1214" s="5" t="s">
        <v>555</v>
      </c>
      <c r="B1214" s="0" t="s">
        <v>69</v>
      </c>
      <c r="C1214" s="10" t="n">
        <f aca="false">C1213/C1208</f>
        <v>0.292744799594115</v>
      </c>
      <c r="D1214" s="10" t="n">
        <f aca="false">D1213/D1208</f>
        <v>0.417952390797129</v>
      </c>
      <c r="E1214" s="10" t="n">
        <f aca="false">E1213/E1208</f>
        <v>0.464276246625241</v>
      </c>
      <c r="F1214" s="10" t="n">
        <f aca="false">F1213/F1208</f>
        <v>0.488268124189591</v>
      </c>
      <c r="G1214" s="10" t="n">
        <f aca="false">G1213/G1208</f>
        <v>0.493854272652313</v>
      </c>
    </row>
    <row r="1215" customFormat="false" ht="15" hidden="false" customHeight="false" outlineLevel="0" collapsed="false">
      <c r="A1215" s="5" t="s">
        <v>515</v>
      </c>
      <c r="B1215" s="0" t="s">
        <v>252</v>
      </c>
      <c r="C1215" s="16" t="n">
        <f aca="false">a25_ni</f>
        <v>131.6</v>
      </c>
      <c r="D1215" s="16" t="n">
        <f aca="false">ni26</f>
        <v>348.2641275</v>
      </c>
      <c r="E1215" s="16" t="n">
        <f aca="false">(E1213-fin)*(1-tax)</f>
        <v>558.890318341398</v>
      </c>
      <c r="F1215" s="16" t="n">
        <f aca="false">(F1213-fin)*(1-tax)</f>
        <v>742.268312851353</v>
      </c>
      <c r="G1215" s="16" t="n">
        <f aca="false">(G1213-fin)*(1-tax)</f>
        <v>806.63355853636</v>
      </c>
    </row>
    <row r="1216" customFormat="false" ht="15" hidden="false" customHeight="false" outlineLevel="0" collapsed="false">
      <c r="A1216" s="0" t="s">
        <v>556</v>
      </c>
      <c r="B1216" s="0" t="s">
        <v>271</v>
      </c>
      <c r="C1216" s="18" t="n">
        <f aca="false">a25_eps</f>
        <v>1.66</v>
      </c>
      <c r="D1216" s="18" t="n">
        <f aca="false">eps26</f>
        <v>4.3364299400653</v>
      </c>
      <c r="E1216" s="18" t="n">
        <f aca="false">E1215/shares</f>
        <v>6.93399368837742</v>
      </c>
      <c r="F1216" s="18" t="n">
        <f aca="false">F1215/shares</f>
        <v>9.20911246354757</v>
      </c>
      <c r="G1216" s="18" t="n">
        <f aca="false">G1215/shares</f>
        <v>10.0076738139306</v>
      </c>
    </row>
    <row r="1217" customFormat="false" ht="17.15" hidden="false" customHeight="false" outlineLevel="0" collapsed="false">
      <c r="A1217" s="5" t="s">
        <v>596</v>
      </c>
      <c r="B1217" s="5" t="s">
        <v>390</v>
      </c>
      <c r="C1217" s="19" t="n">
        <f aca="false">C1206/asp</f>
        <v>48</v>
      </c>
      <c r="D1217" s="19" t="n">
        <f aca="false">D1206/asp</f>
        <v>101.577</v>
      </c>
      <c r="E1217" s="19" t="n">
        <f aca="false">E1206/asp</f>
        <v>208.601497576986</v>
      </c>
      <c r="F1217" s="19" t="n">
        <f aca="false">F1206/asp</f>
        <v>307.534820932379</v>
      </c>
      <c r="G1217" s="19" t="n">
        <f aca="false">G1206/asp</f>
        <v>335.182433074108</v>
      </c>
    </row>
    <row r="1230" customFormat="false" ht="17.15" hidden="false" customHeight="false" outlineLevel="0" collapsed="false">
      <c r="A1230" s="4" t="s">
        <v>919</v>
      </c>
    </row>
    <row r="1231" customFormat="false" ht="15" hidden="false" customHeight="false" outlineLevel="0" collapsed="false">
      <c r="A1231" s="6" t="s">
        <v>21</v>
      </c>
      <c r="B1231" s="6" t="s">
        <v>22</v>
      </c>
      <c r="C1231" s="14" t="s">
        <v>524</v>
      </c>
      <c r="D1231" s="14" t="s">
        <v>525</v>
      </c>
      <c r="E1231" s="14" t="s">
        <v>526</v>
      </c>
      <c r="F1231" s="14" t="s">
        <v>527</v>
      </c>
      <c r="G1231" s="14" t="s">
        <v>528</v>
      </c>
      <c r="H1231" s="14" t="s">
        <v>529</v>
      </c>
      <c r="I1231" s="6" t="s">
        <v>427</v>
      </c>
    </row>
    <row r="1232" customFormat="false" ht="17.15" hidden="false" customHeight="false" outlineLevel="0" collapsed="false">
      <c r="A1232" s="1" t="s">
        <v>559</v>
      </c>
    </row>
    <row r="1233" customFormat="false" ht="17.15" hidden="false" customHeight="false" outlineLevel="0" collapsed="false">
      <c r="A1233" s="0" t="s">
        <v>560</v>
      </c>
      <c r="B1233" s="0" t="s">
        <v>32</v>
      </c>
      <c r="C1233" s="18" t="n">
        <f aca="false">hsA_25</f>
        <v>2.22511470588235</v>
      </c>
      <c r="D1233" s="18" t="n">
        <f aca="false">hsA_26</f>
        <v>3.782695</v>
      </c>
      <c r="E1233" s="18" t="n">
        <f aca="false">hsA_27</f>
        <v>5.86317725</v>
      </c>
      <c r="F1233" s="18" t="n">
        <f aca="false">hsA_28</f>
        <v>8.5016070125</v>
      </c>
      <c r="G1233" s="18" t="n">
        <f aca="false">hsA_29</f>
        <v>11.477169466875</v>
      </c>
      <c r="H1233" s="18" t="n">
        <f aca="false">G1233*(1+g_tail)</f>
        <v>12.6248864135625</v>
      </c>
      <c r="I1233" s="8" t="s">
        <v>561</v>
      </c>
    </row>
    <row r="1234" customFormat="false" ht="17.15" hidden="false" customHeight="false" outlineLevel="0" collapsed="false">
      <c r="A1234" s="0" t="s">
        <v>562</v>
      </c>
      <c r="B1234" s="0" t="s">
        <v>563</v>
      </c>
      <c r="C1234" s="20" t="n">
        <f aca="false">den_25</f>
        <v>24</v>
      </c>
      <c r="D1234" s="20" t="n">
        <f aca="false">den_26</f>
        <v>24</v>
      </c>
      <c r="E1234" s="20" t="n">
        <f aca="false">den_27</f>
        <v>26</v>
      </c>
      <c r="F1234" s="20" t="n">
        <f aca="false">den_28</f>
        <v>28</v>
      </c>
      <c r="G1234" s="20" t="n">
        <f aca="false">den_29</f>
        <v>30</v>
      </c>
      <c r="H1234" s="20" t="n">
        <f aca="false">den_30</f>
        <v>32</v>
      </c>
    </row>
    <row r="1235" customFormat="false" ht="17.15" hidden="false" customHeight="false" outlineLevel="0" collapsed="false">
      <c r="A1235" s="5" t="s">
        <v>564</v>
      </c>
      <c r="B1235" s="5" t="s">
        <v>533</v>
      </c>
      <c r="C1235" s="19" t="n">
        <f aca="false">C1233*8000/C1234</f>
        <v>741.704901960783</v>
      </c>
      <c r="D1235" s="19" t="n">
        <f aca="false">D1233*8000/D1234</f>
        <v>1260.89833333333</v>
      </c>
      <c r="E1235" s="19" t="n">
        <f aca="false">E1233*8000/E1234</f>
        <v>1804.05453846154</v>
      </c>
      <c r="F1235" s="19" t="n">
        <f aca="false">F1233*8000/F1234</f>
        <v>2429.030575</v>
      </c>
      <c r="G1235" s="19" t="n">
        <f aca="false">G1233*8000/G1234</f>
        <v>3060.5785245</v>
      </c>
      <c r="H1235" s="19" t="n">
        <f aca="false">H1233*8000/H1234</f>
        <v>3156.22160339063</v>
      </c>
      <c r="I1235" s="8" t="s">
        <v>565</v>
      </c>
    </row>
    <row r="1236" customFormat="false" ht="15" hidden="false" customHeight="false" outlineLevel="0" collapsed="false">
      <c r="A1236" s="5" t="s">
        <v>566</v>
      </c>
      <c r="B1236" s="5" t="s">
        <v>96</v>
      </c>
      <c r="C1236" s="20" t="n">
        <f aca="false">stk_25</f>
        <v>10</v>
      </c>
      <c r="D1236" s="20" t="n">
        <f aca="false">stk_26</f>
        <v>12</v>
      </c>
      <c r="E1236" s="20" t="n">
        <f aca="false">stk_27</f>
        <v>12.5</v>
      </c>
      <c r="F1236" s="20" t="n">
        <f aca="false">stk_28</f>
        <v>14</v>
      </c>
      <c r="G1236" s="20" t="n">
        <f aca="false">stk_29</f>
        <v>15</v>
      </c>
      <c r="H1236" s="20" t="n">
        <f aca="false">stk_30</f>
        <v>16</v>
      </c>
    </row>
    <row r="1237" customFormat="false" ht="15" hidden="false" customHeight="false" outlineLevel="0" collapsed="false">
      <c r="A1237" s="5" t="s">
        <v>567</v>
      </c>
      <c r="B1237" s="0" t="s">
        <v>116</v>
      </c>
      <c r="C1237" s="21" t="n">
        <f aca="false">1+beta*(C1236-$C1236)/4</f>
        <v>1</v>
      </c>
      <c r="D1237" s="21" t="n">
        <f aca="false">1+beta*(D1236-$C1236)/4</f>
        <v>1.05</v>
      </c>
      <c r="E1237" s="21" t="n">
        <f aca="false">1+beta*(E1236-$C1236)/4</f>
        <v>1.0625</v>
      </c>
      <c r="F1237" s="21" t="n">
        <f aca="false">1+beta*(F1236-$C1236)/4</f>
        <v>1.1</v>
      </c>
      <c r="G1237" s="21" t="n">
        <f aca="false">1+beta*(G1236-$C1236)/4</f>
        <v>1.125</v>
      </c>
      <c r="H1237" s="21" t="n">
        <f aca="false">1+beta*(H1236-$C1236)/4</f>
        <v>1.15</v>
      </c>
    </row>
    <row r="1238" customFormat="false" ht="17.15" hidden="false" customHeight="false" outlineLevel="0" collapsed="false">
      <c r="A1238" s="5" t="s">
        <v>568</v>
      </c>
      <c r="B1238" s="0" t="s">
        <v>69</v>
      </c>
      <c r="C1238" s="10" t="n">
        <f aca="false">hbp_25_hi</f>
        <v>0</v>
      </c>
      <c r="D1238" s="10" t="n">
        <f aca="false">hbp_26_hi</f>
        <v>0</v>
      </c>
      <c r="E1238" s="10" t="n">
        <f aca="false">hbp_27_hi</f>
        <v>0.05</v>
      </c>
      <c r="F1238" s="10" t="n">
        <f aca="false">hbp_28_hi</f>
        <v>0.15</v>
      </c>
      <c r="G1238" s="10" t="n">
        <f aca="false">hbp_29_hi</f>
        <v>0.3</v>
      </c>
      <c r="H1238" s="10" t="n">
        <f aca="false">hbp_30_hi</f>
        <v>0.4</v>
      </c>
      <c r="I1238" s="5" t="s">
        <v>569</v>
      </c>
    </row>
    <row r="1239" customFormat="false" ht="17.15" hidden="false" customHeight="false" outlineLevel="0" collapsed="false">
      <c r="A1239" s="5" t="s">
        <v>570</v>
      </c>
      <c r="B1239" s="5" t="s">
        <v>571</v>
      </c>
      <c r="C1239" s="19" t="n">
        <f aca="false">C1235*C1237*C1238</f>
        <v>0</v>
      </c>
      <c r="D1239" s="19" t="n">
        <f aca="false">D1235*D1237*D1238</f>
        <v>0</v>
      </c>
      <c r="E1239" s="19" t="n">
        <f aca="false">E1235*E1237*E1238</f>
        <v>95.8403973557692</v>
      </c>
      <c r="F1239" s="19" t="n">
        <f aca="false">F1235*F1237*F1238</f>
        <v>400.790044875</v>
      </c>
      <c r="G1239" s="19" t="n">
        <f aca="false">G1235*G1237*G1238</f>
        <v>1032.94525201875</v>
      </c>
      <c r="H1239" s="19" t="n">
        <f aca="false">H1235*H1237*H1238</f>
        <v>1451.86193755969</v>
      </c>
    </row>
    <row r="1240" customFormat="false" ht="17.15" hidden="false" customHeight="false" outlineLevel="0" collapsed="false">
      <c r="A1240" s="5" t="s">
        <v>572</v>
      </c>
      <c r="B1240" s="5" t="s">
        <v>390</v>
      </c>
      <c r="C1240" s="19" t="n">
        <f aca="false">C1239/thr</f>
        <v>0</v>
      </c>
      <c r="D1240" s="19" t="n">
        <f aca="false">D1239/thr</f>
        <v>0</v>
      </c>
      <c r="E1240" s="19" t="n">
        <f aca="false">E1239/thr</f>
        <v>15.6295494709343</v>
      </c>
      <c r="F1240" s="19" t="n">
        <f aca="false">F1239/thr</f>
        <v>65.3604117539139</v>
      </c>
      <c r="G1240" s="19" t="n">
        <f aca="false">G1239/thr</f>
        <v>168.451606656678</v>
      </c>
      <c r="H1240" s="19" t="n">
        <f aca="false">H1239/thr</f>
        <v>236.768091578553</v>
      </c>
    </row>
    <row r="1241" customFormat="false" ht="17.15" hidden="false" customHeight="false" outlineLevel="0" collapsed="false">
      <c r="A1241" s="5" t="s">
        <v>573</v>
      </c>
      <c r="B1241" s="5" t="s">
        <v>390</v>
      </c>
      <c r="C1241" s="19" t="n">
        <f aca="false">MAX(0,D1240-C1240)+dlt*C1240</f>
        <v>0</v>
      </c>
      <c r="D1241" s="19" t="n">
        <f aca="false">MAX(0,E1240-D1240)+dlt*D1240</f>
        <v>15.6295494709343</v>
      </c>
      <c r="E1241" s="19" t="n">
        <f aca="false">MAX(0,F1240-E1240)+dlt*E1240</f>
        <v>51.293817230073</v>
      </c>
      <c r="F1241" s="19" t="n">
        <f aca="false">MAX(0,G1240-F1240)+dlt*F1240</f>
        <v>109.627236078156</v>
      </c>
      <c r="G1241" s="19" t="n">
        <f aca="false">MAX(0,H1240-G1240)+dlt*G1240</f>
        <v>85.1616455875428</v>
      </c>
      <c r="I1241" s="5" t="s">
        <v>574</v>
      </c>
    </row>
    <row r="1242" customFormat="false" ht="17.15" hidden="false" customHeight="false" outlineLevel="0" collapsed="false">
      <c r="A1242" s="1" t="s">
        <v>575</v>
      </c>
    </row>
    <row r="1243" customFormat="false" ht="17.15" hidden="false" customHeight="false" outlineLevel="0" collapsed="false">
      <c r="A1243" s="0" t="s">
        <v>576</v>
      </c>
      <c r="B1243" s="5" t="s">
        <v>146</v>
      </c>
      <c r="D1243" s="19" t="n">
        <f aca="false">cow_26*1</f>
        <v>1107.85762580894</v>
      </c>
      <c r="E1243" s="19" t="n">
        <f aca="false">cow_27*1</f>
        <v>2096.42857142857</v>
      </c>
      <c r="F1243" s="19" t="n">
        <f aca="false">cow_28*um28_A</f>
        <v>2620.08928571429</v>
      </c>
      <c r="G1243" s="19" t="n">
        <f aca="false">cow_29*um29_A</f>
        <v>3013.32589285714</v>
      </c>
      <c r="H1243" s="19" t="n">
        <f aca="false">G1243*(1+g_tail)</f>
        <v>3314.65848214285</v>
      </c>
      <c r="I1243" s="8" t="s">
        <v>577</v>
      </c>
    </row>
    <row r="1244" customFormat="false" ht="17.15" hidden="false" customHeight="false" outlineLevel="0" collapsed="false">
      <c r="A1244" s="5" t="s">
        <v>578</v>
      </c>
      <c r="B1244" s="0" t="s">
        <v>69</v>
      </c>
      <c r="D1244" s="10" t="n">
        <f aca="false">attA_26</f>
        <v>0.08</v>
      </c>
      <c r="E1244" s="10" t="n">
        <f aca="false">attA_27</f>
        <v>0.11</v>
      </c>
      <c r="F1244" s="10" t="n">
        <f aca="false">attA_28</f>
        <v>0.18</v>
      </c>
      <c r="G1244" s="10" t="n">
        <f aca="false">attA_29</f>
        <v>0.26</v>
      </c>
      <c r="H1244" s="10" t="n">
        <f aca="false">attA_30</f>
        <v>0.34</v>
      </c>
    </row>
    <row r="1245" customFormat="false" ht="15" hidden="false" customHeight="false" outlineLevel="0" collapsed="false">
      <c r="A1245" s="5" t="s">
        <v>579</v>
      </c>
      <c r="B1245" s="5" t="s">
        <v>539</v>
      </c>
      <c r="D1245" s="16" t="n">
        <f aca="false">D1243*D1244</f>
        <v>88.6286100647152</v>
      </c>
      <c r="E1245" s="16" t="n">
        <f aca="false">E1243*E1244</f>
        <v>230.607142857143</v>
      </c>
      <c r="F1245" s="16" t="n">
        <f aca="false">F1243*F1244</f>
        <v>471.616071428572</v>
      </c>
      <c r="G1245" s="16" t="n">
        <f aca="false">G1243*G1244</f>
        <v>783.464732142856</v>
      </c>
      <c r="H1245" s="16" t="n">
        <f aca="false">H1243*H1244</f>
        <v>1126.98388392857</v>
      </c>
    </row>
    <row r="1246" customFormat="false" ht="17.15" hidden="false" customHeight="false" outlineLevel="0" collapsed="false">
      <c r="A1246" s="5" t="s">
        <v>580</v>
      </c>
      <c r="B1246" s="5" t="s">
        <v>539</v>
      </c>
      <c r="D1246" s="16" t="n">
        <f aca="false">MAX(0,E1245-D1245)+dlt*D1245</f>
        <v>150.841393798899</v>
      </c>
      <c r="E1246" s="16" t="n">
        <f aca="false">MAX(0,F1245-E1245)+dlt*E1245</f>
        <v>264.069642857144</v>
      </c>
      <c r="F1246" s="16" t="n">
        <f aca="false">MAX(0,G1245-F1245)+dlt*F1245</f>
        <v>359.010267857141</v>
      </c>
      <c r="G1246" s="16" t="n">
        <f aca="false">MAX(0,H1245-G1245)+dlt*G1245</f>
        <v>421.865625</v>
      </c>
    </row>
    <row r="1247" customFormat="false" ht="17.15" hidden="false" customHeight="false" outlineLevel="0" collapsed="false">
      <c r="A1247" s="1" t="s">
        <v>581</v>
      </c>
    </row>
    <row r="1248" customFormat="false" ht="17.15" hidden="false" customHeight="false" outlineLevel="0" collapsed="false">
      <c r="A1248" s="0" t="s">
        <v>582</v>
      </c>
      <c r="B1248" s="0" t="s">
        <v>252</v>
      </c>
      <c r="C1248" s="16" t="n">
        <f aca="false">0</f>
        <v>0</v>
      </c>
      <c r="D1248" s="16" t="n">
        <f aca="false">hbm26</f>
        <v>0</v>
      </c>
      <c r="E1248" s="16" t="n">
        <f aca="false">E1241*asp*shm_A</f>
        <v>76.9407258451095</v>
      </c>
      <c r="F1248" s="16" t="n">
        <f aca="false">F1241*asp*shm_A</f>
        <v>164.440854117233</v>
      </c>
      <c r="G1248" s="16" t="n">
        <f aca="false">G1241*asp*shm_A</f>
        <v>127.742468381314</v>
      </c>
      <c r="I1248" s="8" t="s">
        <v>583</v>
      </c>
    </row>
    <row r="1249" customFormat="false" ht="17.15" hidden="false" customHeight="false" outlineLevel="0" collapsed="false">
      <c r="A1249" s="5" t="s">
        <v>584</v>
      </c>
      <c r="B1249" s="0" t="s">
        <v>252</v>
      </c>
      <c r="C1249" s="16" t="n">
        <f aca="false">hb25</f>
        <v>120</v>
      </c>
      <c r="D1249" s="16" t="n">
        <f aca="false">rev26*hb_sh26-hbm26</f>
        <v>250.4</v>
      </c>
      <c r="E1249" s="16" t="n">
        <f aca="false">$D1250*E1246*shl_A</f>
        <v>438.361360274778</v>
      </c>
      <c r="F1249" s="16" t="n">
        <f aca="false">$D1250*F1246*shl_A</f>
        <v>595.964866191023</v>
      </c>
      <c r="G1249" s="16" t="n">
        <f aca="false">$D1250*G1246*shl_A</f>
        <v>700.306128441323</v>
      </c>
      <c r="I1249" s="8" t="s">
        <v>585</v>
      </c>
    </row>
    <row r="1250" customFormat="false" ht="17.15" hidden="false" customHeight="false" outlineLevel="0" collapsed="false">
      <c r="A1250" s="5" t="s">
        <v>586</v>
      </c>
      <c r="B1250" s="0" t="s">
        <v>587</v>
      </c>
      <c r="D1250" s="21" t="n">
        <f aca="false">D1249/D1246</f>
        <v>1.66002178641913</v>
      </c>
      <c r="I1250" s="5" t="s">
        <v>588</v>
      </c>
    </row>
    <row r="1251" customFormat="false" ht="15" hidden="false" customHeight="false" outlineLevel="0" collapsed="false">
      <c r="A1251" s="5" t="s">
        <v>589</v>
      </c>
      <c r="B1251" s="0" t="s">
        <v>252</v>
      </c>
      <c r="C1251" s="16" t="n">
        <f aca="false">C1248+C1249</f>
        <v>120</v>
      </c>
      <c r="D1251" s="16" t="n">
        <f aca="false">D1248+D1249</f>
        <v>250.4</v>
      </c>
      <c r="E1251" s="16" t="n">
        <f aca="false">E1248+E1249</f>
        <v>515.302086119887</v>
      </c>
      <c r="F1251" s="16" t="n">
        <f aca="false">F1248+F1249</f>
        <v>760.405720308256</v>
      </c>
      <c r="G1251" s="16" t="n">
        <f aca="false">G1248+G1249</f>
        <v>828.048596822637</v>
      </c>
    </row>
    <row r="1252" customFormat="false" ht="17.15" hidden="false" customHeight="false" outlineLevel="0" collapsed="false">
      <c r="A1252" s="5" t="s">
        <v>590</v>
      </c>
      <c r="B1252" s="0" t="s">
        <v>252</v>
      </c>
      <c r="C1252" s="16" t="n">
        <f aca="false">a25_rev-hb25</f>
        <v>471.3</v>
      </c>
      <c r="D1252" s="16" t="n">
        <f aca="false">rev26-D1251</f>
        <v>751.2</v>
      </c>
      <c r="E1252" s="16" t="n">
        <f aca="false">D1252*(1+el*eqgA_27)</f>
        <v>900.497182193768</v>
      </c>
      <c r="F1252" s="16" t="n">
        <f aca="false">E1252*(1+el*eqgA_28)</f>
        <v>1015.22529871935</v>
      </c>
      <c r="G1252" s="16" t="n">
        <f aca="false">F1252*(1+el*eqgA_29)</f>
        <v>1075.58315674599</v>
      </c>
      <c r="I1252" s="8" t="s">
        <v>591</v>
      </c>
    </row>
    <row r="1253" customFormat="false" ht="15" hidden="false" customHeight="false" outlineLevel="0" collapsed="false">
      <c r="A1253" s="5" t="s">
        <v>499</v>
      </c>
      <c r="B1253" s="0" t="s">
        <v>252</v>
      </c>
      <c r="C1253" s="16" t="n">
        <f aca="false">C1251+C1252</f>
        <v>591.3</v>
      </c>
      <c r="D1253" s="16" t="n">
        <f aca="false">D1251+D1252</f>
        <v>1001.6</v>
      </c>
      <c r="E1253" s="16" t="n">
        <f aca="false">E1251+E1252</f>
        <v>1415.79926831366</v>
      </c>
      <c r="F1253" s="16" t="n">
        <f aca="false">F1251+F1252</f>
        <v>1775.63101902761</v>
      </c>
      <c r="G1253" s="16" t="n">
        <f aca="false">G1251+G1252</f>
        <v>1903.63175356863</v>
      </c>
    </row>
    <row r="1254" customFormat="false" ht="15" hidden="false" customHeight="false" outlineLevel="0" collapsed="false">
      <c r="A1254" s="5" t="s">
        <v>592</v>
      </c>
      <c r="B1254" s="0" t="s">
        <v>69</v>
      </c>
      <c r="C1254" s="10" t="n">
        <f aca="false">C1251/C1253</f>
        <v>0.202942668696093</v>
      </c>
      <c r="D1254" s="10" t="n">
        <f aca="false">D1251/D1253</f>
        <v>0.25</v>
      </c>
      <c r="E1254" s="10" t="n">
        <f aca="false">E1251/E1253</f>
        <v>0.363965498254324</v>
      </c>
      <c r="F1254" s="10" t="n">
        <f aca="false">F1251/F1253</f>
        <v>0.428245346110634</v>
      </c>
      <c r="G1254" s="10" t="n">
        <f aca="false">G1251/G1253</f>
        <v>0.434983601881163</v>
      </c>
    </row>
    <row r="1255" customFormat="false" ht="17.15" hidden="false" customHeight="false" outlineLevel="0" collapsed="false">
      <c r="A1255" s="5" t="s">
        <v>506</v>
      </c>
      <c r="B1255" s="0" t="s">
        <v>69</v>
      </c>
      <c r="C1255" s="10" t="n">
        <f aca="false">a25_gp/a25_rev</f>
        <v>0.633012007441231</v>
      </c>
      <c r="D1255" s="10" t="n">
        <f aca="false">gp26/rev26</f>
        <v>0.646641373801917</v>
      </c>
      <c r="E1255" s="10" t="n">
        <f aca="false">$D1255+gm_prem*(E1254-$D1254)+0</f>
        <v>0.655758613662263</v>
      </c>
      <c r="F1255" s="10" t="n">
        <f aca="false">$D1255+gm_prem*(F1254-$D1254)+0</f>
        <v>0.660901001490768</v>
      </c>
      <c r="G1255" s="10" t="n">
        <f aca="false">$D1255+gm_prem*(G1254-$D1254)+0</f>
        <v>0.66144006195241</v>
      </c>
      <c r="I1255" s="8" t="s">
        <v>593</v>
      </c>
    </row>
    <row r="1256" customFormat="false" ht="15" hidden="false" customHeight="false" outlineLevel="0" collapsed="false">
      <c r="A1256" s="5" t="s">
        <v>502</v>
      </c>
      <c r="B1256" s="0" t="s">
        <v>252</v>
      </c>
      <c r="C1256" s="16" t="n">
        <f aca="false">a25_gp</f>
        <v>374.3</v>
      </c>
      <c r="D1256" s="16" t="n">
        <f aca="false">gp26</f>
        <v>647.676</v>
      </c>
      <c r="E1256" s="16" t="n">
        <f aca="false">E1253*E1255</f>
        <v>928.422565413409</v>
      </c>
      <c r="F1256" s="16" t="n">
        <f aca="false">F1253*F1255</f>
        <v>1173.51631875342</v>
      </c>
      <c r="G1256" s="16" t="n">
        <f aca="false">G1253*G1255</f>
        <v>1259.13830501501</v>
      </c>
    </row>
    <row r="1257" customFormat="false" ht="17.15" hidden="false" customHeight="false" outlineLevel="0" collapsed="false">
      <c r="A1257" s="5" t="s">
        <v>594</v>
      </c>
      <c r="B1257" s="0" t="s">
        <v>252</v>
      </c>
      <c r="C1257" s="16" t="n">
        <f aca="false">a25_opx</f>
        <v>201.2</v>
      </c>
      <c r="D1257" s="16" t="n">
        <f aca="false">opx26</f>
        <v>223.1325</v>
      </c>
      <c r="E1257" s="16" t="n">
        <f aca="false">opex_fix+opex_var*E1253</f>
        <v>260.041972139376</v>
      </c>
      <c r="F1257" s="16" t="n">
        <f aca="false">opex_fix+opex_var*F1253</f>
        <v>292.106731770439</v>
      </c>
      <c r="G1257" s="16" t="n">
        <f aca="false">opex_fix+opex_var*G1253</f>
        <v>303.512931411003</v>
      </c>
      <c r="I1257" s="5" t="s">
        <v>595</v>
      </c>
    </row>
    <row r="1258" customFormat="false" ht="15" hidden="false" customHeight="false" outlineLevel="0" collapsed="false">
      <c r="A1258" s="5" t="s">
        <v>510</v>
      </c>
      <c r="B1258" s="0" t="s">
        <v>252</v>
      </c>
      <c r="C1258" s="16" t="n">
        <f aca="false">C1256-C1257</f>
        <v>173.1</v>
      </c>
      <c r="D1258" s="16" t="n">
        <f aca="false">D1256-D1257</f>
        <v>424.5435</v>
      </c>
      <c r="E1258" s="16" t="n">
        <f aca="false">E1256-E1257</f>
        <v>668.380593274033</v>
      </c>
      <c r="F1258" s="16" t="n">
        <f aca="false">F1256-F1257</f>
        <v>881.40958698298</v>
      </c>
      <c r="G1258" s="16" t="n">
        <f aca="false">G1256-G1257</f>
        <v>955.625373604005</v>
      </c>
    </row>
    <row r="1259" customFormat="false" ht="15" hidden="false" customHeight="false" outlineLevel="0" collapsed="false">
      <c r="A1259" s="5" t="s">
        <v>555</v>
      </c>
      <c r="B1259" s="0" t="s">
        <v>69</v>
      </c>
      <c r="C1259" s="10" t="n">
        <f aca="false">C1258/C1253</f>
        <v>0.292744799594115</v>
      </c>
      <c r="D1259" s="10" t="n">
        <f aca="false">D1258/D1253</f>
        <v>0.423865315495208</v>
      </c>
      <c r="E1259" s="10" t="n">
        <f aca="false">E1258/E1253</f>
        <v>0.472087115901772</v>
      </c>
      <c r="F1259" s="10" t="n">
        <f aca="false">F1258/F1253</f>
        <v>0.496392312106413</v>
      </c>
      <c r="G1259" s="10" t="n">
        <f aca="false">G1258/G1253</f>
        <v>0.502001173185176</v>
      </c>
    </row>
    <row r="1260" customFormat="false" ht="15" hidden="false" customHeight="false" outlineLevel="0" collapsed="false">
      <c r="A1260" s="5" t="s">
        <v>515</v>
      </c>
      <c r="B1260" s="0" t="s">
        <v>252</v>
      </c>
      <c r="C1260" s="16" t="n">
        <f aca="false">a25_ni</f>
        <v>131.6</v>
      </c>
      <c r="D1260" s="16" t="n">
        <f aca="false">ni26</f>
        <v>348.2641275</v>
      </c>
      <c r="E1260" s="16" t="n">
        <f aca="false">(E1258-fin)*(1-tax_hi)</f>
        <v>544.639698350188</v>
      </c>
      <c r="F1260" s="16" t="n">
        <f aca="false">(F1258-fin)*(1-tax_hi)</f>
        <v>723.584053065703</v>
      </c>
      <c r="G1260" s="16" t="n">
        <f aca="false">(G1258-fin)*(1-tax_hi)</f>
        <v>785.925313827364</v>
      </c>
    </row>
    <row r="1261" customFormat="false" ht="15" hidden="false" customHeight="false" outlineLevel="0" collapsed="false">
      <c r="A1261" s="0" t="s">
        <v>556</v>
      </c>
      <c r="B1261" s="0" t="s">
        <v>271</v>
      </c>
      <c r="C1261" s="18" t="n">
        <f aca="false">a25_eps</f>
        <v>1.66</v>
      </c>
      <c r="D1261" s="18" t="n">
        <f aca="false">eps26</f>
        <v>4.3364299400653</v>
      </c>
      <c r="E1261" s="18" t="n">
        <f aca="false">E1260/shares</f>
        <v>6.75719028736707</v>
      </c>
      <c r="F1261" s="18" t="n">
        <f aca="false">F1260/shares</f>
        <v>8.97730215090844</v>
      </c>
      <c r="G1261" s="18" t="n">
        <f aca="false">G1260/shares</f>
        <v>9.75075249431338</v>
      </c>
    </row>
    <row r="1262" customFormat="false" ht="17.15" hidden="false" customHeight="false" outlineLevel="0" collapsed="false">
      <c r="A1262" s="5" t="s">
        <v>596</v>
      </c>
      <c r="B1262" s="5" t="s">
        <v>390</v>
      </c>
      <c r="C1262" s="19" t="n">
        <f aca="false">C1251/asp</f>
        <v>48</v>
      </c>
      <c r="D1262" s="19" t="n">
        <f aca="false">D1251/asp</f>
        <v>100.16</v>
      </c>
      <c r="E1262" s="19" t="n">
        <f aca="false">E1251/asp</f>
        <v>206.120834447955</v>
      </c>
      <c r="F1262" s="19" t="n">
        <f aca="false">F1251/asp</f>
        <v>304.162288123302</v>
      </c>
      <c r="G1262" s="19" t="n">
        <f aca="false">G1251/asp</f>
        <v>331.219438729055</v>
      </c>
    </row>
    <row r="1265" customFormat="false" ht="17.15" hidden="false" customHeight="false" outlineLevel="0" collapsed="false">
      <c r="A1265" s="4" t="s">
        <v>920</v>
      </c>
    </row>
    <row r="1266" customFormat="false" ht="17.15" hidden="false" customHeight="false" outlineLevel="0" collapsed="false">
      <c r="A1266" s="6" t="s">
        <v>841</v>
      </c>
      <c r="B1266" s="6" t="s">
        <v>842</v>
      </c>
      <c r="C1266" s="14" t="s">
        <v>921</v>
      </c>
      <c r="D1266" s="14" t="s">
        <v>812</v>
      </c>
      <c r="E1266" s="6" t="s">
        <v>922</v>
      </c>
      <c r="F1266" s="6" t="s">
        <v>845</v>
      </c>
    </row>
    <row r="1267" customFormat="false" ht="17.15" hidden="false" customHeight="false" outlineLevel="0" collapsed="false">
      <c r="A1267" s="5" t="s">
        <v>24</v>
      </c>
      <c r="B1267" s="0" t="s">
        <v>923</v>
      </c>
      <c r="C1267" s="13" t="n">
        <f aca="false">(tp_wA*MAX(0,Val!B81*(1-MIN(tp_g/tp_roe,0.8))/(1+tp_r)^1+Val!B82*(1-MIN(tp_g/tp_roe,0.8))/(1+tp_r)^2+Val!B83*(1-MIN(tp_g/tp_roe,0.8))/(1+tp_r)^3+Val!B84*(1-MIN(tp_g/tp_roe,0.8))/(1+tp_r)^4+Val!B85*(1-MIN(tp_g/tp_roe,0.8))/(1+tp_r)^5+Val!B86*(1-MIN(tp_g/tp_roe,0.8))/(1+tp_r)^6+Val!B86*(1-MIN(tp_g/tp_roe,0.8))*(1+tp_g)/(tp_r-tp_g)/(1+tp_r)^6)+tp_wB*MAX(0,Val!C81*(1-MIN(tp_g/tp_roe,0.8))/(1+tp_r)^1+Val!C82*(1-MIN(tp_g/tp_roe,0.8))/(1+tp_r)^2+Val!C83*(1-MIN(tp_g/tp_roe,0.8))/(1+tp_r)^3+Val!C84*(1-MIN(tp_g/tp_roe,0.8))/(1+tp_r)^4+Val!C85*(1-MIN(tp_g/tp_roe,0.8))/(1+tp_r)^5+Val!C86*(1-MIN(tp_g/tp_roe,0.8))/(1+tp_r)^6+Val!C86*(1-MIN(tp_g/tp_roe,0.8))*(1+tp_g)/(tp_r-tp_g)/(1+tp_r)^6)+tp_wC*MAX(0,Val!D81*(1-MIN(tp_g/tp_roe,0.8))/(1+tp_r)^1+Val!D82*(1-MIN(tp_g/tp_roe,0.8))/(1+tp_r)^2+Val!D83*(1-MIN(tp_g/tp_roe,0.8))/(1+tp_r)^3+Val!D84*(1-MIN(tp_g/tp_roe,0.8))/(1+tp_r)^4+Val!D85*(1-MIN(tp_g/tp_roe,0.8))/(1+tp_r)^5+Val!D86*(1-MIN(tp_g/tp_roe,0.8))/(1+tp_r)^6+Val!D86*(1-MIN(tp_g/tp_roe,0.8))*(1+tp_g)/(tp_r-tp_g)/(1+tp_r)^6))*(1+tp_r)</f>
        <v>96.2266486628942</v>
      </c>
      <c r="D1267" s="13" t="n">
        <f aca="false">tp_comp_adj</f>
        <v>218.34283553683</v>
      </c>
      <c r="E1267" s="13" t="n">
        <f aca="false">tp_w_dcf*C1267+(1-tp_w_dcf)*D1267</f>
        <v>157.284742099862</v>
      </c>
      <c r="F1267" s="10" t="n">
        <f aca="false">E1267/E$1267-1</f>
        <v>0</v>
      </c>
    </row>
    <row r="1268" customFormat="false" ht="17.15" hidden="false" customHeight="false" outlineLevel="0" collapsed="false">
      <c r="A1268" s="5" t="s">
        <v>924</v>
      </c>
      <c r="B1268" s="0" t="s">
        <v>925</v>
      </c>
      <c r="C1268" s="13" t="n">
        <f aca="false">(tp_wA*MAX(0,Val!B81*(1-MIN(tp_g/tp_roe,0.8))/(1+(tp_r+0.01))^1+Val!B82*(1-MIN(tp_g/tp_roe,0.8))/(1+(tp_r+0.01))^2+Val!B83*(1-MIN(tp_g/tp_roe,0.8))/(1+(tp_r+0.01))^3+Val!B84*(1-MIN(tp_g/tp_roe,0.8))/(1+(tp_r+0.01))^4+Val!B85*(1-MIN(tp_g/tp_roe,0.8))/(1+(tp_r+0.01))^5+Val!B86*(1-MIN(tp_g/tp_roe,0.8))/(1+(tp_r+0.01))^6+Val!B86*(1-MIN(tp_g/tp_roe,0.8))*(1+tp_g)/((tp_r+0.01)-tp_g)/(1+(tp_r+0.01))^6)+tp_wB*MAX(0,Val!C81*(1-MIN(tp_g/tp_roe,0.8))/(1+(tp_r+0.01))^1+Val!C82*(1-MIN(tp_g/tp_roe,0.8))/(1+(tp_r+0.01))^2+Val!C83*(1-MIN(tp_g/tp_roe,0.8))/(1+(tp_r+0.01))^3+Val!C84*(1-MIN(tp_g/tp_roe,0.8))/(1+(tp_r+0.01))^4+Val!C85*(1-MIN(tp_g/tp_roe,0.8))/(1+(tp_r+0.01))^5+Val!C86*(1-MIN(tp_g/tp_roe,0.8))/(1+(tp_r+0.01))^6+Val!C86*(1-MIN(tp_g/tp_roe,0.8))*(1+tp_g)/((tp_r+0.01)-tp_g)/(1+(tp_r+0.01))^6)+tp_wC*MAX(0,Val!D81*(1-MIN(tp_g/tp_roe,0.8))/(1+(tp_r+0.01))^1+Val!D82*(1-MIN(tp_g/tp_roe,0.8))/(1+(tp_r+0.01))^2+Val!D83*(1-MIN(tp_g/tp_roe,0.8))/(1+(tp_r+0.01))^3+Val!D84*(1-MIN(tp_g/tp_roe,0.8))/(1+(tp_r+0.01))^4+Val!D85*(1-MIN(tp_g/tp_roe,0.8))/(1+(tp_r+0.01))^5+Val!D86*(1-MIN(tp_g/tp_roe,0.8))/(1+(tp_r+0.01))^6+Val!D86*(1-MIN(tp_g/tp_roe,0.8))*(1+tp_g)/((tp_r+0.01)-tp_g)/(1+(tp_r+0.01))^6))*(1+(tp_r+0.01))</f>
        <v>83.26460195942</v>
      </c>
      <c r="D1268" s="13" t="n">
        <f aca="false">tp_comp_adj</f>
        <v>218.34283553683</v>
      </c>
      <c r="E1268" s="13" t="n">
        <f aca="false">tp_w_dcf*C1268+(1-tp_w_dcf)*D1268</f>
        <v>150.803718748125</v>
      </c>
      <c r="F1268" s="10" t="n">
        <f aca="false">E1268/E$1267-1</f>
        <v>-0.0412056710982317</v>
      </c>
    </row>
    <row r="1269" customFormat="false" ht="17.15" hidden="false" customHeight="false" outlineLevel="0" collapsed="false">
      <c r="A1269" s="5" t="s">
        <v>926</v>
      </c>
      <c r="B1269" s="0" t="s">
        <v>927</v>
      </c>
      <c r="C1269" s="13" t="n">
        <f aca="false">(tp_wA*MAX(0,Val!B81*(1-MIN(tp_g/tp_roe,0.8))/(1+(tp_r-0.01))^1+Val!B82*(1-MIN(tp_g/tp_roe,0.8))/(1+(tp_r-0.01))^2+Val!B83*(1-MIN(tp_g/tp_roe,0.8))/(1+(tp_r-0.01))^3+Val!B84*(1-MIN(tp_g/tp_roe,0.8))/(1+(tp_r-0.01))^4+Val!B85*(1-MIN(tp_g/tp_roe,0.8))/(1+(tp_r-0.01))^5+Val!B86*(1-MIN(tp_g/tp_roe,0.8))/(1+(tp_r-0.01))^6+Val!B86*(1-MIN(tp_g/tp_roe,0.8))*(1+tp_g)/((tp_r-0.01)-tp_g)/(1+(tp_r-0.01))^6)+tp_wB*MAX(0,Val!C81*(1-MIN(tp_g/tp_roe,0.8))/(1+(tp_r-0.01))^1+Val!C82*(1-MIN(tp_g/tp_roe,0.8))/(1+(tp_r-0.01))^2+Val!C83*(1-MIN(tp_g/tp_roe,0.8))/(1+(tp_r-0.01))^3+Val!C84*(1-MIN(tp_g/tp_roe,0.8))/(1+(tp_r-0.01))^4+Val!C85*(1-MIN(tp_g/tp_roe,0.8))/(1+(tp_r-0.01))^5+Val!C86*(1-MIN(tp_g/tp_roe,0.8))/(1+(tp_r-0.01))^6+Val!C86*(1-MIN(tp_g/tp_roe,0.8))*(1+tp_g)/((tp_r-0.01)-tp_g)/(1+(tp_r-0.01))^6)+tp_wC*MAX(0,Val!D81*(1-MIN(tp_g/tp_roe,0.8))/(1+(tp_r-0.01))^1+Val!D82*(1-MIN(tp_g/tp_roe,0.8))/(1+(tp_r-0.01))^2+Val!D83*(1-MIN(tp_g/tp_roe,0.8))/(1+(tp_r-0.01))^3+Val!D84*(1-MIN(tp_g/tp_roe,0.8))/(1+(tp_r-0.01))^4+Val!D85*(1-MIN(tp_g/tp_roe,0.8))/(1+(tp_r-0.01))^5+Val!D86*(1-MIN(tp_g/tp_roe,0.8))/(1+(tp_r-0.01))^6+Val!D86*(1-MIN(tp_g/tp_roe,0.8))*(1+tp_g)/((tp_r-0.01)-tp_g)/(1+(tp_r-0.01))^6))*(1+(tp_r-0.01))</f>
        <v>114.367271996706</v>
      </c>
      <c r="D1269" s="13" t="n">
        <f aca="false">tp_comp_adj</f>
        <v>218.34283553683</v>
      </c>
      <c r="E1269" s="13" t="n">
        <f aca="false">tp_w_dcf*C1269+(1-tp_w_dcf)*D1269</f>
        <v>166.355053766768</v>
      </c>
      <c r="F1269" s="10" t="n">
        <f aca="false">E1269/E$1267-1</f>
        <v>0.0576680963824652</v>
      </c>
    </row>
    <row r="1270" customFormat="false" ht="17.15" hidden="false" customHeight="false" outlineLevel="0" collapsed="false">
      <c r="A1270" s="5" t="s">
        <v>928</v>
      </c>
      <c r="B1270" s="0" t="s">
        <v>929</v>
      </c>
      <c r="C1270" s="13" t="n">
        <f aca="false">(tp_wA*MAX(0,Val!B81*(1-MIN((tp_g+0.01)/tp_roe,0.8))/(1+tp_r)^1+Val!B82*(1-MIN((tp_g+0.01)/tp_roe,0.8))/(1+tp_r)^2+Val!B83*(1-MIN((tp_g+0.01)/tp_roe,0.8))/(1+tp_r)^3+Val!B84*(1-MIN((tp_g+0.01)/tp_roe,0.8))/(1+tp_r)^4+Val!B85*(1-MIN((tp_g+0.01)/tp_roe,0.8))/(1+tp_r)^5+Val!B86*(1-MIN((tp_g+0.01)/tp_roe,0.8))/(1+tp_r)^6+Val!B86*(1-MIN((tp_g+0.01)/tp_roe,0.8))*(1+(tp_g+0.01))/(tp_r-(tp_g+0.01))/(1+tp_r)^6)+tp_wB*MAX(0,Val!C81*(1-MIN((tp_g+0.01)/tp_roe,0.8))/(1+tp_r)^1+Val!C82*(1-MIN((tp_g+0.01)/tp_roe,0.8))/(1+tp_r)^2+Val!C83*(1-MIN((tp_g+0.01)/tp_roe,0.8))/(1+tp_r)^3+Val!C84*(1-MIN((tp_g+0.01)/tp_roe,0.8))/(1+tp_r)^4+Val!C85*(1-MIN((tp_g+0.01)/tp_roe,0.8))/(1+tp_r)^5+Val!C86*(1-MIN((tp_g+0.01)/tp_roe,0.8))/(1+tp_r)^6+Val!C86*(1-MIN((tp_g+0.01)/tp_roe,0.8))*(1+(tp_g+0.01))/(tp_r-(tp_g+0.01))/(1+tp_r)^6)+tp_wC*MAX(0,Val!D81*(1-MIN((tp_g+0.01)/tp_roe,0.8))/(1+tp_r)^1+Val!D82*(1-MIN((tp_g+0.01)/tp_roe,0.8))/(1+tp_r)^2+Val!D83*(1-MIN((tp_g+0.01)/tp_roe,0.8))/(1+tp_r)^3+Val!D84*(1-MIN((tp_g+0.01)/tp_roe,0.8))/(1+tp_r)^4+Val!D85*(1-MIN((tp_g+0.01)/tp_roe,0.8))/(1+tp_r)^5+Val!D86*(1-MIN((tp_g+0.01)/tp_roe,0.8))/(1+tp_r)^6+Val!D86*(1-MIN((tp_g+0.01)/tp_roe,0.8))*(1+(tp_g+0.01))/(tp_r-(tp_g+0.01))/(1+tp_r)^6))*(1+tp_r)</f>
        <v>107.011994083856</v>
      </c>
      <c r="D1270" s="13" t="n">
        <f aca="false">tp_comp_adj</f>
        <v>218.34283553683</v>
      </c>
      <c r="E1270" s="13" t="n">
        <f aca="false">tp_w_dcf*C1270+(1-tp_w_dcf)*D1270</f>
        <v>162.677414810343</v>
      </c>
      <c r="F1270" s="10" t="n">
        <f aca="false">E1270/E$1267-1</f>
        <v>0.0342860511355709</v>
      </c>
    </row>
    <row r="1271" customFormat="false" ht="17.15" hidden="false" customHeight="false" outlineLevel="0" collapsed="false">
      <c r="A1271" s="5" t="s">
        <v>930</v>
      </c>
      <c r="B1271" s="0" t="s">
        <v>931</v>
      </c>
      <c r="C1271" s="13" t="n">
        <f aca="false">(tp_wA*MAX(0,Val!B81*(1-MIN((tp_g-0.01)/tp_roe,0.8))/(1+tp_r)^1+Val!B82*(1-MIN((tp_g-0.01)/tp_roe,0.8))/(1+tp_r)^2+Val!B83*(1-MIN((tp_g-0.01)/tp_roe,0.8))/(1+tp_r)^3+Val!B84*(1-MIN((tp_g-0.01)/tp_roe,0.8))/(1+tp_r)^4+Val!B85*(1-MIN((tp_g-0.01)/tp_roe,0.8))/(1+tp_r)^5+Val!B86*(1-MIN((tp_g-0.01)/tp_roe,0.8))/(1+tp_r)^6+Val!B86*(1-MIN((tp_g-0.01)/tp_roe,0.8))*(1+(tp_g-0.01))/(tp_r-(tp_g-0.01))/(1+tp_r)^6)+tp_wB*MAX(0,Val!C81*(1-MIN((tp_g-0.01)/tp_roe,0.8))/(1+tp_r)^1+Val!C82*(1-MIN((tp_g-0.01)/tp_roe,0.8))/(1+tp_r)^2+Val!C83*(1-MIN((tp_g-0.01)/tp_roe,0.8))/(1+tp_r)^3+Val!C84*(1-MIN((tp_g-0.01)/tp_roe,0.8))/(1+tp_r)^4+Val!C85*(1-MIN((tp_g-0.01)/tp_roe,0.8))/(1+tp_r)^5+Val!C86*(1-MIN((tp_g-0.01)/tp_roe,0.8))/(1+tp_r)^6+Val!C86*(1-MIN((tp_g-0.01)/tp_roe,0.8))*(1+(tp_g-0.01))/(tp_r-(tp_g-0.01))/(1+tp_r)^6)+tp_wC*MAX(0,Val!D81*(1-MIN((tp_g-0.01)/tp_roe,0.8))/(1+tp_r)^1+Val!D82*(1-MIN((tp_g-0.01)/tp_roe,0.8))/(1+tp_r)^2+Val!D83*(1-MIN((tp_g-0.01)/tp_roe,0.8))/(1+tp_r)^3+Val!D84*(1-MIN((tp_g-0.01)/tp_roe,0.8))/(1+tp_r)^4+Val!D85*(1-MIN((tp_g-0.01)/tp_roe,0.8))/(1+tp_r)^5+Val!D86*(1-MIN((tp_g-0.01)/tp_roe,0.8))/(1+tp_r)^6+Val!D86*(1-MIN((tp_g-0.01)/tp_roe,0.8))*(1+(tp_g-0.01))/(tp_r-(tp_g-0.01))/(1+tp_r)^6))*(1+tp_r)</f>
        <v>88.7500345650288</v>
      </c>
      <c r="D1271" s="13" t="n">
        <f aca="false">tp_comp_adj</f>
        <v>218.34283553683</v>
      </c>
      <c r="E1271" s="13" t="n">
        <f aca="false">tp_w_dcf*C1271+(1-tp_w_dcf)*D1271</f>
        <v>153.54643505093</v>
      </c>
      <c r="F1271" s="10" t="n">
        <f aca="false">E1271/E$1267-1</f>
        <v>-0.0237677666569794</v>
      </c>
    </row>
    <row r="1272" customFormat="false" ht="17.15" hidden="false" customHeight="false" outlineLevel="0" collapsed="false">
      <c r="A1272" s="0" t="s">
        <v>932</v>
      </c>
      <c r="B1272" s="0" t="s">
        <v>933</v>
      </c>
      <c r="C1272" s="13" t="n">
        <f aca="false">(tp_wA*MAX(0,Val!B81*(1-MIN(tp_g/tp_roe,0.8))/(1+tp_r)^1+Val!B82*(1-MIN(tp_g/tp_roe,0.8))/(1+tp_r)^2+Val!B83*(1-MIN(tp_g/tp_roe,0.8))/(1+tp_r)^3+Val!B84*(1-MIN(tp_g/tp_roe,0.8))/(1+tp_r)^4+Val!B85*(1-MIN(tp_g/tp_roe,0.8))/(1+tp_r)^5+Val!B86*(1-MIN(tp_g/tp_roe,0.8))/(1+tp_r)^6+Val!B86*(1-MIN(tp_g/tp_roe,0.8))*(1+tp_g)/(tp_r-tp_g)/(1+tp_r)^6)+tp_wB*MAX(0,Val!C81*(1-MIN(tp_g/tp_roe,0.8))/(1+tp_r)^1+Val!C82*(1-MIN(tp_g/tp_roe,0.8))/(1+tp_r)^2+Val!C83*(1-MIN(tp_g/tp_roe,0.8))/(1+tp_r)^3+Val!C84*(1-MIN(tp_g/tp_roe,0.8))/(1+tp_r)^4+Val!C85*(1-MIN(tp_g/tp_roe,0.8))/(1+tp_r)^5+Val!C86*(1-MIN(tp_g/tp_roe,0.8))/(1+tp_r)^6+Val!C86*(1-MIN(tp_g/tp_roe,0.8))*(1+tp_g)/(tp_r-tp_g)/(1+tp_r)^6)+tp_wC*MAX(0,Val!D81*(1-MIN(tp_g/tp_roe,0.8))/(1+tp_r)^1+Val!D82*(1-MIN(tp_g/tp_roe,0.8))/(1+tp_r)^2+Val!D83*(1-MIN(tp_g/tp_roe,0.8))/(1+tp_r)^3+Val!D84*(1-MIN(tp_g/tp_roe,0.8))/(1+tp_r)^4+Val!D85*(1-MIN(tp_g/tp_roe,0.8))/(1+tp_r)^5+Val!D86*(1-MIN(tp_g/tp_roe,0.8))/(1+tp_r)^6+Val!D86*(1-MIN(tp_g/tp_roe,0.8))*(1+tp_g)/(tp_r-tp_g)/(1+tp_r)^6))*(1+tp_r)</f>
        <v>96.2266486628942</v>
      </c>
      <c r="D1272" s="13" t="n">
        <f aca="false">tp_comp_adj</f>
        <v>218.34283553683</v>
      </c>
      <c r="E1272" s="13" t="n">
        <f aca="false">0.3*C1272+(1-0.3)*D1272</f>
        <v>181.70797947465</v>
      </c>
      <c r="F1272" s="10" t="n">
        <f aca="false">E1272/E$1267-1</f>
        <v>0.155280398141102</v>
      </c>
    </row>
    <row r="1273" customFormat="false" ht="17.15" hidden="false" customHeight="false" outlineLevel="0" collapsed="false">
      <c r="A1273" s="0" t="s">
        <v>934</v>
      </c>
      <c r="B1273" s="0" t="s">
        <v>935</v>
      </c>
      <c r="C1273" s="13" t="n">
        <f aca="false">(tp_wA*MAX(0,Val!B81*(1-MIN(tp_g/tp_roe,0.8))/(1+tp_r)^1+Val!B82*(1-MIN(tp_g/tp_roe,0.8))/(1+tp_r)^2+Val!B83*(1-MIN(tp_g/tp_roe,0.8))/(1+tp_r)^3+Val!B84*(1-MIN(tp_g/tp_roe,0.8))/(1+tp_r)^4+Val!B85*(1-MIN(tp_g/tp_roe,0.8))/(1+tp_r)^5+Val!B86*(1-MIN(tp_g/tp_roe,0.8))/(1+tp_r)^6+Val!B86*(1-MIN(tp_g/tp_roe,0.8))*(1+tp_g)/(tp_r-tp_g)/(1+tp_r)^6)+tp_wB*MAX(0,Val!C81*(1-MIN(tp_g/tp_roe,0.8))/(1+tp_r)^1+Val!C82*(1-MIN(tp_g/tp_roe,0.8))/(1+tp_r)^2+Val!C83*(1-MIN(tp_g/tp_roe,0.8))/(1+tp_r)^3+Val!C84*(1-MIN(tp_g/tp_roe,0.8))/(1+tp_r)^4+Val!C85*(1-MIN(tp_g/tp_roe,0.8))/(1+tp_r)^5+Val!C86*(1-MIN(tp_g/tp_roe,0.8))/(1+tp_r)^6+Val!C86*(1-MIN(tp_g/tp_roe,0.8))*(1+tp_g)/(tp_r-tp_g)/(1+tp_r)^6)+tp_wC*MAX(0,Val!D81*(1-MIN(tp_g/tp_roe,0.8))/(1+tp_r)^1+Val!D82*(1-MIN(tp_g/tp_roe,0.8))/(1+tp_r)^2+Val!D83*(1-MIN(tp_g/tp_roe,0.8))/(1+tp_r)^3+Val!D84*(1-MIN(tp_g/tp_roe,0.8))/(1+tp_r)^4+Val!D85*(1-MIN(tp_g/tp_roe,0.8))/(1+tp_r)^5+Val!D86*(1-MIN(tp_g/tp_roe,0.8))/(1+tp_r)^6+Val!D86*(1-MIN(tp_g/tp_roe,0.8))*(1+tp_g)/(tp_r-tp_g)/(1+tp_r)^6))*(1+tp_r)</f>
        <v>96.2266486628942</v>
      </c>
      <c r="D1273" s="13" t="n">
        <f aca="false">tp_comp_adj</f>
        <v>218.34283553683</v>
      </c>
      <c r="E1273" s="13" t="n">
        <f aca="false">0.7*C1273+(1-0.7)*D1273</f>
        <v>132.861504725075</v>
      </c>
      <c r="F1273" s="10" t="n">
        <f aca="false">E1273/E$1267-1</f>
        <v>-0.155280398141103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20"/>
  </cols>
  <sheetData>
    <row r="1" customFormat="false" ht="17.15" hidden="false" customHeight="false" outlineLevel="0" collapsed="false">
      <c r="A1" s="4" t="s">
        <v>936</v>
      </c>
    </row>
    <row r="2" customFormat="false" ht="17.15" hidden="false" customHeight="false" outlineLevel="0" collapsed="false">
      <c r="A2" s="5" t="s">
        <v>937</v>
      </c>
      <c r="B2" s="0" t="s">
        <v>938</v>
      </c>
    </row>
    <row r="3" customFormat="false" ht="17.15" hidden="false" customHeight="false" outlineLevel="0" collapsed="false">
      <c r="A3" s="0" t="s">
        <v>939</v>
      </c>
      <c r="B3" s="0" t="s">
        <v>940</v>
      </c>
    </row>
    <row r="4" customFormat="false" ht="17.15" hidden="false" customHeight="false" outlineLevel="0" collapsed="false">
      <c r="A4" s="5" t="s">
        <v>941</v>
      </c>
      <c r="B4" s="0" t="s">
        <v>942</v>
      </c>
    </row>
    <row r="5" customFormat="false" ht="17.15" hidden="false" customHeight="false" outlineLevel="0" collapsed="false">
      <c r="A5" s="5" t="s">
        <v>943</v>
      </c>
      <c r="B5" s="0" t="s">
        <v>944</v>
      </c>
    </row>
    <row r="6" customFormat="false" ht="17.15" hidden="false" customHeight="false" outlineLevel="0" collapsed="false">
      <c r="A6" s="5" t="s">
        <v>945</v>
      </c>
      <c r="B6" s="0" t="s">
        <v>946</v>
      </c>
    </row>
    <row r="7" customFormat="false" ht="17.15" hidden="false" customHeight="false" outlineLevel="0" collapsed="false">
      <c r="A7" s="5" t="s">
        <v>947</v>
      </c>
      <c r="B7" s="0" t="s">
        <v>948</v>
      </c>
    </row>
    <row r="8" customFormat="false" ht="17.15" hidden="false" customHeight="false" outlineLevel="0" collapsed="false">
      <c r="A8" s="0" t="s">
        <v>949</v>
      </c>
      <c r="B8" s="0" t="s">
        <v>950</v>
      </c>
    </row>
    <row r="9" customFormat="false" ht="17.15" hidden="false" customHeight="false" outlineLevel="0" collapsed="false">
      <c r="A9" s="5" t="s">
        <v>951</v>
      </c>
      <c r="B9" s="0" t="s">
        <v>952</v>
      </c>
    </row>
    <row r="10" customFormat="false" ht="17.15" hidden="false" customHeight="false" outlineLevel="0" collapsed="false">
      <c r="A10" s="0" t="s">
        <v>953</v>
      </c>
      <c r="B10" s="0" t="s">
        <v>954</v>
      </c>
    </row>
    <row r="11" customFormat="false" ht="17.15" hidden="false" customHeight="false" outlineLevel="0" collapsed="false">
      <c r="A11" s="0" t="s">
        <v>955</v>
      </c>
      <c r="B11" s="0" t="s">
        <v>956</v>
      </c>
    </row>
    <row r="12" customFormat="false" ht="17.15" hidden="false" customHeight="false" outlineLevel="0" collapsed="false">
      <c r="A12" s="0" t="s">
        <v>957</v>
      </c>
      <c r="B12" s="0" t="s">
        <v>958</v>
      </c>
    </row>
    <row r="13" customFormat="false" ht="17.15" hidden="false" customHeight="false" outlineLevel="0" collapsed="false">
      <c r="A13" s="0" t="s">
        <v>959</v>
      </c>
      <c r="B13" s="0" t="s">
        <v>960</v>
      </c>
    </row>
    <row r="14" customFormat="false" ht="17.15" hidden="false" customHeight="false" outlineLevel="0" collapsed="false">
      <c r="A14" s="0" t="s">
        <v>961</v>
      </c>
      <c r="B14" s="0" t="s">
        <v>962</v>
      </c>
    </row>
    <row r="15" customFormat="false" ht="17.15" hidden="false" customHeight="false" outlineLevel="0" collapsed="false">
      <c r="A15" s="0" t="s">
        <v>963</v>
      </c>
      <c r="B15" s="0" t="s">
        <v>964</v>
      </c>
    </row>
    <row r="16" customFormat="false" ht="17.15" hidden="false" customHeight="false" outlineLevel="0" collapsed="false">
      <c r="A16" s="0" t="s">
        <v>965</v>
      </c>
      <c r="B16" s="0" t="s">
        <v>966</v>
      </c>
    </row>
    <row r="17" customFormat="false" ht="17.15" hidden="false" customHeight="false" outlineLevel="0" collapsed="false">
      <c r="A17" s="5" t="s">
        <v>967</v>
      </c>
    </row>
    <row r="18" customFormat="false" ht="15" hidden="false" customHeight="false" outlineLevel="0" collapsed="false">
      <c r="A18" s="0" t="s">
        <v>968</v>
      </c>
      <c r="B18" s="5" t="s">
        <v>969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2026-10-30T18:15:29Z</dcterms:created>
  <dc:creator>openpyxl</dc:creator>
  <dc:description/>
  <dc:language>en-US</dc:language>
  <cp:lastModifiedBy/>
  <dcterms:modified xsi:type="dcterms:W3CDTF">2026-10-30T18:15:31Z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