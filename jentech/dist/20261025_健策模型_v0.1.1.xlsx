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l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f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l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f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Q!$F$18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b_eps26" vbProcedure="false">In!$E$129</definedName>
    <definedName function="false" hidden="false" name="ab_eps27" vbProcedure="false">In!$E$130</definedName>
    <definedName function="false" hidden="false" name="ab_eps28" vbProcedure="false">In!$E$131</definedName>
    <definedName function="false" hidden="false" name="ai_25" vbProcedure="false">In!$E$95</definedName>
    <definedName function="false" hidden="false" name="ai_25_hi" vbProcedure="false">In!$F$95</definedName>
    <definedName function="false" hidden="false" name="ai_25_lo" vbProcedure="false">In!$D$95</definedName>
    <definedName function="false" hidden="false" name="ai_26" vbProcedure="false">In!$E$96</definedName>
    <definedName function="false" hidden="false" name="ai_26_hi" vbProcedure="false">In!$F$96</definedName>
    <definedName function="false" hidden="false" name="ai_26_lo" vbProcedure="false">In!$D$96</definedName>
    <definedName function="false" hidden="false" name="AMHI_27" vbProcedure="false">In!$F$53</definedName>
    <definedName function="false" hidden="false" name="AMHI_28" vbProcedure="false">In!$F$54</definedName>
    <definedName function="false" hidden="false" name="AMHI_29" vbProcedure="false">In!$F$55</definedName>
    <definedName function="false" hidden="false" name="AMLO_27" vbProcedure="false">In!$D$53</definedName>
    <definedName function="false" hidden="false" name="AMLO_28" vbProcedure="false">In!$D$54</definedName>
    <definedName function="false" hidden="false" name="AMLO_29" vbProcedure="false">In!$D$55</definedName>
    <definedName function="false" hidden="false" name="ASHI_27" vbProcedure="false">In!$F$57</definedName>
    <definedName function="false" hidden="false" name="ASHI_28" vbProcedure="false">In!$F$58</definedName>
    <definedName function="false" hidden="false" name="ASHI_29" vbProcedure="false">In!$F$59</definedName>
    <definedName function="false" hidden="false" name="ASLO_27" vbProcedure="false">In!$D$57</definedName>
    <definedName function="false" hidden="false" name="ASLO_28" vbProcedure="false">In!$D$58</definedName>
    <definedName function="false" hidden="false" name="ASLO_29" vbProcedure="false">In!$D$59</definedName>
    <definedName function="false" hidden="false" name="asp_amd_26" vbProcedure="false">In!$E$52</definedName>
    <definedName function="false" hidden="false" name="asp_amd_27" vbProcedure="false">In!$E$53</definedName>
    <definedName function="false" hidden="false" name="asp_amd_27_hi" vbProcedure="false">In!$F$53</definedName>
    <definedName function="false" hidden="false" name="asp_amd_27_lo" vbProcedure="false">In!$D$53</definedName>
    <definedName function="false" hidden="false" name="asp_amd_28" vbProcedure="false">In!$E$54</definedName>
    <definedName function="false" hidden="false" name="asp_amd_28_hi" vbProcedure="false">In!$F$54</definedName>
    <definedName function="false" hidden="false" name="asp_amd_28_lo" vbProcedure="false">In!$D$54</definedName>
    <definedName function="false" hidden="false" name="asp_amd_29" vbProcedure="false">In!$E$55</definedName>
    <definedName function="false" hidden="false" name="asp_amd_29_hi" vbProcedure="false">In!$F$55</definedName>
    <definedName function="false" hidden="false" name="asp_amd_29_lo" vbProcedure="false">In!$D$55</definedName>
    <definedName function="false" hidden="false" name="asp_asic_26" vbProcedure="false">In!$E$56</definedName>
    <definedName function="false" hidden="false" name="asp_asic_27" vbProcedure="false">In!$E$57</definedName>
    <definedName function="false" hidden="false" name="asp_asic_27_hi" vbProcedure="false">In!$F$57</definedName>
    <definedName function="false" hidden="false" name="asp_asic_27_lo" vbProcedure="false">In!$D$57</definedName>
    <definedName function="false" hidden="false" name="asp_asic_28" vbProcedure="false">In!$E$58</definedName>
    <definedName function="false" hidden="false" name="asp_asic_28_hi" vbProcedure="false">In!$F$58</definedName>
    <definedName function="false" hidden="false" name="asp_asic_28_lo" vbProcedure="false">In!$D$58</definedName>
    <definedName function="false" hidden="false" name="asp_asic_29" vbProcedure="false">In!$E$59</definedName>
    <definedName function="false" hidden="false" name="asp_asic_29_hi" vbProcedure="false">In!$F$59</definedName>
    <definedName function="false" hidden="false" name="asp_asic_29_lo" vbProcedure="false">In!$D$59</definedName>
    <definedName function="false" hidden="false" name="asp_bw" vbProcedure="false">In!$E$45</definedName>
    <definedName function="false" hidden="false" name="asp_bw_hi" vbProcedure="false">In!$F$45</definedName>
    <definedName function="false" hidden="false" name="asp_bw_lo" vbProcedure="false">In!$D$45</definedName>
    <definedName function="false" hidden="false" name="asp_hp" vbProcedure="false">In!$E$46</definedName>
    <definedName function="false" hidden="false" name="asp_hp_hi" vbProcedure="false">In!$F$46</definedName>
    <definedName function="false" hidden="false" name="asp_hp_lo" vbProcedure="false">In!$D$46</definedName>
    <definedName function="false" hidden="false" name="asp_ru" vbProcedure="false">In!$E$51</definedName>
    <definedName function="false" hidden="false" name="asp_ru_hi" vbProcedure="false">In!$F$51</definedName>
    <definedName function="false" hidden="false" name="asp_ru_lo" vbProcedure="false">In!$D$51</definedName>
    <definedName function="false" hidden="false" name="asp_vr_26" vbProcedure="false">In!$E$47</definedName>
    <definedName function="false" hidden="false" name="asp_vr_27" vbProcedure="false">In!$E$48</definedName>
    <definedName function="false" hidden="false" name="asp_vr_27_hi" vbProcedure="false">In!$F$48</definedName>
    <definedName function="false" hidden="false" name="asp_vr_27_lo" vbProcedure="false">In!$D$48</definedName>
    <definedName function="false" hidden="false" name="asp_vr_28" vbProcedure="false">In!$E$49</definedName>
    <definedName function="false" hidden="false" name="asp_vr_28_hi" vbProcedure="false">In!$F$49</definedName>
    <definedName function="false" hidden="false" name="asp_vr_28_lo" vbProcedure="false">In!$D$49</definedName>
    <definedName function="false" hidden="false" name="asp_vr_29" vbProcedure="false">In!$E$50</definedName>
    <definedName function="false" hidden="false" name="asp_vr_29_hi" vbProcedure="false">In!$F$50</definedName>
    <definedName function="false" hidden="false" name="asp_vr_29_lo" vbProcedure="false">In!$D$50</definedName>
    <definedName function="false" hidden="false" name="avshA_26" vbProcedure="false">In!$E$80</definedName>
    <definedName function="false" hidden="false" name="avshA_27" vbProcedure="false">In!$E$81</definedName>
    <definedName function="false" hidden="false" name="avshA_28" vbProcedure="false">In!$E$82</definedName>
    <definedName function="false" hidden="false" name="avshA_29" vbProcedure="false">In!$E$83</definedName>
    <definedName function="false" hidden="false" name="avshB_26" vbProcedure="false">In!$E$84</definedName>
    <definedName function="false" hidden="false" name="avshB_27" vbProcedure="false">In!$E$85</definedName>
    <definedName function="false" hidden="false" name="avshB_28" vbProcedure="false">In!$E$86</definedName>
    <definedName function="false" hidden="false" name="avshB_29" vbProcedure="false">In!$E$87</definedName>
    <definedName function="false" hidden="false" name="avshC_26" vbProcedure="false">In!$E$88</definedName>
    <definedName function="false" hidden="false" name="avshC_27" vbProcedure="false">In!$E$89</definedName>
    <definedName function="false" hidden="false" name="avshC_28" vbProcedure="false">In!$E$90</definedName>
    <definedName function="false" hidden="false" name="avshC_29" vbProcedure="false">In!$E$91</definedName>
    <definedName function="false" hidden="false" name="bb_q3eps" vbProcedure="false">In!$E$135</definedName>
    <definedName function="false" hidden="false" name="cons_eps26" vbProcedure="false">In!$E$122</definedName>
    <definedName function="false" hidden="false" name="cons_feps" vbProcedure="false">In!$E$141</definedName>
    <definedName function="false" hidden="false" name="cons_rev26" vbProcedure="false">In!$E$121</definedName>
    <definedName function="false" hidden="false" name="cons_tp" vbProcedure="false">In!$E$142</definedName>
    <definedName function="false" hidden="false" name="dw_q3eps" vbProcedure="false">In!$E$134</definedName>
    <definedName function="false" hidden="false" name="dw_q3rev" vbProcedure="false">In!$E$133</definedName>
    <definedName function="false" hidden="false" name="d_ai" vbProcedure="false">In!$E$104</definedName>
    <definedName function="false" hidden="false" name="d_ai_hi" vbProcedure="false">In!$F$104</definedName>
    <definedName function="false" hidden="false" name="d_ai_lo" vbProcedure="false">In!$D$104</definedName>
    <definedName function="false" hidden="false" name="fade_gA" vbProcedure="false">In!$E$152</definedName>
    <definedName function="false" hidden="false" name="fade_gB" vbProcedure="false">In!$E$153</definedName>
    <definedName function="false" hidden="false" name="fade_gC" vbProcedure="false">In!$E$154</definedName>
    <definedName function="false" hidden="false" name="fade_mA" vbProcedure="false">In!$E$155</definedName>
    <definedName function="false" hidden="false" name="fade_mB" vbProcedure="false">In!$E$156</definedName>
    <definedName function="false" hidden="false" name="fade_mC" vbProcedure="false">In!$E$157</definedName>
    <definedName function="false" hidden="false" name="fpe" vbProcedure="false">In!$E$140</definedName>
    <definedName function="false" hidden="false" name="fs_eps26" vbProcedure="false">In!$E$124</definedName>
    <definedName function="false" hidden="false" name="fs_eps27" vbProcedure="false">In!$E$126</definedName>
    <definedName function="false" hidden="false" name="fs_eps28" vbProcedure="false">In!$E$128</definedName>
    <definedName function="false" hidden="false" name="fs_rev26" vbProcedure="false">In!$E$123</definedName>
    <definedName function="false" hidden="false" name="fs_rev27" vbProcedure="false">In!$E$125</definedName>
    <definedName function="false" hidden="false" name="fs_rev28" vbProcedure="false">In!$E$127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LHI_27" vbProcedure="false">In!$F$100</definedName>
    <definedName function="false" hidden="false" name="GLHI_28" vbProcedure="false">In!$F$101</definedName>
    <definedName function="false" hidden="false" name="GLHI_29" vbProcedure="false">In!$F$102</definedName>
    <definedName function="false" hidden="false" name="GLLO_27" vbProcedure="false">In!$D$100</definedName>
    <definedName function="false" hidden="false" name="GLLO_28" vbProcedure="false">In!$D$101</definedName>
    <definedName function="false" hidden="false" name="GLLO_29" vbProcedure="false">In!$D$102</definedName>
    <definedName function="false" hidden="false" name="GOHI_27" vbProcedure="false">In!$F$97</definedName>
    <definedName function="false" hidden="false" name="GOHI_28" vbProcedure="false">In!$F$98</definedName>
    <definedName function="false" hidden="false" name="GOHI_29" vbProcedure="false">In!$F$99</definedName>
    <definedName function="false" hidden="false" name="GOLO_27" vbProcedure="false">In!$D$97</definedName>
    <definedName function="false" hidden="false" name="GOLO_28" vbProcedure="false">In!$D$98</definedName>
    <definedName function="false" hidden="false" name="GOLO_29" vbProcedure="false">In!$D$99</definedName>
    <definedName function="false" hidden="false" name="g_lf_27" vbProcedure="false">In!$E$100</definedName>
    <definedName function="false" hidden="false" name="g_lf_27_hi" vbProcedure="false">In!$F$100</definedName>
    <definedName function="false" hidden="false" name="g_lf_27_lo" vbProcedure="false">In!$D$100</definedName>
    <definedName function="false" hidden="false" name="g_lf_28" vbProcedure="false">In!$E$101</definedName>
    <definedName function="false" hidden="false" name="g_lf_28_hi" vbProcedure="false">In!$F$101</definedName>
    <definedName function="false" hidden="false" name="g_lf_28_lo" vbProcedure="false">In!$D$101</definedName>
    <definedName function="false" hidden="false" name="g_lf_29" vbProcedure="false">In!$E$102</definedName>
    <definedName function="false" hidden="false" name="g_lf_29_hi" vbProcedure="false">In!$F$102</definedName>
    <definedName function="false" hidden="false" name="g_lf_29_lo" vbProcedure="false">In!$D$102</definedName>
    <definedName function="false" hidden="false" name="g_oth_27" vbProcedure="false">In!$E$97</definedName>
    <definedName function="false" hidden="false" name="g_oth_27_hi" vbProcedure="false">In!$F$97</definedName>
    <definedName function="false" hidden="false" name="g_oth_27_lo" vbProcedure="false">In!$D$97</definedName>
    <definedName function="false" hidden="false" name="g_oth_28" vbProcedure="false">In!$E$98</definedName>
    <definedName function="false" hidden="false" name="g_oth_28_hi" vbProcedure="false">In!$F$98</definedName>
    <definedName function="false" hidden="false" name="g_oth_28_lo" vbProcedure="false">In!$D$98</definedName>
    <definedName function="false" hidden="false" name="g_oth_29" vbProcedure="false">In!$E$99</definedName>
    <definedName function="false" hidden="false" name="g_oth_29_hi" vbProcedure="false">In!$F$99</definedName>
    <definedName function="false" hidden="false" name="g_oth_29_lo" vbProcedure="false">In!$D$99</definedName>
    <definedName function="false" hidden="false" name="k_non" vbProcedure="false">In!$E$61</definedName>
    <definedName function="false" hidden="false" name="k_non_hi" vbProcedure="false">In!$F$61</definedName>
    <definedName function="false" hidden="false" name="k_non_lo" vbProcedure="false">In!$D$61</definedName>
    <definedName function="false" hidden="false" name="LCHI_27" vbProcedure="false">In!$F$65</definedName>
    <definedName function="false" hidden="false" name="LCHI_28" vbProcedure="false">In!$F$66</definedName>
    <definedName function="false" hidden="false" name="LCHI_29" vbProcedure="false">In!$F$67</definedName>
    <definedName function="false" hidden="false" name="LCLO_27" vbProcedure="false">In!$D$65</definedName>
    <definedName function="false" hidden="false" name="LCLO_28" vbProcedure="false">In!$D$66</definedName>
    <definedName function="false" hidden="false" name="LCLO_29" vbProcedure="false">In!$D$67</definedName>
    <definedName function="false" hidden="false" name="lcs_27" vbProcedure="false">In!$E$65</definedName>
    <definedName function="false" hidden="false" name="lcs_27_hi" vbProcedure="false">In!$F$65</definedName>
    <definedName function="false" hidden="false" name="lcs_27_lo" vbProcedure="false">In!$D$65</definedName>
    <definedName function="false" hidden="false" name="lcs_28" vbProcedure="false">In!$E$66</definedName>
    <definedName function="false" hidden="false" name="lcs_28_hi" vbProcedure="false">In!$F$66</definedName>
    <definedName function="false" hidden="false" name="lcs_28_lo" vbProcedure="false">In!$D$66</definedName>
    <definedName function="false" hidden="false" name="lcs_29" vbProcedure="false">In!$E$67</definedName>
    <definedName function="false" hidden="false" name="lcs_29_hi" vbProcedure="false">In!$F$67</definedName>
    <definedName function="false" hidden="false" name="lcs_29_lo" vbProcedure="false">In!$D$67</definedName>
    <definedName function="false" hidden="false" name="ld_g27" vbProcedure="false">In!$E$136</definedName>
    <definedName function="false" hidden="false" name="lmkA_26" vbProcedure="false">In!$E$68</definedName>
    <definedName function="false" hidden="false" name="lmkA_27" vbProcedure="false">In!$E$69</definedName>
    <definedName function="false" hidden="false" name="lmkA_28" vbProcedure="false">In!$E$70</definedName>
    <definedName function="false" hidden="false" name="lmkA_29" vbProcedure="false">In!$E$71</definedName>
    <definedName function="false" hidden="false" name="lmkB_26" vbProcedure="false">In!$E$72</definedName>
    <definedName function="false" hidden="false" name="lmkB_27" vbProcedure="false">In!$E$73</definedName>
    <definedName function="false" hidden="false" name="lmkB_28" vbProcedure="false">In!$E$74</definedName>
    <definedName function="false" hidden="false" name="lmkB_29" vbProcedure="false">In!$E$75</definedName>
    <definedName function="false" hidden="false" name="lmkC_26" vbProcedure="false">In!$E$76</definedName>
    <definedName function="false" hidden="false" name="lmkC_27" vbProcedure="false">In!$E$77</definedName>
    <definedName function="false" hidden="false" name="lmkC_28" vbProcedure="false">In!$E$78</definedName>
    <definedName function="false" hidden="false" name="lmkC_29" vbProcedure="false">In!$E$79</definedName>
    <definedName function="false" hidden="false" name="mf" vbProcedure="false">In!$E$119</definedName>
    <definedName function="false" hidden="false" name="mf_hi" vbProcedure="false">In!$F$119</definedName>
    <definedName function="false" hidden="false" name="mf_lo" vbProcedure="false">In!$D$119</definedName>
    <definedName function="false" hidden="false" name="mw_eps27" vbProcedure="false">In!$E$132</definedName>
    <definedName function="false" hidden="false" name="nim_avg" vbProcedure="false">In!$E$143</definedName>
    <definedName function="false" hidden="false" name="nir_f" vbProcedure="false">In!$E$117</definedName>
    <definedName function="false" hidden="false" name="nir_f_hi" vbProcedure="false">In!$F$117</definedName>
    <definedName function="false" hidden="false" name="nir_f_lo" vbProcedure="false">In!$D$117</definedName>
    <definedName function="false" hidden="false" name="nop_f" vbProcedure="false">In!$E$116</definedName>
    <definedName function="false" hidden="false" name="nop_f_hi" vbProcedure="false">In!$F$116</definedName>
    <definedName function="false" hidden="false" name="nop_f_lo" vbProcedure="false">In!$D$116</definedName>
    <definedName function="false" hidden="false" name="opx_adj" vbProcedure="false">In!$E$115</definedName>
    <definedName function="false" hidden="false" name="opx_adj_hi" vbProcedure="false">In!$F$115</definedName>
    <definedName function="false" hidden="false" name="opx_adj_lo" vbProcedure="false">In!$D$115</definedName>
    <definedName function="false" hidden="false" name="pe_mid" vbProcedure="false">Val!$C$117</definedName>
    <definedName function="false" hidden="false" name="pe_peak" vbProcedure="false">Val!$C$116</definedName>
    <definedName function="false" hidden="false" name="pe_trough" vbProcedure="false">Val!$C$118</definedName>
    <definedName function="false" hidden="false" name="pe_ttm" vbProcedure="false">In!$E$139</definedName>
    <definedName function="false" hidden="false" name="phi" vbProcedure="false">In!$E$114</definedName>
    <definedName function="false" hidden="false" name="phi_hi" vbProcedure="false">In!$F$114</definedName>
    <definedName function="false" hidden="false" name="phi_lo" vbProcedure="false">In!$D$114</definedName>
    <definedName function="false" hidden="false" name="px" vbProcedure="false">In!$E$138</definedName>
    <definedName function="false" hidden="false" name="q3_rev" vbProcedure="false">In!$E$106</definedName>
    <definedName function="false" hidden="false" name="q4g" vbProcedure="false">In!$E$109</definedName>
    <definedName function="false" hidden="false" name="q4g_hi" vbProcedure="false">In!$F$109</definedName>
    <definedName function="false" hidden="false" name="q4g_lo" vbProcedure="false">In!$D$109</definedName>
    <definedName function="false" hidden="false" name="q_gm" vbProcedure="false">In!$E$107</definedName>
    <definedName function="false" hidden="false" name="q_gm_hi" vbProcedure="false">In!$F$107</definedName>
    <definedName function="false" hidden="false" name="q_gm_lo" vbProcedure="false">In!$D$107</definedName>
    <definedName function="false" hidden="false" name="q_nir" vbProcedure="false">In!$E$111</definedName>
    <definedName function="false" hidden="false" name="q_nir_hi" vbProcedure="false">In!$F$111</definedName>
    <definedName function="false" hidden="false" name="q_nir_lo" vbProcedure="false">In!$D$111</definedName>
    <definedName function="false" hidden="false" name="q_nop" vbProcedure="false">In!$E$110</definedName>
    <definedName function="false" hidden="false" name="q_nop_hi" vbProcedure="false">In!$F$110</definedName>
    <definedName function="false" hidden="false" name="q_nop_lo" vbProcedure="false">In!$D$110</definedName>
    <definedName function="false" hidden="false" name="q_opx" vbProcedure="false">In!$E$108</definedName>
    <definedName function="false" hidden="false" name="q_opx_hi" vbProcedure="false">In!$F$108</definedName>
    <definedName function="false" hidden="false" name="q_opx_lo" vbProcedure="false">In!$D$108</definedName>
    <definedName function="false" hidden="false" name="q_sh" vbProcedure="false">In!$E$112</definedName>
    <definedName function="false" hidden="false" name="rel_27" vbProcedure="false">In!$E$62</definedName>
    <definedName function="false" hidden="false" name="rel_27_hi" vbProcedure="false">In!$F$62</definedName>
    <definedName function="false" hidden="false" name="rel_27_lo" vbProcedure="false">In!$D$62</definedName>
    <definedName function="false" hidden="false" name="rel_28" vbProcedure="false">In!$E$63</definedName>
    <definedName function="false" hidden="false" name="rel_28_hi" vbProcedure="false">In!$F$63</definedName>
    <definedName function="false" hidden="false" name="rel_28_lo" vbProcedure="false">In!$D$63</definedName>
    <definedName function="false" hidden="false" name="rel_29" vbProcedure="false">In!$E$64</definedName>
    <definedName function="false" hidden="false" name="rel_29_hi" vbProcedure="false">In!$F$64</definedName>
    <definedName function="false" hidden="false" name="rel_29_lo" vbProcedure="false">In!$D$64</definedName>
    <definedName function="false" hidden="false" name="RHI_27" vbProcedure="false">In!$F$62</definedName>
    <definedName function="false" hidden="false" name="RHI_28" vbProcedure="false">In!$F$63</definedName>
    <definedName function="false" hidden="false" name="RHI_29" vbProcedure="false">In!$F$64</definedName>
    <definedName function="false" hidden="false" name="RLO_27" vbProcedure="false">In!$D$62</definedName>
    <definedName function="false" hidden="false" name="RLO_28" vbProcedure="false">In!$D$63</definedName>
    <definedName function="false" hidden="false" name="RLO_29" vbProcedure="false">In!$D$64</definedName>
    <definedName function="false" hidden="false" name="sh_g" vbProcedure="false">In!$E$118</definedName>
    <definedName function="false" hidden="false" name="sh_g_hi" vbProcedure="false">In!$F$118</definedName>
    <definedName function="false" hidden="false" name="sh_g_lo" vbProcedure="false">In!$D$118</definedName>
    <definedName function="false" hidden="false" name="th_25" vbProcedure="false">In!$E$93</definedName>
    <definedName function="false" hidden="false" name="th_26" vbProcedure="false">In!$E$94</definedName>
    <definedName function="false" hidden="false" name="th_26_hi" vbProcedure="false">In!$F$94</definedName>
    <definedName function="false" hidden="false" name="th_26_lo" vbProcedure="false">In!$D$94</definedName>
    <definedName function="false" hidden="false" name="tp_comp" vbProcedure="false">Val!$B$36</definedName>
    <definedName function="false" hidden="false" name="tp_dcf" vbProcedure="false">Val!$B$24</definedName>
    <definedName function="false" hidden="false" name="tp_final" vbProcedure="false">Val!$B$40</definedName>
    <definedName function="false" hidden="false" name="tp_g" vbProcedure="false">In!$E$149</definedName>
    <definedName function="false" hidden="false" name="tp_r" vbProcedure="false">In!$E$148</definedName>
    <definedName function="false" hidden="false" name="tp_roe" vbProcedure="false">In!$E$150</definedName>
    <definedName function="false" hidden="false" name="tp_wA" vbProcedure="false">In!$E$145</definedName>
    <definedName function="false" hidden="false" name="tp_wB" vbProcedure="false">In!$E$146</definedName>
    <definedName function="false" hidden="false" name="tp_wC" vbProcedure="false">In!$E$147</definedName>
    <definedName function="false" hidden="false" name="tp_w_dcf" vbProcedure="false">In!$E$151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26" vbProcedure="false">In!$E$21</definedName>
    <definedName function="false" hidden="false" name="u_amd27" vbProcedure="false">In!$E$22</definedName>
    <definedName function="false" hidden="false" name="u_amd28" vbProcedure="false">In!$E$23</definedName>
    <definedName function="false" hidden="false" name="u_amd29" vbProcedure="false">In!$E$24</definedName>
    <definedName function="false" hidden="false" name="u_bw26" vbProcedure="false">In!$E$5</definedName>
    <definedName function="false" hidden="false" name="u_bw27" vbProcedure="false">In!$E$6</definedName>
    <definedName function="false" hidden="false" name="u_bw28" vbProcedure="false">In!$E$7</definedName>
    <definedName function="false" hidden="false" name="u_bw29" vbProcedure="false">In!$E$8</definedName>
    <definedName function="false" hidden="false" name="u_hp26" vbProcedure="false">In!$E$17</definedName>
    <definedName function="false" hidden="false" name="u_hp27" vbProcedure="false">In!$E$18</definedName>
    <definedName function="false" hidden="false" name="u_hp28" vbProcedure="false">In!$E$19</definedName>
    <definedName function="false" hidden="false" name="u_hp29" vbProcedure="false">In!$E$20</definedName>
    <definedName function="false" hidden="false" name="u_oth26" vbProcedure="false">In!$E$33</definedName>
    <definedName function="false" hidden="false" name="u_oth27" vbProcedure="false">In!$E$34</definedName>
    <definedName function="false" hidden="false" name="u_oth28" vbProcedure="false">In!$E$35</definedName>
    <definedName function="false" hidden="false" name="u_oth29" vbProcedure="false">In!$E$36</definedName>
    <definedName function="false" hidden="false" name="u_rb26" vbProcedure="false">In!$E$9</definedName>
    <definedName function="false" hidden="false" name="u_rb27" vbProcedure="false">In!$E$10</definedName>
    <definedName function="false" hidden="false" name="u_rb28" vbProcedure="false">In!$E$11</definedName>
    <definedName function="false" hidden="false" name="u_rb29" vbProcedure="false">In!$E$12</definedName>
    <definedName function="false" hidden="false" name="u_ru26" vbProcedure="false">In!$E$13</definedName>
    <definedName function="false" hidden="false" name="u_ru27" vbProcedure="false">In!$E$14</definedName>
    <definedName function="false" hidden="false" name="u_ru28" vbProcedure="false">In!$E$15</definedName>
    <definedName function="false" hidden="false" name="u_ru29" vbProcedure="false">In!$E$16</definedName>
    <definedName function="false" hidden="false" name="u_tpu26" vbProcedure="false">In!$E$25</definedName>
    <definedName function="false" hidden="false" name="u_tpu27" vbProcedure="false">In!$E$26</definedName>
    <definedName function="false" hidden="false" name="u_tpu28" vbProcedure="false">In!$E$27</definedName>
    <definedName function="false" hidden="false" name="u_tpu29" vbProcedure="false">In!$E$28</definedName>
    <definedName function="false" hidden="false" name="u_trn26" vbProcedure="false">In!$E$29</definedName>
    <definedName function="false" hidden="false" name="u_trn27" vbProcedure="false">In!$E$30</definedName>
    <definedName function="false" hidden="false" name="u_trn28" vbProcedure="false">In!$E$31</definedName>
    <definedName function="false" hidden="false" name="u_trn29" vbProcedure="false">In!$E$32</definedName>
    <definedName function="false" hidden="false" name="VRHI_27" vbProcedure="false">In!$F$48</definedName>
    <definedName function="false" hidden="false" name="VRHI_28" vbProcedure="false">In!$F$49</definedName>
    <definedName function="false" hidden="false" name="VRHI_29" vbProcedure="false">In!$F$50</definedName>
    <definedName function="false" hidden="false" name="VRLO_27" vbProcedure="false">In!$D$48</definedName>
    <definedName function="false" hidden="false" name="VRLO_28" vbProcedure="false">In!$D$49</definedName>
    <definedName function="false" hidden="false" name="VRLO_29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<sst xmlns="http://schemas.openxmlformats.org/spreadsheetml/2006/main" count="3796" uniqueCount="962">
  <si>
    <r>
      <rPr>
        <b val="true"/>
        <sz val="11"/>
        <rFont val="Noto Sans CJK SC"/>
        <family val="2"/>
      </rPr>
      <t xml:space="preserve">健策精密（</t>
    </r>
    <r>
      <rPr>
        <b val="true"/>
        <sz val="11"/>
        <rFont val="Cambria"/>
        <family val="0"/>
        <charset val="1"/>
      </rPr>
      <t xml:space="preserve">3653.TW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：電源與散熱次產業；均熱片、加強環、液冷冷板元件；樣板＝奇鋐）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</si>
  <si>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液冷滲透率改依情境字母（奇鋐），數值變動：本模型讀奇鋐同字母情境液冷市場，情境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的液冷冷板元件營收與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隨之變動，情境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（初版）。加速器顆數取自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同字母情境係數）；每顆均熱片金額、健策份額為本模型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頁）；液冷市場讀奇鋐模型 </t>
    </r>
    <r>
      <rPr>
        <sz val="11"/>
        <rFont val="Cambria"/>
        <family val="0"/>
        <charset val="1"/>
      </rPr>
      <t xml:space="preserve">avc/dist </t>
    </r>
    <r>
      <rPr>
        <sz val="11"/>
        <rFont val="Noto Sans CJK SC"/>
        <family val="2"/>
      </rPr>
      <t xml:space="preserve">同字母情境，健策液冷份額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</si>
  <si>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模型命題：健策的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每顆均熱片／上蓋金額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健策份額，加上液冷冷板元件（奇鋐模型液冷市場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健策份額）。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世代每顆金額約為 </t>
    </r>
    <r>
      <rPr>
        <sz val="11"/>
        <rFont val="Cambria"/>
        <family val="0"/>
        <charset val="1"/>
      </rPr>
      <t xml:space="preserve">Blackwell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倍，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年可拆式上蓋再提高單價；成長主要來自每顆金額，而非顆數。</t>
    </r>
  </si>
  <si>
    <r>
      <rPr>
        <sz val="11"/>
        <rFont val="Noto Sans CJK SC"/>
        <family val="2"/>
      </rPr>
      <t xml:space="preserve">核心問題：可拆式上蓋的滲透速度與單價、以及健策在新結構下的份額，能不能支撐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倍增；現價約 </t>
    </r>
    <r>
      <rPr>
        <sz val="11"/>
        <rFont val="Cambria"/>
        <family val="0"/>
        <charset val="1"/>
      </rPr>
      <t xml:space="preserve">59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（同業中位數約 </t>
    </r>
    <r>
      <rPr>
        <sz val="11"/>
        <rFont val="Cambria"/>
        <family val="0"/>
        <charset val="1"/>
      </rPr>
      <t xml:space="preserve">26 </t>
    </r>
    <r>
      <rPr>
        <sz val="11"/>
        <rFont val="Noto Sans CJK SC"/>
        <family val="2"/>
      </rPr>
      <t xml:space="preserve">倍）隱含的路徑合不合理。</t>
    </r>
  </si>
  <si>
    <r>
      <rPr>
        <b val="true"/>
        <sz val="11"/>
        <rFont val="Noto Sans CJK SC"/>
        <family val="2"/>
      </rPr>
      <t xml:space="preserve">投資建議：放空（依上檔空間固定規則；加權目標價 </t>
    </r>
    <r>
      <rPr>
        <b val="true"/>
        <sz val="11"/>
        <rFont val="Cambria"/>
        <family val="0"/>
        <charset val="1"/>
      </rPr>
      <t xml:space="preserve">NT$3,903</t>
    </r>
    <r>
      <rPr>
        <b val="true"/>
        <sz val="11"/>
        <rFont val="Noto Sans CJK SC"/>
        <family val="2"/>
      </rPr>
      <t xml:space="preserve">、上檔空間 −</t>
    </r>
    <r>
      <rPr>
        <b val="true"/>
        <sz val="11"/>
        <rFont val="Cambria"/>
        <family val="0"/>
        <charset val="1"/>
      </rPr>
      <t xml:space="preserve">35.7%</t>
    </r>
    <r>
      <rPr>
        <b val="true"/>
        <sz val="11"/>
        <rFont val="Noto Sans CJK SC"/>
        <family val="2"/>
      </rPr>
      <t xml:space="preserve">、級距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～−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；見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</t>
    </r>
  </si>
  <si>
    <r>
      <rPr>
        <b val="true"/>
        <sz val="11"/>
        <rFont val="Noto Sans CJK SC"/>
        <family val="2"/>
      </rPr>
      <t xml:space="preserve">重點觀察（</t>
    </r>
    <r>
      <rPr>
        <b val="true"/>
        <sz val="11"/>
        <rFont val="Cambria"/>
        <family val="0"/>
        <charset val="1"/>
      </rPr>
      <t xml:space="preserve">Andy 2026-10-25 14:00</t>
    </r>
    <r>
      <rPr>
        <b val="true"/>
        <sz val="11"/>
        <rFont val="Noto Sans CJK SC"/>
        <family val="2"/>
      </rPr>
      <t xml:space="preserve">；數字見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</t>
    </r>
  </si>
  <si>
    <r>
      <rPr>
        <sz val="11"/>
        <rFont val="Cambria"/>
        <family val="0"/>
        <charset val="1"/>
      </rPr>
      <t xml:space="preserve">1. </t>
    </r>
    <r>
      <rPr>
        <sz val="11"/>
        <rFont val="Noto Sans CJK SC"/>
        <family val="2"/>
      </rPr>
      <t xml:space="preserve">加權目標價 </t>
    </r>
    <r>
      <rPr>
        <sz val="11"/>
        <rFont val="Cambria"/>
        <family val="0"/>
        <charset val="1"/>
      </rPr>
      <t xml:space="preserve">NT$3,903</t>
    </r>
    <r>
      <rPr>
        <sz val="11"/>
        <rFont val="Noto Sans CJK SC"/>
        <family val="2"/>
      </rPr>
      <t xml:space="preserve">，上檔空間 −</t>
    </r>
    <r>
      <rPr>
        <sz val="11"/>
        <rFont val="Cambria"/>
        <family val="0"/>
        <charset val="1"/>
      </rPr>
      <t xml:space="preserve">35.7%</t>
    </r>
    <r>
      <rPr>
        <sz val="11"/>
        <rFont val="Noto Sans CJK SC"/>
        <family val="2"/>
      </rPr>
      <t xml:space="preserve">（級距 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），主因是倍數而非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176.8 </t>
    </r>
    <r>
      <rPr>
        <sz val="11"/>
        <rFont val="Noto Sans CJK SC"/>
        <family val="2"/>
      </rPr>
      <t xml:space="preserve">元比共識前瞻 </t>
    </r>
    <r>
      <rPr>
        <sz val="11"/>
        <rFont val="Cambria"/>
        <family val="0"/>
        <charset val="1"/>
      </rPr>
      <t xml:space="preserve">EPS 107.7 </t>
    </r>
    <r>
      <rPr>
        <sz val="11"/>
        <rFont val="Noto Sans CJK SC"/>
        <family val="2"/>
      </rPr>
      <t xml:space="preserve">元高 </t>
    </r>
    <r>
      <rPr>
        <sz val="11"/>
        <rFont val="Cambria"/>
        <family val="0"/>
        <charset val="1"/>
      </rPr>
      <t xml:space="preserve">64%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 </t>
    </r>
    <r>
      <rPr>
        <sz val="11"/>
        <rFont val="Cambria"/>
        <family val="0"/>
        <charset val="1"/>
      </rPr>
      <t xml:space="preserve">+64%</t>
    </r>
    <r>
      <rPr>
        <sz val="11"/>
        <rFont val="Noto Sans CJK SC"/>
        <family val="2"/>
      </rPr>
      <t xml:space="preserve">），但同業前瞻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中位數只有 </t>
    </r>
    <r>
      <rPr>
        <sz val="11"/>
        <rFont val="Cambria"/>
        <family val="0"/>
        <charset val="1"/>
      </rPr>
      <t xml:space="preserve">25.8x</t>
    </r>
    <r>
      <rPr>
        <sz val="11"/>
        <rFont val="Noto Sans CJK SC"/>
        <family val="2"/>
      </rPr>
      <t xml:space="preserve">（奇鋐 </t>
    </r>
    <r>
      <rPr>
        <sz val="11"/>
        <rFont val="Cambria"/>
        <family val="0"/>
        <charset val="1"/>
      </rPr>
      <t xml:space="preserve">27.0x</t>
    </r>
    <r>
      <rPr>
        <sz val="11"/>
        <rFont val="Noto Sans CJK SC"/>
        <family val="2"/>
      </rPr>
      <t xml:space="preserve">、雙鴻 </t>
    </r>
    <r>
      <rPr>
        <sz val="11"/>
        <rFont val="Cambria"/>
        <family val="0"/>
        <charset val="1"/>
      </rPr>
      <t xml:space="preserve">17.3x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Vertiv 24.5x</t>
    </r>
    <r>
      <rPr>
        <sz val="11"/>
        <rFont val="Noto Sans CJK SC"/>
        <family val="2"/>
      </rPr>
      <t xml:space="preserve">、台達電 </t>
    </r>
    <r>
      <rPr>
        <sz val="11"/>
        <rFont val="Cambria"/>
        <family val="0"/>
        <charset val="1"/>
      </rPr>
      <t xml:space="preserve">30.5x</t>
    </r>
    <r>
      <rPr>
        <sz val="11"/>
        <rFont val="Noto Sans CJK SC"/>
        <family val="2"/>
      </rPr>
      <t xml:space="preserve">），市場共識目標價 </t>
    </r>
    <r>
      <rPr>
        <sz val="11"/>
        <rFont val="Cambria"/>
        <family val="0"/>
        <charset val="1"/>
      </rPr>
      <t xml:space="preserve">7,204 </t>
    </r>
    <r>
      <rPr>
        <sz val="11"/>
        <rFont val="Noto Sans CJK SC"/>
        <family val="2"/>
      </rPr>
      <t xml:space="preserve">元隱含 </t>
    </r>
    <r>
      <rPr>
        <sz val="11"/>
        <rFont val="Cambria"/>
        <family val="0"/>
        <charset val="1"/>
      </rPr>
      <t xml:space="preserve">66.9x</t>
    </r>
    <r>
      <rPr>
        <sz val="11"/>
        <rFont val="Noto Sans CJK SC"/>
        <family val="2"/>
      </rPr>
      <t xml:space="preserve">（倍數因素 </t>
    </r>
    <r>
      <rPr>
        <sz val="11"/>
        <rFont val="Cambria"/>
        <family val="0"/>
        <charset val="1"/>
      </rPr>
      <t xml:space="preserve">+159%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未給健策均熱片寡占溢價，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3,247 </t>
    </r>
    <r>
      <rPr>
        <sz val="11"/>
        <rFont val="Noto Sans CJK SC"/>
        <family val="2"/>
      </rPr>
      <t xml:space="preserve">元，</t>
    </r>
    <r>
      <rPr>
        <sz val="11"/>
        <rFont val="Cambria"/>
        <family val="0"/>
        <charset val="1"/>
      </rPr>
      <t xml:space="preserve">ROE 24% </t>
    </r>
    <r>
      <rPr>
        <sz val="11"/>
        <rFont val="Noto Sans CJK SC"/>
        <family val="2"/>
      </rPr>
      <t xml:space="preserve">使再投資率 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）也低於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4,558 </t>
    </r>
    <r>
      <rPr>
        <sz val="11"/>
        <rFont val="Noto Sans CJK SC"/>
        <family val="2"/>
      </rPr>
      <t xml:space="preserve">元）。</t>
    </r>
  </si>
  <si>
    <r>
      <rPr>
        <sz val="11"/>
        <rFont val="Cambria"/>
        <family val="0"/>
        <charset val="1"/>
      </rPr>
      <t xml:space="preserve">2. </t>
    </r>
    <r>
      <rPr>
        <sz val="11"/>
        <rFont val="Noto Sans CJK SC"/>
        <family val="2"/>
      </rPr>
      <t xml:space="preserve">可拆式上蓋（</t>
    </r>
    <r>
      <rPr>
        <sz val="11"/>
        <rFont val="Cambria"/>
        <family val="0"/>
        <charset val="1"/>
      </rPr>
      <t xml:space="preserve">TR lid</t>
    </r>
    <r>
      <rPr>
        <sz val="11"/>
        <rFont val="Noto Sans CJK SC"/>
        <family val="2"/>
      </rPr>
      <t xml:space="preserve">）單價是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最大的公司變數：基準假設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US$150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US$100</t>
    </r>
    <r>
      <rPr>
        <sz val="11"/>
        <rFont val="Noto Sans CJK SC"/>
        <family val="2"/>
      </rPr>
      <t xml:space="preserve">），若達本國投顧假設的 </t>
    </r>
    <r>
      <rPr>
        <sz val="11"/>
        <rFont val="Cambria"/>
        <family val="0"/>
        <charset val="1"/>
      </rPr>
      <t xml:space="preserve">US$200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147.8 </t>
    </r>
    <r>
      <rPr>
        <sz val="11"/>
        <rFont val="Noto Sans CJK SC"/>
        <family val="2"/>
      </rPr>
      <t xml:space="preserve">升到 </t>
    </r>
    <r>
      <rPr>
        <sz val="11"/>
        <rFont val="Cambria"/>
        <family val="0"/>
        <charset val="1"/>
      </rPr>
      <t xml:space="preserve">173.7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+17.5%</t>
    </r>
    <r>
      <rPr>
        <sz val="11"/>
        <rFont val="Noto Sans CJK SC"/>
        <family val="2"/>
      </rPr>
      <t xml:space="preserve">），若只有 </t>
    </r>
    <r>
      <rPr>
        <sz val="11"/>
        <rFont val="Cambria"/>
        <family val="0"/>
        <charset val="1"/>
      </rPr>
      <t xml:space="preserve">US$110 </t>
    </r>
    <r>
      <rPr>
        <sz val="11"/>
        <rFont val="Noto Sans CJK SC"/>
        <family val="2"/>
      </rPr>
      <t xml:space="preserve">則降到 </t>
    </r>
    <r>
      <rPr>
        <sz val="11"/>
        <rFont val="Cambria"/>
        <family val="0"/>
        <charset val="1"/>
      </rPr>
      <t xml:space="preserve">127.1 </t>
    </r>
    <r>
      <rPr>
        <sz val="11"/>
        <rFont val="Noto Sans CJK SC"/>
        <family val="2"/>
      </rPr>
      <t xml:space="preserve">元（−</t>
    </r>
    <r>
      <rPr>
        <sz val="11"/>
        <rFont val="Cambria"/>
        <family val="0"/>
        <charset val="1"/>
      </rPr>
      <t xml:space="preserve">14.0%</t>
    </r>
    <r>
      <rPr>
        <sz val="11"/>
        <rFont val="Noto Sans CJK SC"/>
        <family val="2"/>
      </rPr>
      <t xml:space="preserve">）；追蹤 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送樣與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年第一季量產（大和、本國投顧）以及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）的毛利率是否達本模型假設的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</si>
  <si>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3. </t>
    </r>
    <r>
      <rPr>
        <sz val="11"/>
        <rFont val="Noto Sans CJK SC"/>
        <family val="2"/>
      </rPr>
      <t xml:space="preserve">份額與液冷是次要變數：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）校準出健策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均熱片份額 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；液冷冷板元件份額基準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2.5%</t>
    </r>
    <r>
      <rPr>
        <sz val="11"/>
        <rFont val="Noto Sans CJK SC"/>
        <family val="2"/>
      </rPr>
      <t xml:space="preserve">，與奇鋐模型份額（</t>
    </r>
    <r>
      <rPr>
        <sz val="11"/>
        <rFont val="Cambria"/>
        <family val="0"/>
        <charset val="1"/>
      </rPr>
      <t xml:space="preserve">47%→42%</t>
    </r>
    <r>
      <rPr>
        <sz val="11"/>
        <rFont val="Noto Sans CJK SC"/>
        <family val="2"/>
      </rPr>
      <t xml:space="preserve">）合計不到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，其餘為雙鴻、酷碼、台達電等；</t>
    </r>
    <r>
      <rPr>
        <sz val="11"/>
        <rFont val="Cambria"/>
        <family val="0"/>
        <charset val="1"/>
      </rPr>
      <t xml:space="preserve">MCL </t>
    </r>
    <r>
      <rPr>
        <sz val="11"/>
        <rFont val="Noto Sans CJK SC"/>
        <family val="2"/>
      </rPr>
      <t xml:space="preserve">驗證與 </t>
    </r>
    <r>
      <rPr>
        <sz val="11"/>
        <rFont val="Cambria"/>
        <family val="0"/>
        <charset val="1"/>
      </rPr>
      <t xml:space="preserve">MLCP </t>
    </r>
    <r>
      <rPr>
        <sz val="11"/>
        <rFont val="Noto Sans CJK SC"/>
        <family val="2"/>
      </rPr>
      <t xml:space="preserve">認證（市場傳言）是否轉為營收，可由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年月營收與法說檢驗。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</si>
  <si>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為收斂法。金額：十億新台幣；每顆金額與液冷市場以美元計、以匯率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</si>
  <si>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</si>
  <si>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均熱片：</t>
    </r>
    <r>
      <rPr>
        <sz val="11"/>
        <rFont val="Cambria"/>
        <family val="0"/>
        <charset val="1"/>
      </rPr>
      <t xml:space="preserve">markets/network Units </t>
    </r>
    <r>
      <rPr>
        <sz val="11"/>
        <rFont val="Noto Sans CJK SC"/>
        <family val="2"/>
      </rPr>
      <t xml:space="preserve">頁加速器顆數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每顆金額（</t>
    </r>
    <r>
      <rPr>
        <sz val="11"/>
        <rFont val="Cambria"/>
        <family val="0"/>
        <charset val="1"/>
      </rPr>
      <t xml:space="preserve">Blackwell US$35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2026 US$100 → 2027 150 → 2028 180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200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40 → 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30 → 40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</si>
  <si>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液冷冷板元件：奇鋐模型 </t>
    </r>
    <r>
      <rPr>
        <sz val="11"/>
        <rFont val="Cambria"/>
        <family val="0"/>
        <charset val="1"/>
      </rPr>
      <t xml:space="preserve">avc/dist PL </t>
    </r>
    <r>
      <rPr>
        <sz val="11"/>
        <rFont val="Noto Sans CJK SC"/>
        <family val="2"/>
      </rPr>
      <t xml:space="preserve">頁同字母情境的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液冷市場（美元）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2027 0.8%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）。其他散熱（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均熱片、交換器加強環、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ILM</t>
    </r>
    <r>
      <rPr>
        <sz val="11"/>
        <rFont val="Noto Sans CJK SC"/>
        <family val="2"/>
      </rPr>
      <t xml:space="preserve">、車用水冷）與導線架另設成長率。毛利率：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</si>
  <si>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94.93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財報預計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</si>
  <si>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目標價（奇鋐、雙鴻、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</si>
  <si>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</si>
  <si>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、奇鋐液冷市場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；可拆式上蓋單價、份額相對值、液冷份額取高值）；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、低值）；其他散熱、導線架各情境相同。可拆式上蓋滲透屬技術替代，依規則與行業同字母（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＝快）。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</si>
  <si>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</si>
  <si>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加速器均熱片占營收比（</t>
    </r>
    <r>
      <rPr>
        <sz val="11"/>
        <rFont val="Cambria"/>
        <family val="0"/>
        <charset val="1"/>
      </rPr>
      <t xml:space="preserve">2026 40%</t>
    </r>
    <r>
      <rPr>
        <sz val="11"/>
        <rFont val="Noto Sans CJK SC"/>
        <family val="2"/>
      </rPr>
      <t xml:space="preserve">）與各客戶份額未揭露，為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每顆金額只有媒體轉述的單一來源（理財周刊），可拆式上蓋單價為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液冷份額為新產品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FactSet 5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中位數推算，較舊；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</si>
  <si>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）；每顆均熱片金額為美元、液冷市場為十億美元；比例：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</si>
  <si>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未使用。公司原文＝健策財報、月營收與自結損益公告（經資料商與媒體轉述）；公司的產品與出貨說法為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</si>
  <si>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</si>
  <si>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</si>
  <si>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</si>
  <si>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</si>
  <si>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</si>
  <si>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</si>
  <si>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</si>
  <si>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</si>
  <si>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</si>
  <si>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Units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同字母顆數係數縮放）</t>
    </r>
  </si>
  <si>
    <t xml:space="preserve">u_bw26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</si>
  <si>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</si>
  <si>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</si>
  <si>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</si>
  <si>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Units!B4:E4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</si>
  <si>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</si>
  <si>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u_bw27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</si>
  <si>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</si>
  <si>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同上</t>
  </si>
  <si>
    <t xml:space="preserve">u_bw28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</si>
  <si>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</si>
  <si>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u_bw29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</si>
  <si>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</si>
  <si>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u_rb26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</si>
  <si>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</si>
  <si>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Units!B5:E5</t>
    </r>
  </si>
  <si>
    <t xml:space="preserve">u_rb27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</si>
  <si>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</si>
  <si>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u_rb28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</si>
  <si>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</si>
  <si>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u_rb29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</si>
  <si>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</si>
  <si>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u_ru26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</si>
  <si>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</si>
  <si>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Units!B6:E6</t>
    </r>
  </si>
  <si>
    <t xml:space="preserve">u_ru27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</si>
  <si>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</si>
  <si>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u_ru28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</si>
  <si>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</si>
  <si>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u_ru29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</si>
  <si>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</si>
  <si>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u_hp26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</si>
  <si>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</si>
  <si>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Units!B7:E7</t>
    </r>
  </si>
  <si>
    <t xml:space="preserve">u_hp27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</si>
  <si>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</si>
  <si>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u_hp28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</si>
  <si>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</si>
  <si>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u_hp29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</si>
  <si>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</si>
  <si>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u_amd26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</si>
  <si>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</si>
  <si>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</si>
  <si>
    <t xml:space="preserve">u_amd27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</si>
  <si>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</si>
  <si>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u_amd28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</si>
  <si>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</si>
  <si>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u_amd29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</si>
  <si>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</si>
  <si>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u_tpu26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</si>
  <si>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</si>
  <si>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</si>
  <si>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t xml:space="preserve">u_tpu27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</si>
  <si>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</si>
  <si>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u_tpu28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</si>
  <si>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</si>
  <si>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u_tpu29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</si>
  <si>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</si>
  <si>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u_trn26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</si>
  <si>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</si>
  <si>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</si>
  <si>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t xml:space="preserve">u_trn27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</si>
  <si>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</si>
  <si>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u_trn28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</si>
  <si>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</si>
  <si>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u_trn29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</si>
  <si>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</si>
  <si>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</si>
  <si>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</si>
  <si>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Units!B11:E11</t>
    </r>
  </si>
  <si>
    <t xml:space="preserve">u_oth27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</si>
  <si>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</si>
  <si>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u_oth28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</si>
  <si>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</si>
  <si>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u_oth29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</si>
  <si>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</si>
  <si>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</si>
  <si>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</si>
  <si>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</si>
  <si>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</si>
  <si>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</si>
  <si>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</si>
  <si>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</si>
  <si>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</si>
  <si>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</si>
  <si>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</si>
  <si>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</si>
  <si>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</si>
  <si>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</si>
  <si>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</si>
  <si>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</si>
  <si>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</si>
  <si>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</si>
  <si>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</si>
  <si>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</si>
  <si>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</si>
  <si>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</si>
  <si>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</si>
  <si>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</si>
  <si>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</si>
  <si>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與奇鋐、台達電、金像電模型相同（</t>
    </r>
    <r>
      <rPr>
        <sz val="11"/>
        <color theme="1"/>
        <rFont val="Calibri"/>
        <family val="2"/>
        <charset val="1"/>
      </rPr>
      <t xml:space="preserve">avc/dist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</si>
  <si>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 </t>
    </r>
    <r>
      <rPr>
        <sz val="11"/>
        <color theme="1"/>
        <rFont val="Noto Sans CJK SC"/>
        <family val="2"/>
      </rPr>
      <t xml:space="preserve">頁面 </t>
    </r>
    <r>
      <rPr>
        <sz val="11"/>
        <color theme="1"/>
        <rFont val="Calibri"/>
        <family val="2"/>
        <charset val="1"/>
      </rPr>
      <t xml:space="preserve">32.508</t>
    </r>
    <r>
      <rPr>
        <sz val="11"/>
        <color theme="1"/>
        <rFont val="Noto Sans CJK SC"/>
        <family val="2"/>
      </rPr>
      <t xml:space="preserve">（只作參考）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</si>
  <si>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每顆加速器均熱片／上蓋／加強環金額（美元；可拆式上蓋滲透為技術替代：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取高值＝快、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取低值＝慢）</t>
    </r>
  </si>
  <si>
    <t xml:space="preserve">asp_bw</t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</si>
  <si>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）每顆均熱片＋加強環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</si>
  <si>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</si>
  <si>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Interested-party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</si>
  <si>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US$30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</si>
  <si>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加強環另計 </t>
    </r>
    <r>
      <rPr>
        <sz val="11"/>
        <color theme="1"/>
        <rFont val="Calibri"/>
        <family val="2"/>
        <charset val="1"/>
      </rPr>
      <t xml:space="preserve">US$5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</si>
  <si>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asp_hp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</si>
  <si>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每顆均熱片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</si>
  <si>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單價低於 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</si>
  <si>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起顆數為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</si>
  <si>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t xml:space="preserve">asp_vr_26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</si>
  <si>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</si>
  <si>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US$100</t>
    </r>
    <r>
      <rPr>
        <sz val="11"/>
        <color theme="1"/>
        <rFont val="Noto Sans CJK SC"/>
        <family val="2"/>
      </rPr>
      <t xml:space="preserve">、較前代高約六成（理財周刊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</si>
  <si>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</si>
  <si>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asp_vr_27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</si>
  <si>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</si>
  <si>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：本國投顧假設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800–900 </t>
    </r>
    <r>
      <rPr>
        <sz val="11"/>
        <color theme="1"/>
        <rFont val="Noto Sans CJK SC"/>
        <family val="2"/>
      </rPr>
      <t xml:space="preserve">萬顆採可拆式上蓋、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</si>
  <si>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可拆式上蓋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年第一季量產（大和、本國投顧，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）；基準＝約一半出貨採可拆式（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</si>
  <si>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asp_vr_28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</si>
  <si>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</si>
  <si>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asp_vr_29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</si>
  <si>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</si>
  <si>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</si>
  <si>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每顆可拆式上蓋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</si>
  <si>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</si>
  <si>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年第一季採用（經濟日報）</t>
    </r>
  </si>
  <si>
    <t xml:space="preserve">asp_amd_26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</si>
  <si>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</si>
  <si>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長期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核心供應商（口袋學堂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）</t>
    </r>
  </si>
  <si>
    <t xml:space="preserve">單價：未找到</t>
  </si>
  <si>
    <t xml:space="preserve">asp_amd_27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</si>
  <si>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</si>
  <si>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採可拆式上蓋、單價更高（本國投顧）</t>
    </r>
  </si>
  <si>
    <t xml:space="preserve">asp_amd_28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</si>
  <si>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2028</t>
    </r>
  </si>
  <si>
    <t xml:space="preserve">asp_amd_29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</si>
  <si>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2029</t>
    </r>
  </si>
  <si>
    <t xml:space="preserve">asp_asic_26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</si>
  <si>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</si>
  <si>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：多項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產品採用加強環（</t>
    </r>
    <r>
      <rPr>
        <sz val="11"/>
        <color theme="1"/>
        <rFont val="Calibri"/>
        <family val="2"/>
        <charset val="1"/>
      </rPr>
      <t xml:space="preserve">stiffener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較高（工商時報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</si>
  <si>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Trainium3 </t>
    </r>
    <r>
      <rPr>
        <sz val="11"/>
        <color theme="1"/>
        <rFont val="Noto Sans CJK SC"/>
        <family val="2"/>
      </rPr>
      <t xml:space="preserve">為客戶（口袋學堂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）；單價：未找到</t>
    </r>
  </si>
  <si>
    <t xml:space="preserve">asp_asic_27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</si>
  <si>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2027</t>
    </r>
  </si>
  <si>
    <t xml:space="preserve">asp_asic_28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</si>
  <si>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2028</t>
    </r>
  </si>
  <si>
    <t xml:space="preserve">asp_asic_29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</si>
  <si>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</si>
  <si>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健策份額（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均熱片營收校準）與液冷冷板元件份額</t>
    </r>
  </si>
  <si>
    <t xml:space="preserve">k_non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</si>
  <si>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</si>
  <si>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</si>
  <si>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客戶多、供應商分散（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校準出的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</si>
  <si>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rel_27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</si>
  <si>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</si>
  <si>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可拆式上蓋（</t>
    </r>
    <r>
      <rPr>
        <sz val="11"/>
        <color theme="1"/>
        <rFont val="Calibri"/>
        <family val="2"/>
        <charset val="1"/>
      </rPr>
      <t xml:space="preserve">TR lid</t>
    </r>
    <r>
      <rPr>
        <sz val="11"/>
        <color theme="1"/>
        <rFont val="Noto Sans CJK SC"/>
        <family val="2"/>
      </rPr>
      <t xml:space="preserve">）結構複雜、單價數倍，新供應商可能切入（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小量送樣（優分析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</si>
  <si>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對手份額：未找到</t>
  </si>
  <si>
    <t xml:space="preserve">rel_28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</si>
  <si>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</si>
  <si>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</si>
  <si>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</si>
  <si>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</si>
  <si>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</si>
  <si>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%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</si>
  <si>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</si>
  <si>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</si>
  <si>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lcs_28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</si>
  <si>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</si>
  <si>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</si>
  <si>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</si>
  <si>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lmkA_26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</si>
  <si>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</si>
  <si>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</si>
  <si>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PL!D68:G68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</si>
  <si>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（機架內冷板＋分歧管；不含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）；雙鴻模型（</t>
    </r>
    <r>
      <rPr>
        <sz val="11"/>
        <color theme="1"/>
        <rFont val="Calibri"/>
        <family val="2"/>
        <charset val="1"/>
      </rPr>
      <t xml:space="preserve">auras/</t>
    </r>
    <r>
      <rPr>
        <sz val="11"/>
        <color theme="1"/>
        <rFont val="Noto Sans CJK SC"/>
        <family val="2"/>
      </rPr>
      <t xml:space="preserve">）未在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，依工作單讀奇鋐模型</t>
    </r>
  </si>
  <si>
    <t xml:space="preserve">lmkA_27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</si>
  <si>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</si>
  <si>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</si>
  <si>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</si>
  <si>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</si>
  <si>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</si>
  <si>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</si>
  <si>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</si>
  <si>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PL!D109:G109</t>
    </r>
  </si>
  <si>
    <t xml:space="preserve">lmkB_27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</si>
  <si>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</si>
  <si>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</si>
  <si>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</si>
  <si>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</si>
  <si>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</si>
  <si>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</si>
  <si>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</si>
  <si>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PL!D150:G150</t>
    </r>
  </si>
  <si>
    <t xml:space="preserve">lmkC_27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</si>
  <si>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</si>
  <si>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</si>
  <si>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</si>
  <si>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</si>
  <si>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</si>
  <si>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avshA_26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</si>
  <si>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</si>
  <si>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PL!D72:G72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</si>
  <si>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份額合計檢查</t>
    </r>
  </si>
  <si>
    <t xml:space="preserve">avshA_27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</si>
  <si>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</si>
  <si>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</si>
  <si>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</si>
  <si>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</si>
  <si>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</si>
  <si>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</si>
  <si>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</si>
  <si>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PL!D113:G113</t>
    </r>
  </si>
  <si>
    <t xml:space="preserve">avshB_27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</si>
  <si>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</si>
  <si>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</si>
  <si>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</si>
  <si>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</si>
  <si>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</si>
  <si>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</si>
  <si>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</si>
  <si>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PL!D154:G154</t>
    </r>
  </si>
  <si>
    <t xml:space="preserve">avshC_27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</si>
  <si>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</si>
  <si>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</si>
  <si>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</si>
  <si>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</si>
  <si>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</si>
  <si>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</si>
  <si>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th_25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</si>
  <si>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年散熱產品（均熱片、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、車用水冷模組等）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</si>
  <si>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年散熱產品占營收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</si>
  <si>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</si>
  <si>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th_26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</si>
  <si>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年散熱產品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</si>
  <si>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散熱產品約 </t>
    </r>
    <r>
      <rPr>
        <sz val="11"/>
        <color theme="1"/>
        <rFont val="Calibri"/>
        <family val="2"/>
        <charset val="1"/>
      </rPr>
      <t xml:space="preserve">77%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</si>
  <si>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散熱 </t>
    </r>
    <r>
      <rPr>
        <sz val="11"/>
        <color theme="1"/>
        <rFont val="Calibri"/>
        <family val="2"/>
        <charset val="1"/>
      </rPr>
      <t xml:space="preserve">65.54%</t>
    </r>
    <r>
      <rPr>
        <sz val="11"/>
        <color theme="1"/>
        <rFont val="Noto Sans CJK SC"/>
        <family val="2"/>
      </rPr>
      <t xml:space="preserve">、導線架 </t>
    </r>
    <r>
      <rPr>
        <sz val="11"/>
        <color theme="1"/>
        <rFont val="Calibri"/>
        <family val="2"/>
        <charset val="1"/>
      </rPr>
      <t xml:space="preserve">13.64%</t>
    </r>
    <r>
      <rPr>
        <sz val="11"/>
        <color theme="1"/>
        <rFont val="Noto Sans CJK SC"/>
        <family val="2"/>
      </rPr>
      <t xml:space="preserve">（同文另稱約七成，口徑不一）；本國投顧：均熱片維持八成以上（經濟日報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</si>
  <si>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</si>
  <si>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</si>
  <si>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均熱片）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</si>
  <si>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</si>
  <si>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</si>
  <si>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</si>
  <si>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未找到；推論：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× US$100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× US$35 ≈ US$0.37B ≈ </t>
    </r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36%</t>
    </r>
  </si>
  <si>
    <r>
      <rPr>
        <sz val="11"/>
        <color theme="1"/>
        <rFont val="Noto Sans CJK SC"/>
        <family val="2"/>
      </rPr>
      <t xml:space="preserve">其餘散熱＝伺服器與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</t>
    </r>
  </si>
  <si>
    <t xml:space="preserve">g_oth_27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</si>
  <si>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</si>
  <si>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Quantum-X </t>
    </r>
    <r>
      <rPr>
        <sz val="11"/>
        <color theme="1"/>
        <rFont val="Noto Sans CJK SC"/>
        <family val="2"/>
      </rPr>
      <t xml:space="preserve">交換器加強環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年貢獻（工商時報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</si>
  <si>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均熱片、</t>
    </r>
    <r>
      <rPr>
        <sz val="11"/>
        <color theme="1"/>
        <rFont val="Calibri"/>
        <family val="2"/>
        <charset val="1"/>
      </rPr>
      <t xml:space="preserve">Intel CPU </t>
    </r>
    <r>
      <rPr>
        <sz val="11"/>
        <color theme="1"/>
        <rFont val="Noto Sans CJK SC"/>
        <family val="2"/>
      </rPr>
      <t xml:space="preserve">載具與插槽成長（本國投顧）</t>
    </r>
  </si>
  <si>
    <t xml:space="preserve">g_oth_28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</si>
  <si>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</si>
  <si>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g_oth_29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</si>
  <si>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</si>
  <si>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g_lf_27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</si>
  <si>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</si>
  <si>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車用平台帶動導線架需求（口袋學堂，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</si>
  <si>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g_lf_28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</si>
  <si>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</si>
  <si>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g_lf_29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</si>
  <si>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</si>
  <si>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</si>
  <si>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</si>
  <si>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</si>
  <si>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</si>
  <si>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41.6% → 1Q26 41.8% → 2Q26 46.8%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），同期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</si>
  <si>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；券商：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</si>
  <si>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財報預計 </t>
    </r>
    <r>
      <rPr>
        <b val="true"/>
        <sz val="11"/>
        <rFont val="Cambria"/>
        <family val="0"/>
        <charset val="1"/>
      </rPr>
      <t xml:space="preserve">2026-11-09</t>
    </r>
    <r>
      <rPr>
        <b val="true"/>
        <sz val="11"/>
        <rFont val="Noto Sans CJK SC"/>
        <family val="2"/>
      </rPr>
      <t xml:space="preserve">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</si>
  <si>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</si>
  <si>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</si>
  <si>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</si>
  <si>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</si>
  <si>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億（− </t>
    </r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94.93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</si>
  <si>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億（財報狗）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</si>
  <si>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</si>
  <si>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</si>
  <si>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），與本假設推得的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淨利率相近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</si>
  <si>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（大和）：大和估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、營益率至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</si>
  <si>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</si>
  <si>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</si>
  <si>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：毛利 − 營業利益）</t>
    </r>
  </si>
  <si>
    <r>
      <rPr>
        <sz val="11"/>
        <color theme="1"/>
        <rFont val="Noto Sans CJK SC"/>
        <family val="2"/>
      </rPr>
      <t xml:space="preserve">營收放大、費用率下降（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</si>
  <si>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</si>
  <si>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</si>
  <si>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</si>
  <si>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月出貨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萬片（工商時報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</si>
  <si>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</si>
  <si>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</si>
  <si>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+0.092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：稅前 − 營業利益）</t>
    </r>
  </si>
  <si>
    <r>
      <rPr>
        <sz val="11"/>
        <color theme="1"/>
        <rFont val="Calibri"/>
        <family val="2"/>
        <charset val="1"/>
      </rPr>
      <t xml:space="preserve">FY2025 −0.37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+0.24</t>
    </r>
    <r>
      <rPr>
        <sz val="11"/>
        <color theme="1"/>
        <rFont val="Noto Sans CJK SC"/>
        <family val="2"/>
      </rPr>
      <t xml:space="preserve">（匯兌）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</si>
  <si>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</si>
  <si>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</si>
  <si>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：歸母淨利 </t>
    </r>
    <r>
      <rPr>
        <sz val="11"/>
        <color theme="1"/>
        <rFont val="Calibri"/>
        <family val="2"/>
        <charset val="1"/>
      </rPr>
      <t xml:space="preserve">37.16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46.16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</si>
  <si>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52.77 ÷ 66.07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0.799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</si>
  <si>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</si>
  <si>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</si>
  <si>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</si>
  <si>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37.16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25.33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</si>
  <si>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個股頁：流通股數 </t>
    </r>
    <r>
      <rPr>
        <sz val="11"/>
        <color theme="1"/>
        <rFont val="Calibri"/>
        <family val="2"/>
        <charset val="1"/>
      </rPr>
      <t xml:space="preserve">146.73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</si>
  <si>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</si>
  <si>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</si>
  <si>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</si>
  <si>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</si>
  <si>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營收倍增期費用率下降（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</si>
  <si>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</si>
  <si>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</si>
  <si>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</si>
  <si>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</si>
  <si>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</si>
  <si>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</si>
  <si>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+0.11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+0.17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</si>
  <si>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</si>
  <si>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</si>
  <si>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</si>
  <si>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</si>
  <si>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</si>
  <si>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</si>
  <si>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0.1436 → 1H26 0.1467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</si>
  <si>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可轉債、現金增資：未找到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</si>
  <si>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</si>
  <si>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</si>
  <si>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23.7M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15.2M</t>
    </r>
    <r>
      <rPr>
        <sz val="11"/>
        <color theme="1"/>
        <rFont val="Noto Sans CJK SC"/>
        <family val="2"/>
      </rPr>
      <t xml:space="preserve">）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</si>
  <si>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</si>
  <si>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</si>
  <si>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</si>
  <si>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</si>
  <si>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32.4–33.3B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</si>
  <si>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</si>
  <si>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</si>
  <si>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</si>
  <si>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頁（區間 </t>
    </r>
    <r>
      <rPr>
        <sz val="11"/>
        <color theme="1"/>
        <rFont val="Calibri"/>
        <family val="2"/>
        <charset val="1"/>
      </rPr>
      <t xml:space="preserve">68.78–71.65</t>
    </r>
    <r>
      <rPr>
        <sz val="11"/>
        <color theme="1"/>
        <rFont val="Noto Sans CJK SC"/>
        <family val="2"/>
      </rPr>
      <t xml:space="preserve">）</t>
    </r>
  </si>
  <si>
    <t xml:space="preserve">fs_rev26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</si>
  <si>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</si>
  <si>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</si>
  <si>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較舊（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月）；較新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調查：未找到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</si>
  <si>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</si>
  <si>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</si>
  <si>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121.01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191.02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</si>
  <si>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</si>
  <si>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</si>
  <si>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</si>
  <si>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</si>
  <si>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</si>
  <si>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</si>
  <si>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</si>
  <si>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</si>
  <si>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ab_eps26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</si>
  <si>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</si>
  <si>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轉引，券商名未載明）</t>
    </r>
  </si>
  <si>
    <t xml:space="preserve">ab_eps27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</si>
  <si>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</si>
  <si>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ab_eps28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</si>
  <si>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</si>
  <si>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mw_eps27</t>
  </si>
  <si>
    <r>
      <rPr>
        <sz val="11"/>
        <color theme="1"/>
        <rFont val="Noto Sans CJK SC"/>
        <family val="2"/>
      </rPr>
      <t xml:space="preserve">分析師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</si>
  <si>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</si>
  <si>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60.98</t>
    </r>
  </si>
  <si>
    <t xml:space="preserve">dw_q3rev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</si>
  <si>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</si>
  <si>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</si>
  <si>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73x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</si>
  <si>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dw_q3eps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</si>
  <si>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</si>
  <si>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20.37</t>
    </r>
  </si>
  <si>
    <t xml:space="preserve">bb_q3eps</t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</si>
  <si>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（經大和轉引）</t>
    </r>
  </si>
  <si>
    <t xml:space="preserve">ld_g27</t>
  </si>
  <si>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</si>
  <si>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</si>
  <si>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</si>
  <si>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</si>
  <si>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</si>
  <si>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</si>
  <si>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465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7.12%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</si>
  <si>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</si>
  <si>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</si>
  <si>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</si>
  <si>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財報狗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</si>
  <si>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44.31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</si>
  <si>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</si>
  <si>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2026-08-27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5,645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</si>
  <si>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</t>
    </r>
  </si>
  <si>
    <r>
      <rPr>
        <sz val="11"/>
        <color theme="1"/>
        <rFont val="Noto Sans CJK SC"/>
        <family val="2"/>
      </rPr>
      <t xml:space="preserve">較新的前瞻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：未找到（頁面快取）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</si>
  <si>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</si>
  <si>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0.2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FactSet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</si>
  <si>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69.96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117.18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</si>
  <si>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的直接數字：未找到；大和稱其 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</si>
  <si>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</si>
  <si>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</si>
  <si>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4,500–10,000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</si>
  <si>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，較舊）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</si>
  <si>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</si>
  <si>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</si>
  <si>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</si>
  <si>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</si>
  <si>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</si>
  <si>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</si>
  <si>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</si>
  <si>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</si>
  <si>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</si>
  <si>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</si>
  <si>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</si>
  <si>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</si>
  <si>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</si>
  <si>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</si>
  <si>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</si>
  <si>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</si>
  <si>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</si>
  <si>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</si>
  <si>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</si>
  <si>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</si>
  <si>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</si>
  <si>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</si>
  <si>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</si>
  <si>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</si>
  <si>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25.30%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28.16%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</si>
  <si>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（同值）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</si>
  <si>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</si>
  <si>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</si>
  <si>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</si>
  <si>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</si>
  <si>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</si>
  <si>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</si>
  <si>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</si>
  <si>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</si>
  <si>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</si>
  <si>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</si>
  <si>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</si>
  <si>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</si>
  <si>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</si>
  <si>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</si>
  <si>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</si>
  <si>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</si>
  <si>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</si>
  <si>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</si>
  <si>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</si>
  <si>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</si>
  <si>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為新台幣；股數為十億股）。藍字＝輸入；黑字＝公式。實績取自健策財報與月營收公告（經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</si>
  <si>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94.93 </t>
    </r>
    <r>
      <rPr>
        <sz val="11"/>
        <color theme="1"/>
        <rFont val="Noto Sans CJK SC"/>
        <family val="2"/>
      </rPr>
      <t xml:space="preserve">億）＋假設（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財報預計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尚未公布；公司每月公告自結損益（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月自結數：未找到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</si>
  <si>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</si>
  <si>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</si>
  <si>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</si>
  <si>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</si>
  <si>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</si>
  <si>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</si>
  <si>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</si>
  <si>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202.76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84.34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64.98 </t>
    </r>
    <r>
      <rPr>
        <sz val="11"/>
        <color theme="1"/>
        <rFont val="Noto Sans CJK SC"/>
        <family val="2"/>
      </rPr>
      <t xml:space="preserve">億、歸母淨利 </t>
    </r>
    <r>
      <rPr>
        <sz val="11"/>
        <color theme="1"/>
        <rFont val="Calibri"/>
        <family val="2"/>
        <charset val="1"/>
      </rPr>
      <t xml:space="preserve">52.77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各季</t>
    </r>
  </si>
  <si>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億（口袋學堂、理財周刊同值）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</si>
  <si>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</si>
  <si>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</si>
  <si>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損益表）：營收、毛利、營業利益、稅前、稅後同值（稅後含非控制權益）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</si>
  <si>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</si>
  <si>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41.6%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41.8%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44.69%</t>
    </r>
    <r>
      <rPr>
        <sz val="11"/>
        <color theme="1"/>
        <rFont val="Noto Sans CJK SC"/>
        <family val="2"/>
      </rPr>
      <t xml:space="preserve">（口袋學堂）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</si>
  <si>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</si>
  <si>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</si>
  <si>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</si>
  <si>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37.8%</t>
    </r>
    <r>
      <rPr>
        <sz val="11"/>
        <color theme="1"/>
        <rFont val="Noto Sans CJK SC"/>
        <family val="2"/>
      </rPr>
      <t xml:space="preserve">（口袋學堂）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</si>
  <si>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</si>
  <si>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</si>
  <si>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</si>
  <si>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</si>
  <si>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</t>
    </r>
  </si>
  <si>
    <r>
      <rPr>
        <sz val="11"/>
        <color theme="1"/>
        <rFont val="Noto Sans CJK SC"/>
        <family val="2"/>
      </rPr>
      <t xml:space="preserve">各季稅前：</t>
    </r>
    <r>
      <rPr>
        <sz val="11"/>
        <color theme="1"/>
        <rFont val="Calibri"/>
        <family val="2"/>
        <charset val="1"/>
      </rPr>
      <t xml:space="preserve">1Q25 17.41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17.23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28.41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</si>
  <si>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</si>
  <si>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</si>
  <si>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稅後（含非控制權益）</t>
    </r>
    <r>
      <rPr>
        <sz val="11"/>
        <color theme="1"/>
        <rFont val="Calibri"/>
        <family val="2"/>
        <charset val="1"/>
      </rPr>
      <t xml:space="preserve">FY2025 53.10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37.33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</si>
  <si>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</si>
  <si>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</si>
  <si>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</si>
  <si>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</si>
  <si>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</si>
  <si>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</si>
  <si>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</si>
  <si>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FY2025 36.75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、聚財網；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36.14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1Q26 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</si>
  <si>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</si>
  <si>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</si>
  <si>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</si>
  <si>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各產品季度金額未揭露：未找到</t>
  </si>
  <si>
    <r>
      <rPr>
        <sz val="11"/>
        <color theme="1"/>
        <rFont val="Noto Sans CJK SC"/>
        <family val="2"/>
      </rPr>
      <t xml:space="preserve">其他散熱營收（＝營收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（散熱占比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占比））</t>
    </r>
  </si>
  <si>
    <r>
      <rPr>
        <sz val="11"/>
        <color theme="1"/>
        <rFont val="Noto Sans CJK SC"/>
        <family val="2"/>
      </rPr>
      <t xml:space="preserve">導線架、精密沖壓與其他（＝營收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散熱占比））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</si>
  <si>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</si>
  <si>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</si>
  <si>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</si>
  <si>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</si>
  <si>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</si>
  <si>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</si>
  <si>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淨利率（模型）</t>
    </r>
    <r>
      <rPr>
        <sz val="11"/>
        <color theme="1"/>
        <rFont val="Calibri"/>
        <family val="2"/>
        <charset val="1"/>
      </rPr>
      <t xml:space="preserve">vs 8 </t>
    </r>
    <r>
      <rPr>
        <sz val="11"/>
        <color theme="1"/>
        <rFont val="Noto Sans CJK SC"/>
        <family val="2"/>
      </rPr>
      <t xml:space="preserve">月自結淨利率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</si>
  <si>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加速器均熱片市場（顆數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每顆金額）、健策份額與每顆營收；液冷冷板元件份額與奇鋐份額合計（情境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tsmc </t>
    </r>
    <r>
      <rPr>
        <sz val="11"/>
        <color theme="1"/>
        <rFont val="Noto Sans CJK SC"/>
        <family val="2"/>
      </rPr>
      <t xml:space="preserve">同字母係數）；液冷市場取自奇鋐模型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（同字母情境）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</si>
  <si>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</si>
  <si>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</si>
  <si>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</si>
  <si>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</si>
  <si>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</si>
  <si>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</si>
  <si>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× tsmc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</si>
  <si>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</si>
  <si>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</si>
  <si>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起可拆式上蓋滲透（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</si>
  <si>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</si>
  <si>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</t>
    </r>
  </si>
  <si>
    <t xml:space="preserve">市場平均每顆金額</t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</si>
  <si>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</si>
  <si>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均熱片營收校準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</si>
  <si>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</si>
  <si>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k_non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</si>
  <si>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</si>
  <si>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</si>
  <si>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t xml:space="preserve">其他廠商均熱片（市場 − 健策）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</si>
  <si>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供應商；奇鋐、雙鴻不以均熱片為主，與本項無重疊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</si>
  <si>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</si>
  <si>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機架內冷板＋分歧管</t>
  </si>
  <si>
    <t xml:space="preserve">健策液冷份額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</si>
  <si>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</si>
  <si>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奇鋐液冷有效份額（奇鋐模型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</si>
  <si>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</si>
  <si>
    <t xml:space="preserve">奇鋐＋健策液冷份額合計</t>
  </si>
  <si>
    <r>
      <rPr>
        <sz val="11"/>
        <color theme="1"/>
        <rFont val="Noto Sans CJK SC"/>
        <family val="2"/>
      </rPr>
      <t xml:space="preserve">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，未納入合計</t>
    </r>
  </si>
  <si>
    <t xml:space="preserve">健策液冷冷板元件營收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</si>
  <si>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世代每顆均熱片金額約為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倍，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年起可拆式上蓋再提高單價；健策營收成長主要來自每顆金額，而非顆數。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）決定校準份額；可拆式上蓋單價與份額相對值是最需要每季檢查的輸入。液冷冷板元件份額為新產品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，與奇鋐份額合計遠低於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</si>
  <si>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健策損益（十億新台幣；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開始；可拆式上蓋單價、份額、液冷份額從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</si>
  <si>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</si>
  <si>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</si>
  <si>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</si>
  <si>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</si>
  <si>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</si>
  <si>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</si>
  <si>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</si>
  <si>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</si>
  <si>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</si>
  <si>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</si>
  <si>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</si>
  <si>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加速器均熱片營收</t>
    </r>
  </si>
  <si>
    <t xml:space="preserve">  液冷冷板元件營收</t>
  </si>
  <si>
    <t xml:space="preserve">  其他散熱營收</t>
  </si>
  <si>
    <t xml:space="preserve">  導線架與其他營收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</si>
  <si>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</si>
  <si>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</si>
  <si>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</si>
  <si>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</si>
  <si>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</si>
  <si>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</si>
  <si>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</si>
  <si>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</si>
  <si>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）；奇鋐模型液冷市場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；可拆式上蓋單價、份額、液冷份額取高值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</si>
  <si>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加速器顆數與均熱片市場（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同字母情境係數）</t>
    </r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</si>
  <si>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</si>
  <si>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</si>
  <si>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</si>
  <si>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</si>
  <si>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</si>
  <si>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</si>
  <si>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</si>
  <si>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每顆均熱片＋加強環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</si>
  <si>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加速器均熱片市場（美元）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</si>
  <si>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÷ 1000</t>
    </r>
    <r>
      <rPr>
        <sz val="11"/>
        <color theme="1"/>
        <rFont val="Noto Sans CJK SC"/>
        <family val="2"/>
      </rPr>
      <t xml:space="preserve">＝十億美元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</si>
  <si>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</si>
  <si>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加速器均熱片市場合計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</si>
  <si>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</si>
  <si>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</si>
  <si>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</si>
  <si>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</si>
  <si>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</si>
  <si>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</si>
  <si>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液冷冷板元件（奇鋐模型同字母情境的液冷市場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健策份額）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</si>
  <si>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液冷市場（奇鋐模型；美元）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</si>
  <si>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頁同字母情境；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健策液冷含在其他散熱內</t>
    </r>
  </si>
  <si>
    <r>
      <rPr>
        <sz val="11"/>
        <color theme="1"/>
        <rFont val="Noto Sans CJK SC"/>
        <family val="2"/>
      </rPr>
      <t xml:space="preserve">液冷冷板元件營收（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</si>
  <si>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其他散熱、導線架與合計</t>
    </r>
  </si>
  <si>
    <r>
      <rPr>
        <sz val="11"/>
        <color theme="1"/>
        <rFont val="Noto Sans CJK SC"/>
        <family val="2"/>
      </rPr>
      <t xml:space="preserve">其他散熱營收（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</si>
  <si>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導線架、精密沖壓與其他營收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</si>
  <si>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</si>
  <si>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</si>
  <si>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</si>
  <si>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均熱片營收（全部加速器平均）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</si>
  <si>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</si>
  <si>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</si>
  <si>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均熱片毛利率＝其他＋差距；液冷與其他營收同毛利率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</si>
  <si>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</si>
  <si>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</si>
  <si>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</si>
  <si>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</si>
  <si>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</si>
  <si>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；可拆式上蓋單價、份額、液冷份額取低值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</si>
  <si>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</si>
  <si>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循環位置：健策不是設備股，不套設備市場見頂年；以本模型營收最高的會計年度為見頂年（比照奇鋐、台達電；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</si>
  <si>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節規則值不是目標價，只作參考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</si>
  <si>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</si>
  <si>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</si>
  <si>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</si>
  <si>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</si>
  <si>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</si>
  <si>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</si>
  <si>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</si>
  <si>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</si>
  <si>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</si>
  <si>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</si>
  <si>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</si>
  <si>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</si>
  <si>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</si>
  <si>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</si>
  <si>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</si>
  <si>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</si>
  <si>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</si>
  <si>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</si>
  <si>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</si>
  <si>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</si>
  <si>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</si>
  <si>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</si>
  <si>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</si>
  <si>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</si>
  <si>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</si>
  <si>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</si>
  <si>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</si>
  <si>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</si>
  <si>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</si>
  <si>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</si>
  <si>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</si>
  <si>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</si>
  <si>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</si>
  <si>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</si>
  <si>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</si>
  <si>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</si>
  <si>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</si>
  <si>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</si>
  <si>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</si>
  <si>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</si>
  <si>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股，依規則不列；均熱片專業同業（上市可比）：未找到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</si>
  <si>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</si>
  <si>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、台達電（與奇鋐模型同一比較組，以奇鋐取代健策）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</si>
  <si>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</si>
  <si>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</si>
  <si>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</si>
  <si>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</si>
  <si>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</si>
  <si>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</si>
  <si>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</si>
  <si>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</si>
  <si>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</si>
  <si>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</si>
  <si>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</si>
  <si>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</si>
  <si>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</si>
  <si>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</si>
  <si>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</si>
  <si>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</si>
  <si>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</si>
  <si>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</si>
  <si>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</si>
  <si>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個月，期間與本模型不同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</si>
  <si>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</si>
  <si>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</si>
  <si>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</si>
  <si>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</si>
  <si>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</si>
  <si>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</si>
  <si>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收斂法＋永續；本模型未建資本支出與折舊（大園新廠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投產），未改用淨利＋折舊－資本支出。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中位數（散熱與液冷主流比較組，不放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股）；健策現價前瞻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，遠高於同業（均熱片近乎寡占、毛利率約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未給寡占溢價，方向偏低。情境對應：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＝順利（顆數基準、可拆式上蓋與份額高值）、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</si>
  <si>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</si>
  <si>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</si>
  <si>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</si>
  <si>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</si>
  <si>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</si>
  <si>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</si>
  <si>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</si>
  <si>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</si>
  <si>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三情境差異只來自可拆式上蓋單價、份額、液冷份額（顆數係數從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</si>
  <si>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</si>
  <si>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</si>
  <si>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</si>
  <si>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</si>
  <si>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</si>
  <si>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</si>
  <si>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</si>
  <si>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</si>
  <si>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</si>
  <si>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</si>
  <si>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</si>
  <si>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</si>
  <si>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</si>
  <si>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</si>
  <si>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</si>
  <si>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</si>
  <si>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</si>
  <si>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</si>
  <si>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</si>
  <si>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</si>
  <si>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</si>
  <si>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</si>
  <si>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</si>
  <si>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</si>
  <si>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</si>
  <si>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</si>
  <si>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</si>
  <si>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取聚財網）；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，只作核對。健策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年起已是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均熱片龍頭、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均熱片放量，十年倍數由約 </t>
    </r>
    <r>
      <rPr>
        <sz val="11"/>
        <color theme="1"/>
        <rFont val="Calibri"/>
        <family val="2"/>
        <charset val="1"/>
      </rPr>
      <t xml:space="preserve">17x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，分布本身已含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</si>
  <si>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</si>
  <si>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</si>
  <si>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</si>
  <si>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</si>
  <si>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</si>
  <si>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</si>
  <si>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 </t>
    </r>
    <r>
      <rPr>
        <sz val="11"/>
        <color theme="1"/>
        <rFont val="Noto Sans CJK SC"/>
        <family val="2"/>
      </rPr>
      <t xml:space="preserve">取聚財網；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</si>
  <si>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</si>
  <si>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1x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</si>
  <si>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</si>
  <si>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</si>
  <si>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</si>
  <si>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</si>
  <si>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</si>
  <si>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</si>
  <si>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</si>
  <si>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</si>
  <si>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</si>
  <si>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</si>
  <si>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</si>
  <si>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</si>
  <si>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</si>
  <si>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</si>
  <si>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</si>
  <si>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</si>
  <si>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</si>
  <si>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</si>
  <si>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</si>
  <si>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</si>
  <si>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</si>
  <si>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</si>
  <si>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</si>
  <si>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</si>
  <si>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</si>
  <si>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</si>
  <si>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</si>
  <si>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</si>
  <si>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</si>
  <si>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</si>
  <si>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</si>
  <si>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</si>
  <si>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共識、券商估計與奇鋐模型液冷份額。只作事後對照，不為對上數字而調參數。共識取自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（鉅亨轉引，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</si>
  <si>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</si>
  <si>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</si>
  <si>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</si>
  <si>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</si>
  <si>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</si>
  <si>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</si>
  <si>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</si>
  <si>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</si>
  <si>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</si>
  <si>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</si>
  <si>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</si>
  <si>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</si>
  <si>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</si>
  <si>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</si>
  <si>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</si>
  <si>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</si>
  <si>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</si>
  <si>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實績（月營收）低於大和</t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</si>
  <si>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</si>
  <si>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</si>
  <si>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</si>
  <si>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較舊</t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</si>
  <si>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</si>
  <si>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121.01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</si>
  <si>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</si>
  <si>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分析師（理財周刊 </t>
    </r>
    <r>
      <rPr>
        <sz val="11"/>
        <color theme="1"/>
        <rFont val="Calibri"/>
        <family val="2"/>
        <charset val="1"/>
      </rPr>
      <t xml:space="preserve">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</si>
  <si>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</si>
  <si>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</si>
  <si>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</si>
  <si>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191.02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</si>
  <si>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</si>
  <si>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均熱片與液冷份額（機制檢查）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</si>
  <si>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均熱片份額（校準）</t>
    </r>
  </si>
  <si>
    <r>
      <rPr>
        <sz val="11"/>
        <color theme="1"/>
        <rFont val="Noto Sans CJK SC"/>
        <family val="2"/>
      </rPr>
      <t xml:space="preserve">份額第二來源：未找到；公司稱全球前兩大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</si>
  <si>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</si>
  <si>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</si>
  <si>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</si>
  <si>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</si>
  <si>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</si>
  <si>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</si>
  <si>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CY2027 Rubin </t>
    </r>
    <r>
      <rPr>
        <sz val="11"/>
        <color theme="1"/>
        <rFont val="Noto Sans CJK SC"/>
        <family val="2"/>
      </rPr>
      <t xml:space="preserve">每顆均熱片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本國投顧假設（≥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</si>
  <si>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本國投顧假設 </t>
    </r>
    <r>
      <rPr>
        <sz val="11"/>
        <color theme="1"/>
        <rFont val="Calibri"/>
        <family val="2"/>
        <charset val="1"/>
      </rPr>
      <t xml:space="preserve">800–900 </t>
    </r>
    <r>
      <rPr>
        <sz val="11"/>
        <color theme="1"/>
        <rFont val="Noto Sans CJK SC"/>
        <family val="2"/>
      </rPr>
      <t xml:space="preserve">萬顆全採可拆式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</si>
  <si>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</si>
  <si>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</si>
  <si>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</si>
  <si>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</si>
  <si>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</si>
  <si>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</si>
  <si>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Noto Sans CJK SC"/>
        <family val="2"/>
      </rPr>
      <t xml:space="preserve">大和、本國投顧（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</si>
  <si>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</si>
  <si>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11-09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</si>
  <si>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</si>
  <si>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</si>
  <si>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</si>
  <si>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</si>
  <si>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</si>
  <si>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</si>
  <si>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</si>
  <si>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</si>
  <si>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，尚未建立）：上線後以部署路徑取代網通模型顆數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</si>
  <si>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</si>
  <si>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＝基準輸入；健策份額、其他營收毛利率在每個案例內依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</si>
  <si>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</si>
  <si>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</si>
  <si>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</si>
  <si>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</si>
  <si>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</si>
  <si>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</si>
  <si>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</si>
  <si>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</si>
  <si>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</si>
  <si>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</si>
  <si>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</si>
  <si>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</si>
  <si>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</si>
  <si>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可拆式上蓋 慢（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低）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</si>
  <si>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2028–29 120</t>
    </r>
  </si>
  <si>
    <r>
      <rPr>
        <sz val="11"/>
        <color theme="1"/>
        <rFont val="Noto Sans CJK SC"/>
        <family val="2"/>
      </rPr>
      <t xml:space="preserve">可拆式上蓋 快（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高）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</si>
  <si>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2028–29 220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</si>
  <si>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低</t>
    </r>
  </si>
  <si>
    <r>
      <rPr>
        <sz val="11"/>
        <color theme="1"/>
        <rFont val="Calibri"/>
        <family val="2"/>
        <charset val="1"/>
      </rPr>
      <t xml:space="preserve">AMD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30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</si>
  <si>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高</t>
    </r>
  </si>
  <si>
    <r>
      <rPr>
        <sz val="11"/>
        <color theme="1"/>
        <rFont val="Calibri"/>
        <family val="2"/>
        <charset val="1"/>
      </rPr>
      <t xml:space="preserve">AMD 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</si>
  <si>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</si>
  <si>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（可拆式上蓋新供應商切入）</t>
    </r>
  </si>
  <si>
    <t xml:space="preserve">份額守住（高）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</si>
  <si>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0.98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</si>
  <si>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</si>
  <si>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k_non 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份額校準變高）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</si>
  <si>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0.55</t>
    </r>
  </si>
  <si>
    <t xml:space="preserve">k_non 0.55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</si>
  <si>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</si>
  <si>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32%</t>
    </r>
    <r>
      <rPr>
        <sz val="11"/>
        <color theme="1"/>
        <rFont val="Noto Sans CJK SC"/>
        <family val="2"/>
      </rPr>
      <t xml:space="preserve">；份額變低、其他散熱變大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</si>
  <si>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</si>
  <si>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48%</t>
    </r>
  </si>
  <si>
    <t xml:space="preserve">液冷份額 低</t>
  </si>
  <si>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1.0%</t>
    </r>
  </si>
  <si>
    <t xml:space="preserve">液冷份額 高</t>
  </si>
  <si>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</si>
  <si>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</si>
  <si>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起顆數與液冷市場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</si>
  <si>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</si>
  <si>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</si>
  <si>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</si>
  <si>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</si>
  <si>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</si>
  <si>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個百分點</t>
    </r>
  </si>
  <si>
    <t xml:space="preserve">其他散熱成長 低</t>
  </si>
  <si>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Noto Sans CJK SC"/>
        <family val="2"/>
      </rPr>
      <t xml:space="preserve">％</t>
    </r>
  </si>
  <si>
    <t xml:space="preserve">其他散熱成長 高</t>
  </si>
  <si>
    <r>
      <rPr>
        <sz val="11"/>
        <color theme="1"/>
        <rFont val="Calibri"/>
        <family val="2"/>
        <charset val="1"/>
      </rPr>
      <t xml:space="preserve">+20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％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</si>
  <si>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</si>
  <si>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</si>
  <si>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</si>
  <si>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</si>
  <si>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</si>
  <si>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＋可拆式上蓋、份額、液冷份額高值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</si>
  <si>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</si>
  <si>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</si>
  <si>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占比」與「非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份額比」只改校準：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占比高 → 份額高、其他散熱小，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起成長更集中在均熱片。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</si>
  <si>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</si>
  <si>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</si>
  <si>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</si>
  <si>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</si>
  <si>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</si>
  <si>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</si>
  <si>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</si>
  <si>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</si>
  <si>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</si>
  <si>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</si>
  <si>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</si>
  <si>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</si>
  <si>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</si>
  <si>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</si>
  <si>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</si>
  <si>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</si>
  <si>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案例區塊：可拆式上蓋 慢（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</si>
  <si>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案例區塊：可拆式上蓋 快（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</si>
  <si>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</si>
  <si>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</si>
  <si>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</si>
  <si>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案例區塊：份額守住（高）（情境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</si>
  <si>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</si>
  <si>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0.55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</si>
  <si>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32%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</si>
  <si>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</si>
  <si>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</si>
  <si>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</si>
  <si>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</si>
  <si>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</si>
  <si>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</si>
  <si>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</si>
  <si>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</si>
  <si>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</si>
  <si>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</si>
  <si>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</si>
  <si>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來源（公司原文＝健策財報、月營收與自結損益公告，經資料商與媒體轉述；券商與媒體估計皆為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</si>
  <si>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</si>
  <si>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</si>
  <si>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季度損益（稅前、稅後）與每股盈餘（</t>
    </r>
    <r>
      <rPr>
        <sz val="11"/>
        <color theme="1"/>
        <rFont val="Calibri"/>
        <family val="2"/>
        <charset val="1"/>
      </rPr>
      <t xml:space="preserve">2018–2026</t>
    </r>
    <r>
      <rPr>
        <sz val="11"/>
        <color theme="1"/>
        <rFont val="Noto Sans CJK SC"/>
        <family val="2"/>
      </rPr>
      <t xml:space="preserve">）</t>
    </r>
  </si>
  <si>
    <t xml:space="preserve">https://histock.tw/stock/3653/%E6%90%8D%E7%9B%8A%E8%A1%A8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</si>
  <si>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散熱占比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月營收、亞系券商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</si>
  <si>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https://www.pocket.tw/school/articles/6275/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</si>
  <si>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（全球前兩大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核心供應商、水冷模組出貨）</t>
    </r>
  </si>
  <si>
    <t xml:space="preserve">https://www.pocket.tw/school/articles/6817/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</si>
  <si>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（各世代均熱片單價、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產品比重、</t>
    </r>
    <r>
      <rPr>
        <sz val="11"/>
        <color theme="1"/>
        <rFont val="Calibri"/>
        <family val="2"/>
        <charset val="1"/>
      </rPr>
      <t xml:space="preserve">MCL </t>
    </r>
    <r>
      <rPr>
        <sz val="11"/>
        <color theme="1"/>
        <rFont val="Noto Sans CJK SC"/>
        <family val="2"/>
      </rPr>
      <t xml:space="preserve">驗證）</t>
    </r>
  </si>
  <si>
    <t xml:space="preserve">https://www.moneyweekly.com.tw/_Article?AID=241110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</si>
  <si>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均熱片出貨量、加強環）</t>
    </r>
  </si>
  <si>
    <t xml:space="preserve">https://www.ctee.com.tw/news/20260807700227-439901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</si>
  <si>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；可拆式上蓋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送樣）</t>
    </r>
  </si>
  <si>
    <t xml:space="preserve">https://uanalyze.com.tw/articles/8953956478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</si>
  <si>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</si>
  <si>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https://finance.technews.tw/2026/10/08/jentech-3653-202609-financial-report/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</si>
  <si>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</si>
  <si>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https://finance.technews.tw/2026/08/07/jentech-3653-202607-financial-report/</t>
  </si>
  <si>
    <r>
      <rPr>
        <sz val="11"/>
        <color theme="1"/>
        <rFont val="Noto Sans CJK SC"/>
        <family val="2"/>
      </rPr>
      <t xml:space="preserve">券商：大和（經濟日報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估計）</t>
    </r>
  </si>
  <si>
    <t xml:space="preserve">https://money.udn.com/money/amp/story/5607/9786948</t>
  </si>
  <si>
    <r>
      <rPr>
        <sz val="11"/>
        <color theme="1"/>
        <rFont val="Noto Sans CJK SC"/>
        <family val="2"/>
      </rPr>
      <t xml:space="preserve">券商：本國投顧（經濟日報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+147%</t>
    </r>
    <r>
      <rPr>
        <sz val="11"/>
        <color theme="1"/>
        <rFont val="Noto Sans CJK SC"/>
        <family val="2"/>
      </rPr>
      <t xml:space="preserve">、可拆式上蓋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、均熱片占八成以上）</t>
    </r>
  </si>
  <si>
    <t xml:space="preserve">https://money.udn.com/money/amp/story/5607/9802684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</si>
  <si>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與營收中位數、目標價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</si>
  <si>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https://news.cnyes.com/news/id/6468499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</si>
  <si>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預估；同業前瞻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</si>
  <si>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</si>
  <si>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</si>
  <si>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</si>
  <si>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（年底收盤、</t>
    </r>
    <r>
      <rPr>
        <sz val="11"/>
        <color theme="1"/>
        <rFont val="Calibri"/>
        <family val="2"/>
        <charset val="1"/>
      </rPr>
      <t xml:space="preserve">EPS 2017–2025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</si>
  <si>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https://goodinfo.tw/tw/StockBzPerformance.asp?STOCK_ID=3653</t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</si>
  <si>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</si>
  <si>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https://stock.wearn.com/financial.asp?kind=3653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</si>
  <si>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</si>
  <si>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https://statementdog.com/analysis/3653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</si>
  <si>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（情境顆數係數）成品；奇鋐模型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（液冷市場與奇鋐份額）（本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</si>
  <si>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月營收與自結（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均熱片占比與各客戶份額；可拆式上蓋實際單價；液冷營收；資本支出與折舊；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）；較新的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</si>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</sst>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"/>
    <numFmt numFmtId="170" formatCode="#,##0"/>
    <numFmt numFmtId="171" formatCode="0.000"/>
    <numFmt numFmtId="172" formatCode="#,##0.0"/>
    <numFmt numFmtId="173" formatCode="0.0000"/>
    <numFmt numFmtId="174" formatCode="#,##0.00"/>
    <numFmt numFmtId="175" formatCode="@"/>
    <numFmt numFmtId="17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">
        <v>4</v>
      </c>
    </row>
    <row r="6" customFormat="false" ht="17.15" hidden="false" customHeight="false" outlineLevel="0" collapsed="false">
      <c r="A6" s="1" t="s">
        <v>5</v>
      </c>
    </row>
    <row r="7" customFormat="false" ht="17.15" hidden="false" customHeight="false" outlineLevel="0" collapsed="false">
      <c r="A7" s="3" t="s">
        <v>6</v>
      </c>
    </row>
    <row r="8" customFormat="false" ht="17.15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2" t="s">
        <v>15</v>
      </c>
    </row>
    <row r="20" customFormat="false" ht="17.15" hidden="false" customHeight="false" outlineLevel="0" collapsed="false">
      <c r="A20" s="2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7.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7" t="n">
        <v>5.4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4" t="s">
        <v>33</v>
      </c>
      <c r="E6" s="7" t="n">
        <v>2.4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4" t="s">
        <v>33</v>
      </c>
      <c r="E7" s="7" t="n">
        <v>0.5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4" t="s">
        <v>33</v>
      </c>
      <c r="E8" s="7" t="n">
        <v>0.25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4" t="s">
        <v>33</v>
      </c>
      <c r="E9" s="7" t="n">
        <v>1.7</v>
      </c>
      <c r="G9" s="8" t="s">
        <v>34</v>
      </c>
      <c r="H9" s="8" t="s">
        <v>46</v>
      </c>
      <c r="I9" s="4" t="s">
        <v>36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4" t="s">
        <v>33</v>
      </c>
      <c r="E10" s="7" t="n">
        <v>7</v>
      </c>
      <c r="G10" s="8" t="s">
        <v>34</v>
      </c>
      <c r="H10" s="8" t="s">
        <v>46</v>
      </c>
      <c r="I10" s="4" t="s">
        <v>39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4" t="s">
        <v>33</v>
      </c>
      <c r="E11" s="7" t="n">
        <v>7</v>
      </c>
      <c r="G11" s="8" t="s">
        <v>34</v>
      </c>
      <c r="H11" s="8" t="s">
        <v>46</v>
      </c>
      <c r="I11" s="4" t="s">
        <v>39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4" t="s">
        <v>33</v>
      </c>
      <c r="E12" s="7" t="n">
        <v>8.05</v>
      </c>
      <c r="G12" s="8" t="s">
        <v>34</v>
      </c>
      <c r="H12" s="8" t="s">
        <v>46</v>
      </c>
      <c r="I12" s="4" t="s">
        <v>39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4" t="s">
        <v>33</v>
      </c>
      <c r="E13" s="7" t="n">
        <v>0</v>
      </c>
      <c r="G13" s="8" t="s">
        <v>34</v>
      </c>
      <c r="H13" s="8" t="s">
        <v>55</v>
      </c>
      <c r="I13" s="4" t="s">
        <v>36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4" t="s">
        <v>33</v>
      </c>
      <c r="E14" s="7" t="n">
        <v>0.3</v>
      </c>
      <c r="G14" s="8" t="s">
        <v>34</v>
      </c>
      <c r="H14" s="8" t="s">
        <v>55</v>
      </c>
      <c r="I14" s="4" t="s">
        <v>39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4" t="s">
        <v>33</v>
      </c>
      <c r="E15" s="7" t="n">
        <v>2</v>
      </c>
      <c r="G15" s="8" t="s">
        <v>34</v>
      </c>
      <c r="H15" s="8" t="s">
        <v>55</v>
      </c>
      <c r="I15" s="4" t="s">
        <v>39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4" t="s">
        <v>33</v>
      </c>
      <c r="E16" s="7" t="n">
        <v>2.3</v>
      </c>
      <c r="G16" s="8" t="s">
        <v>34</v>
      </c>
      <c r="H16" s="8" t="s">
        <v>55</v>
      </c>
      <c r="I16" s="4" t="s">
        <v>39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4" t="s">
        <v>33</v>
      </c>
      <c r="E17" s="7" t="n">
        <v>0.5</v>
      </c>
      <c r="G17" s="8" t="s">
        <v>34</v>
      </c>
      <c r="H17" s="8" t="s">
        <v>64</v>
      </c>
      <c r="I17" s="4" t="s">
        <v>36</v>
      </c>
    </row>
    <row r="18" customFormat="false" ht="17.15" hidden="false" customHeight="false" outlineLevel="0" collapsed="false">
      <c r="A18" s="0" t="s">
        <v>65</v>
      </c>
      <c r="B18" s="0" t="s">
        <v>66</v>
      </c>
      <c r="C18" s="4" t="s">
        <v>33</v>
      </c>
      <c r="E18" s="7" t="n">
        <v>0</v>
      </c>
      <c r="G18" s="8" t="s">
        <v>34</v>
      </c>
      <c r="H18" s="8" t="s">
        <v>64</v>
      </c>
      <c r="I18" s="4" t="s">
        <v>39</v>
      </c>
    </row>
    <row r="19" customFormat="false" ht="17.15" hidden="false" customHeight="false" outlineLevel="0" collapsed="false">
      <c r="A19" s="0" t="s">
        <v>67</v>
      </c>
      <c r="B19" s="0" t="s">
        <v>68</v>
      </c>
      <c r="C19" s="4" t="s">
        <v>33</v>
      </c>
      <c r="E19" s="7" t="n">
        <v>0</v>
      </c>
      <c r="G19" s="8" t="s">
        <v>34</v>
      </c>
      <c r="H19" s="8" t="s">
        <v>64</v>
      </c>
      <c r="I19" s="4" t="s">
        <v>39</v>
      </c>
    </row>
    <row r="20" customFormat="false" ht="17.15" hidden="false" customHeight="false" outlineLevel="0" collapsed="false">
      <c r="A20" s="0" t="s">
        <v>69</v>
      </c>
      <c r="B20" s="0" t="s">
        <v>70</v>
      </c>
      <c r="C20" s="4" t="s">
        <v>33</v>
      </c>
      <c r="E20" s="7" t="n">
        <v>0</v>
      </c>
      <c r="G20" s="8" t="s">
        <v>34</v>
      </c>
      <c r="H20" s="8" t="s">
        <v>64</v>
      </c>
      <c r="I20" s="4" t="s">
        <v>39</v>
      </c>
    </row>
    <row r="21" customFormat="false" ht="17.15" hidden="false" customHeight="false" outlineLevel="0" collapsed="false">
      <c r="A21" s="0" t="s">
        <v>71</v>
      </c>
      <c r="B21" s="0" t="s">
        <v>72</v>
      </c>
      <c r="C21" s="4" t="s">
        <v>33</v>
      </c>
      <c r="E21" s="7" t="n">
        <v>0.75</v>
      </c>
      <c r="G21" s="8" t="s">
        <v>34</v>
      </c>
      <c r="H21" s="8" t="s">
        <v>73</v>
      </c>
      <c r="I21" s="4" t="s">
        <v>36</v>
      </c>
    </row>
    <row r="22" customFormat="false" ht="17.15" hidden="false" customHeight="false" outlineLevel="0" collapsed="false">
      <c r="A22" s="0" t="s">
        <v>74</v>
      </c>
      <c r="B22" s="0" t="s">
        <v>75</v>
      </c>
      <c r="C22" s="4" t="s">
        <v>33</v>
      </c>
      <c r="E22" s="7" t="n">
        <v>1.5</v>
      </c>
      <c r="G22" s="8" t="s">
        <v>34</v>
      </c>
      <c r="H22" s="8" t="s">
        <v>73</v>
      </c>
      <c r="I22" s="4" t="s">
        <v>39</v>
      </c>
    </row>
    <row r="23" customFormat="false" ht="17.15" hidden="false" customHeight="false" outlineLevel="0" collapsed="false">
      <c r="A23" s="0" t="s">
        <v>76</v>
      </c>
      <c r="B23" s="0" t="s">
        <v>77</v>
      </c>
      <c r="C23" s="4" t="s">
        <v>33</v>
      </c>
      <c r="E23" s="7" t="n">
        <v>2</v>
      </c>
      <c r="G23" s="8" t="s">
        <v>34</v>
      </c>
      <c r="H23" s="8" t="s">
        <v>73</v>
      </c>
      <c r="I23" s="4" t="s">
        <v>39</v>
      </c>
    </row>
    <row r="24" customFormat="false" ht="17.15" hidden="false" customHeight="false" outlineLevel="0" collapsed="false">
      <c r="A24" s="0" t="s">
        <v>78</v>
      </c>
      <c r="B24" s="0" t="s">
        <v>79</v>
      </c>
      <c r="C24" s="4" t="s">
        <v>33</v>
      </c>
      <c r="E24" s="7" t="n">
        <v>2.3</v>
      </c>
      <c r="G24" s="8" t="s">
        <v>34</v>
      </c>
      <c r="H24" s="8" t="s">
        <v>73</v>
      </c>
      <c r="I24" s="4" t="s">
        <v>39</v>
      </c>
    </row>
    <row r="25" customFormat="false" ht="17.15" hidden="false" customHeight="false" outlineLevel="0" collapsed="false">
      <c r="A25" s="0" t="s">
        <v>80</v>
      </c>
      <c r="B25" s="0" t="s">
        <v>81</v>
      </c>
      <c r="C25" s="4" t="s">
        <v>33</v>
      </c>
      <c r="E25" s="7" t="n">
        <v>3.85</v>
      </c>
      <c r="G25" s="8" t="s">
        <v>34</v>
      </c>
      <c r="H25" s="8" t="s">
        <v>82</v>
      </c>
      <c r="I25" s="4" t="s">
        <v>36</v>
      </c>
    </row>
    <row r="26" customFormat="false" ht="17.15" hidden="false" customHeight="false" outlineLevel="0" collapsed="false">
      <c r="A26" s="0" t="s">
        <v>83</v>
      </c>
      <c r="B26" s="0" t="s">
        <v>84</v>
      </c>
      <c r="C26" s="4" t="s">
        <v>33</v>
      </c>
      <c r="E26" s="7" t="n">
        <v>5.5</v>
      </c>
      <c r="G26" s="8" t="s">
        <v>34</v>
      </c>
      <c r="H26" s="8" t="s">
        <v>82</v>
      </c>
      <c r="I26" s="4" t="s">
        <v>39</v>
      </c>
    </row>
    <row r="27" customFormat="false" ht="17.15" hidden="false" customHeight="false" outlineLevel="0" collapsed="false">
      <c r="A27" s="0" t="s">
        <v>85</v>
      </c>
      <c r="B27" s="0" t="s">
        <v>86</v>
      </c>
      <c r="C27" s="4" t="s">
        <v>33</v>
      </c>
      <c r="E27" s="7" t="n">
        <v>7</v>
      </c>
      <c r="G27" s="8" t="s">
        <v>34</v>
      </c>
      <c r="H27" s="8" t="s">
        <v>82</v>
      </c>
      <c r="I27" s="4" t="s">
        <v>39</v>
      </c>
    </row>
    <row r="28" customFormat="false" ht="17.15" hidden="false" customHeight="false" outlineLevel="0" collapsed="false">
      <c r="A28" s="0" t="s">
        <v>87</v>
      </c>
      <c r="B28" s="0" t="s">
        <v>88</v>
      </c>
      <c r="C28" s="4" t="s">
        <v>33</v>
      </c>
      <c r="E28" s="7" t="n">
        <v>8.05</v>
      </c>
      <c r="G28" s="8" t="s">
        <v>34</v>
      </c>
      <c r="H28" s="8" t="s">
        <v>82</v>
      </c>
      <c r="I28" s="4" t="s">
        <v>39</v>
      </c>
    </row>
    <row r="29" customFormat="false" ht="17.15" hidden="false" customHeight="false" outlineLevel="0" collapsed="false">
      <c r="A29" s="0" t="s">
        <v>89</v>
      </c>
      <c r="B29" s="0" t="s">
        <v>90</v>
      </c>
      <c r="C29" s="4" t="s">
        <v>33</v>
      </c>
      <c r="E29" s="7" t="n">
        <v>2</v>
      </c>
      <c r="G29" s="8" t="s">
        <v>34</v>
      </c>
      <c r="H29" s="8" t="s">
        <v>91</v>
      </c>
      <c r="I29" s="4" t="s">
        <v>36</v>
      </c>
    </row>
    <row r="30" customFormat="false" ht="17.15" hidden="false" customHeight="false" outlineLevel="0" collapsed="false">
      <c r="A30" s="0" t="s">
        <v>92</v>
      </c>
      <c r="B30" s="0" t="s">
        <v>93</v>
      </c>
      <c r="C30" s="4" t="s">
        <v>33</v>
      </c>
      <c r="E30" s="7" t="n">
        <v>2.5</v>
      </c>
      <c r="G30" s="8" t="s">
        <v>34</v>
      </c>
      <c r="H30" s="8" t="s">
        <v>91</v>
      </c>
      <c r="I30" s="4" t="s">
        <v>39</v>
      </c>
    </row>
    <row r="31" customFormat="false" ht="17.15" hidden="false" customHeight="false" outlineLevel="0" collapsed="false">
      <c r="A31" s="0" t="s">
        <v>94</v>
      </c>
      <c r="B31" s="0" t="s">
        <v>95</v>
      </c>
      <c r="C31" s="4" t="s">
        <v>33</v>
      </c>
      <c r="E31" s="7" t="n">
        <v>3</v>
      </c>
      <c r="G31" s="8" t="s">
        <v>34</v>
      </c>
      <c r="H31" s="8" t="s">
        <v>91</v>
      </c>
      <c r="I31" s="4" t="s">
        <v>39</v>
      </c>
    </row>
    <row r="32" customFormat="false" ht="17.15" hidden="false" customHeight="false" outlineLevel="0" collapsed="false">
      <c r="A32" s="0" t="s">
        <v>96</v>
      </c>
      <c r="B32" s="0" t="s">
        <v>97</v>
      </c>
      <c r="C32" s="4" t="s">
        <v>33</v>
      </c>
      <c r="E32" s="7" t="n">
        <v>3.45</v>
      </c>
      <c r="G32" s="8" t="s">
        <v>34</v>
      </c>
      <c r="H32" s="8" t="s">
        <v>91</v>
      </c>
      <c r="I32" s="4" t="s">
        <v>39</v>
      </c>
    </row>
    <row r="33" customFormat="false" ht="17.15" hidden="false" customHeight="false" outlineLevel="0" collapsed="false">
      <c r="A33" s="0" t="s">
        <v>98</v>
      </c>
      <c r="B33" s="4" t="s">
        <v>99</v>
      </c>
      <c r="C33" s="4" t="s">
        <v>33</v>
      </c>
      <c r="E33" s="7" t="n">
        <v>1</v>
      </c>
      <c r="G33" s="8" t="s">
        <v>34</v>
      </c>
      <c r="H33" s="8" t="s">
        <v>100</v>
      </c>
      <c r="I33" s="4" t="s">
        <v>36</v>
      </c>
    </row>
    <row r="34" customFormat="false" ht="17.15" hidden="false" customHeight="false" outlineLevel="0" collapsed="false">
      <c r="A34" s="0" t="s">
        <v>101</v>
      </c>
      <c r="B34" s="4" t="s">
        <v>102</v>
      </c>
      <c r="C34" s="4" t="s">
        <v>33</v>
      </c>
      <c r="E34" s="7" t="n">
        <v>4.5</v>
      </c>
      <c r="G34" s="8" t="s">
        <v>34</v>
      </c>
      <c r="H34" s="8" t="s">
        <v>100</v>
      </c>
      <c r="I34" s="4" t="s">
        <v>39</v>
      </c>
    </row>
    <row r="35" customFormat="false" ht="17.15" hidden="false" customHeight="false" outlineLevel="0" collapsed="false">
      <c r="A35" s="0" t="s">
        <v>103</v>
      </c>
      <c r="B35" s="4" t="s">
        <v>104</v>
      </c>
      <c r="C35" s="4" t="s">
        <v>33</v>
      </c>
      <c r="E35" s="7" t="n">
        <v>5</v>
      </c>
      <c r="G35" s="8" t="s">
        <v>34</v>
      </c>
      <c r="H35" s="8" t="s">
        <v>100</v>
      </c>
      <c r="I35" s="4" t="s">
        <v>39</v>
      </c>
    </row>
    <row r="36" customFormat="false" ht="17.15" hidden="false" customHeight="false" outlineLevel="0" collapsed="false">
      <c r="A36" s="0" t="s">
        <v>105</v>
      </c>
      <c r="B36" s="4" t="s">
        <v>106</v>
      </c>
      <c r="C36" s="4" t="s">
        <v>33</v>
      </c>
      <c r="E36" s="7" t="n">
        <v>5.75</v>
      </c>
      <c r="G36" s="8" t="s">
        <v>34</v>
      </c>
      <c r="H36" s="8" t="s">
        <v>100</v>
      </c>
      <c r="I36" s="4" t="s">
        <v>39</v>
      </c>
    </row>
    <row r="37" customFormat="false" ht="17.15" hidden="false" customHeight="false" outlineLevel="0" collapsed="false">
      <c r="A37" s="0" t="s">
        <v>107</v>
      </c>
      <c r="B37" s="4" t="s">
        <v>108</v>
      </c>
      <c r="C37" s="0" t="s">
        <v>109</v>
      </c>
      <c r="E37" s="7" t="n">
        <v>1</v>
      </c>
      <c r="G37" s="8" t="s">
        <v>110</v>
      </c>
      <c r="H37" s="8" t="s">
        <v>111</v>
      </c>
      <c r="I37" s="8" t="s">
        <v>112</v>
      </c>
    </row>
    <row r="38" customFormat="false" ht="17.15" hidden="false" customHeight="false" outlineLevel="0" collapsed="false">
      <c r="A38" s="0" t="s">
        <v>113</v>
      </c>
      <c r="B38" s="4" t="s">
        <v>114</v>
      </c>
      <c r="C38" s="0" t="s">
        <v>109</v>
      </c>
      <c r="E38" s="7" t="n">
        <v>1</v>
      </c>
      <c r="G38" s="8" t="s">
        <v>110</v>
      </c>
      <c r="H38" s="8" t="s">
        <v>115</v>
      </c>
      <c r="I38" s="4" t="s">
        <v>39</v>
      </c>
    </row>
    <row r="39" customFormat="false" ht="17.15" hidden="false" customHeight="false" outlineLevel="0" collapsed="false">
      <c r="A39" s="0" t="s">
        <v>116</v>
      </c>
      <c r="B39" s="4" t="s">
        <v>117</v>
      </c>
      <c r="C39" s="0" t="s">
        <v>109</v>
      </c>
      <c r="E39" s="7" t="n">
        <v>0.8</v>
      </c>
      <c r="G39" s="8" t="s">
        <v>110</v>
      </c>
      <c r="H39" s="8" t="s">
        <v>118</v>
      </c>
      <c r="I39" s="8" t="s">
        <v>112</v>
      </c>
    </row>
    <row r="40" customFormat="false" ht="17.15" hidden="false" customHeight="false" outlineLevel="0" collapsed="false">
      <c r="A40" s="0" t="s">
        <v>119</v>
      </c>
      <c r="B40" s="4" t="s">
        <v>120</v>
      </c>
      <c r="C40" s="0" t="s">
        <v>109</v>
      </c>
      <c r="E40" s="7" t="n">
        <v>0.85</v>
      </c>
      <c r="G40" s="8" t="s">
        <v>110</v>
      </c>
      <c r="H40" s="8" t="s">
        <v>121</v>
      </c>
      <c r="I40" s="4" t="s">
        <v>39</v>
      </c>
    </row>
    <row r="41" customFormat="false" ht="17.15" hidden="false" customHeight="false" outlineLevel="0" collapsed="false">
      <c r="A41" s="0" t="s">
        <v>122</v>
      </c>
      <c r="B41" s="4" t="s">
        <v>123</v>
      </c>
      <c r="C41" s="0" t="s">
        <v>109</v>
      </c>
      <c r="E41" s="7" t="n">
        <v>0.6</v>
      </c>
      <c r="G41" s="8" t="s">
        <v>110</v>
      </c>
      <c r="H41" s="8" t="s">
        <v>124</v>
      </c>
      <c r="I41" s="8" t="s">
        <v>112</v>
      </c>
    </row>
    <row r="42" customFormat="false" ht="17.15" hidden="false" customHeight="false" outlineLevel="0" collapsed="false">
      <c r="A42" s="0" t="s">
        <v>125</v>
      </c>
      <c r="B42" s="4" t="s">
        <v>126</v>
      </c>
      <c r="C42" s="0" t="s">
        <v>109</v>
      </c>
      <c r="E42" s="7" t="n">
        <v>0.6</v>
      </c>
      <c r="G42" s="8" t="s">
        <v>110</v>
      </c>
      <c r="H42" s="8" t="s">
        <v>127</v>
      </c>
      <c r="I42" s="4" t="s">
        <v>39</v>
      </c>
    </row>
    <row r="43" customFormat="false" ht="17.15" hidden="false" customHeight="false" outlineLevel="0" collapsed="false">
      <c r="A43" s="0" t="s">
        <v>128</v>
      </c>
      <c r="B43" s="4" t="s">
        <v>129</v>
      </c>
      <c r="C43" s="0" t="s">
        <v>130</v>
      </c>
      <c r="D43" s="7" t="n">
        <v>30.5</v>
      </c>
      <c r="E43" s="7" t="n">
        <v>32</v>
      </c>
      <c r="F43" s="7" t="n">
        <v>33</v>
      </c>
      <c r="G43" s="8" t="s">
        <v>34</v>
      </c>
      <c r="H43" s="4" t="s">
        <v>131</v>
      </c>
      <c r="I43" s="4" t="s">
        <v>132</v>
      </c>
    </row>
    <row r="44" customFormat="false" ht="17.15" hidden="false" customHeight="false" outlineLevel="0" collapsed="false">
      <c r="A44" s="6" t="s">
        <v>133</v>
      </c>
    </row>
    <row r="45" customFormat="false" ht="17.15" hidden="false" customHeight="false" outlineLevel="0" collapsed="false">
      <c r="A45" s="0" t="s">
        <v>134</v>
      </c>
      <c r="B45" s="0" t="s">
        <v>135</v>
      </c>
      <c r="C45" s="0" t="s">
        <v>136</v>
      </c>
      <c r="D45" s="7" t="n">
        <v>30</v>
      </c>
      <c r="E45" s="7" t="n">
        <v>35</v>
      </c>
      <c r="F45" s="7" t="n">
        <v>40</v>
      </c>
      <c r="G45" s="8" t="s">
        <v>137</v>
      </c>
      <c r="H45" s="4" t="s">
        <v>138</v>
      </c>
      <c r="I45" s="4" t="s">
        <v>139</v>
      </c>
    </row>
    <row r="46" customFormat="false" ht="17.15" hidden="false" customHeight="false" outlineLevel="0" collapsed="false">
      <c r="A46" s="0" t="s">
        <v>140</v>
      </c>
      <c r="B46" s="0" t="s">
        <v>141</v>
      </c>
      <c r="C46" s="0" t="s">
        <v>136</v>
      </c>
      <c r="D46" s="7" t="n">
        <v>10</v>
      </c>
      <c r="E46" s="7" t="n">
        <v>15</v>
      </c>
      <c r="F46" s="7" t="n">
        <v>20</v>
      </c>
      <c r="G46" s="8" t="s">
        <v>110</v>
      </c>
      <c r="H46" s="4" t="s">
        <v>142</v>
      </c>
      <c r="I46" s="8" t="s">
        <v>143</v>
      </c>
    </row>
    <row r="47" customFormat="false" ht="17.15" hidden="false" customHeight="false" outlineLevel="0" collapsed="false">
      <c r="A47" s="0" t="s">
        <v>144</v>
      </c>
      <c r="B47" s="0" t="s">
        <v>145</v>
      </c>
      <c r="C47" s="0" t="s">
        <v>136</v>
      </c>
      <c r="E47" s="7" t="n">
        <v>100</v>
      </c>
      <c r="G47" s="8" t="s">
        <v>137</v>
      </c>
      <c r="H47" s="4" t="s">
        <v>146</v>
      </c>
      <c r="I47" s="8" t="s">
        <v>147</v>
      </c>
    </row>
    <row r="48" customFormat="false" ht="17.15" hidden="false" customHeight="false" outlineLevel="0" collapsed="false">
      <c r="A48" s="0" t="s">
        <v>148</v>
      </c>
      <c r="B48" s="0" t="s">
        <v>149</v>
      </c>
      <c r="C48" s="0" t="s">
        <v>136</v>
      </c>
      <c r="D48" s="7" t="n">
        <v>110</v>
      </c>
      <c r="E48" s="7" t="n">
        <v>150</v>
      </c>
      <c r="F48" s="7" t="n">
        <v>200</v>
      </c>
      <c r="G48" s="8" t="s">
        <v>110</v>
      </c>
      <c r="H48" s="4" t="s">
        <v>150</v>
      </c>
      <c r="I48" s="4" t="s">
        <v>151</v>
      </c>
    </row>
    <row r="49" customFormat="false" ht="17.15" hidden="false" customHeight="false" outlineLevel="0" collapsed="false">
      <c r="A49" s="0" t="s">
        <v>152</v>
      </c>
      <c r="B49" s="0" t="s">
        <v>153</v>
      </c>
      <c r="C49" s="0" t="s">
        <v>136</v>
      </c>
      <c r="D49" s="7" t="n">
        <v>120</v>
      </c>
      <c r="E49" s="7" t="n">
        <v>180</v>
      </c>
      <c r="F49" s="7" t="n">
        <v>220</v>
      </c>
      <c r="G49" s="8" t="s">
        <v>110</v>
      </c>
      <c r="H49" s="4" t="s">
        <v>39</v>
      </c>
      <c r="I49" s="8" t="s">
        <v>147</v>
      </c>
    </row>
    <row r="50" customFormat="false" ht="17.15" hidden="false" customHeight="false" outlineLevel="0" collapsed="false">
      <c r="A50" s="0" t="s">
        <v>154</v>
      </c>
      <c r="B50" s="0" t="s">
        <v>155</v>
      </c>
      <c r="C50" s="0" t="s">
        <v>136</v>
      </c>
      <c r="D50" s="7" t="n">
        <v>120</v>
      </c>
      <c r="E50" s="7" t="n">
        <v>180</v>
      </c>
      <c r="F50" s="7" t="n">
        <v>220</v>
      </c>
      <c r="G50" s="8" t="s">
        <v>110</v>
      </c>
      <c r="H50" s="4" t="s">
        <v>39</v>
      </c>
      <c r="I50" s="8" t="s">
        <v>147</v>
      </c>
    </row>
    <row r="51" customFormat="false" ht="17.15" hidden="false" customHeight="false" outlineLevel="0" collapsed="false">
      <c r="A51" s="0" t="s">
        <v>156</v>
      </c>
      <c r="B51" s="0" t="s">
        <v>157</v>
      </c>
      <c r="C51" s="0" t="s">
        <v>136</v>
      </c>
      <c r="D51" s="7" t="n">
        <v>150</v>
      </c>
      <c r="E51" s="7" t="n">
        <v>200</v>
      </c>
      <c r="F51" s="7" t="n">
        <v>250</v>
      </c>
      <c r="G51" s="8" t="s">
        <v>137</v>
      </c>
      <c r="H51" s="4" t="s">
        <v>158</v>
      </c>
      <c r="I51" s="4" t="s">
        <v>159</v>
      </c>
    </row>
    <row r="52" customFormat="false" ht="17.15" hidden="false" customHeight="false" outlineLevel="0" collapsed="false">
      <c r="A52" s="0" t="s">
        <v>160</v>
      </c>
      <c r="B52" s="0" t="s">
        <v>161</v>
      </c>
      <c r="C52" s="0" t="s">
        <v>136</v>
      </c>
      <c r="E52" s="7" t="n">
        <v>40</v>
      </c>
      <c r="G52" s="8" t="s">
        <v>110</v>
      </c>
      <c r="H52" s="4" t="s">
        <v>162</v>
      </c>
      <c r="I52" s="4" t="s">
        <v>163</v>
      </c>
    </row>
    <row r="53" customFormat="false" ht="17.15" hidden="false" customHeight="false" outlineLevel="0" collapsed="false">
      <c r="A53" s="0" t="s">
        <v>164</v>
      </c>
      <c r="B53" s="0" t="s">
        <v>165</v>
      </c>
      <c r="C53" s="0" t="s">
        <v>136</v>
      </c>
      <c r="D53" s="7" t="n">
        <v>45</v>
      </c>
      <c r="E53" s="7" t="n">
        <v>60</v>
      </c>
      <c r="F53" s="7" t="n">
        <v>80</v>
      </c>
      <c r="G53" s="8" t="s">
        <v>110</v>
      </c>
      <c r="H53" s="4" t="s">
        <v>166</v>
      </c>
      <c r="I53" s="8" t="s">
        <v>147</v>
      </c>
    </row>
    <row r="54" customFormat="false" ht="17.15" hidden="false" customHeight="false" outlineLevel="0" collapsed="false">
      <c r="A54" s="0" t="s">
        <v>167</v>
      </c>
      <c r="B54" s="0" t="s">
        <v>168</v>
      </c>
      <c r="C54" s="0" t="s">
        <v>136</v>
      </c>
      <c r="D54" s="7" t="n">
        <v>50</v>
      </c>
      <c r="E54" s="7" t="n">
        <v>80</v>
      </c>
      <c r="F54" s="7" t="n">
        <v>110</v>
      </c>
      <c r="G54" s="8" t="s">
        <v>110</v>
      </c>
      <c r="H54" s="4" t="s">
        <v>39</v>
      </c>
      <c r="I54" s="8" t="s">
        <v>147</v>
      </c>
    </row>
    <row r="55" customFormat="false" ht="17.15" hidden="false" customHeight="false" outlineLevel="0" collapsed="false">
      <c r="A55" s="0" t="s">
        <v>169</v>
      </c>
      <c r="B55" s="0" t="s">
        <v>170</v>
      </c>
      <c r="C55" s="0" t="s">
        <v>136</v>
      </c>
      <c r="D55" s="7" t="n">
        <v>50</v>
      </c>
      <c r="E55" s="7" t="n">
        <v>80</v>
      </c>
      <c r="F55" s="7" t="n">
        <v>110</v>
      </c>
      <c r="G55" s="8" t="s">
        <v>110</v>
      </c>
      <c r="H55" s="4" t="s">
        <v>39</v>
      </c>
      <c r="I55" s="8" t="s">
        <v>147</v>
      </c>
    </row>
    <row r="56" customFormat="false" ht="17.15" hidden="false" customHeight="false" outlineLevel="0" collapsed="false">
      <c r="A56" s="0" t="s">
        <v>171</v>
      </c>
      <c r="B56" s="0" t="s">
        <v>172</v>
      </c>
      <c r="C56" s="0" t="s">
        <v>136</v>
      </c>
      <c r="E56" s="7" t="n">
        <v>30</v>
      </c>
      <c r="G56" s="8" t="s">
        <v>110</v>
      </c>
      <c r="H56" s="4" t="s">
        <v>173</v>
      </c>
      <c r="I56" s="8" t="s">
        <v>174</v>
      </c>
    </row>
    <row r="57" customFormat="false" ht="17.15" hidden="false" customHeight="false" outlineLevel="0" collapsed="false">
      <c r="A57" s="0" t="s">
        <v>175</v>
      </c>
      <c r="B57" s="0" t="s">
        <v>176</v>
      </c>
      <c r="C57" s="0" t="s">
        <v>136</v>
      </c>
      <c r="D57" s="7" t="n">
        <v>30</v>
      </c>
      <c r="E57" s="7" t="n">
        <v>35</v>
      </c>
      <c r="F57" s="7" t="n">
        <v>45</v>
      </c>
      <c r="G57" s="8" t="s">
        <v>110</v>
      </c>
      <c r="H57" s="4" t="s">
        <v>39</v>
      </c>
      <c r="I57" s="8" t="s">
        <v>147</v>
      </c>
    </row>
    <row r="58" customFormat="false" ht="17.15" hidden="false" customHeight="false" outlineLevel="0" collapsed="false">
      <c r="A58" s="0" t="s">
        <v>177</v>
      </c>
      <c r="B58" s="0" t="s">
        <v>178</v>
      </c>
      <c r="C58" s="0" t="s">
        <v>136</v>
      </c>
      <c r="D58" s="7" t="n">
        <v>30</v>
      </c>
      <c r="E58" s="7" t="n">
        <v>40</v>
      </c>
      <c r="F58" s="7" t="n">
        <v>55</v>
      </c>
      <c r="G58" s="8" t="s">
        <v>110</v>
      </c>
      <c r="H58" s="4" t="s">
        <v>39</v>
      </c>
      <c r="I58" s="8" t="s">
        <v>147</v>
      </c>
    </row>
    <row r="59" customFormat="false" ht="17.15" hidden="false" customHeight="false" outlineLevel="0" collapsed="false">
      <c r="A59" s="0" t="s">
        <v>179</v>
      </c>
      <c r="B59" s="0" t="s">
        <v>180</v>
      </c>
      <c r="C59" s="0" t="s">
        <v>136</v>
      </c>
      <c r="D59" s="7" t="n">
        <v>30</v>
      </c>
      <c r="E59" s="7" t="n">
        <v>40</v>
      </c>
      <c r="F59" s="7" t="n">
        <v>55</v>
      </c>
      <c r="G59" s="8" t="s">
        <v>110</v>
      </c>
      <c r="H59" s="4" t="s">
        <v>39</v>
      </c>
      <c r="I59" s="8" t="s">
        <v>147</v>
      </c>
    </row>
    <row r="60" customFormat="false" ht="17.15" hidden="false" customHeight="false" outlineLevel="0" collapsed="false">
      <c r="A60" s="6" t="s">
        <v>181</v>
      </c>
    </row>
    <row r="61" customFormat="false" ht="17.15" hidden="false" customHeight="false" outlineLevel="0" collapsed="false">
      <c r="A61" s="0" t="s">
        <v>182</v>
      </c>
      <c r="B61" s="4" t="s">
        <v>183</v>
      </c>
      <c r="C61" s="0" t="s">
        <v>109</v>
      </c>
      <c r="D61" s="7" t="n">
        <v>0.25</v>
      </c>
      <c r="E61" s="7" t="n">
        <v>0.4</v>
      </c>
      <c r="F61" s="7" t="n">
        <v>0.55</v>
      </c>
      <c r="G61" s="8" t="s">
        <v>110</v>
      </c>
      <c r="H61" s="4" t="s">
        <v>184</v>
      </c>
      <c r="I61" s="8" t="s">
        <v>185</v>
      </c>
    </row>
    <row r="62" customFormat="false" ht="17.15" hidden="false" customHeight="false" outlineLevel="0" collapsed="false">
      <c r="A62" s="0" t="s">
        <v>186</v>
      </c>
      <c r="B62" s="4" t="s">
        <v>187</v>
      </c>
      <c r="C62" s="0" t="s">
        <v>109</v>
      </c>
      <c r="D62" s="7" t="n">
        <v>0.92</v>
      </c>
      <c r="E62" s="7" t="n">
        <v>0.97</v>
      </c>
      <c r="F62" s="7" t="n">
        <v>1</v>
      </c>
      <c r="G62" s="8" t="s">
        <v>110</v>
      </c>
      <c r="H62" s="4" t="s">
        <v>188</v>
      </c>
      <c r="I62" s="4" t="s">
        <v>189</v>
      </c>
    </row>
    <row r="63" customFormat="false" ht="17.15" hidden="false" customHeight="false" outlineLevel="0" collapsed="false">
      <c r="A63" s="0" t="s">
        <v>190</v>
      </c>
      <c r="B63" s="4" t="s">
        <v>191</v>
      </c>
      <c r="C63" s="0" t="s">
        <v>109</v>
      </c>
      <c r="D63" s="7" t="n">
        <v>0.85</v>
      </c>
      <c r="E63" s="7" t="n">
        <v>0.93</v>
      </c>
      <c r="F63" s="7" t="n">
        <v>1</v>
      </c>
      <c r="G63" s="8" t="s">
        <v>110</v>
      </c>
      <c r="H63" s="4" t="s">
        <v>39</v>
      </c>
      <c r="I63" s="8" t="s">
        <v>147</v>
      </c>
    </row>
    <row r="64" customFormat="false" ht="17.15" hidden="false" customHeight="false" outlineLevel="0" collapsed="false">
      <c r="A64" s="0" t="s">
        <v>192</v>
      </c>
      <c r="B64" s="4" t="s">
        <v>193</v>
      </c>
      <c r="C64" s="0" t="s">
        <v>109</v>
      </c>
      <c r="D64" s="7" t="n">
        <v>0.8</v>
      </c>
      <c r="E64" s="7" t="n">
        <v>0.9</v>
      </c>
      <c r="F64" s="7" t="n">
        <v>0.98</v>
      </c>
      <c r="G64" s="8" t="s">
        <v>110</v>
      </c>
      <c r="H64" s="4" t="s">
        <v>39</v>
      </c>
      <c r="I64" s="8" t="s">
        <v>147</v>
      </c>
    </row>
    <row r="65" customFormat="false" ht="17.15" hidden="false" customHeight="false" outlineLevel="0" collapsed="false">
      <c r="A65" s="0" t="s">
        <v>194</v>
      </c>
      <c r="B65" s="4" t="s">
        <v>195</v>
      </c>
      <c r="C65" s="0" t="s">
        <v>196</v>
      </c>
      <c r="D65" s="7" t="n">
        <v>0.003</v>
      </c>
      <c r="E65" s="7" t="n">
        <v>0.008</v>
      </c>
      <c r="F65" s="7" t="n">
        <v>0.015</v>
      </c>
      <c r="G65" s="8" t="s">
        <v>110</v>
      </c>
      <c r="H65" s="4" t="s">
        <v>197</v>
      </c>
      <c r="I65" s="4" t="s">
        <v>198</v>
      </c>
    </row>
    <row r="66" customFormat="false" ht="17.15" hidden="false" customHeight="false" outlineLevel="0" collapsed="false">
      <c r="A66" s="0" t="s">
        <v>199</v>
      </c>
      <c r="B66" s="4" t="s">
        <v>200</v>
      </c>
      <c r="C66" s="0" t="s">
        <v>196</v>
      </c>
      <c r="D66" s="7" t="n">
        <v>0.006</v>
      </c>
      <c r="E66" s="7" t="n">
        <v>0.015</v>
      </c>
      <c r="F66" s="7" t="n">
        <v>0.03</v>
      </c>
      <c r="G66" s="8" t="s">
        <v>110</v>
      </c>
      <c r="H66" s="4" t="s">
        <v>39</v>
      </c>
      <c r="I66" s="8" t="s">
        <v>147</v>
      </c>
    </row>
    <row r="67" customFormat="false" ht="17.15" hidden="false" customHeight="false" outlineLevel="0" collapsed="false">
      <c r="A67" s="0" t="s">
        <v>201</v>
      </c>
      <c r="B67" s="4" t="s">
        <v>202</v>
      </c>
      <c r="C67" s="0" t="s">
        <v>196</v>
      </c>
      <c r="D67" s="7" t="n">
        <v>0.01</v>
      </c>
      <c r="E67" s="7" t="n">
        <v>0.025</v>
      </c>
      <c r="F67" s="7" t="n">
        <v>0.045</v>
      </c>
      <c r="G67" s="8" t="s">
        <v>110</v>
      </c>
      <c r="H67" s="4" t="s">
        <v>39</v>
      </c>
      <c r="I67" s="8" t="s">
        <v>147</v>
      </c>
    </row>
    <row r="68" customFormat="false" ht="17.15" hidden="false" customHeight="false" outlineLevel="0" collapsed="false">
      <c r="A68" s="0" t="s">
        <v>203</v>
      </c>
      <c r="B68" s="4" t="s">
        <v>204</v>
      </c>
      <c r="C68" s="0" t="s">
        <v>205</v>
      </c>
      <c r="E68" s="7" t="n">
        <v>4.51368758595869</v>
      </c>
      <c r="G68" s="8" t="s">
        <v>34</v>
      </c>
      <c r="H68" s="8" t="s">
        <v>206</v>
      </c>
      <c r="I68" s="4" t="s">
        <v>207</v>
      </c>
    </row>
    <row r="69" customFormat="false" ht="17.15" hidden="false" customHeight="false" outlineLevel="0" collapsed="false">
      <c r="A69" s="0" t="s">
        <v>208</v>
      </c>
      <c r="B69" s="4" t="s">
        <v>209</v>
      </c>
      <c r="C69" s="0" t="s">
        <v>205</v>
      </c>
      <c r="E69" s="7" t="n">
        <v>11.5612471431652</v>
      </c>
      <c r="G69" s="8" t="s">
        <v>34</v>
      </c>
      <c r="H69" s="8" t="s">
        <v>206</v>
      </c>
      <c r="I69" s="4" t="s">
        <v>39</v>
      </c>
    </row>
    <row r="70" customFormat="false" ht="17.15" hidden="false" customHeight="false" outlineLevel="0" collapsed="false">
      <c r="A70" s="0" t="s">
        <v>210</v>
      </c>
      <c r="B70" s="4" t="s">
        <v>211</v>
      </c>
      <c r="C70" s="0" t="s">
        <v>205</v>
      </c>
      <c r="E70" s="7" t="n">
        <v>17.6393273261943</v>
      </c>
      <c r="G70" s="8" t="s">
        <v>34</v>
      </c>
      <c r="H70" s="8" t="s">
        <v>206</v>
      </c>
      <c r="I70" s="4" t="s">
        <v>39</v>
      </c>
    </row>
    <row r="71" customFormat="false" ht="17.15" hidden="false" customHeight="false" outlineLevel="0" collapsed="false">
      <c r="A71" s="0" t="s">
        <v>212</v>
      </c>
      <c r="B71" s="4" t="s">
        <v>213</v>
      </c>
      <c r="C71" s="0" t="s">
        <v>205</v>
      </c>
      <c r="E71" s="7" t="n">
        <v>20.0939825685161</v>
      </c>
      <c r="G71" s="8" t="s">
        <v>34</v>
      </c>
      <c r="H71" s="8" t="s">
        <v>206</v>
      </c>
      <c r="I71" s="4" t="s">
        <v>39</v>
      </c>
    </row>
    <row r="72" customFormat="false" ht="17.15" hidden="false" customHeight="false" outlineLevel="0" collapsed="false">
      <c r="A72" s="0" t="s">
        <v>214</v>
      </c>
      <c r="B72" s="4" t="s">
        <v>215</v>
      </c>
      <c r="C72" s="0" t="s">
        <v>205</v>
      </c>
      <c r="E72" s="7" t="n">
        <v>4.51368758595869</v>
      </c>
      <c r="G72" s="8" t="s">
        <v>34</v>
      </c>
      <c r="H72" s="8" t="s">
        <v>216</v>
      </c>
      <c r="I72" s="4" t="s">
        <v>39</v>
      </c>
    </row>
    <row r="73" customFormat="false" ht="17.15" hidden="false" customHeight="false" outlineLevel="0" collapsed="false">
      <c r="A73" s="0" t="s">
        <v>217</v>
      </c>
      <c r="B73" s="4" t="s">
        <v>218</v>
      </c>
      <c r="C73" s="0" t="s">
        <v>205</v>
      </c>
      <c r="E73" s="7" t="n">
        <v>10.2011004204398</v>
      </c>
      <c r="G73" s="8" t="s">
        <v>34</v>
      </c>
      <c r="H73" s="8" t="s">
        <v>216</v>
      </c>
      <c r="I73" s="4" t="s">
        <v>39</v>
      </c>
    </row>
    <row r="74" customFormat="false" ht="17.15" hidden="false" customHeight="false" outlineLevel="0" collapsed="false">
      <c r="A74" s="0" t="s">
        <v>219</v>
      </c>
      <c r="B74" s="4" t="s">
        <v>220</v>
      </c>
      <c r="C74" s="0" t="s">
        <v>205</v>
      </c>
      <c r="E74" s="7" t="n">
        <v>12.6260448229601</v>
      </c>
      <c r="G74" s="8" t="s">
        <v>34</v>
      </c>
      <c r="H74" s="8" t="s">
        <v>216</v>
      </c>
      <c r="I74" s="4" t="s">
        <v>39</v>
      </c>
    </row>
    <row r="75" customFormat="false" ht="17.15" hidden="false" customHeight="false" outlineLevel="0" collapsed="false">
      <c r="A75" s="0" t="s">
        <v>221</v>
      </c>
      <c r="B75" s="4" t="s">
        <v>222</v>
      </c>
      <c r="C75" s="0" t="s">
        <v>205</v>
      </c>
      <c r="E75" s="7" t="n">
        <v>16.1809438578051</v>
      </c>
      <c r="G75" s="8" t="s">
        <v>34</v>
      </c>
      <c r="H75" s="8" t="s">
        <v>216</v>
      </c>
      <c r="I75" s="4" t="s">
        <v>39</v>
      </c>
    </row>
    <row r="76" customFormat="false" ht="17.15" hidden="false" customHeight="false" outlineLevel="0" collapsed="false">
      <c r="A76" s="0" t="s">
        <v>223</v>
      </c>
      <c r="B76" s="4" t="s">
        <v>224</v>
      </c>
      <c r="C76" s="0" t="s">
        <v>205</v>
      </c>
      <c r="E76" s="7" t="n">
        <v>4.51368758595869</v>
      </c>
      <c r="G76" s="8" t="s">
        <v>34</v>
      </c>
      <c r="H76" s="8" t="s">
        <v>225</v>
      </c>
      <c r="I76" s="4" t="s">
        <v>39</v>
      </c>
    </row>
    <row r="77" customFormat="false" ht="17.15" hidden="false" customHeight="false" outlineLevel="0" collapsed="false">
      <c r="A77" s="0" t="s">
        <v>226</v>
      </c>
      <c r="B77" s="4" t="s">
        <v>227</v>
      </c>
      <c r="C77" s="0" t="s">
        <v>205</v>
      </c>
      <c r="E77" s="7" t="n">
        <v>8.16088033635188</v>
      </c>
      <c r="G77" s="8" t="s">
        <v>34</v>
      </c>
      <c r="H77" s="8" t="s">
        <v>225</v>
      </c>
      <c r="I77" s="4" t="s">
        <v>39</v>
      </c>
    </row>
    <row r="78" customFormat="false" ht="17.15" hidden="false" customHeight="false" outlineLevel="0" collapsed="false">
      <c r="A78" s="0" t="s">
        <v>228</v>
      </c>
      <c r="B78" s="4" t="s">
        <v>229</v>
      </c>
      <c r="C78" s="0" t="s">
        <v>205</v>
      </c>
      <c r="E78" s="7" t="n">
        <v>7.79843944947535</v>
      </c>
      <c r="G78" s="8" t="s">
        <v>34</v>
      </c>
      <c r="H78" s="8" t="s">
        <v>225</v>
      </c>
      <c r="I78" s="4" t="s">
        <v>39</v>
      </c>
    </row>
    <row r="79" customFormat="false" ht="17.15" hidden="false" customHeight="false" outlineLevel="0" collapsed="false">
      <c r="A79" s="0" t="s">
        <v>230</v>
      </c>
      <c r="B79" s="4" t="s">
        <v>231</v>
      </c>
      <c r="C79" s="0" t="s">
        <v>205</v>
      </c>
      <c r="E79" s="7" t="n">
        <v>9.51820226929712</v>
      </c>
      <c r="G79" s="8" t="s">
        <v>34</v>
      </c>
      <c r="H79" s="8" t="s">
        <v>225</v>
      </c>
      <c r="I79" s="4" t="s">
        <v>39</v>
      </c>
    </row>
    <row r="80" customFormat="false" ht="17.15" hidden="false" customHeight="false" outlineLevel="0" collapsed="false">
      <c r="A80" s="0" t="s">
        <v>232</v>
      </c>
      <c r="B80" s="4" t="s">
        <v>233</v>
      </c>
      <c r="C80" s="0" t="s">
        <v>196</v>
      </c>
      <c r="E80" s="7" t="n">
        <v>0.498927641116677</v>
      </c>
      <c r="G80" s="8" t="s">
        <v>34</v>
      </c>
      <c r="H80" s="8" t="s">
        <v>234</v>
      </c>
      <c r="I80" s="4" t="s">
        <v>235</v>
      </c>
    </row>
    <row r="81" customFormat="false" ht="17.15" hidden="false" customHeight="false" outlineLevel="0" collapsed="false">
      <c r="A81" s="0" t="s">
        <v>236</v>
      </c>
      <c r="B81" s="4" t="s">
        <v>237</v>
      </c>
      <c r="C81" s="0" t="s">
        <v>196</v>
      </c>
      <c r="E81" s="7" t="n">
        <v>0.473981259060843</v>
      </c>
      <c r="G81" s="8" t="s">
        <v>34</v>
      </c>
      <c r="H81" s="8" t="s">
        <v>234</v>
      </c>
      <c r="I81" s="4" t="s">
        <v>39</v>
      </c>
    </row>
    <row r="82" customFormat="false" ht="17.15" hidden="false" customHeight="false" outlineLevel="0" collapsed="false">
      <c r="A82" s="0" t="s">
        <v>238</v>
      </c>
      <c r="B82" s="4" t="s">
        <v>239</v>
      </c>
      <c r="C82" s="0" t="s">
        <v>196</v>
      </c>
      <c r="E82" s="7" t="n">
        <v>0.449034877005009</v>
      </c>
      <c r="G82" s="8" t="s">
        <v>34</v>
      </c>
      <c r="H82" s="8" t="s">
        <v>234</v>
      </c>
      <c r="I82" s="4" t="s">
        <v>39</v>
      </c>
    </row>
    <row r="83" customFormat="false" ht="17.15" hidden="false" customHeight="false" outlineLevel="0" collapsed="false">
      <c r="A83" s="0" t="s">
        <v>240</v>
      </c>
      <c r="B83" s="4" t="s">
        <v>241</v>
      </c>
      <c r="C83" s="0" t="s">
        <v>196</v>
      </c>
      <c r="E83" s="7" t="n">
        <v>0.424088494949176</v>
      </c>
      <c r="G83" s="8" t="s">
        <v>34</v>
      </c>
      <c r="H83" s="8" t="s">
        <v>234</v>
      </c>
      <c r="I83" s="4" t="s">
        <v>39</v>
      </c>
    </row>
    <row r="84" customFormat="false" ht="17.15" hidden="false" customHeight="false" outlineLevel="0" collapsed="false">
      <c r="A84" s="0" t="s">
        <v>242</v>
      </c>
      <c r="B84" s="4" t="s">
        <v>243</v>
      </c>
      <c r="C84" s="0" t="s">
        <v>196</v>
      </c>
      <c r="E84" s="7" t="n">
        <v>0.498927641116677</v>
      </c>
      <c r="G84" s="8" t="s">
        <v>34</v>
      </c>
      <c r="H84" s="8" t="s">
        <v>244</v>
      </c>
      <c r="I84" s="4" t="s">
        <v>39</v>
      </c>
    </row>
    <row r="85" customFormat="false" ht="17.15" hidden="false" customHeight="false" outlineLevel="0" collapsed="false">
      <c r="A85" s="0" t="s">
        <v>245</v>
      </c>
      <c r="B85" s="4" t="s">
        <v>246</v>
      </c>
      <c r="C85" s="0" t="s">
        <v>196</v>
      </c>
      <c r="E85" s="7" t="n">
        <v>0.473981259060843</v>
      </c>
      <c r="G85" s="8" t="s">
        <v>34</v>
      </c>
      <c r="H85" s="8" t="s">
        <v>244</v>
      </c>
      <c r="I85" s="4" t="s">
        <v>39</v>
      </c>
    </row>
    <row r="86" customFormat="false" ht="17.15" hidden="false" customHeight="false" outlineLevel="0" collapsed="false">
      <c r="A86" s="0" t="s">
        <v>247</v>
      </c>
      <c r="B86" s="4" t="s">
        <v>248</v>
      </c>
      <c r="C86" s="0" t="s">
        <v>196</v>
      </c>
      <c r="E86" s="7" t="n">
        <v>0.449034877005009</v>
      </c>
      <c r="G86" s="8" t="s">
        <v>34</v>
      </c>
      <c r="H86" s="8" t="s">
        <v>244</v>
      </c>
      <c r="I86" s="4" t="s">
        <v>39</v>
      </c>
    </row>
    <row r="87" customFormat="false" ht="17.15" hidden="false" customHeight="false" outlineLevel="0" collapsed="false">
      <c r="A87" s="0" t="s">
        <v>249</v>
      </c>
      <c r="B87" s="4" t="s">
        <v>250</v>
      </c>
      <c r="C87" s="0" t="s">
        <v>196</v>
      </c>
      <c r="E87" s="7" t="n">
        <v>0.424088494949176</v>
      </c>
      <c r="G87" s="8" t="s">
        <v>34</v>
      </c>
      <c r="H87" s="8" t="s">
        <v>244</v>
      </c>
      <c r="I87" s="4" t="s">
        <v>39</v>
      </c>
    </row>
    <row r="88" customFormat="false" ht="17.15" hidden="false" customHeight="false" outlineLevel="0" collapsed="false">
      <c r="A88" s="0" t="s">
        <v>251</v>
      </c>
      <c r="B88" s="4" t="s">
        <v>252</v>
      </c>
      <c r="C88" s="0" t="s">
        <v>196</v>
      </c>
      <c r="E88" s="7" t="n">
        <v>0.498927641116677</v>
      </c>
      <c r="G88" s="8" t="s">
        <v>34</v>
      </c>
      <c r="H88" s="8" t="s">
        <v>253</v>
      </c>
      <c r="I88" s="4" t="s">
        <v>39</v>
      </c>
    </row>
    <row r="89" customFormat="false" ht="17.15" hidden="false" customHeight="false" outlineLevel="0" collapsed="false">
      <c r="A89" s="0" t="s">
        <v>254</v>
      </c>
      <c r="B89" s="4" t="s">
        <v>255</v>
      </c>
      <c r="C89" s="0" t="s">
        <v>196</v>
      </c>
      <c r="E89" s="7" t="n">
        <v>0.473981259060843</v>
      </c>
      <c r="G89" s="8" t="s">
        <v>34</v>
      </c>
      <c r="H89" s="8" t="s">
        <v>253</v>
      </c>
      <c r="I89" s="4" t="s">
        <v>39</v>
      </c>
    </row>
    <row r="90" customFormat="false" ht="17.15" hidden="false" customHeight="false" outlineLevel="0" collapsed="false">
      <c r="A90" s="0" t="s">
        <v>256</v>
      </c>
      <c r="B90" s="4" t="s">
        <v>257</v>
      </c>
      <c r="C90" s="0" t="s">
        <v>196</v>
      </c>
      <c r="E90" s="7" t="n">
        <v>0.449034877005009</v>
      </c>
      <c r="G90" s="8" t="s">
        <v>34</v>
      </c>
      <c r="H90" s="8" t="s">
        <v>253</v>
      </c>
      <c r="I90" s="4" t="s">
        <v>39</v>
      </c>
    </row>
    <row r="91" customFormat="false" ht="17.15" hidden="false" customHeight="false" outlineLevel="0" collapsed="false">
      <c r="A91" s="0" t="s">
        <v>258</v>
      </c>
      <c r="B91" s="4" t="s">
        <v>259</v>
      </c>
      <c r="C91" s="0" t="s">
        <v>196</v>
      </c>
      <c r="E91" s="7" t="n">
        <v>0.424088494949176</v>
      </c>
      <c r="G91" s="8" t="s">
        <v>34</v>
      </c>
      <c r="H91" s="8" t="s">
        <v>253</v>
      </c>
      <c r="I91" s="4" t="s">
        <v>39</v>
      </c>
    </row>
    <row r="92" customFormat="false" ht="17.15" hidden="false" customHeight="false" outlineLevel="0" collapsed="false">
      <c r="A92" s="6" t="s">
        <v>260</v>
      </c>
    </row>
    <row r="93" customFormat="false" ht="17.15" hidden="false" customHeight="false" outlineLevel="0" collapsed="false">
      <c r="A93" s="0" t="s">
        <v>261</v>
      </c>
      <c r="B93" s="0" t="s">
        <v>262</v>
      </c>
      <c r="C93" s="0" t="s">
        <v>196</v>
      </c>
      <c r="E93" s="7" t="n">
        <v>0.726</v>
      </c>
      <c r="G93" s="8" t="s">
        <v>137</v>
      </c>
      <c r="H93" s="4" t="s">
        <v>263</v>
      </c>
      <c r="I93" s="4" t="s">
        <v>264</v>
      </c>
    </row>
    <row r="94" customFormat="false" ht="17.15" hidden="false" customHeight="false" outlineLevel="0" collapsed="false">
      <c r="A94" s="0" t="s">
        <v>265</v>
      </c>
      <c r="B94" s="0" t="s">
        <v>266</v>
      </c>
      <c r="C94" s="0" t="s">
        <v>196</v>
      </c>
      <c r="D94" s="7" t="n">
        <v>0.66</v>
      </c>
      <c r="E94" s="7" t="n">
        <v>0.75</v>
      </c>
      <c r="F94" s="7" t="n">
        <v>0.8</v>
      </c>
      <c r="G94" s="8" t="s">
        <v>137</v>
      </c>
      <c r="H94" s="4" t="s">
        <v>267</v>
      </c>
      <c r="I94" s="4" t="s">
        <v>268</v>
      </c>
    </row>
    <row r="95" customFormat="false" ht="17.15" hidden="false" customHeight="false" outlineLevel="0" collapsed="false">
      <c r="A95" s="0" t="s">
        <v>269</v>
      </c>
      <c r="B95" s="0" t="s">
        <v>270</v>
      </c>
      <c r="C95" s="0" t="s">
        <v>196</v>
      </c>
      <c r="D95" s="7" t="n">
        <v>0.22</v>
      </c>
      <c r="E95" s="7" t="n">
        <v>0.3</v>
      </c>
      <c r="F95" s="7" t="n">
        <v>0.38</v>
      </c>
      <c r="G95" s="8" t="s">
        <v>110</v>
      </c>
      <c r="H95" s="4" t="s">
        <v>271</v>
      </c>
      <c r="I95" s="4" t="s">
        <v>272</v>
      </c>
    </row>
    <row r="96" customFormat="false" ht="17.15" hidden="false" customHeight="false" outlineLevel="0" collapsed="false">
      <c r="A96" s="0" t="s">
        <v>273</v>
      </c>
      <c r="B96" s="0" t="s">
        <v>274</v>
      </c>
      <c r="C96" s="0" t="s">
        <v>196</v>
      </c>
      <c r="D96" s="7" t="n">
        <v>0.32</v>
      </c>
      <c r="E96" s="7" t="n">
        <v>0.4</v>
      </c>
      <c r="F96" s="7" t="n">
        <v>0.48</v>
      </c>
      <c r="G96" s="8" t="s">
        <v>110</v>
      </c>
      <c r="H96" s="4" t="s">
        <v>275</v>
      </c>
      <c r="I96" s="4" t="s">
        <v>276</v>
      </c>
    </row>
    <row r="97" customFormat="false" ht="17.15" hidden="false" customHeight="false" outlineLevel="0" collapsed="false">
      <c r="A97" s="0" t="s">
        <v>277</v>
      </c>
      <c r="B97" s="4" t="s">
        <v>278</v>
      </c>
      <c r="C97" s="0" t="s">
        <v>196</v>
      </c>
      <c r="D97" s="7" t="n">
        <v>0.05</v>
      </c>
      <c r="E97" s="7" t="n">
        <v>0.12</v>
      </c>
      <c r="F97" s="7" t="n">
        <v>0.2</v>
      </c>
      <c r="G97" s="8" t="s">
        <v>110</v>
      </c>
      <c r="H97" s="4" t="s">
        <v>279</v>
      </c>
      <c r="I97" s="4" t="s">
        <v>280</v>
      </c>
    </row>
    <row r="98" customFormat="false" ht="17.15" hidden="false" customHeight="false" outlineLevel="0" collapsed="false">
      <c r="A98" s="0" t="s">
        <v>281</v>
      </c>
      <c r="B98" s="4" t="s">
        <v>282</v>
      </c>
      <c r="C98" s="0" t="s">
        <v>196</v>
      </c>
      <c r="D98" s="7" t="n">
        <v>0.03</v>
      </c>
      <c r="E98" s="7" t="n">
        <v>0.1</v>
      </c>
      <c r="F98" s="7" t="n">
        <v>0.15</v>
      </c>
      <c r="G98" s="8" t="s">
        <v>110</v>
      </c>
      <c r="H98" s="4" t="s">
        <v>39</v>
      </c>
      <c r="I98" s="8" t="s">
        <v>147</v>
      </c>
    </row>
    <row r="99" customFormat="false" ht="17.15" hidden="false" customHeight="false" outlineLevel="0" collapsed="false">
      <c r="A99" s="0" t="s">
        <v>283</v>
      </c>
      <c r="B99" s="4" t="s">
        <v>284</v>
      </c>
      <c r="C99" s="0" t="s">
        <v>196</v>
      </c>
      <c r="D99" s="7" t="n">
        <v>0.02</v>
      </c>
      <c r="E99" s="7" t="n">
        <v>0.08</v>
      </c>
      <c r="F99" s="7" t="n">
        <v>0.12</v>
      </c>
      <c r="G99" s="8" t="s">
        <v>110</v>
      </c>
      <c r="H99" s="4" t="s">
        <v>39</v>
      </c>
      <c r="I99" s="8" t="s">
        <v>147</v>
      </c>
    </row>
    <row r="100" customFormat="false" ht="17.15" hidden="false" customHeight="false" outlineLevel="0" collapsed="false">
      <c r="A100" s="0" t="s">
        <v>285</v>
      </c>
      <c r="B100" s="4" t="s">
        <v>286</v>
      </c>
      <c r="C100" s="0" t="s">
        <v>196</v>
      </c>
      <c r="D100" s="7" t="n">
        <v>-0.05</v>
      </c>
      <c r="E100" s="7" t="n">
        <v>0.03</v>
      </c>
      <c r="F100" s="7" t="n">
        <v>0.08</v>
      </c>
      <c r="G100" s="8" t="s">
        <v>110</v>
      </c>
      <c r="H100" s="8" t="s">
        <v>287</v>
      </c>
      <c r="I100" s="8" t="s">
        <v>147</v>
      </c>
    </row>
    <row r="101" customFormat="false" ht="17.15" hidden="false" customHeight="false" outlineLevel="0" collapsed="false">
      <c r="A101" s="0" t="s">
        <v>288</v>
      </c>
      <c r="B101" s="4" t="s">
        <v>289</v>
      </c>
      <c r="C101" s="0" t="s">
        <v>196</v>
      </c>
      <c r="D101" s="7" t="n">
        <v>-0.05</v>
      </c>
      <c r="E101" s="7" t="n">
        <v>0.03</v>
      </c>
      <c r="F101" s="7" t="n">
        <v>0.08</v>
      </c>
      <c r="G101" s="8" t="s">
        <v>110</v>
      </c>
      <c r="H101" s="4" t="s">
        <v>39</v>
      </c>
      <c r="I101" s="8" t="s">
        <v>147</v>
      </c>
    </row>
    <row r="102" customFormat="false" ht="17.15" hidden="false" customHeight="false" outlineLevel="0" collapsed="false">
      <c r="A102" s="0" t="s">
        <v>290</v>
      </c>
      <c r="B102" s="4" t="s">
        <v>291</v>
      </c>
      <c r="C102" s="0" t="s">
        <v>196</v>
      </c>
      <c r="D102" s="7" t="n">
        <v>-0.05</v>
      </c>
      <c r="E102" s="7" t="n">
        <v>0.03</v>
      </c>
      <c r="F102" s="7" t="n">
        <v>0.08</v>
      </c>
      <c r="G102" s="8" t="s">
        <v>110</v>
      </c>
      <c r="H102" s="4" t="s">
        <v>39</v>
      </c>
      <c r="I102" s="8" t="s">
        <v>147</v>
      </c>
    </row>
    <row r="103" customFormat="false" ht="17.15" hidden="false" customHeight="false" outlineLevel="0" collapsed="false">
      <c r="A103" s="6" t="s">
        <v>292</v>
      </c>
    </row>
    <row r="104" customFormat="false" ht="17.15" hidden="false" customHeight="false" outlineLevel="0" collapsed="false">
      <c r="A104" s="0" t="s">
        <v>293</v>
      </c>
      <c r="B104" s="0" t="s">
        <v>294</v>
      </c>
      <c r="C104" s="0" t="s">
        <v>295</v>
      </c>
      <c r="D104" s="7" t="n">
        <v>0.06</v>
      </c>
      <c r="E104" s="7" t="n">
        <v>0.12</v>
      </c>
      <c r="F104" s="7" t="n">
        <v>0.18</v>
      </c>
      <c r="G104" s="8" t="s">
        <v>110</v>
      </c>
      <c r="H104" s="4" t="s">
        <v>296</v>
      </c>
      <c r="I104" s="4" t="s">
        <v>297</v>
      </c>
    </row>
    <row r="105" customFormat="false" ht="17.15" hidden="false" customHeight="false" outlineLevel="0" collapsed="false">
      <c r="A105" s="6" t="s">
        <v>298</v>
      </c>
    </row>
    <row r="106" customFormat="false" ht="17.15" hidden="false" customHeight="false" outlineLevel="0" collapsed="false">
      <c r="A106" s="0" t="s">
        <v>299</v>
      </c>
      <c r="B106" s="0" t="s">
        <v>300</v>
      </c>
      <c r="C106" s="0" t="s">
        <v>301</v>
      </c>
      <c r="E106" s="0" t="n">
        <f aca="false">3.213+3.226+3.054</f>
        <v>9.493</v>
      </c>
      <c r="G106" s="0" t="s">
        <v>302</v>
      </c>
      <c r="H106" s="0" t="s">
        <v>303</v>
      </c>
      <c r="I106" s="0" t="s">
        <v>304</v>
      </c>
    </row>
    <row r="107" customFormat="false" ht="17.15" hidden="false" customHeight="false" outlineLevel="0" collapsed="false">
      <c r="A107" s="0" t="s">
        <v>305</v>
      </c>
      <c r="B107" s="0" t="s">
        <v>306</v>
      </c>
      <c r="C107" s="0" t="s">
        <v>196</v>
      </c>
      <c r="D107" s="7" t="n">
        <v>0.47</v>
      </c>
      <c r="E107" s="7" t="n">
        <v>0.49</v>
      </c>
      <c r="F107" s="7" t="n">
        <v>0.51</v>
      </c>
      <c r="G107" s="8" t="s">
        <v>110</v>
      </c>
      <c r="H107" s="8" t="s">
        <v>307</v>
      </c>
      <c r="I107" s="4" t="s">
        <v>308</v>
      </c>
    </row>
    <row r="108" customFormat="false" ht="17.15" hidden="false" customHeight="false" outlineLevel="0" collapsed="false">
      <c r="A108" s="0" t="s">
        <v>309</v>
      </c>
      <c r="B108" s="0" t="s">
        <v>310</v>
      </c>
      <c r="C108" s="0" t="s">
        <v>196</v>
      </c>
      <c r="D108" s="7" t="n">
        <v>0.08</v>
      </c>
      <c r="E108" s="7" t="n">
        <v>0.085</v>
      </c>
      <c r="F108" s="7" t="n">
        <v>0.09</v>
      </c>
      <c r="G108" s="8" t="s">
        <v>34</v>
      </c>
      <c r="H108" s="8" t="s">
        <v>311</v>
      </c>
      <c r="I108" s="4" t="s">
        <v>312</v>
      </c>
    </row>
    <row r="109" customFormat="false" ht="17.15" hidden="false" customHeight="false" outlineLevel="0" collapsed="false">
      <c r="A109" s="0" t="s">
        <v>313</v>
      </c>
      <c r="B109" s="0" t="s">
        <v>314</v>
      </c>
      <c r="C109" s="0" t="s">
        <v>196</v>
      </c>
      <c r="D109" s="7" t="n">
        <v>0.03</v>
      </c>
      <c r="E109" s="7" t="n">
        <v>0.1</v>
      </c>
      <c r="F109" s="7" t="n">
        <v>0.15</v>
      </c>
      <c r="G109" s="8" t="s">
        <v>137</v>
      </c>
      <c r="H109" s="4" t="s">
        <v>315</v>
      </c>
      <c r="I109" s="8" t="s">
        <v>316</v>
      </c>
    </row>
    <row r="110" customFormat="false" ht="17.15" hidden="false" customHeight="false" outlineLevel="0" collapsed="false">
      <c r="A110" s="0" t="s">
        <v>317</v>
      </c>
      <c r="B110" s="0" t="s">
        <v>318</v>
      </c>
      <c r="C110" s="0" t="s">
        <v>301</v>
      </c>
      <c r="D110" s="7" t="n">
        <v>-0.1</v>
      </c>
      <c r="E110" s="7" t="n">
        <v>0.08</v>
      </c>
      <c r="F110" s="7" t="n">
        <v>0.2</v>
      </c>
      <c r="G110" s="8" t="s">
        <v>34</v>
      </c>
      <c r="H110" s="8" t="s">
        <v>319</v>
      </c>
      <c r="I110" s="8" t="s">
        <v>320</v>
      </c>
    </row>
    <row r="111" customFormat="false" ht="17.15" hidden="false" customHeight="false" outlineLevel="0" collapsed="false">
      <c r="A111" s="0" t="s">
        <v>321</v>
      </c>
      <c r="B111" s="0" t="s">
        <v>322</v>
      </c>
      <c r="C111" s="0" t="s">
        <v>196</v>
      </c>
      <c r="D111" s="7" t="n">
        <v>0.78</v>
      </c>
      <c r="E111" s="7" t="n">
        <v>0.805</v>
      </c>
      <c r="F111" s="7" t="n">
        <v>0.82</v>
      </c>
      <c r="G111" s="8" t="s">
        <v>34</v>
      </c>
      <c r="H111" s="8" t="s">
        <v>323</v>
      </c>
      <c r="I111" s="8" t="s">
        <v>324</v>
      </c>
    </row>
    <row r="112" customFormat="false" ht="17.15" hidden="false" customHeight="false" outlineLevel="0" collapsed="false">
      <c r="A112" s="0" t="s">
        <v>325</v>
      </c>
      <c r="B112" s="4" t="s">
        <v>326</v>
      </c>
      <c r="C112" s="4" t="s">
        <v>327</v>
      </c>
      <c r="E112" s="0" t="n">
        <f aca="false">3.716/25.33</f>
        <v>0.146703513620213</v>
      </c>
      <c r="G112" s="0" t="s">
        <v>34</v>
      </c>
      <c r="H112" s="0" t="s">
        <v>328</v>
      </c>
      <c r="I112" s="0" t="s">
        <v>329</v>
      </c>
    </row>
    <row r="113" customFormat="false" ht="17.15" hidden="false" customHeight="false" outlineLevel="0" collapsed="false">
      <c r="A113" s="6" t="s">
        <v>330</v>
      </c>
    </row>
    <row r="114" customFormat="false" ht="17.15" hidden="false" customHeight="false" outlineLevel="0" collapsed="false">
      <c r="A114" s="0" t="s">
        <v>331</v>
      </c>
      <c r="B114" s="4" t="s">
        <v>332</v>
      </c>
      <c r="C114" s="0" t="s">
        <v>109</v>
      </c>
      <c r="D114" s="7" t="n">
        <v>0.4</v>
      </c>
      <c r="E114" s="7" t="n">
        <v>0.6</v>
      </c>
      <c r="F114" s="7" t="n">
        <v>0.9</v>
      </c>
      <c r="G114" s="8" t="s">
        <v>110</v>
      </c>
      <c r="H114" s="8" t="s">
        <v>333</v>
      </c>
      <c r="I114" s="4" t="s">
        <v>334</v>
      </c>
    </row>
    <row r="115" customFormat="false" ht="17.15" hidden="false" customHeight="false" outlineLevel="0" collapsed="false">
      <c r="A115" s="0" t="s">
        <v>335</v>
      </c>
      <c r="B115" s="4" t="s">
        <v>336</v>
      </c>
      <c r="C115" s="0" t="s">
        <v>295</v>
      </c>
      <c r="D115" s="7" t="n">
        <v>-0.02</v>
      </c>
      <c r="E115" s="7" t="n">
        <v>0</v>
      </c>
      <c r="F115" s="7" t="n">
        <v>0.02</v>
      </c>
      <c r="G115" s="8" t="s">
        <v>110</v>
      </c>
      <c r="H115" s="4" t="s">
        <v>337</v>
      </c>
      <c r="I115" s="8" t="s">
        <v>338</v>
      </c>
    </row>
    <row r="116" customFormat="false" ht="17.15" hidden="false" customHeight="false" outlineLevel="0" collapsed="false">
      <c r="A116" s="0" t="s">
        <v>339</v>
      </c>
      <c r="B116" s="4" t="s">
        <v>340</v>
      </c>
      <c r="C116" s="0" t="s">
        <v>301</v>
      </c>
      <c r="D116" s="7" t="n">
        <v>-0.5</v>
      </c>
      <c r="E116" s="7" t="n">
        <v>0.3</v>
      </c>
      <c r="F116" s="7" t="n">
        <v>1</v>
      </c>
      <c r="G116" s="8" t="s">
        <v>110</v>
      </c>
      <c r="H116" s="8" t="s">
        <v>341</v>
      </c>
      <c r="I116" s="4" t="s">
        <v>342</v>
      </c>
    </row>
    <row r="117" customFormat="false" ht="17.15" hidden="false" customHeight="false" outlineLevel="0" collapsed="false">
      <c r="A117" s="0" t="s">
        <v>343</v>
      </c>
      <c r="B117" s="4" t="s">
        <v>344</v>
      </c>
      <c r="C117" s="0" t="s">
        <v>196</v>
      </c>
      <c r="D117" s="7" t="n">
        <v>0.78</v>
      </c>
      <c r="E117" s="7" t="n">
        <v>0.805</v>
      </c>
      <c r="F117" s="7" t="n">
        <v>0.82</v>
      </c>
      <c r="G117" s="8" t="s">
        <v>34</v>
      </c>
      <c r="H117" s="4" t="s">
        <v>345</v>
      </c>
      <c r="I117" s="8" t="s">
        <v>147</v>
      </c>
    </row>
    <row r="118" customFormat="false" ht="17.15" hidden="false" customHeight="false" outlineLevel="0" collapsed="false">
      <c r="A118" s="0" t="s">
        <v>346</v>
      </c>
      <c r="B118" s="4" t="s">
        <v>347</v>
      </c>
      <c r="C118" s="0" t="s">
        <v>196</v>
      </c>
      <c r="D118" s="7" t="n">
        <v>0</v>
      </c>
      <c r="E118" s="7" t="n">
        <v>0</v>
      </c>
      <c r="F118" s="7" t="n">
        <v>0.01</v>
      </c>
      <c r="G118" s="8" t="s">
        <v>110</v>
      </c>
      <c r="H118" s="8" t="s">
        <v>348</v>
      </c>
      <c r="I118" s="4" t="s">
        <v>349</v>
      </c>
    </row>
    <row r="119" customFormat="false" ht="17.15" hidden="false" customHeight="false" outlineLevel="0" collapsed="false">
      <c r="A119" s="0" t="s">
        <v>350</v>
      </c>
      <c r="B119" s="0" t="s">
        <v>351</v>
      </c>
      <c r="C119" s="0" t="s">
        <v>109</v>
      </c>
      <c r="D119" s="7" t="n">
        <v>0.8</v>
      </c>
      <c r="E119" s="7" t="n">
        <v>1</v>
      </c>
      <c r="F119" s="7" t="n">
        <v>1.2</v>
      </c>
      <c r="G119" s="8" t="s">
        <v>110</v>
      </c>
      <c r="H119" s="4" t="s">
        <v>352</v>
      </c>
      <c r="I119" s="8" t="s">
        <v>353</v>
      </c>
    </row>
    <row r="120" customFormat="false" ht="17.15" hidden="false" customHeight="false" outlineLevel="0" collapsed="false">
      <c r="A120" s="6" t="s">
        <v>354</v>
      </c>
    </row>
    <row r="121" customFormat="false" ht="17.15" hidden="false" customHeight="false" outlineLevel="0" collapsed="false">
      <c r="A121" s="0" t="s">
        <v>355</v>
      </c>
      <c r="B121" s="4" t="s">
        <v>356</v>
      </c>
      <c r="C121" s="0" t="s">
        <v>301</v>
      </c>
      <c r="E121" s="7" t="n">
        <v>32.7</v>
      </c>
      <c r="G121" s="8" t="s">
        <v>137</v>
      </c>
      <c r="H121" s="8" t="s">
        <v>357</v>
      </c>
      <c r="I121" s="8" t="s">
        <v>147</v>
      </c>
    </row>
    <row r="122" customFormat="false" ht="17.15" hidden="false" customHeight="false" outlineLevel="0" collapsed="false">
      <c r="A122" s="0" t="s">
        <v>358</v>
      </c>
      <c r="B122" s="4" t="s">
        <v>359</v>
      </c>
      <c r="C122" s="0" t="s">
        <v>360</v>
      </c>
      <c r="E122" s="7" t="n">
        <v>69.96</v>
      </c>
      <c r="G122" s="8" t="s">
        <v>137</v>
      </c>
      <c r="H122" s="8" t="s">
        <v>361</v>
      </c>
      <c r="I122" s="8" t="s">
        <v>147</v>
      </c>
    </row>
    <row r="123" customFormat="false" ht="17.15" hidden="false" customHeight="false" outlineLevel="0" collapsed="false">
      <c r="A123" s="0" t="s">
        <v>362</v>
      </c>
      <c r="B123" s="0" t="s">
        <v>363</v>
      </c>
      <c r="C123" s="0" t="s">
        <v>301</v>
      </c>
      <c r="E123" s="7" t="n">
        <v>28.94</v>
      </c>
      <c r="G123" s="8" t="s">
        <v>137</v>
      </c>
      <c r="H123" s="4" t="s">
        <v>364</v>
      </c>
      <c r="I123" s="4" t="s">
        <v>365</v>
      </c>
    </row>
    <row r="124" customFormat="false" ht="17.15" hidden="false" customHeight="false" outlineLevel="0" collapsed="false">
      <c r="A124" s="0" t="s">
        <v>366</v>
      </c>
      <c r="B124" s="0" t="s">
        <v>367</v>
      </c>
      <c r="C124" s="0" t="s">
        <v>360</v>
      </c>
      <c r="E124" s="7" t="n">
        <v>57.77</v>
      </c>
      <c r="G124" s="8" t="s">
        <v>137</v>
      </c>
      <c r="H124" s="4" t="s">
        <v>364</v>
      </c>
      <c r="I124" s="4" t="s">
        <v>368</v>
      </c>
    </row>
    <row r="125" customFormat="false" ht="17.15" hidden="false" customHeight="false" outlineLevel="0" collapsed="false">
      <c r="A125" s="0" t="s">
        <v>369</v>
      </c>
      <c r="B125" s="0" t="s">
        <v>370</v>
      </c>
      <c r="C125" s="0" t="s">
        <v>301</v>
      </c>
      <c r="E125" s="7" t="n">
        <v>51.836</v>
      </c>
      <c r="G125" s="8" t="s">
        <v>137</v>
      </c>
      <c r="H125" s="4" t="s">
        <v>364</v>
      </c>
      <c r="I125" s="8" t="s">
        <v>147</v>
      </c>
    </row>
    <row r="126" customFormat="false" ht="17.15" hidden="false" customHeight="false" outlineLevel="0" collapsed="false">
      <c r="A126" s="0" t="s">
        <v>371</v>
      </c>
      <c r="B126" s="0" t="s">
        <v>372</v>
      </c>
      <c r="C126" s="0" t="s">
        <v>360</v>
      </c>
      <c r="E126" s="7" t="n">
        <v>117.18</v>
      </c>
      <c r="G126" s="8" t="s">
        <v>137</v>
      </c>
      <c r="H126" s="4" t="s">
        <v>364</v>
      </c>
      <c r="I126" s="8" t="s">
        <v>147</v>
      </c>
    </row>
    <row r="127" customFormat="false" ht="17.15" hidden="false" customHeight="false" outlineLevel="0" collapsed="false">
      <c r="A127" s="0" t="s">
        <v>373</v>
      </c>
      <c r="B127" s="0" t="s">
        <v>374</v>
      </c>
      <c r="C127" s="0" t="s">
        <v>301</v>
      </c>
      <c r="E127" s="7" t="n">
        <v>80.811</v>
      </c>
      <c r="G127" s="8" t="s">
        <v>137</v>
      </c>
      <c r="H127" s="4" t="s">
        <v>364</v>
      </c>
      <c r="I127" s="8" t="s">
        <v>147</v>
      </c>
    </row>
    <row r="128" customFormat="false" ht="17.15" hidden="false" customHeight="false" outlineLevel="0" collapsed="false">
      <c r="A128" s="0" t="s">
        <v>375</v>
      </c>
      <c r="B128" s="0" t="s">
        <v>376</v>
      </c>
      <c r="C128" s="0" t="s">
        <v>360</v>
      </c>
      <c r="E128" s="7" t="n">
        <v>204.29</v>
      </c>
      <c r="G128" s="8" t="s">
        <v>137</v>
      </c>
      <c r="H128" s="4" t="s">
        <v>364</v>
      </c>
      <c r="I128" s="8" t="s">
        <v>147</v>
      </c>
    </row>
    <row r="129" customFormat="false" ht="17.15" hidden="false" customHeight="false" outlineLevel="0" collapsed="false">
      <c r="A129" s="0" t="s">
        <v>377</v>
      </c>
      <c r="B129" s="4" t="s">
        <v>378</v>
      </c>
      <c r="C129" s="0" t="s">
        <v>360</v>
      </c>
      <c r="E129" s="7" t="n">
        <v>71</v>
      </c>
      <c r="G129" s="8" t="s">
        <v>137</v>
      </c>
      <c r="H129" s="4" t="s">
        <v>379</v>
      </c>
      <c r="I129" s="8" t="s">
        <v>147</v>
      </c>
    </row>
    <row r="130" customFormat="false" ht="17.15" hidden="false" customHeight="false" outlineLevel="0" collapsed="false">
      <c r="A130" s="0" t="s">
        <v>380</v>
      </c>
      <c r="B130" s="4" t="s">
        <v>381</v>
      </c>
      <c r="C130" s="0" t="s">
        <v>360</v>
      </c>
      <c r="E130" s="7" t="n">
        <v>151</v>
      </c>
      <c r="G130" s="8" t="s">
        <v>137</v>
      </c>
      <c r="H130" s="4" t="s">
        <v>379</v>
      </c>
      <c r="I130" s="8" t="s">
        <v>147</v>
      </c>
    </row>
    <row r="131" customFormat="false" ht="17.15" hidden="false" customHeight="false" outlineLevel="0" collapsed="false">
      <c r="A131" s="0" t="s">
        <v>382</v>
      </c>
      <c r="B131" s="4" t="s">
        <v>383</v>
      </c>
      <c r="C131" s="0" t="s">
        <v>360</v>
      </c>
      <c r="E131" s="7" t="n">
        <v>262</v>
      </c>
      <c r="G131" s="8" t="s">
        <v>137</v>
      </c>
      <c r="H131" s="4" t="s">
        <v>379</v>
      </c>
      <c r="I131" s="8" t="s">
        <v>147</v>
      </c>
    </row>
    <row r="132" customFormat="false" ht="17.15" hidden="false" customHeight="false" outlineLevel="0" collapsed="false">
      <c r="A132" s="0" t="s">
        <v>384</v>
      </c>
      <c r="B132" s="4" t="s">
        <v>385</v>
      </c>
      <c r="C132" s="0" t="s">
        <v>360</v>
      </c>
      <c r="E132" s="7" t="n">
        <v>123.83</v>
      </c>
      <c r="G132" s="8" t="s">
        <v>137</v>
      </c>
      <c r="H132" s="4" t="s">
        <v>386</v>
      </c>
      <c r="I132" s="8" t="s">
        <v>387</v>
      </c>
    </row>
    <row r="133" customFormat="false" ht="17.15" hidden="false" customHeight="false" outlineLevel="0" collapsed="false">
      <c r="A133" s="0" t="s">
        <v>388</v>
      </c>
      <c r="B133" s="4" t="s">
        <v>389</v>
      </c>
      <c r="C133" s="0" t="s">
        <v>301</v>
      </c>
      <c r="E133" s="7" t="n">
        <v>9.65</v>
      </c>
      <c r="G133" s="8" t="s">
        <v>137</v>
      </c>
      <c r="H133" s="4" t="s">
        <v>390</v>
      </c>
      <c r="I133" s="4" t="s">
        <v>391</v>
      </c>
    </row>
    <row r="134" customFormat="false" ht="17.15" hidden="false" customHeight="false" outlineLevel="0" collapsed="false">
      <c r="A134" s="0" t="s">
        <v>392</v>
      </c>
      <c r="B134" s="4" t="s">
        <v>393</v>
      </c>
      <c r="C134" s="0" t="s">
        <v>360</v>
      </c>
      <c r="E134" s="7" t="n">
        <v>22.77</v>
      </c>
      <c r="G134" s="8" t="s">
        <v>137</v>
      </c>
      <c r="H134" s="4" t="s">
        <v>390</v>
      </c>
      <c r="I134" s="8" t="s">
        <v>394</v>
      </c>
    </row>
    <row r="135" customFormat="false" ht="17.15" hidden="false" customHeight="false" outlineLevel="0" collapsed="false">
      <c r="A135" s="0" t="s">
        <v>395</v>
      </c>
      <c r="B135" s="0" t="s">
        <v>396</v>
      </c>
      <c r="C135" s="0" t="s">
        <v>360</v>
      </c>
      <c r="E135" s="7" t="n">
        <v>20.37</v>
      </c>
      <c r="G135" s="8" t="s">
        <v>137</v>
      </c>
      <c r="H135" s="4" t="s">
        <v>390</v>
      </c>
      <c r="I135" s="8" t="s">
        <v>147</v>
      </c>
    </row>
    <row r="136" customFormat="false" ht="17.15" hidden="false" customHeight="false" outlineLevel="0" collapsed="false">
      <c r="A136" s="0" t="s">
        <v>397</v>
      </c>
      <c r="B136" s="4" t="s">
        <v>398</v>
      </c>
      <c r="C136" s="0" t="s">
        <v>196</v>
      </c>
      <c r="E136" s="7" t="n">
        <v>1.47</v>
      </c>
      <c r="G136" s="8" t="s">
        <v>137</v>
      </c>
      <c r="H136" s="4" t="s">
        <v>399</v>
      </c>
      <c r="I136" s="4" t="s">
        <v>400</v>
      </c>
    </row>
    <row r="137" customFormat="false" ht="17.15" hidden="false" customHeight="false" outlineLevel="0" collapsed="false">
      <c r="A137" s="6" t="s">
        <v>401</v>
      </c>
    </row>
    <row r="138" customFormat="false" ht="17.15" hidden="false" customHeight="false" outlineLevel="0" collapsed="false">
      <c r="A138" s="0" t="s">
        <v>402</v>
      </c>
      <c r="B138" s="4" t="s">
        <v>403</v>
      </c>
      <c r="C138" s="0" t="s">
        <v>360</v>
      </c>
      <c r="E138" s="7" t="n">
        <v>6070</v>
      </c>
      <c r="G138" s="8" t="s">
        <v>137</v>
      </c>
      <c r="H138" s="4" t="s">
        <v>404</v>
      </c>
      <c r="I138" s="8" t="s">
        <v>405</v>
      </c>
    </row>
    <row r="139" customFormat="false" ht="17.15" hidden="false" customHeight="false" outlineLevel="0" collapsed="false">
      <c r="A139" s="0" t="s">
        <v>406</v>
      </c>
      <c r="B139" s="4" t="s">
        <v>407</v>
      </c>
      <c r="C139" s="0" t="s">
        <v>109</v>
      </c>
      <c r="E139" s="7" t="n">
        <v>136.99</v>
      </c>
      <c r="G139" s="8" t="s">
        <v>137</v>
      </c>
      <c r="H139" s="4" t="s">
        <v>408</v>
      </c>
      <c r="I139" s="4" t="s">
        <v>409</v>
      </c>
    </row>
    <row r="140" customFormat="false" ht="17.15" hidden="false" customHeight="false" outlineLevel="0" collapsed="false">
      <c r="A140" s="0" t="s">
        <v>410</v>
      </c>
      <c r="B140" s="4" t="s">
        <v>411</v>
      </c>
      <c r="C140" s="0" t="s">
        <v>109</v>
      </c>
      <c r="E140" s="7" t="n">
        <v>59.27</v>
      </c>
      <c r="G140" s="8" t="s">
        <v>137</v>
      </c>
      <c r="H140" s="8" t="s">
        <v>412</v>
      </c>
      <c r="I140" s="4" t="s">
        <v>413</v>
      </c>
    </row>
    <row r="141" customFormat="false" ht="17.15" hidden="false" customHeight="false" outlineLevel="0" collapsed="false">
      <c r="A141" s="0" t="s">
        <v>414</v>
      </c>
      <c r="B141" s="4" t="s">
        <v>415</v>
      </c>
      <c r="C141" s="0" t="s">
        <v>360</v>
      </c>
      <c r="E141" s="0" t="n">
        <f aca="false">0.2*cons_eps26+0.8*fs_eps27</f>
        <v>107.736</v>
      </c>
      <c r="G141" s="0" t="s">
        <v>34</v>
      </c>
      <c r="H141" s="0" t="s">
        <v>416</v>
      </c>
      <c r="I141" s="4" t="s">
        <v>417</v>
      </c>
    </row>
    <row r="142" customFormat="false" ht="17.15" hidden="false" customHeight="false" outlineLevel="0" collapsed="false">
      <c r="A142" s="0" t="s">
        <v>418</v>
      </c>
      <c r="B142" s="4" t="s">
        <v>419</v>
      </c>
      <c r="C142" s="0" t="s">
        <v>360</v>
      </c>
      <c r="E142" s="7" t="n">
        <v>7204</v>
      </c>
      <c r="G142" s="8" t="s">
        <v>137</v>
      </c>
      <c r="H142" s="8" t="s">
        <v>420</v>
      </c>
      <c r="I142" s="4" t="s">
        <v>421</v>
      </c>
    </row>
    <row r="143" customFormat="false" ht="17.15" hidden="false" customHeight="false" outlineLevel="0" collapsed="false">
      <c r="A143" s="0" t="s">
        <v>422</v>
      </c>
      <c r="B143" s="4" t="s">
        <v>423</v>
      </c>
      <c r="C143" s="0" t="s">
        <v>196</v>
      </c>
      <c r="E143" s="9" t="n">
        <f aca="false">PL!G42*0.8</f>
        <v>0.261109428581258</v>
      </c>
      <c r="G143" s="8" t="s">
        <v>110</v>
      </c>
      <c r="H143" s="4" t="s">
        <v>424</v>
      </c>
      <c r="I143" s="4" t="s">
        <v>425</v>
      </c>
    </row>
    <row r="144" customFormat="false" ht="17.15" hidden="false" customHeight="false" outlineLevel="0" collapsed="false">
      <c r="A144" s="6" t="s">
        <v>426</v>
      </c>
    </row>
    <row r="145" customFormat="false" ht="17.15" hidden="false" customHeight="false" outlineLevel="0" collapsed="false">
      <c r="A145" s="10" t="s">
        <v>427</v>
      </c>
      <c r="B145" s="11" t="s">
        <v>428</v>
      </c>
      <c r="C145" s="10" t="s">
        <v>196</v>
      </c>
      <c r="D145" s="10"/>
      <c r="E145" s="12" t="n">
        <v>0.3</v>
      </c>
      <c r="F145" s="10"/>
      <c r="G145" s="10" t="s">
        <v>429</v>
      </c>
      <c r="H145" s="10" t="s">
        <v>430</v>
      </c>
      <c r="I145" s="11" t="s">
        <v>431</v>
      </c>
    </row>
    <row r="146" customFormat="false" ht="17.15" hidden="false" customHeight="false" outlineLevel="0" collapsed="false">
      <c r="A146" s="10" t="s">
        <v>432</v>
      </c>
      <c r="B146" s="11" t="s">
        <v>433</v>
      </c>
      <c r="C146" s="10" t="s">
        <v>196</v>
      </c>
      <c r="D146" s="10"/>
      <c r="E146" s="12" t="n">
        <v>0.5</v>
      </c>
      <c r="F146" s="10"/>
      <c r="G146" s="10" t="s">
        <v>429</v>
      </c>
      <c r="H146" s="10" t="s">
        <v>430</v>
      </c>
      <c r="I146" s="11" t="s">
        <v>431</v>
      </c>
    </row>
    <row r="147" customFormat="false" ht="17.15" hidden="false" customHeight="false" outlineLevel="0" collapsed="false">
      <c r="A147" s="10" t="s">
        <v>434</v>
      </c>
      <c r="B147" s="11" t="s">
        <v>435</v>
      </c>
      <c r="C147" s="10" t="s">
        <v>196</v>
      </c>
      <c r="D147" s="10"/>
      <c r="E147" s="12" t="n">
        <v>0.2</v>
      </c>
      <c r="F147" s="10"/>
      <c r="G147" s="10" t="s">
        <v>429</v>
      </c>
      <c r="H147" s="10" t="s">
        <v>430</v>
      </c>
      <c r="I147" s="11" t="s">
        <v>431</v>
      </c>
    </row>
    <row r="148" customFormat="false" ht="17.15" hidden="false" customHeight="false" outlineLevel="0" collapsed="false">
      <c r="A148" s="10" t="s">
        <v>436</v>
      </c>
      <c r="B148" s="11" t="s">
        <v>437</v>
      </c>
      <c r="C148" s="10" t="s">
        <v>196</v>
      </c>
      <c r="D148" s="10"/>
      <c r="E148" s="12" t="n">
        <v>0.1</v>
      </c>
      <c r="F148" s="10"/>
      <c r="G148" s="10" t="s">
        <v>429</v>
      </c>
      <c r="H148" s="10" t="s">
        <v>438</v>
      </c>
      <c r="I148" s="10" t="s">
        <v>439</v>
      </c>
    </row>
    <row r="149" customFormat="false" ht="17.15" hidden="false" customHeight="false" outlineLevel="0" collapsed="false">
      <c r="A149" s="10" t="s">
        <v>440</v>
      </c>
      <c r="B149" s="11" t="s">
        <v>441</v>
      </c>
      <c r="C149" s="10" t="s">
        <v>196</v>
      </c>
      <c r="D149" s="10"/>
      <c r="E149" s="12" t="n">
        <v>0.04</v>
      </c>
      <c r="F149" s="10"/>
      <c r="G149" s="10" t="s">
        <v>429</v>
      </c>
      <c r="H149" s="10" t="s">
        <v>442</v>
      </c>
      <c r="I149" s="10" t="s">
        <v>443</v>
      </c>
    </row>
    <row r="150" customFormat="false" ht="17.15" hidden="false" customHeight="false" outlineLevel="0" collapsed="false">
      <c r="A150" s="10" t="s">
        <v>444</v>
      </c>
      <c r="B150" s="10" t="s">
        <v>445</v>
      </c>
      <c r="C150" s="10" t="s">
        <v>196</v>
      </c>
      <c r="D150" s="10"/>
      <c r="E150" s="10" t="n">
        <f aca="false">AVERAGE(0.1975,0.253,0.2816)</f>
        <v>0.244033333333333</v>
      </c>
      <c r="F150" s="10"/>
      <c r="G150" s="10" t="s">
        <v>34</v>
      </c>
      <c r="H150" s="10" t="s">
        <v>446</v>
      </c>
      <c r="I150" s="10" t="s">
        <v>447</v>
      </c>
    </row>
    <row r="151" customFormat="false" ht="17.15" hidden="false" customHeight="false" outlineLevel="0" collapsed="false">
      <c r="A151" s="10" t="s">
        <v>448</v>
      </c>
      <c r="B151" s="11" t="s">
        <v>449</v>
      </c>
      <c r="C151" s="10" t="s">
        <v>196</v>
      </c>
      <c r="D151" s="10"/>
      <c r="E151" s="12" t="n">
        <v>0.5</v>
      </c>
      <c r="F151" s="10"/>
      <c r="G151" s="10" t="s">
        <v>429</v>
      </c>
      <c r="H151" s="10" t="s">
        <v>450</v>
      </c>
      <c r="I151" s="10" t="s">
        <v>147</v>
      </c>
    </row>
    <row r="152" customFormat="false" ht="17.15" hidden="false" customHeight="false" outlineLevel="0" collapsed="false">
      <c r="A152" s="10" t="s">
        <v>451</v>
      </c>
      <c r="B152" s="11" t="s">
        <v>452</v>
      </c>
      <c r="C152" s="10" t="s">
        <v>196</v>
      </c>
      <c r="D152" s="10"/>
      <c r="E152" s="10" t="n">
        <f aca="false">tp_g+0.02</f>
        <v>0.06</v>
      </c>
      <c r="F152" s="10"/>
      <c r="G152" s="10" t="s">
        <v>429</v>
      </c>
      <c r="H152" s="11" t="s">
        <v>453</v>
      </c>
      <c r="I152" s="10" t="s">
        <v>454</v>
      </c>
    </row>
    <row r="153" customFormat="false" ht="17.15" hidden="false" customHeight="false" outlineLevel="0" collapsed="false">
      <c r="A153" s="10" t="s">
        <v>455</v>
      </c>
      <c r="B153" s="11" t="s">
        <v>456</v>
      </c>
      <c r="C153" s="10" t="s">
        <v>196</v>
      </c>
      <c r="D153" s="10"/>
      <c r="E153" s="10" t="n">
        <f aca="false">tp_g</f>
        <v>0.04</v>
      </c>
      <c r="F153" s="10"/>
      <c r="G153" s="10" t="s">
        <v>429</v>
      </c>
      <c r="H153" s="11" t="s">
        <v>39</v>
      </c>
      <c r="I153" s="10" t="s">
        <v>147</v>
      </c>
    </row>
    <row r="154" customFormat="false" ht="17.15" hidden="false" customHeight="false" outlineLevel="0" collapsed="false">
      <c r="A154" s="10" t="s">
        <v>457</v>
      </c>
      <c r="B154" s="11" t="s">
        <v>458</v>
      </c>
      <c r="C154" s="10" t="s">
        <v>196</v>
      </c>
      <c r="D154" s="10"/>
      <c r="E154" s="10" t="n">
        <f aca="false">tp_g-0.02</f>
        <v>0.02</v>
      </c>
      <c r="F154" s="10"/>
      <c r="G154" s="10" t="s">
        <v>429</v>
      </c>
      <c r="H154" s="11" t="s">
        <v>39</v>
      </c>
      <c r="I154" s="10" t="s">
        <v>147</v>
      </c>
    </row>
    <row r="155" customFormat="false" ht="17.15" hidden="false" customHeight="false" outlineLevel="0" collapsed="false">
      <c r="A155" s="10" t="s">
        <v>459</v>
      </c>
      <c r="B155" s="11" t="s">
        <v>460</v>
      </c>
      <c r="C155" s="10" t="s">
        <v>196</v>
      </c>
      <c r="D155" s="10"/>
      <c r="E155" s="13" t="n">
        <f aca="false">PL!G14</f>
        <v>0.35561280603949</v>
      </c>
      <c r="F155" s="10"/>
      <c r="G155" s="10" t="s">
        <v>34</v>
      </c>
      <c r="H155" s="10" t="s">
        <v>461</v>
      </c>
      <c r="I155" s="10" t="s">
        <v>147</v>
      </c>
    </row>
    <row r="156" customFormat="false" ht="17.15" hidden="false" customHeight="false" outlineLevel="0" collapsed="false">
      <c r="A156" s="10" t="s">
        <v>462</v>
      </c>
      <c r="B156" s="11" t="s">
        <v>463</v>
      </c>
      <c r="C156" s="10" t="s">
        <v>196</v>
      </c>
      <c r="D156" s="10"/>
      <c r="E156" s="14" t="n">
        <f aca="false">(PL!G28+nim_avg)/2</f>
        <v>0.30524574156592</v>
      </c>
      <c r="F156" s="10"/>
      <c r="G156" s="10" t="s">
        <v>429</v>
      </c>
      <c r="H156" s="10" t="s">
        <v>464</v>
      </c>
      <c r="I156" s="10" t="s">
        <v>147</v>
      </c>
    </row>
    <row r="157" customFormat="false" ht="17.15" hidden="false" customHeight="false" outlineLevel="0" collapsed="false">
      <c r="A157" s="10" t="s">
        <v>465</v>
      </c>
      <c r="B157" s="11" t="s">
        <v>466</v>
      </c>
      <c r="C157" s="10" t="s">
        <v>196</v>
      </c>
      <c r="D157" s="10"/>
      <c r="E157" s="10" t="n">
        <f aca="false">nim_avg</f>
        <v>0.261109428581258</v>
      </c>
      <c r="F157" s="10"/>
      <c r="G157" s="10" t="s">
        <v>429</v>
      </c>
      <c r="H157" s="10" t="s">
        <v>467</v>
      </c>
      <c r="I157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468</v>
      </c>
    </row>
    <row r="2" customFormat="false" ht="17.15" hidden="false" customHeight="false" outlineLevel="0" collapsed="false">
      <c r="A2" s="0" t="s">
        <v>469</v>
      </c>
    </row>
    <row r="3" customFormat="false" ht="17.15" hidden="false" customHeight="false" outlineLevel="0" collapsed="false">
      <c r="A3" s="5" t="s">
        <v>22</v>
      </c>
      <c r="B3" s="15" t="s">
        <v>470</v>
      </c>
      <c r="C3" s="15" t="s">
        <v>471</v>
      </c>
      <c r="D3" s="15" t="s">
        <v>472</v>
      </c>
      <c r="E3" s="15" t="s">
        <v>473</v>
      </c>
      <c r="F3" s="15" t="s">
        <v>474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4" t="s">
        <v>475</v>
      </c>
      <c r="B4" s="16" t="n">
        <v>20.276</v>
      </c>
      <c r="C4" s="17" t="n">
        <f aca="false">5.305+7.275</f>
        <v>12.58</v>
      </c>
      <c r="D4" s="17" t="n">
        <f aca="false">q3_rev</f>
        <v>9.493</v>
      </c>
      <c r="E4" s="17" t="n">
        <f aca="false">D4*(1+q4g)</f>
        <v>10.4423</v>
      </c>
      <c r="F4" s="17" t="n">
        <f aca="false">SUM(C4:E4)</f>
        <v>32.5153</v>
      </c>
      <c r="G4" s="8" t="s">
        <v>476</v>
      </c>
      <c r="H4" s="8" t="s">
        <v>477</v>
      </c>
      <c r="I4" s="8" t="s">
        <v>478</v>
      </c>
    </row>
    <row r="5" customFormat="false" ht="17.15" hidden="false" customHeight="false" outlineLevel="0" collapsed="false">
      <c r="A5" s="4" t="s">
        <v>479</v>
      </c>
      <c r="B5" s="16" t="n">
        <v>8.434</v>
      </c>
      <c r="C5" s="17" t="n">
        <f aca="false">2.217+3.405</f>
        <v>5.622</v>
      </c>
      <c r="D5" s="17" t="n">
        <f aca="false">D4*q_gm</f>
        <v>4.65157</v>
      </c>
      <c r="E5" s="17" t="n">
        <f aca="false">E4*q_gm</f>
        <v>5.116727</v>
      </c>
      <c r="F5" s="17" t="n">
        <f aca="false">SUM(C5:E5)</f>
        <v>15.390297</v>
      </c>
      <c r="G5" s="8" t="s">
        <v>480</v>
      </c>
      <c r="H5" s="8" t="s">
        <v>477</v>
      </c>
      <c r="I5" s="8" t="s">
        <v>481</v>
      </c>
    </row>
    <row r="6" customFormat="false" ht="17.15" hidden="false" customHeight="false" outlineLevel="0" collapsed="false">
      <c r="A6" s="4" t="s">
        <v>482</v>
      </c>
      <c r="B6" s="18" t="n">
        <f aca="false">B5/B4</f>
        <v>0.415959755375814</v>
      </c>
      <c r="C6" s="18" t="n">
        <f aca="false">C5/C4</f>
        <v>0.446899841017488</v>
      </c>
      <c r="D6" s="18" t="n">
        <f aca="false">D5/D4</f>
        <v>0.49</v>
      </c>
      <c r="E6" s="18" t="n">
        <f aca="false">E5/E4</f>
        <v>0.49</v>
      </c>
      <c r="F6" s="18" t="n">
        <f aca="false">F5/F4</f>
        <v>0.473324773260588</v>
      </c>
      <c r="G6" s="8" t="s">
        <v>34</v>
      </c>
      <c r="H6" s="8" t="s">
        <v>147</v>
      </c>
      <c r="I6" s="8" t="s">
        <v>483</v>
      </c>
    </row>
    <row r="7" customFormat="false" ht="17.15" hidden="false" customHeight="false" outlineLevel="0" collapsed="false">
      <c r="A7" s="4" t="s">
        <v>484</v>
      </c>
      <c r="B7" s="17" t="n">
        <f aca="false">B5-B8</f>
        <v>1.936</v>
      </c>
      <c r="C7" s="17" t="n">
        <f aca="false">C5-C8</f>
        <v>1.176</v>
      </c>
      <c r="D7" s="17" t="n">
        <f aca="false">D4*q_opx</f>
        <v>0.806905</v>
      </c>
      <c r="E7" s="17" t="n">
        <f aca="false">E4*q_opx</f>
        <v>0.8875955</v>
      </c>
      <c r="F7" s="17" t="n">
        <f aca="false">SUM(C7:E7)</f>
        <v>2.8705005</v>
      </c>
      <c r="G7" s="8" t="s">
        <v>485</v>
      </c>
      <c r="H7" s="8" t="s">
        <v>477</v>
      </c>
      <c r="I7" s="8" t="s">
        <v>481</v>
      </c>
    </row>
    <row r="8" customFormat="false" ht="17.15" hidden="false" customHeight="false" outlineLevel="0" collapsed="false">
      <c r="A8" s="4" t="s">
        <v>486</v>
      </c>
      <c r="B8" s="16" t="n">
        <v>6.498</v>
      </c>
      <c r="C8" s="17" t="n">
        <f aca="false">1.697+2.749</f>
        <v>4.446</v>
      </c>
      <c r="D8" s="17" t="n">
        <f aca="false">D5-D7</f>
        <v>3.844665</v>
      </c>
      <c r="E8" s="17" t="n">
        <f aca="false">E5-E7</f>
        <v>4.2291315</v>
      </c>
      <c r="F8" s="17" t="n">
        <f aca="false">SUM(C8:E8)</f>
        <v>12.5197965</v>
      </c>
      <c r="G8" s="8" t="s">
        <v>302</v>
      </c>
      <c r="H8" s="8" t="s">
        <v>477</v>
      </c>
      <c r="I8" s="8" t="s">
        <v>487</v>
      </c>
    </row>
    <row r="9" customFormat="false" ht="15" hidden="false" customHeight="false" outlineLevel="0" collapsed="false">
      <c r="A9" s="4" t="s">
        <v>488</v>
      </c>
      <c r="B9" s="18" t="n">
        <f aca="false">B8/B4</f>
        <v>0.320477411718288</v>
      </c>
      <c r="C9" s="18" t="n">
        <f aca="false">C8/C4</f>
        <v>0.353418124006359</v>
      </c>
      <c r="D9" s="18" t="n">
        <f aca="false">D8/D4</f>
        <v>0.405</v>
      </c>
      <c r="E9" s="18" t="n">
        <f aca="false">E8/E4</f>
        <v>0.405</v>
      </c>
      <c r="F9" s="18" t="n">
        <f aca="false">F8/F4</f>
        <v>0.385043241181844</v>
      </c>
      <c r="G9" s="8" t="s">
        <v>34</v>
      </c>
      <c r="H9" s="8" t="s">
        <v>147</v>
      </c>
      <c r="I9" s="8" t="s">
        <v>147</v>
      </c>
    </row>
    <row r="10" customFormat="false" ht="17.15" hidden="false" customHeight="false" outlineLevel="0" collapsed="false">
      <c r="A10" s="4" t="s">
        <v>489</v>
      </c>
      <c r="B10" s="17" t="n">
        <f aca="false">B11-B8</f>
        <v>0.108999999999999</v>
      </c>
      <c r="C10" s="17" t="n">
        <f aca="false">C11-C8</f>
        <v>0.170500000000001</v>
      </c>
      <c r="D10" s="17" t="n">
        <f aca="false">q_nop</f>
        <v>0.08</v>
      </c>
      <c r="E10" s="17" t="n">
        <f aca="false">q_nop</f>
        <v>0.08</v>
      </c>
      <c r="F10" s="17" t="n">
        <f aca="false">SUM(C10:E10)</f>
        <v>0.330500000000001</v>
      </c>
      <c r="G10" s="8" t="s">
        <v>34</v>
      </c>
      <c r="H10" s="8" t="s">
        <v>477</v>
      </c>
      <c r="I10" s="8" t="s">
        <v>481</v>
      </c>
    </row>
    <row r="11" customFormat="false" ht="17.15" hidden="false" customHeight="false" outlineLevel="0" collapsed="false">
      <c r="A11" s="4" t="s">
        <v>490</v>
      </c>
      <c r="B11" s="17" t="n">
        <f aca="false">1.7405+1.3271+1.7227+1.8167</f>
        <v>6.607</v>
      </c>
      <c r="C11" s="17" t="n">
        <f aca="false">1.7756+2.8409</f>
        <v>4.6165</v>
      </c>
      <c r="D11" s="17" t="n">
        <f aca="false">D8+D10</f>
        <v>3.924665</v>
      </c>
      <c r="E11" s="17" t="n">
        <f aca="false">E8+E10</f>
        <v>4.3091315</v>
      </c>
      <c r="F11" s="17" t="n">
        <f aca="false">SUM(C11:E11)</f>
        <v>12.8502965</v>
      </c>
      <c r="G11" s="8" t="s">
        <v>491</v>
      </c>
      <c r="H11" s="8" t="s">
        <v>492</v>
      </c>
      <c r="I11" s="4" t="s">
        <v>493</v>
      </c>
    </row>
    <row r="12" customFormat="false" ht="17.15" hidden="false" customHeight="false" outlineLevel="0" collapsed="false">
      <c r="A12" s="4" t="s">
        <v>494</v>
      </c>
      <c r="B12" s="16" t="n">
        <v>5.277</v>
      </c>
      <c r="C12" s="17" t="n">
        <f aca="false">1.398+2.318</f>
        <v>3.716</v>
      </c>
      <c r="D12" s="17" t="n">
        <f aca="false">D11*q_nir</f>
        <v>3.159355325</v>
      </c>
      <c r="E12" s="17" t="n">
        <f aca="false">E11*q_nir</f>
        <v>3.4688508575</v>
      </c>
      <c r="F12" s="17" t="n">
        <f aca="false">SUM(C12:E12)</f>
        <v>10.3442061825</v>
      </c>
      <c r="G12" s="8" t="s">
        <v>495</v>
      </c>
      <c r="H12" s="8" t="s">
        <v>477</v>
      </c>
      <c r="I12" s="4" t="s">
        <v>496</v>
      </c>
    </row>
    <row r="13" customFormat="false" ht="17.15" hidden="false" customHeight="false" outlineLevel="0" collapsed="false">
      <c r="A13" s="4" t="s">
        <v>497</v>
      </c>
      <c r="B13" s="18" t="n">
        <f aca="false">B12/B11</f>
        <v>0.7986983502346</v>
      </c>
      <c r="C13" s="18" t="n">
        <f aca="false">C12/C11</f>
        <v>0.804938806455107</v>
      </c>
      <c r="D13" s="18" t="n">
        <f aca="false">D12/D11</f>
        <v>0.805</v>
      </c>
      <c r="E13" s="18" t="n">
        <f aca="false">E12/E11</f>
        <v>0.805</v>
      </c>
      <c r="F13" s="18" t="n">
        <f aca="false">F12/F11</f>
        <v>0.804978016071458</v>
      </c>
      <c r="G13" s="8" t="s">
        <v>34</v>
      </c>
      <c r="H13" s="8" t="s">
        <v>147</v>
      </c>
      <c r="I13" s="8" t="s">
        <v>147</v>
      </c>
    </row>
    <row r="14" customFormat="false" ht="17.15" hidden="false" customHeight="false" outlineLevel="0" collapsed="false">
      <c r="A14" s="4" t="s">
        <v>498</v>
      </c>
      <c r="B14" s="17" t="n">
        <f aca="false">5.277/36.75</f>
        <v>0.143591836734694</v>
      </c>
      <c r="C14" s="17" t="n">
        <f aca="false">q_sh</f>
        <v>0.146703513620213</v>
      </c>
      <c r="D14" s="17" t="n">
        <f aca="false">q_sh</f>
        <v>0.146703513620213</v>
      </c>
      <c r="E14" s="17" t="n">
        <f aca="false">q_sh</f>
        <v>0.146703513620213</v>
      </c>
      <c r="F14" s="17" t="n">
        <f aca="false">q_sh</f>
        <v>0.146703513620213</v>
      </c>
      <c r="G14" s="8" t="s">
        <v>34</v>
      </c>
      <c r="H14" s="8" t="s">
        <v>477</v>
      </c>
      <c r="I14" s="4" t="s">
        <v>499</v>
      </c>
    </row>
    <row r="15" customFormat="false" ht="17.15" hidden="false" customHeight="false" outlineLevel="0" collapsed="false">
      <c r="A15" s="0" t="s">
        <v>500</v>
      </c>
      <c r="B15" s="19" t="n">
        <f aca="false">B12/B14</f>
        <v>36.75</v>
      </c>
      <c r="C15" s="19" t="n">
        <f aca="false">C12/C14</f>
        <v>25.33</v>
      </c>
      <c r="D15" s="19" t="n">
        <f aca="false">D12/D14</f>
        <v>21.5356486496905</v>
      </c>
      <c r="E15" s="19" t="n">
        <f aca="false">E12/E14</f>
        <v>23.6453154522269</v>
      </c>
      <c r="F15" s="19" t="n">
        <f aca="false">F12/F14</f>
        <v>70.5109641019174</v>
      </c>
      <c r="G15" s="8" t="s">
        <v>34</v>
      </c>
      <c r="H15" s="4" t="s">
        <v>501</v>
      </c>
      <c r="I15" s="8" t="s">
        <v>147</v>
      </c>
    </row>
    <row r="16" customFormat="false" ht="17.15" hidden="false" customHeight="false" outlineLevel="0" collapsed="false">
      <c r="A16" s="4" t="s">
        <v>502</v>
      </c>
      <c r="B16" s="20" t="n">
        <v>36.75</v>
      </c>
      <c r="C16" s="20" t="n">
        <v>25.33</v>
      </c>
      <c r="G16" s="8" t="s">
        <v>302</v>
      </c>
      <c r="H16" s="8" t="s">
        <v>503</v>
      </c>
      <c r="I16" s="8" t="s">
        <v>504</v>
      </c>
    </row>
    <row r="17" customFormat="false" ht="17.15" hidden="false" customHeight="false" outlineLevel="0" collapsed="false">
      <c r="A17" s="0" t="s">
        <v>505</v>
      </c>
      <c r="B17" s="17" t="n">
        <f aca="false">B4*ai_25</f>
        <v>6.0828</v>
      </c>
      <c r="F17" s="17" t="n">
        <f aca="false">F4*ai_26</f>
        <v>13.00612</v>
      </c>
      <c r="G17" s="8" t="s">
        <v>506</v>
      </c>
      <c r="H17" s="8" t="s">
        <v>507</v>
      </c>
      <c r="I17" s="4" t="s">
        <v>508</v>
      </c>
    </row>
    <row r="18" customFormat="false" ht="17.15" hidden="false" customHeight="false" outlineLevel="0" collapsed="false">
      <c r="A18" s="4" t="s">
        <v>509</v>
      </c>
      <c r="B18" s="17" t="n">
        <f aca="false">B4*(th_25-ai_25)</f>
        <v>8.637576</v>
      </c>
      <c r="F18" s="17" t="n">
        <f aca="false">F4*(th_26-ai_26)</f>
        <v>11.380355</v>
      </c>
      <c r="G18" s="8" t="s">
        <v>506</v>
      </c>
      <c r="H18" s="8" t="s">
        <v>507</v>
      </c>
      <c r="I18" s="8" t="s">
        <v>147</v>
      </c>
    </row>
    <row r="19" customFormat="false" ht="17.15" hidden="false" customHeight="false" outlineLevel="0" collapsed="false">
      <c r="A19" s="4" t="s">
        <v>510</v>
      </c>
      <c r="B19" s="17" t="n">
        <f aca="false">B4*(1-th_25)</f>
        <v>5.555624</v>
      </c>
      <c r="F19" s="17" t="n">
        <f aca="false">F4*(1-th_26)</f>
        <v>8.128825</v>
      </c>
      <c r="G19" s="8" t="s">
        <v>506</v>
      </c>
      <c r="H19" s="8" t="s">
        <v>507</v>
      </c>
      <c r="I19" s="8" t="s">
        <v>147</v>
      </c>
    </row>
    <row r="22" customFormat="false" ht="17.15" hidden="false" customHeight="false" outlineLevel="0" collapsed="false">
      <c r="A22" s="6" t="s">
        <v>511</v>
      </c>
    </row>
    <row r="23" customFormat="false" ht="17.15" hidden="false" customHeight="false" outlineLevel="0" collapsed="false">
      <c r="A23" s="0" t="s">
        <v>512</v>
      </c>
      <c r="B23" s="18" t="n">
        <f aca="false">F4/B4-1</f>
        <v>0.603634839218781</v>
      </c>
    </row>
    <row r="24" customFormat="false" ht="17.15" hidden="false" customHeight="false" outlineLevel="0" collapsed="false">
      <c r="A24" s="0" t="s">
        <v>513</v>
      </c>
      <c r="B24" s="18" t="n">
        <f aca="false">F7/B7-1</f>
        <v>0.482696539256199</v>
      </c>
    </row>
    <row r="25" customFormat="false" ht="17.15" hidden="false" customHeight="false" outlineLevel="0" collapsed="false">
      <c r="A25" s="4" t="s">
        <v>514</v>
      </c>
      <c r="B25" s="19" t="n">
        <f aca="false">B24/B23</f>
        <v>0.799649900726242</v>
      </c>
    </row>
    <row r="26" customFormat="false" ht="17.15" hidden="false" customHeight="false" outlineLevel="0" collapsed="false">
      <c r="A26" s="0" t="s">
        <v>515</v>
      </c>
      <c r="B26" s="18" t="n">
        <f aca="false">F4/cons_rev26-1</f>
        <v>-0.00564831804281341</v>
      </c>
    </row>
    <row r="27" customFormat="false" ht="17.15" hidden="false" customHeight="false" outlineLevel="0" collapsed="false">
      <c r="A27" s="0" t="s">
        <v>516</v>
      </c>
      <c r="B27" s="18" t="n">
        <f aca="false">F15/cons_eps26-1</f>
        <v>0.00787541597937969</v>
      </c>
    </row>
    <row r="28" customFormat="false" ht="17.15" hidden="false" customHeight="false" outlineLevel="0" collapsed="false">
      <c r="A28" s="0" t="s">
        <v>517</v>
      </c>
      <c r="B28" s="18" t="n">
        <f aca="false">D12/D4-10.79/32.26</f>
        <v>-0.00166098573856971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518</v>
      </c>
    </row>
    <row r="3" customFormat="false" ht="15" hidden="false" customHeight="false" outlineLevel="0" collapsed="false">
      <c r="A3" s="5" t="s">
        <v>22</v>
      </c>
      <c r="B3" s="5" t="s">
        <v>23</v>
      </c>
      <c r="C3" s="15" t="s">
        <v>519</v>
      </c>
      <c r="D3" s="15" t="s">
        <v>520</v>
      </c>
      <c r="E3" s="15" t="s">
        <v>521</v>
      </c>
      <c r="F3" s="15" t="s">
        <v>522</v>
      </c>
      <c r="G3" s="5" t="s">
        <v>523</v>
      </c>
    </row>
    <row r="4" customFormat="false" ht="17.15" hidden="false" customHeight="false" outlineLevel="0" collapsed="false">
      <c r="A4" s="0" t="s">
        <v>524</v>
      </c>
      <c r="B4" s="4" t="s">
        <v>33</v>
      </c>
      <c r="C4" s="21" t="n">
        <f aca="false">PL!D110+PL!D111+PL!D112+PL!D113+PL!D114+PL!D115</f>
        <v>15.2</v>
      </c>
      <c r="D4" s="21" t="n">
        <f aca="false">PL!E110+PL!E111+PL!E112+PL!E113+PL!E114+PL!E115</f>
        <v>23.7</v>
      </c>
      <c r="E4" s="21" t="n">
        <f aca="false">PL!F110+PL!F111+PL!F112+PL!F113+PL!F114+PL!F115</f>
        <v>21.2</v>
      </c>
      <c r="F4" s="21" t="n">
        <f aca="false">PL!G110+PL!G111+PL!G112+PL!G113+PL!G114+PL!G115</f>
        <v>25.6275</v>
      </c>
      <c r="G4" s="8" t="s">
        <v>525</v>
      </c>
    </row>
    <row r="5" customFormat="false" ht="17.15" hidden="false" customHeight="false" outlineLevel="0" collapsed="false">
      <c r="A5" s="4" t="s">
        <v>526</v>
      </c>
      <c r="B5" s="4" t="s">
        <v>33</v>
      </c>
      <c r="C5" s="21" t="n">
        <f aca="false">PL!D110+PL!D111+PL!D112+PL!D113</f>
        <v>7.6</v>
      </c>
      <c r="D5" s="21" t="n">
        <f aca="false">PL!E110+PL!E111+PL!E112+PL!E113</f>
        <v>9.7</v>
      </c>
      <c r="E5" s="21" t="n">
        <f aca="false">PL!F110+PL!F111+PL!F112+PL!F113</f>
        <v>7.6</v>
      </c>
      <c r="F5" s="21" t="n">
        <f aca="false">PL!G110+PL!G111+PL!G112+PL!G113</f>
        <v>9.01</v>
      </c>
    </row>
    <row r="6" customFormat="false" ht="17.15" hidden="false" customHeight="false" outlineLevel="0" collapsed="false">
      <c r="A6" s="0" t="s">
        <v>527</v>
      </c>
      <c r="B6" s="0" t="s">
        <v>136</v>
      </c>
      <c r="C6" s="22" t="n">
        <f aca="false">PL!D116</f>
        <v>100</v>
      </c>
      <c r="D6" s="22" t="n">
        <f aca="false">PL!E116</f>
        <v>150</v>
      </c>
      <c r="E6" s="22" t="n">
        <f aca="false">PL!F116</f>
        <v>180</v>
      </c>
      <c r="F6" s="22" t="n">
        <f aca="false">PL!G116</f>
        <v>180</v>
      </c>
      <c r="G6" s="8" t="s">
        <v>528</v>
      </c>
    </row>
    <row r="7" customFormat="false" ht="17.15" hidden="false" customHeight="false" outlineLevel="0" collapsed="false">
      <c r="A7" s="0" t="s">
        <v>529</v>
      </c>
      <c r="B7" s="0" t="s">
        <v>205</v>
      </c>
      <c r="C7" s="23" t="n">
        <f aca="false">PL!D119</f>
        <v>0.3665</v>
      </c>
      <c r="D7" s="23" t="n">
        <f aca="false">PL!E119</f>
        <v>1.194</v>
      </c>
      <c r="E7" s="23" t="n">
        <f aca="false">PL!F119</f>
        <v>1.342</v>
      </c>
      <c r="F7" s="23" t="n">
        <f aca="false">PL!G119</f>
        <v>1.6300875</v>
      </c>
    </row>
    <row r="8" customFormat="false" ht="17.15" hidden="false" customHeight="false" outlineLevel="0" collapsed="false">
      <c r="A8" s="4" t="s">
        <v>530</v>
      </c>
      <c r="B8" s="0" t="s">
        <v>205</v>
      </c>
      <c r="C8" s="23" t="n">
        <f aca="false">PL!D120</f>
        <v>0.2355</v>
      </c>
      <c r="D8" s="23" t="n">
        <f aca="false">PL!E120</f>
        <v>0.5275</v>
      </c>
      <c r="E8" s="23" t="n">
        <f aca="false">PL!F120</f>
        <v>0.608</v>
      </c>
      <c r="F8" s="23" t="n">
        <f aca="false">PL!G120</f>
        <v>0.7429</v>
      </c>
    </row>
    <row r="9" customFormat="false" ht="17.15" hidden="false" customHeight="false" outlineLevel="0" collapsed="false">
      <c r="A9" s="4" t="s">
        <v>531</v>
      </c>
      <c r="B9" s="0" t="s">
        <v>136</v>
      </c>
      <c r="C9" s="24" t="n">
        <f aca="false">PL!D121*1000/C4</f>
        <v>39.6052631578947</v>
      </c>
      <c r="D9" s="24" t="n">
        <f aca="false">PL!E121*1000/D4</f>
        <v>72.6371308016878</v>
      </c>
      <c r="E9" s="24" t="n">
        <f aca="false">PL!F121*1000/E4</f>
        <v>91.9811320754717</v>
      </c>
      <c r="F9" s="24" t="n">
        <f aca="false">PL!G121*1000/F4</f>
        <v>92.5953565505805</v>
      </c>
    </row>
    <row r="10" customFormat="false" ht="17.15" hidden="false" customHeight="false" outlineLevel="0" collapsed="false">
      <c r="A10" s="4" t="s">
        <v>532</v>
      </c>
      <c r="B10" s="0" t="s">
        <v>196</v>
      </c>
      <c r="C10" s="18" t="n">
        <f aca="false">PL!D124</f>
        <v>0.882225417842414</v>
      </c>
      <c r="D10" s="18" t="n">
        <f aca="false">PL!E124</f>
        <v>0.855758655307142</v>
      </c>
      <c r="E10" s="18" t="n">
        <f aca="false">PL!F124</f>
        <v>0.820469638593445</v>
      </c>
      <c r="F10" s="18" t="n">
        <f aca="false">PL!G124</f>
        <v>0.794002876058173</v>
      </c>
      <c r="G10" s="8" t="s">
        <v>533</v>
      </c>
    </row>
    <row r="11" customFormat="false" ht="17.15" hidden="false" customHeight="false" outlineLevel="0" collapsed="false">
      <c r="A11" s="4" t="s">
        <v>534</v>
      </c>
      <c r="B11" s="0" t="s">
        <v>196</v>
      </c>
      <c r="C11" s="18" t="n">
        <f aca="false">PL!D125</f>
        <v>0.352890167136966</v>
      </c>
      <c r="D11" s="18" t="n">
        <f aca="false">PL!E125</f>
        <v>0.342303462122857</v>
      </c>
      <c r="E11" s="18" t="n">
        <f aca="false">PL!F125</f>
        <v>0.328187855437378</v>
      </c>
      <c r="F11" s="18" t="n">
        <f aca="false">PL!G125</f>
        <v>0.317601150423269</v>
      </c>
      <c r="G11" s="4" t="s">
        <v>535</v>
      </c>
    </row>
    <row r="12" customFormat="false" ht="17.15" hidden="false" customHeight="false" outlineLevel="0" collapsed="false">
      <c r="A12" s="4" t="s">
        <v>536</v>
      </c>
      <c r="B12" s="0" t="s">
        <v>205</v>
      </c>
      <c r="C12" s="23" t="n">
        <f aca="false">PL!D126/fx</f>
        <v>0.40644125</v>
      </c>
      <c r="D12" s="23" t="n">
        <f aca="false">PL!E126/fx</f>
        <v>1.20234091070653</v>
      </c>
      <c r="E12" s="23" t="n">
        <f aca="false">PL!F126/fx</f>
        <v>1.30060847109833</v>
      </c>
      <c r="F12" s="23" t="n">
        <f aca="false">PL!G126/fx</f>
        <v>1.53024005787592</v>
      </c>
    </row>
    <row r="13" customFormat="false" ht="17.15" hidden="false" customHeight="false" outlineLevel="0" collapsed="false">
      <c r="A13" s="4" t="s">
        <v>537</v>
      </c>
      <c r="B13" s="0" t="s">
        <v>196</v>
      </c>
      <c r="C13" s="18" t="n">
        <f aca="false">PL!D126/fx/PL!D121</f>
        <v>0.67515157807309</v>
      </c>
      <c r="D13" s="18" t="n">
        <f aca="false">PL!E126/fx/PL!E121</f>
        <v>0.698426320480124</v>
      </c>
      <c r="E13" s="18" t="n">
        <f aca="false">PL!F126/fx/PL!F121</f>
        <v>0.666978703127348</v>
      </c>
      <c r="F13" s="18" t="n">
        <f aca="false">PL!G126/fx/PL!G121</f>
        <v>0.644858035651651</v>
      </c>
    </row>
    <row r="14" customFormat="false" ht="17.15" hidden="false" customHeight="false" outlineLevel="0" collapsed="false">
      <c r="A14" s="4" t="s">
        <v>538</v>
      </c>
      <c r="B14" s="0" t="s">
        <v>205</v>
      </c>
      <c r="C14" s="23" t="n">
        <f aca="false">PL!D121-PL!D126/fx</f>
        <v>0.19555875</v>
      </c>
      <c r="D14" s="23" t="n">
        <f aca="false">PL!E121-PL!E126/fx</f>
        <v>0.519159089293466</v>
      </c>
      <c r="E14" s="23" t="n">
        <f aca="false">PL!F121-PL!F126/fx</f>
        <v>0.649391528901671</v>
      </c>
      <c r="F14" s="23" t="n">
        <f aca="false">PL!G121-PL!G126/fx</f>
        <v>0.842747442124077</v>
      </c>
      <c r="G14" s="4" t="s">
        <v>539</v>
      </c>
    </row>
    <row r="15" customFormat="false" ht="17.15" hidden="false" customHeight="false" outlineLevel="0" collapsed="false">
      <c r="A15" s="0" t="s">
        <v>540</v>
      </c>
      <c r="B15" s="0" t="s">
        <v>205</v>
      </c>
      <c r="C15" s="21" t="n">
        <f aca="false">PL!D128</f>
        <v>4.51368758595869</v>
      </c>
      <c r="D15" s="21" t="n">
        <f aca="false">PL!E128</f>
        <v>10.2011004204398</v>
      </c>
      <c r="E15" s="21" t="n">
        <f aca="false">PL!F128</f>
        <v>12.6260448229601</v>
      </c>
      <c r="F15" s="21" t="n">
        <f aca="false">PL!G128</f>
        <v>16.1809438578051</v>
      </c>
      <c r="G15" s="4" t="s">
        <v>541</v>
      </c>
    </row>
    <row r="16" customFormat="false" ht="17.15" hidden="false" customHeight="false" outlineLevel="0" collapsed="false">
      <c r="A16" s="4" t="s">
        <v>542</v>
      </c>
      <c r="B16" s="0" t="s">
        <v>196</v>
      </c>
      <c r="C16" s="18" t="n">
        <f aca="false">PL!D129</f>
        <v>0</v>
      </c>
      <c r="D16" s="18" t="n">
        <f aca="false">PL!E129</f>
        <v>0.008</v>
      </c>
      <c r="E16" s="18" t="n">
        <f aca="false">PL!F129</f>
        <v>0.015</v>
      </c>
      <c r="F16" s="18" t="n">
        <f aca="false">PL!G129</f>
        <v>0.025</v>
      </c>
      <c r="G16" s="8" t="s">
        <v>543</v>
      </c>
    </row>
    <row r="17" customFormat="false" ht="17.15" hidden="false" customHeight="false" outlineLevel="0" collapsed="false">
      <c r="A17" s="4" t="s">
        <v>544</v>
      </c>
      <c r="B17" s="0" t="s">
        <v>196</v>
      </c>
      <c r="C17" s="18" t="n">
        <f aca="false">avshB_26</f>
        <v>0.498927641116677</v>
      </c>
      <c r="D17" s="18" t="n">
        <f aca="false">avshB_27</f>
        <v>0.473981259060843</v>
      </c>
      <c r="E17" s="18" t="n">
        <f aca="false">avshB_28</f>
        <v>0.449034877005009</v>
      </c>
      <c r="F17" s="18" t="n">
        <f aca="false">avshB_29</f>
        <v>0.424088494949176</v>
      </c>
      <c r="G17" s="4" t="s">
        <v>545</v>
      </c>
    </row>
    <row r="18" customFormat="false" ht="17.15" hidden="false" customHeight="false" outlineLevel="0" collapsed="false">
      <c r="A18" s="4" t="s">
        <v>546</v>
      </c>
      <c r="B18" s="0" t="s">
        <v>196</v>
      </c>
      <c r="C18" s="18" t="n">
        <f aca="false">C17+C16</f>
        <v>0.498927641116677</v>
      </c>
      <c r="D18" s="18" t="n">
        <f aca="false">D17+D16</f>
        <v>0.481981259060843</v>
      </c>
      <c r="E18" s="18" t="n">
        <f aca="false">E17+E16</f>
        <v>0.464034877005009</v>
      </c>
      <c r="F18" s="18" t="n">
        <f aca="false">F17+F16</f>
        <v>0.449088494949176</v>
      </c>
      <c r="G18" s="4" t="s">
        <v>547</v>
      </c>
    </row>
    <row r="19" customFormat="false" ht="15" hidden="false" customHeight="false" outlineLevel="0" collapsed="false">
      <c r="A19" s="4" t="s">
        <v>548</v>
      </c>
      <c r="B19" s="0" t="s">
        <v>205</v>
      </c>
      <c r="C19" s="23" t="n">
        <f aca="false">PL!D130/fx</f>
        <v>0</v>
      </c>
      <c r="D19" s="23" t="n">
        <f aca="false">PL!E130/fx</f>
        <v>0.0816088033635184</v>
      </c>
      <c r="E19" s="23" t="n">
        <f aca="false">PL!F130/fx</f>
        <v>0.189390672344402</v>
      </c>
      <c r="F19" s="23" t="n">
        <f aca="false">PL!G130/fx</f>
        <v>0.404523596445128</v>
      </c>
    </row>
    <row r="21" customFormat="false" ht="17.15" hidden="false" customHeight="false" outlineLevel="0" collapsed="false">
      <c r="A21" s="1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550</v>
      </c>
    </row>
    <row r="2" customFormat="false" ht="17.15" hidden="false" customHeight="false" outlineLevel="0" collapsed="false">
      <c r="A2" s="4" t="s">
        <v>551</v>
      </c>
    </row>
    <row r="3" customFormat="false" ht="17.15" hidden="false" customHeight="false" outlineLevel="0" collapsed="false">
      <c r="A3" s="5" t="s">
        <v>552</v>
      </c>
      <c r="B3" s="5" t="s">
        <v>23</v>
      </c>
      <c r="C3" s="15" t="s">
        <v>470</v>
      </c>
      <c r="D3" s="15" t="s">
        <v>553</v>
      </c>
      <c r="E3" s="15" t="s">
        <v>554</v>
      </c>
      <c r="F3" s="15" t="s">
        <v>555</v>
      </c>
      <c r="G3" s="15" t="s">
        <v>556</v>
      </c>
      <c r="H3" s="15" t="s">
        <v>557</v>
      </c>
      <c r="I3" s="15" t="s">
        <v>558</v>
      </c>
      <c r="J3" s="15" t="s">
        <v>559</v>
      </c>
      <c r="K3" s="5" t="s">
        <v>523</v>
      </c>
    </row>
    <row r="4" customFormat="false" ht="17.15" hidden="false" customHeight="false" outlineLevel="0" collapsed="false">
      <c r="A4" s="1" t="s">
        <v>560</v>
      </c>
    </row>
    <row r="5" customFormat="false" ht="15" hidden="false" customHeight="false" outlineLevel="0" collapsed="false">
      <c r="A5" s="4" t="s">
        <v>475</v>
      </c>
      <c r="B5" s="0" t="s">
        <v>301</v>
      </c>
      <c r="C5" s="24" t="n">
        <f aca="false">C87</f>
        <v>20.276</v>
      </c>
      <c r="D5" s="24" t="n">
        <f aca="false">D87</f>
        <v>32.5153</v>
      </c>
      <c r="E5" s="24" t="n">
        <f aca="false">E87</f>
        <v>77.9642006737486</v>
      </c>
      <c r="F5" s="24" t="n">
        <f aca="false">F87</f>
        <v>106.641469398355</v>
      </c>
      <c r="G5" s="24" t="n">
        <f aca="false">G87</f>
        <v>128.225738929958</v>
      </c>
      <c r="H5" s="25" t="n">
        <f aca="false">H87</f>
        <v>148.092209039616</v>
      </c>
      <c r="I5" s="25" t="n">
        <f aca="false">I87</f>
        <v>164.007201826753</v>
      </c>
      <c r="J5" s="25" t="n">
        <f aca="false">J87</f>
        <v>173.847633936358</v>
      </c>
    </row>
    <row r="6" customFormat="false" ht="15" hidden="false" customHeight="false" outlineLevel="0" collapsed="false">
      <c r="A6" s="4" t="s">
        <v>561</v>
      </c>
      <c r="B6" s="0" t="s">
        <v>196</v>
      </c>
      <c r="D6" s="18" t="n">
        <f aca="false">D88</f>
        <v>0.603634839218781</v>
      </c>
      <c r="E6" s="18" t="n">
        <f aca="false">E88</f>
        <v>1.39776968607851</v>
      </c>
      <c r="F6" s="18" t="n">
        <f aca="false">F88</f>
        <v>0.367826110917376</v>
      </c>
      <c r="G6" s="18" t="n">
        <f aca="false">G88</f>
        <v>0.20240033875542</v>
      </c>
      <c r="H6" s="26" t="n">
        <f aca="false">H88</f>
        <v>0.15493355917028</v>
      </c>
      <c r="I6" s="26" t="n">
        <f aca="false">I88</f>
        <v>0.10746677958514</v>
      </c>
      <c r="J6" s="26" t="n">
        <f aca="false">J88</f>
        <v>0.06</v>
      </c>
    </row>
    <row r="7" customFormat="false" ht="17.15" hidden="false" customHeight="false" outlineLevel="0" collapsed="false">
      <c r="A7" s="0" t="s">
        <v>562</v>
      </c>
      <c r="B7" s="0" t="s">
        <v>301</v>
      </c>
      <c r="C7" s="24" t="n">
        <f aca="false">C79</f>
        <v>6.0828</v>
      </c>
      <c r="D7" s="24" t="n">
        <f aca="false">D79</f>
        <v>13.00612</v>
      </c>
      <c r="E7" s="24" t="n">
        <f aca="false">E79</f>
        <v>51.2961146950293</v>
      </c>
      <c r="F7" s="24" t="n">
        <f aca="false">F79</f>
        <v>67.0632473627089</v>
      </c>
      <c r="G7" s="24" t="n">
        <f aca="false">G79</f>
        <v>75.2655723267202</v>
      </c>
    </row>
    <row r="8" customFormat="false" ht="15" hidden="false" customHeight="false" outlineLevel="0" collapsed="false">
      <c r="A8" s="4" t="s">
        <v>563</v>
      </c>
      <c r="B8" s="0" t="s">
        <v>301</v>
      </c>
      <c r="C8" s="24" t="n">
        <f aca="false">C83</f>
        <v>0</v>
      </c>
      <c r="D8" s="24" t="n">
        <f aca="false">D83</f>
        <v>0</v>
      </c>
      <c r="E8" s="24" t="n">
        <f aca="false">E83</f>
        <v>5.5493986287193</v>
      </c>
      <c r="F8" s="24" t="n">
        <f aca="false">F83</f>
        <v>16.9337542331465</v>
      </c>
      <c r="G8" s="24" t="n">
        <f aca="false">G83</f>
        <v>28.9353348986632</v>
      </c>
    </row>
    <row r="9" customFormat="false" ht="15" hidden="false" customHeight="false" outlineLevel="0" collapsed="false">
      <c r="A9" s="4" t="s">
        <v>564</v>
      </c>
      <c r="B9" s="0" t="s">
        <v>301</v>
      </c>
      <c r="C9" s="24" t="n">
        <f aca="false">C85</f>
        <v>8.637576</v>
      </c>
      <c r="D9" s="24" t="n">
        <f aca="false">D85</f>
        <v>11.380355</v>
      </c>
      <c r="E9" s="24" t="n">
        <f aca="false">E85</f>
        <v>12.7459976</v>
      </c>
      <c r="F9" s="24" t="n">
        <f aca="false">F85</f>
        <v>14.02059736</v>
      </c>
      <c r="G9" s="24" t="n">
        <f aca="false">G85</f>
        <v>15.1422451488</v>
      </c>
    </row>
    <row r="10" customFormat="false" ht="15" hidden="false" customHeight="false" outlineLevel="0" collapsed="false">
      <c r="A10" s="4" t="s">
        <v>565</v>
      </c>
      <c r="B10" s="0" t="s">
        <v>301</v>
      </c>
      <c r="C10" s="24" t="n">
        <f aca="false">C86</f>
        <v>5.555624</v>
      </c>
      <c r="D10" s="24" t="n">
        <f aca="false">D86</f>
        <v>8.128825</v>
      </c>
      <c r="E10" s="24" t="n">
        <f aca="false">E86</f>
        <v>8.37268975</v>
      </c>
      <c r="F10" s="24" t="n">
        <f aca="false">F86</f>
        <v>8.6238704425</v>
      </c>
      <c r="G10" s="24" t="n">
        <f aca="false">G86</f>
        <v>8.882586555775</v>
      </c>
    </row>
    <row r="11" customFormat="false" ht="15" hidden="false" customHeight="false" outlineLevel="0" collapsed="false">
      <c r="A11" s="4" t="s">
        <v>482</v>
      </c>
      <c r="B11" s="0" t="s">
        <v>196</v>
      </c>
      <c r="C11" s="18" t="n">
        <f aca="false">C94</f>
        <v>0.415959755375814</v>
      </c>
      <c r="D11" s="18" t="n">
        <f aca="false">D94</f>
        <v>0.473324773260588</v>
      </c>
      <c r="E11" s="18" t="n">
        <f aca="false">E94</f>
        <v>0.504278109666385</v>
      </c>
      <c r="F11" s="18" t="n">
        <f aca="false">F94</f>
        <v>0.500788752976242</v>
      </c>
      <c r="G11" s="18" t="n">
        <f aca="false">G94</f>
        <v>0.49576202520842</v>
      </c>
    </row>
    <row r="12" customFormat="false" ht="15" hidden="false" customHeight="false" outlineLevel="0" collapsed="false">
      <c r="A12" s="4" t="s">
        <v>488</v>
      </c>
      <c r="B12" s="0" t="s">
        <v>196</v>
      </c>
      <c r="C12" s="18" t="n">
        <f aca="false">C98</f>
        <v>0.320477411718288</v>
      </c>
      <c r="D12" s="18" t="n">
        <f aca="false">D98</f>
        <v>0.385043241181844</v>
      </c>
      <c r="E12" s="18" t="n">
        <f aca="false">E98</f>
        <v>0.43658191572027</v>
      </c>
      <c r="F12" s="18" t="n">
        <f aca="false">F98</f>
        <v>0.440374311453002</v>
      </c>
      <c r="G12" s="18" t="n">
        <f aca="false">G98</f>
        <v>0.439415414684855</v>
      </c>
    </row>
    <row r="13" customFormat="false" ht="15" hidden="false" customHeight="false" outlineLevel="0" collapsed="false">
      <c r="A13" s="4" t="s">
        <v>494</v>
      </c>
      <c r="B13" s="0" t="s">
        <v>301</v>
      </c>
      <c r="C13" s="24" t="n">
        <f aca="false">C100</f>
        <v>5.277</v>
      </c>
      <c r="D13" s="24" t="n">
        <f aca="false">D100</f>
        <v>10.3442061825</v>
      </c>
      <c r="E13" s="24" t="n">
        <f aca="false">E100</f>
        <v>27.6418968706345</v>
      </c>
      <c r="F13" s="24" t="n">
        <f aca="false">F100</f>
        <v>38.0460417452029</v>
      </c>
      <c r="G13" s="24" t="n">
        <f aca="false">G100</f>
        <v>45.5987148273696</v>
      </c>
      <c r="H13" s="25" t="n">
        <f aca="false">H100</f>
        <v>52.6634860091645</v>
      </c>
      <c r="I13" s="25" t="n">
        <f aca="false">I100</f>
        <v>58.3230612522965</v>
      </c>
      <c r="J13" s="25" t="n">
        <f aca="false">J100</f>
        <v>61.8224449274343</v>
      </c>
    </row>
    <row r="14" customFormat="false" ht="15" hidden="false" customHeight="false" outlineLevel="0" collapsed="false">
      <c r="A14" s="4" t="s">
        <v>566</v>
      </c>
      <c r="B14" s="0" t="s">
        <v>196</v>
      </c>
      <c r="C14" s="18" t="n">
        <f aca="false">C104</f>
        <v>0.260258433616098</v>
      </c>
      <c r="D14" s="18" t="n">
        <f aca="false">D104</f>
        <v>0.318133499690915</v>
      </c>
      <c r="E14" s="18" t="n">
        <f aca="false">E104</f>
        <v>0.354546017681957</v>
      </c>
      <c r="F14" s="18" t="n">
        <f aca="false">F104</f>
        <v>0.356765918172819</v>
      </c>
      <c r="G14" s="18" t="n">
        <f aca="false">G104</f>
        <v>0.35561280603949</v>
      </c>
      <c r="H14" s="26" t="n">
        <f aca="false">H104</f>
        <v>0.35561280603949</v>
      </c>
      <c r="I14" s="26" t="n">
        <f aca="false">I104</f>
        <v>0.35561280603949</v>
      </c>
      <c r="J14" s="26" t="n">
        <f aca="false">J104</f>
        <v>0.35561280603949</v>
      </c>
    </row>
    <row r="15" customFormat="false" ht="15" hidden="false" customHeight="false" outlineLevel="0" collapsed="false">
      <c r="A15" s="0" t="s">
        <v>500</v>
      </c>
      <c r="B15" s="0" t="s">
        <v>360</v>
      </c>
      <c r="C15" s="19" t="n">
        <f aca="false">C102</f>
        <v>36.75</v>
      </c>
      <c r="D15" s="19" t="n">
        <f aca="false">D102</f>
        <v>70.5109641019174</v>
      </c>
      <c r="E15" s="19" t="n">
        <f aca="false">E102</f>
        <v>188.420142016462</v>
      </c>
      <c r="F15" s="19" t="n">
        <f aca="false">F102</f>
        <v>259.339676374055</v>
      </c>
      <c r="G15" s="19" t="n">
        <f aca="false">G102</f>
        <v>310.822240736618</v>
      </c>
      <c r="H15" s="27" t="n">
        <f aca="false">H102</f>
        <v>358.979036763223</v>
      </c>
      <c r="I15" s="27" t="n">
        <f aca="false">I102</f>
        <v>397.557357782743</v>
      </c>
      <c r="J15" s="27" t="n">
        <f aca="false">J102</f>
        <v>421.410799249707</v>
      </c>
    </row>
    <row r="16" customFormat="false" ht="17.15" hidden="false" customHeight="false" outlineLevel="0" collapsed="false">
      <c r="A16" s="0" t="s">
        <v>567</v>
      </c>
      <c r="B16" s="0" t="s">
        <v>196</v>
      </c>
      <c r="D16" s="18" t="n">
        <f aca="false">D103</f>
        <v>0.918665689848092</v>
      </c>
      <c r="E16" s="18" t="n">
        <f aca="false">E103</f>
        <v>1.67221054791021</v>
      </c>
      <c r="F16" s="18" t="n">
        <f aca="false">F103</f>
        <v>0.376390409213243</v>
      </c>
      <c r="G16" s="18" t="n">
        <f aca="false">G103</f>
        <v>0.19851403025701</v>
      </c>
      <c r="H16" s="26" t="n">
        <f aca="false">H103</f>
        <v>0.15493355917028</v>
      </c>
      <c r="I16" s="26" t="n">
        <f aca="false">I103</f>
        <v>0.10746677958514</v>
      </c>
      <c r="J16" s="26" t="n">
        <f aca="false">J103</f>
        <v>0.0600000000000003</v>
      </c>
    </row>
    <row r="18" customFormat="false" ht="17.15" hidden="false" customHeight="false" outlineLevel="0" collapsed="false">
      <c r="A18" s="1" t="s">
        <v>568</v>
      </c>
    </row>
    <row r="19" customFormat="false" ht="15" hidden="false" customHeight="false" outlineLevel="0" collapsed="false">
      <c r="A19" s="4" t="s">
        <v>475</v>
      </c>
      <c r="B19" s="0" t="s">
        <v>301</v>
      </c>
      <c r="C19" s="24" t="n">
        <f aca="false">C134</f>
        <v>20.276</v>
      </c>
      <c r="D19" s="24" t="n">
        <f aca="false">D134</f>
        <v>32.5153</v>
      </c>
      <c r="E19" s="24" t="n">
        <f aca="false">E134</f>
        <v>62.2050782002417</v>
      </c>
      <c r="F19" s="24" t="n">
        <f aca="false">F134</f>
        <v>70.3244403926674</v>
      </c>
      <c r="G19" s="24" t="n">
        <f aca="false">G134</f>
        <v>85.9372686428486</v>
      </c>
      <c r="H19" s="25" t="n">
        <f aca="false">H134</f>
        <v>99.8024684128244</v>
      </c>
      <c r="I19" s="25" t="n">
        <f aca="false">I134</f>
        <v>109.849629853489</v>
      </c>
      <c r="J19" s="25" t="n">
        <f aca="false">J134</f>
        <v>114.243615047629</v>
      </c>
    </row>
    <row r="20" customFormat="false" ht="15" hidden="false" customHeight="false" outlineLevel="0" collapsed="false">
      <c r="A20" s="4" t="s">
        <v>561</v>
      </c>
      <c r="B20" s="0" t="s">
        <v>196</v>
      </c>
      <c r="D20" s="18" t="n">
        <f aca="false">D135</f>
        <v>0.603634839218781</v>
      </c>
      <c r="E20" s="18" t="n">
        <f aca="false">E135</f>
        <v>0.913101776709477</v>
      </c>
      <c r="F20" s="18" t="n">
        <f aca="false">F135</f>
        <v>0.13052571313051</v>
      </c>
      <c r="G20" s="18" t="n">
        <f aca="false">G135</f>
        <v>0.222011411153855</v>
      </c>
      <c r="H20" s="26" t="n">
        <f aca="false">H135</f>
        <v>0.161340940769237</v>
      </c>
      <c r="I20" s="26" t="n">
        <f aca="false">I135</f>
        <v>0.100670470384618</v>
      </c>
      <c r="J20" s="26" t="n">
        <f aca="false">J135</f>
        <v>0.04</v>
      </c>
    </row>
    <row r="21" customFormat="false" ht="17.15" hidden="false" customHeight="false" outlineLevel="0" collapsed="false">
      <c r="A21" s="0" t="s">
        <v>562</v>
      </c>
      <c r="B21" s="0" t="s">
        <v>301</v>
      </c>
      <c r="C21" s="24" t="n">
        <f aca="false">C126</f>
        <v>6.0828</v>
      </c>
      <c r="D21" s="24" t="n">
        <f aca="false">D126</f>
        <v>13.00612</v>
      </c>
      <c r="E21" s="24" t="n">
        <f aca="false">E126</f>
        <v>38.4749091426091</v>
      </c>
      <c r="F21" s="24" t="n">
        <f aca="false">F126</f>
        <v>41.6194710751465</v>
      </c>
      <c r="G21" s="24" t="n">
        <f aca="false">G126</f>
        <v>48.9676818520295</v>
      </c>
    </row>
    <row r="22" customFormat="false" ht="15" hidden="false" customHeight="false" outlineLevel="0" collapsed="false">
      <c r="A22" s="4" t="s">
        <v>563</v>
      </c>
      <c r="B22" s="0" t="s">
        <v>301</v>
      </c>
      <c r="C22" s="24" t="n">
        <f aca="false">C130</f>
        <v>0</v>
      </c>
      <c r="D22" s="24" t="n">
        <f aca="false">D130</f>
        <v>0</v>
      </c>
      <c r="E22" s="24" t="n">
        <f aca="false">E130</f>
        <v>2.61148170763259</v>
      </c>
      <c r="F22" s="24" t="n">
        <f aca="false">F130</f>
        <v>6.06050151502085</v>
      </c>
      <c r="G22" s="24" t="n">
        <f aca="false">G130</f>
        <v>12.9447550862441</v>
      </c>
    </row>
    <row r="23" customFormat="false" ht="15" hidden="false" customHeight="false" outlineLevel="0" collapsed="false">
      <c r="A23" s="4" t="s">
        <v>564</v>
      </c>
      <c r="B23" s="0" t="s">
        <v>301</v>
      </c>
      <c r="C23" s="24" t="n">
        <f aca="false">C132</f>
        <v>8.637576</v>
      </c>
      <c r="D23" s="24" t="n">
        <f aca="false">D132</f>
        <v>11.380355</v>
      </c>
      <c r="E23" s="24" t="n">
        <f aca="false">E132</f>
        <v>12.7459976</v>
      </c>
      <c r="F23" s="24" t="n">
        <f aca="false">F132</f>
        <v>14.02059736</v>
      </c>
      <c r="G23" s="24" t="n">
        <f aca="false">G132</f>
        <v>15.1422451488</v>
      </c>
    </row>
    <row r="24" customFormat="false" ht="15" hidden="false" customHeight="false" outlineLevel="0" collapsed="false">
      <c r="A24" s="4" t="s">
        <v>565</v>
      </c>
      <c r="B24" s="0" t="s">
        <v>301</v>
      </c>
      <c r="C24" s="24" t="n">
        <f aca="false">C133</f>
        <v>5.555624</v>
      </c>
      <c r="D24" s="24" t="n">
        <f aca="false">D133</f>
        <v>8.128825</v>
      </c>
      <c r="E24" s="24" t="n">
        <f aca="false">E133</f>
        <v>8.37268975</v>
      </c>
      <c r="F24" s="24" t="n">
        <f aca="false">F133</f>
        <v>8.6238704425</v>
      </c>
      <c r="G24" s="24" t="n">
        <f aca="false">G133</f>
        <v>8.882586555775</v>
      </c>
    </row>
    <row r="25" customFormat="false" ht="15" hidden="false" customHeight="false" outlineLevel="0" collapsed="false">
      <c r="A25" s="4" t="s">
        <v>482</v>
      </c>
      <c r="B25" s="0" t="s">
        <v>196</v>
      </c>
      <c r="C25" s="18" t="n">
        <f aca="false">C141</f>
        <v>0.415959755375814</v>
      </c>
      <c r="D25" s="18" t="n">
        <f aca="false">D141</f>
        <v>0.473324773260588</v>
      </c>
      <c r="E25" s="18" t="n">
        <f aca="false">E141</f>
        <v>0.49954683407451</v>
      </c>
      <c r="F25" s="18" t="n">
        <f aca="false">F141</f>
        <v>0.496343276943389</v>
      </c>
      <c r="G25" s="18" t="n">
        <f aca="false">G141</f>
        <v>0.493701647636994</v>
      </c>
    </row>
    <row r="26" customFormat="false" ht="15" hidden="false" customHeight="false" outlineLevel="0" collapsed="false">
      <c r="A26" s="4" t="s">
        <v>488</v>
      </c>
      <c r="B26" s="0" t="s">
        <v>196</v>
      </c>
      <c r="C26" s="18" t="n">
        <f aca="false">C145</f>
        <v>0.320477411718288</v>
      </c>
      <c r="D26" s="18" t="n">
        <f aca="false">D145</f>
        <v>0.385043241181844</v>
      </c>
      <c r="E26" s="18" t="n">
        <f aca="false">E145</f>
        <v>0.428119611530804</v>
      </c>
      <c r="F26" s="18" t="n">
        <f aca="false">F145</f>
        <v>0.428214728300212</v>
      </c>
      <c r="G26" s="18" t="n">
        <f aca="false">G145</f>
        <v>0.430524056107991</v>
      </c>
    </row>
    <row r="27" customFormat="false" ht="15" hidden="false" customHeight="false" outlineLevel="0" collapsed="false">
      <c r="A27" s="4" t="s">
        <v>494</v>
      </c>
      <c r="B27" s="0" t="s">
        <v>301</v>
      </c>
      <c r="C27" s="24" t="n">
        <f aca="false">C147</f>
        <v>5.277</v>
      </c>
      <c r="D27" s="24" t="n">
        <f aca="false">D147</f>
        <v>10.3442061825</v>
      </c>
      <c r="E27" s="24" t="n">
        <f aca="false">E147</f>
        <v>21.6796272010363</v>
      </c>
      <c r="F27" s="24" t="n">
        <f aca="false">F147</f>
        <v>24.4832387141665</v>
      </c>
      <c r="G27" s="24" t="n">
        <f aca="false">G147</f>
        <v>30.0249394809038</v>
      </c>
      <c r="H27" s="25" t="n">
        <f aca="false">H147</f>
        <v>33.4008871357888</v>
      </c>
      <c r="I27" s="25" t="n">
        <f aca="false">I147</f>
        <v>35.1472509401912</v>
      </c>
      <c r="J27" s="25" t="n">
        <f aca="false">J147</f>
        <v>34.8723769943851</v>
      </c>
    </row>
    <row r="28" customFormat="false" ht="15" hidden="false" customHeight="false" outlineLevel="0" collapsed="false">
      <c r="A28" s="4" t="s">
        <v>566</v>
      </c>
      <c r="B28" s="0" t="s">
        <v>196</v>
      </c>
      <c r="C28" s="18" t="n">
        <f aca="false">C151</f>
        <v>0.260258433616098</v>
      </c>
      <c r="D28" s="18" t="n">
        <f aca="false">D151</f>
        <v>0.318133499690915</v>
      </c>
      <c r="E28" s="18" t="n">
        <f aca="false">E151</f>
        <v>0.348518606973667</v>
      </c>
      <c r="F28" s="18" t="n">
        <f aca="false">F151</f>
        <v>0.348146939775994</v>
      </c>
      <c r="G28" s="18" t="n">
        <f aca="false">G151</f>
        <v>0.349382054550583</v>
      </c>
      <c r="H28" s="26" t="n">
        <f aca="false">H151</f>
        <v>0.334669950222362</v>
      </c>
      <c r="I28" s="26" t="n">
        <f aca="false">I151</f>
        <v>0.319957845894141</v>
      </c>
      <c r="J28" s="26" t="n">
        <f aca="false">J151</f>
        <v>0.30524574156592</v>
      </c>
    </row>
    <row r="29" customFormat="false" ht="15" hidden="false" customHeight="false" outlineLevel="0" collapsed="false">
      <c r="A29" s="0" t="s">
        <v>500</v>
      </c>
      <c r="B29" s="0" t="s">
        <v>360</v>
      </c>
      <c r="C29" s="19" t="n">
        <f aca="false">C149</f>
        <v>36.75</v>
      </c>
      <c r="D29" s="19" t="n">
        <f aca="false">D149</f>
        <v>70.5109641019174</v>
      </c>
      <c r="E29" s="19" t="n">
        <f aca="false">E149</f>
        <v>147.77851372504</v>
      </c>
      <c r="F29" s="19" t="n">
        <f aca="false">F149</f>
        <v>166.889245594681</v>
      </c>
      <c r="G29" s="19" t="n">
        <f aca="false">G149</f>
        <v>204.664078862027</v>
      </c>
      <c r="H29" s="27" t="n">
        <f aca="false">H149</f>
        <v>227.676122483727</v>
      </c>
      <c r="I29" s="27" t="n">
        <f aca="false">I149</f>
        <v>239.580157781228</v>
      </c>
      <c r="J29" s="27" t="n">
        <f aca="false">J149</f>
        <v>237.706487962264</v>
      </c>
    </row>
    <row r="30" customFormat="false" ht="17.15" hidden="false" customHeight="false" outlineLevel="0" collapsed="false">
      <c r="A30" s="0" t="s">
        <v>567</v>
      </c>
      <c r="B30" s="0" t="s">
        <v>196</v>
      </c>
      <c r="D30" s="18" t="n">
        <f aca="false">D150</f>
        <v>0.918665689848092</v>
      </c>
      <c r="E30" s="18" t="n">
        <f aca="false">E150</f>
        <v>1.09582319015578</v>
      </c>
      <c r="F30" s="18" t="n">
        <f aca="false">F150</f>
        <v>0.129320097948741</v>
      </c>
      <c r="G30" s="18" t="n">
        <f aca="false">G150</f>
        <v>0.226346719542903</v>
      </c>
      <c r="H30" s="26" t="n">
        <f aca="false">H150</f>
        <v>0.1124381168872</v>
      </c>
      <c r="I30" s="26" t="n">
        <f aca="false">I150</f>
        <v>0.0522849527110674</v>
      </c>
      <c r="J30" s="26" t="n">
        <f aca="false">J150</f>
        <v>-0.00782063855502968</v>
      </c>
    </row>
    <row r="32" customFormat="false" ht="17.15" hidden="false" customHeight="false" outlineLevel="0" collapsed="false">
      <c r="A32" s="1" t="s">
        <v>569</v>
      </c>
    </row>
    <row r="33" customFormat="false" ht="15" hidden="false" customHeight="false" outlineLevel="0" collapsed="false">
      <c r="A33" s="4" t="s">
        <v>475</v>
      </c>
      <c r="B33" s="0" t="s">
        <v>301</v>
      </c>
      <c r="C33" s="24" t="n">
        <f aca="false">C181</f>
        <v>20.276</v>
      </c>
      <c r="D33" s="24" t="n">
        <f aca="false">D181</f>
        <v>32.5153</v>
      </c>
      <c r="E33" s="24" t="n">
        <f aca="false">E181</f>
        <v>50.238365346987</v>
      </c>
      <c r="F33" s="24" t="n">
        <f aca="false">F181</f>
        <v>45.4146932321498</v>
      </c>
      <c r="G33" s="24" t="n">
        <f aca="false">G181</f>
        <v>49.94132700683</v>
      </c>
      <c r="H33" s="25" t="n">
        <f aca="false">H181</f>
        <v>53.5928148159426</v>
      </c>
      <c r="I33" s="25" t="n">
        <f aca="false">I181</f>
        <v>56.0879771463424</v>
      </c>
      <c r="J33" s="25" t="n">
        <f aca="false">J181</f>
        <v>57.2097366892692</v>
      </c>
    </row>
    <row r="34" customFormat="false" ht="15" hidden="false" customHeight="false" outlineLevel="0" collapsed="false">
      <c r="A34" s="4" t="s">
        <v>561</v>
      </c>
      <c r="B34" s="0" t="s">
        <v>196</v>
      </c>
      <c r="D34" s="18" t="n">
        <f aca="false">D182</f>
        <v>0.603634839218781</v>
      </c>
      <c r="E34" s="18" t="n">
        <f aca="false">E182</f>
        <v>0.545068486127669</v>
      </c>
      <c r="F34" s="18" t="n">
        <f aca="false">F182</f>
        <v>-0.0960157059554181</v>
      </c>
      <c r="G34" s="18" t="n">
        <f aca="false">G182</f>
        <v>0.0996733315260108</v>
      </c>
      <c r="H34" s="26" t="n">
        <f aca="false">H182</f>
        <v>0.0731155543506739</v>
      </c>
      <c r="I34" s="26" t="n">
        <f aca="false">I182</f>
        <v>0.0465577771753369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562</v>
      </c>
      <c r="B35" s="0" t="s">
        <v>301</v>
      </c>
      <c r="C35" s="24" t="n">
        <f aca="false">C173</f>
        <v>6.0828</v>
      </c>
      <c r="D35" s="24" t="n">
        <f aca="false">D173</f>
        <v>13.00612</v>
      </c>
      <c r="E35" s="24" t="n">
        <f aca="false">E173</f>
        <v>28.3362334846972</v>
      </c>
      <c r="F35" s="24" t="n">
        <f aca="false">F173</f>
        <v>21.2729250553506</v>
      </c>
      <c r="G35" s="24" t="n">
        <f aca="false">G173</f>
        <v>22.8706705760799</v>
      </c>
    </row>
    <row r="36" customFormat="false" ht="15" hidden="false" customHeight="false" outlineLevel="0" collapsed="false">
      <c r="A36" s="4" t="s">
        <v>563</v>
      </c>
      <c r="B36" s="0" t="s">
        <v>301</v>
      </c>
      <c r="C36" s="24" t="n">
        <f aca="false">C177</f>
        <v>0</v>
      </c>
      <c r="D36" s="24" t="n">
        <f aca="false">D177</f>
        <v>0</v>
      </c>
      <c r="E36" s="24" t="n">
        <f aca="false">E177</f>
        <v>0.783444512289781</v>
      </c>
      <c r="F36" s="24" t="n">
        <f aca="false">F177</f>
        <v>1.49730037429927</v>
      </c>
      <c r="G36" s="24" t="n">
        <f aca="false">G177</f>
        <v>3.04582472617508</v>
      </c>
    </row>
    <row r="37" customFormat="false" ht="15" hidden="false" customHeight="false" outlineLevel="0" collapsed="false">
      <c r="A37" s="4" t="s">
        <v>564</v>
      </c>
      <c r="B37" s="0" t="s">
        <v>301</v>
      </c>
      <c r="C37" s="24" t="n">
        <f aca="false">C179</f>
        <v>8.637576</v>
      </c>
      <c r="D37" s="24" t="n">
        <f aca="false">D179</f>
        <v>11.380355</v>
      </c>
      <c r="E37" s="24" t="n">
        <f aca="false">E179</f>
        <v>12.7459976</v>
      </c>
      <c r="F37" s="24" t="n">
        <f aca="false">F179</f>
        <v>14.02059736</v>
      </c>
      <c r="G37" s="24" t="n">
        <f aca="false">G179</f>
        <v>15.1422451488</v>
      </c>
    </row>
    <row r="38" customFormat="false" ht="15" hidden="false" customHeight="false" outlineLevel="0" collapsed="false">
      <c r="A38" s="4" t="s">
        <v>565</v>
      </c>
      <c r="B38" s="0" t="s">
        <v>301</v>
      </c>
      <c r="C38" s="24" t="n">
        <f aca="false">C180</f>
        <v>5.555624</v>
      </c>
      <c r="D38" s="24" t="n">
        <f aca="false">D180</f>
        <v>8.128825</v>
      </c>
      <c r="E38" s="24" t="n">
        <f aca="false">E180</f>
        <v>8.37268975</v>
      </c>
      <c r="F38" s="24" t="n">
        <f aca="false">F180</f>
        <v>8.6238704425</v>
      </c>
      <c r="G38" s="24" t="n">
        <f aca="false">G180</f>
        <v>8.882586555775</v>
      </c>
    </row>
    <row r="39" customFormat="false" ht="15" hidden="false" customHeight="false" outlineLevel="0" collapsed="false">
      <c r="A39" s="4" t="s">
        <v>482</v>
      </c>
      <c r="B39" s="0" t="s">
        <v>196</v>
      </c>
      <c r="C39" s="18" t="n">
        <f aca="false">C188</f>
        <v>0.415959755375814</v>
      </c>
      <c r="D39" s="18" t="n">
        <f aca="false">D188</f>
        <v>0.473324773260588</v>
      </c>
      <c r="E39" s="18" t="n">
        <f aca="false">E188</f>
        <v>0.493009061845181</v>
      </c>
      <c r="F39" s="18" t="n">
        <f aca="false">F188</f>
        <v>0.481534577290156</v>
      </c>
      <c r="G39" s="18" t="n">
        <f aca="false">G188</f>
        <v>0.48027886906894</v>
      </c>
    </row>
    <row r="40" customFormat="false" ht="15" hidden="false" customHeight="false" outlineLevel="0" collapsed="false">
      <c r="A40" s="4" t="s">
        <v>488</v>
      </c>
      <c r="B40" s="0" t="s">
        <v>196</v>
      </c>
      <c r="C40" s="18" t="n">
        <f aca="false">C192</f>
        <v>0.320477411718288</v>
      </c>
      <c r="D40" s="18" t="n">
        <f aca="false">D192</f>
        <v>0.385043241181844</v>
      </c>
      <c r="E40" s="18" t="n">
        <f aca="false">E192</f>
        <v>0.41718509562199</v>
      </c>
      <c r="F40" s="18" t="n">
        <f aca="false">F192</f>
        <v>0.397657051184098</v>
      </c>
      <c r="G40" s="18" t="n">
        <f aca="false">G192</f>
        <v>0.399442374231887</v>
      </c>
    </row>
    <row r="41" customFormat="false" ht="15" hidden="false" customHeight="false" outlineLevel="0" collapsed="false">
      <c r="A41" s="4" t="s">
        <v>494</v>
      </c>
      <c r="B41" s="0" t="s">
        <v>301</v>
      </c>
      <c r="C41" s="24" t="n">
        <f aca="false">C194</f>
        <v>5.277</v>
      </c>
      <c r="D41" s="24" t="n">
        <f aca="false">D194</f>
        <v>10.3442061825</v>
      </c>
      <c r="E41" s="24" t="n">
        <f aca="false">E194</f>
        <v>17.1132512871961</v>
      </c>
      <c r="F41" s="24" t="n">
        <f aca="false">F194</f>
        <v>14.7793757578573</v>
      </c>
      <c r="G41" s="24" t="n">
        <f aca="false">G194</f>
        <v>16.3001891966789</v>
      </c>
      <c r="H41" s="25" t="n">
        <f aca="false">H194</f>
        <v>16.3258541280939</v>
      </c>
      <c r="I41" s="25" t="n">
        <f aca="false">I194</f>
        <v>15.8655246348734</v>
      </c>
      <c r="J41" s="25" t="n">
        <f aca="false">J194</f>
        <v>14.9380016562193</v>
      </c>
    </row>
    <row r="42" customFormat="false" ht="15" hidden="false" customHeight="false" outlineLevel="0" collapsed="false">
      <c r="A42" s="4" t="s">
        <v>566</v>
      </c>
      <c r="B42" s="0" t="s">
        <v>196</v>
      </c>
      <c r="C42" s="18" t="n">
        <f aca="false">C198</f>
        <v>0.260258433616098</v>
      </c>
      <c r="D42" s="18" t="n">
        <f aca="false">D198</f>
        <v>0.318133499690915</v>
      </c>
      <c r="E42" s="18" t="n">
        <f aca="false">E198</f>
        <v>0.340641085134798</v>
      </c>
      <c r="F42" s="18" t="n">
        <f aca="false">F198</f>
        <v>0.325431588457693</v>
      </c>
      <c r="G42" s="18" t="n">
        <f aca="false">G198</f>
        <v>0.326386785726572</v>
      </c>
      <c r="H42" s="26" t="n">
        <f aca="false">H198</f>
        <v>0.304627666678134</v>
      </c>
      <c r="I42" s="26" t="n">
        <f aca="false">I198</f>
        <v>0.282868547629696</v>
      </c>
      <c r="J42" s="26" t="n">
        <f aca="false">J198</f>
        <v>0.261109428581258</v>
      </c>
    </row>
    <row r="43" customFormat="false" ht="15" hidden="false" customHeight="false" outlineLevel="0" collapsed="false">
      <c r="A43" s="0" t="s">
        <v>500</v>
      </c>
      <c r="B43" s="0" t="s">
        <v>360</v>
      </c>
      <c r="C43" s="19" t="n">
        <f aca="false">C196</f>
        <v>36.75</v>
      </c>
      <c r="D43" s="19" t="n">
        <f aca="false">D196</f>
        <v>70.5109641019174</v>
      </c>
      <c r="E43" s="19" t="n">
        <f aca="false">E196</f>
        <v>116.651952396307</v>
      </c>
      <c r="F43" s="19" t="n">
        <f aca="false">F196</f>
        <v>100.74316144955</v>
      </c>
      <c r="G43" s="19" t="n">
        <f aca="false">G196</f>
        <v>111.109739599536</v>
      </c>
      <c r="H43" s="27" t="n">
        <f aca="false">H196</f>
        <v>111.284683817174</v>
      </c>
      <c r="I43" s="27" t="n">
        <f aca="false">I196</f>
        <v>108.146861948693</v>
      </c>
      <c r="J43" s="27" t="n">
        <f aca="false">J196</f>
        <v>101.824430019385</v>
      </c>
    </row>
    <row r="44" customFormat="false" ht="17.15" hidden="false" customHeight="false" outlineLevel="0" collapsed="false">
      <c r="A44" s="0" t="s">
        <v>567</v>
      </c>
      <c r="B44" s="0" t="s">
        <v>196</v>
      </c>
      <c r="D44" s="18" t="n">
        <f aca="false">D197</f>
        <v>0.918665689848092</v>
      </c>
      <c r="E44" s="18" t="n">
        <f aca="false">E197</f>
        <v>0.654380334775977</v>
      </c>
      <c r="F44" s="18" t="n">
        <f aca="false">F197</f>
        <v>-0.136378265600817</v>
      </c>
      <c r="G44" s="18" t="n">
        <f aca="false">G197</f>
        <v>0.102901060487146</v>
      </c>
      <c r="H44" s="26" t="n">
        <f aca="false">H197</f>
        <v>0.0015745173939623</v>
      </c>
      <c r="I44" s="26" t="n">
        <f aca="false">I197</f>
        <v>-0.0281963497657585</v>
      </c>
      <c r="J44" s="26" t="n">
        <f aca="false">J197</f>
        <v>-0.0584615384615385</v>
      </c>
    </row>
    <row r="46" customFormat="false" ht="17.15" hidden="false" customHeight="false" outlineLevel="0" collapsed="false">
      <c r="A46" s="1" t="s">
        <v>570</v>
      </c>
    </row>
    <row r="47" customFormat="false" ht="17.15" hidden="false" customHeight="false" outlineLevel="0" collapsed="false">
      <c r="A47" s="4" t="s">
        <v>571</v>
      </c>
      <c r="D47" s="28" t="n">
        <f aca="false">ABS(D87-a26_rev)+ABS(D134-a26_rev)+ABS(D181-a26_rev)</f>
        <v>0</v>
      </c>
    </row>
    <row r="48" customFormat="false" ht="17.15" hidden="false" customHeight="false" outlineLevel="0" collapsed="false">
      <c r="A48" s="4" t="s">
        <v>572</v>
      </c>
      <c r="D48" s="28" t="n">
        <f aca="false">D126-a26_ail</f>
        <v>0</v>
      </c>
    </row>
    <row r="49" customFormat="false" ht="17.15" hidden="false" customHeight="false" outlineLevel="0" collapsed="false">
      <c r="A49" s="4" t="s">
        <v>573</v>
      </c>
      <c r="D49" s="28" t="n">
        <f aca="false">D139*D134+d_ai*D126-a26_gp</f>
        <v>0</v>
      </c>
    </row>
    <row r="60" customFormat="false" ht="17.15" hidden="false" customHeight="false" outlineLevel="0" collapsed="false">
      <c r="A60" s="1" t="s">
        <v>574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5" t="s">
        <v>470</v>
      </c>
      <c r="D61" s="15" t="s">
        <v>553</v>
      </c>
      <c r="E61" s="15" t="s">
        <v>554</v>
      </c>
      <c r="F61" s="15" t="s">
        <v>555</v>
      </c>
      <c r="G61" s="15" t="s">
        <v>556</v>
      </c>
      <c r="H61" s="15" t="s">
        <v>557</v>
      </c>
      <c r="I61" s="15" t="s">
        <v>558</v>
      </c>
      <c r="J61" s="15" t="s">
        <v>559</v>
      </c>
      <c r="K61" s="5" t="s">
        <v>523</v>
      </c>
    </row>
    <row r="62" customFormat="false" ht="17.15" hidden="false" customHeight="false" outlineLevel="0" collapsed="false">
      <c r="A62" s="6" t="s">
        <v>575</v>
      </c>
    </row>
    <row r="63" customFormat="false" ht="17.15" hidden="false" customHeight="false" outlineLevel="0" collapsed="false">
      <c r="A63" s="0" t="s">
        <v>576</v>
      </c>
      <c r="B63" s="4" t="s">
        <v>33</v>
      </c>
      <c r="D63" s="19" t="n">
        <f aca="false">(u_bw26)*1</f>
        <v>5.4</v>
      </c>
      <c r="E63" s="19" t="n">
        <f aca="false">(u_bw27)*1*1</f>
        <v>2.4</v>
      </c>
      <c r="F63" s="19" t="n">
        <f aca="false">(u_bw28)*um28_A*1</f>
        <v>0.5</v>
      </c>
      <c r="G63" s="19" t="n">
        <f aca="false">(u_bw29)*um29_A*1</f>
        <v>0.25</v>
      </c>
    </row>
    <row r="64" customFormat="false" ht="17.15" hidden="false" customHeight="false" outlineLevel="0" collapsed="false">
      <c r="A64" s="0" t="s">
        <v>577</v>
      </c>
      <c r="B64" s="4" t="s">
        <v>33</v>
      </c>
      <c r="D64" s="19" t="n">
        <f aca="false">(u_hp26)*1</f>
        <v>0.5</v>
      </c>
      <c r="E64" s="19" t="n">
        <f aca="false">(u_hp27)*1*1</f>
        <v>0</v>
      </c>
      <c r="F64" s="19" t="n">
        <f aca="false">(u_hp28)*um28_A*1</f>
        <v>0</v>
      </c>
      <c r="G64" s="19" t="n">
        <f aca="false">(u_hp29)*um29_A*1</f>
        <v>0</v>
      </c>
    </row>
    <row r="65" customFormat="false" ht="17.15" hidden="false" customHeight="false" outlineLevel="0" collapsed="false">
      <c r="A65" s="0" t="s">
        <v>578</v>
      </c>
      <c r="B65" s="4" t="s">
        <v>33</v>
      </c>
      <c r="D65" s="19" t="n">
        <f aca="false">(u_rb26)*1</f>
        <v>1.7</v>
      </c>
      <c r="E65" s="19" t="n">
        <f aca="false">(u_rb27)*1*1</f>
        <v>7</v>
      </c>
      <c r="F65" s="19" t="n">
        <f aca="false">(u_rb28)*um28_A*1</f>
        <v>7</v>
      </c>
      <c r="G65" s="19" t="n">
        <f aca="false">(u_rb29)*um29_A*1</f>
        <v>8.05</v>
      </c>
    </row>
    <row r="66" customFormat="false" ht="17.15" hidden="false" customHeight="false" outlineLevel="0" collapsed="false">
      <c r="A66" s="0" t="s">
        <v>579</v>
      </c>
      <c r="B66" s="4" t="s">
        <v>33</v>
      </c>
      <c r="D66" s="19" t="n">
        <f aca="false">(u_ru26)*1</f>
        <v>0</v>
      </c>
      <c r="E66" s="19" t="n">
        <f aca="false">(u_ru27)*1*1</f>
        <v>0.3</v>
      </c>
      <c r="F66" s="19" t="n">
        <f aca="false">(u_ru28)*um28_A*1</f>
        <v>2</v>
      </c>
      <c r="G66" s="19" t="n">
        <f aca="false">(u_ru29)*um29_A*1</f>
        <v>2.3</v>
      </c>
    </row>
    <row r="67" customFormat="false" ht="17.15" hidden="false" customHeight="false" outlineLevel="0" collapsed="false">
      <c r="A67" s="0" t="s">
        <v>580</v>
      </c>
      <c r="B67" s="4" t="s">
        <v>33</v>
      </c>
      <c r="D67" s="19" t="n">
        <f aca="false">(u_amd26)*1</f>
        <v>0.75</v>
      </c>
      <c r="E67" s="19" t="n">
        <f aca="false">(u_amd27)*1*1</f>
        <v>1.5</v>
      </c>
      <c r="F67" s="19" t="n">
        <f aca="false">(u_amd28)*um28_A*1</f>
        <v>2</v>
      </c>
      <c r="G67" s="19" t="n">
        <f aca="false">(u_amd29)*um29_A*1</f>
        <v>2.3</v>
      </c>
    </row>
    <row r="68" customFormat="false" ht="17.15" hidden="false" customHeight="false" outlineLevel="0" collapsed="false">
      <c r="A68" s="0" t="s">
        <v>581</v>
      </c>
      <c r="B68" s="4" t="s">
        <v>33</v>
      </c>
      <c r="D68" s="19" t="n">
        <f aca="false">(u_tpu26+u_trn26+u_oth26)*1</f>
        <v>6.85</v>
      </c>
      <c r="E68" s="19" t="n">
        <f aca="false">(u_tpu27+u_trn27+u_oth27)*1*1</f>
        <v>12.5</v>
      </c>
      <c r="F68" s="19" t="n">
        <f aca="false">(u_tpu28+u_trn28+u_oth28)*um28_A*1</f>
        <v>15</v>
      </c>
      <c r="G68" s="19" t="n">
        <f aca="false">(u_tpu29+u_trn29+u_oth29)*um29_A*1</f>
        <v>17.25</v>
      </c>
    </row>
    <row r="69" customFormat="false" ht="17.15" hidden="false" customHeight="false" outlineLevel="0" collapsed="false">
      <c r="A69" s="0" t="s">
        <v>527</v>
      </c>
      <c r="B69" s="0" t="s">
        <v>136</v>
      </c>
      <c r="D69" s="22" t="n">
        <f aca="false">asp_vr_26</f>
        <v>100</v>
      </c>
      <c r="E69" s="22" t="n">
        <f aca="false">VRHI_27</f>
        <v>200</v>
      </c>
      <c r="F69" s="22" t="n">
        <f aca="false">VRHI_28</f>
        <v>220</v>
      </c>
      <c r="G69" s="22" t="n">
        <f aca="false">VRHI_29</f>
        <v>220</v>
      </c>
    </row>
    <row r="70" customFormat="false" ht="17.15" hidden="false" customHeight="false" outlineLevel="0" collapsed="false">
      <c r="A70" s="0" t="s">
        <v>582</v>
      </c>
      <c r="B70" s="0" t="s">
        <v>136</v>
      </c>
      <c r="D70" s="22" t="n">
        <f aca="false">asp_amd_26</f>
        <v>40</v>
      </c>
      <c r="E70" s="22" t="n">
        <f aca="false">AMHI_27</f>
        <v>80</v>
      </c>
      <c r="F70" s="22" t="n">
        <f aca="false">AMHI_28</f>
        <v>110</v>
      </c>
      <c r="G70" s="22" t="n">
        <f aca="false">AMHI_29</f>
        <v>110</v>
      </c>
    </row>
    <row r="71" customFormat="false" ht="17.15" hidden="false" customHeight="false" outlineLevel="0" collapsed="false">
      <c r="A71" s="0" t="s">
        <v>583</v>
      </c>
      <c r="B71" s="0" t="s">
        <v>136</v>
      </c>
      <c r="D71" s="22" t="n">
        <f aca="false">asp_asic_26</f>
        <v>30</v>
      </c>
      <c r="E71" s="22" t="n">
        <f aca="false">ASHI_27</f>
        <v>45</v>
      </c>
      <c r="F71" s="22" t="n">
        <f aca="false">ASHI_28</f>
        <v>55</v>
      </c>
      <c r="G71" s="22" t="n">
        <f aca="false">ASHI_29</f>
        <v>55</v>
      </c>
    </row>
    <row r="72" customFormat="false" ht="17.15" hidden="false" customHeight="false" outlineLevel="0" collapsed="false">
      <c r="A72" s="0" t="s">
        <v>584</v>
      </c>
      <c r="B72" s="0" t="s">
        <v>205</v>
      </c>
      <c r="D72" s="17" t="n">
        <f aca="false">(D63*asp_bw+D64*asp_hp+D65*D69+D66*asp_ru)/1000</f>
        <v>0.3665</v>
      </c>
      <c r="E72" s="17" t="n">
        <f aca="false">(E63*asp_bw+E64*asp_hp+E65*E69+E66*asp_ru)/1000</f>
        <v>1.544</v>
      </c>
      <c r="F72" s="17" t="n">
        <f aca="false">(F63*asp_bw+F64*asp_hp+F65*F69+F66*asp_ru)/1000</f>
        <v>1.9575</v>
      </c>
      <c r="G72" s="17" t="n">
        <f aca="false">(G63*asp_bw+G64*asp_hp+G65*G69+G66*asp_ru)/1000</f>
        <v>2.23975</v>
      </c>
      <c r="K72" s="4" t="s">
        <v>585</v>
      </c>
    </row>
    <row r="73" customFormat="false" ht="17.15" hidden="false" customHeight="false" outlineLevel="0" collapsed="false">
      <c r="A73" s="4" t="s">
        <v>586</v>
      </c>
      <c r="B73" s="0" t="s">
        <v>205</v>
      </c>
      <c r="D73" s="17" t="n">
        <f aca="false">(D67*D70+D68*D71)/1000</f>
        <v>0.2355</v>
      </c>
      <c r="E73" s="17" t="n">
        <f aca="false">(E67*E70+E68*E71)/1000</f>
        <v>0.6825</v>
      </c>
      <c r="F73" s="17" t="n">
        <f aca="false">(F67*F70+F68*F71)/1000</f>
        <v>1.045</v>
      </c>
      <c r="G73" s="17" t="n">
        <f aca="false">(G67*G70+G68*G71)/1000</f>
        <v>1.20175</v>
      </c>
    </row>
    <row r="74" customFormat="false" ht="17.15" hidden="false" customHeight="false" outlineLevel="0" collapsed="false">
      <c r="A74" s="0" t="s">
        <v>587</v>
      </c>
      <c r="B74" s="0" t="s">
        <v>205</v>
      </c>
      <c r="D74" s="17" t="n">
        <f aca="false">D72+D73</f>
        <v>0.602</v>
      </c>
      <c r="E74" s="17" t="n">
        <f aca="false">E72+E73</f>
        <v>2.2265</v>
      </c>
      <c r="F74" s="17" t="n">
        <f aca="false">F72+F73</f>
        <v>3.0025</v>
      </c>
      <c r="G74" s="17" t="n">
        <f aca="false">G72+G73</f>
        <v>3.4415</v>
      </c>
    </row>
    <row r="75" customFormat="false" ht="17.15" hidden="false" customHeight="false" outlineLevel="0" collapsed="false">
      <c r="A75" s="4" t="s">
        <v>588</v>
      </c>
      <c r="B75" s="0" t="s">
        <v>196</v>
      </c>
      <c r="D75" s="18" t="n">
        <f aca="false">a26_rev*ai_26/fx/(D72+k_non*D73)</f>
        <v>0.882225417842414</v>
      </c>
      <c r="K75" s="8" t="s">
        <v>589</v>
      </c>
    </row>
    <row r="76" customFormat="false" ht="17.15" hidden="false" customHeight="false" outlineLevel="0" collapsed="false">
      <c r="A76" s="4" t="s">
        <v>590</v>
      </c>
      <c r="B76" s="0" t="s">
        <v>109</v>
      </c>
      <c r="D76" s="19" t="n">
        <f aca="false">1</f>
        <v>1</v>
      </c>
      <c r="E76" s="19" t="n">
        <f aca="false">RHI_27</f>
        <v>1</v>
      </c>
      <c r="F76" s="19" t="n">
        <f aca="false">RHI_28</f>
        <v>1</v>
      </c>
      <c r="G76" s="19" t="n">
        <f aca="false">RHI_29</f>
        <v>0.98</v>
      </c>
    </row>
    <row r="77" customFormat="false" ht="17.15" hidden="false" customHeight="false" outlineLevel="0" collapsed="false">
      <c r="A77" s="4" t="s">
        <v>591</v>
      </c>
      <c r="B77" s="0" t="s">
        <v>196</v>
      </c>
      <c r="D77" s="18" t="n">
        <f aca="false">$D$75*D76</f>
        <v>0.882225417842414</v>
      </c>
      <c r="E77" s="18" t="n">
        <f aca="false">$D$75*E76</f>
        <v>0.882225417842414</v>
      </c>
      <c r="F77" s="18" t="n">
        <f aca="false">$D$75*F76</f>
        <v>0.882225417842414</v>
      </c>
      <c r="G77" s="18" t="n">
        <f aca="false">$D$75*G76</f>
        <v>0.864580909485566</v>
      </c>
    </row>
    <row r="78" customFormat="false" ht="17.15" hidden="false" customHeight="false" outlineLevel="0" collapsed="false">
      <c r="A78" s="4" t="s">
        <v>592</v>
      </c>
      <c r="B78" s="0" t="s">
        <v>196</v>
      </c>
      <c r="D78" s="18" t="n">
        <f aca="false">D77*k_non</f>
        <v>0.352890167136966</v>
      </c>
      <c r="E78" s="18" t="n">
        <f aca="false">E77*k_non</f>
        <v>0.352890167136966</v>
      </c>
      <c r="F78" s="18" t="n">
        <f aca="false">F77*k_non</f>
        <v>0.352890167136966</v>
      </c>
      <c r="G78" s="18" t="n">
        <f aca="false">G77*k_non</f>
        <v>0.345832363794226</v>
      </c>
    </row>
    <row r="79" customFormat="false" ht="17.15" hidden="false" customHeight="false" outlineLevel="0" collapsed="false">
      <c r="A79" s="0" t="s">
        <v>593</v>
      </c>
      <c r="B79" s="0" t="s">
        <v>301</v>
      </c>
      <c r="C79" s="24" t="n">
        <f aca="false">a25_ail</f>
        <v>6.0828</v>
      </c>
      <c r="D79" s="24" t="n">
        <f aca="false">(D72*D77+D73*D78)*fx</f>
        <v>13.00612</v>
      </c>
      <c r="E79" s="24" t="n">
        <f aca="false">(E72*E77+E73*E78)*fx</f>
        <v>51.2961146950293</v>
      </c>
      <c r="F79" s="24" t="n">
        <f aca="false">(F72*F77+F73*F78)*fx</f>
        <v>67.0632473627089</v>
      </c>
      <c r="G79" s="24" t="n">
        <f aca="false">(G72*G77+G73*G78)*fx</f>
        <v>75.2655723267202</v>
      </c>
    </row>
    <row r="80" customFormat="false" ht="17.15" hidden="false" customHeight="false" outlineLevel="0" collapsed="false">
      <c r="A80" s="6" t="s">
        <v>594</v>
      </c>
    </row>
    <row r="81" customFormat="false" ht="17.15" hidden="false" customHeight="false" outlineLevel="0" collapsed="false">
      <c r="A81" s="0" t="s">
        <v>595</v>
      </c>
      <c r="B81" s="0" t="s">
        <v>205</v>
      </c>
      <c r="D81" s="24" t="n">
        <f aca="false">lmkA_26</f>
        <v>4.51368758595869</v>
      </c>
      <c r="E81" s="24" t="n">
        <f aca="false">lmkA_27*1</f>
        <v>11.5612471431652</v>
      </c>
      <c r="F81" s="24" t="n">
        <f aca="false">lmkA_28*1</f>
        <v>17.6393273261943</v>
      </c>
      <c r="G81" s="24" t="n">
        <f aca="false">lmkA_29*1</f>
        <v>20.0939825685161</v>
      </c>
      <c r="K81" s="4" t="s">
        <v>596</v>
      </c>
    </row>
    <row r="82" customFormat="false" ht="15" hidden="false" customHeight="false" outlineLevel="0" collapsed="false">
      <c r="A82" s="4" t="s">
        <v>542</v>
      </c>
      <c r="B82" s="0" t="s">
        <v>196</v>
      </c>
      <c r="D82" s="18" t="n">
        <f aca="false">0</f>
        <v>0</v>
      </c>
      <c r="E82" s="18" t="n">
        <f aca="false">LCHI_27</f>
        <v>0.015</v>
      </c>
      <c r="F82" s="18" t="n">
        <f aca="false">LCHI_28</f>
        <v>0.03</v>
      </c>
      <c r="G82" s="18" t="n">
        <f aca="false">LCHI_29</f>
        <v>0.045</v>
      </c>
    </row>
    <row r="83" customFormat="false" ht="17.15" hidden="false" customHeight="false" outlineLevel="0" collapsed="false">
      <c r="A83" s="4" t="s">
        <v>597</v>
      </c>
      <c r="B83" s="0" t="s">
        <v>301</v>
      </c>
      <c r="C83" s="24" t="n">
        <f aca="false">0</f>
        <v>0</v>
      </c>
      <c r="D83" s="24" t="n">
        <f aca="false">D81*D82*fx</f>
        <v>0</v>
      </c>
      <c r="E83" s="24" t="n">
        <f aca="false">E81*E82*fx</f>
        <v>5.5493986287193</v>
      </c>
      <c r="F83" s="24" t="n">
        <f aca="false">F81*F82*fx</f>
        <v>16.9337542331465</v>
      </c>
      <c r="G83" s="24" t="n">
        <f aca="false">G81*G82*fx</f>
        <v>28.9353348986632</v>
      </c>
    </row>
    <row r="84" customFormat="false" ht="17.15" hidden="false" customHeight="false" outlineLevel="0" collapsed="false">
      <c r="A84" s="6" t="s">
        <v>598</v>
      </c>
    </row>
    <row r="85" customFormat="false" ht="17.15" hidden="false" customHeight="false" outlineLevel="0" collapsed="false">
      <c r="A85" s="4" t="s">
        <v>599</v>
      </c>
      <c r="B85" s="0" t="s">
        <v>301</v>
      </c>
      <c r="C85" s="24" t="n">
        <f aca="false">a25_oth</f>
        <v>8.637576</v>
      </c>
      <c r="D85" s="24" t="n">
        <f aca="false">a26_rev*(th_26-ai_26)</f>
        <v>11.380355</v>
      </c>
      <c r="E85" s="24" t="n">
        <f aca="false">D85*(1+g_oth_27)</f>
        <v>12.7459976</v>
      </c>
      <c r="F85" s="24" t="n">
        <f aca="false">E85*(1+g_oth_28)</f>
        <v>14.02059736</v>
      </c>
      <c r="G85" s="24" t="n">
        <f aca="false">F85*(1+g_oth_29)</f>
        <v>15.1422451488</v>
      </c>
    </row>
    <row r="86" customFormat="false" ht="15" hidden="false" customHeight="false" outlineLevel="0" collapsed="false">
      <c r="A86" s="4" t="s">
        <v>600</v>
      </c>
      <c r="B86" s="0" t="s">
        <v>301</v>
      </c>
      <c r="C86" s="24" t="n">
        <f aca="false">a25_lf</f>
        <v>5.555624</v>
      </c>
      <c r="D86" s="24" t="n">
        <f aca="false">a26_lf</f>
        <v>8.128825</v>
      </c>
      <c r="E86" s="24" t="n">
        <f aca="false">D86*(1+g_lf_27)</f>
        <v>8.37268975</v>
      </c>
      <c r="F86" s="24" t="n">
        <f aca="false">E86*(1+g_lf_28)</f>
        <v>8.6238704425</v>
      </c>
      <c r="G86" s="24" t="n">
        <f aca="false">F86*(1+g_lf_29)</f>
        <v>8.882586555775</v>
      </c>
    </row>
    <row r="87" customFormat="false" ht="17.15" hidden="false" customHeight="false" outlineLevel="0" collapsed="false">
      <c r="A87" s="4" t="s">
        <v>475</v>
      </c>
      <c r="B87" s="0" t="s">
        <v>301</v>
      </c>
      <c r="C87" s="24" t="n">
        <f aca="false">C79+C83+C85+C86</f>
        <v>20.276</v>
      </c>
      <c r="D87" s="24" t="n">
        <f aca="false">D79+D83+D85+D86</f>
        <v>32.5153</v>
      </c>
      <c r="E87" s="24" t="n">
        <f aca="false">E79+E83+E85+E86</f>
        <v>77.9642006737486</v>
      </c>
      <c r="F87" s="24" t="n">
        <f aca="false">F79+F83+F85+F86</f>
        <v>106.641469398355</v>
      </c>
      <c r="G87" s="24" t="n">
        <f aca="false">G79+G83+G85+G86</f>
        <v>128.225738929958</v>
      </c>
      <c r="H87" s="25" t="n">
        <f aca="false">G87*(1+H88)</f>
        <v>148.092209039616</v>
      </c>
      <c r="I87" s="25" t="n">
        <f aca="false">H87*(1+I88)</f>
        <v>164.007201826753</v>
      </c>
      <c r="J87" s="25" t="n">
        <f aca="false">I87*(1+J88)</f>
        <v>173.847633936358</v>
      </c>
      <c r="K87" s="8" t="s">
        <v>601</v>
      </c>
    </row>
    <row r="88" customFormat="false" ht="15" hidden="false" customHeight="false" outlineLevel="0" collapsed="false">
      <c r="A88" s="4" t="s">
        <v>602</v>
      </c>
      <c r="B88" s="0" t="s">
        <v>196</v>
      </c>
      <c r="D88" s="18" t="n">
        <f aca="false">D87/C87-1</f>
        <v>0.603634839218781</v>
      </c>
      <c r="E88" s="18" t="n">
        <f aca="false">E87/D87-1</f>
        <v>1.39776968607851</v>
      </c>
      <c r="F88" s="18" t="n">
        <f aca="false">F87/E87-1</f>
        <v>0.367826110917376</v>
      </c>
      <c r="G88" s="18" t="n">
        <f aca="false">G87/F87-1</f>
        <v>0.20240033875542</v>
      </c>
      <c r="H88" s="26" t="n">
        <f aca="false">$G88+(fade_gA-$G88)*1/3</f>
        <v>0.15493355917028</v>
      </c>
      <c r="I88" s="26" t="n">
        <f aca="false">$G88+(fade_gA-$G88)*2/3</f>
        <v>0.10746677958514</v>
      </c>
      <c r="J88" s="26" t="n">
        <f aca="false">$G88+(fade_gA-$G88)*3/3</f>
        <v>0.06</v>
      </c>
    </row>
    <row r="89" customFormat="false" ht="17.15" hidden="false" customHeight="false" outlineLevel="0" collapsed="false">
      <c r="A89" s="0" t="s">
        <v>603</v>
      </c>
      <c r="B89" s="0" t="s">
        <v>196</v>
      </c>
      <c r="C89" s="18" t="n">
        <f aca="false">C79/C87</f>
        <v>0.3</v>
      </c>
      <c r="D89" s="18" t="n">
        <f aca="false">D79/D87</f>
        <v>0.4</v>
      </c>
      <c r="E89" s="18" t="n">
        <f aca="false">E79/E87</f>
        <v>0.657944470048306</v>
      </c>
      <c r="F89" s="18" t="n">
        <f aca="false">F79/F87</f>
        <v>0.628866497630453</v>
      </c>
      <c r="G89" s="18" t="n">
        <f aca="false">G79/G87</f>
        <v>0.586977099565268</v>
      </c>
    </row>
    <row r="90" customFormat="false" ht="17.15" hidden="false" customHeight="false" outlineLevel="0" collapsed="false">
      <c r="A90" s="4" t="s">
        <v>604</v>
      </c>
      <c r="B90" s="0" t="s">
        <v>136</v>
      </c>
      <c r="D90" s="24" t="n">
        <f aca="false">D79/fx*1000/(D63+D64+D65+D66+D67+D68)</f>
        <v>26.7395559210526</v>
      </c>
      <c r="E90" s="24" t="n">
        <f aca="false">E79/fx*1000/(E63+E64+E65+E66+E67+E68)</f>
        <v>67.6372820345851</v>
      </c>
      <c r="F90" s="24" t="n">
        <f aca="false">F79/fx*1000/(F63+F64+F65+F66+F67+F68)</f>
        <v>79.0840181164021</v>
      </c>
      <c r="G90" s="24" t="n">
        <f aca="false">G79/fx*1000/(G63+G64+G65+G66+G67+G68)</f>
        <v>78.0115799406304</v>
      </c>
    </row>
    <row r="91" customFormat="false" ht="17.15" hidden="false" customHeight="false" outlineLevel="0" collapsed="false">
      <c r="A91" s="6" t="s">
        <v>605</v>
      </c>
    </row>
    <row r="92" customFormat="false" ht="17.15" hidden="false" customHeight="false" outlineLevel="0" collapsed="false">
      <c r="A92" s="4" t="s">
        <v>606</v>
      </c>
      <c r="B92" s="0" t="s">
        <v>196</v>
      </c>
      <c r="D92" s="18" t="n">
        <f aca="false">a26_gp/D87-d_ai*D89</f>
        <v>0.425324773260588</v>
      </c>
      <c r="K92" s="8" t="s">
        <v>607</v>
      </c>
    </row>
    <row r="93" customFormat="false" ht="15" hidden="false" customHeight="false" outlineLevel="0" collapsed="false">
      <c r="A93" s="4" t="s">
        <v>479</v>
      </c>
      <c r="B93" s="0" t="s">
        <v>301</v>
      </c>
      <c r="C93" s="24" t="n">
        <f aca="false">a25_gp</f>
        <v>8.434</v>
      </c>
      <c r="D93" s="24" t="n">
        <f aca="false">a26_gp</f>
        <v>15.390297</v>
      </c>
      <c r="E93" s="24" t="n">
        <f aca="false">$D$92*E87+d_ai*E79</f>
        <v>39.3156397374086</v>
      </c>
      <c r="F93" s="24" t="n">
        <f aca="false">$D$92*F87+d_ai*F79</f>
        <v>53.4048484755566</v>
      </c>
      <c r="G93" s="24" t="n">
        <f aca="false">$D$92*G87+d_ai*G79</f>
        <v>63.5694520157623</v>
      </c>
    </row>
    <row r="94" customFormat="false" ht="15" hidden="false" customHeight="false" outlineLevel="0" collapsed="false">
      <c r="A94" s="4" t="s">
        <v>482</v>
      </c>
      <c r="B94" s="0" t="s">
        <v>196</v>
      </c>
      <c r="C94" s="18" t="n">
        <f aca="false">C93/C87</f>
        <v>0.415959755375814</v>
      </c>
      <c r="D94" s="18" t="n">
        <f aca="false">D93/D87</f>
        <v>0.473324773260588</v>
      </c>
      <c r="E94" s="18" t="n">
        <f aca="false">E93/E87</f>
        <v>0.504278109666385</v>
      </c>
      <c r="F94" s="18" t="n">
        <f aca="false">F93/F87</f>
        <v>0.500788752976242</v>
      </c>
      <c r="G94" s="18" t="n">
        <f aca="false">G93/G87</f>
        <v>0.49576202520842</v>
      </c>
    </row>
    <row r="95" customFormat="false" ht="15" hidden="false" customHeight="false" outlineLevel="0" collapsed="false">
      <c r="A95" s="4" t="s">
        <v>608</v>
      </c>
      <c r="B95" s="0" t="s">
        <v>301</v>
      </c>
      <c r="C95" s="24" t="n">
        <f aca="false">a25_opx</f>
        <v>1.936</v>
      </c>
      <c r="D95" s="24" t="n">
        <f aca="false">a26_opx</f>
        <v>2.8705005</v>
      </c>
      <c r="E95" s="24" t="n">
        <f aca="false">D95*(1+MAX(0,phi*E88))</f>
        <v>5.27787964966393</v>
      </c>
      <c r="F95" s="24" t="n">
        <f aca="false">E95*(1+MAX(0,phi*F88))</f>
        <v>6.44268481691943</v>
      </c>
      <c r="G95" s="24" t="n">
        <f aca="false">F95*(1+MAX(0,phi*G88))</f>
        <v>7.22508577058277</v>
      </c>
    </row>
    <row r="96" customFormat="false" ht="15" hidden="false" customHeight="false" outlineLevel="0" collapsed="false">
      <c r="A96" s="4" t="s">
        <v>484</v>
      </c>
      <c r="B96" s="0" t="s">
        <v>301</v>
      </c>
      <c r="C96" s="24" t="n">
        <f aca="false">C95</f>
        <v>1.936</v>
      </c>
      <c r="D96" s="24" t="n">
        <f aca="false">D95</f>
        <v>2.8705005</v>
      </c>
      <c r="E96" s="24" t="n">
        <f aca="false">E95+0*E87</f>
        <v>5.27787964966393</v>
      </c>
      <c r="F96" s="24" t="n">
        <f aca="false">F95+0*F87</f>
        <v>6.44268481691943</v>
      </c>
      <c r="G96" s="24" t="n">
        <f aca="false">G95+0*G87</f>
        <v>7.22508577058277</v>
      </c>
    </row>
    <row r="97" customFormat="false" ht="15" hidden="false" customHeight="false" outlineLevel="0" collapsed="false">
      <c r="A97" s="4" t="s">
        <v>486</v>
      </c>
      <c r="B97" s="0" t="s">
        <v>301</v>
      </c>
      <c r="C97" s="24" t="n">
        <f aca="false">C93-C96</f>
        <v>6.498</v>
      </c>
      <c r="D97" s="24" t="n">
        <f aca="false">D93-D96</f>
        <v>12.5197965</v>
      </c>
      <c r="E97" s="24" t="n">
        <f aca="false">E93-E96</f>
        <v>34.0377600877447</v>
      </c>
      <c r="F97" s="24" t="n">
        <f aca="false">F93-F96</f>
        <v>46.9621636586371</v>
      </c>
      <c r="G97" s="24" t="n">
        <f aca="false">G93-G96</f>
        <v>56.3443662451796</v>
      </c>
    </row>
    <row r="98" customFormat="false" ht="15" hidden="false" customHeight="false" outlineLevel="0" collapsed="false">
      <c r="A98" s="4" t="s">
        <v>488</v>
      </c>
      <c r="B98" s="0" t="s">
        <v>196</v>
      </c>
      <c r="C98" s="18" t="n">
        <f aca="false">C97/C87</f>
        <v>0.320477411718288</v>
      </c>
      <c r="D98" s="18" t="n">
        <f aca="false">D97/D87</f>
        <v>0.385043241181844</v>
      </c>
      <c r="E98" s="18" t="n">
        <f aca="false">E97/E87</f>
        <v>0.43658191572027</v>
      </c>
      <c r="F98" s="18" t="n">
        <f aca="false">F97/F87</f>
        <v>0.440374311453002</v>
      </c>
      <c r="G98" s="18" t="n">
        <f aca="false">G97/G87</f>
        <v>0.439415414684855</v>
      </c>
    </row>
    <row r="99" customFormat="false" ht="15" hidden="false" customHeight="false" outlineLevel="0" collapsed="false">
      <c r="A99" s="4" t="s">
        <v>489</v>
      </c>
      <c r="B99" s="0" t="s">
        <v>301</v>
      </c>
      <c r="C99" s="29" t="n">
        <f aca="false">a25_nop</f>
        <v>0.108999999999999</v>
      </c>
      <c r="D99" s="29" t="n">
        <f aca="false">a26_nop</f>
        <v>0.330500000000001</v>
      </c>
      <c r="E99" s="29" t="n">
        <f aca="false">nop_f</f>
        <v>0.3</v>
      </c>
      <c r="F99" s="29" t="n">
        <f aca="false">nop_f</f>
        <v>0.3</v>
      </c>
      <c r="G99" s="29" t="n">
        <f aca="false">nop_f</f>
        <v>0.3</v>
      </c>
    </row>
    <row r="100" customFormat="false" ht="15" hidden="false" customHeight="false" outlineLevel="0" collapsed="false">
      <c r="A100" s="4" t="s">
        <v>494</v>
      </c>
      <c r="B100" s="0" t="s">
        <v>301</v>
      </c>
      <c r="C100" s="24" t="n">
        <f aca="false">a25_ni</f>
        <v>5.277</v>
      </c>
      <c r="D100" s="24" t="n">
        <f aca="false">a26_ni</f>
        <v>10.3442061825</v>
      </c>
      <c r="E100" s="24" t="n">
        <f aca="false">(E97+E99)*nir_f</f>
        <v>27.6418968706345</v>
      </c>
      <c r="F100" s="24" t="n">
        <f aca="false">(F97+F99)*nir_f</f>
        <v>38.0460417452029</v>
      </c>
      <c r="G100" s="24" t="n">
        <f aca="false">(G97+G99)*nir_f</f>
        <v>45.5987148273696</v>
      </c>
      <c r="H100" s="25" t="n">
        <f aca="false">H87*H104</f>
        <v>52.6634860091645</v>
      </c>
      <c r="I100" s="25" t="n">
        <f aca="false">I87*I104</f>
        <v>58.3230612522965</v>
      </c>
      <c r="J100" s="25" t="n">
        <f aca="false">J87*J104</f>
        <v>61.8224449274343</v>
      </c>
    </row>
    <row r="101" customFormat="false" ht="15" hidden="false" customHeight="false" outlineLevel="0" collapsed="false">
      <c r="A101" s="4" t="s">
        <v>609</v>
      </c>
      <c r="B101" s="4" t="s">
        <v>327</v>
      </c>
      <c r="C101" s="28" t="n">
        <f aca="false">a25_sh</f>
        <v>0.143591836734694</v>
      </c>
      <c r="D101" s="28" t="n">
        <f aca="false">a26_sh</f>
        <v>0.146703513620213</v>
      </c>
      <c r="E101" s="28" t="n">
        <f aca="false">D101*(1+sh_g)</f>
        <v>0.146703513620213</v>
      </c>
      <c r="F101" s="28" t="n">
        <f aca="false">E101*(1+sh_g)</f>
        <v>0.146703513620213</v>
      </c>
      <c r="G101" s="28" t="n">
        <f aca="false">F101*(1+sh_g)</f>
        <v>0.146703513620213</v>
      </c>
      <c r="H101" s="30" t="n">
        <f aca="false">G101*(1+sh_g)</f>
        <v>0.146703513620213</v>
      </c>
      <c r="I101" s="30" t="n">
        <f aca="false">H101*(1+sh_g)</f>
        <v>0.146703513620213</v>
      </c>
      <c r="J101" s="30" t="n">
        <f aca="false">I101*(1+sh_g)</f>
        <v>0.146703513620213</v>
      </c>
    </row>
    <row r="102" customFormat="false" ht="15" hidden="false" customHeight="false" outlineLevel="0" collapsed="false">
      <c r="A102" s="0" t="s">
        <v>500</v>
      </c>
      <c r="B102" s="0" t="s">
        <v>360</v>
      </c>
      <c r="C102" s="29" t="n">
        <f aca="false">C100/C101</f>
        <v>36.75</v>
      </c>
      <c r="D102" s="29" t="n">
        <f aca="false">D100/D101</f>
        <v>70.5109641019174</v>
      </c>
      <c r="E102" s="29" t="n">
        <f aca="false">E100/E101</f>
        <v>188.420142016462</v>
      </c>
      <c r="F102" s="29" t="n">
        <f aca="false">F100/F101</f>
        <v>259.339676374055</v>
      </c>
      <c r="G102" s="29" t="n">
        <f aca="false">G100/G101</f>
        <v>310.822240736618</v>
      </c>
      <c r="H102" s="31" t="n">
        <f aca="false">H100/H101</f>
        <v>358.979036763223</v>
      </c>
      <c r="I102" s="31" t="n">
        <f aca="false">I100/I101</f>
        <v>397.557357782743</v>
      </c>
      <c r="J102" s="31" t="n">
        <f aca="false">J100/J101</f>
        <v>421.410799249707</v>
      </c>
    </row>
    <row r="103" customFormat="false" ht="17.15" hidden="false" customHeight="false" outlineLevel="0" collapsed="false">
      <c r="A103" s="0" t="s">
        <v>610</v>
      </c>
      <c r="B103" s="0" t="s">
        <v>196</v>
      </c>
      <c r="D103" s="18" t="n">
        <f aca="false">D102/C102-1</f>
        <v>0.918665689848092</v>
      </c>
      <c r="E103" s="18" t="n">
        <f aca="false">E102/D102-1</f>
        <v>1.67221054791021</v>
      </c>
      <c r="F103" s="18" t="n">
        <f aca="false">F102/E102-1</f>
        <v>0.376390409213243</v>
      </c>
      <c r="G103" s="18" t="n">
        <f aca="false">G102/F102-1</f>
        <v>0.19851403025701</v>
      </c>
      <c r="H103" s="26" t="n">
        <f aca="false">H102/G102-1</f>
        <v>0.15493355917028</v>
      </c>
      <c r="I103" s="26" t="n">
        <f aca="false">I102/H102-1</f>
        <v>0.10746677958514</v>
      </c>
      <c r="J103" s="26" t="n">
        <f aca="false">J102/I102-1</f>
        <v>0.0600000000000003</v>
      </c>
    </row>
    <row r="104" customFormat="false" ht="17.15" hidden="false" customHeight="false" outlineLevel="0" collapsed="false">
      <c r="A104" s="4" t="s">
        <v>611</v>
      </c>
      <c r="B104" s="0" t="s">
        <v>196</v>
      </c>
      <c r="C104" s="18" t="n">
        <f aca="false">C100/C87</f>
        <v>0.260258433616098</v>
      </c>
      <c r="D104" s="18" t="n">
        <f aca="false">D100/D87</f>
        <v>0.318133499690915</v>
      </c>
      <c r="E104" s="18" t="n">
        <f aca="false">E100/E87</f>
        <v>0.354546017681957</v>
      </c>
      <c r="F104" s="18" t="n">
        <f aca="false">F100/F87</f>
        <v>0.356765918172819</v>
      </c>
      <c r="G104" s="18" t="n">
        <f aca="false">G100/G87</f>
        <v>0.35561280603949</v>
      </c>
      <c r="H104" s="26" t="n">
        <f aca="false">$G104+(fade_mA-$G104)*1/3</f>
        <v>0.35561280603949</v>
      </c>
      <c r="I104" s="26" t="n">
        <f aca="false">$G104+(fade_mA-$G104)*2/3</f>
        <v>0.35561280603949</v>
      </c>
      <c r="J104" s="26" t="n">
        <f aca="false">$G104+(fade_mA-$G104)*3/3</f>
        <v>0.35561280603949</v>
      </c>
    </row>
    <row r="107" customFormat="false" ht="17.15" hidden="false" customHeight="false" outlineLevel="0" collapsed="false">
      <c r="A107" s="1" t="s">
        <v>612</v>
      </c>
    </row>
    <row r="108" customFormat="false" ht="17.15" hidden="false" customHeight="false" outlineLevel="0" collapsed="false">
      <c r="A108" s="5" t="s">
        <v>22</v>
      </c>
      <c r="B108" s="5" t="s">
        <v>23</v>
      </c>
      <c r="C108" s="15" t="s">
        <v>470</v>
      </c>
      <c r="D108" s="15" t="s">
        <v>553</v>
      </c>
      <c r="E108" s="15" t="s">
        <v>554</v>
      </c>
      <c r="F108" s="15" t="s">
        <v>555</v>
      </c>
      <c r="G108" s="15" t="s">
        <v>556</v>
      </c>
      <c r="H108" s="15" t="s">
        <v>557</v>
      </c>
      <c r="I108" s="15" t="s">
        <v>558</v>
      </c>
      <c r="J108" s="15" t="s">
        <v>559</v>
      </c>
      <c r="K108" s="5" t="s">
        <v>523</v>
      </c>
    </row>
    <row r="109" customFormat="false" ht="17.15" hidden="false" customHeight="false" outlineLevel="0" collapsed="false">
      <c r="A109" s="6" t="s">
        <v>575</v>
      </c>
    </row>
    <row r="110" customFormat="false" ht="17.15" hidden="false" customHeight="false" outlineLevel="0" collapsed="false">
      <c r="A110" s="0" t="s">
        <v>576</v>
      </c>
      <c r="B110" s="4" t="s">
        <v>33</v>
      </c>
      <c r="D110" s="19" t="n">
        <f aca="false">(u_bw26)*1</f>
        <v>5.4</v>
      </c>
      <c r="E110" s="19" t="n">
        <f aca="false">(u_bw27)*1*1</f>
        <v>2.4</v>
      </c>
      <c r="F110" s="19" t="n">
        <f aca="false">(u_bw28)*um28_B*1</f>
        <v>0.4</v>
      </c>
      <c r="G110" s="19" t="n">
        <f aca="false">(u_bw29)*um29_B*1</f>
        <v>0.2125</v>
      </c>
    </row>
    <row r="111" customFormat="false" ht="17.15" hidden="false" customHeight="false" outlineLevel="0" collapsed="false">
      <c r="A111" s="0" t="s">
        <v>577</v>
      </c>
      <c r="B111" s="4" t="s">
        <v>33</v>
      </c>
      <c r="D111" s="19" t="n">
        <f aca="false">(u_hp26)*1</f>
        <v>0.5</v>
      </c>
      <c r="E111" s="19" t="n">
        <f aca="false">(u_hp27)*1*1</f>
        <v>0</v>
      </c>
      <c r="F111" s="19" t="n">
        <f aca="false">(u_hp28)*um28_B*1</f>
        <v>0</v>
      </c>
      <c r="G111" s="19" t="n">
        <f aca="false">(u_hp29)*um29_B*1</f>
        <v>0</v>
      </c>
    </row>
    <row r="112" customFormat="false" ht="17.15" hidden="false" customHeight="false" outlineLevel="0" collapsed="false">
      <c r="A112" s="0" t="s">
        <v>578</v>
      </c>
      <c r="B112" s="4" t="s">
        <v>33</v>
      </c>
      <c r="D112" s="19" t="n">
        <f aca="false">(u_rb26)*1</f>
        <v>1.7</v>
      </c>
      <c r="E112" s="19" t="n">
        <f aca="false">(u_rb27)*1*1</f>
        <v>7</v>
      </c>
      <c r="F112" s="19" t="n">
        <f aca="false">(u_rb28)*um28_B*1</f>
        <v>5.6</v>
      </c>
      <c r="G112" s="19" t="n">
        <f aca="false">(u_rb29)*um29_B*1</f>
        <v>6.8425</v>
      </c>
    </row>
    <row r="113" customFormat="false" ht="17.15" hidden="false" customHeight="false" outlineLevel="0" collapsed="false">
      <c r="A113" s="0" t="s">
        <v>579</v>
      </c>
      <c r="B113" s="4" t="s">
        <v>33</v>
      </c>
      <c r="D113" s="19" t="n">
        <f aca="false">(u_ru26)*1</f>
        <v>0</v>
      </c>
      <c r="E113" s="19" t="n">
        <f aca="false">(u_ru27)*1*1</f>
        <v>0.3</v>
      </c>
      <c r="F113" s="19" t="n">
        <f aca="false">(u_ru28)*um28_B*1</f>
        <v>1.6</v>
      </c>
      <c r="G113" s="19" t="n">
        <f aca="false">(u_ru29)*um29_B*1</f>
        <v>1.955</v>
      </c>
    </row>
    <row r="114" customFormat="false" ht="17.15" hidden="false" customHeight="false" outlineLevel="0" collapsed="false">
      <c r="A114" s="0" t="s">
        <v>580</v>
      </c>
      <c r="B114" s="4" t="s">
        <v>33</v>
      </c>
      <c r="D114" s="19" t="n">
        <f aca="false">(u_amd26)*1</f>
        <v>0.75</v>
      </c>
      <c r="E114" s="19" t="n">
        <f aca="false">(u_amd27)*1*1</f>
        <v>1.5</v>
      </c>
      <c r="F114" s="19" t="n">
        <f aca="false">(u_amd28)*um28_B*1</f>
        <v>1.6</v>
      </c>
      <c r="G114" s="19" t="n">
        <f aca="false">(u_amd29)*um29_B*1</f>
        <v>1.955</v>
      </c>
    </row>
    <row r="115" customFormat="false" ht="17.15" hidden="false" customHeight="false" outlineLevel="0" collapsed="false">
      <c r="A115" s="0" t="s">
        <v>581</v>
      </c>
      <c r="B115" s="4" t="s">
        <v>33</v>
      </c>
      <c r="D115" s="19" t="n">
        <f aca="false">(u_tpu26+u_trn26+u_oth26)*1</f>
        <v>6.85</v>
      </c>
      <c r="E115" s="19" t="n">
        <f aca="false">(u_tpu27+u_trn27+u_oth27)*1*1</f>
        <v>12.5</v>
      </c>
      <c r="F115" s="19" t="n">
        <f aca="false">(u_tpu28+u_trn28+u_oth28)*um28_B*1</f>
        <v>12</v>
      </c>
      <c r="G115" s="19" t="n">
        <f aca="false">(u_tpu29+u_trn29+u_oth29)*um29_B*1</f>
        <v>14.6625</v>
      </c>
    </row>
    <row r="116" customFormat="false" ht="17.15" hidden="false" customHeight="false" outlineLevel="0" collapsed="false">
      <c r="A116" s="0" t="s">
        <v>527</v>
      </c>
      <c r="B116" s="0" t="s">
        <v>136</v>
      </c>
      <c r="D116" s="22" t="n">
        <f aca="false">asp_vr_26</f>
        <v>100</v>
      </c>
      <c r="E116" s="22" t="n">
        <f aca="false">asp_vr_27</f>
        <v>150</v>
      </c>
      <c r="F116" s="22" t="n">
        <f aca="false">asp_vr_28</f>
        <v>180</v>
      </c>
      <c r="G116" s="22" t="n">
        <f aca="false">asp_vr_29</f>
        <v>180</v>
      </c>
    </row>
    <row r="117" customFormat="false" ht="17.15" hidden="false" customHeight="false" outlineLevel="0" collapsed="false">
      <c r="A117" s="0" t="s">
        <v>582</v>
      </c>
      <c r="B117" s="0" t="s">
        <v>136</v>
      </c>
      <c r="D117" s="22" t="n">
        <f aca="false">asp_amd_26</f>
        <v>40</v>
      </c>
      <c r="E117" s="22" t="n">
        <f aca="false">asp_amd_27</f>
        <v>60</v>
      </c>
      <c r="F117" s="22" t="n">
        <f aca="false">asp_amd_28</f>
        <v>80</v>
      </c>
      <c r="G117" s="22" t="n">
        <f aca="false">asp_amd_29</f>
        <v>80</v>
      </c>
    </row>
    <row r="118" customFormat="false" ht="17.15" hidden="false" customHeight="false" outlineLevel="0" collapsed="false">
      <c r="A118" s="0" t="s">
        <v>583</v>
      </c>
      <c r="B118" s="0" t="s">
        <v>136</v>
      </c>
      <c r="D118" s="22" t="n">
        <f aca="false">asp_asic_26</f>
        <v>30</v>
      </c>
      <c r="E118" s="22" t="n">
        <f aca="false">asp_asic_27</f>
        <v>35</v>
      </c>
      <c r="F118" s="22" t="n">
        <f aca="false">asp_asic_28</f>
        <v>40</v>
      </c>
      <c r="G118" s="22" t="n">
        <f aca="false">asp_asic_29</f>
        <v>40</v>
      </c>
    </row>
    <row r="119" customFormat="false" ht="17.15" hidden="false" customHeight="false" outlineLevel="0" collapsed="false">
      <c r="A119" s="0" t="s">
        <v>584</v>
      </c>
      <c r="B119" s="0" t="s">
        <v>205</v>
      </c>
      <c r="D119" s="17" t="n">
        <f aca="false">(D110*asp_bw+D111*asp_hp+D112*D116+D113*asp_ru)/1000</f>
        <v>0.3665</v>
      </c>
      <c r="E119" s="17" t="n">
        <f aca="false">(E110*asp_bw+E111*asp_hp+E112*E116+E113*asp_ru)/1000</f>
        <v>1.194</v>
      </c>
      <c r="F119" s="17" t="n">
        <f aca="false">(F110*asp_bw+F111*asp_hp+F112*F116+F113*asp_ru)/1000</f>
        <v>1.342</v>
      </c>
      <c r="G119" s="17" t="n">
        <f aca="false">(G110*asp_bw+G111*asp_hp+G112*G116+G113*asp_ru)/1000</f>
        <v>1.6300875</v>
      </c>
      <c r="K119" s="4" t="s">
        <v>585</v>
      </c>
    </row>
    <row r="120" customFormat="false" ht="17.15" hidden="false" customHeight="false" outlineLevel="0" collapsed="false">
      <c r="A120" s="4" t="s">
        <v>586</v>
      </c>
      <c r="B120" s="0" t="s">
        <v>205</v>
      </c>
      <c r="D120" s="17" t="n">
        <f aca="false">(D114*D117+D115*D118)/1000</f>
        <v>0.2355</v>
      </c>
      <c r="E120" s="17" t="n">
        <f aca="false">(E114*E117+E115*E118)/1000</f>
        <v>0.5275</v>
      </c>
      <c r="F120" s="17" t="n">
        <f aca="false">(F114*F117+F115*F118)/1000</f>
        <v>0.608</v>
      </c>
      <c r="G120" s="17" t="n">
        <f aca="false">(G114*G117+G115*G118)/1000</f>
        <v>0.7429</v>
      </c>
    </row>
    <row r="121" customFormat="false" ht="17.15" hidden="false" customHeight="false" outlineLevel="0" collapsed="false">
      <c r="A121" s="0" t="s">
        <v>587</v>
      </c>
      <c r="B121" s="0" t="s">
        <v>205</v>
      </c>
      <c r="D121" s="17" t="n">
        <f aca="false">D119+D120</f>
        <v>0.602</v>
      </c>
      <c r="E121" s="17" t="n">
        <f aca="false">E119+E120</f>
        <v>1.7215</v>
      </c>
      <c r="F121" s="17" t="n">
        <f aca="false">F119+F120</f>
        <v>1.95</v>
      </c>
      <c r="G121" s="17" t="n">
        <f aca="false">G119+G120</f>
        <v>2.3729875</v>
      </c>
    </row>
    <row r="122" customFormat="false" ht="17.15" hidden="false" customHeight="false" outlineLevel="0" collapsed="false">
      <c r="A122" s="4" t="s">
        <v>588</v>
      </c>
      <c r="B122" s="0" t="s">
        <v>196</v>
      </c>
      <c r="D122" s="18" t="n">
        <f aca="false">a26_rev*ai_26/fx/(D119+k_non*D120)</f>
        <v>0.882225417842414</v>
      </c>
      <c r="K122" s="8" t="s">
        <v>589</v>
      </c>
    </row>
    <row r="123" customFormat="false" ht="17.15" hidden="false" customHeight="false" outlineLevel="0" collapsed="false">
      <c r="A123" s="4" t="s">
        <v>590</v>
      </c>
      <c r="B123" s="0" t="s">
        <v>109</v>
      </c>
      <c r="D123" s="19" t="n">
        <f aca="false">1</f>
        <v>1</v>
      </c>
      <c r="E123" s="19" t="n">
        <f aca="false">rel_27</f>
        <v>0.97</v>
      </c>
      <c r="F123" s="19" t="n">
        <f aca="false">rel_28</f>
        <v>0.93</v>
      </c>
      <c r="G123" s="19" t="n">
        <f aca="false">rel_29</f>
        <v>0.9</v>
      </c>
    </row>
    <row r="124" customFormat="false" ht="17.15" hidden="false" customHeight="false" outlineLevel="0" collapsed="false">
      <c r="A124" s="4" t="s">
        <v>591</v>
      </c>
      <c r="B124" s="0" t="s">
        <v>196</v>
      </c>
      <c r="D124" s="18" t="n">
        <f aca="false">$D$122*D123</f>
        <v>0.882225417842414</v>
      </c>
      <c r="E124" s="18" t="n">
        <f aca="false">$D$122*E123</f>
        <v>0.855758655307142</v>
      </c>
      <c r="F124" s="18" t="n">
        <f aca="false">$D$122*F123</f>
        <v>0.820469638593445</v>
      </c>
      <c r="G124" s="18" t="n">
        <f aca="false">$D$122*G123</f>
        <v>0.794002876058173</v>
      </c>
    </row>
    <row r="125" customFormat="false" ht="17.15" hidden="false" customHeight="false" outlineLevel="0" collapsed="false">
      <c r="A125" s="4" t="s">
        <v>592</v>
      </c>
      <c r="B125" s="0" t="s">
        <v>196</v>
      </c>
      <c r="D125" s="18" t="n">
        <f aca="false">D124*k_non</f>
        <v>0.352890167136966</v>
      </c>
      <c r="E125" s="18" t="n">
        <f aca="false">E124*k_non</f>
        <v>0.342303462122857</v>
      </c>
      <c r="F125" s="18" t="n">
        <f aca="false">F124*k_non</f>
        <v>0.328187855437378</v>
      </c>
      <c r="G125" s="18" t="n">
        <f aca="false">G124*k_non</f>
        <v>0.317601150423269</v>
      </c>
    </row>
    <row r="126" customFormat="false" ht="17.15" hidden="false" customHeight="false" outlineLevel="0" collapsed="false">
      <c r="A126" s="0" t="s">
        <v>593</v>
      </c>
      <c r="B126" s="0" t="s">
        <v>301</v>
      </c>
      <c r="C126" s="24" t="n">
        <f aca="false">a25_ail</f>
        <v>6.0828</v>
      </c>
      <c r="D126" s="24" t="n">
        <f aca="false">(D119*D124+D120*D125)*fx</f>
        <v>13.00612</v>
      </c>
      <c r="E126" s="24" t="n">
        <f aca="false">(E119*E124+E120*E125)*fx</f>
        <v>38.4749091426091</v>
      </c>
      <c r="F126" s="24" t="n">
        <f aca="false">(F119*F124+F120*F125)*fx</f>
        <v>41.6194710751465</v>
      </c>
      <c r="G126" s="24" t="n">
        <f aca="false">(G119*G124+G120*G125)*fx</f>
        <v>48.9676818520295</v>
      </c>
    </row>
    <row r="127" customFormat="false" ht="17.15" hidden="false" customHeight="false" outlineLevel="0" collapsed="false">
      <c r="A127" s="6" t="s">
        <v>594</v>
      </c>
    </row>
    <row r="128" customFormat="false" ht="17.15" hidden="false" customHeight="false" outlineLevel="0" collapsed="false">
      <c r="A128" s="0" t="s">
        <v>595</v>
      </c>
      <c r="B128" s="0" t="s">
        <v>205</v>
      </c>
      <c r="D128" s="24" t="n">
        <f aca="false">lmkB_26</f>
        <v>4.51368758595869</v>
      </c>
      <c r="E128" s="24" t="n">
        <f aca="false">lmkB_27*1</f>
        <v>10.2011004204398</v>
      </c>
      <c r="F128" s="24" t="n">
        <f aca="false">lmkB_28*1</f>
        <v>12.6260448229601</v>
      </c>
      <c r="G128" s="24" t="n">
        <f aca="false">lmkB_29*1</f>
        <v>16.1809438578051</v>
      </c>
      <c r="K128" s="4" t="s">
        <v>596</v>
      </c>
    </row>
    <row r="129" customFormat="false" ht="15" hidden="false" customHeight="false" outlineLevel="0" collapsed="false">
      <c r="A129" s="4" t="s">
        <v>542</v>
      </c>
      <c r="B129" s="0" t="s">
        <v>196</v>
      </c>
      <c r="D129" s="18" t="n">
        <f aca="false">0</f>
        <v>0</v>
      </c>
      <c r="E129" s="18" t="n">
        <f aca="false">lcs_27</f>
        <v>0.008</v>
      </c>
      <c r="F129" s="18" t="n">
        <f aca="false">lcs_28</f>
        <v>0.015</v>
      </c>
      <c r="G129" s="18" t="n">
        <f aca="false">lcs_29</f>
        <v>0.025</v>
      </c>
    </row>
    <row r="130" customFormat="false" ht="17.15" hidden="false" customHeight="false" outlineLevel="0" collapsed="false">
      <c r="A130" s="4" t="s">
        <v>597</v>
      </c>
      <c r="B130" s="0" t="s">
        <v>301</v>
      </c>
      <c r="C130" s="24" t="n">
        <f aca="false">0</f>
        <v>0</v>
      </c>
      <c r="D130" s="24" t="n">
        <f aca="false">D128*D129*fx</f>
        <v>0</v>
      </c>
      <c r="E130" s="24" t="n">
        <f aca="false">E128*E129*fx</f>
        <v>2.61148170763259</v>
      </c>
      <c r="F130" s="24" t="n">
        <f aca="false">F128*F129*fx</f>
        <v>6.06050151502085</v>
      </c>
      <c r="G130" s="24" t="n">
        <f aca="false">G128*G129*fx</f>
        <v>12.9447550862441</v>
      </c>
    </row>
    <row r="131" customFormat="false" ht="17.15" hidden="false" customHeight="false" outlineLevel="0" collapsed="false">
      <c r="A131" s="6" t="s">
        <v>598</v>
      </c>
    </row>
    <row r="132" customFormat="false" ht="17.15" hidden="false" customHeight="false" outlineLevel="0" collapsed="false">
      <c r="A132" s="4" t="s">
        <v>599</v>
      </c>
      <c r="B132" s="0" t="s">
        <v>301</v>
      </c>
      <c r="C132" s="24" t="n">
        <f aca="false">a25_oth</f>
        <v>8.637576</v>
      </c>
      <c r="D132" s="24" t="n">
        <f aca="false">a26_rev*(th_26-ai_26)</f>
        <v>11.380355</v>
      </c>
      <c r="E132" s="24" t="n">
        <f aca="false">D132*(1+g_oth_27)</f>
        <v>12.7459976</v>
      </c>
      <c r="F132" s="24" t="n">
        <f aca="false">E132*(1+g_oth_28)</f>
        <v>14.02059736</v>
      </c>
      <c r="G132" s="24" t="n">
        <f aca="false">F132*(1+g_oth_29)</f>
        <v>15.1422451488</v>
      </c>
    </row>
    <row r="133" customFormat="false" ht="15" hidden="false" customHeight="false" outlineLevel="0" collapsed="false">
      <c r="A133" s="4" t="s">
        <v>600</v>
      </c>
      <c r="B133" s="0" t="s">
        <v>301</v>
      </c>
      <c r="C133" s="24" t="n">
        <f aca="false">a25_lf</f>
        <v>5.555624</v>
      </c>
      <c r="D133" s="24" t="n">
        <f aca="false">a26_lf</f>
        <v>8.128825</v>
      </c>
      <c r="E133" s="24" t="n">
        <f aca="false">D133*(1+g_lf_27)</f>
        <v>8.37268975</v>
      </c>
      <c r="F133" s="24" t="n">
        <f aca="false">E133*(1+g_lf_28)</f>
        <v>8.6238704425</v>
      </c>
      <c r="G133" s="24" t="n">
        <f aca="false">F133*(1+g_lf_29)</f>
        <v>8.882586555775</v>
      </c>
    </row>
    <row r="134" customFormat="false" ht="17.15" hidden="false" customHeight="false" outlineLevel="0" collapsed="false">
      <c r="A134" s="4" t="s">
        <v>475</v>
      </c>
      <c r="B134" s="0" t="s">
        <v>301</v>
      </c>
      <c r="C134" s="24" t="n">
        <f aca="false">C126+C130+C132+C133</f>
        <v>20.276</v>
      </c>
      <c r="D134" s="24" t="n">
        <f aca="false">D126+D130+D132+D133</f>
        <v>32.5153</v>
      </c>
      <c r="E134" s="24" t="n">
        <f aca="false">E126+E130+E132+E133</f>
        <v>62.2050782002417</v>
      </c>
      <c r="F134" s="24" t="n">
        <f aca="false">F126+F130+F132+F133</f>
        <v>70.3244403926674</v>
      </c>
      <c r="G134" s="24" t="n">
        <f aca="false">G126+G130+G132+G133</f>
        <v>85.9372686428486</v>
      </c>
      <c r="H134" s="25" t="n">
        <f aca="false">G134*(1+H135)</f>
        <v>99.8024684128244</v>
      </c>
      <c r="I134" s="25" t="n">
        <f aca="false">H134*(1+I135)</f>
        <v>109.849629853489</v>
      </c>
      <c r="J134" s="25" t="n">
        <f aca="false">I134*(1+J135)</f>
        <v>114.243615047629</v>
      </c>
      <c r="K134" s="8" t="s">
        <v>601</v>
      </c>
    </row>
    <row r="135" customFormat="false" ht="15" hidden="false" customHeight="false" outlineLevel="0" collapsed="false">
      <c r="A135" s="4" t="s">
        <v>602</v>
      </c>
      <c r="B135" s="0" t="s">
        <v>196</v>
      </c>
      <c r="D135" s="18" t="n">
        <f aca="false">D134/C134-1</f>
        <v>0.603634839218781</v>
      </c>
      <c r="E135" s="18" t="n">
        <f aca="false">E134/D134-1</f>
        <v>0.913101776709477</v>
      </c>
      <c r="F135" s="18" t="n">
        <f aca="false">F134/E134-1</f>
        <v>0.13052571313051</v>
      </c>
      <c r="G135" s="18" t="n">
        <f aca="false">G134/F134-1</f>
        <v>0.222011411153855</v>
      </c>
      <c r="H135" s="26" t="n">
        <f aca="false">$G135+(fade_gB-$G135)*1/3</f>
        <v>0.161340940769237</v>
      </c>
      <c r="I135" s="26" t="n">
        <f aca="false">$G135+(fade_gB-$G135)*2/3</f>
        <v>0.100670470384618</v>
      </c>
      <c r="J135" s="26" t="n">
        <f aca="false">$G135+(fade_gB-$G135)*3/3</f>
        <v>0.04</v>
      </c>
    </row>
    <row r="136" customFormat="false" ht="17.15" hidden="false" customHeight="false" outlineLevel="0" collapsed="false">
      <c r="A136" s="0" t="s">
        <v>603</v>
      </c>
      <c r="B136" s="0" t="s">
        <v>196</v>
      </c>
      <c r="C136" s="18" t="n">
        <f aca="false">C126/C134</f>
        <v>0.3</v>
      </c>
      <c r="D136" s="18" t="n">
        <f aca="false">D126/D134</f>
        <v>0.4</v>
      </c>
      <c r="E136" s="18" t="n">
        <f aca="false">E126/E134</f>
        <v>0.618517173449347</v>
      </c>
      <c r="F136" s="18" t="n">
        <f aca="false">F126/F134</f>
        <v>0.591820864023343</v>
      </c>
      <c r="G136" s="18" t="n">
        <f aca="false">G126/G134</f>
        <v>0.569807286470053</v>
      </c>
    </row>
    <row r="137" customFormat="false" ht="17.15" hidden="false" customHeight="false" outlineLevel="0" collapsed="false">
      <c r="A137" s="4" t="s">
        <v>604</v>
      </c>
      <c r="B137" s="0" t="s">
        <v>136</v>
      </c>
      <c r="D137" s="24" t="n">
        <f aca="false">D126/fx*1000/(D110+D111+D112+D113+D114+D115)</f>
        <v>26.7395559210526</v>
      </c>
      <c r="E137" s="24" t="n">
        <f aca="false">E126/fx*1000/(E110+E111+E112+E113+E114+E115)</f>
        <v>50.7316839960563</v>
      </c>
      <c r="F137" s="24" t="n">
        <f aca="false">F126/fx*1000/(F110+F111+F112+F113+F114+F115)</f>
        <v>61.3494561838834</v>
      </c>
      <c r="G137" s="24" t="n">
        <f aca="false">G126/fx*1000/(G110+G111+G112+G113+G114+G115)</f>
        <v>59.7108597356716</v>
      </c>
    </row>
    <row r="138" customFormat="false" ht="17.15" hidden="false" customHeight="false" outlineLevel="0" collapsed="false">
      <c r="A138" s="6" t="s">
        <v>605</v>
      </c>
    </row>
    <row r="139" customFormat="false" ht="17.15" hidden="false" customHeight="false" outlineLevel="0" collapsed="false">
      <c r="A139" s="4" t="s">
        <v>606</v>
      </c>
      <c r="B139" s="0" t="s">
        <v>196</v>
      </c>
      <c r="D139" s="18" t="n">
        <f aca="false">a26_gp/D134-d_ai*D136</f>
        <v>0.425324773260588</v>
      </c>
      <c r="K139" s="8" t="s">
        <v>607</v>
      </c>
    </row>
    <row r="140" customFormat="false" ht="15" hidden="false" customHeight="false" outlineLevel="0" collapsed="false">
      <c r="A140" s="4" t="s">
        <v>479</v>
      </c>
      <c r="B140" s="0" t="s">
        <v>301</v>
      </c>
      <c r="C140" s="24" t="n">
        <f aca="false">a25_gp</f>
        <v>8.434</v>
      </c>
      <c r="D140" s="24" t="n">
        <f aca="false">a26_gp</f>
        <v>15.390297</v>
      </c>
      <c r="E140" s="24" t="n">
        <f aca="false">$D$139*E134+d_ai*E126</f>
        <v>31.074349878288</v>
      </c>
      <c r="F140" s="24" t="n">
        <f aca="false">$D$139*F134+d_ai*F126</f>
        <v>34.9050631937066</v>
      </c>
      <c r="G140" s="24" t="n">
        <f aca="false">$D$139*G134+d_ai*G126</f>
        <v>42.4273711223974</v>
      </c>
    </row>
    <row r="141" customFormat="false" ht="15" hidden="false" customHeight="false" outlineLevel="0" collapsed="false">
      <c r="A141" s="4" t="s">
        <v>482</v>
      </c>
      <c r="B141" s="0" t="s">
        <v>196</v>
      </c>
      <c r="C141" s="18" t="n">
        <f aca="false">C140/C134</f>
        <v>0.415959755375814</v>
      </c>
      <c r="D141" s="18" t="n">
        <f aca="false">D140/D134</f>
        <v>0.473324773260588</v>
      </c>
      <c r="E141" s="18" t="n">
        <f aca="false">E140/E134</f>
        <v>0.49954683407451</v>
      </c>
      <c r="F141" s="18" t="n">
        <f aca="false">F140/F134</f>
        <v>0.496343276943389</v>
      </c>
      <c r="G141" s="18" t="n">
        <f aca="false">G140/G134</f>
        <v>0.493701647636994</v>
      </c>
    </row>
    <row r="142" customFormat="false" ht="15" hidden="false" customHeight="false" outlineLevel="0" collapsed="false">
      <c r="A142" s="4" t="s">
        <v>608</v>
      </c>
      <c r="B142" s="0" t="s">
        <v>301</v>
      </c>
      <c r="C142" s="24" t="n">
        <f aca="false">a25_opx</f>
        <v>1.936</v>
      </c>
      <c r="D142" s="24" t="n">
        <f aca="false">a26_opx</f>
        <v>2.8705005</v>
      </c>
      <c r="E142" s="24" t="n">
        <f aca="false">D142*(1+MAX(0,phi*E135))</f>
        <v>4.44313596395727</v>
      </c>
      <c r="F142" s="24" t="n">
        <f aca="false">E142*(1+MAX(0,phi*F135))</f>
        <v>4.79110205809607</v>
      </c>
      <c r="G142" s="24" t="n">
        <f aca="false">F142*(1+MAX(0,phi*G135))</f>
        <v>5.4293096554361</v>
      </c>
    </row>
    <row r="143" customFormat="false" ht="15" hidden="false" customHeight="false" outlineLevel="0" collapsed="false">
      <c r="A143" s="4" t="s">
        <v>484</v>
      </c>
      <c r="B143" s="0" t="s">
        <v>301</v>
      </c>
      <c r="C143" s="24" t="n">
        <f aca="false">C142</f>
        <v>1.936</v>
      </c>
      <c r="D143" s="24" t="n">
        <f aca="false">D142</f>
        <v>2.8705005</v>
      </c>
      <c r="E143" s="24" t="n">
        <f aca="false">E142+0*E134</f>
        <v>4.44313596395727</v>
      </c>
      <c r="F143" s="24" t="n">
        <f aca="false">F142+0*F134</f>
        <v>4.79110205809607</v>
      </c>
      <c r="G143" s="24" t="n">
        <f aca="false">G142+0*G134</f>
        <v>5.4293096554361</v>
      </c>
    </row>
    <row r="144" customFormat="false" ht="15" hidden="false" customHeight="false" outlineLevel="0" collapsed="false">
      <c r="A144" s="4" t="s">
        <v>486</v>
      </c>
      <c r="B144" s="0" t="s">
        <v>301</v>
      </c>
      <c r="C144" s="24" t="n">
        <f aca="false">C140-C143</f>
        <v>6.498</v>
      </c>
      <c r="D144" s="24" t="n">
        <f aca="false">D140-D143</f>
        <v>12.5197965</v>
      </c>
      <c r="E144" s="24" t="n">
        <f aca="false">E140-E143</f>
        <v>26.6312139143308</v>
      </c>
      <c r="F144" s="24" t="n">
        <f aca="false">F140-F143</f>
        <v>30.1139611356105</v>
      </c>
      <c r="G144" s="24" t="n">
        <f aca="false">G140-G143</f>
        <v>36.9980614669613</v>
      </c>
    </row>
    <row r="145" customFormat="false" ht="15" hidden="false" customHeight="false" outlineLevel="0" collapsed="false">
      <c r="A145" s="4" t="s">
        <v>488</v>
      </c>
      <c r="B145" s="0" t="s">
        <v>196</v>
      </c>
      <c r="C145" s="18" t="n">
        <f aca="false">C144/C134</f>
        <v>0.320477411718288</v>
      </c>
      <c r="D145" s="18" t="n">
        <f aca="false">D144/D134</f>
        <v>0.385043241181844</v>
      </c>
      <c r="E145" s="18" t="n">
        <f aca="false">E144/E134</f>
        <v>0.428119611530804</v>
      </c>
      <c r="F145" s="18" t="n">
        <f aca="false">F144/F134</f>
        <v>0.428214728300212</v>
      </c>
      <c r="G145" s="18" t="n">
        <f aca="false">G144/G134</f>
        <v>0.430524056107991</v>
      </c>
    </row>
    <row r="146" customFormat="false" ht="15" hidden="false" customHeight="false" outlineLevel="0" collapsed="false">
      <c r="A146" s="4" t="s">
        <v>489</v>
      </c>
      <c r="B146" s="0" t="s">
        <v>301</v>
      </c>
      <c r="C146" s="29" t="n">
        <f aca="false">a25_nop</f>
        <v>0.108999999999999</v>
      </c>
      <c r="D146" s="29" t="n">
        <f aca="false">a26_nop</f>
        <v>0.330500000000001</v>
      </c>
      <c r="E146" s="29" t="n">
        <f aca="false">nop_f</f>
        <v>0.3</v>
      </c>
      <c r="F146" s="29" t="n">
        <f aca="false">nop_f</f>
        <v>0.3</v>
      </c>
      <c r="G146" s="29" t="n">
        <f aca="false">nop_f</f>
        <v>0.3</v>
      </c>
    </row>
    <row r="147" customFormat="false" ht="15" hidden="false" customHeight="false" outlineLevel="0" collapsed="false">
      <c r="A147" s="4" t="s">
        <v>494</v>
      </c>
      <c r="B147" s="0" t="s">
        <v>301</v>
      </c>
      <c r="C147" s="24" t="n">
        <f aca="false">a25_ni</f>
        <v>5.277</v>
      </c>
      <c r="D147" s="24" t="n">
        <f aca="false">a26_ni</f>
        <v>10.3442061825</v>
      </c>
      <c r="E147" s="24" t="n">
        <f aca="false">(E144+E146)*nir_f</f>
        <v>21.6796272010363</v>
      </c>
      <c r="F147" s="24" t="n">
        <f aca="false">(F144+F146)*nir_f</f>
        <v>24.4832387141665</v>
      </c>
      <c r="G147" s="24" t="n">
        <f aca="false">(G144+G146)*nir_f</f>
        <v>30.0249394809038</v>
      </c>
      <c r="H147" s="25" t="n">
        <f aca="false">H134*H151</f>
        <v>33.4008871357888</v>
      </c>
      <c r="I147" s="25" t="n">
        <f aca="false">I134*I151</f>
        <v>35.1472509401912</v>
      </c>
      <c r="J147" s="25" t="n">
        <f aca="false">J134*J151</f>
        <v>34.8723769943851</v>
      </c>
    </row>
    <row r="148" customFormat="false" ht="15" hidden="false" customHeight="false" outlineLevel="0" collapsed="false">
      <c r="A148" s="4" t="s">
        <v>609</v>
      </c>
      <c r="B148" s="4" t="s">
        <v>327</v>
      </c>
      <c r="C148" s="28" t="n">
        <f aca="false">a25_sh</f>
        <v>0.143591836734694</v>
      </c>
      <c r="D148" s="28" t="n">
        <f aca="false">a26_sh</f>
        <v>0.146703513620213</v>
      </c>
      <c r="E148" s="28" t="n">
        <f aca="false">D148*(1+sh_g)</f>
        <v>0.146703513620213</v>
      </c>
      <c r="F148" s="28" t="n">
        <f aca="false">E148*(1+sh_g)</f>
        <v>0.146703513620213</v>
      </c>
      <c r="G148" s="28" t="n">
        <f aca="false">F148*(1+sh_g)</f>
        <v>0.146703513620213</v>
      </c>
      <c r="H148" s="30" t="n">
        <f aca="false">G148*(1+sh_g)</f>
        <v>0.146703513620213</v>
      </c>
      <c r="I148" s="30" t="n">
        <f aca="false">H148*(1+sh_g)</f>
        <v>0.146703513620213</v>
      </c>
      <c r="J148" s="30" t="n">
        <f aca="false">I148*(1+sh_g)</f>
        <v>0.146703513620213</v>
      </c>
    </row>
    <row r="149" customFormat="false" ht="15" hidden="false" customHeight="false" outlineLevel="0" collapsed="false">
      <c r="A149" s="0" t="s">
        <v>500</v>
      </c>
      <c r="B149" s="0" t="s">
        <v>360</v>
      </c>
      <c r="C149" s="29" t="n">
        <f aca="false">C147/C148</f>
        <v>36.75</v>
      </c>
      <c r="D149" s="29" t="n">
        <f aca="false">D147/D148</f>
        <v>70.5109641019174</v>
      </c>
      <c r="E149" s="29" t="n">
        <f aca="false">E147/E148</f>
        <v>147.77851372504</v>
      </c>
      <c r="F149" s="29" t="n">
        <f aca="false">F147/F148</f>
        <v>166.889245594681</v>
      </c>
      <c r="G149" s="29" t="n">
        <f aca="false">G147/G148</f>
        <v>204.664078862027</v>
      </c>
      <c r="H149" s="31" t="n">
        <f aca="false">H147/H148</f>
        <v>227.676122483727</v>
      </c>
      <c r="I149" s="31" t="n">
        <f aca="false">I147/I148</f>
        <v>239.580157781228</v>
      </c>
      <c r="J149" s="31" t="n">
        <f aca="false">J147/J148</f>
        <v>237.706487962264</v>
      </c>
    </row>
    <row r="150" customFormat="false" ht="17.15" hidden="false" customHeight="false" outlineLevel="0" collapsed="false">
      <c r="A150" s="0" t="s">
        <v>610</v>
      </c>
      <c r="B150" s="0" t="s">
        <v>196</v>
      </c>
      <c r="D150" s="18" t="n">
        <f aca="false">D149/C149-1</f>
        <v>0.918665689848092</v>
      </c>
      <c r="E150" s="18" t="n">
        <f aca="false">E149/D149-1</f>
        <v>1.09582319015578</v>
      </c>
      <c r="F150" s="18" t="n">
        <f aca="false">F149/E149-1</f>
        <v>0.129320097948741</v>
      </c>
      <c r="G150" s="18" t="n">
        <f aca="false">G149/F149-1</f>
        <v>0.226346719542903</v>
      </c>
      <c r="H150" s="26" t="n">
        <f aca="false">H149/G149-1</f>
        <v>0.1124381168872</v>
      </c>
      <c r="I150" s="26" t="n">
        <f aca="false">I149/H149-1</f>
        <v>0.0522849527110674</v>
      </c>
      <c r="J150" s="26" t="n">
        <f aca="false">J149/I149-1</f>
        <v>-0.00782063855502968</v>
      </c>
    </row>
    <row r="151" customFormat="false" ht="17.15" hidden="false" customHeight="false" outlineLevel="0" collapsed="false">
      <c r="A151" s="4" t="s">
        <v>611</v>
      </c>
      <c r="B151" s="0" t="s">
        <v>196</v>
      </c>
      <c r="C151" s="18" t="n">
        <f aca="false">C147/C134</f>
        <v>0.260258433616098</v>
      </c>
      <c r="D151" s="18" t="n">
        <f aca="false">D147/D134</f>
        <v>0.318133499690915</v>
      </c>
      <c r="E151" s="18" t="n">
        <f aca="false">E147/E134</f>
        <v>0.348518606973667</v>
      </c>
      <c r="F151" s="18" t="n">
        <f aca="false">F147/F134</f>
        <v>0.348146939775994</v>
      </c>
      <c r="G151" s="18" t="n">
        <f aca="false">G147/G134</f>
        <v>0.349382054550583</v>
      </c>
      <c r="H151" s="26" t="n">
        <f aca="false">$G151+(fade_mB-$G151)*1/3</f>
        <v>0.334669950222362</v>
      </c>
      <c r="I151" s="26" t="n">
        <f aca="false">$G151+(fade_mB-$G151)*2/3</f>
        <v>0.319957845894141</v>
      </c>
      <c r="J151" s="26" t="n">
        <f aca="false">$G151+(fade_mB-$G151)*3/3</f>
        <v>0.30524574156592</v>
      </c>
    </row>
    <row r="154" customFormat="false" ht="17.15" hidden="false" customHeight="false" outlineLevel="0" collapsed="false">
      <c r="A154" s="1" t="s">
        <v>613</v>
      </c>
    </row>
    <row r="155" customFormat="false" ht="17.15" hidden="false" customHeight="false" outlineLevel="0" collapsed="false">
      <c r="A155" s="5" t="s">
        <v>22</v>
      </c>
      <c r="B155" s="5" t="s">
        <v>23</v>
      </c>
      <c r="C155" s="15" t="s">
        <v>470</v>
      </c>
      <c r="D155" s="15" t="s">
        <v>553</v>
      </c>
      <c r="E155" s="15" t="s">
        <v>554</v>
      </c>
      <c r="F155" s="15" t="s">
        <v>555</v>
      </c>
      <c r="G155" s="15" t="s">
        <v>556</v>
      </c>
      <c r="H155" s="15" t="s">
        <v>557</v>
      </c>
      <c r="I155" s="15" t="s">
        <v>558</v>
      </c>
      <c r="J155" s="15" t="s">
        <v>559</v>
      </c>
      <c r="K155" s="5" t="s">
        <v>523</v>
      </c>
    </row>
    <row r="156" customFormat="false" ht="17.15" hidden="false" customHeight="false" outlineLevel="0" collapsed="false">
      <c r="A156" s="6" t="s">
        <v>575</v>
      </c>
    </row>
    <row r="157" customFormat="false" ht="17.15" hidden="false" customHeight="false" outlineLevel="0" collapsed="false">
      <c r="A157" s="0" t="s">
        <v>576</v>
      </c>
      <c r="B157" s="4" t="s">
        <v>33</v>
      </c>
      <c r="D157" s="19" t="n">
        <f aca="false">(u_bw26)*1</f>
        <v>5.4</v>
      </c>
      <c r="E157" s="19" t="n">
        <f aca="false">(u_bw27)*1*1</f>
        <v>2.4</v>
      </c>
      <c r="F157" s="19" t="n">
        <f aca="false">(u_bw28)*um28_C*1</f>
        <v>0.3</v>
      </c>
      <c r="G157" s="19" t="n">
        <f aca="false">(u_bw29)*um29_C*1</f>
        <v>0.15</v>
      </c>
    </row>
    <row r="158" customFormat="false" ht="17.15" hidden="false" customHeight="false" outlineLevel="0" collapsed="false">
      <c r="A158" s="0" t="s">
        <v>577</v>
      </c>
      <c r="B158" s="4" t="s">
        <v>33</v>
      </c>
      <c r="D158" s="19" t="n">
        <f aca="false">(u_hp26)*1</f>
        <v>0.5</v>
      </c>
      <c r="E158" s="19" t="n">
        <f aca="false">(u_hp27)*1*1</f>
        <v>0</v>
      </c>
      <c r="F158" s="19" t="n">
        <f aca="false">(u_hp28)*um28_C*1</f>
        <v>0</v>
      </c>
      <c r="G158" s="19" t="n">
        <f aca="false">(u_hp29)*um29_C*1</f>
        <v>0</v>
      </c>
    </row>
    <row r="159" customFormat="false" ht="17.15" hidden="false" customHeight="false" outlineLevel="0" collapsed="false">
      <c r="A159" s="0" t="s">
        <v>578</v>
      </c>
      <c r="B159" s="4" t="s">
        <v>33</v>
      </c>
      <c r="D159" s="19" t="n">
        <f aca="false">(u_rb26)*1</f>
        <v>1.7</v>
      </c>
      <c r="E159" s="19" t="n">
        <f aca="false">(u_rb27)*1*1</f>
        <v>7</v>
      </c>
      <c r="F159" s="19" t="n">
        <f aca="false">(u_rb28)*um28_C*1</f>
        <v>4.2</v>
      </c>
      <c r="G159" s="19" t="n">
        <f aca="false">(u_rb29)*um29_C*1</f>
        <v>4.83</v>
      </c>
    </row>
    <row r="160" customFormat="false" ht="17.15" hidden="false" customHeight="false" outlineLevel="0" collapsed="false">
      <c r="A160" s="0" t="s">
        <v>579</v>
      </c>
      <c r="B160" s="4" t="s">
        <v>33</v>
      </c>
      <c r="D160" s="19" t="n">
        <f aca="false">(u_ru26)*1</f>
        <v>0</v>
      </c>
      <c r="E160" s="19" t="n">
        <f aca="false">(u_ru27)*1*1</f>
        <v>0.3</v>
      </c>
      <c r="F160" s="19" t="n">
        <f aca="false">(u_ru28)*um28_C*1</f>
        <v>1.2</v>
      </c>
      <c r="G160" s="19" t="n">
        <f aca="false">(u_ru29)*um29_C*1</f>
        <v>1.38</v>
      </c>
    </row>
    <row r="161" customFormat="false" ht="17.15" hidden="false" customHeight="false" outlineLevel="0" collapsed="false">
      <c r="A161" s="0" t="s">
        <v>580</v>
      </c>
      <c r="B161" s="4" t="s">
        <v>33</v>
      </c>
      <c r="D161" s="19" t="n">
        <f aca="false">(u_amd26)*1</f>
        <v>0.75</v>
      </c>
      <c r="E161" s="19" t="n">
        <f aca="false">(u_amd27)*1*1</f>
        <v>1.5</v>
      </c>
      <c r="F161" s="19" t="n">
        <f aca="false">(u_amd28)*um28_C*1</f>
        <v>1.2</v>
      </c>
      <c r="G161" s="19" t="n">
        <f aca="false">(u_amd29)*um29_C*1</f>
        <v>1.38</v>
      </c>
    </row>
    <row r="162" customFormat="false" ht="17.15" hidden="false" customHeight="false" outlineLevel="0" collapsed="false">
      <c r="A162" s="0" t="s">
        <v>581</v>
      </c>
      <c r="B162" s="4" t="s">
        <v>33</v>
      </c>
      <c r="D162" s="19" t="n">
        <f aca="false">(u_tpu26+u_trn26+u_oth26)*1</f>
        <v>6.85</v>
      </c>
      <c r="E162" s="19" t="n">
        <f aca="false">(u_tpu27+u_trn27+u_oth27)*1*1</f>
        <v>12.5</v>
      </c>
      <c r="F162" s="19" t="n">
        <f aca="false">(u_tpu28+u_trn28+u_oth28)*um28_C*1</f>
        <v>9</v>
      </c>
      <c r="G162" s="19" t="n">
        <f aca="false">(u_tpu29+u_trn29+u_oth29)*um29_C*1</f>
        <v>10.35</v>
      </c>
    </row>
    <row r="163" customFormat="false" ht="17.15" hidden="false" customHeight="false" outlineLevel="0" collapsed="false">
      <c r="A163" s="0" t="s">
        <v>527</v>
      </c>
      <c r="B163" s="0" t="s">
        <v>136</v>
      </c>
      <c r="D163" s="22" t="n">
        <f aca="false">asp_vr_26</f>
        <v>100</v>
      </c>
      <c r="E163" s="22" t="n">
        <f aca="false">VRLO_27</f>
        <v>110</v>
      </c>
      <c r="F163" s="22" t="n">
        <f aca="false">VRLO_28</f>
        <v>120</v>
      </c>
      <c r="G163" s="22" t="n">
        <f aca="false">VRLO_29</f>
        <v>120</v>
      </c>
    </row>
    <row r="164" customFormat="false" ht="17.15" hidden="false" customHeight="false" outlineLevel="0" collapsed="false">
      <c r="A164" s="0" t="s">
        <v>582</v>
      </c>
      <c r="B164" s="0" t="s">
        <v>136</v>
      </c>
      <c r="D164" s="22" t="n">
        <f aca="false">asp_amd_26</f>
        <v>40</v>
      </c>
      <c r="E164" s="22" t="n">
        <f aca="false">AMLO_27</f>
        <v>45</v>
      </c>
      <c r="F164" s="22" t="n">
        <f aca="false">AMLO_28</f>
        <v>50</v>
      </c>
      <c r="G164" s="22" t="n">
        <f aca="false">AMLO_29</f>
        <v>50</v>
      </c>
    </row>
    <row r="165" customFormat="false" ht="17.15" hidden="false" customHeight="false" outlineLevel="0" collapsed="false">
      <c r="A165" s="0" t="s">
        <v>583</v>
      </c>
      <c r="B165" s="0" t="s">
        <v>136</v>
      </c>
      <c r="D165" s="22" t="n">
        <f aca="false">asp_asic_26</f>
        <v>30</v>
      </c>
      <c r="E165" s="22" t="n">
        <f aca="false">ASLO_27</f>
        <v>30</v>
      </c>
      <c r="F165" s="22" t="n">
        <f aca="false">ASLO_28</f>
        <v>30</v>
      </c>
      <c r="G165" s="22" t="n">
        <f aca="false">ASLO_29</f>
        <v>30</v>
      </c>
    </row>
    <row r="166" customFormat="false" ht="17.15" hidden="false" customHeight="false" outlineLevel="0" collapsed="false">
      <c r="A166" s="0" t="s">
        <v>584</v>
      </c>
      <c r="B166" s="0" t="s">
        <v>205</v>
      </c>
      <c r="D166" s="17" t="n">
        <f aca="false">(D157*asp_bw+D158*asp_hp+D159*D163+D160*asp_ru)/1000</f>
        <v>0.3665</v>
      </c>
      <c r="E166" s="17" t="n">
        <f aca="false">(E157*asp_bw+E158*asp_hp+E159*E163+E160*asp_ru)/1000</f>
        <v>0.914</v>
      </c>
      <c r="F166" s="17" t="n">
        <f aca="false">(F157*asp_bw+F158*asp_hp+F159*F163+F160*asp_ru)/1000</f>
        <v>0.7545</v>
      </c>
      <c r="G166" s="17" t="n">
        <f aca="false">(G157*asp_bw+G158*asp_hp+G159*G163+G160*asp_ru)/1000</f>
        <v>0.86085</v>
      </c>
      <c r="K166" s="4" t="s">
        <v>585</v>
      </c>
    </row>
    <row r="167" customFormat="false" ht="17.15" hidden="false" customHeight="false" outlineLevel="0" collapsed="false">
      <c r="A167" s="4" t="s">
        <v>586</v>
      </c>
      <c r="B167" s="0" t="s">
        <v>205</v>
      </c>
      <c r="D167" s="17" t="n">
        <f aca="false">(D161*D164+D162*D165)/1000</f>
        <v>0.2355</v>
      </c>
      <c r="E167" s="17" t="n">
        <f aca="false">(E161*E164+E162*E165)/1000</f>
        <v>0.4425</v>
      </c>
      <c r="F167" s="17" t="n">
        <f aca="false">(F161*F164+F162*F165)/1000</f>
        <v>0.33</v>
      </c>
      <c r="G167" s="17" t="n">
        <f aca="false">(G161*G164+G162*G165)/1000</f>
        <v>0.3795</v>
      </c>
    </row>
    <row r="168" customFormat="false" ht="17.15" hidden="false" customHeight="false" outlineLevel="0" collapsed="false">
      <c r="A168" s="0" t="s">
        <v>587</v>
      </c>
      <c r="B168" s="0" t="s">
        <v>205</v>
      </c>
      <c r="D168" s="17" t="n">
        <f aca="false">D166+D167</f>
        <v>0.602</v>
      </c>
      <c r="E168" s="17" t="n">
        <f aca="false">E166+E167</f>
        <v>1.3565</v>
      </c>
      <c r="F168" s="17" t="n">
        <f aca="false">F166+F167</f>
        <v>1.0845</v>
      </c>
      <c r="G168" s="17" t="n">
        <f aca="false">G166+G167</f>
        <v>1.24035</v>
      </c>
    </row>
    <row r="169" customFormat="false" ht="17.15" hidden="false" customHeight="false" outlineLevel="0" collapsed="false">
      <c r="A169" s="4" t="s">
        <v>588</v>
      </c>
      <c r="B169" s="0" t="s">
        <v>196</v>
      </c>
      <c r="D169" s="18" t="n">
        <f aca="false">a26_rev*ai_26/fx/(D166+k_non*D167)</f>
        <v>0.882225417842414</v>
      </c>
      <c r="K169" s="8" t="s">
        <v>589</v>
      </c>
    </row>
    <row r="170" customFormat="false" ht="17.15" hidden="false" customHeight="false" outlineLevel="0" collapsed="false">
      <c r="A170" s="4" t="s">
        <v>590</v>
      </c>
      <c r="B170" s="0" t="s">
        <v>109</v>
      </c>
      <c r="D170" s="19" t="n">
        <f aca="false">1</f>
        <v>1</v>
      </c>
      <c r="E170" s="19" t="n">
        <f aca="false">RLO_27</f>
        <v>0.92</v>
      </c>
      <c r="F170" s="19" t="n">
        <f aca="false">RLO_28</f>
        <v>0.85</v>
      </c>
      <c r="G170" s="19" t="n">
        <f aca="false">RLO_29</f>
        <v>0.8</v>
      </c>
    </row>
    <row r="171" customFormat="false" ht="17.15" hidden="false" customHeight="false" outlineLevel="0" collapsed="false">
      <c r="A171" s="4" t="s">
        <v>591</v>
      </c>
      <c r="B171" s="0" t="s">
        <v>196</v>
      </c>
      <c r="D171" s="18" t="n">
        <f aca="false">$D$169*D170</f>
        <v>0.882225417842414</v>
      </c>
      <c r="E171" s="18" t="n">
        <f aca="false">$D$169*E170</f>
        <v>0.811647384415021</v>
      </c>
      <c r="F171" s="18" t="n">
        <f aca="false">$D$169*F170</f>
        <v>0.749891605166052</v>
      </c>
      <c r="G171" s="18" t="n">
        <f aca="false">$D$169*G170</f>
        <v>0.705780334273931</v>
      </c>
    </row>
    <row r="172" customFormat="false" ht="17.15" hidden="false" customHeight="false" outlineLevel="0" collapsed="false">
      <c r="A172" s="4" t="s">
        <v>592</v>
      </c>
      <c r="B172" s="0" t="s">
        <v>196</v>
      </c>
      <c r="D172" s="18" t="n">
        <f aca="false">D171*k_non</f>
        <v>0.352890167136966</v>
      </c>
      <c r="E172" s="18" t="n">
        <f aca="false">E171*k_non</f>
        <v>0.324658953766008</v>
      </c>
      <c r="F172" s="18" t="n">
        <f aca="false">F171*k_non</f>
        <v>0.299956642066421</v>
      </c>
      <c r="G172" s="18" t="n">
        <f aca="false">G171*k_non</f>
        <v>0.282312133709573</v>
      </c>
    </row>
    <row r="173" customFormat="false" ht="17.15" hidden="false" customHeight="false" outlineLevel="0" collapsed="false">
      <c r="A173" s="0" t="s">
        <v>593</v>
      </c>
      <c r="B173" s="0" t="s">
        <v>301</v>
      </c>
      <c r="C173" s="24" t="n">
        <f aca="false">a25_ail</f>
        <v>6.0828</v>
      </c>
      <c r="D173" s="24" t="n">
        <f aca="false">(D166*D171+D167*D172)*fx</f>
        <v>13.00612</v>
      </c>
      <c r="E173" s="24" t="n">
        <f aca="false">(E166*E171+E167*E172)*fx</f>
        <v>28.3362334846972</v>
      </c>
      <c r="F173" s="24" t="n">
        <f aca="false">(F166*F171+F167*F172)*fx</f>
        <v>21.2729250553506</v>
      </c>
      <c r="G173" s="24" t="n">
        <f aca="false">(G166*G171+G167*G172)*fx</f>
        <v>22.8706705760799</v>
      </c>
    </row>
    <row r="174" customFormat="false" ht="17.15" hidden="false" customHeight="false" outlineLevel="0" collapsed="false">
      <c r="A174" s="6" t="s">
        <v>594</v>
      </c>
    </row>
    <row r="175" customFormat="false" ht="17.15" hidden="false" customHeight="false" outlineLevel="0" collapsed="false">
      <c r="A175" s="0" t="s">
        <v>595</v>
      </c>
      <c r="B175" s="0" t="s">
        <v>205</v>
      </c>
      <c r="D175" s="24" t="n">
        <f aca="false">lmkC_26</f>
        <v>4.51368758595869</v>
      </c>
      <c r="E175" s="24" t="n">
        <f aca="false">lmkC_27*1</f>
        <v>8.16088033635188</v>
      </c>
      <c r="F175" s="24" t="n">
        <f aca="false">lmkC_28*1</f>
        <v>7.79843944947535</v>
      </c>
      <c r="G175" s="24" t="n">
        <f aca="false">lmkC_29*1</f>
        <v>9.51820226929712</v>
      </c>
      <c r="K175" s="4" t="s">
        <v>596</v>
      </c>
    </row>
    <row r="176" customFormat="false" ht="15" hidden="false" customHeight="false" outlineLevel="0" collapsed="false">
      <c r="A176" s="4" t="s">
        <v>542</v>
      </c>
      <c r="B176" s="0" t="s">
        <v>196</v>
      </c>
      <c r="D176" s="18" t="n">
        <f aca="false">0</f>
        <v>0</v>
      </c>
      <c r="E176" s="18" t="n">
        <f aca="false">LCLO_27</f>
        <v>0.003</v>
      </c>
      <c r="F176" s="18" t="n">
        <f aca="false">LCLO_28</f>
        <v>0.006</v>
      </c>
      <c r="G176" s="18" t="n">
        <f aca="false">LCLO_29</f>
        <v>0.01</v>
      </c>
    </row>
    <row r="177" customFormat="false" ht="17.15" hidden="false" customHeight="false" outlineLevel="0" collapsed="false">
      <c r="A177" s="4" t="s">
        <v>597</v>
      </c>
      <c r="B177" s="0" t="s">
        <v>301</v>
      </c>
      <c r="C177" s="24" t="n">
        <f aca="false">0</f>
        <v>0</v>
      </c>
      <c r="D177" s="24" t="n">
        <f aca="false">D175*D176*fx</f>
        <v>0</v>
      </c>
      <c r="E177" s="24" t="n">
        <f aca="false">E175*E176*fx</f>
        <v>0.783444512289781</v>
      </c>
      <c r="F177" s="24" t="n">
        <f aca="false">F175*F176*fx</f>
        <v>1.49730037429927</v>
      </c>
      <c r="G177" s="24" t="n">
        <f aca="false">G175*G176*fx</f>
        <v>3.04582472617508</v>
      </c>
    </row>
    <row r="178" customFormat="false" ht="17.15" hidden="false" customHeight="false" outlineLevel="0" collapsed="false">
      <c r="A178" s="6" t="s">
        <v>598</v>
      </c>
    </row>
    <row r="179" customFormat="false" ht="17.15" hidden="false" customHeight="false" outlineLevel="0" collapsed="false">
      <c r="A179" s="4" t="s">
        <v>599</v>
      </c>
      <c r="B179" s="0" t="s">
        <v>301</v>
      </c>
      <c r="C179" s="24" t="n">
        <f aca="false">a25_oth</f>
        <v>8.637576</v>
      </c>
      <c r="D179" s="24" t="n">
        <f aca="false">a26_rev*(th_26-ai_26)</f>
        <v>11.380355</v>
      </c>
      <c r="E179" s="24" t="n">
        <f aca="false">D179*(1+g_oth_27)</f>
        <v>12.7459976</v>
      </c>
      <c r="F179" s="24" t="n">
        <f aca="false">E179*(1+g_oth_28)</f>
        <v>14.02059736</v>
      </c>
      <c r="G179" s="24" t="n">
        <f aca="false">F179*(1+g_oth_29)</f>
        <v>15.1422451488</v>
      </c>
    </row>
    <row r="180" customFormat="false" ht="15" hidden="false" customHeight="false" outlineLevel="0" collapsed="false">
      <c r="A180" s="4" t="s">
        <v>600</v>
      </c>
      <c r="B180" s="0" t="s">
        <v>301</v>
      </c>
      <c r="C180" s="24" t="n">
        <f aca="false">a25_lf</f>
        <v>5.555624</v>
      </c>
      <c r="D180" s="24" t="n">
        <f aca="false">a26_lf</f>
        <v>8.128825</v>
      </c>
      <c r="E180" s="24" t="n">
        <f aca="false">D180*(1+g_lf_27)</f>
        <v>8.37268975</v>
      </c>
      <c r="F180" s="24" t="n">
        <f aca="false">E180*(1+g_lf_28)</f>
        <v>8.6238704425</v>
      </c>
      <c r="G180" s="24" t="n">
        <f aca="false">F180*(1+g_lf_29)</f>
        <v>8.882586555775</v>
      </c>
    </row>
    <row r="181" customFormat="false" ht="17.15" hidden="false" customHeight="false" outlineLevel="0" collapsed="false">
      <c r="A181" s="4" t="s">
        <v>475</v>
      </c>
      <c r="B181" s="0" t="s">
        <v>301</v>
      </c>
      <c r="C181" s="24" t="n">
        <f aca="false">C173+C177+C179+C180</f>
        <v>20.276</v>
      </c>
      <c r="D181" s="24" t="n">
        <f aca="false">D173+D177+D179+D180</f>
        <v>32.5153</v>
      </c>
      <c r="E181" s="24" t="n">
        <f aca="false">E173+E177+E179+E180</f>
        <v>50.238365346987</v>
      </c>
      <c r="F181" s="24" t="n">
        <f aca="false">F173+F177+F179+F180</f>
        <v>45.4146932321498</v>
      </c>
      <c r="G181" s="24" t="n">
        <f aca="false">G173+G177+G179+G180</f>
        <v>49.94132700683</v>
      </c>
      <c r="H181" s="25" t="n">
        <f aca="false">G181*(1+H182)</f>
        <v>53.5928148159426</v>
      </c>
      <c r="I181" s="25" t="n">
        <f aca="false">H181*(1+I182)</f>
        <v>56.0879771463424</v>
      </c>
      <c r="J181" s="25" t="n">
        <f aca="false">I181*(1+J182)</f>
        <v>57.2097366892692</v>
      </c>
      <c r="K181" s="8" t="s">
        <v>601</v>
      </c>
    </row>
    <row r="182" customFormat="false" ht="15" hidden="false" customHeight="false" outlineLevel="0" collapsed="false">
      <c r="A182" s="4" t="s">
        <v>602</v>
      </c>
      <c r="B182" s="0" t="s">
        <v>196</v>
      </c>
      <c r="D182" s="18" t="n">
        <f aca="false">D181/C181-1</f>
        <v>0.603634839218781</v>
      </c>
      <c r="E182" s="18" t="n">
        <f aca="false">E181/D181-1</f>
        <v>0.545068486127669</v>
      </c>
      <c r="F182" s="18" t="n">
        <f aca="false">F181/E181-1</f>
        <v>-0.0960157059554181</v>
      </c>
      <c r="G182" s="18" t="n">
        <f aca="false">G181/F181-1</f>
        <v>0.0996733315260108</v>
      </c>
      <c r="H182" s="26" t="n">
        <f aca="false">$G182+(fade_gC-$G182)*1/3</f>
        <v>0.0731155543506739</v>
      </c>
      <c r="I182" s="26" t="n">
        <f aca="false">$G182+(fade_gC-$G182)*2/3</f>
        <v>0.0465577771753369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603</v>
      </c>
      <c r="B183" s="0" t="s">
        <v>196</v>
      </c>
      <c r="C183" s="18" t="n">
        <f aca="false">C173/C181</f>
        <v>0.3</v>
      </c>
      <c r="D183" s="18" t="n">
        <f aca="false">D173/D181</f>
        <v>0.4</v>
      </c>
      <c r="E183" s="18" t="n">
        <f aca="false">E173/E181</f>
        <v>0.564035738204939</v>
      </c>
      <c r="F183" s="18" t="n">
        <f aca="false">F173/F181</f>
        <v>0.468415033579729</v>
      </c>
      <c r="G183" s="18" t="n">
        <f aca="false">G173/G181</f>
        <v>0.457950798402936</v>
      </c>
    </row>
    <row r="184" customFormat="false" ht="17.15" hidden="false" customHeight="false" outlineLevel="0" collapsed="false">
      <c r="A184" s="4" t="s">
        <v>604</v>
      </c>
      <c r="B184" s="0" t="s">
        <v>136</v>
      </c>
      <c r="D184" s="24" t="n">
        <f aca="false">D173/fx*1000/(D157+D158+D159+D160+D161+D162)</f>
        <v>26.7395559210526</v>
      </c>
      <c r="E184" s="24" t="n">
        <f aca="false">E173/fx*1000/(E157+E158+E159+E160+E161+E162)</f>
        <v>37.3631770631556</v>
      </c>
      <c r="F184" s="24" t="n">
        <f aca="false">F173/fx*1000/(F157+F158+F159+F160+F161+F162)</f>
        <v>41.8099942125601</v>
      </c>
      <c r="G184" s="24" t="n">
        <f aca="false">G173/fx*1000/(G157+G158+G159+G160+G161+G162)</f>
        <v>39.5084828912381</v>
      </c>
    </row>
    <row r="185" customFormat="false" ht="17.15" hidden="false" customHeight="false" outlineLevel="0" collapsed="false">
      <c r="A185" s="6" t="s">
        <v>605</v>
      </c>
    </row>
    <row r="186" customFormat="false" ht="17.15" hidden="false" customHeight="false" outlineLevel="0" collapsed="false">
      <c r="A186" s="4" t="s">
        <v>606</v>
      </c>
      <c r="B186" s="0" t="s">
        <v>196</v>
      </c>
      <c r="D186" s="18" t="n">
        <f aca="false">a26_gp/D181-d_ai*D183</f>
        <v>0.425324773260588</v>
      </c>
      <c r="K186" s="8" t="s">
        <v>607</v>
      </c>
    </row>
    <row r="187" customFormat="false" ht="15" hidden="false" customHeight="false" outlineLevel="0" collapsed="false">
      <c r="A187" s="4" t="s">
        <v>479</v>
      </c>
      <c r="B187" s="0" t="s">
        <v>301</v>
      </c>
      <c r="C187" s="24" t="n">
        <f aca="false">a25_gp</f>
        <v>8.434</v>
      </c>
      <c r="D187" s="24" t="n">
        <f aca="false">a26_gp</f>
        <v>15.390297</v>
      </c>
      <c r="E187" s="24" t="n">
        <f aca="false">$D$186*E181+d_ai*E173</f>
        <v>24.7679693683535</v>
      </c>
      <c r="F187" s="24" t="n">
        <f aca="false">$D$186*F181+d_ai*F173</f>
        <v>21.8687451083054</v>
      </c>
      <c r="G187" s="24" t="n">
        <f aca="false">$D$186*G181+d_ai*G173</f>
        <v>23.9857640546424</v>
      </c>
    </row>
    <row r="188" customFormat="false" ht="15" hidden="false" customHeight="false" outlineLevel="0" collapsed="false">
      <c r="A188" s="4" t="s">
        <v>482</v>
      </c>
      <c r="B188" s="0" t="s">
        <v>196</v>
      </c>
      <c r="C188" s="18" t="n">
        <f aca="false">C187/C181</f>
        <v>0.415959755375814</v>
      </c>
      <c r="D188" s="18" t="n">
        <f aca="false">D187/D181</f>
        <v>0.473324773260588</v>
      </c>
      <c r="E188" s="18" t="n">
        <f aca="false">E187/E181</f>
        <v>0.493009061845181</v>
      </c>
      <c r="F188" s="18" t="n">
        <f aca="false">F187/F181</f>
        <v>0.481534577290156</v>
      </c>
      <c r="G188" s="18" t="n">
        <f aca="false">G187/G181</f>
        <v>0.48027886906894</v>
      </c>
    </row>
    <row r="189" customFormat="false" ht="15" hidden="false" customHeight="false" outlineLevel="0" collapsed="false">
      <c r="A189" s="4" t="s">
        <v>608</v>
      </c>
      <c r="B189" s="0" t="s">
        <v>301</v>
      </c>
      <c r="C189" s="24" t="n">
        <f aca="false">a25_opx</f>
        <v>1.936</v>
      </c>
      <c r="D189" s="24" t="n">
        <f aca="false">a26_opx</f>
        <v>2.8705005</v>
      </c>
      <c r="E189" s="24" t="n">
        <f aca="false">D189*(1+MAX(0,phi*E182))</f>
        <v>3.80927211717823</v>
      </c>
      <c r="F189" s="24" t="n">
        <f aca="false">E189*(1+MAX(0,phi*F182))</f>
        <v>3.80927211717823</v>
      </c>
      <c r="G189" s="24" t="n">
        <f aca="false">F189*(1+MAX(0,phi*G182))</f>
        <v>4.03708182274321</v>
      </c>
    </row>
    <row r="190" customFormat="false" ht="15" hidden="false" customHeight="false" outlineLevel="0" collapsed="false">
      <c r="A190" s="4" t="s">
        <v>484</v>
      </c>
      <c r="B190" s="0" t="s">
        <v>301</v>
      </c>
      <c r="C190" s="24" t="n">
        <f aca="false">C189</f>
        <v>1.936</v>
      </c>
      <c r="D190" s="24" t="n">
        <f aca="false">D189</f>
        <v>2.8705005</v>
      </c>
      <c r="E190" s="24" t="n">
        <f aca="false">E189+0*E181</f>
        <v>3.80927211717823</v>
      </c>
      <c r="F190" s="24" t="n">
        <f aca="false">F189+0*F181</f>
        <v>3.80927211717823</v>
      </c>
      <c r="G190" s="24" t="n">
        <f aca="false">G189+0*G181</f>
        <v>4.03708182274321</v>
      </c>
    </row>
    <row r="191" customFormat="false" ht="15" hidden="false" customHeight="false" outlineLevel="0" collapsed="false">
      <c r="A191" s="4" t="s">
        <v>486</v>
      </c>
      <c r="B191" s="0" t="s">
        <v>301</v>
      </c>
      <c r="C191" s="24" t="n">
        <f aca="false">C187-C190</f>
        <v>6.498</v>
      </c>
      <c r="D191" s="24" t="n">
        <f aca="false">D187-D190</f>
        <v>12.5197965</v>
      </c>
      <c r="E191" s="24" t="n">
        <f aca="false">E187-E190</f>
        <v>20.9586972511753</v>
      </c>
      <c r="F191" s="24" t="n">
        <f aca="false">F187-F190</f>
        <v>18.0594729911271</v>
      </c>
      <c r="G191" s="24" t="n">
        <f aca="false">G187-G190</f>
        <v>19.9486822318992</v>
      </c>
    </row>
    <row r="192" customFormat="false" ht="15" hidden="false" customHeight="false" outlineLevel="0" collapsed="false">
      <c r="A192" s="4" t="s">
        <v>488</v>
      </c>
      <c r="B192" s="0" t="s">
        <v>196</v>
      </c>
      <c r="C192" s="18" t="n">
        <f aca="false">C191/C181</f>
        <v>0.320477411718288</v>
      </c>
      <c r="D192" s="18" t="n">
        <f aca="false">D191/D181</f>
        <v>0.385043241181844</v>
      </c>
      <c r="E192" s="18" t="n">
        <f aca="false">E191/E181</f>
        <v>0.41718509562199</v>
      </c>
      <c r="F192" s="18" t="n">
        <f aca="false">F191/F181</f>
        <v>0.397657051184098</v>
      </c>
      <c r="G192" s="18" t="n">
        <f aca="false">G191/G181</f>
        <v>0.399442374231887</v>
      </c>
    </row>
    <row r="193" customFormat="false" ht="15" hidden="false" customHeight="false" outlineLevel="0" collapsed="false">
      <c r="A193" s="4" t="s">
        <v>489</v>
      </c>
      <c r="B193" s="0" t="s">
        <v>301</v>
      </c>
      <c r="C193" s="29" t="n">
        <f aca="false">a25_nop</f>
        <v>0.108999999999999</v>
      </c>
      <c r="D193" s="29" t="n">
        <f aca="false">a26_nop</f>
        <v>0.330500000000001</v>
      </c>
      <c r="E193" s="29" t="n">
        <f aca="false">nop_f</f>
        <v>0.3</v>
      </c>
      <c r="F193" s="29" t="n">
        <f aca="false">nop_f</f>
        <v>0.3</v>
      </c>
      <c r="G193" s="29" t="n">
        <f aca="false">nop_f</f>
        <v>0.3</v>
      </c>
    </row>
    <row r="194" customFormat="false" ht="15" hidden="false" customHeight="false" outlineLevel="0" collapsed="false">
      <c r="A194" s="4" t="s">
        <v>494</v>
      </c>
      <c r="B194" s="0" t="s">
        <v>301</v>
      </c>
      <c r="C194" s="24" t="n">
        <f aca="false">a25_ni</f>
        <v>5.277</v>
      </c>
      <c r="D194" s="24" t="n">
        <f aca="false">a26_ni</f>
        <v>10.3442061825</v>
      </c>
      <c r="E194" s="24" t="n">
        <f aca="false">(E191+E193)*nir_f</f>
        <v>17.1132512871961</v>
      </c>
      <c r="F194" s="24" t="n">
        <f aca="false">(F191+F193)*nir_f</f>
        <v>14.7793757578573</v>
      </c>
      <c r="G194" s="24" t="n">
        <f aca="false">(G191+G193)*nir_f</f>
        <v>16.3001891966789</v>
      </c>
      <c r="H194" s="25" t="n">
        <f aca="false">H181*H198</f>
        <v>16.3258541280939</v>
      </c>
      <c r="I194" s="25" t="n">
        <f aca="false">I181*I198</f>
        <v>15.8655246348734</v>
      </c>
      <c r="J194" s="25" t="n">
        <f aca="false">J181*J198</f>
        <v>14.9380016562193</v>
      </c>
    </row>
    <row r="195" customFormat="false" ht="15" hidden="false" customHeight="false" outlineLevel="0" collapsed="false">
      <c r="A195" s="4" t="s">
        <v>609</v>
      </c>
      <c r="B195" s="4" t="s">
        <v>327</v>
      </c>
      <c r="C195" s="28" t="n">
        <f aca="false">a25_sh</f>
        <v>0.143591836734694</v>
      </c>
      <c r="D195" s="28" t="n">
        <f aca="false">a26_sh</f>
        <v>0.146703513620213</v>
      </c>
      <c r="E195" s="28" t="n">
        <f aca="false">D195*(1+sh_g)</f>
        <v>0.146703513620213</v>
      </c>
      <c r="F195" s="28" t="n">
        <f aca="false">E195*(1+sh_g)</f>
        <v>0.146703513620213</v>
      </c>
      <c r="G195" s="28" t="n">
        <f aca="false">F195*(1+sh_g)</f>
        <v>0.146703513620213</v>
      </c>
      <c r="H195" s="30" t="n">
        <f aca="false">G195*(1+sh_g)</f>
        <v>0.146703513620213</v>
      </c>
      <c r="I195" s="30" t="n">
        <f aca="false">H195*(1+sh_g)</f>
        <v>0.146703513620213</v>
      </c>
      <c r="J195" s="30" t="n">
        <f aca="false">I195*(1+sh_g)</f>
        <v>0.146703513620213</v>
      </c>
    </row>
    <row r="196" customFormat="false" ht="15" hidden="false" customHeight="false" outlineLevel="0" collapsed="false">
      <c r="A196" s="0" t="s">
        <v>500</v>
      </c>
      <c r="B196" s="0" t="s">
        <v>360</v>
      </c>
      <c r="C196" s="29" t="n">
        <f aca="false">C194/C195</f>
        <v>36.75</v>
      </c>
      <c r="D196" s="29" t="n">
        <f aca="false">D194/D195</f>
        <v>70.5109641019174</v>
      </c>
      <c r="E196" s="29" t="n">
        <f aca="false">E194/E195</f>
        <v>116.651952396307</v>
      </c>
      <c r="F196" s="29" t="n">
        <f aca="false">F194/F195</f>
        <v>100.74316144955</v>
      </c>
      <c r="G196" s="29" t="n">
        <f aca="false">G194/G195</f>
        <v>111.109739599536</v>
      </c>
      <c r="H196" s="31" t="n">
        <f aca="false">H194/H195</f>
        <v>111.284683817174</v>
      </c>
      <c r="I196" s="31" t="n">
        <f aca="false">I194/I195</f>
        <v>108.146861948693</v>
      </c>
      <c r="J196" s="31" t="n">
        <f aca="false">J194/J195</f>
        <v>101.824430019385</v>
      </c>
    </row>
    <row r="197" customFormat="false" ht="17.15" hidden="false" customHeight="false" outlineLevel="0" collapsed="false">
      <c r="A197" s="0" t="s">
        <v>610</v>
      </c>
      <c r="B197" s="0" t="s">
        <v>196</v>
      </c>
      <c r="D197" s="18" t="n">
        <f aca="false">D196/C196-1</f>
        <v>0.918665689848092</v>
      </c>
      <c r="E197" s="18" t="n">
        <f aca="false">E196/D196-1</f>
        <v>0.654380334775977</v>
      </c>
      <c r="F197" s="18" t="n">
        <f aca="false">F196/E196-1</f>
        <v>-0.136378265600817</v>
      </c>
      <c r="G197" s="18" t="n">
        <f aca="false">G196/F196-1</f>
        <v>0.102901060487146</v>
      </c>
      <c r="H197" s="26" t="n">
        <f aca="false">H196/G196-1</f>
        <v>0.0015745173939623</v>
      </c>
      <c r="I197" s="26" t="n">
        <f aca="false">I196/H196-1</f>
        <v>-0.0281963497657585</v>
      </c>
      <c r="J197" s="26" t="n">
        <f aca="false">J196/I196-1</f>
        <v>-0.0584615384615385</v>
      </c>
    </row>
    <row r="198" customFormat="false" ht="17.15" hidden="false" customHeight="false" outlineLevel="0" collapsed="false">
      <c r="A198" s="4" t="s">
        <v>611</v>
      </c>
      <c r="B198" s="0" t="s">
        <v>196</v>
      </c>
      <c r="C198" s="18" t="n">
        <f aca="false">C194/C181</f>
        <v>0.260258433616098</v>
      </c>
      <c r="D198" s="18" t="n">
        <f aca="false">D194/D181</f>
        <v>0.318133499690915</v>
      </c>
      <c r="E198" s="18" t="n">
        <f aca="false">E194/E181</f>
        <v>0.340641085134798</v>
      </c>
      <c r="F198" s="18" t="n">
        <f aca="false">F194/F181</f>
        <v>0.325431588457693</v>
      </c>
      <c r="G198" s="18" t="n">
        <f aca="false">G194/G181</f>
        <v>0.326386785726572</v>
      </c>
      <c r="H198" s="26" t="n">
        <f aca="false">$G198+(fade_mC-$G198)*1/3</f>
        <v>0.304627666678134</v>
      </c>
      <c r="I198" s="26" t="n">
        <f aca="false">$G198+(fade_mC-$G198)*2/3</f>
        <v>0.282868547629696</v>
      </c>
      <c r="J198" s="26" t="n">
        <f aca="false">$G198+(fade_mC-$G198)*3/3</f>
        <v>0.261109428581258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614</v>
      </c>
    </row>
    <row r="2" customFormat="false" ht="17.15" hidden="false" customHeight="false" outlineLevel="0" collapsed="false">
      <c r="A2" s="4" t="s">
        <v>615</v>
      </c>
    </row>
    <row r="3" customFormat="false" ht="17.15" hidden="false" customHeight="false" outlineLevel="0" collapsed="false">
      <c r="A3" s="4" t="s">
        <v>616</v>
      </c>
    </row>
    <row r="4" customFormat="false" ht="17.15" hidden="false" customHeight="false" outlineLevel="0" collapsed="false">
      <c r="A4" s="6" t="s">
        <v>617</v>
      </c>
    </row>
    <row r="5" customFormat="false" ht="17.15" hidden="false" customHeight="false" outlineLevel="0" collapsed="false">
      <c r="A5" s="6" t="s">
        <v>618</v>
      </c>
    </row>
    <row r="6" customFormat="false" ht="17.15" hidden="false" customHeight="false" outlineLevel="0" collapsed="false">
      <c r="A6" s="5" t="s">
        <v>22</v>
      </c>
      <c r="B6" s="15" t="s">
        <v>619</v>
      </c>
      <c r="C6" s="15" t="s">
        <v>620</v>
      </c>
      <c r="D6" s="15" t="s">
        <v>621</v>
      </c>
      <c r="E6" s="5" t="s">
        <v>523</v>
      </c>
    </row>
    <row r="7" customFormat="false" ht="17.15" hidden="false" customHeight="false" outlineLevel="0" collapsed="false">
      <c r="A7" s="4" t="s">
        <v>622</v>
      </c>
      <c r="E7" s="0" t="s">
        <v>623</v>
      </c>
    </row>
    <row r="8" customFormat="false" ht="15" hidden="false" customHeight="false" outlineLevel="0" collapsed="false">
      <c r="A8" s="0" t="s">
        <v>624</v>
      </c>
      <c r="B8" s="19" t="n">
        <f aca="false">PL!E15</f>
        <v>188.420142016462</v>
      </c>
      <c r="C8" s="19" t="n">
        <f aca="false">PL!E29</f>
        <v>147.77851372504</v>
      </c>
      <c r="D8" s="19" t="n">
        <f aca="false">PL!E43</f>
        <v>116.651952396307</v>
      </c>
    </row>
    <row r="9" customFormat="false" ht="15" hidden="false" customHeight="false" outlineLevel="0" collapsed="false">
      <c r="A9" s="0" t="s">
        <v>625</v>
      </c>
      <c r="B9" s="19" t="n">
        <f aca="false">PL!F15</f>
        <v>259.339676374055</v>
      </c>
      <c r="C9" s="19" t="n">
        <f aca="false">PL!F29</f>
        <v>166.889245594681</v>
      </c>
      <c r="D9" s="19" t="n">
        <f aca="false">PL!F43</f>
        <v>100.74316144955</v>
      </c>
    </row>
    <row r="10" customFormat="false" ht="15" hidden="false" customHeight="false" outlineLevel="0" collapsed="false">
      <c r="A10" s="0" t="s">
        <v>626</v>
      </c>
      <c r="B10" s="19" t="n">
        <f aca="false">PL!G15</f>
        <v>310.822240736618</v>
      </c>
      <c r="C10" s="19" t="n">
        <f aca="false">PL!G29</f>
        <v>204.664078862027</v>
      </c>
      <c r="D10" s="19" t="n">
        <f aca="false">PL!G43</f>
        <v>111.109739599536</v>
      </c>
    </row>
    <row r="11" customFormat="false" ht="15" hidden="false" customHeight="false" outlineLevel="0" collapsed="false">
      <c r="A11" s="0" t="s">
        <v>627</v>
      </c>
      <c r="B11" s="19" t="n">
        <f aca="false">PL!H15</f>
        <v>358.979036763223</v>
      </c>
      <c r="C11" s="19" t="n">
        <f aca="false">PL!H29</f>
        <v>227.676122483727</v>
      </c>
      <c r="D11" s="19" t="n">
        <f aca="false">PL!H43</f>
        <v>111.284683817174</v>
      </c>
    </row>
    <row r="12" customFormat="false" ht="15" hidden="false" customHeight="false" outlineLevel="0" collapsed="false">
      <c r="A12" s="0" t="s">
        <v>628</v>
      </c>
      <c r="B12" s="19" t="n">
        <f aca="false">PL!I15</f>
        <v>397.557357782743</v>
      </c>
      <c r="C12" s="19" t="n">
        <f aca="false">PL!I29</f>
        <v>239.580157781228</v>
      </c>
      <c r="D12" s="19" t="n">
        <f aca="false">PL!I43</f>
        <v>108.146861948693</v>
      </c>
    </row>
    <row r="13" customFormat="false" ht="15" hidden="false" customHeight="false" outlineLevel="0" collapsed="false">
      <c r="A13" s="0" t="s">
        <v>629</v>
      </c>
      <c r="B13" s="19" t="n">
        <f aca="false">PL!J15</f>
        <v>421.410799249707</v>
      </c>
      <c r="C13" s="19" t="n">
        <f aca="false">PL!J29</f>
        <v>237.706487962264</v>
      </c>
      <c r="D13" s="19" t="n">
        <f aca="false">PL!J43</f>
        <v>101.824430019385</v>
      </c>
    </row>
    <row r="14" customFormat="false" ht="17.15" hidden="false" customHeight="false" outlineLevel="0" collapsed="false">
      <c r="A14" s="4" t="s">
        <v>630</v>
      </c>
    </row>
    <row r="15" customFormat="false" ht="17.15" hidden="false" customHeight="false" outlineLevel="0" collapsed="false">
      <c r="A15" s="4" t="s">
        <v>631</v>
      </c>
      <c r="B15" s="18" t="n">
        <f aca="false">MIN(tp_g/tp_roe,0.8)</f>
        <v>0.163912033875154</v>
      </c>
      <c r="E15" s="8" t="s">
        <v>632</v>
      </c>
    </row>
    <row r="16" customFormat="false" ht="15" hidden="false" customHeight="false" outlineLevel="0" collapsed="false">
      <c r="A16" s="0" t="s">
        <v>624</v>
      </c>
      <c r="B16" s="19" t="n">
        <f aca="false">B8*(1-$B$15)</f>
        <v>157.535813315498</v>
      </c>
      <c r="C16" s="19" t="n">
        <f aca="false">C8*(1-$B$15)</f>
        <v>123.555836977321</v>
      </c>
      <c r="D16" s="19" t="n">
        <f aca="false">D8*(1-$B$15)</f>
        <v>97.5312936235207</v>
      </c>
    </row>
    <row r="17" customFormat="false" ht="15" hidden="false" customHeight="false" outlineLevel="0" collapsed="false">
      <c r="A17" s="0" t="s">
        <v>625</v>
      </c>
      <c r="B17" s="19" t="n">
        <f aca="false">B9*(1-$B$15)</f>
        <v>216.83078255506</v>
      </c>
      <c r="C17" s="19" t="n">
        <f aca="false">C9*(1-$B$15)</f>
        <v>139.534089917367</v>
      </c>
      <c r="D17" s="19" t="n">
        <f aca="false">D9*(1-$B$15)</f>
        <v>84.2301449573409</v>
      </c>
    </row>
    <row r="18" customFormat="false" ht="15" hidden="false" customHeight="false" outlineLevel="0" collapsed="false">
      <c r="A18" s="0" t="s">
        <v>626</v>
      </c>
      <c r="B18" s="19" t="n">
        <f aca="false">B10*(1-$B$15)</f>
        <v>259.874735083846</v>
      </c>
      <c r="C18" s="19" t="n">
        <f aca="false">C10*(1-$B$15)</f>
        <v>171.117173434568</v>
      </c>
      <c r="D18" s="19" t="n">
        <f aca="false">D10*(1-$B$15)</f>
        <v>92.8975161984374</v>
      </c>
    </row>
    <row r="19" customFormat="false" ht="15" hidden="false" customHeight="false" outlineLevel="0" collapsed="false">
      <c r="A19" s="0" t="s">
        <v>627</v>
      </c>
      <c r="B19" s="19" t="n">
        <f aca="false">B11*(1-$B$15)</f>
        <v>300.13805272882</v>
      </c>
      <c r="C19" s="19" t="n">
        <f aca="false">C11*(1-$B$15)</f>
        <v>190.357266182611</v>
      </c>
      <c r="D19" s="19" t="n">
        <f aca="false">D11*(1-$B$15)</f>
        <v>93.0437849535477</v>
      </c>
    </row>
    <row r="20" customFormat="false" ht="15" hidden="false" customHeight="false" outlineLevel="0" collapsed="false">
      <c r="A20" s="0" t="s">
        <v>628</v>
      </c>
      <c r="B20" s="19" t="n">
        <f aca="false">B12*(1-$B$15)</f>
        <v>332.392922686541</v>
      </c>
      <c r="C20" s="19" t="n">
        <f aca="false">C12*(1-$B$15)</f>
        <v>200.310086843177</v>
      </c>
      <c r="D20" s="19" t="n">
        <f aca="false">D12*(1-$B$15)</f>
        <v>90.4202898494675</v>
      </c>
    </row>
    <row r="21" customFormat="false" ht="15" hidden="false" customHeight="false" outlineLevel="0" collapsed="false">
      <c r="A21" s="0" t="s">
        <v>629</v>
      </c>
      <c r="B21" s="19" t="n">
        <f aca="false">B13*(1-$B$15)</f>
        <v>352.336498047734</v>
      </c>
      <c r="C21" s="19" t="n">
        <f aca="false">C13*(1-$B$15)</f>
        <v>198.74353405505</v>
      </c>
      <c r="D21" s="19" t="n">
        <f aca="false">D13*(1-$B$15)</f>
        <v>85.1341805967294</v>
      </c>
    </row>
    <row r="22" customFormat="false" ht="17.15" hidden="false" customHeight="false" outlineLevel="0" collapsed="false">
      <c r="A22" s="0" t="s">
        <v>633</v>
      </c>
      <c r="B22" s="22" t="n">
        <f aca="false">MAX(0,SUMPRODUCT(B16:B21,1/(1+tp_r)^{1;2;3;4;5;6})+B21*(1+tp_g)/(tp_r-tp_g)/(1+tp_r)^6)</f>
        <v>4575.27002841207</v>
      </c>
      <c r="C22" s="22" t="n">
        <f aca="false">MAX(0,SUMPRODUCT(C16:C21,1/(1+tp_r)^{1;2;3;4;5;6})+C21*(1+tp_g)/(tp_r-tp_g)/(1+tp_r)^6)</f>
        <v>2667.3321297907</v>
      </c>
      <c r="D22" s="22" t="n">
        <f aca="false">MAX(0,SUMPRODUCT(D16:D21,1/(1+tp_r)^{1;2;3;4;5;6})+D21*(1+tp_g)/(tp_r-tp_g)/(1+tp_r)^6)</f>
        <v>1228.79295861335</v>
      </c>
      <c r="E22" s="8" t="s">
        <v>634</v>
      </c>
    </row>
    <row r="23" customFormat="false" ht="17.15" hidden="false" customHeight="false" outlineLevel="0" collapsed="false">
      <c r="A23" s="0" t="s">
        <v>635</v>
      </c>
      <c r="B23" s="22" t="n">
        <f aca="false">B22*(1+tp_r)</f>
        <v>5032.79703125328</v>
      </c>
      <c r="C23" s="22" t="n">
        <f aca="false">C22*(1+tp_r)</f>
        <v>2934.06534276977</v>
      </c>
      <c r="D23" s="22" t="n">
        <f aca="false">D22*(1+tp_r)</f>
        <v>1351.67225447468</v>
      </c>
    </row>
    <row r="24" customFormat="false" ht="17.15" hidden="false" customHeight="false" outlineLevel="0" collapsed="false">
      <c r="A24" s="0" t="s">
        <v>636</v>
      </c>
      <c r="B24" s="32" t="n">
        <f aca="false">tp_wA*B23+tp_wB*C23+tp_wC*D23</f>
        <v>3247.2062316558</v>
      </c>
      <c r="E24" s="8" t="s">
        <v>637</v>
      </c>
    </row>
    <row r="26" customFormat="false" ht="17.15" hidden="false" customHeight="false" outlineLevel="0" collapsed="false">
      <c r="A26" s="6" t="s">
        <v>638</v>
      </c>
    </row>
    <row r="27" customFormat="false" ht="17.15" hidden="false" customHeight="false" outlineLevel="0" collapsed="false">
      <c r="A27" s="5" t="s">
        <v>639</v>
      </c>
      <c r="B27" s="5" t="s">
        <v>640</v>
      </c>
      <c r="C27" s="5" t="s">
        <v>641</v>
      </c>
      <c r="D27" s="5" t="s">
        <v>642</v>
      </c>
      <c r="E27" s="5" t="s">
        <v>643</v>
      </c>
      <c r="F27" s="5" t="s">
        <v>27</v>
      </c>
    </row>
    <row r="28" customFormat="false" ht="17.15" hidden="false" customHeight="false" outlineLevel="0" collapsed="false">
      <c r="A28" s="4" t="s">
        <v>644</v>
      </c>
      <c r="B28" s="0" t="s">
        <v>645</v>
      </c>
      <c r="C28" s="33" t="n">
        <v>27.04</v>
      </c>
      <c r="D28" s="8" t="s">
        <v>646</v>
      </c>
      <c r="E28" s="8" t="s">
        <v>647</v>
      </c>
      <c r="F28" s="8" t="s">
        <v>137</v>
      </c>
    </row>
    <row r="29" customFormat="false" ht="17.15" hidden="false" customHeight="false" outlineLevel="0" collapsed="false">
      <c r="A29" s="4" t="s">
        <v>648</v>
      </c>
      <c r="B29" s="0" t="s">
        <v>649</v>
      </c>
      <c r="C29" s="33" t="n">
        <v>17.27</v>
      </c>
      <c r="D29" s="8" t="s">
        <v>650</v>
      </c>
      <c r="E29" s="8" t="s">
        <v>647</v>
      </c>
      <c r="F29" s="8" t="s">
        <v>137</v>
      </c>
    </row>
    <row r="30" customFormat="false" ht="17.15" hidden="false" customHeight="false" outlineLevel="0" collapsed="false">
      <c r="A30" s="0" t="s">
        <v>651</v>
      </c>
      <c r="B30" s="0" t="s">
        <v>652</v>
      </c>
      <c r="C30" s="33" t="n">
        <v>24.53</v>
      </c>
      <c r="D30" s="8" t="s">
        <v>653</v>
      </c>
      <c r="E30" s="8" t="s">
        <v>647</v>
      </c>
      <c r="F30" s="8" t="s">
        <v>137</v>
      </c>
    </row>
    <row r="31" customFormat="false" ht="17.15" hidden="false" customHeight="false" outlineLevel="0" collapsed="false">
      <c r="A31" s="4" t="s">
        <v>654</v>
      </c>
      <c r="B31" s="0" t="s">
        <v>655</v>
      </c>
      <c r="C31" s="33" t="n">
        <v>30.51</v>
      </c>
      <c r="D31" s="8" t="s">
        <v>656</v>
      </c>
      <c r="E31" s="8" t="s">
        <v>647</v>
      </c>
      <c r="F31" s="8" t="s">
        <v>137</v>
      </c>
    </row>
    <row r="33" customFormat="false" ht="17.15" hidden="false" customHeight="false" outlineLevel="0" collapsed="false">
      <c r="A33" s="4" t="s">
        <v>657</v>
      </c>
    </row>
    <row r="34" customFormat="false" ht="17.15" hidden="false" customHeight="false" outlineLevel="0" collapsed="false">
      <c r="A34" s="4" t="s">
        <v>658</v>
      </c>
      <c r="B34" s="21" t="n">
        <f aca="false">MEDIAN(C28:C31)</f>
        <v>25.785</v>
      </c>
      <c r="E34" s="4" t="s">
        <v>659</v>
      </c>
    </row>
    <row r="35" customFormat="false" ht="17.15" hidden="false" customHeight="false" outlineLevel="0" collapsed="false">
      <c r="A35" s="0" t="s">
        <v>660</v>
      </c>
      <c r="B35" s="19" t="n">
        <f aca="false">tp_wA*(2/12*B8+10/12*B9)+tp_wB*(2/12*C8+10/12*C9)+tp_wC*(2/12*D8+10/12*D9)</f>
        <v>176.786913324009</v>
      </c>
      <c r="E35" s="4" t="s">
        <v>661</v>
      </c>
    </row>
    <row r="36" customFormat="false" ht="17.15" hidden="false" customHeight="false" outlineLevel="0" collapsed="false">
      <c r="A36" s="0" t="s">
        <v>662</v>
      </c>
      <c r="B36" s="32" t="n">
        <f aca="false">B34*B35</f>
        <v>4558.45056005958</v>
      </c>
      <c r="E36" s="4" t="s">
        <v>663</v>
      </c>
    </row>
    <row r="38" customFormat="false" ht="17.15" hidden="false" customHeight="false" outlineLevel="0" collapsed="false">
      <c r="A38" s="6" t="s">
        <v>664</v>
      </c>
    </row>
    <row r="39" customFormat="false" ht="15" hidden="false" customHeight="false" outlineLevel="0" collapsed="false">
      <c r="A39" s="5" t="s">
        <v>22</v>
      </c>
      <c r="B39" s="5" t="s">
        <v>665</v>
      </c>
      <c r="C39" s="5"/>
      <c r="D39" s="5"/>
      <c r="E39" s="5" t="s">
        <v>523</v>
      </c>
    </row>
    <row r="40" customFormat="false" ht="17.15" hidden="false" customHeight="false" outlineLevel="0" collapsed="false">
      <c r="A40" s="1" t="s">
        <v>666</v>
      </c>
      <c r="B40" s="32" t="n">
        <f aca="false">tp_w_dcf*B24+(1-tp_w_dcf)*B36</f>
        <v>3902.82839585769</v>
      </c>
      <c r="E40" s="8" t="s">
        <v>667</v>
      </c>
    </row>
    <row r="41" customFormat="false" ht="17.15" hidden="false" customHeight="false" outlineLevel="0" collapsed="false">
      <c r="A41" s="0" t="s">
        <v>668</v>
      </c>
      <c r="B41" s="22" t="n">
        <f aca="false">B36</f>
        <v>4558.45056005958</v>
      </c>
    </row>
    <row r="42" customFormat="false" ht="17.15" hidden="false" customHeight="false" outlineLevel="0" collapsed="false">
      <c r="A42" s="4" t="s">
        <v>669</v>
      </c>
      <c r="B42" s="22" t="n">
        <f aca="false">cons_tp</f>
        <v>7204</v>
      </c>
      <c r="E42" s="8" t="s">
        <v>670</v>
      </c>
    </row>
    <row r="43" customFormat="false" ht="17.15" hidden="false" customHeight="false" outlineLevel="0" collapsed="false">
      <c r="A43" s="4" t="s">
        <v>671</v>
      </c>
      <c r="B43" s="18" t="n">
        <f aca="false">B40/px-1</f>
        <v>-0.3570299183101</v>
      </c>
      <c r="E43" s="4" t="s">
        <v>672</v>
      </c>
    </row>
    <row r="44" customFormat="false" ht="17.15" hidden="false" customHeight="false" outlineLevel="0" collapsed="false">
      <c r="A44" s="4" t="s">
        <v>673</v>
      </c>
      <c r="B44" s="18" t="n">
        <f aca="false">B41/px-1</f>
        <v>-0.249019677090679</v>
      </c>
    </row>
    <row r="45" customFormat="false" ht="17.15" hidden="false" customHeight="false" outlineLevel="0" collapsed="false">
      <c r="A45" s="4" t="s">
        <v>674</v>
      </c>
      <c r="B45" s="34" t="str">
        <f aca="false">IF(B43&gt;0.5,"大於 50%",IF(B43&gt;0.25,"25%–50%",IF(B43&gt;=0,"0%–25%",IF(B43&gt;=-0.25,"0%～−25%",IF(B43&gt;=-0.5,"−25%～−50%","小於 −50%")))))</f>
        <v>−25%～−50%</v>
      </c>
      <c r="E45" s="4" t="s">
        <v>675</v>
      </c>
    </row>
    <row r="46" customFormat="false" ht="17.15" hidden="false" customHeight="false" outlineLevel="0" collapsed="false">
      <c r="A46" s="4" t="s">
        <v>676</v>
      </c>
      <c r="B46" s="34" t="str">
        <f aca="false">IF(B43&gt;0.5,"強力買進",IF(B43&gt;0.25,"買進",IF(B43&gt;=-0.25,"中立",IF(B43&gt;=-0.5,"放空","強力放空"))))</f>
        <v>放空</v>
      </c>
      <c r="E46" s="4" t="s">
        <v>677</v>
      </c>
    </row>
    <row r="47" customFormat="false" ht="17.15" hidden="false" customHeight="false" outlineLevel="0" collapsed="false">
      <c r="A47" s="4" t="s">
        <v>678</v>
      </c>
      <c r="B47" s="18" t="n">
        <f aca="false">B35/cons_feps-1</f>
        <v>0.640927019046644</v>
      </c>
      <c r="E47" s="4" t="s">
        <v>679</v>
      </c>
    </row>
    <row r="48" customFormat="false" ht="17.15" hidden="false" customHeight="false" outlineLevel="0" collapsed="false">
      <c r="A48" s="4" t="s">
        <v>680</v>
      </c>
      <c r="B48" s="18" t="n">
        <f aca="false">(cons_tp/cons_feps)/B34-1</f>
        <v>1.59325796988736</v>
      </c>
      <c r="E48" s="0" t="str">
        <f aca="false">"共識目標價隱含 "&amp;TEXT(cons_tp/cons_feps,"0.0")&amp;"x，同業中位數 "&amp;TEXT(B34,"0.0")&amp;"x"</f>
        <v>共識目標價隱含 66.9x，同業中位數 25.8x</v>
      </c>
    </row>
    <row r="49" customFormat="false" ht="17.15" hidden="false" customHeight="false" outlineLevel="0" collapsed="false">
      <c r="A49" s="4" t="s">
        <v>681</v>
      </c>
      <c r="B49" s="34" t="str">
        <f aca="false">TEXT(D23,"#,##0")&amp;"～"&amp;TEXT(B23,"#,##0")</f>
        <v>1,352～5,033</v>
      </c>
      <c r="E49" s="8" t="s">
        <v>682</v>
      </c>
    </row>
    <row r="50" customFormat="false" ht="17.15" hidden="false" customHeight="false" outlineLevel="0" collapsed="false">
      <c r="A50" s="4" t="s">
        <v>683</v>
      </c>
      <c r="B50" s="35" t="n">
        <f aca="false">IF(px/B9&lt;MIN($B$93:$B$102),0,IF(px/B9&gt;MAX($B$93:$B$102),1,PERCENTRANK($B$93:$B$102,px/B9)))</f>
        <v>0.257</v>
      </c>
      <c r="C50" s="35" t="n">
        <f aca="false">IF(px/C9&lt;MIN($B$93:$B$102),0,IF(px/C9&gt;MAX($B$93:$B$102),1,PERCENTRANK($B$93:$B$102,px/C9)))</f>
        <v>0.567</v>
      </c>
      <c r="D50" s="35" t="n">
        <f aca="false">IF(px/D9&lt;MIN($B$93:$B$102),0,IF(px/D9&gt;MAX($B$93:$B$102),1,PERCENTRANK($B$93:$B$102,px/D9)))</f>
        <v>0.87</v>
      </c>
      <c r="E50" s="4" t="s">
        <v>684</v>
      </c>
    </row>
    <row r="51" customFormat="false" ht="17.15" hidden="false" customHeight="false" outlineLevel="0" collapsed="false">
      <c r="A51" s="4" t="s">
        <v>685</v>
      </c>
      <c r="B51" s="0" t="s">
        <v>686</v>
      </c>
    </row>
    <row r="54" customFormat="false" ht="17.15" hidden="false" customHeight="false" outlineLevel="0" collapsed="false">
      <c r="A54" s="6" t="s">
        <v>687</v>
      </c>
    </row>
    <row r="55" customFormat="false" ht="15" hidden="false" customHeight="false" outlineLevel="0" collapsed="false">
      <c r="A55" s="5" t="s">
        <v>22</v>
      </c>
      <c r="B55" s="15" t="s">
        <v>688</v>
      </c>
      <c r="C55" s="15" t="s">
        <v>689</v>
      </c>
      <c r="D55" s="15" t="s">
        <v>690</v>
      </c>
      <c r="E55" s="5" t="s">
        <v>523</v>
      </c>
    </row>
    <row r="56" customFormat="false" ht="17.15" hidden="false" customHeight="false" outlineLevel="0" collapsed="false">
      <c r="A56" s="4" t="s">
        <v>691</v>
      </c>
      <c r="B56" s="22" t="n">
        <f aca="false">px</f>
        <v>6070</v>
      </c>
    </row>
    <row r="57" customFormat="false" ht="17.15" hidden="false" customHeight="false" outlineLevel="0" collapsed="false">
      <c r="A57" s="4" t="s">
        <v>692</v>
      </c>
      <c r="B57" s="21" t="n">
        <f aca="false">px/PL!D15</f>
        <v>86.0859027714661</v>
      </c>
      <c r="C57" s="21" t="n">
        <f aca="false">px/PL!D29</f>
        <v>86.0859027714661</v>
      </c>
      <c r="D57" s="21" t="n">
        <f aca="false">px/PL!D43</f>
        <v>86.0859027714661</v>
      </c>
      <c r="E57" s="8" t="s">
        <v>693</v>
      </c>
    </row>
    <row r="58" customFormat="false" ht="17.15" hidden="false" customHeight="false" outlineLevel="0" collapsed="false">
      <c r="A58" s="4" t="s">
        <v>694</v>
      </c>
      <c r="B58" s="21" t="n">
        <f aca="false">px/PL!E15</f>
        <v>32.2152394910608</v>
      </c>
      <c r="C58" s="21" t="n">
        <f aca="false">px/PL!E29</f>
        <v>41.0749834126359</v>
      </c>
      <c r="D58" s="21" t="n">
        <f aca="false">px/PL!E43</f>
        <v>52.0351342202839</v>
      </c>
      <c r="E58" s="8" t="s">
        <v>695</v>
      </c>
    </row>
    <row r="59" customFormat="false" ht="17.15" hidden="false" customHeight="false" outlineLevel="0" collapsed="false">
      <c r="A59" s="4" t="s">
        <v>696</v>
      </c>
      <c r="B59" s="21" t="n">
        <f aca="false">px/PL!F15</f>
        <v>23.4055971877015</v>
      </c>
      <c r="C59" s="21" t="n">
        <f aca="false">px/PL!F29</f>
        <v>36.3714269207137</v>
      </c>
      <c r="D59" s="21" t="n">
        <f aca="false">px/PL!F43</f>
        <v>60.2522286640741</v>
      </c>
    </row>
    <row r="60" customFormat="false" ht="17.15" hidden="false" customHeight="false" outlineLevel="0" collapsed="false">
      <c r="A60" s="4" t="s">
        <v>697</v>
      </c>
      <c r="B60" s="21" t="n">
        <f aca="false">px/PL!G15</f>
        <v>19.528847052948</v>
      </c>
      <c r="C60" s="21" t="n">
        <f aca="false">px/PL!G29</f>
        <v>29.6583554561719</v>
      </c>
      <c r="D60" s="21" t="n">
        <f aca="false">px/PL!G43</f>
        <v>54.6306743394199</v>
      </c>
    </row>
    <row r="61" customFormat="false" ht="17.15" hidden="false" customHeight="false" outlineLevel="0" collapsed="false">
      <c r="A61" s="4" t="s">
        <v>698</v>
      </c>
      <c r="B61" s="19" t="n">
        <f aca="false">0.2*PL!D29+0.8*PL!E29</f>
        <v>132.325003800415</v>
      </c>
    </row>
    <row r="62" customFormat="false" ht="17.15" hidden="false" customHeight="false" outlineLevel="0" collapsed="false">
      <c r="A62" s="4" t="s">
        <v>699</v>
      </c>
      <c r="B62" s="21" t="n">
        <f aca="false">px/B61</f>
        <v>45.8719049738727</v>
      </c>
    </row>
    <row r="63" customFormat="false" ht="17.15" hidden="false" customHeight="false" outlineLevel="0" collapsed="false">
      <c r="A63" s="4" t="s">
        <v>407</v>
      </c>
      <c r="B63" s="21" t="n">
        <f aca="false">pe_ttm</f>
        <v>136.99</v>
      </c>
    </row>
    <row r="64" customFormat="false" ht="17.15" hidden="false" customHeight="false" outlineLevel="0" collapsed="false">
      <c r="A64" s="4" t="s">
        <v>700</v>
      </c>
      <c r="B64" s="21" t="n">
        <f aca="false">fpe</f>
        <v>59.27</v>
      </c>
    </row>
    <row r="66" customFormat="false" ht="17.15" hidden="false" customHeight="false" outlineLevel="0" collapsed="false">
      <c r="A66" s="6" t="s">
        <v>701</v>
      </c>
    </row>
    <row r="67" customFormat="false" ht="17.15" hidden="false" customHeight="false" outlineLevel="0" collapsed="false">
      <c r="A67" s="5" t="s">
        <v>702</v>
      </c>
      <c r="B67" s="5" t="s">
        <v>703</v>
      </c>
      <c r="C67" s="15" t="s">
        <v>704</v>
      </c>
      <c r="D67" s="5" t="s">
        <v>705</v>
      </c>
      <c r="E67" s="5" t="s">
        <v>706</v>
      </c>
      <c r="F67" s="5" t="s">
        <v>523</v>
      </c>
    </row>
    <row r="68" customFormat="false" ht="17.15" hidden="false" customHeight="false" outlineLevel="0" collapsed="false">
      <c r="A68" s="0" t="s">
        <v>688</v>
      </c>
      <c r="B68" s="0" t="n">
        <f aca="false">INDEX({2026,2027,2028,2029},MATCH(MAX(PL!D87:G87),PL!D87:G87,0))</f>
        <v>2029</v>
      </c>
      <c r="C68" s="0" t="str">
        <f aca="false">IF(B68=2029,"中段",IF(2027&lt;B68,"中段",IF(2027=B68,"見頂","谷底")))</f>
        <v>中段</v>
      </c>
      <c r="D68" s="21" t="n">
        <f aca="false">IF(C68="見頂",pe_peak,IF(C68="谷底",pe_trough,pe_mid))</f>
        <v>33.13</v>
      </c>
      <c r="E68" s="0" t="str">
        <f aca="false">IF(B68=2029,"是：營收到觀測期末仍在增加","否")</f>
        <v>是：營收到觀測期末仍在增加</v>
      </c>
      <c r="F68" s="8" t="s">
        <v>707</v>
      </c>
    </row>
    <row r="69" customFormat="false" ht="15" hidden="false" customHeight="false" outlineLevel="0" collapsed="false">
      <c r="A69" s="0" t="s">
        <v>689</v>
      </c>
      <c r="B69" s="0" t="n">
        <f aca="false">INDEX({2026,2027,2028,2029},MATCH(MAX(PL!D134:G134),PL!D134:G134,0))</f>
        <v>2029</v>
      </c>
      <c r="C69" s="0" t="str">
        <f aca="false">IF(B69=2029,"中段",IF(2027&lt;B69,"中段",IF(2027=B69,"見頂","谷底")))</f>
        <v>中段</v>
      </c>
      <c r="D69" s="21" t="n">
        <f aca="false">IF(C69="見頂",pe_peak,IF(C69="谷底",pe_trough,pe_mid))</f>
        <v>33.13</v>
      </c>
      <c r="E69" s="0" t="str">
        <f aca="false">IF(B69=2029,"是：營收到觀測期末仍在增加","否")</f>
        <v>是：營收到觀測期末仍在增加</v>
      </c>
      <c r="F69" s="4" t="s">
        <v>39</v>
      </c>
    </row>
    <row r="70" customFormat="false" ht="15" hidden="false" customHeight="false" outlineLevel="0" collapsed="false">
      <c r="A70" s="0" t="s">
        <v>690</v>
      </c>
      <c r="B70" s="0" t="n">
        <f aca="false">INDEX({2026,2027,2028,2029},MATCH(MAX(PL!D181:G181),PL!D181:G181,0))</f>
        <v>2027</v>
      </c>
      <c r="C70" s="0" t="str">
        <f aca="false">IF(B70=2029,"中段",IF(2027&lt;B70,"中段",IF(2027=B70,"見頂","谷底")))</f>
        <v>見頂</v>
      </c>
      <c r="D70" s="21" t="n">
        <f aca="false">IF(C70="見頂",pe_peak,IF(C70="谷底",pe_trough,pe_mid))</f>
        <v>22.84</v>
      </c>
      <c r="E70" s="0" t="str">
        <f aca="false">IF(B70=2029,"是：營收到觀測期末仍在增加","否")</f>
        <v>否</v>
      </c>
      <c r="F70" s="4" t="s">
        <v>39</v>
      </c>
    </row>
    <row r="72" customFormat="false" ht="17.15" hidden="false" customHeight="false" outlineLevel="0" collapsed="false">
      <c r="A72" s="6" t="s">
        <v>708</v>
      </c>
    </row>
    <row r="73" customFormat="false" ht="17.15" hidden="false" customHeight="false" outlineLevel="0" collapsed="false">
      <c r="A73" s="5" t="s">
        <v>702</v>
      </c>
      <c r="B73" s="15" t="s">
        <v>709</v>
      </c>
      <c r="C73" s="5" t="s">
        <v>710</v>
      </c>
      <c r="D73" s="5" t="s">
        <v>711</v>
      </c>
      <c r="E73" s="5" t="s">
        <v>712</v>
      </c>
      <c r="F73" s="5" t="s">
        <v>713</v>
      </c>
      <c r="G73" s="5" t="s">
        <v>714</v>
      </c>
    </row>
    <row r="74" customFormat="false" ht="15" hidden="false" customHeight="false" outlineLevel="0" collapsed="false">
      <c r="A74" s="10" t="s">
        <v>688</v>
      </c>
      <c r="B74" s="36" t="n">
        <f aca="false">PL!E15</f>
        <v>188.420142016462</v>
      </c>
      <c r="C74" s="36" t="n">
        <f aca="false">B74</f>
        <v>188.420142016462</v>
      </c>
      <c r="D74" s="37" t="n">
        <f aca="false">D68</f>
        <v>33.13</v>
      </c>
      <c r="E74" s="32" t="n">
        <f aca="false">C74*D74</f>
        <v>6242.35930500538</v>
      </c>
      <c r="F74" s="38" t="n">
        <f aca="false">E74/px-1</f>
        <v>0.0283952726532746</v>
      </c>
      <c r="G74" s="37" t="n">
        <f aca="false">px/C74</f>
        <v>32.2152394910608</v>
      </c>
    </row>
    <row r="75" customFormat="false" ht="15" hidden="false" customHeight="false" outlineLevel="0" collapsed="false">
      <c r="A75" s="10" t="s">
        <v>689</v>
      </c>
      <c r="B75" s="36" t="n">
        <f aca="false">PL!E29</f>
        <v>147.77851372504</v>
      </c>
      <c r="C75" s="36" t="n">
        <f aca="false">B75</f>
        <v>147.77851372504</v>
      </c>
      <c r="D75" s="37" t="n">
        <f aca="false">D69</f>
        <v>33.13</v>
      </c>
      <c r="E75" s="32" t="n">
        <f aca="false">C75*D75</f>
        <v>4895.90215971057</v>
      </c>
      <c r="F75" s="38" t="n">
        <f aca="false">E75/px-1</f>
        <v>-0.193426332831866</v>
      </c>
      <c r="G75" s="37" t="n">
        <f aca="false">px/C75</f>
        <v>41.0749834126359</v>
      </c>
    </row>
    <row r="76" customFormat="false" ht="15" hidden="false" customHeight="false" outlineLevel="0" collapsed="false">
      <c r="A76" s="10" t="s">
        <v>690</v>
      </c>
      <c r="B76" s="36" t="n">
        <f aca="false">PL!E43</f>
        <v>116.651952396307</v>
      </c>
      <c r="C76" s="36" t="n">
        <f aca="false">B76</f>
        <v>116.651952396307</v>
      </c>
      <c r="D76" s="37" t="n">
        <f aca="false">D70</f>
        <v>22.84</v>
      </c>
      <c r="E76" s="32" t="n">
        <f aca="false">C76*D76</f>
        <v>2664.33059273165</v>
      </c>
      <c r="F76" s="38" t="n">
        <f aca="false">E76/px-1</f>
        <v>-0.561065800208954</v>
      </c>
      <c r="G76" s="37" t="n">
        <f aca="false">px/C76</f>
        <v>52.0351342202839</v>
      </c>
    </row>
    <row r="78" customFormat="false" ht="17.15" hidden="false" customHeight="false" outlineLevel="0" collapsed="false">
      <c r="A78" s="6" t="s">
        <v>715</v>
      </c>
    </row>
    <row r="79" customFormat="false" ht="17.15" hidden="false" customHeight="false" outlineLevel="0" collapsed="false">
      <c r="A79" s="15" t="s">
        <v>716</v>
      </c>
      <c r="B79" s="5" t="s">
        <v>717</v>
      </c>
      <c r="C79" s="5" t="s">
        <v>718</v>
      </c>
      <c r="D79" s="5" t="s">
        <v>719</v>
      </c>
      <c r="E79" s="5" t="s">
        <v>720</v>
      </c>
    </row>
    <row r="80" customFormat="false" ht="15" hidden="false" customHeight="false" outlineLevel="0" collapsed="false">
      <c r="A80" s="20" t="n">
        <v>1</v>
      </c>
      <c r="B80" s="21" t="n">
        <f aca="false">px*A80/PL!F15</f>
        <v>23.4055971877015</v>
      </c>
      <c r="C80" s="21" t="n">
        <f aca="false">px*A80/PL!F29</f>
        <v>36.3714269207137</v>
      </c>
      <c r="D80" s="21" t="n">
        <f aca="false">px*A80/PL!F43</f>
        <v>60.2522286640741</v>
      </c>
      <c r="E80" s="21" t="n">
        <f aca="false">pe_mid</f>
        <v>33.13</v>
      </c>
    </row>
    <row r="81" customFormat="false" ht="15" hidden="false" customHeight="false" outlineLevel="0" collapsed="false">
      <c r="A81" s="20" t="n">
        <v>1.1</v>
      </c>
      <c r="B81" s="21" t="n">
        <f aca="false">px*A81/PL!F15</f>
        <v>25.7461569064716</v>
      </c>
      <c r="C81" s="21" t="n">
        <f aca="false">px*A81/PL!F29</f>
        <v>40.0085696127851</v>
      </c>
      <c r="D81" s="21" t="n">
        <f aca="false">px*A81/PL!F43</f>
        <v>66.2774515304816</v>
      </c>
      <c r="E81" s="21" t="n">
        <f aca="false">pe_mid</f>
        <v>33.13</v>
      </c>
    </row>
    <row r="82" customFormat="false" ht="15" hidden="false" customHeight="false" outlineLevel="0" collapsed="false">
      <c r="A82" s="20" t="n">
        <v>1.21</v>
      </c>
      <c r="B82" s="21" t="n">
        <f aca="false">px*A82/PL!F15</f>
        <v>28.3207725971188</v>
      </c>
      <c r="C82" s="21" t="n">
        <f aca="false">px*A82/PL!F29</f>
        <v>44.0094265740636</v>
      </c>
      <c r="D82" s="21" t="n">
        <f aca="false">px*A82/PL!F43</f>
        <v>72.9051966835297</v>
      </c>
      <c r="E82" s="21" t="n">
        <f aca="false">pe_mid</f>
        <v>33.13</v>
      </c>
    </row>
    <row r="83" customFormat="false" ht="15" hidden="false" customHeight="false" outlineLevel="0" collapsed="false">
      <c r="A83" s="20" t="n">
        <v>1.5</v>
      </c>
      <c r="B83" s="21" t="n">
        <f aca="false">px*A83/PL!F15</f>
        <v>35.1083957815522</v>
      </c>
      <c r="C83" s="21" t="n">
        <f aca="false">px*A83/PL!F29</f>
        <v>54.5571403810706</v>
      </c>
      <c r="D83" s="21" t="n">
        <f aca="false">px*A83/PL!F43</f>
        <v>90.3783429961112</v>
      </c>
      <c r="E83" s="21" t="n">
        <f aca="false">pe_mid</f>
        <v>33.13</v>
      </c>
    </row>
    <row r="84" customFormat="false" ht="15" hidden="false" customHeight="false" outlineLevel="0" collapsed="false">
      <c r="A84" s="20" t="n">
        <v>2</v>
      </c>
      <c r="B84" s="21" t="n">
        <f aca="false">px*A84/PL!F15</f>
        <v>46.811194375403</v>
      </c>
      <c r="C84" s="21" t="n">
        <f aca="false">px*A84/PL!F29</f>
        <v>72.7428538414274</v>
      </c>
      <c r="D84" s="21" t="n">
        <f aca="false">px*A84/PL!F43</f>
        <v>120.504457328148</v>
      </c>
      <c r="E84" s="21" t="n">
        <f aca="false">pe_mid</f>
        <v>33.13</v>
      </c>
    </row>
    <row r="85" customFormat="false" ht="17.15" hidden="false" customHeight="false" outlineLevel="0" collapsed="false">
      <c r="A85" s="4" t="s">
        <v>721</v>
      </c>
    </row>
    <row r="88" customFormat="false" ht="17.15" hidden="false" customHeight="false" outlineLevel="0" collapsed="false">
      <c r="A88" s="6" t="s">
        <v>722</v>
      </c>
    </row>
    <row r="89" customFormat="false" ht="17.15" hidden="false" customHeight="false" outlineLevel="0" collapsed="false">
      <c r="A89" s="4" t="s">
        <v>723</v>
      </c>
    </row>
    <row r="91" customFormat="false" ht="17.15" hidden="false" customHeight="false" outlineLevel="0" collapsed="false">
      <c r="A91" s="6" t="s">
        <v>724</v>
      </c>
    </row>
    <row r="92" customFormat="false" ht="17.15" hidden="false" customHeight="false" outlineLevel="0" collapsed="false">
      <c r="A92" s="5" t="s">
        <v>725</v>
      </c>
      <c r="B92" s="15" t="s">
        <v>726</v>
      </c>
      <c r="C92" s="15" t="s">
        <v>727</v>
      </c>
      <c r="D92" s="5" t="s">
        <v>728</v>
      </c>
    </row>
    <row r="93" customFormat="false" ht="17.15" hidden="false" customHeight="false" outlineLevel="0" collapsed="false">
      <c r="A93" s="0" t="s">
        <v>729</v>
      </c>
      <c r="B93" s="19" t="n">
        <f aca="false">47.5/2.32</f>
        <v>20.4741379310345</v>
      </c>
      <c r="D93" s="8" t="s">
        <v>730</v>
      </c>
    </row>
    <row r="94" customFormat="false" ht="17.15" hidden="false" customHeight="false" outlineLevel="0" collapsed="false">
      <c r="A94" s="0" t="s">
        <v>731</v>
      </c>
      <c r="B94" s="19" t="n">
        <f aca="false">66.7/2.19</f>
        <v>30.4566210045662</v>
      </c>
      <c r="D94" s="8" t="s">
        <v>732</v>
      </c>
    </row>
    <row r="95" customFormat="false" ht="15" hidden="false" customHeight="false" outlineLevel="0" collapsed="false">
      <c r="A95" s="0" t="s">
        <v>733</v>
      </c>
      <c r="B95" s="19" t="n">
        <f aca="false">78.2/4.61</f>
        <v>16.9631236442516</v>
      </c>
    </row>
    <row r="96" customFormat="false" ht="15" hidden="false" customHeight="false" outlineLevel="0" collapsed="false">
      <c r="A96" s="0" t="s">
        <v>734</v>
      </c>
      <c r="B96" s="19" t="n">
        <f aca="false">234.5/6.55</f>
        <v>35.8015267175573</v>
      </c>
    </row>
    <row r="97" customFormat="false" ht="15" hidden="false" customHeight="false" outlineLevel="0" collapsed="false">
      <c r="A97" s="0" t="s">
        <v>735</v>
      </c>
      <c r="B97" s="19" t="n">
        <f aca="false">247.5/8.27</f>
        <v>29.9274486094317</v>
      </c>
    </row>
    <row r="98" customFormat="false" ht="15" hidden="false" customHeight="false" outlineLevel="0" collapsed="false">
      <c r="A98" s="0" t="s">
        <v>736</v>
      </c>
      <c r="B98" s="19" t="n">
        <f aca="false">408/9.88</f>
        <v>41.2955465587045</v>
      </c>
      <c r="C98" s="20" t="n">
        <v>41.68</v>
      </c>
    </row>
    <row r="99" customFormat="false" ht="15" hidden="false" customHeight="false" outlineLevel="0" collapsed="false">
      <c r="A99" s="0" t="s">
        <v>737</v>
      </c>
      <c r="B99" s="19" t="n">
        <f aca="false">376.5/19.54</f>
        <v>19.2681678607984</v>
      </c>
      <c r="C99" s="20" t="n">
        <v>19.49</v>
      </c>
    </row>
    <row r="100" customFormat="false" ht="15" hidden="false" customHeight="false" outlineLevel="0" collapsed="false">
      <c r="A100" s="0" t="s">
        <v>738</v>
      </c>
      <c r="B100" s="19" t="n">
        <f aca="false">769/16.59</f>
        <v>46.3532248342375</v>
      </c>
      <c r="C100" s="20" t="n">
        <v>47.12</v>
      </c>
    </row>
    <row r="101" customFormat="false" ht="15" hidden="false" customHeight="false" outlineLevel="0" collapsed="false">
      <c r="A101" s="0" t="s">
        <v>739</v>
      </c>
      <c r="B101" s="19" t="n">
        <f aca="false">1525/24.15</f>
        <v>63.1469979296066</v>
      </c>
      <c r="C101" s="20" t="n">
        <v>63.57</v>
      </c>
    </row>
    <row r="102" customFormat="false" ht="15" hidden="false" customHeight="false" outlineLevel="0" collapsed="false">
      <c r="A102" s="0" t="s">
        <v>740</v>
      </c>
      <c r="B102" s="19" t="n">
        <f aca="false">2745/36.75</f>
        <v>74.6938775510204</v>
      </c>
      <c r="C102" s="20" t="n">
        <v>74.34</v>
      </c>
    </row>
    <row r="103" customFormat="false" ht="17.15" hidden="false" customHeight="false" outlineLevel="0" collapsed="false">
      <c r="A103" s="0" t="s">
        <v>741</v>
      </c>
      <c r="B103" s="19" t="n">
        <f aca="false">PERCENTILE(B93:B102,0.25)</f>
        <v>22.8374656006338</v>
      </c>
      <c r="C103" s="19" t="n">
        <f aca="false">PERCENTILE(C93:C102,0.25)</f>
        <v>41.68</v>
      </c>
    </row>
    <row r="104" customFormat="false" ht="15" hidden="false" customHeight="false" outlineLevel="0" collapsed="false">
      <c r="A104" s="4" t="s">
        <v>742</v>
      </c>
      <c r="B104" s="19" t="n">
        <f aca="false">MEDIAN(B93:B102)</f>
        <v>33.1290738610617</v>
      </c>
      <c r="C104" s="19" t="n">
        <f aca="false">MEDIAN(C93:C102)</f>
        <v>47.12</v>
      </c>
    </row>
    <row r="105" customFormat="false" ht="17.15" hidden="false" customHeight="false" outlineLevel="0" collapsed="false">
      <c r="A105" s="0" t="s">
        <v>743</v>
      </c>
      <c r="B105" s="19" t="n">
        <f aca="false">PERCENTILE(B93:B102,0.75)</f>
        <v>45.0888052653542</v>
      </c>
      <c r="C105" s="19" t="n">
        <f aca="false">PERCENTILE(C93:C102,0.75)</f>
        <v>63.57</v>
      </c>
    </row>
    <row r="106" customFormat="false" ht="15" hidden="false" customHeight="false" outlineLevel="0" collapsed="false">
      <c r="A106" s="4" t="s">
        <v>744</v>
      </c>
      <c r="B106" s="19" t="n">
        <f aca="false">MIN(B93:B102)</f>
        <v>16.9631236442516</v>
      </c>
      <c r="C106" s="19" t="n">
        <f aca="false">MIN(C93:C102)</f>
        <v>19.49</v>
      </c>
    </row>
    <row r="107" customFormat="false" ht="15" hidden="false" customHeight="false" outlineLevel="0" collapsed="false">
      <c r="A107" s="4" t="s">
        <v>745</v>
      </c>
      <c r="B107" s="19" t="n">
        <f aca="false">MAX(B93:B102)</f>
        <v>74.6938775510204</v>
      </c>
      <c r="C107" s="19" t="n">
        <f aca="false">MAX(C93:C102)</f>
        <v>74.34</v>
      </c>
    </row>
    <row r="108" customFormat="false" ht="17.15" hidden="false" customHeight="false" outlineLevel="0" collapsed="false">
      <c r="A108" s="1" t="s">
        <v>746</v>
      </c>
      <c r="B108" s="19" t="n">
        <f aca="false">ROUND(AVERAGE(B103),2)</f>
        <v>22.84</v>
      </c>
    </row>
    <row r="109" customFormat="false" ht="17.15" hidden="false" customHeight="false" outlineLevel="0" collapsed="false">
      <c r="A109" s="1" t="s">
        <v>747</v>
      </c>
      <c r="B109" s="19" t="n">
        <f aca="false">ROUND(AVERAGE(B104),2)</f>
        <v>33.13</v>
      </c>
    </row>
    <row r="110" customFormat="false" ht="17.15" hidden="false" customHeight="false" outlineLevel="0" collapsed="false">
      <c r="A110" s="1" t="s">
        <v>748</v>
      </c>
      <c r="B110" s="19" t="n">
        <f aca="false">ROUND(AVERAGE(B105),2)</f>
        <v>45.09</v>
      </c>
    </row>
    <row r="111" customFormat="false" ht="17.15" hidden="false" customHeight="false" outlineLevel="0" collapsed="false">
      <c r="A111" s="1" t="s">
        <v>749</v>
      </c>
      <c r="B111" s="19" t="n">
        <f aca="false">ROUND(MIN(B106),2)</f>
        <v>16.96</v>
      </c>
    </row>
    <row r="112" customFormat="false" ht="17.15" hidden="false" customHeight="false" outlineLevel="0" collapsed="false">
      <c r="A112" s="1" t="s">
        <v>750</v>
      </c>
      <c r="B112" s="19" t="n">
        <f aca="false">ROUND(MAX(B107),2)</f>
        <v>74.69</v>
      </c>
    </row>
    <row r="114" customFormat="false" ht="17.15" hidden="false" customHeight="false" outlineLevel="0" collapsed="false">
      <c r="A114" s="6" t="s">
        <v>751</v>
      </c>
    </row>
    <row r="115" customFormat="false" ht="17.15" hidden="false" customHeight="false" outlineLevel="0" collapsed="false">
      <c r="A115" s="5" t="s">
        <v>752</v>
      </c>
      <c r="B115" s="5" t="s">
        <v>753</v>
      </c>
      <c r="C115" s="5" t="s">
        <v>754</v>
      </c>
      <c r="D115" s="5" t="s">
        <v>25</v>
      </c>
      <c r="E115" s="5" t="s">
        <v>755</v>
      </c>
      <c r="F115" s="5" t="s">
        <v>712</v>
      </c>
      <c r="G115" s="5" t="s">
        <v>756</v>
      </c>
      <c r="H115" s="5" t="s">
        <v>757</v>
      </c>
    </row>
    <row r="116" customFormat="false" ht="17.15" hidden="false" customHeight="false" outlineLevel="0" collapsed="false">
      <c r="A116" s="4" t="s">
        <v>758</v>
      </c>
      <c r="B116" s="0" t="s">
        <v>759</v>
      </c>
      <c r="C116" s="19" t="n">
        <f aca="false">B108</f>
        <v>22.84</v>
      </c>
      <c r="D116" s="8" t="s">
        <v>760</v>
      </c>
      <c r="E116" s="29" t="n">
        <f aca="false">C75</f>
        <v>147.77851372504</v>
      </c>
      <c r="F116" s="24" t="n">
        <f aca="false">C116*E116</f>
        <v>3375.26125347991</v>
      </c>
      <c r="G116" s="18" t="n">
        <f aca="false">F116/px-1</f>
        <v>-0.443943780316324</v>
      </c>
      <c r="H116" s="19" t="n">
        <f aca="false">px/E116</f>
        <v>41.0749834126359</v>
      </c>
    </row>
    <row r="117" customFormat="false" ht="17.15" hidden="false" customHeight="false" outlineLevel="0" collapsed="false">
      <c r="A117" s="4" t="s">
        <v>761</v>
      </c>
      <c r="B117" s="4" t="s">
        <v>762</v>
      </c>
      <c r="C117" s="19" t="n">
        <f aca="false">B109</f>
        <v>33.13</v>
      </c>
      <c r="D117" s="8" t="s">
        <v>760</v>
      </c>
      <c r="E117" s="29" t="n">
        <f aca="false">C75</f>
        <v>147.77851372504</v>
      </c>
      <c r="F117" s="24" t="n">
        <f aca="false">C117*E117</f>
        <v>4895.90215971057</v>
      </c>
      <c r="G117" s="18" t="n">
        <f aca="false">F117/px-1</f>
        <v>-0.193426332831866</v>
      </c>
      <c r="H117" s="19" t="n">
        <f aca="false">px/E117</f>
        <v>41.0749834126359</v>
      </c>
    </row>
    <row r="118" customFormat="false" ht="17.15" hidden="false" customHeight="false" outlineLevel="0" collapsed="false">
      <c r="A118" s="4" t="s">
        <v>763</v>
      </c>
      <c r="B118" s="0" t="s">
        <v>764</v>
      </c>
      <c r="C118" s="19" t="n">
        <f aca="false">B110</f>
        <v>45.09</v>
      </c>
      <c r="D118" s="8" t="s">
        <v>760</v>
      </c>
      <c r="E118" s="29" t="n">
        <f aca="false">C75</f>
        <v>147.77851372504</v>
      </c>
      <c r="F118" s="24" t="n">
        <f aca="false">C118*E118</f>
        <v>6663.33318386205</v>
      </c>
      <c r="G118" s="18" t="n">
        <f aca="false">F118/px-1</f>
        <v>0.0977484652161536</v>
      </c>
      <c r="H118" s="19" t="n">
        <f aca="false">px/E118</f>
        <v>41.0749834126359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765</v>
      </c>
    </row>
    <row r="3" customFormat="false" ht="17.15" hidden="false" customHeight="false" outlineLevel="0" collapsed="false">
      <c r="A3" s="5" t="s">
        <v>22</v>
      </c>
      <c r="B3" s="5" t="s">
        <v>766</v>
      </c>
      <c r="C3" s="5" t="s">
        <v>767</v>
      </c>
      <c r="D3" s="5" t="s">
        <v>768</v>
      </c>
      <c r="E3" s="5" t="s">
        <v>769</v>
      </c>
      <c r="F3" s="5" t="s">
        <v>770</v>
      </c>
      <c r="G3" s="5" t="s">
        <v>771</v>
      </c>
      <c r="H3" s="5" t="s">
        <v>772</v>
      </c>
      <c r="I3" s="5" t="s">
        <v>773</v>
      </c>
      <c r="J3" s="5" t="s">
        <v>523</v>
      </c>
    </row>
    <row r="4" customFormat="false" ht="17.15" hidden="false" customHeight="false" outlineLevel="0" collapsed="false">
      <c r="A4" s="6" t="s">
        <v>774</v>
      </c>
    </row>
    <row r="5" customFormat="false" ht="17.15" hidden="false" customHeight="false" outlineLevel="0" collapsed="false">
      <c r="A5" s="0" t="s">
        <v>775</v>
      </c>
      <c r="B5" s="24" t="n">
        <f aca="false">cons_rev26</f>
        <v>32.7</v>
      </c>
      <c r="C5" s="24" t="n">
        <f aca="false">PL!D87</f>
        <v>32.5153</v>
      </c>
      <c r="D5" s="18" t="n">
        <f aca="false">C5/B5-1</f>
        <v>-0.00564831804281341</v>
      </c>
      <c r="E5" s="24" t="n">
        <f aca="false">PL!D134</f>
        <v>32.5153</v>
      </c>
      <c r="F5" s="18" t="n">
        <f aca="false">E5/B5-1</f>
        <v>-0.00564831804281341</v>
      </c>
      <c r="G5" s="24" t="n">
        <f aca="false">PL!D181</f>
        <v>32.5153</v>
      </c>
      <c r="H5" s="18" t="n">
        <f aca="false">G5/B5-1</f>
        <v>-0.00564831804281341</v>
      </c>
      <c r="I5" s="8" t="s">
        <v>776</v>
      </c>
    </row>
    <row r="6" customFormat="false" ht="17.15" hidden="false" customHeight="false" outlineLevel="0" collapsed="false">
      <c r="A6" s="0" t="s">
        <v>777</v>
      </c>
      <c r="B6" s="29" t="n">
        <f aca="false">cons_eps26</f>
        <v>69.96</v>
      </c>
      <c r="C6" s="29" t="n">
        <f aca="false">PL!D102</f>
        <v>70.5109641019174</v>
      </c>
      <c r="D6" s="18" t="n">
        <f aca="false">C6/B6-1</f>
        <v>0.00787541597937969</v>
      </c>
      <c r="E6" s="29" t="n">
        <f aca="false">PL!D149</f>
        <v>70.5109641019174</v>
      </c>
      <c r="F6" s="18" t="n">
        <f aca="false">E6/B6-1</f>
        <v>0.00787541597937969</v>
      </c>
      <c r="G6" s="29" t="n">
        <f aca="false">PL!D196</f>
        <v>70.5109641019174</v>
      </c>
      <c r="H6" s="18" t="n">
        <f aca="false">G6/B6-1</f>
        <v>0.00787541597937969</v>
      </c>
      <c r="I6" s="8" t="s">
        <v>776</v>
      </c>
      <c r="J6" s="8" t="s">
        <v>778</v>
      </c>
    </row>
    <row r="7" customFormat="false" ht="17.15" hidden="false" customHeight="false" outlineLevel="0" collapsed="false">
      <c r="A7" s="0" t="s">
        <v>779</v>
      </c>
      <c r="B7" s="29" t="n">
        <f aca="false">ab_eps26</f>
        <v>71</v>
      </c>
      <c r="C7" s="29" t="n">
        <f aca="false">PL!D102</f>
        <v>70.5109641019174</v>
      </c>
      <c r="D7" s="18" t="n">
        <f aca="false">C7/B7-1</f>
        <v>-0.00688782955045919</v>
      </c>
      <c r="E7" s="29" t="n">
        <f aca="false">PL!D149</f>
        <v>70.5109641019174</v>
      </c>
      <c r="F7" s="18" t="n">
        <f aca="false">E7/B7-1</f>
        <v>-0.00688782955045919</v>
      </c>
      <c r="G7" s="29" t="n">
        <f aca="false">PL!D196</f>
        <v>70.5109641019174</v>
      </c>
      <c r="H7" s="18" t="n">
        <f aca="false">G7/B7-1</f>
        <v>-0.00688782955045919</v>
      </c>
      <c r="I7" s="4" t="s">
        <v>780</v>
      </c>
    </row>
    <row r="8" customFormat="false" ht="17.15" hidden="false" customHeight="false" outlineLevel="0" collapsed="false">
      <c r="A8" s="0" t="s">
        <v>781</v>
      </c>
      <c r="B8" s="29" t="n">
        <f aca="false">dw_q3rev</f>
        <v>9.65</v>
      </c>
      <c r="C8" s="29" t="n">
        <f aca="false">Q!D4</f>
        <v>9.493</v>
      </c>
      <c r="D8" s="18" t="n">
        <f aca="false">C8/B8-1</f>
        <v>-0.0162694300518135</v>
      </c>
      <c r="E8" s="29" t="n">
        <f aca="false">Q!D4</f>
        <v>9.493</v>
      </c>
      <c r="F8" s="18" t="n">
        <f aca="false">E8/B8-1</f>
        <v>-0.0162694300518135</v>
      </c>
      <c r="G8" s="29" t="n">
        <f aca="false">Q!D4</f>
        <v>9.493</v>
      </c>
      <c r="H8" s="18" t="n">
        <f aca="false">G8/B8-1</f>
        <v>-0.0162694300518135</v>
      </c>
      <c r="I8" s="4" t="s">
        <v>782</v>
      </c>
      <c r="J8" s="4" t="s">
        <v>783</v>
      </c>
    </row>
    <row r="9" customFormat="false" ht="17.15" hidden="false" customHeight="false" outlineLevel="0" collapsed="false">
      <c r="A9" s="0" t="s">
        <v>784</v>
      </c>
      <c r="B9" s="29" t="n">
        <f aca="false">dw_q3eps</f>
        <v>22.77</v>
      </c>
      <c r="C9" s="29" t="n">
        <f aca="false">Q!D15</f>
        <v>21.5356486496905</v>
      </c>
      <c r="D9" s="18" t="n">
        <f aca="false">C9/B9-1</f>
        <v>-0.0542095454681365</v>
      </c>
      <c r="E9" s="29" t="n">
        <f aca="false">Q!D15</f>
        <v>21.5356486496905</v>
      </c>
      <c r="F9" s="18" t="n">
        <f aca="false">E9/B9-1</f>
        <v>-0.0542095454681365</v>
      </c>
      <c r="G9" s="29" t="n">
        <f aca="false">Q!D15</f>
        <v>21.5356486496905</v>
      </c>
      <c r="H9" s="18" t="n">
        <f aca="false">G9/B9-1</f>
        <v>-0.0542095454681365</v>
      </c>
      <c r="I9" s="4" t="s">
        <v>782</v>
      </c>
      <c r="J9" s="8" t="s">
        <v>394</v>
      </c>
    </row>
    <row r="10" customFormat="false" ht="17.15" hidden="false" customHeight="false" outlineLevel="0" collapsed="false">
      <c r="A10" s="0" t="s">
        <v>785</v>
      </c>
      <c r="B10" s="24" t="n">
        <f aca="false">fs_rev27</f>
        <v>51.836</v>
      </c>
      <c r="C10" s="24" t="n">
        <f aca="false">PL!E87</f>
        <v>77.9642006737486</v>
      </c>
      <c r="D10" s="18" t="n">
        <f aca="false">C10/B10-1</f>
        <v>0.504055109841589</v>
      </c>
      <c r="E10" s="24" t="n">
        <f aca="false">PL!E134</f>
        <v>62.2050782002417</v>
      </c>
      <c r="F10" s="18" t="n">
        <f aca="false">E10/B10-1</f>
        <v>0.200036233510334</v>
      </c>
      <c r="G10" s="24" t="n">
        <f aca="false">PL!E181</f>
        <v>50.238365346987</v>
      </c>
      <c r="H10" s="18" t="n">
        <f aca="false">G10/B10-1</f>
        <v>-0.0308209478550238</v>
      </c>
      <c r="I10" s="8" t="s">
        <v>786</v>
      </c>
      <c r="J10" s="4" t="s">
        <v>787</v>
      </c>
    </row>
    <row r="11" customFormat="false" ht="17.15" hidden="false" customHeight="false" outlineLevel="0" collapsed="false">
      <c r="A11" s="0" t="s">
        <v>788</v>
      </c>
      <c r="B11" s="29" t="n">
        <f aca="false">fs_eps27</f>
        <v>117.18</v>
      </c>
      <c r="C11" s="29" t="n">
        <f aca="false">PL!E102</f>
        <v>188.420142016462</v>
      </c>
      <c r="D11" s="18" t="n">
        <f aca="false">C11/B11-1</f>
        <v>0.607954787646883</v>
      </c>
      <c r="E11" s="29" t="n">
        <f aca="false">PL!E149</f>
        <v>147.77851372504</v>
      </c>
      <c r="F11" s="18" t="n">
        <f aca="false">E11/B11-1</f>
        <v>0.2611240290582</v>
      </c>
      <c r="G11" s="29" t="n">
        <f aca="false">PL!E196</f>
        <v>116.651952396307</v>
      </c>
      <c r="H11" s="18" t="n">
        <f aca="false">G11/B11-1</f>
        <v>-0.00450629462103602</v>
      </c>
      <c r="I11" s="8" t="s">
        <v>786</v>
      </c>
      <c r="J11" s="4" t="s">
        <v>789</v>
      </c>
    </row>
    <row r="12" customFormat="false" ht="17.15" hidden="false" customHeight="false" outlineLevel="0" collapsed="false">
      <c r="A12" s="0" t="s">
        <v>790</v>
      </c>
      <c r="B12" s="29" t="n">
        <f aca="false">ab_eps27</f>
        <v>151</v>
      </c>
      <c r="C12" s="29" t="n">
        <f aca="false">PL!E102</f>
        <v>188.420142016462</v>
      </c>
      <c r="D12" s="18" t="n">
        <f aca="false">C12/B12-1</f>
        <v>0.247815510042793</v>
      </c>
      <c r="E12" s="29" t="n">
        <f aca="false">PL!E149</f>
        <v>147.77851372504</v>
      </c>
      <c r="F12" s="18" t="n">
        <f aca="false">E12/B12-1</f>
        <v>-0.0213343461917884</v>
      </c>
      <c r="G12" s="29" t="n">
        <f aca="false">PL!E196</f>
        <v>116.651952396307</v>
      </c>
      <c r="H12" s="18" t="n">
        <f aca="false">G12/B12-1</f>
        <v>-0.227470513931742</v>
      </c>
      <c r="I12" s="4" t="s">
        <v>780</v>
      </c>
    </row>
    <row r="13" customFormat="false" ht="17.15" hidden="false" customHeight="false" outlineLevel="0" collapsed="false">
      <c r="A13" s="0" t="s">
        <v>791</v>
      </c>
      <c r="B13" s="29" t="n">
        <f aca="false">mw_eps27</f>
        <v>123.83</v>
      </c>
      <c r="C13" s="29" t="n">
        <f aca="false">PL!E102</f>
        <v>188.420142016462</v>
      </c>
      <c r="D13" s="18" t="n">
        <f aca="false">C13/B13-1</f>
        <v>0.521603343426163</v>
      </c>
      <c r="E13" s="29" t="n">
        <f aca="false">PL!E149</f>
        <v>147.77851372504</v>
      </c>
      <c r="F13" s="18" t="n">
        <f aca="false">E13/B13-1</f>
        <v>0.193398318057336</v>
      </c>
      <c r="G13" s="29" t="n">
        <f aca="false">PL!E196</f>
        <v>116.651952396307</v>
      </c>
      <c r="H13" s="18" t="n">
        <f aca="false">G13/B13-1</f>
        <v>-0.0579669514955422</v>
      </c>
      <c r="I13" s="4" t="s">
        <v>386</v>
      </c>
    </row>
    <row r="14" customFormat="false" ht="17.15" hidden="false" customHeight="false" outlineLevel="0" collapsed="false">
      <c r="A14" s="0" t="s">
        <v>792</v>
      </c>
      <c r="B14" s="18" t="n">
        <f aca="false">ld_g27</f>
        <v>1.47</v>
      </c>
      <c r="C14" s="18" t="n">
        <f aca="false">PL!E88</f>
        <v>1.39776968607851</v>
      </c>
      <c r="D14" s="18" t="n">
        <f aca="false">C14-B14</f>
        <v>-0.0722303139214888</v>
      </c>
      <c r="E14" s="18" t="n">
        <f aca="false">PL!E135</f>
        <v>0.913101776709477</v>
      </c>
      <c r="F14" s="18" t="n">
        <f aca="false">E14-B14</f>
        <v>-0.556898223290523</v>
      </c>
      <c r="G14" s="18" t="n">
        <f aca="false">PL!E182</f>
        <v>0.545068486127669</v>
      </c>
      <c r="H14" s="18" t="n">
        <f aca="false">G14-B14</f>
        <v>-0.924931513872331</v>
      </c>
      <c r="I14" s="4" t="s">
        <v>399</v>
      </c>
    </row>
    <row r="15" customFormat="false" ht="17.15" hidden="false" customHeight="false" outlineLevel="0" collapsed="false">
      <c r="A15" s="0" t="s">
        <v>793</v>
      </c>
      <c r="B15" s="24" t="n">
        <f aca="false">fs_rev28</f>
        <v>80.811</v>
      </c>
      <c r="C15" s="24" t="n">
        <f aca="false">PL!F87</f>
        <v>106.641469398355</v>
      </c>
      <c r="D15" s="18" t="n">
        <f aca="false">C15/B15-1</f>
        <v>0.31964051179116</v>
      </c>
      <c r="E15" s="24" t="n">
        <f aca="false">PL!F134</f>
        <v>70.3244403926674</v>
      </c>
      <c r="F15" s="18" t="n">
        <f aca="false">E15/B15-1</f>
        <v>-0.129766487326387</v>
      </c>
      <c r="G15" s="24" t="n">
        <f aca="false">PL!F181</f>
        <v>45.4146932321498</v>
      </c>
      <c r="H15" s="18" t="n">
        <f aca="false">G15/B15-1</f>
        <v>-0.438013473015433</v>
      </c>
      <c r="I15" s="8" t="s">
        <v>786</v>
      </c>
    </row>
    <row r="16" customFormat="false" ht="17.15" hidden="false" customHeight="false" outlineLevel="0" collapsed="false">
      <c r="A16" s="0" t="s">
        <v>794</v>
      </c>
      <c r="B16" s="29" t="n">
        <f aca="false">fs_eps28</f>
        <v>204.29</v>
      </c>
      <c r="C16" s="29" t="n">
        <f aca="false">PL!F102</f>
        <v>259.339676374055</v>
      </c>
      <c r="D16" s="18" t="n">
        <f aca="false">C16/B16-1</f>
        <v>0.269468287111729</v>
      </c>
      <c r="E16" s="29" t="n">
        <f aca="false">PL!F149</f>
        <v>166.889245594681</v>
      </c>
      <c r="F16" s="18" t="n">
        <f aca="false">E16/B16-1</f>
        <v>-0.183076775198583</v>
      </c>
      <c r="G16" s="29" t="n">
        <f aca="false">PL!F196</f>
        <v>100.74316144955</v>
      </c>
      <c r="H16" s="18" t="n">
        <f aca="false">G16/B16-1</f>
        <v>-0.506862002792356</v>
      </c>
      <c r="I16" s="8" t="s">
        <v>786</v>
      </c>
      <c r="J16" s="4" t="s">
        <v>795</v>
      </c>
    </row>
    <row r="17" customFormat="false" ht="17.15" hidden="false" customHeight="false" outlineLevel="0" collapsed="false">
      <c r="A17" s="0" t="s">
        <v>796</v>
      </c>
      <c r="B17" s="29" t="n">
        <f aca="false">ab_eps28</f>
        <v>262</v>
      </c>
      <c r="C17" s="29" t="n">
        <f aca="false">PL!F102</f>
        <v>259.339676374055</v>
      </c>
      <c r="D17" s="18" t="n">
        <f aca="false">C17/B17-1</f>
        <v>-0.0101539069692553</v>
      </c>
      <c r="E17" s="29" t="n">
        <f aca="false">PL!F149</f>
        <v>166.889245594681</v>
      </c>
      <c r="F17" s="18" t="n">
        <f aca="false">E17/B17-1</f>
        <v>-0.363018146585185</v>
      </c>
      <c r="G17" s="29" t="n">
        <f aca="false">PL!F196</f>
        <v>100.74316144955</v>
      </c>
      <c r="H17" s="18" t="n">
        <f aca="false">G17/B17-1</f>
        <v>-0.615484116604773</v>
      </c>
      <c r="I17" s="4" t="s">
        <v>780</v>
      </c>
    </row>
    <row r="18" customFormat="false" ht="17.15" hidden="false" customHeight="false" outlineLevel="0" collapsed="false">
      <c r="A18" s="6" t="s">
        <v>797</v>
      </c>
    </row>
    <row r="19" customFormat="false" ht="17.15" hidden="false" customHeight="false" outlineLevel="0" collapsed="false">
      <c r="A19" s="0" t="s">
        <v>798</v>
      </c>
      <c r="C19" s="18" t="n">
        <f aca="false">PL!D75</f>
        <v>0.882225417842414</v>
      </c>
      <c r="E19" s="18" t="n">
        <f aca="false">PL!D122</f>
        <v>0.882225417842414</v>
      </c>
      <c r="G19" s="18" t="n">
        <f aca="false">PL!D169</f>
        <v>0.882225417842414</v>
      </c>
      <c r="I19" s="8" t="s">
        <v>147</v>
      </c>
      <c r="J19" s="4" t="s">
        <v>799</v>
      </c>
    </row>
    <row r="20" customFormat="false" ht="17.15" hidden="false" customHeight="false" outlineLevel="0" collapsed="false">
      <c r="A20" s="0" t="s">
        <v>800</v>
      </c>
      <c r="C20" s="18" t="n">
        <f aca="false">PL!D79/fx/PL!D74</f>
        <v>0.67515157807309</v>
      </c>
      <c r="E20" s="18" t="n">
        <f aca="false">PL!D126/fx/PL!D121</f>
        <v>0.67515157807309</v>
      </c>
      <c r="G20" s="18" t="n">
        <f aca="false">PL!D173/fx/PL!D168</f>
        <v>0.67515157807309</v>
      </c>
      <c r="I20" s="8" t="s">
        <v>147</v>
      </c>
    </row>
    <row r="21" customFormat="false" ht="17.15" hidden="false" customHeight="false" outlineLevel="0" collapsed="false">
      <c r="A21" s="0" t="s">
        <v>801</v>
      </c>
      <c r="C21" s="18" t="n">
        <f aca="false">avshA_27+PL!E82</f>
        <v>0.488981259060843</v>
      </c>
      <c r="E21" s="18" t="n">
        <f aca="false">avshB_27+PL!E129</f>
        <v>0.481981259060843</v>
      </c>
      <c r="G21" s="18" t="n">
        <f aca="false">avshC_27+PL!E176</f>
        <v>0.476981259060843</v>
      </c>
      <c r="I21" s="8" t="s">
        <v>802</v>
      </c>
      <c r="J21" s="4" t="s">
        <v>803</v>
      </c>
    </row>
    <row r="22" customFormat="false" ht="17.15" hidden="false" customHeight="false" outlineLevel="0" collapsed="false">
      <c r="A22" s="0" t="s">
        <v>804</v>
      </c>
      <c r="C22" s="18" t="n">
        <f aca="false">avshA_28+PL!F82</f>
        <v>0.479034877005009</v>
      </c>
      <c r="E22" s="18" t="n">
        <f aca="false">avshB_28+PL!F129</f>
        <v>0.464034877005009</v>
      </c>
      <c r="G22" s="18" t="n">
        <f aca="false">avshC_28+PL!F176</f>
        <v>0.455034877005009</v>
      </c>
      <c r="I22" s="8" t="s">
        <v>802</v>
      </c>
      <c r="J22" s="8" t="s">
        <v>147</v>
      </c>
    </row>
    <row r="23" customFormat="false" ht="17.15" hidden="false" customHeight="false" outlineLevel="0" collapsed="false">
      <c r="A23" s="0" t="s">
        <v>805</v>
      </c>
      <c r="C23" s="18" t="n">
        <f aca="false">avshA_29+PL!G82</f>
        <v>0.469088494949176</v>
      </c>
      <c r="E23" s="18" t="n">
        <f aca="false">avshB_29+PL!G129</f>
        <v>0.449088494949176</v>
      </c>
      <c r="G23" s="18" t="n">
        <f aca="false">avshC_29+PL!G176</f>
        <v>0.434088494949176</v>
      </c>
      <c r="I23" s="8" t="s">
        <v>802</v>
      </c>
      <c r="J23" s="8" t="s">
        <v>147</v>
      </c>
    </row>
    <row r="24" customFormat="false" ht="17.15" hidden="false" customHeight="false" outlineLevel="0" collapsed="false">
      <c r="A24" s="0" t="s">
        <v>806</v>
      </c>
      <c r="B24" s="22" t="n">
        <f aca="false">200</f>
        <v>200</v>
      </c>
      <c r="C24" s="22" t="n">
        <f aca="false">PL!E69</f>
        <v>200</v>
      </c>
      <c r="D24" s="18" t="n">
        <f aca="false">C24/B24-1</f>
        <v>0</v>
      </c>
      <c r="E24" s="22" t="n">
        <f aca="false">PL!E116</f>
        <v>150</v>
      </c>
      <c r="F24" s="18" t="n">
        <f aca="false">E24/B24-1</f>
        <v>-0.25</v>
      </c>
      <c r="G24" s="22" t="n">
        <f aca="false">PL!E163</f>
        <v>110</v>
      </c>
      <c r="H24" s="18" t="n">
        <f aca="false">G24/B24-1</f>
        <v>-0.45</v>
      </c>
      <c r="I24" s="4" t="s">
        <v>399</v>
      </c>
      <c r="J24" s="4" t="s">
        <v>807</v>
      </c>
    </row>
    <row r="25" customFormat="false" ht="17.15" hidden="false" customHeight="false" outlineLevel="0" collapsed="false">
      <c r="A25" s="0" t="s">
        <v>808</v>
      </c>
      <c r="C25" s="24" t="n">
        <f aca="false">PL!E90</f>
        <v>67.6372820345851</v>
      </c>
      <c r="E25" s="24" t="n">
        <f aca="false">PL!E137</f>
        <v>50.7316839960563</v>
      </c>
      <c r="G25" s="24" t="n">
        <f aca="false">PL!E184</f>
        <v>37.3631770631556</v>
      </c>
      <c r="I25" s="8" t="s">
        <v>147</v>
      </c>
    </row>
    <row r="26" customFormat="false" ht="17.15" hidden="false" customHeight="false" outlineLevel="0" collapsed="false">
      <c r="A26" s="6" t="s">
        <v>809</v>
      </c>
    </row>
    <row r="27" customFormat="false" ht="17.15" hidden="false" customHeight="false" outlineLevel="0" collapsed="false">
      <c r="A27" s="4" t="s">
        <v>810</v>
      </c>
      <c r="C27" s="18" t="n">
        <f aca="false">PL!D92</f>
        <v>0.425324773260588</v>
      </c>
      <c r="E27" s="18" t="n">
        <f aca="false">PL!D139</f>
        <v>0.425324773260588</v>
      </c>
      <c r="G27" s="18" t="n">
        <f aca="false">PL!D186</f>
        <v>0.425324773260588</v>
      </c>
      <c r="I27" s="8" t="s">
        <v>811</v>
      </c>
      <c r="J27" s="8" t="s">
        <v>812</v>
      </c>
    </row>
    <row r="28" customFormat="false" ht="17.15" hidden="false" customHeight="false" outlineLevel="0" collapsed="false">
      <c r="A28" s="0" t="s">
        <v>813</v>
      </c>
      <c r="B28" s="18" t="n">
        <f aca="false">0.5</f>
        <v>0.5</v>
      </c>
      <c r="C28" s="18" t="n">
        <f aca="false">PL!E94</f>
        <v>0.504278109666385</v>
      </c>
      <c r="D28" s="18" t="n">
        <f aca="false">C28-B28</f>
        <v>0.00427810966638476</v>
      </c>
      <c r="E28" s="18" t="n">
        <f aca="false">PL!E141</f>
        <v>0.49954683407451</v>
      </c>
      <c r="F28" s="18" t="n">
        <f aca="false">E28-B28</f>
        <v>-0.000453165925490329</v>
      </c>
      <c r="G28" s="18" t="n">
        <f aca="false">PL!E188</f>
        <v>0.493009061845181</v>
      </c>
      <c r="H28" s="18" t="n">
        <f aca="false">G28-B28</f>
        <v>-0.00699093815481933</v>
      </c>
      <c r="I28" s="4" t="s">
        <v>814</v>
      </c>
    </row>
    <row r="29" customFormat="false" ht="17.15" hidden="false" customHeight="false" outlineLevel="0" collapsed="false">
      <c r="A29" s="0" t="s">
        <v>815</v>
      </c>
      <c r="C29" s="19" t="n">
        <f aca="false">Q!E15</f>
        <v>23.6453154522269</v>
      </c>
      <c r="E29" s="19" t="n">
        <f aca="false">Q!E15</f>
        <v>23.6453154522269</v>
      </c>
      <c r="G29" s="19" t="n">
        <f aca="false">Q!E15</f>
        <v>23.6453154522269</v>
      </c>
      <c r="I29" s="8" t="s">
        <v>147</v>
      </c>
      <c r="J29" s="8" t="s">
        <v>816</v>
      </c>
    </row>
    <row r="30" customFormat="false" ht="17.15" hidden="false" customHeight="false" outlineLevel="0" collapsed="false">
      <c r="A30" s="6" t="s">
        <v>817</v>
      </c>
    </row>
    <row r="31" customFormat="false" ht="17.15" hidden="false" customHeight="false" outlineLevel="0" collapsed="false">
      <c r="A31" s="0" t="s">
        <v>818</v>
      </c>
      <c r="B31" s="29" t="n">
        <f aca="false">cons_feps</f>
        <v>107.736</v>
      </c>
      <c r="C31" s="29" t="n">
        <f aca="false">Val!B35</f>
        <v>176.786913324009</v>
      </c>
      <c r="D31" s="18" t="n">
        <f aca="false">C31/B31-1</f>
        <v>0.640927019046644</v>
      </c>
      <c r="I31" s="8" t="s">
        <v>819</v>
      </c>
      <c r="J31" s="4" t="s">
        <v>820</v>
      </c>
    </row>
    <row r="32" customFormat="false" ht="17.15" hidden="false" customHeight="false" outlineLevel="0" collapsed="false">
      <c r="A32" s="4" t="s">
        <v>821</v>
      </c>
      <c r="B32" s="29" t="n">
        <f aca="false">cons_tp</f>
        <v>7204</v>
      </c>
      <c r="C32" s="29" t="n">
        <f aca="false">Val!B40</f>
        <v>3902.82839585769</v>
      </c>
      <c r="D32" s="18" t="n">
        <f aca="false">C32/B32-1</f>
        <v>-0.458241477532247</v>
      </c>
      <c r="I32" s="8" t="s">
        <v>822</v>
      </c>
      <c r="J32" s="4" t="s">
        <v>820</v>
      </c>
    </row>
    <row r="33" customFormat="false" ht="17.15" hidden="false" customHeight="false" outlineLevel="0" collapsed="false">
      <c r="A33" s="0" t="s">
        <v>823</v>
      </c>
      <c r="B33" s="29" t="n">
        <f aca="false">cons_tp</f>
        <v>7204</v>
      </c>
      <c r="C33" s="29" t="n">
        <f aca="false">Val!B36</f>
        <v>4558.45056005958</v>
      </c>
      <c r="D33" s="18" t="n">
        <f aca="false">C33/B33-1</f>
        <v>-0.36723340365636</v>
      </c>
      <c r="I33" s="4" t="s">
        <v>39</v>
      </c>
      <c r="J33" s="4" t="s">
        <v>820</v>
      </c>
    </row>
    <row r="34" customFormat="false" ht="17.15" hidden="false" customHeight="false" outlineLevel="0" collapsed="false">
      <c r="A34" s="6" t="s">
        <v>824</v>
      </c>
    </row>
    <row r="35" customFormat="false" ht="17.15" hidden="false" customHeight="false" outlineLevel="0" collapsed="false">
      <c r="A35" s="0" t="s">
        <v>825</v>
      </c>
      <c r="J35" s="4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827</v>
      </c>
    </row>
    <row r="3" customFormat="false" ht="17.15" hidden="false" customHeight="false" outlineLevel="0" collapsed="false">
      <c r="A3" s="5" t="s">
        <v>828</v>
      </c>
      <c r="B3" s="5" t="s">
        <v>829</v>
      </c>
      <c r="C3" s="15" t="s">
        <v>830</v>
      </c>
      <c r="D3" s="15" t="s">
        <v>831</v>
      </c>
      <c r="E3" s="15" t="s">
        <v>832</v>
      </c>
      <c r="F3" s="15" t="s">
        <v>709</v>
      </c>
      <c r="G3" s="15" t="s">
        <v>833</v>
      </c>
      <c r="H3" s="15" t="s">
        <v>834</v>
      </c>
      <c r="I3" s="15" t="s">
        <v>835</v>
      </c>
      <c r="J3" s="15" t="s">
        <v>836</v>
      </c>
      <c r="K3" s="15" t="s">
        <v>837</v>
      </c>
      <c r="L3" s="15" t="s">
        <v>838</v>
      </c>
    </row>
    <row r="4" customFormat="false" ht="17.15" hidden="false" customHeight="false" outlineLevel="0" collapsed="false">
      <c r="A4" s="4" t="s">
        <v>839</v>
      </c>
      <c r="B4" s="0" t="s">
        <v>840</v>
      </c>
      <c r="C4" s="24" t="n">
        <f aca="false">PL!E134</f>
        <v>62.2050782002417</v>
      </c>
      <c r="D4" s="24" t="n">
        <f aca="false">PL!E126</f>
        <v>38.4749091426091</v>
      </c>
      <c r="E4" s="18" t="n">
        <f aca="false">PL!E141</f>
        <v>0.49954683407451</v>
      </c>
      <c r="F4" s="19" t="n">
        <f aca="false">PL!E149</f>
        <v>147.77851372504</v>
      </c>
      <c r="G4" s="18" t="n">
        <f aca="false">F4/F$4-1</f>
        <v>0</v>
      </c>
      <c r="H4" s="24" t="n">
        <f aca="false">PL!F134</f>
        <v>70.3244403926674</v>
      </c>
      <c r="I4" s="24" t="n">
        <f aca="false">PL!F126</f>
        <v>41.6194710751465</v>
      </c>
      <c r="J4" s="18" t="n">
        <f aca="false">PL!F141</f>
        <v>0.496343276943389</v>
      </c>
      <c r="K4" s="19" t="n">
        <f aca="false">PL!F149</f>
        <v>166.889245594681</v>
      </c>
      <c r="L4" s="18" t="n">
        <f aca="false">K4/K$4-1</f>
        <v>0</v>
      </c>
    </row>
    <row r="5" customFormat="false" ht="17.15" hidden="false" customHeight="false" outlineLevel="0" collapsed="false">
      <c r="A5" s="4" t="s">
        <v>841</v>
      </c>
      <c r="B5" s="0" t="s">
        <v>842</v>
      </c>
      <c r="C5" s="24" t="n">
        <f aca="false">E77</f>
        <v>54.5374806486897</v>
      </c>
      <c r="D5" s="24" t="n">
        <f aca="false">E69</f>
        <v>30.8073115910571</v>
      </c>
      <c r="E5" s="18" t="n">
        <f aca="false">E84</f>
        <v>0.493110768267229</v>
      </c>
      <c r="F5" s="19" t="n">
        <f aca="false">E92</f>
        <v>127.06309191755</v>
      </c>
      <c r="G5" s="18" t="n">
        <f aca="false">F5/F$4-1</f>
        <v>-0.140178847961848</v>
      </c>
      <c r="H5" s="24" t="n">
        <f aca="false">F77</f>
        <v>61.5027508385107</v>
      </c>
      <c r="I5" s="24" t="n">
        <f aca="false">F69</f>
        <v>32.7977815209898</v>
      </c>
      <c r="J5" s="18" t="n">
        <f aca="false">F84</f>
        <v>0.489317582181492</v>
      </c>
      <c r="K5" s="19" t="n">
        <f aca="false">F92</f>
        <v>142.932280018043</v>
      </c>
      <c r="L5" s="18" t="n">
        <f aca="false">K5/K$4-1</f>
        <v>-0.143550086114129</v>
      </c>
    </row>
    <row r="6" customFormat="false" ht="17.15" hidden="false" customHeight="false" outlineLevel="0" collapsed="false">
      <c r="A6" s="4" t="s">
        <v>843</v>
      </c>
      <c r="B6" s="0" t="s">
        <v>844</v>
      </c>
      <c r="C6" s="24" t="n">
        <f aca="false">E124</f>
        <v>71.7895751396817</v>
      </c>
      <c r="D6" s="24" t="n">
        <f aca="false">E116</f>
        <v>48.0594060820491</v>
      </c>
      <c r="E6" s="18" t="n">
        <f aca="false">E131</f>
        <v>0.505658564324607</v>
      </c>
      <c r="F6" s="19" t="n">
        <f aca="false">E139</f>
        <v>173.672790984403</v>
      </c>
      <c r="G6" s="18" t="n">
        <f aca="false">F6/F$4-1</f>
        <v>0.175223559952311</v>
      </c>
      <c r="H6" s="24" t="n">
        <f aca="false">F124</f>
        <v>76.2055667621052</v>
      </c>
      <c r="I6" s="24" t="n">
        <f aca="false">F116</f>
        <v>47.5005974445844</v>
      </c>
      <c r="J6" s="18" t="n">
        <f aca="false">F131</f>
        <v>0.500123399339236</v>
      </c>
      <c r="K6" s="19" t="n">
        <f aca="false">F139</f>
        <v>182.608515288378</v>
      </c>
      <c r="L6" s="18" t="n">
        <f aca="false">K6/K$4-1</f>
        <v>0.0941898301336512</v>
      </c>
    </row>
    <row r="7" customFormat="false" ht="17.15" hidden="false" customHeight="false" outlineLevel="0" collapsed="false">
      <c r="A7" s="0" t="s">
        <v>845</v>
      </c>
      <c r="B7" s="0" t="s">
        <v>846</v>
      </c>
      <c r="C7" s="24" t="n">
        <f aca="false">E171</f>
        <v>61.2740127832675</v>
      </c>
      <c r="D7" s="24" t="n">
        <f aca="false">E163</f>
        <v>37.5438437256349</v>
      </c>
      <c r="E7" s="18" t="n">
        <f aca="false">E178</f>
        <v>0.498851233213713</v>
      </c>
      <c r="F7" s="19" t="n">
        <f aca="false">E186</f>
        <v>145.263069648416</v>
      </c>
      <c r="G7" s="18" t="n">
        <f aca="false">F7/F$4-1</f>
        <v>-0.01702171725251</v>
      </c>
      <c r="H7" s="24" t="n">
        <f aca="false">F171</f>
        <v>68.560102481836</v>
      </c>
      <c r="I7" s="24" t="n">
        <f aca="false">F163</f>
        <v>39.8551331643152</v>
      </c>
      <c r="J7" s="18" t="n">
        <f aca="false">F178</f>
        <v>0.495082778377119</v>
      </c>
      <c r="K7" s="19" t="n">
        <f aca="false">F186</f>
        <v>162.069596206442</v>
      </c>
      <c r="L7" s="18" t="n">
        <f aca="false">K7/K$4-1</f>
        <v>-0.0288793287492257</v>
      </c>
    </row>
    <row r="8" customFormat="false" ht="17.15" hidden="false" customHeight="false" outlineLevel="0" collapsed="false">
      <c r="A8" s="0" t="s">
        <v>847</v>
      </c>
      <c r="B8" s="0" t="s">
        <v>848</v>
      </c>
      <c r="C8" s="24" t="n">
        <f aca="false">E218</f>
        <v>63.902903372371</v>
      </c>
      <c r="D8" s="24" t="n">
        <f aca="false">E210</f>
        <v>40.1727343147385</v>
      </c>
      <c r="E8" s="18" t="n">
        <f aca="false">E225</f>
        <v>0.5007631002123</v>
      </c>
      <c r="F8" s="19" t="n">
        <f aca="false">E233</f>
        <v>152.365499982413</v>
      </c>
      <c r="G8" s="18" t="n">
        <f aca="false">F8/F$4-1</f>
        <v>0.0310396020486952</v>
      </c>
      <c r="H8" s="24" t="n">
        <f aca="false">F218</f>
        <v>72.7188989859385</v>
      </c>
      <c r="I8" s="24" t="n">
        <f aca="false">F210</f>
        <v>44.0139296684176</v>
      </c>
      <c r="J8" s="18" t="n">
        <f aca="false">F225</f>
        <v>0.497956119909984</v>
      </c>
      <c r="K8" s="19" t="n">
        <f aca="false">F233</f>
        <v>173.411205813234</v>
      </c>
      <c r="L8" s="18" t="n">
        <f aca="false">K8/K$4-1</f>
        <v>0.0390795715764229</v>
      </c>
    </row>
    <row r="9" customFormat="false" ht="17.15" hidden="false" customHeight="false" outlineLevel="0" collapsed="false">
      <c r="A9" s="4" t="s">
        <v>849</v>
      </c>
      <c r="B9" s="4" t="s">
        <v>850</v>
      </c>
      <c r="C9" s="24" t="n">
        <f aca="false">E265</f>
        <v>60.2218354609319</v>
      </c>
      <c r="D9" s="24" t="n">
        <f aca="false">E257</f>
        <v>36.4916664032993</v>
      </c>
      <c r="E9" s="18" t="n">
        <f aca="false">E272</f>
        <v>0.498039261865585</v>
      </c>
      <c r="F9" s="19" t="n">
        <f aca="false">E280</f>
        <v>142.420419535142</v>
      </c>
      <c r="G9" s="18" t="n">
        <f aca="false">F9/F$4-1</f>
        <v>-0.0362575996661257</v>
      </c>
      <c r="H9" s="24" t="n">
        <f aca="false">F265</f>
        <v>66.7442708378161</v>
      </c>
      <c r="I9" s="24" t="n">
        <f aca="false">F257</f>
        <v>38.0393015202952</v>
      </c>
      <c r="J9" s="18" t="n">
        <f aca="false">F272</f>
        <v>0.493715904441381</v>
      </c>
      <c r="K9" s="19" t="n">
        <f aca="false">F280</f>
        <v>157.115092928216</v>
      </c>
      <c r="L9" s="18" t="n">
        <f aca="false">K9/K$4-1</f>
        <v>-0.0585667017166779</v>
      </c>
    </row>
    <row r="10" customFormat="false" ht="17.15" hidden="false" customHeight="false" outlineLevel="0" collapsed="false">
      <c r="A10" s="4" t="s">
        <v>851</v>
      </c>
      <c r="B10" s="4" t="s">
        <v>852</v>
      </c>
      <c r="C10" s="24" t="n">
        <f aca="false">E312</f>
        <v>63.3950238438275</v>
      </c>
      <c r="D10" s="24" t="n">
        <f aca="false">E304</f>
        <v>39.6648547861949</v>
      </c>
      <c r="E10" s="18" t="n">
        <f aca="false">E319</f>
        <v>0.500406101190506</v>
      </c>
      <c r="F10" s="19" t="n">
        <f aca="false">E327</f>
        <v>150.993370238979</v>
      </c>
      <c r="G10" s="18" t="n">
        <f aca="false">F10/F$4-1</f>
        <v>0.021754559799676</v>
      </c>
      <c r="H10" s="24" t="n">
        <f aca="false">F312</f>
        <v>73.4570887531623</v>
      </c>
      <c r="I10" s="24" t="n">
        <f aca="false">F304</f>
        <v>44.7521194356414</v>
      </c>
      <c r="J10" s="18" t="n">
        <f aca="false">F319</f>
        <v>0.498432140070654</v>
      </c>
      <c r="K10" s="19" t="n">
        <f aca="false">F327</f>
        <v>175.471949040012</v>
      </c>
      <c r="L10" s="18" t="n">
        <f aca="false">K10/K$4-1</f>
        <v>0.0514275405509073</v>
      </c>
    </row>
    <row r="11" customFormat="false" ht="17.15" hidden="false" customHeight="false" outlineLevel="0" collapsed="false">
      <c r="A11" s="4" t="s">
        <v>853</v>
      </c>
      <c r="B11" s="0" t="s">
        <v>854</v>
      </c>
      <c r="C11" s="24" t="n">
        <f aca="false">E359</f>
        <v>63.0534830143766</v>
      </c>
      <c r="D11" s="24" t="n">
        <f aca="false">E351</f>
        <v>39.3233139567441</v>
      </c>
      <c r="E11" s="18" t="n">
        <f aca="false">E366</f>
        <v>0.500162790911942</v>
      </c>
      <c r="F11" s="19" t="n">
        <f aca="false">E374</f>
        <v>150.070635014681</v>
      </c>
      <c r="G11" s="18" t="n">
        <f aca="false">F11/F$4-1</f>
        <v>0.0155105179492181</v>
      </c>
      <c r="H11" s="24" t="n">
        <f aca="false">F359</f>
        <v>71.1873983516672</v>
      </c>
      <c r="I11" s="24" t="n">
        <f aca="false">F351</f>
        <v>42.4824290341464</v>
      </c>
      <c r="J11" s="18" t="n">
        <f aca="false">F366</f>
        <v>0.496937047372839</v>
      </c>
      <c r="K11" s="19" t="n">
        <f aca="false">F374</f>
        <v>169.228143513678</v>
      </c>
      <c r="L11" s="18" t="n">
        <f aca="false">K11/K$4-1</f>
        <v>0.0140146712909026</v>
      </c>
    </row>
    <row r="12" customFormat="false" ht="17.15" hidden="false" customHeight="false" outlineLevel="0" collapsed="false">
      <c r="A12" s="4" t="s">
        <v>855</v>
      </c>
      <c r="B12" s="0" t="s">
        <v>856</v>
      </c>
      <c r="C12" s="24" t="n">
        <f aca="false">E406</f>
        <v>61.4775136665737</v>
      </c>
      <c r="D12" s="24" t="n">
        <f aca="false">E398</f>
        <v>37.7473446089411</v>
      </c>
      <c r="E12" s="18" t="n">
        <f aca="false">E413</f>
        <v>0.499005068427369</v>
      </c>
      <c r="F12" s="19" t="n">
        <f aca="false">E421</f>
        <v>145.812864627553</v>
      </c>
      <c r="G12" s="18" t="n">
        <f aca="false">F12/F$4-1</f>
        <v>-0.0133013186283926</v>
      </c>
      <c r="H12" s="24" t="n">
        <f aca="false">F406</f>
        <v>69.5843955525695</v>
      </c>
      <c r="I12" s="24" t="n">
        <f aca="false">F398</f>
        <v>40.8794262350487</v>
      </c>
      <c r="J12" s="18" t="n">
        <f aca="false">F413</f>
        <v>0.495822348316763</v>
      </c>
      <c r="K12" s="19" t="n">
        <f aca="false">F421</f>
        <v>164.883355600106</v>
      </c>
      <c r="L12" s="18" t="n">
        <f aca="false">K12/K$4-1</f>
        <v>-0.0120192885253196</v>
      </c>
    </row>
    <row r="13" customFormat="false" ht="17.15" hidden="false" customHeight="false" outlineLevel="0" collapsed="false">
      <c r="A13" s="0" t="s">
        <v>857</v>
      </c>
      <c r="B13" s="0" t="s">
        <v>858</v>
      </c>
      <c r="C13" s="24" t="n">
        <f aca="false">E453</f>
        <v>57.4234672517199</v>
      </c>
      <c r="D13" s="24" t="n">
        <f aca="false">E445</f>
        <v>30.7799273140873</v>
      </c>
      <c r="E13" s="18" t="n">
        <f aca="false">E460</f>
        <v>0.499246756144334</v>
      </c>
      <c r="F13" s="19" t="n">
        <f aca="false">E468</f>
        <v>135.96667899981</v>
      </c>
      <c r="G13" s="18" t="n">
        <f aca="false">F13/F$4-1</f>
        <v>-0.0799293106114701</v>
      </c>
      <c r="H13" s="24" t="n">
        <f aca="false">F453</f>
        <v>65.2052541456381</v>
      </c>
      <c r="I13" s="24" t="n">
        <f aca="false">F445</f>
        <v>33.2955768601172</v>
      </c>
      <c r="J13" s="18" t="n">
        <f aca="false">F460</f>
        <v>0.496200038199976</v>
      </c>
      <c r="K13" s="19" t="n">
        <f aca="false">F468</f>
        <v>154.325367706575</v>
      </c>
      <c r="L13" s="18" t="n">
        <f aca="false">K13/K$4-1</f>
        <v>-0.0752827292336135</v>
      </c>
    </row>
    <row r="14" customFormat="false" ht="17.15" hidden="false" customHeight="false" outlineLevel="0" collapsed="false">
      <c r="A14" s="0" t="s">
        <v>859</v>
      </c>
      <c r="B14" s="0" t="s">
        <v>860</v>
      </c>
      <c r="C14" s="24" t="n">
        <f aca="false">E500</f>
        <v>66.9866891487635</v>
      </c>
      <c r="D14" s="24" t="n">
        <f aca="false">E492</f>
        <v>46.1698909711309</v>
      </c>
      <c r="E14" s="18" t="n">
        <f aca="false">E507</f>
        <v>0.498433547002662</v>
      </c>
      <c r="F14" s="19" t="n">
        <f aca="false">E515</f>
        <v>159.086580155997</v>
      </c>
      <c r="G14" s="18" t="n">
        <f aca="false">F14/F$4-1</f>
        <v>0.0765203692060195</v>
      </c>
      <c r="H14" s="24" t="n">
        <f aca="false">F500</f>
        <v>75.4436266396967</v>
      </c>
      <c r="I14" s="24" t="n">
        <f aca="false">F492</f>
        <v>49.9433652901758</v>
      </c>
      <c r="J14" s="18" t="n">
        <f aca="false">F507</f>
        <v>0.495164271356874</v>
      </c>
      <c r="K14" s="19" t="n">
        <f aca="false">F515</f>
        <v>178.911096754225</v>
      </c>
      <c r="L14" s="18" t="n">
        <f aca="false">K14/K$4-1</f>
        <v>0.0720349062439911</v>
      </c>
    </row>
    <row r="15" customFormat="false" ht="17.15" hidden="false" customHeight="false" outlineLevel="0" collapsed="false">
      <c r="A15" s="4" t="s">
        <v>861</v>
      </c>
      <c r="B15" s="0" t="s">
        <v>862</v>
      </c>
      <c r="C15" s="24" t="n">
        <f aca="false">E547</f>
        <v>60.5729021329713</v>
      </c>
      <c r="D15" s="24" t="n">
        <f aca="false">E539</f>
        <v>38.4749091426091</v>
      </c>
      <c r="E15" s="18" t="n">
        <f aca="false">E554</f>
        <v>0.501546795559895</v>
      </c>
      <c r="F15" s="19" t="n">
        <f aca="false">E562</f>
        <v>144.443631074741</v>
      </c>
      <c r="G15" s="18" t="n">
        <f aca="false">F15/F$4-1</f>
        <v>-0.022566762692609</v>
      </c>
      <c r="H15" s="24" t="n">
        <f aca="false">F547</f>
        <v>66.6881394836549</v>
      </c>
      <c r="I15" s="24" t="n">
        <f aca="false">F539</f>
        <v>41.6194710751465</v>
      </c>
      <c r="J15" s="18" t="n">
        <f aca="false">F554</f>
        <v>0.500215699408583</v>
      </c>
      <c r="K15" s="19" t="n">
        <f aca="false">F562</f>
        <v>159.338286432653</v>
      </c>
      <c r="L15" s="18" t="n">
        <f aca="false">K15/K$4-1</f>
        <v>-0.0452453310285008</v>
      </c>
    </row>
    <row r="16" customFormat="false" ht="17.15" hidden="false" customHeight="false" outlineLevel="0" collapsed="false">
      <c r="A16" s="4" t="s">
        <v>863</v>
      </c>
      <c r="B16" s="0" t="s">
        <v>864</v>
      </c>
      <c r="C16" s="24" t="n">
        <f aca="false">E594</f>
        <v>64.4901246944202</v>
      </c>
      <c r="D16" s="24" t="n">
        <f aca="false">E586</f>
        <v>38.4749091426091</v>
      </c>
      <c r="E16" s="18" t="n">
        <f aca="false">E601</f>
        <v>0.496916960730999</v>
      </c>
      <c r="F16" s="19" t="n">
        <f aca="false">E609</f>
        <v>152.447349435459</v>
      </c>
      <c r="G16" s="18" t="n">
        <f aca="false">F16/F$4-1</f>
        <v>0.031593467769653</v>
      </c>
      <c r="H16" s="24" t="n">
        <f aca="false">F594</f>
        <v>76.3849419076882</v>
      </c>
      <c r="I16" s="24" t="n">
        <f aca="false">F586</f>
        <v>41.6194710751465</v>
      </c>
      <c r="J16" s="18" t="n">
        <f aca="false">F601</f>
        <v>0.490708557083495</v>
      </c>
      <c r="K16" s="19" t="n">
        <f aca="false">F609</f>
        <v>179.507252677217</v>
      </c>
      <c r="L16" s="18" t="n">
        <f aca="false">K16/K$4-1</f>
        <v>0.0756070712500008</v>
      </c>
    </row>
    <row r="17" customFormat="false" ht="17.15" hidden="false" customHeight="false" outlineLevel="0" collapsed="false">
      <c r="A17" s="0" t="s">
        <v>865</v>
      </c>
      <c r="B17" s="0" t="s">
        <v>866</v>
      </c>
      <c r="C17" s="24" t="n">
        <f aca="false">E641</f>
        <v>53.9878000301933</v>
      </c>
      <c r="D17" s="24" t="n">
        <f aca="false">E633</f>
        <v>30.7799273140873</v>
      </c>
      <c r="E17" s="18" t="n">
        <f aca="false">E648</f>
        <v>0.493740068487006</v>
      </c>
      <c r="F17" s="19" t="n">
        <f aca="false">E656</f>
        <v>125.921945820141</v>
      </c>
      <c r="G17" s="18" t="n">
        <f aca="false">F17/F$4-1</f>
        <v>-0.147900850766204</v>
      </c>
      <c r="H17" s="24" t="n">
        <f aca="false">F641</f>
        <v>60.7884458746339</v>
      </c>
      <c r="I17" s="24" t="n">
        <f aca="false">F633</f>
        <v>33.2955768601172</v>
      </c>
      <c r="J17" s="18" t="n">
        <f aca="false">F648</f>
        <v>0.4910522181019</v>
      </c>
      <c r="K17" s="19" t="n">
        <f aca="false">F656</f>
        <v>141.788058913862</v>
      </c>
      <c r="L17" s="18" t="n">
        <f aca="false">K17/K$4-1</f>
        <v>-0.150406256504877</v>
      </c>
    </row>
    <row r="18" customFormat="false" ht="17.15" hidden="false" customHeight="false" outlineLevel="0" collapsed="false">
      <c r="A18" s="0" t="s">
        <v>867</v>
      </c>
      <c r="B18" s="0" t="s">
        <v>868</v>
      </c>
      <c r="C18" s="24" t="n">
        <f aca="false">E688</f>
        <v>70.42235637029</v>
      </c>
      <c r="D18" s="24" t="n">
        <f aca="false">E680</f>
        <v>46.1698909711309</v>
      </c>
      <c r="E18" s="18" t="n">
        <f aca="false">E695</f>
        <v>0.503998467270536</v>
      </c>
      <c r="F18" s="19" t="n">
        <f aca="false">E703</f>
        <v>169.635081629939</v>
      </c>
      <c r="G18" s="18" t="n">
        <f aca="false">F18/F$4-1</f>
        <v>0.147900850766204</v>
      </c>
      <c r="H18" s="24" t="n">
        <f aca="false">F688</f>
        <v>79.8604349107009</v>
      </c>
      <c r="I18" s="24" t="n">
        <f aca="false">F680</f>
        <v>49.9433652901758</v>
      </c>
      <c r="J18" s="18" t="n">
        <f aca="false">F695</f>
        <v>0.500370743665365</v>
      </c>
      <c r="K18" s="19" t="n">
        <f aca="false">F703</f>
        <v>191.994454592778</v>
      </c>
      <c r="L18" s="18" t="n">
        <f aca="false">K18/K$4-1</f>
        <v>0.150430358221334</v>
      </c>
    </row>
    <row r="19" customFormat="false" ht="17.15" hidden="false" customHeight="false" outlineLevel="0" collapsed="false">
      <c r="A19" s="0" t="s">
        <v>869</v>
      </c>
      <c r="B19" s="0" t="s">
        <v>870</v>
      </c>
      <c r="C19" s="24" t="n">
        <f aca="false">E735</f>
        <v>62.2050782002417</v>
      </c>
      <c r="D19" s="24" t="n">
        <f aca="false">E727</f>
        <v>38.4749091426091</v>
      </c>
      <c r="E19" s="18" t="n">
        <f aca="false">E742</f>
        <v>0.486435803667549</v>
      </c>
      <c r="F19" s="19" t="n">
        <f aca="false">E750</f>
        <v>143.303256217173</v>
      </c>
      <c r="G19" s="18" t="n">
        <f aca="false">F19/F$4-1</f>
        <v>-0.0302835466067408</v>
      </c>
      <c r="H19" s="24" t="n">
        <f aca="false">F735</f>
        <v>70.3244403926674</v>
      </c>
      <c r="I19" s="24" t="n">
        <f aca="false">F727</f>
        <v>41.6194710751465</v>
      </c>
      <c r="J19" s="18" t="n">
        <f aca="false">F742</f>
        <v>0.484834025101989</v>
      </c>
      <c r="K19" s="19" t="n">
        <f aca="false">F750</f>
        <v>162.44795957184</v>
      </c>
      <c r="L19" s="18" t="n">
        <f aca="false">K19/K$4-1</f>
        <v>-0.0266121762790412</v>
      </c>
    </row>
    <row r="20" customFormat="false" ht="17.15" hidden="false" customHeight="false" outlineLevel="0" collapsed="false">
      <c r="A20" s="0" t="s">
        <v>871</v>
      </c>
      <c r="B20" s="4" t="s">
        <v>872</v>
      </c>
      <c r="C20" s="24" t="n">
        <f aca="false">E782</f>
        <v>62.2050782002417</v>
      </c>
      <c r="D20" s="24" t="n">
        <f aca="false">E774</f>
        <v>38.4749091426091</v>
      </c>
      <c r="E20" s="18" t="n">
        <f aca="false">E789</f>
        <v>0.51265786448147</v>
      </c>
      <c r="F20" s="19" t="n">
        <f aca="false">E797</f>
        <v>152.253771232907</v>
      </c>
      <c r="G20" s="18" t="n">
        <f aca="false">F20/F$4-1</f>
        <v>0.030283546606741</v>
      </c>
      <c r="H20" s="24" t="n">
        <f aca="false">F782</f>
        <v>70.3244403926674</v>
      </c>
      <c r="I20" s="24" t="n">
        <f aca="false">F774</f>
        <v>41.6194710751465</v>
      </c>
      <c r="J20" s="18" t="n">
        <f aca="false">F789</f>
        <v>0.50785252878479</v>
      </c>
      <c r="K20" s="19" t="n">
        <f aca="false">F797</f>
        <v>171.330531617523</v>
      </c>
      <c r="L20" s="18" t="n">
        <f aca="false">K20/K$4-1</f>
        <v>0.0266121762790412</v>
      </c>
    </row>
    <row r="21" customFormat="false" ht="17.15" hidden="false" customHeight="false" outlineLevel="0" collapsed="false">
      <c r="A21" s="4" t="s">
        <v>873</v>
      </c>
      <c r="B21" s="0" t="s">
        <v>874</v>
      </c>
      <c r="C21" s="24" t="n">
        <f aca="false">E829</f>
        <v>61.4084533502417</v>
      </c>
      <c r="D21" s="24" t="n">
        <f aca="false">E821</f>
        <v>38.4749091426091</v>
      </c>
      <c r="E21" s="18" t="n">
        <f aca="false">E836</f>
        <v>0.500509684217068</v>
      </c>
      <c r="F21" s="19" t="n">
        <f aca="false">E844</f>
        <v>146.150839821265</v>
      </c>
      <c r="G21" s="18" t="n">
        <f aca="false">F21/F$4-1</f>
        <v>-0.0110142798350487</v>
      </c>
      <c r="H21" s="24" t="n">
        <f aca="false">F829</f>
        <v>68.6116969651674</v>
      </c>
      <c r="I21" s="24" t="n">
        <f aca="false">F821</f>
        <v>41.6194710751465</v>
      </c>
      <c r="J21" s="18" t="n">
        <f aca="false">F836</f>
        <v>0.498116101123432</v>
      </c>
      <c r="K21" s="19" t="n">
        <f aca="false">F844</f>
        <v>163.333232204759</v>
      </c>
      <c r="L21" s="18" t="n">
        <f aca="false">K21/K$4-1</f>
        <v>-0.0213076245701224</v>
      </c>
    </row>
    <row r="22" customFormat="false" ht="17.15" hidden="false" customHeight="false" outlineLevel="0" collapsed="false">
      <c r="A22" s="4" t="s">
        <v>875</v>
      </c>
      <c r="B22" s="0" t="s">
        <v>876</v>
      </c>
      <c r="C22" s="24" t="n">
        <f aca="false">E876</f>
        <v>63.1155066002417</v>
      </c>
      <c r="D22" s="24" t="n">
        <f aca="false">E868</f>
        <v>38.4749091426091</v>
      </c>
      <c r="E22" s="18" t="n">
        <f aca="false">E883</f>
        <v>0.498476195879375</v>
      </c>
      <c r="F22" s="19" t="n">
        <f aca="false">E891</f>
        <v>149.638712472212</v>
      </c>
      <c r="G22" s="18" t="n">
        <f aca="false">F22/F$4-1</f>
        <v>0.0125877483829131</v>
      </c>
      <c r="H22" s="24" t="n">
        <f aca="false">F876</f>
        <v>72.0087329326674</v>
      </c>
      <c r="I22" s="24" t="n">
        <f aca="false">F868</f>
        <v>41.6194710751465</v>
      </c>
      <c r="J22" s="18" t="n">
        <f aca="false">F883</f>
        <v>0.494682145979361</v>
      </c>
      <c r="K22" s="19" t="n">
        <f aca="false">F891</f>
        <v>170.381351202065</v>
      </c>
      <c r="L22" s="18" t="n">
        <f aca="false">K22/K$4-1</f>
        <v>0.0209246892748567</v>
      </c>
    </row>
    <row r="23" customFormat="false" ht="17.15" hidden="false" customHeight="false" outlineLevel="0" collapsed="false">
      <c r="A23" s="4" t="s">
        <v>877</v>
      </c>
      <c r="B23" s="4" t="s">
        <v>878</v>
      </c>
      <c r="C23" s="24" t="n">
        <f aca="false">E923</f>
        <v>62.2050782002417</v>
      </c>
      <c r="D23" s="24" t="n">
        <f aca="false">E915</f>
        <v>38.4749091426091</v>
      </c>
      <c r="E23" s="18" t="n">
        <f aca="false">E930</f>
        <v>0.49954683407451</v>
      </c>
      <c r="F23" s="19" t="n">
        <f aca="false">E938</f>
        <v>143.463785613746</v>
      </c>
      <c r="G23" s="18" t="n">
        <f aca="false">F23/F$4-1</f>
        <v>-0.029197262866796</v>
      </c>
      <c r="H23" s="24" t="n">
        <f aca="false">F923</f>
        <v>70.3244403926674</v>
      </c>
      <c r="I23" s="24" t="n">
        <f aca="false">F915</f>
        <v>41.6194710751465</v>
      </c>
      <c r="J23" s="18" t="n">
        <f aca="false">F930</f>
        <v>0.496343276943389</v>
      </c>
      <c r="K23" s="19" t="n">
        <f aca="false">F938</f>
        <v>161.112962983254</v>
      </c>
      <c r="L23" s="18" t="n">
        <f aca="false">K23/K$4-1</f>
        <v>-0.0346114729612713</v>
      </c>
    </row>
    <row r="24" customFormat="false" ht="17.15" hidden="false" customHeight="false" outlineLevel="0" collapsed="false">
      <c r="A24" s="4" t="s">
        <v>879</v>
      </c>
      <c r="B24" s="4" t="s">
        <v>880</v>
      </c>
      <c r="C24" s="24" t="n">
        <f aca="false">E970</f>
        <v>62.2050782002417</v>
      </c>
      <c r="D24" s="24" t="n">
        <f aca="false">E962</f>
        <v>38.4749091426091</v>
      </c>
      <c r="E24" s="18" t="n">
        <f aca="false">E977</f>
        <v>0.49954683407451</v>
      </c>
      <c r="F24" s="19" t="n">
        <f aca="false">E985</f>
        <v>140.951807708873</v>
      </c>
      <c r="G24" s="18" t="n">
        <f aca="false">F24/F$4-1</f>
        <v>-0.0461955249385476</v>
      </c>
      <c r="H24" s="24" t="n">
        <f aca="false">F970</f>
        <v>70.3244403926674</v>
      </c>
      <c r="I24" s="24" t="n">
        <f aca="false">F962</f>
        <v>41.6194710751465</v>
      </c>
      <c r="J24" s="18" t="n">
        <f aca="false">F977</f>
        <v>0.496343276943389</v>
      </c>
      <c r="K24" s="19" t="n">
        <f aca="false">F985</f>
        <v>159.171478907422</v>
      </c>
      <c r="L24" s="18" t="n">
        <f aca="false">K24/K$4-1</f>
        <v>-0.0462448413602574</v>
      </c>
    </row>
    <row r="25" customFormat="false" ht="17.15" hidden="false" customHeight="false" outlineLevel="0" collapsed="false">
      <c r="A25" s="4" t="s">
        <v>881</v>
      </c>
      <c r="B25" s="4" t="s">
        <v>882</v>
      </c>
      <c r="C25" s="24" t="n">
        <f aca="false">PL!E87</f>
        <v>77.9642006737486</v>
      </c>
      <c r="D25" s="24" t="n">
        <f aca="false">PL!E79</f>
        <v>51.2961146950293</v>
      </c>
      <c r="E25" s="18" t="n">
        <f aca="false">PL!E94</f>
        <v>0.504278109666385</v>
      </c>
      <c r="F25" s="19" t="n">
        <f aca="false">PL!E102</f>
        <v>188.420142016462</v>
      </c>
      <c r="G25" s="18" t="n">
        <f aca="false">F25/F$4-1</f>
        <v>0.275017167698956</v>
      </c>
      <c r="H25" s="24" t="n">
        <f aca="false">PL!F87</f>
        <v>106.641469398355</v>
      </c>
      <c r="I25" s="24" t="n">
        <f aca="false">PL!F79</f>
        <v>67.0632473627089</v>
      </c>
      <c r="J25" s="18" t="n">
        <f aca="false">PL!F94</f>
        <v>0.500788752976242</v>
      </c>
      <c r="K25" s="19" t="n">
        <f aca="false">PL!F102</f>
        <v>259.339676374055</v>
      </c>
      <c r="L25" s="18" t="n">
        <f aca="false">K25/K$4-1</f>
        <v>0.553962782023145</v>
      </c>
    </row>
    <row r="26" customFormat="false" ht="17.15" hidden="false" customHeight="false" outlineLevel="0" collapsed="false">
      <c r="A26" s="4" t="s">
        <v>883</v>
      </c>
      <c r="B26" s="4" t="s">
        <v>884</v>
      </c>
      <c r="C26" s="24" t="n">
        <f aca="false">PL!E181</f>
        <v>50.238365346987</v>
      </c>
      <c r="D26" s="24" t="n">
        <f aca="false">PL!E173</f>
        <v>28.3362334846972</v>
      </c>
      <c r="E26" s="18" t="n">
        <f aca="false">PL!E188</f>
        <v>0.493009061845181</v>
      </c>
      <c r="F26" s="19" t="n">
        <f aca="false">PL!E196</f>
        <v>116.651952396307</v>
      </c>
      <c r="G26" s="18" t="n">
        <f aca="false">F26/F$4-1</f>
        <v>-0.210629817177941</v>
      </c>
      <c r="H26" s="24" t="n">
        <f aca="false">PL!F181</f>
        <v>45.4146932321498</v>
      </c>
      <c r="I26" s="24" t="n">
        <f aca="false">PL!F173</f>
        <v>21.2729250553506</v>
      </c>
      <c r="J26" s="18" t="n">
        <f aca="false">PL!F188</f>
        <v>0.481534577290156</v>
      </c>
      <c r="K26" s="19" t="n">
        <f aca="false">PL!F196</f>
        <v>100.74316144955</v>
      </c>
      <c r="L26" s="18" t="n">
        <f aca="false">K26/K$4-1</f>
        <v>-0.396347193669859</v>
      </c>
    </row>
    <row r="28" customFormat="false" ht="17.15" hidden="false" customHeight="false" outlineLevel="0" collapsed="false">
      <c r="A28" s="4" t="s">
        <v>885</v>
      </c>
    </row>
    <row r="30" customFormat="false" ht="17.15" hidden="false" customHeight="false" outlineLevel="0" collapsed="false">
      <c r="A30" s="1" t="s">
        <v>886</v>
      </c>
    </row>
    <row r="31" customFormat="false" ht="17.15" hidden="false" customHeight="false" outlineLevel="0" collapsed="false">
      <c r="A31" s="5" t="s">
        <v>828</v>
      </c>
      <c r="B31" s="5" t="s">
        <v>829</v>
      </c>
      <c r="C31" s="15" t="s">
        <v>887</v>
      </c>
      <c r="D31" s="15" t="s">
        <v>888</v>
      </c>
      <c r="E31" s="5" t="s">
        <v>889</v>
      </c>
      <c r="F31" s="5" t="s">
        <v>890</v>
      </c>
    </row>
    <row r="32" customFormat="false" ht="17.15" hidden="false" customHeight="false" outlineLevel="0" collapsed="false">
      <c r="A32" s="4" t="s">
        <v>25</v>
      </c>
      <c r="B32" s="0" t="s">
        <v>891</v>
      </c>
      <c r="C32" s="22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2" s="22" t="n">
        <f aca="false">Val!B36</f>
        <v>4558.45056005958</v>
      </c>
      <c r="E32" s="22" t="n">
        <f aca="false">tp_w_dcf*C32+(1-tp_w_dcf)*D32</f>
        <v>3902.82839585769</v>
      </c>
      <c r="F32" s="18" t="n">
        <f aca="false">E32/E$32-1</f>
        <v>0</v>
      </c>
    </row>
    <row r="33" customFormat="false" ht="17.15" hidden="false" customHeight="false" outlineLevel="0" collapsed="false">
      <c r="A33" s="4" t="s">
        <v>892</v>
      </c>
      <c r="B33" s="0" t="s">
        <v>893</v>
      </c>
      <c r="C33" s="22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2795.64243582122</v>
      </c>
      <c r="D33" s="22" t="n">
        <f aca="false">Val!B36</f>
        <v>4558.45056005958</v>
      </c>
      <c r="E33" s="22" t="n">
        <f aca="false">tp_w_dcf*C33+(1-tp_w_dcf)*D33</f>
        <v>3677.0464979404</v>
      </c>
      <c r="F33" s="18" t="n">
        <f aca="false">E33/E$32-1</f>
        <v>-0.057850839190606</v>
      </c>
    </row>
    <row r="34" customFormat="false" ht="17.15" hidden="false" customHeight="false" outlineLevel="0" collapsed="false">
      <c r="A34" s="4" t="s">
        <v>894</v>
      </c>
      <c r="B34" s="0" t="s">
        <v>895</v>
      </c>
      <c r="C34" s="22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3879.5729133847</v>
      </c>
      <c r="D34" s="22" t="n">
        <f aca="false">Val!B36</f>
        <v>4558.45056005958</v>
      </c>
      <c r="E34" s="22" t="n">
        <f aca="false">tp_w_dcf*C34+(1-tp_w_dcf)*D34</f>
        <v>4219.01173672214</v>
      </c>
      <c r="F34" s="18" t="n">
        <f aca="false">E34/E$32-1</f>
        <v>0.0810138978183186</v>
      </c>
    </row>
    <row r="35" customFormat="false" ht="17.15" hidden="false" customHeight="false" outlineLevel="0" collapsed="false">
      <c r="A35" s="4" t="s">
        <v>896</v>
      </c>
      <c r="B35" s="0" t="s">
        <v>897</v>
      </c>
      <c r="C35" s="22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3568.92903087356</v>
      </c>
      <c r="D35" s="22" t="n">
        <f aca="false">Val!B36</f>
        <v>4558.45056005958</v>
      </c>
      <c r="E35" s="22" t="n">
        <f aca="false">tp_w_dcf*C35+(1-tp_w_dcf)*D35</f>
        <v>4063.68979546657</v>
      </c>
      <c r="F35" s="18" t="n">
        <f aca="false">E35/E$32-1</f>
        <v>0.041216621202103</v>
      </c>
    </row>
    <row r="36" customFormat="false" ht="17.15" hidden="false" customHeight="false" outlineLevel="0" collapsed="false">
      <c r="A36" s="4" t="s">
        <v>898</v>
      </c>
      <c r="B36" s="0" t="s">
        <v>899</v>
      </c>
      <c r="C36" s="22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3027.47153939346</v>
      </c>
      <c r="D36" s="22" t="n">
        <f aca="false">Val!B36</f>
        <v>4558.45056005958</v>
      </c>
      <c r="E36" s="22" t="n">
        <f aca="false">tp_w_dcf*C36+(1-tp_w_dcf)*D36</f>
        <v>3792.96104972652</v>
      </c>
      <c r="F36" s="18" t="n">
        <f aca="false">E36/E$32-1</f>
        <v>-0.0281506986696567</v>
      </c>
    </row>
    <row r="37" customFormat="false" ht="17.15" hidden="false" customHeight="false" outlineLevel="0" collapsed="false">
      <c r="A37" s="0" t="s">
        <v>900</v>
      </c>
      <c r="C37" s="22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7" s="22" t="n">
        <f aca="false">Val!B36</f>
        <v>4558.45056005958</v>
      </c>
      <c r="E37" s="22" t="n">
        <f aca="false">0.3*C37+(1-0.3)*D37</f>
        <v>4165.07726153845</v>
      </c>
      <c r="F37" s="18" t="n">
        <f aca="false">E37/E$32-1</f>
        <v>0.0671945673960699</v>
      </c>
    </row>
    <row r="38" customFormat="false" ht="17.15" hidden="false" customHeight="false" outlineLevel="0" collapsed="false">
      <c r="A38" s="0" t="s">
        <v>901</v>
      </c>
      <c r="C38" s="22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8" s="22" t="n">
        <f aca="false">Val!B36</f>
        <v>4558.45056005958</v>
      </c>
      <c r="E38" s="22" t="n">
        <f aca="false">0.7*C38+(1-0.7)*D38</f>
        <v>3640.57953017694</v>
      </c>
      <c r="F38" s="18" t="n">
        <f aca="false">E38/E$32-1</f>
        <v>-0.06719456739607</v>
      </c>
    </row>
    <row r="50" customFormat="false" ht="17.15" hidden="false" customHeight="false" outlineLevel="0" collapsed="false">
      <c r="A50" s="1" t="s">
        <v>902</v>
      </c>
    </row>
    <row r="51" customFormat="false" ht="17.15" hidden="false" customHeight="false" outlineLevel="0" collapsed="false">
      <c r="A51" s="5" t="s">
        <v>22</v>
      </c>
      <c r="B51" s="5" t="s">
        <v>23</v>
      </c>
      <c r="C51" s="15" t="s">
        <v>470</v>
      </c>
      <c r="D51" s="15" t="s">
        <v>553</v>
      </c>
      <c r="E51" s="15" t="s">
        <v>554</v>
      </c>
      <c r="F51" s="15" t="s">
        <v>555</v>
      </c>
      <c r="G51" s="15" t="s">
        <v>556</v>
      </c>
      <c r="H51" s="15" t="s">
        <v>557</v>
      </c>
      <c r="I51" s="15" t="s">
        <v>558</v>
      </c>
      <c r="J51" s="15" t="s">
        <v>559</v>
      </c>
      <c r="K51" s="5" t="s">
        <v>523</v>
      </c>
    </row>
    <row r="52" customFormat="false" ht="17.15" hidden="false" customHeight="false" outlineLevel="0" collapsed="false">
      <c r="A52" s="6" t="s">
        <v>575</v>
      </c>
    </row>
    <row r="53" customFormat="false" ht="17.15" hidden="false" customHeight="false" outlineLevel="0" collapsed="false">
      <c r="A53" s="0" t="s">
        <v>576</v>
      </c>
      <c r="B53" s="4" t="s">
        <v>33</v>
      </c>
      <c r="D53" s="19" t="n">
        <f aca="false">(u_bw26)*1</f>
        <v>5.4</v>
      </c>
      <c r="E53" s="19" t="n">
        <f aca="false">(u_bw27)*1*1</f>
        <v>2.4</v>
      </c>
      <c r="F53" s="19" t="n">
        <f aca="false">(u_bw28)*um28_B*1</f>
        <v>0.4</v>
      </c>
      <c r="G53" s="19" t="n">
        <f aca="false">(u_bw29)*um29_B*1</f>
        <v>0.2125</v>
      </c>
    </row>
    <row r="54" customFormat="false" ht="17.15" hidden="false" customHeight="false" outlineLevel="0" collapsed="false">
      <c r="A54" s="0" t="s">
        <v>577</v>
      </c>
      <c r="B54" s="4" t="s">
        <v>33</v>
      </c>
      <c r="D54" s="19" t="n">
        <f aca="false">(u_hp26)*1</f>
        <v>0.5</v>
      </c>
      <c r="E54" s="19" t="n">
        <f aca="false">(u_hp27)*1*1</f>
        <v>0</v>
      </c>
      <c r="F54" s="19" t="n">
        <f aca="false">(u_hp28)*um28_B*1</f>
        <v>0</v>
      </c>
      <c r="G54" s="19" t="n">
        <f aca="false">(u_hp29)*um29_B*1</f>
        <v>0</v>
      </c>
    </row>
    <row r="55" customFormat="false" ht="17.15" hidden="false" customHeight="false" outlineLevel="0" collapsed="false">
      <c r="A55" s="0" t="s">
        <v>578</v>
      </c>
      <c r="B55" s="4" t="s">
        <v>33</v>
      </c>
      <c r="D55" s="19" t="n">
        <f aca="false">(u_rb26)*1</f>
        <v>1.7</v>
      </c>
      <c r="E55" s="19" t="n">
        <f aca="false">(u_rb27)*1*1</f>
        <v>7</v>
      </c>
      <c r="F55" s="19" t="n">
        <f aca="false">(u_rb28)*um28_B*1</f>
        <v>5.6</v>
      </c>
      <c r="G55" s="19" t="n">
        <f aca="false">(u_rb29)*um29_B*1</f>
        <v>6.8425</v>
      </c>
    </row>
    <row r="56" customFormat="false" ht="17.15" hidden="false" customHeight="false" outlineLevel="0" collapsed="false">
      <c r="A56" s="0" t="s">
        <v>579</v>
      </c>
      <c r="B56" s="4" t="s">
        <v>33</v>
      </c>
      <c r="D56" s="19" t="n">
        <f aca="false">(u_ru26)*1</f>
        <v>0</v>
      </c>
      <c r="E56" s="19" t="n">
        <f aca="false">(u_ru27)*1*1</f>
        <v>0.3</v>
      </c>
      <c r="F56" s="19" t="n">
        <f aca="false">(u_ru28)*um28_B*1</f>
        <v>1.6</v>
      </c>
      <c r="G56" s="19" t="n">
        <f aca="false">(u_ru29)*um29_B*1</f>
        <v>1.955</v>
      </c>
    </row>
    <row r="57" customFormat="false" ht="17.15" hidden="false" customHeight="false" outlineLevel="0" collapsed="false">
      <c r="A57" s="0" t="s">
        <v>580</v>
      </c>
      <c r="B57" s="4" t="s">
        <v>33</v>
      </c>
      <c r="D57" s="19" t="n">
        <f aca="false">(u_amd26)*1</f>
        <v>0.75</v>
      </c>
      <c r="E57" s="19" t="n">
        <f aca="false">(u_amd27)*1*1</f>
        <v>1.5</v>
      </c>
      <c r="F57" s="19" t="n">
        <f aca="false">(u_amd28)*um28_B*1</f>
        <v>1.6</v>
      </c>
      <c r="G57" s="19" t="n">
        <f aca="false">(u_amd29)*um29_B*1</f>
        <v>1.955</v>
      </c>
    </row>
    <row r="58" customFormat="false" ht="17.15" hidden="false" customHeight="false" outlineLevel="0" collapsed="false">
      <c r="A58" s="0" t="s">
        <v>581</v>
      </c>
      <c r="B58" s="4" t="s">
        <v>33</v>
      </c>
      <c r="D58" s="19" t="n">
        <f aca="false">(u_tpu26+u_trn26+u_oth26)*1</f>
        <v>6.85</v>
      </c>
      <c r="E58" s="19" t="n">
        <f aca="false">(u_tpu27+u_trn27+u_oth27)*1*1</f>
        <v>12.5</v>
      </c>
      <c r="F58" s="19" t="n">
        <f aca="false">(u_tpu28+u_trn28+u_oth28)*um28_B*1</f>
        <v>12</v>
      </c>
      <c r="G58" s="19" t="n">
        <f aca="false">(u_tpu29+u_trn29+u_oth29)*um29_B*1</f>
        <v>14.6625</v>
      </c>
    </row>
    <row r="59" customFormat="false" ht="17.15" hidden="false" customHeight="false" outlineLevel="0" collapsed="false">
      <c r="A59" s="0" t="s">
        <v>527</v>
      </c>
      <c r="B59" s="0" t="s">
        <v>136</v>
      </c>
      <c r="D59" s="22" t="n">
        <f aca="false">asp_vr_26</f>
        <v>100</v>
      </c>
      <c r="E59" s="22" t="n">
        <f aca="false">VRLO_27</f>
        <v>110</v>
      </c>
      <c r="F59" s="22" t="n">
        <f aca="false">VRLO_28</f>
        <v>120</v>
      </c>
      <c r="G59" s="22" t="n">
        <f aca="false">VRLO_29</f>
        <v>120</v>
      </c>
    </row>
    <row r="60" customFormat="false" ht="17.15" hidden="false" customHeight="false" outlineLevel="0" collapsed="false">
      <c r="A60" s="0" t="s">
        <v>582</v>
      </c>
      <c r="B60" s="0" t="s">
        <v>136</v>
      </c>
      <c r="D60" s="22" t="n">
        <f aca="false">asp_amd_26</f>
        <v>40</v>
      </c>
      <c r="E60" s="22" t="n">
        <f aca="false">asp_amd_27</f>
        <v>60</v>
      </c>
      <c r="F60" s="22" t="n">
        <f aca="false">asp_amd_28</f>
        <v>80</v>
      </c>
      <c r="G60" s="22" t="n">
        <f aca="false">asp_amd_29</f>
        <v>80</v>
      </c>
    </row>
    <row r="61" customFormat="false" ht="17.15" hidden="false" customHeight="false" outlineLevel="0" collapsed="false">
      <c r="A61" s="0" t="s">
        <v>583</v>
      </c>
      <c r="B61" s="0" t="s">
        <v>136</v>
      </c>
      <c r="D61" s="22" t="n">
        <f aca="false">asp_asic_26</f>
        <v>30</v>
      </c>
      <c r="E61" s="22" t="n">
        <f aca="false">asp_asic_27</f>
        <v>35</v>
      </c>
      <c r="F61" s="22" t="n">
        <f aca="false">asp_asic_28</f>
        <v>40</v>
      </c>
      <c r="G61" s="22" t="n">
        <f aca="false">asp_asic_29</f>
        <v>40</v>
      </c>
    </row>
    <row r="62" customFormat="false" ht="17.15" hidden="false" customHeight="false" outlineLevel="0" collapsed="false">
      <c r="A62" s="0" t="s">
        <v>584</v>
      </c>
      <c r="B62" s="0" t="s">
        <v>205</v>
      </c>
      <c r="D62" s="17" t="n">
        <f aca="false">(D53*asp_bw+D54*asp_hp+D55*D59+D56*asp_ru)/1000</f>
        <v>0.3665</v>
      </c>
      <c r="E62" s="17" t="n">
        <f aca="false">(E53*asp_bw+E54*asp_hp+E55*E59+E56*asp_ru)/1000</f>
        <v>0.914</v>
      </c>
      <c r="F62" s="17" t="n">
        <f aca="false">(F53*asp_bw+F54*asp_hp+F55*F59+F56*asp_ru)/1000</f>
        <v>1.006</v>
      </c>
      <c r="G62" s="17" t="n">
        <f aca="false">(G53*asp_bw+G54*asp_hp+G55*G59+G56*asp_ru)/1000</f>
        <v>1.2195375</v>
      </c>
      <c r="K62" s="4" t="s">
        <v>585</v>
      </c>
    </row>
    <row r="63" customFormat="false" ht="17.15" hidden="false" customHeight="false" outlineLevel="0" collapsed="false">
      <c r="A63" s="4" t="s">
        <v>586</v>
      </c>
      <c r="B63" s="0" t="s">
        <v>205</v>
      </c>
      <c r="D63" s="17" t="n">
        <f aca="false">(D57*D60+D58*D61)/1000</f>
        <v>0.2355</v>
      </c>
      <c r="E63" s="17" t="n">
        <f aca="false">(E57*E60+E58*E61)/1000</f>
        <v>0.5275</v>
      </c>
      <c r="F63" s="17" t="n">
        <f aca="false">(F57*F60+F58*F61)/1000</f>
        <v>0.608</v>
      </c>
      <c r="G63" s="17" t="n">
        <f aca="false">(G57*G60+G58*G61)/1000</f>
        <v>0.7429</v>
      </c>
    </row>
    <row r="64" customFormat="false" ht="17.15" hidden="false" customHeight="false" outlineLevel="0" collapsed="false">
      <c r="A64" s="0" t="s">
        <v>587</v>
      </c>
      <c r="B64" s="0" t="s">
        <v>205</v>
      </c>
      <c r="D64" s="17" t="n">
        <f aca="false">D62+D63</f>
        <v>0.602</v>
      </c>
      <c r="E64" s="17" t="n">
        <f aca="false">E62+E63</f>
        <v>1.4415</v>
      </c>
      <c r="F64" s="17" t="n">
        <f aca="false">F62+F63</f>
        <v>1.614</v>
      </c>
      <c r="G64" s="17" t="n">
        <f aca="false">G62+G63</f>
        <v>1.9624375</v>
      </c>
    </row>
    <row r="65" customFormat="false" ht="17.15" hidden="false" customHeight="false" outlineLevel="0" collapsed="false">
      <c r="A65" s="4" t="s">
        <v>588</v>
      </c>
      <c r="B65" s="0" t="s">
        <v>196</v>
      </c>
      <c r="D65" s="18" t="n">
        <f aca="false">a26_rev*ai_26/fx/(D62+k_non*D63)</f>
        <v>0.882225417842414</v>
      </c>
      <c r="K65" s="8" t="s">
        <v>589</v>
      </c>
    </row>
    <row r="66" customFormat="false" ht="17.15" hidden="false" customHeight="false" outlineLevel="0" collapsed="false">
      <c r="A66" s="4" t="s">
        <v>590</v>
      </c>
      <c r="B66" s="0" t="s">
        <v>109</v>
      </c>
      <c r="D66" s="19" t="n">
        <f aca="false">1</f>
        <v>1</v>
      </c>
      <c r="E66" s="19" t="n">
        <f aca="false">rel_27</f>
        <v>0.97</v>
      </c>
      <c r="F66" s="19" t="n">
        <f aca="false">rel_28</f>
        <v>0.93</v>
      </c>
      <c r="G66" s="19" t="n">
        <f aca="false">rel_29</f>
        <v>0.9</v>
      </c>
    </row>
    <row r="67" customFormat="false" ht="17.15" hidden="false" customHeight="false" outlineLevel="0" collapsed="false">
      <c r="A67" s="4" t="s">
        <v>591</v>
      </c>
      <c r="B67" s="0" t="s">
        <v>196</v>
      </c>
      <c r="D67" s="18" t="n">
        <f aca="false">$D$65*D66</f>
        <v>0.882225417842414</v>
      </c>
      <c r="E67" s="18" t="n">
        <f aca="false">$D$65*E66</f>
        <v>0.855758655307142</v>
      </c>
      <c r="F67" s="18" t="n">
        <f aca="false">$D$65*F66</f>
        <v>0.820469638593445</v>
      </c>
      <c r="G67" s="18" t="n">
        <f aca="false">$D$65*G66</f>
        <v>0.794002876058173</v>
      </c>
    </row>
    <row r="68" customFormat="false" ht="17.15" hidden="false" customHeight="false" outlineLevel="0" collapsed="false">
      <c r="A68" s="4" t="s">
        <v>592</v>
      </c>
      <c r="B68" s="0" t="s">
        <v>196</v>
      </c>
      <c r="D68" s="18" t="n">
        <f aca="false">D67*k_non</f>
        <v>0.352890167136966</v>
      </c>
      <c r="E68" s="18" t="n">
        <f aca="false">E67*k_non</f>
        <v>0.342303462122857</v>
      </c>
      <c r="F68" s="18" t="n">
        <f aca="false">F67*k_non</f>
        <v>0.328187855437378</v>
      </c>
      <c r="G68" s="18" t="n">
        <f aca="false">G67*k_non</f>
        <v>0.317601150423269</v>
      </c>
    </row>
    <row r="69" customFormat="false" ht="17.15" hidden="false" customHeight="false" outlineLevel="0" collapsed="false">
      <c r="A69" s="0" t="s">
        <v>593</v>
      </c>
      <c r="B69" s="0" t="s">
        <v>301</v>
      </c>
      <c r="C69" s="24" t="n">
        <f aca="false">a25_ail</f>
        <v>6.0828</v>
      </c>
      <c r="D69" s="24" t="n">
        <f aca="false">(D62*D67+D63*D68)*fx</f>
        <v>13.00612</v>
      </c>
      <c r="E69" s="24" t="n">
        <f aca="false">(E62*E67+E63*E68)*fx</f>
        <v>30.8073115910571</v>
      </c>
      <c r="F69" s="24" t="n">
        <f aca="false">(F62*F67+F63*F68)*fx</f>
        <v>32.7977815209898</v>
      </c>
      <c r="G69" s="24" t="n">
        <f aca="false">(G62*G67+G63*G68)*fx</f>
        <v>38.5363896675277</v>
      </c>
    </row>
    <row r="70" customFormat="false" ht="17.15" hidden="false" customHeight="false" outlineLevel="0" collapsed="false">
      <c r="A70" s="6" t="s">
        <v>594</v>
      </c>
    </row>
    <row r="71" customFormat="false" ht="17.15" hidden="false" customHeight="false" outlineLevel="0" collapsed="false">
      <c r="A71" s="0" t="s">
        <v>595</v>
      </c>
      <c r="B71" s="0" t="s">
        <v>205</v>
      </c>
      <c r="D71" s="24" t="n">
        <f aca="false">lmkB_26</f>
        <v>4.51368758595869</v>
      </c>
      <c r="E71" s="24" t="n">
        <f aca="false">lmkB_27*1</f>
        <v>10.2011004204398</v>
      </c>
      <c r="F71" s="24" t="n">
        <f aca="false">lmkB_28*1</f>
        <v>12.6260448229601</v>
      </c>
      <c r="G71" s="24" t="n">
        <f aca="false">lmkB_29*1</f>
        <v>16.1809438578051</v>
      </c>
      <c r="K71" s="4" t="s">
        <v>596</v>
      </c>
    </row>
    <row r="72" customFormat="false" ht="15" hidden="false" customHeight="false" outlineLevel="0" collapsed="false">
      <c r="A72" s="4" t="s">
        <v>542</v>
      </c>
      <c r="B72" s="0" t="s">
        <v>196</v>
      </c>
      <c r="D72" s="18" t="n">
        <f aca="false">0</f>
        <v>0</v>
      </c>
      <c r="E72" s="18" t="n">
        <f aca="false">lcs_27</f>
        <v>0.008</v>
      </c>
      <c r="F72" s="18" t="n">
        <f aca="false">lcs_28</f>
        <v>0.015</v>
      </c>
      <c r="G72" s="18" t="n">
        <f aca="false">lcs_29</f>
        <v>0.025</v>
      </c>
    </row>
    <row r="73" customFormat="false" ht="17.15" hidden="false" customHeight="false" outlineLevel="0" collapsed="false">
      <c r="A73" s="4" t="s">
        <v>597</v>
      </c>
      <c r="B73" s="0" t="s">
        <v>301</v>
      </c>
      <c r="C73" s="24" t="n">
        <f aca="false">0</f>
        <v>0</v>
      </c>
      <c r="D73" s="24" t="n">
        <f aca="false">D71*D72*fx</f>
        <v>0</v>
      </c>
      <c r="E73" s="24" t="n">
        <f aca="false">E71*E72*fx</f>
        <v>2.61148170763259</v>
      </c>
      <c r="F73" s="24" t="n">
        <f aca="false">F71*F72*fx</f>
        <v>6.06050151502085</v>
      </c>
      <c r="G73" s="24" t="n">
        <f aca="false">G71*G72*fx</f>
        <v>12.9447550862441</v>
      </c>
    </row>
    <row r="74" customFormat="false" ht="17.15" hidden="false" customHeight="false" outlineLevel="0" collapsed="false">
      <c r="A74" s="6" t="s">
        <v>598</v>
      </c>
    </row>
    <row r="75" customFormat="false" ht="17.15" hidden="false" customHeight="false" outlineLevel="0" collapsed="false">
      <c r="A75" s="4" t="s">
        <v>599</v>
      </c>
      <c r="B75" s="0" t="s">
        <v>301</v>
      </c>
      <c r="C75" s="24" t="n">
        <f aca="false">a25_oth</f>
        <v>8.637576</v>
      </c>
      <c r="D75" s="24" t="n">
        <f aca="false">a26_rev*(th_26-ai_26)</f>
        <v>11.380355</v>
      </c>
      <c r="E75" s="24" t="n">
        <f aca="false">D75*(1+g_oth_27)</f>
        <v>12.7459976</v>
      </c>
      <c r="F75" s="24" t="n">
        <f aca="false">E75*(1+g_oth_28)</f>
        <v>14.02059736</v>
      </c>
      <c r="G75" s="24" t="n">
        <f aca="false">F75*(1+g_oth_29)</f>
        <v>15.1422451488</v>
      </c>
    </row>
    <row r="76" customFormat="false" ht="15" hidden="false" customHeight="false" outlineLevel="0" collapsed="false">
      <c r="A76" s="4" t="s">
        <v>600</v>
      </c>
      <c r="B76" s="0" t="s">
        <v>301</v>
      </c>
      <c r="C76" s="24" t="n">
        <f aca="false">a25_lf</f>
        <v>5.555624</v>
      </c>
      <c r="D76" s="24" t="n">
        <f aca="false">a26_lf</f>
        <v>8.128825</v>
      </c>
      <c r="E76" s="24" t="n">
        <f aca="false">D76*(1+g_lf_27)</f>
        <v>8.37268975</v>
      </c>
      <c r="F76" s="24" t="n">
        <f aca="false">E76*(1+g_lf_28)</f>
        <v>8.6238704425</v>
      </c>
      <c r="G76" s="24" t="n">
        <f aca="false">F76*(1+g_lf_29)</f>
        <v>8.882586555775</v>
      </c>
    </row>
    <row r="77" customFormat="false" ht="17.15" hidden="false" customHeight="false" outlineLevel="0" collapsed="false">
      <c r="A77" s="4" t="s">
        <v>475</v>
      </c>
      <c r="B77" s="0" t="s">
        <v>301</v>
      </c>
      <c r="C77" s="24" t="n">
        <f aca="false">C69+C73+C75+C76</f>
        <v>20.276</v>
      </c>
      <c r="D77" s="24" t="n">
        <f aca="false">D69+D73+D75+D76</f>
        <v>32.5153</v>
      </c>
      <c r="E77" s="24" t="n">
        <f aca="false">E69+E73+E75+E76</f>
        <v>54.5374806486897</v>
      </c>
      <c r="F77" s="24" t="n">
        <f aca="false">F69+F73+F75+F76</f>
        <v>61.5027508385107</v>
      </c>
      <c r="G77" s="24" t="n">
        <f aca="false">G69+G73+G75+G76</f>
        <v>75.5059764583468</v>
      </c>
      <c r="H77" s="25" t="n">
        <f aca="false">G77*(1+H78)</f>
        <v>87.9737518933145</v>
      </c>
      <c r="I77" s="25" t="n">
        <f aca="false">H77*(1+I78)</f>
        <v>96.9964730623165</v>
      </c>
      <c r="J77" s="25" t="n">
        <f aca="false">I77*(1+J78)</f>
        <v>100.876331984809</v>
      </c>
      <c r="K77" s="8" t="s">
        <v>601</v>
      </c>
    </row>
    <row r="78" customFormat="false" ht="15" hidden="false" customHeight="false" outlineLevel="0" collapsed="false">
      <c r="A78" s="4" t="s">
        <v>602</v>
      </c>
      <c r="B78" s="0" t="s">
        <v>196</v>
      </c>
      <c r="D78" s="18" t="n">
        <f aca="false">D77/C77-1</f>
        <v>0.603634839218781</v>
      </c>
      <c r="E78" s="18" t="n">
        <f aca="false">E77/D77-1</f>
        <v>0.677286712676484</v>
      </c>
      <c r="F78" s="18" t="n">
        <f aca="false">F77/E77-1</f>
        <v>0.127715290603331</v>
      </c>
      <c r="G78" s="18" t="n">
        <f aca="false">G77/F77-1</f>
        <v>0.227684541405388</v>
      </c>
      <c r="H78" s="26" t="n">
        <f aca="false">$G78+(fade_gB-$G78)*1/3</f>
        <v>0.165123027603592</v>
      </c>
      <c r="I78" s="26" t="n">
        <f aca="false">$G78+(fade_gB-$G78)*2/3</f>
        <v>0.102561513801796</v>
      </c>
      <c r="J78" s="26" t="n">
        <f aca="false">$G78+(fade_gB-$G78)*3/3</f>
        <v>0.04</v>
      </c>
    </row>
    <row r="79" customFormat="false" ht="17.15" hidden="false" customHeight="false" outlineLevel="0" collapsed="false">
      <c r="A79" s="0" t="s">
        <v>603</v>
      </c>
      <c r="B79" s="0" t="s">
        <v>196</v>
      </c>
      <c r="C79" s="18" t="n">
        <f aca="false">C69/C77</f>
        <v>0.3</v>
      </c>
      <c r="D79" s="18" t="n">
        <f aca="false">D69/D77</f>
        <v>0.4</v>
      </c>
      <c r="E79" s="18" t="n">
        <f aca="false">E69/E77</f>
        <v>0.564883291722007</v>
      </c>
      <c r="F79" s="18" t="n">
        <f aca="false">F69/F77</f>
        <v>0.5332734076742</v>
      </c>
      <c r="G79" s="18" t="n">
        <f aca="false">G69/G77</f>
        <v>0.51037535669493</v>
      </c>
    </row>
    <row r="80" customFormat="false" ht="17.15" hidden="false" customHeight="false" outlineLevel="0" collapsed="false">
      <c r="A80" s="4" t="s">
        <v>604</v>
      </c>
      <c r="B80" s="0" t="s">
        <v>136</v>
      </c>
      <c r="D80" s="24" t="n">
        <f aca="false">D69/fx*1000/(D53+D54+D55+D56+D57+D58)</f>
        <v>26.7395559210526</v>
      </c>
      <c r="E80" s="24" t="n">
        <f aca="false">E69/fx*1000/(E53+E54+E55+E56+E57+E58)</f>
        <v>40.6214551569846</v>
      </c>
      <c r="F80" s="24" t="n">
        <f aca="false">F69/fx*1000/(F53+F54+F55+F56+F57+F58)</f>
        <v>48.3457864401383</v>
      </c>
      <c r="G80" s="24" t="n">
        <f aca="false">G69/fx*1000/(G53+G54+G55+G56+G57+G58)</f>
        <v>46.9910126664809</v>
      </c>
    </row>
    <row r="81" customFormat="false" ht="17.15" hidden="false" customHeight="false" outlineLevel="0" collapsed="false">
      <c r="A81" s="6" t="s">
        <v>605</v>
      </c>
    </row>
    <row r="82" customFormat="false" ht="17.15" hidden="false" customHeight="false" outlineLevel="0" collapsed="false">
      <c r="A82" s="4" t="s">
        <v>606</v>
      </c>
      <c r="B82" s="0" t="s">
        <v>196</v>
      </c>
      <c r="D82" s="18" t="n">
        <f aca="false">a26_gp/D77-d_ai*D79</f>
        <v>0.425324773260588</v>
      </c>
      <c r="K82" s="8" t="s">
        <v>607</v>
      </c>
    </row>
    <row r="83" customFormat="false" ht="15" hidden="false" customHeight="false" outlineLevel="0" collapsed="false">
      <c r="A83" s="4" t="s">
        <v>479</v>
      </c>
      <c r="B83" s="0" t="s">
        <v>301</v>
      </c>
      <c r="C83" s="24" t="n">
        <f aca="false">a25_gp</f>
        <v>8.434</v>
      </c>
      <c r="D83" s="24" t="n">
        <f aca="false">a26_gp</f>
        <v>15.390297</v>
      </c>
      <c r="E83" s="24" t="n">
        <f aca="false">$D$82*E77+d_ai*E69</f>
        <v>26.8930189820345</v>
      </c>
      <c r="F83" s="24" t="n">
        <f aca="false">$D$82*F77+d_ai*F69</f>
        <v>30.0943773378108</v>
      </c>
      <c r="G83" s="24" t="n">
        <f aca="false">$D$82*G77+d_ai*G69</f>
        <v>36.738929077069</v>
      </c>
    </row>
    <row r="84" customFormat="false" ht="15" hidden="false" customHeight="false" outlineLevel="0" collapsed="false">
      <c r="A84" s="4" t="s">
        <v>482</v>
      </c>
      <c r="B84" s="0" t="s">
        <v>196</v>
      </c>
      <c r="C84" s="18" t="n">
        <f aca="false">C83/C77</f>
        <v>0.415959755375814</v>
      </c>
      <c r="D84" s="18" t="n">
        <f aca="false">D83/D77</f>
        <v>0.473324773260588</v>
      </c>
      <c r="E84" s="18" t="n">
        <f aca="false">E83/E77</f>
        <v>0.493110768267229</v>
      </c>
      <c r="F84" s="18" t="n">
        <f aca="false">F83/F77</f>
        <v>0.489317582181492</v>
      </c>
      <c r="G84" s="18" t="n">
        <f aca="false">G83/G77</f>
        <v>0.48656981606398</v>
      </c>
    </row>
    <row r="85" customFormat="false" ht="15" hidden="false" customHeight="false" outlineLevel="0" collapsed="false">
      <c r="A85" s="4" t="s">
        <v>608</v>
      </c>
      <c r="B85" s="0" t="s">
        <v>301</v>
      </c>
      <c r="C85" s="24" t="n">
        <f aca="false">a25_opx</f>
        <v>1.936</v>
      </c>
      <c r="D85" s="24" t="n">
        <f aca="false">a26_opx</f>
        <v>2.8705005</v>
      </c>
      <c r="E85" s="24" t="n">
        <f aca="false">D85*(1+MAX(0,phi*E78))</f>
        <v>4.03699160842872</v>
      </c>
      <c r="F85" s="24" t="n">
        <f aca="false">E85*(1+MAX(0,phi*F78))</f>
        <v>4.34634294228893</v>
      </c>
      <c r="G85" s="24" t="n">
        <f aca="false">F85*(1+MAX(0,phi*G78))</f>
        <v>4.94010000205229</v>
      </c>
    </row>
    <row r="86" customFormat="false" ht="15" hidden="false" customHeight="false" outlineLevel="0" collapsed="false">
      <c r="A86" s="4" t="s">
        <v>484</v>
      </c>
      <c r="B86" s="0" t="s">
        <v>301</v>
      </c>
      <c r="C86" s="24" t="n">
        <f aca="false">C85</f>
        <v>1.936</v>
      </c>
      <c r="D86" s="24" t="n">
        <f aca="false">D85</f>
        <v>2.8705005</v>
      </c>
      <c r="E86" s="24" t="n">
        <f aca="false">E85+0*E77</f>
        <v>4.03699160842872</v>
      </c>
      <c r="F86" s="24" t="n">
        <f aca="false">F85+0*F77</f>
        <v>4.34634294228893</v>
      </c>
      <c r="G86" s="24" t="n">
        <f aca="false">G85+0*G77</f>
        <v>4.94010000205229</v>
      </c>
    </row>
    <row r="87" customFormat="false" ht="15" hidden="false" customHeight="false" outlineLevel="0" collapsed="false">
      <c r="A87" s="4" t="s">
        <v>486</v>
      </c>
      <c r="B87" s="0" t="s">
        <v>301</v>
      </c>
      <c r="C87" s="24" t="n">
        <f aca="false">C83-C86</f>
        <v>6.498</v>
      </c>
      <c r="D87" s="24" t="n">
        <f aca="false">D83-D86</f>
        <v>12.5197965</v>
      </c>
      <c r="E87" s="24" t="n">
        <f aca="false">E83-E86</f>
        <v>22.8560273736058</v>
      </c>
      <c r="F87" s="24" t="n">
        <f aca="false">F83-F86</f>
        <v>25.7480343955218</v>
      </c>
      <c r="G87" s="24" t="n">
        <f aca="false">G83-G86</f>
        <v>31.7988290750167</v>
      </c>
    </row>
    <row r="88" customFormat="false" ht="15" hidden="false" customHeight="false" outlineLevel="0" collapsed="false">
      <c r="A88" s="4" t="s">
        <v>488</v>
      </c>
      <c r="B88" s="0" t="s">
        <v>196</v>
      </c>
      <c r="C88" s="18" t="n">
        <f aca="false">C87/C77</f>
        <v>0.320477411718288</v>
      </c>
      <c r="D88" s="18" t="n">
        <f aca="false">D87/D77</f>
        <v>0.385043241181844</v>
      </c>
      <c r="E88" s="18" t="n">
        <f aca="false">E87/E77</f>
        <v>0.419088434261125</v>
      </c>
      <c r="F88" s="18" t="n">
        <f aca="false">F87/F77</f>
        <v>0.418648500180571</v>
      </c>
      <c r="G88" s="18" t="n">
        <f aca="false">G87/G77</f>
        <v>0.421143207022276</v>
      </c>
    </row>
    <row r="89" customFormat="false" ht="15" hidden="false" customHeight="false" outlineLevel="0" collapsed="false">
      <c r="A89" s="4" t="s">
        <v>489</v>
      </c>
      <c r="B89" s="0" t="s">
        <v>301</v>
      </c>
      <c r="C89" s="29" t="n">
        <f aca="false">a25_nop</f>
        <v>0.108999999999999</v>
      </c>
      <c r="D89" s="29" t="n">
        <f aca="false">a26_nop</f>
        <v>0.330500000000001</v>
      </c>
      <c r="E89" s="29" t="n">
        <f aca="false">nop_f</f>
        <v>0.3</v>
      </c>
      <c r="F89" s="29" t="n">
        <f aca="false">nop_f</f>
        <v>0.3</v>
      </c>
      <c r="G89" s="29" t="n">
        <f aca="false">nop_f</f>
        <v>0.3</v>
      </c>
    </row>
    <row r="90" customFormat="false" ht="15" hidden="false" customHeight="false" outlineLevel="0" collapsed="false">
      <c r="A90" s="4" t="s">
        <v>494</v>
      </c>
      <c r="B90" s="0" t="s">
        <v>301</v>
      </c>
      <c r="C90" s="24" t="n">
        <f aca="false">a25_ni</f>
        <v>5.277</v>
      </c>
      <c r="D90" s="24" t="n">
        <f aca="false">a26_ni</f>
        <v>10.3442061825</v>
      </c>
      <c r="E90" s="24" t="n">
        <f aca="false">(E87+E89)*nir_f</f>
        <v>18.6406020357527</v>
      </c>
      <c r="F90" s="24" t="n">
        <f aca="false">(F87+F89)*nir_f</f>
        <v>20.9686676883951</v>
      </c>
      <c r="G90" s="24" t="n">
        <f aca="false">(G87+G89)*nir_f</f>
        <v>25.8395574053884</v>
      </c>
      <c r="H90" s="25" t="n">
        <f aca="false">H77*H94</f>
        <v>29.022046615739</v>
      </c>
      <c r="I90" s="25" t="n">
        <f aca="false">I77*I94</f>
        <v>30.8031759997305</v>
      </c>
      <c r="J90" s="25" t="n">
        <f aca="false">J77*J94</f>
        <v>30.792070763153</v>
      </c>
    </row>
    <row r="91" customFormat="false" ht="15" hidden="false" customHeight="false" outlineLevel="0" collapsed="false">
      <c r="A91" s="4" t="s">
        <v>609</v>
      </c>
      <c r="B91" s="4" t="s">
        <v>327</v>
      </c>
      <c r="C91" s="28" t="n">
        <f aca="false">a25_sh</f>
        <v>0.143591836734694</v>
      </c>
      <c r="D91" s="28" t="n">
        <f aca="false">a26_sh</f>
        <v>0.146703513620213</v>
      </c>
      <c r="E91" s="28" t="n">
        <f aca="false">D91*(1+sh_g)</f>
        <v>0.146703513620213</v>
      </c>
      <c r="F91" s="28" t="n">
        <f aca="false">E91*(1+sh_g)</f>
        <v>0.146703513620213</v>
      </c>
      <c r="G91" s="28" t="n">
        <f aca="false">F91*(1+sh_g)</f>
        <v>0.146703513620213</v>
      </c>
      <c r="H91" s="30" t="n">
        <f aca="false">G91*(1+sh_g)</f>
        <v>0.146703513620213</v>
      </c>
      <c r="I91" s="30" t="n">
        <f aca="false">H91*(1+sh_g)</f>
        <v>0.146703513620213</v>
      </c>
      <c r="J91" s="30" t="n">
        <f aca="false">I91*(1+sh_g)</f>
        <v>0.146703513620213</v>
      </c>
    </row>
    <row r="92" customFormat="false" ht="15" hidden="false" customHeight="false" outlineLevel="0" collapsed="false">
      <c r="A92" s="0" t="s">
        <v>500</v>
      </c>
      <c r="B92" s="0" t="s">
        <v>360</v>
      </c>
      <c r="C92" s="29" t="n">
        <f aca="false">C90/C91</f>
        <v>36.75</v>
      </c>
      <c r="D92" s="29" t="n">
        <f aca="false">D90/D91</f>
        <v>70.5109641019174</v>
      </c>
      <c r="E92" s="29" t="n">
        <f aca="false">E90/E91</f>
        <v>127.06309191755</v>
      </c>
      <c r="F92" s="29" t="n">
        <f aca="false">F90/F91</f>
        <v>142.932280018043</v>
      </c>
      <c r="G92" s="29" t="n">
        <f aca="false">G90/G91</f>
        <v>176.13455034405</v>
      </c>
      <c r="H92" s="31" t="n">
        <f aca="false">H90/H91</f>
        <v>197.827890413528</v>
      </c>
      <c r="I92" s="31" t="n">
        <f aca="false">I90/I91</f>
        <v>209.968904217754</v>
      </c>
      <c r="J92" s="31" t="n">
        <f aca="false">J90/J91</f>
        <v>209.893205713312</v>
      </c>
    </row>
    <row r="93" customFormat="false" ht="17.15" hidden="false" customHeight="false" outlineLevel="0" collapsed="false">
      <c r="A93" s="0" t="s">
        <v>610</v>
      </c>
      <c r="B93" s="0" t="s">
        <v>196</v>
      </c>
      <c r="D93" s="18" t="n">
        <f aca="false">D92/C92-1</f>
        <v>0.918665689848092</v>
      </c>
      <c r="E93" s="18" t="n">
        <f aca="false">E92/D92-1</f>
        <v>0.802033109828015</v>
      </c>
      <c r="F93" s="18" t="n">
        <f aca="false">F92/E92-1</f>
        <v>0.124892192225186</v>
      </c>
      <c r="G93" s="18" t="n">
        <f aca="false">G92/F92-1</f>
        <v>0.232293715050341</v>
      </c>
      <c r="H93" s="26" t="n">
        <f aca="false">H92/G92-1</f>
        <v>0.123163456727278</v>
      </c>
      <c r="I93" s="26" t="n">
        <f aca="false">I92/H92-1</f>
        <v>0.0613715982051248</v>
      </c>
      <c r="J93" s="26" t="n">
        <f aca="false">J92/I92-1</f>
        <v>-0.000360522453191736</v>
      </c>
    </row>
    <row r="94" customFormat="false" ht="17.15" hidden="false" customHeight="false" outlineLevel="0" collapsed="false">
      <c r="A94" s="4" t="s">
        <v>611</v>
      </c>
      <c r="B94" s="0" t="s">
        <v>196</v>
      </c>
      <c r="C94" s="18" t="n">
        <f aca="false">C90/C77</f>
        <v>0.260258433616098</v>
      </c>
      <c r="D94" s="18" t="n">
        <f aca="false">D90/D77</f>
        <v>0.318133499690915</v>
      </c>
      <c r="E94" s="18" t="n">
        <f aca="false">E90/E77</f>
        <v>0.341794336922685</v>
      </c>
      <c r="F94" s="18" t="n">
        <f aca="false">F90/F77</f>
        <v>0.340938696278042</v>
      </c>
      <c r="G94" s="18" t="n">
        <f aca="false">G90/G77</f>
        <v>0.342218703967664</v>
      </c>
      <c r="H94" s="26" t="n">
        <f aca="false">$G94+(fade_mB-$G94)*1/3</f>
        <v>0.329894383167083</v>
      </c>
      <c r="I94" s="26" t="n">
        <f aca="false">$G94+(fade_mB-$G94)*2/3</f>
        <v>0.317570062366502</v>
      </c>
      <c r="J94" s="26" t="n">
        <f aca="false">$G94+(fade_mB-$G94)*3/3</f>
        <v>0.30524574156592</v>
      </c>
    </row>
    <row r="97" customFormat="false" ht="17.15" hidden="false" customHeight="false" outlineLevel="0" collapsed="false">
      <c r="A97" s="1" t="s">
        <v>903</v>
      </c>
    </row>
    <row r="98" customFormat="false" ht="17.15" hidden="false" customHeight="false" outlineLevel="0" collapsed="false">
      <c r="A98" s="5" t="s">
        <v>22</v>
      </c>
      <c r="B98" s="5" t="s">
        <v>23</v>
      </c>
      <c r="C98" s="15" t="s">
        <v>470</v>
      </c>
      <c r="D98" s="15" t="s">
        <v>553</v>
      </c>
      <c r="E98" s="15" t="s">
        <v>554</v>
      </c>
      <c r="F98" s="15" t="s">
        <v>555</v>
      </c>
      <c r="G98" s="15" t="s">
        <v>556</v>
      </c>
      <c r="H98" s="15" t="s">
        <v>557</v>
      </c>
      <c r="I98" s="15" t="s">
        <v>558</v>
      </c>
      <c r="J98" s="15" t="s">
        <v>559</v>
      </c>
      <c r="K98" s="5" t="s">
        <v>523</v>
      </c>
    </row>
    <row r="99" customFormat="false" ht="17.15" hidden="false" customHeight="false" outlineLevel="0" collapsed="false">
      <c r="A99" s="6" t="s">
        <v>575</v>
      </c>
    </row>
    <row r="100" customFormat="false" ht="17.15" hidden="false" customHeight="false" outlineLevel="0" collapsed="false">
      <c r="A100" s="0" t="s">
        <v>576</v>
      </c>
      <c r="B100" s="4" t="s">
        <v>33</v>
      </c>
      <c r="D100" s="19" t="n">
        <f aca="false">(u_bw26)*1</f>
        <v>5.4</v>
      </c>
      <c r="E100" s="19" t="n">
        <f aca="false">(u_bw27)*1*1</f>
        <v>2.4</v>
      </c>
      <c r="F100" s="19" t="n">
        <f aca="false">(u_bw28)*um28_B*1</f>
        <v>0.4</v>
      </c>
      <c r="G100" s="19" t="n">
        <f aca="false">(u_bw29)*um29_B*1</f>
        <v>0.2125</v>
      </c>
    </row>
    <row r="101" customFormat="false" ht="17.15" hidden="false" customHeight="false" outlineLevel="0" collapsed="false">
      <c r="A101" s="0" t="s">
        <v>577</v>
      </c>
      <c r="B101" s="4" t="s">
        <v>33</v>
      </c>
      <c r="D101" s="19" t="n">
        <f aca="false">(u_hp26)*1</f>
        <v>0.5</v>
      </c>
      <c r="E101" s="19" t="n">
        <f aca="false">(u_hp27)*1*1</f>
        <v>0</v>
      </c>
      <c r="F101" s="19" t="n">
        <f aca="false">(u_hp28)*um28_B*1</f>
        <v>0</v>
      </c>
      <c r="G101" s="19" t="n">
        <f aca="false">(u_hp29)*um29_B*1</f>
        <v>0</v>
      </c>
    </row>
    <row r="102" customFormat="false" ht="17.15" hidden="false" customHeight="false" outlineLevel="0" collapsed="false">
      <c r="A102" s="0" t="s">
        <v>578</v>
      </c>
      <c r="B102" s="4" t="s">
        <v>33</v>
      </c>
      <c r="D102" s="19" t="n">
        <f aca="false">(u_rb26)*1</f>
        <v>1.7</v>
      </c>
      <c r="E102" s="19" t="n">
        <f aca="false">(u_rb27)*1*1</f>
        <v>7</v>
      </c>
      <c r="F102" s="19" t="n">
        <f aca="false">(u_rb28)*um28_B*1</f>
        <v>5.6</v>
      </c>
      <c r="G102" s="19" t="n">
        <f aca="false">(u_rb29)*um29_B*1</f>
        <v>6.8425</v>
      </c>
    </row>
    <row r="103" customFormat="false" ht="17.15" hidden="false" customHeight="false" outlineLevel="0" collapsed="false">
      <c r="A103" s="0" t="s">
        <v>579</v>
      </c>
      <c r="B103" s="4" t="s">
        <v>33</v>
      </c>
      <c r="D103" s="19" t="n">
        <f aca="false">(u_ru26)*1</f>
        <v>0</v>
      </c>
      <c r="E103" s="19" t="n">
        <f aca="false">(u_ru27)*1*1</f>
        <v>0.3</v>
      </c>
      <c r="F103" s="19" t="n">
        <f aca="false">(u_ru28)*um28_B*1</f>
        <v>1.6</v>
      </c>
      <c r="G103" s="19" t="n">
        <f aca="false">(u_ru29)*um29_B*1</f>
        <v>1.955</v>
      </c>
    </row>
    <row r="104" customFormat="false" ht="17.15" hidden="false" customHeight="false" outlineLevel="0" collapsed="false">
      <c r="A104" s="0" t="s">
        <v>580</v>
      </c>
      <c r="B104" s="4" t="s">
        <v>33</v>
      </c>
      <c r="D104" s="19" t="n">
        <f aca="false">(u_amd26)*1</f>
        <v>0.75</v>
      </c>
      <c r="E104" s="19" t="n">
        <f aca="false">(u_amd27)*1*1</f>
        <v>1.5</v>
      </c>
      <c r="F104" s="19" t="n">
        <f aca="false">(u_amd28)*um28_B*1</f>
        <v>1.6</v>
      </c>
      <c r="G104" s="19" t="n">
        <f aca="false">(u_amd29)*um29_B*1</f>
        <v>1.955</v>
      </c>
    </row>
    <row r="105" customFormat="false" ht="17.15" hidden="false" customHeight="false" outlineLevel="0" collapsed="false">
      <c r="A105" s="0" t="s">
        <v>581</v>
      </c>
      <c r="B105" s="4" t="s">
        <v>33</v>
      </c>
      <c r="D105" s="19" t="n">
        <f aca="false">(u_tpu26+u_trn26+u_oth26)*1</f>
        <v>6.85</v>
      </c>
      <c r="E105" s="19" t="n">
        <f aca="false">(u_tpu27+u_trn27+u_oth27)*1*1</f>
        <v>12.5</v>
      </c>
      <c r="F105" s="19" t="n">
        <f aca="false">(u_tpu28+u_trn28+u_oth28)*um28_B*1</f>
        <v>12</v>
      </c>
      <c r="G105" s="19" t="n">
        <f aca="false">(u_tpu29+u_trn29+u_oth29)*um29_B*1</f>
        <v>14.6625</v>
      </c>
    </row>
    <row r="106" customFormat="false" ht="17.15" hidden="false" customHeight="false" outlineLevel="0" collapsed="false">
      <c r="A106" s="0" t="s">
        <v>527</v>
      </c>
      <c r="B106" s="0" t="s">
        <v>136</v>
      </c>
      <c r="D106" s="22" t="n">
        <f aca="false">asp_vr_26</f>
        <v>100</v>
      </c>
      <c r="E106" s="22" t="n">
        <f aca="false">VRHI_27</f>
        <v>200</v>
      </c>
      <c r="F106" s="22" t="n">
        <f aca="false">VRHI_28</f>
        <v>220</v>
      </c>
      <c r="G106" s="22" t="n">
        <f aca="false">VRHI_29</f>
        <v>220</v>
      </c>
    </row>
    <row r="107" customFormat="false" ht="17.15" hidden="false" customHeight="false" outlineLevel="0" collapsed="false">
      <c r="A107" s="0" t="s">
        <v>582</v>
      </c>
      <c r="B107" s="0" t="s">
        <v>136</v>
      </c>
      <c r="D107" s="22" t="n">
        <f aca="false">asp_amd_26</f>
        <v>40</v>
      </c>
      <c r="E107" s="22" t="n">
        <f aca="false">asp_amd_27</f>
        <v>60</v>
      </c>
      <c r="F107" s="22" t="n">
        <f aca="false">asp_amd_28</f>
        <v>80</v>
      </c>
      <c r="G107" s="22" t="n">
        <f aca="false">asp_amd_29</f>
        <v>80</v>
      </c>
    </row>
    <row r="108" customFormat="false" ht="17.15" hidden="false" customHeight="false" outlineLevel="0" collapsed="false">
      <c r="A108" s="0" t="s">
        <v>583</v>
      </c>
      <c r="B108" s="0" t="s">
        <v>136</v>
      </c>
      <c r="D108" s="22" t="n">
        <f aca="false">asp_asic_26</f>
        <v>30</v>
      </c>
      <c r="E108" s="22" t="n">
        <f aca="false">asp_asic_27</f>
        <v>35</v>
      </c>
      <c r="F108" s="22" t="n">
        <f aca="false">asp_asic_28</f>
        <v>40</v>
      </c>
      <c r="G108" s="22" t="n">
        <f aca="false">asp_asic_29</f>
        <v>40</v>
      </c>
    </row>
    <row r="109" customFormat="false" ht="17.15" hidden="false" customHeight="false" outlineLevel="0" collapsed="false">
      <c r="A109" s="0" t="s">
        <v>584</v>
      </c>
      <c r="B109" s="0" t="s">
        <v>205</v>
      </c>
      <c r="D109" s="17" t="n">
        <f aca="false">(D100*asp_bw+D101*asp_hp+D102*D106+D103*asp_ru)/1000</f>
        <v>0.3665</v>
      </c>
      <c r="E109" s="17" t="n">
        <f aca="false">(E100*asp_bw+E101*asp_hp+E102*E106+E103*asp_ru)/1000</f>
        <v>1.544</v>
      </c>
      <c r="F109" s="17" t="n">
        <f aca="false">(F100*asp_bw+F101*asp_hp+F102*F106+F103*asp_ru)/1000</f>
        <v>1.566</v>
      </c>
      <c r="G109" s="17" t="n">
        <f aca="false">(G100*asp_bw+G101*asp_hp+G102*G106+G103*asp_ru)/1000</f>
        <v>1.9037875</v>
      </c>
      <c r="K109" s="4" t="s">
        <v>585</v>
      </c>
    </row>
    <row r="110" customFormat="false" ht="17.15" hidden="false" customHeight="false" outlineLevel="0" collapsed="false">
      <c r="A110" s="4" t="s">
        <v>586</v>
      </c>
      <c r="B110" s="0" t="s">
        <v>205</v>
      </c>
      <c r="D110" s="17" t="n">
        <f aca="false">(D104*D107+D105*D108)/1000</f>
        <v>0.2355</v>
      </c>
      <c r="E110" s="17" t="n">
        <f aca="false">(E104*E107+E105*E108)/1000</f>
        <v>0.5275</v>
      </c>
      <c r="F110" s="17" t="n">
        <f aca="false">(F104*F107+F105*F108)/1000</f>
        <v>0.608</v>
      </c>
      <c r="G110" s="17" t="n">
        <f aca="false">(G104*G107+G105*G108)/1000</f>
        <v>0.7429</v>
      </c>
    </row>
    <row r="111" customFormat="false" ht="17.15" hidden="false" customHeight="false" outlineLevel="0" collapsed="false">
      <c r="A111" s="0" t="s">
        <v>587</v>
      </c>
      <c r="B111" s="0" t="s">
        <v>205</v>
      </c>
      <c r="D111" s="17" t="n">
        <f aca="false">D109+D110</f>
        <v>0.602</v>
      </c>
      <c r="E111" s="17" t="n">
        <f aca="false">E109+E110</f>
        <v>2.0715</v>
      </c>
      <c r="F111" s="17" t="n">
        <f aca="false">F109+F110</f>
        <v>2.174</v>
      </c>
      <c r="G111" s="17" t="n">
        <f aca="false">G109+G110</f>
        <v>2.6466875</v>
      </c>
    </row>
    <row r="112" customFormat="false" ht="17.15" hidden="false" customHeight="false" outlineLevel="0" collapsed="false">
      <c r="A112" s="4" t="s">
        <v>588</v>
      </c>
      <c r="B112" s="0" t="s">
        <v>196</v>
      </c>
      <c r="D112" s="18" t="n">
        <f aca="false">a26_rev*ai_26/fx/(D109+k_non*D110)</f>
        <v>0.882225417842414</v>
      </c>
      <c r="K112" s="8" t="s">
        <v>589</v>
      </c>
    </row>
    <row r="113" customFormat="false" ht="17.15" hidden="false" customHeight="false" outlineLevel="0" collapsed="false">
      <c r="A113" s="4" t="s">
        <v>590</v>
      </c>
      <c r="B113" s="0" t="s">
        <v>109</v>
      </c>
      <c r="D113" s="19" t="n">
        <f aca="false">1</f>
        <v>1</v>
      </c>
      <c r="E113" s="19" t="n">
        <f aca="false">rel_27</f>
        <v>0.97</v>
      </c>
      <c r="F113" s="19" t="n">
        <f aca="false">rel_28</f>
        <v>0.93</v>
      </c>
      <c r="G113" s="19" t="n">
        <f aca="false">rel_29</f>
        <v>0.9</v>
      </c>
    </row>
    <row r="114" customFormat="false" ht="17.15" hidden="false" customHeight="false" outlineLevel="0" collapsed="false">
      <c r="A114" s="4" t="s">
        <v>591</v>
      </c>
      <c r="B114" s="0" t="s">
        <v>196</v>
      </c>
      <c r="D114" s="18" t="n">
        <f aca="false">$D$112*D113</f>
        <v>0.882225417842414</v>
      </c>
      <c r="E114" s="18" t="n">
        <f aca="false">$D$112*E113</f>
        <v>0.855758655307142</v>
      </c>
      <c r="F114" s="18" t="n">
        <f aca="false">$D$112*F113</f>
        <v>0.820469638593445</v>
      </c>
      <c r="G114" s="18" t="n">
        <f aca="false">$D$112*G113</f>
        <v>0.794002876058173</v>
      </c>
    </row>
    <row r="115" customFormat="false" ht="17.15" hidden="false" customHeight="false" outlineLevel="0" collapsed="false">
      <c r="A115" s="4" t="s">
        <v>592</v>
      </c>
      <c r="B115" s="0" t="s">
        <v>196</v>
      </c>
      <c r="D115" s="18" t="n">
        <f aca="false">D114*k_non</f>
        <v>0.352890167136966</v>
      </c>
      <c r="E115" s="18" t="n">
        <f aca="false">E114*k_non</f>
        <v>0.342303462122857</v>
      </c>
      <c r="F115" s="18" t="n">
        <f aca="false">F114*k_non</f>
        <v>0.328187855437378</v>
      </c>
      <c r="G115" s="18" t="n">
        <f aca="false">G114*k_non</f>
        <v>0.317601150423269</v>
      </c>
    </row>
    <row r="116" customFormat="false" ht="17.15" hidden="false" customHeight="false" outlineLevel="0" collapsed="false">
      <c r="A116" s="0" t="s">
        <v>593</v>
      </c>
      <c r="B116" s="0" t="s">
        <v>301</v>
      </c>
      <c r="C116" s="24" t="n">
        <f aca="false">a25_ail</f>
        <v>6.0828</v>
      </c>
      <c r="D116" s="24" t="n">
        <f aca="false">(D109*D114+D110*D115)*fx</f>
        <v>13.00612</v>
      </c>
      <c r="E116" s="24" t="n">
        <f aca="false">(E109*E114+E110*E115)*fx</f>
        <v>48.0594060820491</v>
      </c>
      <c r="F116" s="24" t="n">
        <f aca="false">(F109*F114+F110*F115)*fx</f>
        <v>47.5005974445844</v>
      </c>
      <c r="G116" s="24" t="n">
        <f aca="false">(G109*G114+G110*G115)*fx</f>
        <v>55.9218766416974</v>
      </c>
    </row>
    <row r="117" customFormat="false" ht="17.15" hidden="false" customHeight="false" outlineLevel="0" collapsed="false">
      <c r="A117" s="6" t="s">
        <v>594</v>
      </c>
    </row>
    <row r="118" customFormat="false" ht="17.15" hidden="false" customHeight="false" outlineLevel="0" collapsed="false">
      <c r="A118" s="0" t="s">
        <v>595</v>
      </c>
      <c r="B118" s="0" t="s">
        <v>205</v>
      </c>
      <c r="D118" s="24" t="n">
        <f aca="false">lmkB_26</f>
        <v>4.51368758595869</v>
      </c>
      <c r="E118" s="24" t="n">
        <f aca="false">lmkB_27*1</f>
        <v>10.2011004204398</v>
      </c>
      <c r="F118" s="24" t="n">
        <f aca="false">lmkB_28*1</f>
        <v>12.6260448229601</v>
      </c>
      <c r="G118" s="24" t="n">
        <f aca="false">lmkB_29*1</f>
        <v>16.1809438578051</v>
      </c>
      <c r="K118" s="4" t="s">
        <v>596</v>
      </c>
    </row>
    <row r="119" customFormat="false" ht="15" hidden="false" customHeight="false" outlineLevel="0" collapsed="false">
      <c r="A119" s="4" t="s">
        <v>542</v>
      </c>
      <c r="B119" s="0" t="s">
        <v>196</v>
      </c>
      <c r="D119" s="18" t="n">
        <f aca="false">0</f>
        <v>0</v>
      </c>
      <c r="E119" s="18" t="n">
        <f aca="false">lcs_27</f>
        <v>0.008</v>
      </c>
      <c r="F119" s="18" t="n">
        <f aca="false">lcs_28</f>
        <v>0.015</v>
      </c>
      <c r="G119" s="18" t="n">
        <f aca="false">lcs_29</f>
        <v>0.025</v>
      </c>
    </row>
    <row r="120" customFormat="false" ht="17.15" hidden="false" customHeight="false" outlineLevel="0" collapsed="false">
      <c r="A120" s="4" t="s">
        <v>597</v>
      </c>
      <c r="B120" s="0" t="s">
        <v>301</v>
      </c>
      <c r="C120" s="24" t="n">
        <f aca="false">0</f>
        <v>0</v>
      </c>
      <c r="D120" s="24" t="n">
        <f aca="false">D118*D119*fx</f>
        <v>0</v>
      </c>
      <c r="E120" s="24" t="n">
        <f aca="false">E118*E119*fx</f>
        <v>2.61148170763259</v>
      </c>
      <c r="F120" s="24" t="n">
        <f aca="false">F118*F119*fx</f>
        <v>6.06050151502085</v>
      </c>
      <c r="G120" s="24" t="n">
        <f aca="false">G118*G119*fx</f>
        <v>12.9447550862441</v>
      </c>
    </row>
    <row r="121" customFormat="false" ht="17.15" hidden="false" customHeight="false" outlineLevel="0" collapsed="false">
      <c r="A121" s="6" t="s">
        <v>598</v>
      </c>
    </row>
    <row r="122" customFormat="false" ht="17.15" hidden="false" customHeight="false" outlineLevel="0" collapsed="false">
      <c r="A122" s="4" t="s">
        <v>599</v>
      </c>
      <c r="B122" s="0" t="s">
        <v>301</v>
      </c>
      <c r="C122" s="24" t="n">
        <f aca="false">a25_oth</f>
        <v>8.637576</v>
      </c>
      <c r="D122" s="24" t="n">
        <f aca="false">a26_rev*(th_26-ai_26)</f>
        <v>11.380355</v>
      </c>
      <c r="E122" s="24" t="n">
        <f aca="false">D122*(1+g_oth_27)</f>
        <v>12.7459976</v>
      </c>
      <c r="F122" s="24" t="n">
        <f aca="false">E122*(1+g_oth_28)</f>
        <v>14.02059736</v>
      </c>
      <c r="G122" s="24" t="n">
        <f aca="false">F122*(1+g_oth_29)</f>
        <v>15.1422451488</v>
      </c>
    </row>
    <row r="123" customFormat="false" ht="15" hidden="false" customHeight="false" outlineLevel="0" collapsed="false">
      <c r="A123" s="4" t="s">
        <v>600</v>
      </c>
      <c r="B123" s="0" t="s">
        <v>301</v>
      </c>
      <c r="C123" s="24" t="n">
        <f aca="false">a25_lf</f>
        <v>5.555624</v>
      </c>
      <c r="D123" s="24" t="n">
        <f aca="false">a26_lf</f>
        <v>8.128825</v>
      </c>
      <c r="E123" s="24" t="n">
        <f aca="false">D123*(1+g_lf_27)</f>
        <v>8.37268975</v>
      </c>
      <c r="F123" s="24" t="n">
        <f aca="false">E123*(1+g_lf_28)</f>
        <v>8.6238704425</v>
      </c>
      <c r="G123" s="24" t="n">
        <f aca="false">F123*(1+g_lf_29)</f>
        <v>8.882586555775</v>
      </c>
    </row>
    <row r="124" customFormat="false" ht="17.15" hidden="false" customHeight="false" outlineLevel="0" collapsed="false">
      <c r="A124" s="4" t="s">
        <v>475</v>
      </c>
      <c r="B124" s="0" t="s">
        <v>301</v>
      </c>
      <c r="C124" s="24" t="n">
        <f aca="false">C116+C120+C122+C123</f>
        <v>20.276</v>
      </c>
      <c r="D124" s="24" t="n">
        <f aca="false">D116+D120+D122+D123</f>
        <v>32.5153</v>
      </c>
      <c r="E124" s="24" t="n">
        <f aca="false">E116+E120+E122+E123</f>
        <v>71.7895751396817</v>
      </c>
      <c r="F124" s="24" t="n">
        <f aca="false">F116+F120+F122+F123</f>
        <v>76.2055667621052</v>
      </c>
      <c r="G124" s="24" t="n">
        <f aca="false">G116+G120+G122+G123</f>
        <v>92.8914634325165</v>
      </c>
      <c r="H124" s="25" t="n">
        <f aca="false">G124*(1+H125)</f>
        <v>107.689632513292</v>
      </c>
      <c r="I124" s="25" t="n">
        <f aca="false">H124*(1+I125)</f>
        <v>118.421228393755</v>
      </c>
      <c r="J124" s="25" t="n">
        <f aca="false">I124*(1+J125)</f>
        <v>123.158077529506</v>
      </c>
      <c r="K124" s="8" t="s">
        <v>601</v>
      </c>
    </row>
    <row r="125" customFormat="false" ht="15" hidden="false" customHeight="false" outlineLevel="0" collapsed="false">
      <c r="A125" s="4" t="s">
        <v>602</v>
      </c>
      <c r="B125" s="0" t="s">
        <v>196</v>
      </c>
      <c r="D125" s="18" t="n">
        <f aca="false">D124/C124-1</f>
        <v>0.603634839218781</v>
      </c>
      <c r="E125" s="18" t="n">
        <f aca="false">E124/D124-1</f>
        <v>1.20787060675072</v>
      </c>
      <c r="F125" s="18" t="n">
        <f aca="false">F124/E124-1</f>
        <v>0.0615129928521141</v>
      </c>
      <c r="G125" s="18" t="n">
        <f aca="false">G124/F124-1</f>
        <v>0.218959025952796</v>
      </c>
      <c r="H125" s="26" t="n">
        <f aca="false">$G125+(fade_gB-$G125)*1/3</f>
        <v>0.159306017301864</v>
      </c>
      <c r="I125" s="26" t="n">
        <f aca="false">$G125+(fade_gB-$G125)*2/3</f>
        <v>0.099653008650932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603</v>
      </c>
      <c r="B126" s="0" t="s">
        <v>196</v>
      </c>
      <c r="C126" s="18" t="n">
        <f aca="false">C116/C124</f>
        <v>0.3</v>
      </c>
      <c r="D126" s="18" t="n">
        <f aca="false">D116/D124</f>
        <v>0.4</v>
      </c>
      <c r="E126" s="18" t="n">
        <f aca="false">E116/E124</f>
        <v>0.669448258866826</v>
      </c>
      <c r="F126" s="18" t="n">
        <f aca="false">F116/F124</f>
        <v>0.62332188398873</v>
      </c>
      <c r="G126" s="18" t="n">
        <f aca="false">G116/G124</f>
        <v>0.602013086835728</v>
      </c>
    </row>
    <row r="127" customFormat="false" ht="17.15" hidden="false" customHeight="false" outlineLevel="0" collapsed="false">
      <c r="A127" s="4" t="s">
        <v>604</v>
      </c>
      <c r="B127" s="0" t="s">
        <v>136</v>
      </c>
      <c r="D127" s="24" t="n">
        <f aca="false">D116/fx*1000/(D100+D101+D102+D103+D104+D105)</f>
        <v>26.7395559210526</v>
      </c>
      <c r="E127" s="24" t="n">
        <f aca="false">E116/fx*1000/(E100+E101+E102+E103+E104+E105)</f>
        <v>63.3694700448959</v>
      </c>
      <c r="F127" s="24" t="n">
        <f aca="false">F116/fx*1000/(F100+F101+F102+F103+F104+F105)</f>
        <v>70.0185693463802</v>
      </c>
      <c r="G127" s="24" t="n">
        <f aca="false">G116/fx*1000/(G100+G101+G102+G103+G104+G105)</f>
        <v>68.1907577817987</v>
      </c>
    </row>
    <row r="128" customFormat="false" ht="17.15" hidden="false" customHeight="false" outlineLevel="0" collapsed="false">
      <c r="A128" s="6" t="s">
        <v>605</v>
      </c>
    </row>
    <row r="129" customFormat="false" ht="17.15" hidden="false" customHeight="false" outlineLevel="0" collapsed="false">
      <c r="A129" s="4" t="s">
        <v>606</v>
      </c>
      <c r="B129" s="0" t="s">
        <v>196</v>
      </c>
      <c r="D129" s="18" t="n">
        <f aca="false">a26_gp/D124-d_ai*D126</f>
        <v>0.425324773260588</v>
      </c>
      <c r="K129" s="8" t="s">
        <v>607</v>
      </c>
    </row>
    <row r="130" customFormat="false" ht="15" hidden="false" customHeight="false" outlineLevel="0" collapsed="false">
      <c r="A130" s="4" t="s">
        <v>479</v>
      </c>
      <c r="B130" s="0" t="s">
        <v>301</v>
      </c>
      <c r="C130" s="24" t="n">
        <f aca="false">a25_gp</f>
        <v>8.434</v>
      </c>
      <c r="D130" s="24" t="n">
        <f aca="false">a26_gp</f>
        <v>15.390297</v>
      </c>
      <c r="E130" s="24" t="n">
        <f aca="false">$D$129*E124+d_ai*E116</f>
        <v>36.3010134986049</v>
      </c>
      <c r="F130" s="24" t="n">
        <f aca="false">$D$129*F124+d_ai*F116</f>
        <v>38.1121870976371</v>
      </c>
      <c r="G130" s="24" t="n">
        <f aca="false">$D$129*G124+d_ai*G116</f>
        <v>46.219665819283</v>
      </c>
    </row>
    <row r="131" customFormat="false" ht="15" hidden="false" customHeight="false" outlineLevel="0" collapsed="false">
      <c r="A131" s="4" t="s">
        <v>482</v>
      </c>
      <c r="B131" s="0" t="s">
        <v>196</v>
      </c>
      <c r="C131" s="18" t="n">
        <f aca="false">C130/C124</f>
        <v>0.415959755375814</v>
      </c>
      <c r="D131" s="18" t="n">
        <f aca="false">D130/D124</f>
        <v>0.473324773260588</v>
      </c>
      <c r="E131" s="18" t="n">
        <f aca="false">E130/E124</f>
        <v>0.505658564324607</v>
      </c>
      <c r="F131" s="18" t="n">
        <f aca="false">F130/F124</f>
        <v>0.500123399339236</v>
      </c>
      <c r="G131" s="18" t="n">
        <f aca="false">G130/G124</f>
        <v>0.497566343680875</v>
      </c>
    </row>
    <row r="132" customFormat="false" ht="15" hidden="false" customHeight="false" outlineLevel="0" collapsed="false">
      <c r="A132" s="4" t="s">
        <v>608</v>
      </c>
      <c r="B132" s="0" t="s">
        <v>301</v>
      </c>
      <c r="C132" s="24" t="n">
        <f aca="false">a25_opx</f>
        <v>1.936</v>
      </c>
      <c r="D132" s="24" t="n">
        <f aca="false">a26_opx</f>
        <v>2.8705005</v>
      </c>
      <c r="E132" s="24" t="n">
        <f aca="false">D132*(1+MAX(0,phi*E125))</f>
        <v>4.95081640836795</v>
      </c>
      <c r="F132" s="24" t="n">
        <f aca="false">E132*(1+MAX(0,phi*F125))</f>
        <v>5.13354012897199</v>
      </c>
      <c r="G132" s="24" t="n">
        <f aca="false">F132*(1+MAX(0,phi*G125))</f>
        <v>5.80796109676956</v>
      </c>
    </row>
    <row r="133" customFormat="false" ht="15" hidden="false" customHeight="false" outlineLevel="0" collapsed="false">
      <c r="A133" s="4" t="s">
        <v>484</v>
      </c>
      <c r="B133" s="0" t="s">
        <v>301</v>
      </c>
      <c r="C133" s="24" t="n">
        <f aca="false">C132</f>
        <v>1.936</v>
      </c>
      <c r="D133" s="24" t="n">
        <f aca="false">D132</f>
        <v>2.8705005</v>
      </c>
      <c r="E133" s="24" t="n">
        <f aca="false">E132+0*E124</f>
        <v>4.95081640836795</v>
      </c>
      <c r="F133" s="24" t="n">
        <f aca="false">F132+0*F124</f>
        <v>5.13354012897199</v>
      </c>
      <c r="G133" s="24" t="n">
        <f aca="false">G132+0*G124</f>
        <v>5.80796109676956</v>
      </c>
    </row>
    <row r="134" customFormat="false" ht="15" hidden="false" customHeight="false" outlineLevel="0" collapsed="false">
      <c r="A134" s="4" t="s">
        <v>486</v>
      </c>
      <c r="B134" s="0" t="s">
        <v>301</v>
      </c>
      <c r="C134" s="24" t="n">
        <f aca="false">C130-C133</f>
        <v>6.498</v>
      </c>
      <c r="D134" s="24" t="n">
        <f aca="false">D130-D133</f>
        <v>12.5197965</v>
      </c>
      <c r="E134" s="24" t="n">
        <f aca="false">E130-E133</f>
        <v>31.350197090237</v>
      </c>
      <c r="F134" s="24" t="n">
        <f aca="false">F130-F133</f>
        <v>32.9786469686651</v>
      </c>
      <c r="G134" s="24" t="n">
        <f aca="false">G130-G133</f>
        <v>40.4117047225134</v>
      </c>
    </row>
    <row r="135" customFormat="false" ht="15" hidden="false" customHeight="false" outlineLevel="0" collapsed="false">
      <c r="A135" s="4" t="s">
        <v>488</v>
      </c>
      <c r="B135" s="0" t="s">
        <v>196</v>
      </c>
      <c r="C135" s="18" t="n">
        <f aca="false">C134/C124</f>
        <v>0.320477411718288</v>
      </c>
      <c r="D135" s="18" t="n">
        <f aca="false">D134/D124</f>
        <v>0.385043241181844</v>
      </c>
      <c r="E135" s="18" t="n">
        <f aca="false">E134/E124</f>
        <v>0.436695676624895</v>
      </c>
      <c r="F135" s="18" t="n">
        <f aca="false">F134/F124</f>
        <v>0.432759027586741</v>
      </c>
      <c r="G135" s="18" t="n">
        <f aca="false">G134/G124</f>
        <v>0.435042179649496</v>
      </c>
    </row>
    <row r="136" customFormat="false" ht="15" hidden="false" customHeight="false" outlineLevel="0" collapsed="false">
      <c r="A136" s="4" t="s">
        <v>489</v>
      </c>
      <c r="B136" s="0" t="s">
        <v>301</v>
      </c>
      <c r="C136" s="29" t="n">
        <f aca="false">a25_nop</f>
        <v>0.108999999999999</v>
      </c>
      <c r="D136" s="29" t="n">
        <f aca="false">a26_nop</f>
        <v>0.330500000000001</v>
      </c>
      <c r="E136" s="29" t="n">
        <f aca="false">nop_f</f>
        <v>0.3</v>
      </c>
      <c r="F136" s="29" t="n">
        <f aca="false">nop_f</f>
        <v>0.3</v>
      </c>
      <c r="G136" s="29" t="n">
        <f aca="false">nop_f</f>
        <v>0.3</v>
      </c>
    </row>
    <row r="137" customFormat="false" ht="15" hidden="false" customHeight="false" outlineLevel="0" collapsed="false">
      <c r="A137" s="4" t="s">
        <v>494</v>
      </c>
      <c r="B137" s="0" t="s">
        <v>301</v>
      </c>
      <c r="C137" s="24" t="n">
        <f aca="false">a25_ni</f>
        <v>5.277</v>
      </c>
      <c r="D137" s="24" t="n">
        <f aca="false">a26_ni</f>
        <v>10.3442061825</v>
      </c>
      <c r="E137" s="24" t="n">
        <f aca="false">(E134+E136)*nir_f</f>
        <v>25.4784086576408</v>
      </c>
      <c r="F137" s="24" t="n">
        <f aca="false">(F134+F136)*nir_f</f>
        <v>26.7893108097754</v>
      </c>
      <c r="G137" s="24" t="n">
        <f aca="false">(G134+G136)*nir_f</f>
        <v>32.7729223016233</v>
      </c>
      <c r="H137" s="25" t="n">
        <f aca="false">H124*H141</f>
        <v>36.2864979310527</v>
      </c>
      <c r="I137" s="25" t="n">
        <f aca="false">I124*I141</f>
        <v>38.0250661507435</v>
      </c>
      <c r="J137" s="25" t="n">
        <f aca="false">J124*J141</f>
        <v>37.593478705327</v>
      </c>
    </row>
    <row r="138" customFormat="false" ht="15" hidden="false" customHeight="false" outlineLevel="0" collapsed="false">
      <c r="A138" s="4" t="s">
        <v>609</v>
      </c>
      <c r="B138" s="4" t="s">
        <v>327</v>
      </c>
      <c r="C138" s="28" t="n">
        <f aca="false">a25_sh</f>
        <v>0.143591836734694</v>
      </c>
      <c r="D138" s="28" t="n">
        <f aca="false">a26_sh</f>
        <v>0.146703513620213</v>
      </c>
      <c r="E138" s="28" t="n">
        <f aca="false">D138*(1+sh_g)</f>
        <v>0.146703513620213</v>
      </c>
      <c r="F138" s="28" t="n">
        <f aca="false">E138*(1+sh_g)</f>
        <v>0.146703513620213</v>
      </c>
      <c r="G138" s="28" t="n">
        <f aca="false">F138*(1+sh_g)</f>
        <v>0.146703513620213</v>
      </c>
      <c r="H138" s="30" t="n">
        <f aca="false">G138*(1+sh_g)</f>
        <v>0.146703513620213</v>
      </c>
      <c r="I138" s="30" t="n">
        <f aca="false">H138*(1+sh_g)</f>
        <v>0.146703513620213</v>
      </c>
      <c r="J138" s="30" t="n">
        <f aca="false">I138*(1+sh_g)</f>
        <v>0.146703513620213</v>
      </c>
    </row>
    <row r="139" customFormat="false" ht="15" hidden="false" customHeight="false" outlineLevel="0" collapsed="false">
      <c r="A139" s="0" t="s">
        <v>500</v>
      </c>
      <c r="B139" s="0" t="s">
        <v>360</v>
      </c>
      <c r="C139" s="29" t="n">
        <f aca="false">C137/C138</f>
        <v>36.75</v>
      </c>
      <c r="D139" s="29" t="n">
        <f aca="false">D137/D138</f>
        <v>70.5109641019174</v>
      </c>
      <c r="E139" s="29" t="n">
        <f aca="false">E137/E138</f>
        <v>173.672790984403</v>
      </c>
      <c r="F139" s="29" t="n">
        <f aca="false">F137/F138</f>
        <v>182.608515288378</v>
      </c>
      <c r="G139" s="29" t="n">
        <f aca="false">G137/G138</f>
        <v>223.395619456437</v>
      </c>
      <c r="H139" s="31" t="n">
        <f aca="false">H137/H138</f>
        <v>247.345799944447</v>
      </c>
      <c r="I139" s="31" t="n">
        <f aca="false">I137/I138</f>
        <v>259.196696877915</v>
      </c>
      <c r="J139" s="31" t="n">
        <f aca="false">J137/J138</f>
        <v>256.254794296537</v>
      </c>
    </row>
    <row r="140" customFormat="false" ht="17.15" hidden="false" customHeight="false" outlineLevel="0" collapsed="false">
      <c r="A140" s="0" t="s">
        <v>610</v>
      </c>
      <c r="B140" s="0" t="s">
        <v>196</v>
      </c>
      <c r="D140" s="18" t="n">
        <f aca="false">D139/C139-1</f>
        <v>0.918665689848092</v>
      </c>
      <c r="E140" s="18" t="n">
        <f aca="false">E139/D139-1</f>
        <v>1.46306079056548</v>
      </c>
      <c r="F140" s="18" t="n">
        <f aca="false">F139/E139-1</f>
        <v>0.0514514925068335</v>
      </c>
      <c r="G140" s="18" t="n">
        <f aca="false">G139/F139-1</f>
        <v>0.223358172008832</v>
      </c>
      <c r="H140" s="26" t="n">
        <f aca="false">H139/G139-1</f>
        <v>0.107209714077141</v>
      </c>
      <c r="I140" s="26" t="n">
        <f aca="false">I139/H139-1</f>
        <v>0.0479122626546713</v>
      </c>
      <c r="J140" s="26" t="n">
        <f aca="false">J139/I139-1</f>
        <v>-0.0113500774385386</v>
      </c>
    </row>
    <row r="141" customFormat="false" ht="17.15" hidden="false" customHeight="false" outlineLevel="0" collapsed="false">
      <c r="A141" s="4" t="s">
        <v>611</v>
      </c>
      <c r="B141" s="0" t="s">
        <v>196</v>
      </c>
      <c r="C141" s="18" t="n">
        <f aca="false">C137/C124</f>
        <v>0.260258433616098</v>
      </c>
      <c r="D141" s="18" t="n">
        <f aca="false">D137/D124</f>
        <v>0.318133499690915</v>
      </c>
      <c r="E141" s="18" t="n">
        <f aca="false">E137/E124</f>
        <v>0.354904017861468</v>
      </c>
      <c r="F141" s="18" t="n">
        <f aca="false">F137/F124</f>
        <v>0.351540077031446</v>
      </c>
      <c r="G141" s="18" t="n">
        <f aca="false">G137/G124</f>
        <v>0.352808762943347</v>
      </c>
      <c r="H141" s="26" t="n">
        <f aca="false">$G141+(fade_mB-$G141)*1/3</f>
        <v>0.336954422484205</v>
      </c>
      <c r="I141" s="26" t="n">
        <f aca="false">$G141+(fade_mB-$G141)*2/3</f>
        <v>0.321100082025063</v>
      </c>
      <c r="J141" s="26" t="n">
        <f aca="false">$G141+(fade_mB-$G141)*3/3</f>
        <v>0.30524574156592</v>
      </c>
    </row>
    <row r="144" customFormat="false" ht="17.15" hidden="false" customHeight="false" outlineLevel="0" collapsed="false">
      <c r="A144" s="1" t="s">
        <v>904</v>
      </c>
    </row>
    <row r="145" customFormat="false" ht="17.15" hidden="false" customHeight="false" outlineLevel="0" collapsed="false">
      <c r="A145" s="5" t="s">
        <v>22</v>
      </c>
      <c r="B145" s="5" t="s">
        <v>23</v>
      </c>
      <c r="C145" s="15" t="s">
        <v>470</v>
      </c>
      <c r="D145" s="15" t="s">
        <v>553</v>
      </c>
      <c r="E145" s="15" t="s">
        <v>554</v>
      </c>
      <c r="F145" s="15" t="s">
        <v>555</v>
      </c>
      <c r="G145" s="15" t="s">
        <v>556</v>
      </c>
      <c r="H145" s="15" t="s">
        <v>557</v>
      </c>
      <c r="I145" s="15" t="s">
        <v>558</v>
      </c>
      <c r="J145" s="15" t="s">
        <v>559</v>
      </c>
      <c r="K145" s="5" t="s">
        <v>523</v>
      </c>
    </row>
    <row r="146" customFormat="false" ht="17.15" hidden="false" customHeight="false" outlineLevel="0" collapsed="false">
      <c r="A146" s="6" t="s">
        <v>575</v>
      </c>
    </row>
    <row r="147" customFormat="false" ht="17.15" hidden="false" customHeight="false" outlineLevel="0" collapsed="false">
      <c r="A147" s="0" t="s">
        <v>576</v>
      </c>
      <c r="B147" s="4" t="s">
        <v>33</v>
      </c>
      <c r="D147" s="19" t="n">
        <f aca="false">(u_bw26)*1</f>
        <v>5.4</v>
      </c>
      <c r="E147" s="19" t="n">
        <f aca="false">(u_bw27)*1*1</f>
        <v>2.4</v>
      </c>
      <c r="F147" s="19" t="n">
        <f aca="false">(u_bw28)*um28_B*1</f>
        <v>0.4</v>
      </c>
      <c r="G147" s="19" t="n">
        <f aca="false">(u_bw29)*um29_B*1</f>
        <v>0.2125</v>
      </c>
    </row>
    <row r="148" customFormat="false" ht="17.15" hidden="false" customHeight="false" outlineLevel="0" collapsed="false">
      <c r="A148" s="0" t="s">
        <v>577</v>
      </c>
      <c r="B148" s="4" t="s">
        <v>33</v>
      </c>
      <c r="D148" s="19" t="n">
        <f aca="false">(u_hp26)*1</f>
        <v>0.5</v>
      </c>
      <c r="E148" s="19" t="n">
        <f aca="false">(u_hp27)*1*1</f>
        <v>0</v>
      </c>
      <c r="F148" s="19" t="n">
        <f aca="false">(u_hp28)*um28_B*1</f>
        <v>0</v>
      </c>
      <c r="G148" s="19" t="n">
        <f aca="false">(u_hp29)*um29_B*1</f>
        <v>0</v>
      </c>
    </row>
    <row r="149" customFormat="false" ht="17.15" hidden="false" customHeight="false" outlineLevel="0" collapsed="false">
      <c r="A149" s="0" t="s">
        <v>578</v>
      </c>
      <c r="B149" s="4" t="s">
        <v>33</v>
      </c>
      <c r="D149" s="19" t="n">
        <f aca="false">(u_rb26)*1</f>
        <v>1.7</v>
      </c>
      <c r="E149" s="19" t="n">
        <f aca="false">(u_rb27)*1*1</f>
        <v>7</v>
      </c>
      <c r="F149" s="19" t="n">
        <f aca="false">(u_rb28)*um28_B*1</f>
        <v>5.6</v>
      </c>
      <c r="G149" s="19" t="n">
        <f aca="false">(u_rb29)*um29_B*1</f>
        <v>6.8425</v>
      </c>
    </row>
    <row r="150" customFormat="false" ht="17.15" hidden="false" customHeight="false" outlineLevel="0" collapsed="false">
      <c r="A150" s="0" t="s">
        <v>579</v>
      </c>
      <c r="B150" s="4" t="s">
        <v>33</v>
      </c>
      <c r="D150" s="19" t="n">
        <f aca="false">(u_ru26)*1</f>
        <v>0</v>
      </c>
      <c r="E150" s="19" t="n">
        <f aca="false">(u_ru27)*1*1</f>
        <v>0.3</v>
      </c>
      <c r="F150" s="19" t="n">
        <f aca="false">(u_ru28)*um28_B*1</f>
        <v>1.6</v>
      </c>
      <c r="G150" s="19" t="n">
        <f aca="false">(u_ru29)*um29_B*1</f>
        <v>1.955</v>
      </c>
    </row>
    <row r="151" customFormat="false" ht="17.15" hidden="false" customHeight="false" outlineLevel="0" collapsed="false">
      <c r="A151" s="0" t="s">
        <v>580</v>
      </c>
      <c r="B151" s="4" t="s">
        <v>33</v>
      </c>
      <c r="D151" s="19" t="n">
        <f aca="false">(u_amd26)*1</f>
        <v>0.75</v>
      </c>
      <c r="E151" s="19" t="n">
        <f aca="false">(u_amd27)*1*1</f>
        <v>1.5</v>
      </c>
      <c r="F151" s="19" t="n">
        <f aca="false">(u_amd28)*um28_B*1</f>
        <v>1.6</v>
      </c>
      <c r="G151" s="19" t="n">
        <f aca="false">(u_amd29)*um29_B*1</f>
        <v>1.955</v>
      </c>
    </row>
    <row r="152" customFormat="false" ht="17.15" hidden="false" customHeight="false" outlineLevel="0" collapsed="false">
      <c r="A152" s="0" t="s">
        <v>581</v>
      </c>
      <c r="B152" s="4" t="s">
        <v>33</v>
      </c>
      <c r="D152" s="19" t="n">
        <f aca="false">(u_tpu26+u_trn26+u_oth26)*1</f>
        <v>6.85</v>
      </c>
      <c r="E152" s="19" t="n">
        <f aca="false">(u_tpu27+u_trn27+u_oth27)*1*1</f>
        <v>12.5</v>
      </c>
      <c r="F152" s="19" t="n">
        <f aca="false">(u_tpu28+u_trn28+u_oth28)*um28_B*1</f>
        <v>12</v>
      </c>
      <c r="G152" s="19" t="n">
        <f aca="false">(u_tpu29+u_trn29+u_oth29)*um29_B*1</f>
        <v>14.6625</v>
      </c>
    </row>
    <row r="153" customFormat="false" ht="17.15" hidden="false" customHeight="false" outlineLevel="0" collapsed="false">
      <c r="A153" s="0" t="s">
        <v>527</v>
      </c>
      <c r="B153" s="0" t="s">
        <v>136</v>
      </c>
      <c r="D153" s="22" t="n">
        <f aca="false">asp_vr_26</f>
        <v>100</v>
      </c>
      <c r="E153" s="22" t="n">
        <f aca="false">asp_vr_27</f>
        <v>150</v>
      </c>
      <c r="F153" s="22" t="n">
        <f aca="false">asp_vr_28</f>
        <v>180</v>
      </c>
      <c r="G153" s="22" t="n">
        <f aca="false">asp_vr_29</f>
        <v>180</v>
      </c>
    </row>
    <row r="154" customFormat="false" ht="17.15" hidden="false" customHeight="false" outlineLevel="0" collapsed="false">
      <c r="A154" s="0" t="s">
        <v>582</v>
      </c>
      <c r="B154" s="0" t="s">
        <v>136</v>
      </c>
      <c r="D154" s="22" t="n">
        <f aca="false">asp_amd_26</f>
        <v>40</v>
      </c>
      <c r="E154" s="22" t="n">
        <f aca="false">AMLO_27</f>
        <v>45</v>
      </c>
      <c r="F154" s="22" t="n">
        <f aca="false">AMLO_28</f>
        <v>50</v>
      </c>
      <c r="G154" s="22" t="n">
        <f aca="false">AMLO_29</f>
        <v>50</v>
      </c>
    </row>
    <row r="155" customFormat="false" ht="17.15" hidden="false" customHeight="false" outlineLevel="0" collapsed="false">
      <c r="A155" s="0" t="s">
        <v>583</v>
      </c>
      <c r="B155" s="0" t="s">
        <v>136</v>
      </c>
      <c r="D155" s="22" t="n">
        <f aca="false">asp_asic_26</f>
        <v>30</v>
      </c>
      <c r="E155" s="22" t="n">
        <f aca="false">ASLO_27</f>
        <v>30</v>
      </c>
      <c r="F155" s="22" t="n">
        <f aca="false">ASLO_28</f>
        <v>30</v>
      </c>
      <c r="G155" s="22" t="n">
        <f aca="false">ASLO_29</f>
        <v>30</v>
      </c>
    </row>
    <row r="156" customFormat="false" ht="17.15" hidden="false" customHeight="false" outlineLevel="0" collapsed="false">
      <c r="A156" s="0" t="s">
        <v>584</v>
      </c>
      <c r="B156" s="0" t="s">
        <v>205</v>
      </c>
      <c r="D156" s="17" t="n">
        <f aca="false">(D147*asp_bw+D148*asp_hp+D149*D153+D150*asp_ru)/1000</f>
        <v>0.3665</v>
      </c>
      <c r="E156" s="17" t="n">
        <f aca="false">(E147*asp_bw+E148*asp_hp+E149*E153+E150*asp_ru)/1000</f>
        <v>1.194</v>
      </c>
      <c r="F156" s="17" t="n">
        <f aca="false">(F147*asp_bw+F148*asp_hp+F149*F153+F150*asp_ru)/1000</f>
        <v>1.342</v>
      </c>
      <c r="G156" s="17" t="n">
        <f aca="false">(G147*asp_bw+G148*asp_hp+G149*G153+G150*asp_ru)/1000</f>
        <v>1.6300875</v>
      </c>
      <c r="K156" s="4" t="s">
        <v>585</v>
      </c>
    </row>
    <row r="157" customFormat="false" ht="17.15" hidden="false" customHeight="false" outlineLevel="0" collapsed="false">
      <c r="A157" s="4" t="s">
        <v>586</v>
      </c>
      <c r="B157" s="0" t="s">
        <v>205</v>
      </c>
      <c r="D157" s="17" t="n">
        <f aca="false">(D151*D154+D152*D155)/1000</f>
        <v>0.2355</v>
      </c>
      <c r="E157" s="17" t="n">
        <f aca="false">(E151*E154+E152*E155)/1000</f>
        <v>0.4425</v>
      </c>
      <c r="F157" s="17" t="n">
        <f aca="false">(F151*F154+F152*F155)/1000</f>
        <v>0.44</v>
      </c>
      <c r="G157" s="17" t="n">
        <f aca="false">(G151*G154+G152*G155)/1000</f>
        <v>0.537625</v>
      </c>
    </row>
    <row r="158" customFormat="false" ht="17.15" hidden="false" customHeight="false" outlineLevel="0" collapsed="false">
      <c r="A158" s="0" t="s">
        <v>587</v>
      </c>
      <c r="B158" s="0" t="s">
        <v>205</v>
      </c>
      <c r="D158" s="17" t="n">
        <f aca="false">D156+D157</f>
        <v>0.602</v>
      </c>
      <c r="E158" s="17" t="n">
        <f aca="false">E156+E157</f>
        <v>1.6365</v>
      </c>
      <c r="F158" s="17" t="n">
        <f aca="false">F156+F157</f>
        <v>1.782</v>
      </c>
      <c r="G158" s="17" t="n">
        <f aca="false">G156+G157</f>
        <v>2.1677125</v>
      </c>
    </row>
    <row r="159" customFormat="false" ht="17.15" hidden="false" customHeight="false" outlineLevel="0" collapsed="false">
      <c r="A159" s="4" t="s">
        <v>588</v>
      </c>
      <c r="B159" s="0" t="s">
        <v>196</v>
      </c>
      <c r="D159" s="18" t="n">
        <f aca="false">a26_rev*ai_26/fx/(D156+k_non*D157)</f>
        <v>0.882225417842414</v>
      </c>
      <c r="K159" s="8" t="s">
        <v>589</v>
      </c>
    </row>
    <row r="160" customFormat="false" ht="17.15" hidden="false" customHeight="false" outlineLevel="0" collapsed="false">
      <c r="A160" s="4" t="s">
        <v>590</v>
      </c>
      <c r="B160" s="0" t="s">
        <v>109</v>
      </c>
      <c r="D160" s="19" t="n">
        <f aca="false">1</f>
        <v>1</v>
      </c>
      <c r="E160" s="19" t="n">
        <f aca="false">rel_27</f>
        <v>0.97</v>
      </c>
      <c r="F160" s="19" t="n">
        <f aca="false">rel_28</f>
        <v>0.93</v>
      </c>
      <c r="G160" s="19" t="n">
        <f aca="false">rel_29</f>
        <v>0.9</v>
      </c>
    </row>
    <row r="161" customFormat="false" ht="17.15" hidden="false" customHeight="false" outlineLevel="0" collapsed="false">
      <c r="A161" s="4" t="s">
        <v>591</v>
      </c>
      <c r="B161" s="0" t="s">
        <v>196</v>
      </c>
      <c r="D161" s="18" t="n">
        <f aca="false">$D$159*D160</f>
        <v>0.882225417842414</v>
      </c>
      <c r="E161" s="18" t="n">
        <f aca="false">$D$159*E160</f>
        <v>0.855758655307142</v>
      </c>
      <c r="F161" s="18" t="n">
        <f aca="false">$D$159*F160</f>
        <v>0.820469638593445</v>
      </c>
      <c r="G161" s="18" t="n">
        <f aca="false">$D$159*G160</f>
        <v>0.794002876058173</v>
      </c>
    </row>
    <row r="162" customFormat="false" ht="17.15" hidden="false" customHeight="false" outlineLevel="0" collapsed="false">
      <c r="A162" s="4" t="s">
        <v>592</v>
      </c>
      <c r="B162" s="0" t="s">
        <v>196</v>
      </c>
      <c r="D162" s="18" t="n">
        <f aca="false">D161*k_non</f>
        <v>0.352890167136966</v>
      </c>
      <c r="E162" s="18" t="n">
        <f aca="false">E161*k_non</f>
        <v>0.342303462122857</v>
      </c>
      <c r="F162" s="18" t="n">
        <f aca="false">F161*k_non</f>
        <v>0.328187855437378</v>
      </c>
      <c r="G162" s="18" t="n">
        <f aca="false">G161*k_non</f>
        <v>0.317601150423269</v>
      </c>
    </row>
    <row r="163" customFormat="false" ht="17.15" hidden="false" customHeight="false" outlineLevel="0" collapsed="false">
      <c r="A163" s="0" t="s">
        <v>593</v>
      </c>
      <c r="B163" s="0" t="s">
        <v>301</v>
      </c>
      <c r="C163" s="24" t="n">
        <f aca="false">a25_ail</f>
        <v>6.0828</v>
      </c>
      <c r="D163" s="24" t="n">
        <f aca="false">(D156*D161+D157*D162)*fx</f>
        <v>13.00612</v>
      </c>
      <c r="E163" s="24" t="n">
        <f aca="false">(E156*E161+E157*E162)*fx</f>
        <v>37.5438437256349</v>
      </c>
      <c r="F163" s="24" t="n">
        <f aca="false">(F156*F161+F157*F162)*fx</f>
        <v>39.8551331643152</v>
      </c>
      <c r="G163" s="24" t="n">
        <f aca="false">(G156*G161+G157*G162)*fx</f>
        <v>46.8814234151292</v>
      </c>
    </row>
    <row r="164" customFormat="false" ht="17.15" hidden="false" customHeight="false" outlineLevel="0" collapsed="false">
      <c r="A164" s="6" t="s">
        <v>594</v>
      </c>
    </row>
    <row r="165" customFormat="false" ht="17.15" hidden="false" customHeight="false" outlineLevel="0" collapsed="false">
      <c r="A165" s="0" t="s">
        <v>595</v>
      </c>
      <c r="B165" s="0" t="s">
        <v>205</v>
      </c>
      <c r="D165" s="24" t="n">
        <f aca="false">lmkB_26</f>
        <v>4.51368758595869</v>
      </c>
      <c r="E165" s="24" t="n">
        <f aca="false">lmkB_27*1</f>
        <v>10.2011004204398</v>
      </c>
      <c r="F165" s="24" t="n">
        <f aca="false">lmkB_28*1</f>
        <v>12.6260448229601</v>
      </c>
      <c r="G165" s="24" t="n">
        <f aca="false">lmkB_29*1</f>
        <v>16.1809438578051</v>
      </c>
      <c r="K165" s="4" t="s">
        <v>596</v>
      </c>
    </row>
    <row r="166" customFormat="false" ht="15" hidden="false" customHeight="false" outlineLevel="0" collapsed="false">
      <c r="A166" s="4" t="s">
        <v>542</v>
      </c>
      <c r="B166" s="0" t="s">
        <v>196</v>
      </c>
      <c r="D166" s="18" t="n">
        <f aca="false">0</f>
        <v>0</v>
      </c>
      <c r="E166" s="18" t="n">
        <f aca="false">lcs_27</f>
        <v>0.008</v>
      </c>
      <c r="F166" s="18" t="n">
        <f aca="false">lcs_28</f>
        <v>0.015</v>
      </c>
      <c r="G166" s="18" t="n">
        <f aca="false">lcs_29</f>
        <v>0.025</v>
      </c>
    </row>
    <row r="167" customFormat="false" ht="17.15" hidden="false" customHeight="false" outlineLevel="0" collapsed="false">
      <c r="A167" s="4" t="s">
        <v>597</v>
      </c>
      <c r="B167" s="0" t="s">
        <v>301</v>
      </c>
      <c r="C167" s="24" t="n">
        <f aca="false">0</f>
        <v>0</v>
      </c>
      <c r="D167" s="24" t="n">
        <f aca="false">D165*D166*fx</f>
        <v>0</v>
      </c>
      <c r="E167" s="24" t="n">
        <f aca="false">E165*E166*fx</f>
        <v>2.61148170763259</v>
      </c>
      <c r="F167" s="24" t="n">
        <f aca="false">F165*F166*fx</f>
        <v>6.06050151502085</v>
      </c>
      <c r="G167" s="24" t="n">
        <f aca="false">G165*G166*fx</f>
        <v>12.9447550862441</v>
      </c>
    </row>
    <row r="168" customFormat="false" ht="17.15" hidden="false" customHeight="false" outlineLevel="0" collapsed="false">
      <c r="A168" s="6" t="s">
        <v>598</v>
      </c>
    </row>
    <row r="169" customFormat="false" ht="17.15" hidden="false" customHeight="false" outlineLevel="0" collapsed="false">
      <c r="A169" s="4" t="s">
        <v>599</v>
      </c>
      <c r="B169" s="0" t="s">
        <v>301</v>
      </c>
      <c r="C169" s="24" t="n">
        <f aca="false">a25_oth</f>
        <v>8.637576</v>
      </c>
      <c r="D169" s="24" t="n">
        <f aca="false">a26_rev*(th_26-ai_26)</f>
        <v>11.380355</v>
      </c>
      <c r="E169" s="24" t="n">
        <f aca="false">D169*(1+g_oth_27)</f>
        <v>12.7459976</v>
      </c>
      <c r="F169" s="24" t="n">
        <f aca="false">E169*(1+g_oth_28)</f>
        <v>14.02059736</v>
      </c>
      <c r="G169" s="24" t="n">
        <f aca="false">F169*(1+g_oth_29)</f>
        <v>15.1422451488</v>
      </c>
    </row>
    <row r="170" customFormat="false" ht="15" hidden="false" customHeight="false" outlineLevel="0" collapsed="false">
      <c r="A170" s="4" t="s">
        <v>600</v>
      </c>
      <c r="B170" s="0" t="s">
        <v>301</v>
      </c>
      <c r="C170" s="24" t="n">
        <f aca="false">a25_lf</f>
        <v>5.555624</v>
      </c>
      <c r="D170" s="24" t="n">
        <f aca="false">a26_lf</f>
        <v>8.128825</v>
      </c>
      <c r="E170" s="24" t="n">
        <f aca="false">D170*(1+g_lf_27)</f>
        <v>8.37268975</v>
      </c>
      <c r="F170" s="24" t="n">
        <f aca="false">E170*(1+g_lf_28)</f>
        <v>8.6238704425</v>
      </c>
      <c r="G170" s="24" t="n">
        <f aca="false">F170*(1+g_lf_29)</f>
        <v>8.882586555775</v>
      </c>
    </row>
    <row r="171" customFormat="false" ht="17.15" hidden="false" customHeight="false" outlineLevel="0" collapsed="false">
      <c r="A171" s="4" t="s">
        <v>475</v>
      </c>
      <c r="B171" s="0" t="s">
        <v>301</v>
      </c>
      <c r="C171" s="24" t="n">
        <f aca="false">C163+C167+C169+C170</f>
        <v>20.276</v>
      </c>
      <c r="D171" s="24" t="n">
        <f aca="false">D163+D167+D169+D170</f>
        <v>32.5153</v>
      </c>
      <c r="E171" s="24" t="n">
        <f aca="false">E163+E167+E169+E170</f>
        <v>61.2740127832675</v>
      </c>
      <c r="F171" s="24" t="n">
        <f aca="false">F163+F167+F169+F170</f>
        <v>68.560102481836</v>
      </c>
      <c r="G171" s="24" t="n">
        <f aca="false">G163+G167+G169+G170</f>
        <v>83.8510102059483</v>
      </c>
      <c r="H171" s="25" t="n">
        <f aca="false">G171*(1+H172)</f>
        <v>97.4365085362772</v>
      </c>
      <c r="I171" s="25" t="n">
        <f aca="false">H171*(1+I172)</f>
        <v>107.278545661692</v>
      </c>
      <c r="J171" s="25" t="n">
        <f aca="false">I171*(1+J172)</f>
        <v>111.56968748816</v>
      </c>
      <c r="K171" s="8" t="s">
        <v>601</v>
      </c>
    </row>
    <row r="172" customFormat="false" ht="15" hidden="false" customHeight="false" outlineLevel="0" collapsed="false">
      <c r="A172" s="4" t="s">
        <v>602</v>
      </c>
      <c r="B172" s="0" t="s">
        <v>196</v>
      </c>
      <c r="D172" s="18" t="n">
        <f aca="false">D171/C171-1</f>
        <v>0.603634839218781</v>
      </c>
      <c r="E172" s="18" t="n">
        <f aca="false">E171/D171-1</f>
        <v>0.884467090362614</v>
      </c>
      <c r="F172" s="18" t="n">
        <f aca="false">F171/E171-1</f>
        <v>0.118909948404068</v>
      </c>
      <c r="G172" s="18" t="n">
        <f aca="false">G171/F171-1</f>
        <v>0.223029242527216</v>
      </c>
      <c r="H172" s="26" t="n">
        <f aca="false">$G172+(fade_gB-$G172)*1/3</f>
        <v>0.162019495018144</v>
      </c>
      <c r="I172" s="26" t="n">
        <f aca="false">$G172+(fade_gB-$G172)*2/3</f>
        <v>0.101009747509072</v>
      </c>
      <c r="J172" s="26" t="n">
        <f aca="false">$G172+(fade_gB-$G172)*3/3</f>
        <v>0.04</v>
      </c>
    </row>
    <row r="173" customFormat="false" ht="17.15" hidden="false" customHeight="false" outlineLevel="0" collapsed="false">
      <c r="A173" s="0" t="s">
        <v>603</v>
      </c>
      <c r="B173" s="0" t="s">
        <v>196</v>
      </c>
      <c r="C173" s="18" t="n">
        <f aca="false">C163/C171</f>
        <v>0.3</v>
      </c>
      <c r="D173" s="18" t="n">
        <f aca="false">D163/D171</f>
        <v>0.4</v>
      </c>
      <c r="E173" s="18" t="n">
        <f aca="false">E163/E171</f>
        <v>0.612720499609375</v>
      </c>
      <c r="F173" s="18" t="n">
        <f aca="false">F163/F171</f>
        <v>0.581316709304427</v>
      </c>
      <c r="G173" s="18" t="n">
        <f aca="false">G163/G171</f>
        <v>0.559103859333152</v>
      </c>
    </row>
    <row r="174" customFormat="false" ht="17.15" hidden="false" customHeight="false" outlineLevel="0" collapsed="false">
      <c r="A174" s="4" t="s">
        <v>604</v>
      </c>
      <c r="B174" s="0" t="s">
        <v>136</v>
      </c>
      <c r="D174" s="24" t="n">
        <f aca="false">D163/fx*1000/(D147+D148+D149+D150+D151+D152)</f>
        <v>26.7395559210526</v>
      </c>
      <c r="E174" s="24" t="n">
        <f aca="false">E163/fx*1000/(E147+E148+E149+E150+E151+E152)</f>
        <v>49.5040133513119</v>
      </c>
      <c r="F174" s="24" t="n">
        <f aca="false">F163/fx*1000/(F147+F148+F149+F150+F151+F152)</f>
        <v>58.7487222351344</v>
      </c>
      <c r="G174" s="24" t="n">
        <f aca="false">G163/fx*1000/(G147+G148+G149+G150+G151+G152)</f>
        <v>57.1668903218334</v>
      </c>
    </row>
    <row r="175" customFormat="false" ht="17.15" hidden="false" customHeight="false" outlineLevel="0" collapsed="false">
      <c r="A175" s="6" t="s">
        <v>605</v>
      </c>
    </row>
    <row r="176" customFormat="false" ht="17.15" hidden="false" customHeight="false" outlineLevel="0" collapsed="false">
      <c r="A176" s="4" t="s">
        <v>606</v>
      </c>
      <c r="B176" s="0" t="s">
        <v>196</v>
      </c>
      <c r="D176" s="18" t="n">
        <f aca="false">a26_gp/D171-d_ai*D173</f>
        <v>0.425324773260588</v>
      </c>
      <c r="K176" s="8" t="s">
        <v>607</v>
      </c>
    </row>
    <row r="177" customFormat="false" ht="15" hidden="false" customHeight="false" outlineLevel="0" collapsed="false">
      <c r="A177" s="4" t="s">
        <v>479</v>
      </c>
      <c r="B177" s="0" t="s">
        <v>301</v>
      </c>
      <c r="C177" s="24" t="n">
        <f aca="false">a25_gp</f>
        <v>8.434</v>
      </c>
      <c r="D177" s="24" t="n">
        <f aca="false">a26_gp</f>
        <v>15.390297</v>
      </c>
      <c r="E177" s="24" t="n">
        <f aca="false">$D$176*E171+d_ai*E163</f>
        <v>30.5666168408858</v>
      </c>
      <c r="F177" s="24" t="n">
        <f aca="false">$D$176*F171+d_ai*F163</f>
        <v>33.9429260225274</v>
      </c>
      <c r="G177" s="24" t="n">
        <f aca="false">$D$176*G171+d_ai*G163</f>
        <v>41.2896827133317</v>
      </c>
    </row>
    <row r="178" customFormat="false" ht="15" hidden="false" customHeight="false" outlineLevel="0" collapsed="false">
      <c r="A178" s="4" t="s">
        <v>482</v>
      </c>
      <c r="B178" s="0" t="s">
        <v>196</v>
      </c>
      <c r="C178" s="18" t="n">
        <f aca="false">C177/C171</f>
        <v>0.415959755375814</v>
      </c>
      <c r="D178" s="18" t="n">
        <f aca="false">D177/D171</f>
        <v>0.473324773260588</v>
      </c>
      <c r="E178" s="18" t="n">
        <f aca="false">E177/E171</f>
        <v>0.498851233213713</v>
      </c>
      <c r="F178" s="18" t="n">
        <f aca="false">F177/F171</f>
        <v>0.495082778377119</v>
      </c>
      <c r="G178" s="18" t="n">
        <f aca="false">G177/G171</f>
        <v>0.492417236380566</v>
      </c>
    </row>
    <row r="179" customFormat="false" ht="15" hidden="false" customHeight="false" outlineLevel="0" collapsed="false">
      <c r="A179" s="4" t="s">
        <v>608</v>
      </c>
      <c r="B179" s="0" t="s">
        <v>301</v>
      </c>
      <c r="C179" s="24" t="n">
        <f aca="false">a25_opx</f>
        <v>1.936</v>
      </c>
      <c r="D179" s="24" t="n">
        <f aca="false">a26_opx</f>
        <v>2.8705005</v>
      </c>
      <c r="E179" s="24" t="n">
        <f aca="false">D179*(1+MAX(0,phi*E172))</f>
        <v>4.39381843507166</v>
      </c>
      <c r="F179" s="24" t="n">
        <f aca="false">E179*(1+MAX(0,phi*F172))</f>
        <v>4.70729966911839</v>
      </c>
      <c r="G179" s="24" t="n">
        <f aca="false">F179*(1+MAX(0,phi*G172))</f>
        <v>5.33721895684964</v>
      </c>
    </row>
    <row r="180" customFormat="false" ht="15" hidden="false" customHeight="false" outlineLevel="0" collapsed="false">
      <c r="A180" s="4" t="s">
        <v>484</v>
      </c>
      <c r="B180" s="0" t="s">
        <v>301</v>
      </c>
      <c r="C180" s="24" t="n">
        <f aca="false">C179</f>
        <v>1.936</v>
      </c>
      <c r="D180" s="24" t="n">
        <f aca="false">D179</f>
        <v>2.8705005</v>
      </c>
      <c r="E180" s="24" t="n">
        <f aca="false">E179+0*E171</f>
        <v>4.39381843507166</v>
      </c>
      <c r="F180" s="24" t="n">
        <f aca="false">F179+0*F171</f>
        <v>4.70729966911839</v>
      </c>
      <c r="G180" s="24" t="n">
        <f aca="false">G179+0*G171</f>
        <v>5.33721895684964</v>
      </c>
    </row>
    <row r="181" customFormat="false" ht="15" hidden="false" customHeight="false" outlineLevel="0" collapsed="false">
      <c r="A181" s="4" t="s">
        <v>486</v>
      </c>
      <c r="B181" s="0" t="s">
        <v>301</v>
      </c>
      <c r="C181" s="24" t="n">
        <f aca="false">C177-C180</f>
        <v>6.498</v>
      </c>
      <c r="D181" s="24" t="n">
        <f aca="false">D177-D180</f>
        <v>12.5197965</v>
      </c>
      <c r="E181" s="24" t="n">
        <f aca="false">E177-E180</f>
        <v>26.1727984058142</v>
      </c>
      <c r="F181" s="24" t="n">
        <f aca="false">F177-F180</f>
        <v>29.235626353409</v>
      </c>
      <c r="G181" s="24" t="n">
        <f aca="false">G177-G180</f>
        <v>35.9524637564821</v>
      </c>
    </row>
    <row r="182" customFormat="false" ht="15" hidden="false" customHeight="false" outlineLevel="0" collapsed="false">
      <c r="A182" s="4" t="s">
        <v>488</v>
      </c>
      <c r="B182" s="0" t="s">
        <v>196</v>
      </c>
      <c r="C182" s="18" t="n">
        <f aca="false">C181/C171</f>
        <v>0.320477411718288</v>
      </c>
      <c r="D182" s="18" t="n">
        <f aca="false">D181/D171</f>
        <v>0.385043241181844</v>
      </c>
      <c r="E182" s="18" t="n">
        <f aca="false">E181/E171</f>
        <v>0.427143534705162</v>
      </c>
      <c r="F182" s="18" t="n">
        <f aca="false">F181/F171</f>
        <v>0.426423317572411</v>
      </c>
      <c r="G182" s="18" t="n">
        <f aca="false">G181/G171</f>
        <v>0.428766018062018</v>
      </c>
    </row>
    <row r="183" customFormat="false" ht="15" hidden="false" customHeight="false" outlineLevel="0" collapsed="false">
      <c r="A183" s="4" t="s">
        <v>489</v>
      </c>
      <c r="B183" s="0" t="s">
        <v>301</v>
      </c>
      <c r="C183" s="29" t="n">
        <f aca="false">a25_nop</f>
        <v>0.108999999999999</v>
      </c>
      <c r="D183" s="29" t="n">
        <f aca="false">a26_nop</f>
        <v>0.330500000000001</v>
      </c>
      <c r="E183" s="29" t="n">
        <f aca="false">nop_f</f>
        <v>0.3</v>
      </c>
      <c r="F183" s="29" t="n">
        <f aca="false">nop_f</f>
        <v>0.3</v>
      </c>
      <c r="G183" s="29" t="n">
        <f aca="false">nop_f</f>
        <v>0.3</v>
      </c>
    </row>
    <row r="184" customFormat="false" ht="15" hidden="false" customHeight="false" outlineLevel="0" collapsed="false">
      <c r="A184" s="4" t="s">
        <v>494</v>
      </c>
      <c r="B184" s="0" t="s">
        <v>301</v>
      </c>
      <c r="C184" s="24" t="n">
        <f aca="false">a25_ni</f>
        <v>5.277</v>
      </c>
      <c r="D184" s="24" t="n">
        <f aca="false">a26_ni</f>
        <v>10.3442061825</v>
      </c>
      <c r="E184" s="24" t="n">
        <f aca="false">(E181+E183)*nir_f</f>
        <v>21.3106027166804</v>
      </c>
      <c r="F184" s="24" t="n">
        <f aca="false">(F181+F183)*nir_f</f>
        <v>23.7761792144943</v>
      </c>
      <c r="G184" s="24" t="n">
        <f aca="false">(G181+G183)*nir_f</f>
        <v>29.1832333239681</v>
      </c>
      <c r="H184" s="25" t="n">
        <f aca="false">H171*H188</f>
        <v>32.5216838013261</v>
      </c>
      <c r="I184" s="25" t="n">
        <f aca="false">I171*I188</f>
        <v>34.2765050476423</v>
      </c>
      <c r="J184" s="25" t="n">
        <f aca="false">J171*J188</f>
        <v>34.0561719936013</v>
      </c>
    </row>
    <row r="185" customFormat="false" ht="15" hidden="false" customHeight="false" outlineLevel="0" collapsed="false">
      <c r="A185" s="4" t="s">
        <v>609</v>
      </c>
      <c r="B185" s="4" t="s">
        <v>327</v>
      </c>
      <c r="C185" s="28" t="n">
        <f aca="false">a25_sh</f>
        <v>0.143591836734694</v>
      </c>
      <c r="D185" s="28" t="n">
        <f aca="false">a26_sh</f>
        <v>0.146703513620213</v>
      </c>
      <c r="E185" s="28" t="n">
        <f aca="false">D185*(1+sh_g)</f>
        <v>0.146703513620213</v>
      </c>
      <c r="F185" s="28" t="n">
        <f aca="false">E185*(1+sh_g)</f>
        <v>0.146703513620213</v>
      </c>
      <c r="G185" s="28" t="n">
        <f aca="false">F185*(1+sh_g)</f>
        <v>0.146703513620213</v>
      </c>
      <c r="H185" s="30" t="n">
        <f aca="false">G185*(1+sh_g)</f>
        <v>0.146703513620213</v>
      </c>
      <c r="I185" s="30" t="n">
        <f aca="false">H185*(1+sh_g)</f>
        <v>0.146703513620213</v>
      </c>
      <c r="J185" s="30" t="n">
        <f aca="false">I185*(1+sh_g)</f>
        <v>0.146703513620213</v>
      </c>
    </row>
    <row r="186" customFormat="false" ht="15" hidden="false" customHeight="false" outlineLevel="0" collapsed="false">
      <c r="A186" s="0" t="s">
        <v>500</v>
      </c>
      <c r="B186" s="0" t="s">
        <v>360</v>
      </c>
      <c r="C186" s="29" t="n">
        <f aca="false">C184/C185</f>
        <v>36.75</v>
      </c>
      <c r="D186" s="29" t="n">
        <f aca="false">D184/D185</f>
        <v>70.5109641019174</v>
      </c>
      <c r="E186" s="29" t="n">
        <f aca="false">E184/E185</f>
        <v>145.263069648416</v>
      </c>
      <c r="F186" s="29" t="n">
        <f aca="false">F184/F185</f>
        <v>162.069596206442</v>
      </c>
      <c r="G186" s="29" t="n">
        <f aca="false">G184/G185</f>
        <v>198.926614665261</v>
      </c>
      <c r="H186" s="31" t="n">
        <f aca="false">H184/H185</f>
        <v>221.683059926692</v>
      </c>
      <c r="I186" s="31" t="n">
        <f aca="false">I184/I185</f>
        <v>233.64474511754</v>
      </c>
      <c r="J186" s="31" t="n">
        <f aca="false">J184/J185</f>
        <v>232.14285161408</v>
      </c>
    </row>
    <row r="187" customFormat="false" ht="17.15" hidden="false" customHeight="false" outlineLevel="0" collapsed="false">
      <c r="A187" s="0" t="s">
        <v>610</v>
      </c>
      <c r="B187" s="0" t="s">
        <v>196</v>
      </c>
      <c r="D187" s="18" t="n">
        <f aca="false">D186/C186-1</f>
        <v>0.918665689848092</v>
      </c>
      <c r="E187" s="18" t="n">
        <f aca="false">E186/D186-1</f>
        <v>1.06014868040169</v>
      </c>
      <c r="F187" s="18" t="n">
        <f aca="false">F186/E186-1</f>
        <v>0.115697173402046</v>
      </c>
      <c r="G187" s="18" t="n">
        <f aca="false">G186/F186-1</f>
        <v>0.227414760828248</v>
      </c>
      <c r="H187" s="26" t="n">
        <f aca="false">H186/G186-1</f>
        <v>0.114396182228929</v>
      </c>
      <c r="I187" s="26" t="n">
        <f aca="false">I186/H186-1</f>
        <v>0.0539584991058999</v>
      </c>
      <c r="J187" s="26" t="n">
        <f aca="false">J186/I186-1</f>
        <v>-0.00642810735034649</v>
      </c>
    </row>
    <row r="188" customFormat="false" ht="17.15" hidden="false" customHeight="false" outlineLevel="0" collapsed="false">
      <c r="A188" s="4" t="s">
        <v>611</v>
      </c>
      <c r="B188" s="0" t="s">
        <v>196</v>
      </c>
      <c r="C188" s="18" t="n">
        <f aca="false">C184/C171</f>
        <v>0.260258433616098</v>
      </c>
      <c r="D188" s="18" t="n">
        <f aca="false">D184/D171</f>
        <v>0.318133499690915</v>
      </c>
      <c r="E188" s="18" t="n">
        <f aca="false">E184/E171</f>
        <v>0.347791857407123</v>
      </c>
      <c r="F188" s="18" t="n">
        <f aca="false">F184/F171</f>
        <v>0.34679322745752</v>
      </c>
      <c r="G188" s="18" t="n">
        <f aca="false">G184/G171</f>
        <v>0.348036752953727</v>
      </c>
      <c r="H188" s="26" t="n">
        <f aca="false">$G188+(fade_mB-$G188)*1/3</f>
        <v>0.333773082491125</v>
      </c>
      <c r="I188" s="26" t="n">
        <f aca="false">$G188+(fade_mB-$G188)*2/3</f>
        <v>0.319509412028522</v>
      </c>
      <c r="J188" s="26" t="n">
        <f aca="false">$G188+(fade_mB-$G188)*3/3</f>
        <v>0.30524574156592</v>
      </c>
    </row>
    <row r="191" customFormat="false" ht="17.15" hidden="false" customHeight="false" outlineLevel="0" collapsed="false">
      <c r="A191" s="1" t="s">
        <v>905</v>
      </c>
    </row>
    <row r="192" customFormat="false" ht="17.15" hidden="false" customHeight="false" outlineLevel="0" collapsed="false">
      <c r="A192" s="5" t="s">
        <v>22</v>
      </c>
      <c r="B192" s="5" t="s">
        <v>23</v>
      </c>
      <c r="C192" s="15" t="s">
        <v>470</v>
      </c>
      <c r="D192" s="15" t="s">
        <v>553</v>
      </c>
      <c r="E192" s="15" t="s">
        <v>554</v>
      </c>
      <c r="F192" s="15" t="s">
        <v>555</v>
      </c>
      <c r="G192" s="15" t="s">
        <v>556</v>
      </c>
      <c r="H192" s="15" t="s">
        <v>557</v>
      </c>
      <c r="I192" s="15" t="s">
        <v>558</v>
      </c>
      <c r="J192" s="15" t="s">
        <v>559</v>
      </c>
      <c r="K192" s="5" t="s">
        <v>523</v>
      </c>
    </row>
    <row r="193" customFormat="false" ht="17.15" hidden="false" customHeight="false" outlineLevel="0" collapsed="false">
      <c r="A193" s="6" t="s">
        <v>575</v>
      </c>
    </row>
    <row r="194" customFormat="false" ht="17.15" hidden="false" customHeight="false" outlineLevel="0" collapsed="false">
      <c r="A194" s="0" t="s">
        <v>576</v>
      </c>
      <c r="B194" s="4" t="s">
        <v>33</v>
      </c>
      <c r="D194" s="19" t="n">
        <f aca="false">(u_bw26)*1</f>
        <v>5.4</v>
      </c>
      <c r="E194" s="19" t="n">
        <f aca="false">(u_bw27)*1*1</f>
        <v>2.4</v>
      </c>
      <c r="F194" s="19" t="n">
        <f aca="false">(u_bw28)*um28_B*1</f>
        <v>0.4</v>
      </c>
      <c r="G194" s="19" t="n">
        <f aca="false">(u_bw29)*um29_B*1</f>
        <v>0.2125</v>
      </c>
    </row>
    <row r="195" customFormat="false" ht="17.15" hidden="false" customHeight="false" outlineLevel="0" collapsed="false">
      <c r="A195" s="0" t="s">
        <v>577</v>
      </c>
      <c r="B195" s="4" t="s">
        <v>33</v>
      </c>
      <c r="D195" s="19" t="n">
        <f aca="false">(u_hp26)*1</f>
        <v>0.5</v>
      </c>
      <c r="E195" s="19" t="n">
        <f aca="false">(u_hp27)*1*1</f>
        <v>0</v>
      </c>
      <c r="F195" s="19" t="n">
        <f aca="false">(u_hp28)*um28_B*1</f>
        <v>0</v>
      </c>
      <c r="G195" s="19" t="n">
        <f aca="false">(u_hp29)*um29_B*1</f>
        <v>0</v>
      </c>
    </row>
    <row r="196" customFormat="false" ht="17.15" hidden="false" customHeight="false" outlineLevel="0" collapsed="false">
      <c r="A196" s="0" t="s">
        <v>578</v>
      </c>
      <c r="B196" s="4" t="s">
        <v>33</v>
      </c>
      <c r="D196" s="19" t="n">
        <f aca="false">(u_rb26)*1</f>
        <v>1.7</v>
      </c>
      <c r="E196" s="19" t="n">
        <f aca="false">(u_rb27)*1*1</f>
        <v>7</v>
      </c>
      <c r="F196" s="19" t="n">
        <f aca="false">(u_rb28)*um28_B*1</f>
        <v>5.6</v>
      </c>
      <c r="G196" s="19" t="n">
        <f aca="false">(u_rb29)*um29_B*1</f>
        <v>6.8425</v>
      </c>
    </row>
    <row r="197" customFormat="false" ht="17.15" hidden="false" customHeight="false" outlineLevel="0" collapsed="false">
      <c r="A197" s="0" t="s">
        <v>579</v>
      </c>
      <c r="B197" s="4" t="s">
        <v>33</v>
      </c>
      <c r="D197" s="19" t="n">
        <f aca="false">(u_ru26)*1</f>
        <v>0</v>
      </c>
      <c r="E197" s="19" t="n">
        <f aca="false">(u_ru27)*1*1</f>
        <v>0.3</v>
      </c>
      <c r="F197" s="19" t="n">
        <f aca="false">(u_ru28)*um28_B*1</f>
        <v>1.6</v>
      </c>
      <c r="G197" s="19" t="n">
        <f aca="false">(u_ru29)*um29_B*1</f>
        <v>1.955</v>
      </c>
    </row>
    <row r="198" customFormat="false" ht="17.15" hidden="false" customHeight="false" outlineLevel="0" collapsed="false">
      <c r="A198" s="0" t="s">
        <v>580</v>
      </c>
      <c r="B198" s="4" t="s">
        <v>33</v>
      </c>
      <c r="D198" s="19" t="n">
        <f aca="false">(u_amd26)*1</f>
        <v>0.75</v>
      </c>
      <c r="E198" s="19" t="n">
        <f aca="false">(u_amd27)*1*1</f>
        <v>1.5</v>
      </c>
      <c r="F198" s="19" t="n">
        <f aca="false">(u_amd28)*um28_B*1</f>
        <v>1.6</v>
      </c>
      <c r="G198" s="19" t="n">
        <f aca="false">(u_amd29)*um29_B*1</f>
        <v>1.955</v>
      </c>
    </row>
    <row r="199" customFormat="false" ht="17.15" hidden="false" customHeight="false" outlineLevel="0" collapsed="false">
      <c r="A199" s="0" t="s">
        <v>581</v>
      </c>
      <c r="B199" s="4" t="s">
        <v>33</v>
      </c>
      <c r="D199" s="19" t="n">
        <f aca="false">(u_tpu26+u_trn26+u_oth26)*1</f>
        <v>6.85</v>
      </c>
      <c r="E199" s="19" t="n">
        <f aca="false">(u_tpu27+u_trn27+u_oth27)*1*1</f>
        <v>12.5</v>
      </c>
      <c r="F199" s="19" t="n">
        <f aca="false">(u_tpu28+u_trn28+u_oth28)*um28_B*1</f>
        <v>12</v>
      </c>
      <c r="G199" s="19" t="n">
        <f aca="false">(u_tpu29+u_trn29+u_oth29)*um29_B*1</f>
        <v>14.6625</v>
      </c>
    </row>
    <row r="200" customFormat="false" ht="17.15" hidden="false" customHeight="false" outlineLevel="0" collapsed="false">
      <c r="A200" s="0" t="s">
        <v>527</v>
      </c>
      <c r="B200" s="0" t="s">
        <v>136</v>
      </c>
      <c r="D200" s="22" t="n">
        <f aca="false">asp_vr_26</f>
        <v>100</v>
      </c>
      <c r="E200" s="22" t="n">
        <f aca="false">asp_vr_27</f>
        <v>150</v>
      </c>
      <c r="F200" s="22" t="n">
        <f aca="false">asp_vr_28</f>
        <v>180</v>
      </c>
      <c r="G200" s="22" t="n">
        <f aca="false">asp_vr_29</f>
        <v>180</v>
      </c>
    </row>
    <row r="201" customFormat="false" ht="17.15" hidden="false" customHeight="false" outlineLevel="0" collapsed="false">
      <c r="A201" s="0" t="s">
        <v>582</v>
      </c>
      <c r="B201" s="0" t="s">
        <v>136</v>
      </c>
      <c r="D201" s="22" t="n">
        <f aca="false">asp_amd_26</f>
        <v>40</v>
      </c>
      <c r="E201" s="22" t="n">
        <f aca="false">AMHI_27</f>
        <v>80</v>
      </c>
      <c r="F201" s="22" t="n">
        <f aca="false">AMHI_28</f>
        <v>110</v>
      </c>
      <c r="G201" s="22" t="n">
        <f aca="false">AMHI_29</f>
        <v>110</v>
      </c>
    </row>
    <row r="202" customFormat="false" ht="17.15" hidden="false" customHeight="false" outlineLevel="0" collapsed="false">
      <c r="A202" s="0" t="s">
        <v>583</v>
      </c>
      <c r="B202" s="0" t="s">
        <v>136</v>
      </c>
      <c r="D202" s="22" t="n">
        <f aca="false">asp_asic_26</f>
        <v>30</v>
      </c>
      <c r="E202" s="22" t="n">
        <f aca="false">ASHI_27</f>
        <v>45</v>
      </c>
      <c r="F202" s="22" t="n">
        <f aca="false">ASHI_28</f>
        <v>55</v>
      </c>
      <c r="G202" s="22" t="n">
        <f aca="false">ASHI_29</f>
        <v>55</v>
      </c>
    </row>
    <row r="203" customFormat="false" ht="17.15" hidden="false" customHeight="false" outlineLevel="0" collapsed="false">
      <c r="A203" s="0" t="s">
        <v>584</v>
      </c>
      <c r="B203" s="0" t="s">
        <v>205</v>
      </c>
      <c r="D203" s="17" t="n">
        <f aca="false">(D194*asp_bw+D195*asp_hp+D196*D200+D197*asp_ru)/1000</f>
        <v>0.3665</v>
      </c>
      <c r="E203" s="17" t="n">
        <f aca="false">(E194*asp_bw+E195*asp_hp+E196*E200+E197*asp_ru)/1000</f>
        <v>1.194</v>
      </c>
      <c r="F203" s="17" t="n">
        <f aca="false">(F194*asp_bw+F195*asp_hp+F196*F200+F197*asp_ru)/1000</f>
        <v>1.342</v>
      </c>
      <c r="G203" s="17" t="n">
        <f aca="false">(G194*asp_bw+G195*asp_hp+G196*G200+G197*asp_ru)/1000</f>
        <v>1.6300875</v>
      </c>
      <c r="K203" s="4" t="s">
        <v>585</v>
      </c>
    </row>
    <row r="204" customFormat="false" ht="17.15" hidden="false" customHeight="false" outlineLevel="0" collapsed="false">
      <c r="A204" s="4" t="s">
        <v>586</v>
      </c>
      <c r="B204" s="0" t="s">
        <v>205</v>
      </c>
      <c r="D204" s="17" t="n">
        <f aca="false">(D198*D201+D199*D202)/1000</f>
        <v>0.2355</v>
      </c>
      <c r="E204" s="17" t="n">
        <f aca="false">(E198*E201+E199*E202)/1000</f>
        <v>0.6825</v>
      </c>
      <c r="F204" s="17" t="n">
        <f aca="false">(F198*F201+F199*F202)/1000</f>
        <v>0.836</v>
      </c>
      <c r="G204" s="17" t="n">
        <f aca="false">(G198*G201+G199*G202)/1000</f>
        <v>1.0214875</v>
      </c>
    </row>
    <row r="205" customFormat="false" ht="17.15" hidden="false" customHeight="false" outlineLevel="0" collapsed="false">
      <c r="A205" s="0" t="s">
        <v>587</v>
      </c>
      <c r="B205" s="0" t="s">
        <v>205</v>
      </c>
      <c r="D205" s="17" t="n">
        <f aca="false">D203+D204</f>
        <v>0.602</v>
      </c>
      <c r="E205" s="17" t="n">
        <f aca="false">E203+E204</f>
        <v>1.8765</v>
      </c>
      <c r="F205" s="17" t="n">
        <f aca="false">F203+F204</f>
        <v>2.178</v>
      </c>
      <c r="G205" s="17" t="n">
        <f aca="false">G203+G204</f>
        <v>2.651575</v>
      </c>
    </row>
    <row r="206" customFormat="false" ht="17.15" hidden="false" customHeight="false" outlineLevel="0" collapsed="false">
      <c r="A206" s="4" t="s">
        <v>588</v>
      </c>
      <c r="B206" s="0" t="s">
        <v>196</v>
      </c>
      <c r="D206" s="18" t="n">
        <f aca="false">a26_rev*ai_26/fx/(D203+k_non*D204)</f>
        <v>0.882225417842414</v>
      </c>
      <c r="K206" s="8" t="s">
        <v>589</v>
      </c>
    </row>
    <row r="207" customFormat="false" ht="17.15" hidden="false" customHeight="false" outlineLevel="0" collapsed="false">
      <c r="A207" s="4" t="s">
        <v>590</v>
      </c>
      <c r="B207" s="0" t="s">
        <v>109</v>
      </c>
      <c r="D207" s="19" t="n">
        <f aca="false">1</f>
        <v>1</v>
      </c>
      <c r="E207" s="19" t="n">
        <f aca="false">rel_27</f>
        <v>0.97</v>
      </c>
      <c r="F207" s="19" t="n">
        <f aca="false">rel_28</f>
        <v>0.93</v>
      </c>
      <c r="G207" s="19" t="n">
        <f aca="false">rel_29</f>
        <v>0.9</v>
      </c>
    </row>
    <row r="208" customFormat="false" ht="17.15" hidden="false" customHeight="false" outlineLevel="0" collapsed="false">
      <c r="A208" s="4" t="s">
        <v>591</v>
      </c>
      <c r="B208" s="0" t="s">
        <v>196</v>
      </c>
      <c r="D208" s="18" t="n">
        <f aca="false">$D$206*D207</f>
        <v>0.882225417842414</v>
      </c>
      <c r="E208" s="18" t="n">
        <f aca="false">$D$206*E207</f>
        <v>0.855758655307142</v>
      </c>
      <c r="F208" s="18" t="n">
        <f aca="false">$D$206*F207</f>
        <v>0.820469638593445</v>
      </c>
      <c r="G208" s="18" t="n">
        <f aca="false">$D$206*G207</f>
        <v>0.794002876058173</v>
      </c>
    </row>
    <row r="209" customFormat="false" ht="17.15" hidden="false" customHeight="false" outlineLevel="0" collapsed="false">
      <c r="A209" s="4" t="s">
        <v>592</v>
      </c>
      <c r="B209" s="0" t="s">
        <v>196</v>
      </c>
      <c r="D209" s="18" t="n">
        <f aca="false">D208*k_non</f>
        <v>0.352890167136966</v>
      </c>
      <c r="E209" s="18" t="n">
        <f aca="false">E208*k_non</f>
        <v>0.342303462122857</v>
      </c>
      <c r="F209" s="18" t="n">
        <f aca="false">F208*k_non</f>
        <v>0.328187855437378</v>
      </c>
      <c r="G209" s="18" t="n">
        <f aca="false">G208*k_non</f>
        <v>0.317601150423269</v>
      </c>
    </row>
    <row r="210" customFormat="false" ht="17.15" hidden="false" customHeight="false" outlineLevel="0" collapsed="false">
      <c r="A210" s="0" t="s">
        <v>593</v>
      </c>
      <c r="B210" s="0" t="s">
        <v>301</v>
      </c>
      <c r="C210" s="24" t="n">
        <f aca="false">a25_ail</f>
        <v>6.0828</v>
      </c>
      <c r="D210" s="24" t="n">
        <f aca="false">(D203*D208+D204*D209)*fx</f>
        <v>13.00612</v>
      </c>
      <c r="E210" s="24" t="n">
        <f aca="false">(E203*E208+E204*E209)*fx</f>
        <v>40.1727343147385</v>
      </c>
      <c r="F210" s="24" t="n">
        <f aca="false">(F203*F208+F204*F209)*fx</f>
        <v>44.0139296684176</v>
      </c>
      <c r="G210" s="24" t="n">
        <f aca="false">(G203*G208+G204*G209)*fx</f>
        <v>51.7990325878229</v>
      </c>
    </row>
    <row r="211" customFormat="false" ht="17.15" hidden="false" customHeight="false" outlineLevel="0" collapsed="false">
      <c r="A211" s="6" t="s">
        <v>594</v>
      </c>
    </row>
    <row r="212" customFormat="false" ht="17.15" hidden="false" customHeight="false" outlineLevel="0" collapsed="false">
      <c r="A212" s="0" t="s">
        <v>595</v>
      </c>
      <c r="B212" s="0" t="s">
        <v>205</v>
      </c>
      <c r="D212" s="24" t="n">
        <f aca="false">lmkB_26</f>
        <v>4.51368758595869</v>
      </c>
      <c r="E212" s="24" t="n">
        <f aca="false">lmkB_27*1</f>
        <v>10.2011004204398</v>
      </c>
      <c r="F212" s="24" t="n">
        <f aca="false">lmkB_28*1</f>
        <v>12.6260448229601</v>
      </c>
      <c r="G212" s="24" t="n">
        <f aca="false">lmkB_29*1</f>
        <v>16.1809438578051</v>
      </c>
      <c r="K212" s="4" t="s">
        <v>596</v>
      </c>
    </row>
    <row r="213" customFormat="false" ht="15" hidden="false" customHeight="false" outlineLevel="0" collapsed="false">
      <c r="A213" s="4" t="s">
        <v>542</v>
      </c>
      <c r="B213" s="0" t="s">
        <v>196</v>
      </c>
      <c r="D213" s="18" t="n">
        <f aca="false">0</f>
        <v>0</v>
      </c>
      <c r="E213" s="18" t="n">
        <f aca="false">lcs_27</f>
        <v>0.008</v>
      </c>
      <c r="F213" s="18" t="n">
        <f aca="false">lcs_28</f>
        <v>0.015</v>
      </c>
      <c r="G213" s="18" t="n">
        <f aca="false">lcs_29</f>
        <v>0.025</v>
      </c>
    </row>
    <row r="214" customFormat="false" ht="17.15" hidden="false" customHeight="false" outlineLevel="0" collapsed="false">
      <c r="A214" s="4" t="s">
        <v>597</v>
      </c>
      <c r="B214" s="0" t="s">
        <v>301</v>
      </c>
      <c r="C214" s="24" t="n">
        <f aca="false">0</f>
        <v>0</v>
      </c>
      <c r="D214" s="24" t="n">
        <f aca="false">D212*D213*fx</f>
        <v>0</v>
      </c>
      <c r="E214" s="24" t="n">
        <f aca="false">E212*E213*fx</f>
        <v>2.61148170763259</v>
      </c>
      <c r="F214" s="24" t="n">
        <f aca="false">F212*F213*fx</f>
        <v>6.06050151502085</v>
      </c>
      <c r="G214" s="24" t="n">
        <f aca="false">G212*G213*fx</f>
        <v>12.9447550862441</v>
      </c>
    </row>
    <row r="215" customFormat="false" ht="17.15" hidden="false" customHeight="false" outlineLevel="0" collapsed="false">
      <c r="A215" s="6" t="s">
        <v>598</v>
      </c>
    </row>
    <row r="216" customFormat="false" ht="17.15" hidden="false" customHeight="false" outlineLevel="0" collapsed="false">
      <c r="A216" s="4" t="s">
        <v>599</v>
      </c>
      <c r="B216" s="0" t="s">
        <v>301</v>
      </c>
      <c r="C216" s="24" t="n">
        <f aca="false">a25_oth</f>
        <v>8.637576</v>
      </c>
      <c r="D216" s="24" t="n">
        <f aca="false">a26_rev*(th_26-ai_26)</f>
        <v>11.380355</v>
      </c>
      <c r="E216" s="24" t="n">
        <f aca="false">D216*(1+g_oth_27)</f>
        <v>12.7459976</v>
      </c>
      <c r="F216" s="24" t="n">
        <f aca="false">E216*(1+g_oth_28)</f>
        <v>14.02059736</v>
      </c>
      <c r="G216" s="24" t="n">
        <f aca="false">F216*(1+g_oth_29)</f>
        <v>15.1422451488</v>
      </c>
    </row>
    <row r="217" customFormat="false" ht="15" hidden="false" customHeight="false" outlineLevel="0" collapsed="false">
      <c r="A217" s="4" t="s">
        <v>600</v>
      </c>
      <c r="B217" s="0" t="s">
        <v>301</v>
      </c>
      <c r="C217" s="24" t="n">
        <f aca="false">a25_lf</f>
        <v>5.555624</v>
      </c>
      <c r="D217" s="24" t="n">
        <f aca="false">a26_lf</f>
        <v>8.128825</v>
      </c>
      <c r="E217" s="24" t="n">
        <f aca="false">D217*(1+g_lf_27)</f>
        <v>8.37268975</v>
      </c>
      <c r="F217" s="24" t="n">
        <f aca="false">E217*(1+g_lf_28)</f>
        <v>8.6238704425</v>
      </c>
      <c r="G217" s="24" t="n">
        <f aca="false">F217*(1+g_lf_29)</f>
        <v>8.882586555775</v>
      </c>
    </row>
    <row r="218" customFormat="false" ht="17.15" hidden="false" customHeight="false" outlineLevel="0" collapsed="false">
      <c r="A218" s="4" t="s">
        <v>475</v>
      </c>
      <c r="B218" s="0" t="s">
        <v>301</v>
      </c>
      <c r="C218" s="24" t="n">
        <f aca="false">C210+C214+C216+C217</f>
        <v>20.276</v>
      </c>
      <c r="D218" s="24" t="n">
        <f aca="false">D210+D214+D216+D217</f>
        <v>32.5153</v>
      </c>
      <c r="E218" s="24" t="n">
        <f aca="false">E210+E214+E216+E217</f>
        <v>63.902903372371</v>
      </c>
      <c r="F218" s="24" t="n">
        <f aca="false">F210+F214+F216+F217</f>
        <v>72.7188989859385</v>
      </c>
      <c r="G218" s="24" t="n">
        <f aca="false">G210+G214+G216+G217</f>
        <v>88.768619378642</v>
      </c>
      <c r="H218" s="25" t="n">
        <f aca="false">G218*(1+H219)</f>
        <v>103.01356044766</v>
      </c>
      <c r="I218" s="25" t="n">
        <f aca="false">H218*(1+I219)</f>
        <v>113.339264352076</v>
      </c>
      <c r="J218" s="25" t="n">
        <f aca="false">I218*(1+J219)</f>
        <v>117.872834926159</v>
      </c>
      <c r="K218" s="8" t="s">
        <v>601</v>
      </c>
    </row>
    <row r="219" customFormat="false" ht="15" hidden="false" customHeight="false" outlineLevel="0" collapsed="false">
      <c r="A219" s="4" t="s">
        <v>602</v>
      </c>
      <c r="B219" s="0" t="s">
        <v>196</v>
      </c>
      <c r="D219" s="18" t="n">
        <f aca="false">D218/C218-1</f>
        <v>0.603634839218781</v>
      </c>
      <c r="E219" s="18" t="n">
        <f aca="false">E218/D218-1</f>
        <v>0.96531796945964</v>
      </c>
      <c r="F219" s="18" t="n">
        <f aca="false">F218/E218-1</f>
        <v>0.13795923421813</v>
      </c>
      <c r="G219" s="18" t="n">
        <f aca="false">G218/F218-1</f>
        <v>0.220709067608504</v>
      </c>
      <c r="H219" s="26" t="n">
        <f aca="false">$G219+(fade_gB-$G219)*1/3</f>
        <v>0.160472711739003</v>
      </c>
      <c r="I219" s="26" t="n">
        <f aca="false">$G219+(fade_gB-$G219)*2/3</f>
        <v>0.100236355869501</v>
      </c>
      <c r="J219" s="26" t="n">
        <f aca="false">$G219+(fade_gB-$G219)*3/3</f>
        <v>0.04</v>
      </c>
    </row>
    <row r="220" customFormat="false" ht="17.15" hidden="false" customHeight="false" outlineLevel="0" collapsed="false">
      <c r="A220" s="0" t="s">
        <v>603</v>
      </c>
      <c r="B220" s="0" t="s">
        <v>196</v>
      </c>
      <c r="C220" s="18" t="n">
        <f aca="false">C210/C218</f>
        <v>0.3</v>
      </c>
      <c r="D220" s="18" t="n">
        <f aca="false">D210/D218</f>
        <v>0.4</v>
      </c>
      <c r="E220" s="18" t="n">
        <f aca="false">E210/E218</f>
        <v>0.628652724597604</v>
      </c>
      <c r="F220" s="18" t="n">
        <f aca="false">F210/F218</f>
        <v>0.605261222078301</v>
      </c>
      <c r="G220" s="18" t="n">
        <f aca="false">G210/G218</f>
        <v>0.583528649543083</v>
      </c>
    </row>
    <row r="221" customFormat="false" ht="17.15" hidden="false" customHeight="false" outlineLevel="0" collapsed="false">
      <c r="A221" s="4" t="s">
        <v>604</v>
      </c>
      <c r="B221" s="0" t="s">
        <v>136</v>
      </c>
      <c r="D221" s="24" t="n">
        <f aca="false">D210/fx*1000/(D194+D195+D196+D197+D198+D199)</f>
        <v>26.7395559210526</v>
      </c>
      <c r="E221" s="24" t="n">
        <f aca="false">E210/fx*1000/(E194+E195+E196+E197+E198+E199)</f>
        <v>52.9703775247079</v>
      </c>
      <c r="F221" s="24" t="n">
        <f aca="false">F210/fx*1000/(F194+F195+F196+F197+F198+F199)</f>
        <v>64.8790236857571</v>
      </c>
      <c r="G221" s="24" t="n">
        <f aca="false">G210/fx*1000/(G194+G195+G196+G197+G198+G199)</f>
        <v>63.1633896544519</v>
      </c>
    </row>
    <row r="222" customFormat="false" ht="17.15" hidden="false" customHeight="false" outlineLevel="0" collapsed="false">
      <c r="A222" s="6" t="s">
        <v>605</v>
      </c>
    </row>
    <row r="223" customFormat="false" ht="17.15" hidden="false" customHeight="false" outlineLevel="0" collapsed="false">
      <c r="A223" s="4" t="s">
        <v>606</v>
      </c>
      <c r="B223" s="0" t="s">
        <v>196</v>
      </c>
      <c r="D223" s="18" t="n">
        <f aca="false">a26_gp/D218-d_ai*D220</f>
        <v>0.425324773260588</v>
      </c>
      <c r="K223" s="8" t="s">
        <v>607</v>
      </c>
    </row>
    <row r="224" customFormat="false" ht="15" hidden="false" customHeight="false" outlineLevel="0" collapsed="false">
      <c r="A224" s="4" t="s">
        <v>479</v>
      </c>
      <c r="B224" s="0" t="s">
        <v>301</v>
      </c>
      <c r="C224" s="24" t="n">
        <f aca="false">a25_gp</f>
        <v>8.434</v>
      </c>
      <c r="D224" s="24" t="n">
        <f aca="false">a26_gp</f>
        <v>15.390297</v>
      </c>
      <c r="E224" s="24" t="n">
        <f aca="false">$D$223*E218+d_ai*E210</f>
        <v>32.0002160053156</v>
      </c>
      <c r="F224" s="24" t="n">
        <f aca="false">$D$223*F218+d_ai*F210</f>
        <v>36.210820783164</v>
      </c>
      <c r="G224" s="24" t="n">
        <f aca="false">$D$223*G218+d_ai*G210</f>
        <v>43.9713768204151</v>
      </c>
    </row>
    <row r="225" customFormat="false" ht="15" hidden="false" customHeight="false" outlineLevel="0" collapsed="false">
      <c r="A225" s="4" t="s">
        <v>482</v>
      </c>
      <c r="B225" s="0" t="s">
        <v>196</v>
      </c>
      <c r="C225" s="18" t="n">
        <f aca="false">C224/C218</f>
        <v>0.415959755375814</v>
      </c>
      <c r="D225" s="18" t="n">
        <f aca="false">D224/D218</f>
        <v>0.473324773260588</v>
      </c>
      <c r="E225" s="18" t="n">
        <f aca="false">E224/E218</f>
        <v>0.5007631002123</v>
      </c>
      <c r="F225" s="18" t="n">
        <f aca="false">F224/F218</f>
        <v>0.497956119909984</v>
      </c>
      <c r="G225" s="18" t="n">
        <f aca="false">G224/G218</f>
        <v>0.495348211205758</v>
      </c>
    </row>
    <row r="226" customFormat="false" ht="15" hidden="false" customHeight="false" outlineLevel="0" collapsed="false">
      <c r="A226" s="4" t="s">
        <v>608</v>
      </c>
      <c r="B226" s="0" t="s">
        <v>301</v>
      </c>
      <c r="C226" s="24" t="n">
        <f aca="false">a25_opx</f>
        <v>1.936</v>
      </c>
      <c r="D226" s="24" t="n">
        <f aca="false">a26_opx</f>
        <v>2.8705005</v>
      </c>
      <c r="E226" s="24" t="n">
        <f aca="false">D226*(1+MAX(0,phi*E219))</f>
        <v>4.53306792839573</v>
      </c>
      <c r="F226" s="24" t="n">
        <f aca="false">E226*(1+MAX(0,phi*F219))</f>
        <v>4.90829507643187</v>
      </c>
      <c r="G226" s="24" t="n">
        <f aca="false">F226*(1+MAX(0,phi*G219))</f>
        <v>5.55827821435189</v>
      </c>
    </row>
    <row r="227" customFormat="false" ht="15" hidden="false" customHeight="false" outlineLevel="0" collapsed="false">
      <c r="A227" s="4" t="s">
        <v>484</v>
      </c>
      <c r="B227" s="0" t="s">
        <v>301</v>
      </c>
      <c r="C227" s="24" t="n">
        <f aca="false">C226</f>
        <v>1.936</v>
      </c>
      <c r="D227" s="24" t="n">
        <f aca="false">D226</f>
        <v>2.8705005</v>
      </c>
      <c r="E227" s="24" t="n">
        <f aca="false">E226+0*E218</f>
        <v>4.53306792839573</v>
      </c>
      <c r="F227" s="24" t="n">
        <f aca="false">F226+0*F218</f>
        <v>4.90829507643187</v>
      </c>
      <c r="G227" s="24" t="n">
        <f aca="false">G226+0*G218</f>
        <v>5.55827821435189</v>
      </c>
    </row>
    <row r="228" customFormat="false" ht="15" hidden="false" customHeight="false" outlineLevel="0" collapsed="false">
      <c r="A228" s="4" t="s">
        <v>486</v>
      </c>
      <c r="B228" s="0" t="s">
        <v>301</v>
      </c>
      <c r="C228" s="24" t="n">
        <f aca="false">C224-C227</f>
        <v>6.498</v>
      </c>
      <c r="D228" s="24" t="n">
        <f aca="false">D224-D227</f>
        <v>12.5197965</v>
      </c>
      <c r="E228" s="24" t="n">
        <f aca="false">E224-E227</f>
        <v>27.4671480769199</v>
      </c>
      <c r="F228" s="24" t="n">
        <f aca="false">F224-F227</f>
        <v>31.3025257067321</v>
      </c>
      <c r="G228" s="24" t="n">
        <f aca="false">G224-G227</f>
        <v>38.4130986060632</v>
      </c>
    </row>
    <row r="229" customFormat="false" ht="15" hidden="false" customHeight="false" outlineLevel="0" collapsed="false">
      <c r="A229" s="4" t="s">
        <v>488</v>
      </c>
      <c r="B229" s="0" t="s">
        <v>196</v>
      </c>
      <c r="C229" s="18" t="n">
        <f aca="false">C228/C218</f>
        <v>0.320477411718288</v>
      </c>
      <c r="D229" s="18" t="n">
        <f aca="false">D228/D218</f>
        <v>0.385043241181844</v>
      </c>
      <c r="E229" s="18" t="n">
        <f aca="false">E228/E218</f>
        <v>0.429826293132019</v>
      </c>
      <c r="F229" s="18" t="n">
        <f aca="false">F228/F218</f>
        <v>0.430459291095497</v>
      </c>
      <c r="G229" s="18" t="n">
        <f aca="false">G228/G218</f>
        <v>0.432732860722012</v>
      </c>
    </row>
    <row r="230" customFormat="false" ht="15" hidden="false" customHeight="false" outlineLevel="0" collapsed="false">
      <c r="A230" s="4" t="s">
        <v>489</v>
      </c>
      <c r="B230" s="0" t="s">
        <v>301</v>
      </c>
      <c r="C230" s="29" t="n">
        <f aca="false">a25_nop</f>
        <v>0.108999999999999</v>
      </c>
      <c r="D230" s="29" t="n">
        <f aca="false">a26_nop</f>
        <v>0.330500000000001</v>
      </c>
      <c r="E230" s="29" t="n">
        <f aca="false">nop_f</f>
        <v>0.3</v>
      </c>
      <c r="F230" s="29" t="n">
        <f aca="false">nop_f</f>
        <v>0.3</v>
      </c>
      <c r="G230" s="29" t="n">
        <f aca="false">nop_f</f>
        <v>0.3</v>
      </c>
    </row>
    <row r="231" customFormat="false" ht="15" hidden="false" customHeight="false" outlineLevel="0" collapsed="false">
      <c r="A231" s="4" t="s">
        <v>494</v>
      </c>
      <c r="B231" s="0" t="s">
        <v>301</v>
      </c>
      <c r="C231" s="24" t="n">
        <f aca="false">a25_ni</f>
        <v>5.277</v>
      </c>
      <c r="D231" s="24" t="n">
        <f aca="false">a26_ni</f>
        <v>10.3442061825</v>
      </c>
      <c r="E231" s="24" t="n">
        <f aca="false">(E228+E230)*nir_f</f>
        <v>22.3525542019205</v>
      </c>
      <c r="F231" s="24" t="n">
        <f aca="false">(F228+F230)*nir_f</f>
        <v>25.4400331939194</v>
      </c>
      <c r="G231" s="24" t="n">
        <f aca="false">(G228+G230)*nir_f</f>
        <v>31.1640443778809</v>
      </c>
      <c r="H231" s="25" t="n">
        <f aca="false">H218*H235</f>
        <v>34.5914989420333</v>
      </c>
      <c r="I231" s="25" t="n">
        <f aca="false">I218*I235</f>
        <v>36.3275762678659</v>
      </c>
      <c r="J231" s="25" t="n">
        <f aca="false">J218*J235</f>
        <v>35.9801809075128</v>
      </c>
    </row>
    <row r="232" customFormat="false" ht="15" hidden="false" customHeight="false" outlineLevel="0" collapsed="false">
      <c r="A232" s="4" t="s">
        <v>609</v>
      </c>
      <c r="B232" s="4" t="s">
        <v>327</v>
      </c>
      <c r="C232" s="28" t="n">
        <f aca="false">a25_sh</f>
        <v>0.143591836734694</v>
      </c>
      <c r="D232" s="28" t="n">
        <f aca="false">a26_sh</f>
        <v>0.146703513620213</v>
      </c>
      <c r="E232" s="28" t="n">
        <f aca="false">D232*(1+sh_g)</f>
        <v>0.146703513620213</v>
      </c>
      <c r="F232" s="28" t="n">
        <f aca="false">E232*(1+sh_g)</f>
        <v>0.146703513620213</v>
      </c>
      <c r="G232" s="28" t="n">
        <f aca="false">F232*(1+sh_g)</f>
        <v>0.146703513620213</v>
      </c>
      <c r="H232" s="30" t="n">
        <f aca="false">G232*(1+sh_g)</f>
        <v>0.146703513620213</v>
      </c>
      <c r="I232" s="30" t="n">
        <f aca="false">H232*(1+sh_g)</f>
        <v>0.146703513620213</v>
      </c>
      <c r="J232" s="30" t="n">
        <f aca="false">I232*(1+sh_g)</f>
        <v>0.146703513620213</v>
      </c>
    </row>
    <row r="233" customFormat="false" ht="15" hidden="false" customHeight="false" outlineLevel="0" collapsed="false">
      <c r="A233" s="0" t="s">
        <v>500</v>
      </c>
      <c r="B233" s="0" t="s">
        <v>360</v>
      </c>
      <c r="C233" s="29" t="n">
        <f aca="false">C231/C232</f>
        <v>36.75</v>
      </c>
      <c r="D233" s="29" t="n">
        <f aca="false">D231/D232</f>
        <v>70.5109641019174</v>
      </c>
      <c r="E233" s="29" t="n">
        <f aca="false">E231/E232</f>
        <v>152.365499982413</v>
      </c>
      <c r="F233" s="29" t="n">
        <f aca="false">F231/F232</f>
        <v>173.411205813234</v>
      </c>
      <c r="G233" s="29" t="n">
        <f aca="false">G231/G232</f>
        <v>212.428752446642</v>
      </c>
      <c r="H233" s="31" t="n">
        <f aca="false">H231/H232</f>
        <v>235.791891335227</v>
      </c>
      <c r="I233" s="31" t="n">
        <f aca="false">I231/I232</f>
        <v>247.625809167127</v>
      </c>
      <c r="J233" s="31" t="n">
        <f aca="false">J231/J232</f>
        <v>245.257799350726</v>
      </c>
    </row>
    <row r="234" customFormat="false" ht="17.15" hidden="false" customHeight="false" outlineLevel="0" collapsed="false">
      <c r="A234" s="0" t="s">
        <v>610</v>
      </c>
      <c r="B234" s="0" t="s">
        <v>196</v>
      </c>
      <c r="D234" s="18" t="n">
        <f aca="false">D233/C233-1</f>
        <v>0.918665689848092</v>
      </c>
      <c r="E234" s="18" t="n">
        <f aca="false">E233/D233-1</f>
        <v>1.16087670794264</v>
      </c>
      <c r="F234" s="18" t="n">
        <f aca="false">F233/E233-1</f>
        <v>0.13812645141617</v>
      </c>
      <c r="G234" s="18" t="n">
        <f aca="false">G233/F233-1</f>
        <v>0.225000146042642</v>
      </c>
      <c r="H234" s="26" t="n">
        <f aca="false">H233/G233-1</f>
        <v>0.109981057740538</v>
      </c>
      <c r="I234" s="26" t="n">
        <f aca="false">I233/H233-1</f>
        <v>0.0501879762059987</v>
      </c>
      <c r="J234" s="26" t="n">
        <f aca="false">J233/I233-1</f>
        <v>-0.00956285544049407</v>
      </c>
    </row>
    <row r="235" customFormat="false" ht="17.15" hidden="false" customHeight="false" outlineLevel="0" collapsed="false">
      <c r="A235" s="4" t="s">
        <v>611</v>
      </c>
      <c r="B235" s="0" t="s">
        <v>196</v>
      </c>
      <c r="C235" s="18" t="n">
        <f aca="false">C231/C218</f>
        <v>0.260258433616098</v>
      </c>
      <c r="D235" s="18" t="n">
        <f aca="false">D231/D218</f>
        <v>0.318133499690915</v>
      </c>
      <c r="E235" s="18" t="n">
        <f aca="false">E231/E218</f>
        <v>0.349789336983158</v>
      </c>
      <c r="F235" s="18" t="n">
        <f aca="false">F231/F218</f>
        <v>0.349840736709155</v>
      </c>
      <c r="G235" s="18" t="n">
        <f aca="false">G231/G218</f>
        <v>0.351070508880518</v>
      </c>
      <c r="H235" s="26" t="n">
        <f aca="false">$G235+(fade_mB-$G235)*1/3</f>
        <v>0.335795586442319</v>
      </c>
      <c r="I235" s="26" t="n">
        <f aca="false">$G235+(fade_mB-$G235)*2/3</f>
        <v>0.32052066400412</v>
      </c>
      <c r="J235" s="26" t="n">
        <f aca="false">$G235+(fade_mB-$G235)*3/3</f>
        <v>0.30524574156592</v>
      </c>
    </row>
    <row r="238" customFormat="false" ht="17.15" hidden="false" customHeight="false" outlineLevel="0" collapsed="false">
      <c r="A238" s="1" t="s">
        <v>906</v>
      </c>
    </row>
    <row r="239" customFormat="false" ht="17.15" hidden="false" customHeight="false" outlineLevel="0" collapsed="false">
      <c r="A239" s="5" t="s">
        <v>22</v>
      </c>
      <c r="B239" s="5" t="s">
        <v>23</v>
      </c>
      <c r="C239" s="15" t="s">
        <v>470</v>
      </c>
      <c r="D239" s="15" t="s">
        <v>553</v>
      </c>
      <c r="E239" s="15" t="s">
        <v>554</v>
      </c>
      <c r="F239" s="15" t="s">
        <v>555</v>
      </c>
      <c r="G239" s="15" t="s">
        <v>556</v>
      </c>
      <c r="H239" s="15" t="s">
        <v>557</v>
      </c>
      <c r="I239" s="15" t="s">
        <v>558</v>
      </c>
      <c r="J239" s="15" t="s">
        <v>559</v>
      </c>
      <c r="K239" s="5" t="s">
        <v>523</v>
      </c>
    </row>
    <row r="240" customFormat="false" ht="17.15" hidden="false" customHeight="false" outlineLevel="0" collapsed="false">
      <c r="A240" s="6" t="s">
        <v>575</v>
      </c>
    </row>
    <row r="241" customFormat="false" ht="17.15" hidden="false" customHeight="false" outlineLevel="0" collapsed="false">
      <c r="A241" s="0" t="s">
        <v>576</v>
      </c>
      <c r="B241" s="4" t="s">
        <v>33</v>
      </c>
      <c r="D241" s="19" t="n">
        <f aca="false">(u_bw26)*1</f>
        <v>5.4</v>
      </c>
      <c r="E241" s="19" t="n">
        <f aca="false">(u_bw27)*1*1</f>
        <v>2.4</v>
      </c>
      <c r="F241" s="19" t="n">
        <f aca="false">(u_bw28)*um28_B*1</f>
        <v>0.4</v>
      </c>
      <c r="G241" s="19" t="n">
        <f aca="false">(u_bw29)*um29_B*1</f>
        <v>0.2125</v>
      </c>
    </row>
    <row r="242" customFormat="false" ht="17.15" hidden="false" customHeight="false" outlineLevel="0" collapsed="false">
      <c r="A242" s="0" t="s">
        <v>577</v>
      </c>
      <c r="B242" s="4" t="s">
        <v>33</v>
      </c>
      <c r="D242" s="19" t="n">
        <f aca="false">(u_hp26)*1</f>
        <v>0.5</v>
      </c>
      <c r="E242" s="19" t="n">
        <f aca="false">(u_hp27)*1*1</f>
        <v>0</v>
      </c>
      <c r="F242" s="19" t="n">
        <f aca="false">(u_hp28)*um28_B*1</f>
        <v>0</v>
      </c>
      <c r="G242" s="19" t="n">
        <f aca="false">(u_hp29)*um29_B*1</f>
        <v>0</v>
      </c>
    </row>
    <row r="243" customFormat="false" ht="17.15" hidden="false" customHeight="false" outlineLevel="0" collapsed="false">
      <c r="A243" s="0" t="s">
        <v>578</v>
      </c>
      <c r="B243" s="4" t="s">
        <v>33</v>
      </c>
      <c r="D243" s="19" t="n">
        <f aca="false">(u_rb26)*1</f>
        <v>1.7</v>
      </c>
      <c r="E243" s="19" t="n">
        <f aca="false">(u_rb27)*1*1</f>
        <v>7</v>
      </c>
      <c r="F243" s="19" t="n">
        <f aca="false">(u_rb28)*um28_B*1</f>
        <v>5.6</v>
      </c>
      <c r="G243" s="19" t="n">
        <f aca="false">(u_rb29)*um29_B*1</f>
        <v>6.8425</v>
      </c>
    </row>
    <row r="244" customFormat="false" ht="17.15" hidden="false" customHeight="false" outlineLevel="0" collapsed="false">
      <c r="A244" s="0" t="s">
        <v>579</v>
      </c>
      <c r="B244" s="4" t="s">
        <v>33</v>
      </c>
      <c r="D244" s="19" t="n">
        <f aca="false">(u_ru26)*1</f>
        <v>0</v>
      </c>
      <c r="E244" s="19" t="n">
        <f aca="false">(u_ru27)*1*1</f>
        <v>0.3</v>
      </c>
      <c r="F244" s="19" t="n">
        <f aca="false">(u_ru28)*um28_B*1</f>
        <v>1.6</v>
      </c>
      <c r="G244" s="19" t="n">
        <f aca="false">(u_ru29)*um29_B*1</f>
        <v>1.955</v>
      </c>
    </row>
    <row r="245" customFormat="false" ht="17.15" hidden="false" customHeight="false" outlineLevel="0" collapsed="false">
      <c r="A245" s="0" t="s">
        <v>580</v>
      </c>
      <c r="B245" s="4" t="s">
        <v>33</v>
      </c>
      <c r="D245" s="19" t="n">
        <f aca="false">(u_amd26)*1</f>
        <v>0.75</v>
      </c>
      <c r="E245" s="19" t="n">
        <f aca="false">(u_amd27)*1*1</f>
        <v>1.5</v>
      </c>
      <c r="F245" s="19" t="n">
        <f aca="false">(u_amd28)*um28_B*1</f>
        <v>1.6</v>
      </c>
      <c r="G245" s="19" t="n">
        <f aca="false">(u_amd29)*um29_B*1</f>
        <v>1.955</v>
      </c>
    </row>
    <row r="246" customFormat="false" ht="17.15" hidden="false" customHeight="false" outlineLevel="0" collapsed="false">
      <c r="A246" s="0" t="s">
        <v>581</v>
      </c>
      <c r="B246" s="4" t="s">
        <v>33</v>
      </c>
      <c r="D246" s="19" t="n">
        <f aca="false">(u_tpu26+u_trn26+u_oth26)*1</f>
        <v>6.85</v>
      </c>
      <c r="E246" s="19" t="n">
        <f aca="false">(u_tpu27+u_trn27+u_oth27)*1*1</f>
        <v>12.5</v>
      </c>
      <c r="F246" s="19" t="n">
        <f aca="false">(u_tpu28+u_trn28+u_oth28)*um28_B*1</f>
        <v>12</v>
      </c>
      <c r="G246" s="19" t="n">
        <f aca="false">(u_tpu29+u_trn29+u_oth29)*um29_B*1</f>
        <v>14.6625</v>
      </c>
    </row>
    <row r="247" customFormat="false" ht="17.15" hidden="false" customHeight="false" outlineLevel="0" collapsed="false">
      <c r="A247" s="0" t="s">
        <v>527</v>
      </c>
      <c r="B247" s="0" t="s">
        <v>136</v>
      </c>
      <c r="D247" s="22" t="n">
        <f aca="false">asp_vr_26</f>
        <v>100</v>
      </c>
      <c r="E247" s="22" t="n">
        <f aca="false">asp_vr_27</f>
        <v>150</v>
      </c>
      <c r="F247" s="22" t="n">
        <f aca="false">asp_vr_28</f>
        <v>180</v>
      </c>
      <c r="G247" s="22" t="n">
        <f aca="false">asp_vr_29</f>
        <v>180</v>
      </c>
    </row>
    <row r="248" customFormat="false" ht="17.15" hidden="false" customHeight="false" outlineLevel="0" collapsed="false">
      <c r="A248" s="0" t="s">
        <v>582</v>
      </c>
      <c r="B248" s="0" t="s">
        <v>136</v>
      </c>
      <c r="D248" s="22" t="n">
        <f aca="false">asp_amd_26</f>
        <v>40</v>
      </c>
      <c r="E248" s="22" t="n">
        <f aca="false">asp_amd_27</f>
        <v>60</v>
      </c>
      <c r="F248" s="22" t="n">
        <f aca="false">asp_amd_28</f>
        <v>80</v>
      </c>
      <c r="G248" s="22" t="n">
        <f aca="false">asp_amd_29</f>
        <v>80</v>
      </c>
    </row>
    <row r="249" customFormat="false" ht="17.15" hidden="false" customHeight="false" outlineLevel="0" collapsed="false">
      <c r="A249" s="0" t="s">
        <v>583</v>
      </c>
      <c r="B249" s="0" t="s">
        <v>136</v>
      </c>
      <c r="D249" s="22" t="n">
        <f aca="false">asp_asic_26</f>
        <v>30</v>
      </c>
      <c r="E249" s="22" t="n">
        <f aca="false">asp_asic_27</f>
        <v>35</v>
      </c>
      <c r="F249" s="22" t="n">
        <f aca="false">asp_asic_28</f>
        <v>40</v>
      </c>
      <c r="G249" s="22" t="n">
        <f aca="false">asp_asic_29</f>
        <v>40</v>
      </c>
    </row>
    <row r="250" customFormat="false" ht="17.15" hidden="false" customHeight="false" outlineLevel="0" collapsed="false">
      <c r="A250" s="0" t="s">
        <v>584</v>
      </c>
      <c r="B250" s="0" t="s">
        <v>205</v>
      </c>
      <c r="D250" s="17" t="n">
        <f aca="false">(D241*asp_bw+D242*asp_hp+D243*D247+D244*asp_ru)/1000</f>
        <v>0.3665</v>
      </c>
      <c r="E250" s="17" t="n">
        <f aca="false">(E241*asp_bw+E242*asp_hp+E243*E247+E244*asp_ru)/1000</f>
        <v>1.194</v>
      </c>
      <c r="F250" s="17" t="n">
        <f aca="false">(F241*asp_bw+F242*asp_hp+F243*F247+F244*asp_ru)/1000</f>
        <v>1.342</v>
      </c>
      <c r="G250" s="17" t="n">
        <f aca="false">(G241*asp_bw+G242*asp_hp+G243*G247+G244*asp_ru)/1000</f>
        <v>1.6300875</v>
      </c>
      <c r="K250" s="4" t="s">
        <v>585</v>
      </c>
    </row>
    <row r="251" customFormat="false" ht="17.15" hidden="false" customHeight="false" outlineLevel="0" collapsed="false">
      <c r="A251" s="4" t="s">
        <v>586</v>
      </c>
      <c r="B251" s="0" t="s">
        <v>205</v>
      </c>
      <c r="D251" s="17" t="n">
        <f aca="false">(D245*D248+D246*D249)/1000</f>
        <v>0.2355</v>
      </c>
      <c r="E251" s="17" t="n">
        <f aca="false">(E245*E248+E246*E249)/1000</f>
        <v>0.5275</v>
      </c>
      <c r="F251" s="17" t="n">
        <f aca="false">(F245*F248+F246*F249)/1000</f>
        <v>0.608</v>
      </c>
      <c r="G251" s="17" t="n">
        <f aca="false">(G245*G248+G246*G249)/1000</f>
        <v>0.7429</v>
      </c>
    </row>
    <row r="252" customFormat="false" ht="17.15" hidden="false" customHeight="false" outlineLevel="0" collapsed="false">
      <c r="A252" s="0" t="s">
        <v>587</v>
      </c>
      <c r="B252" s="0" t="s">
        <v>205</v>
      </c>
      <c r="D252" s="17" t="n">
        <f aca="false">D250+D251</f>
        <v>0.602</v>
      </c>
      <c r="E252" s="17" t="n">
        <f aca="false">E250+E251</f>
        <v>1.7215</v>
      </c>
      <c r="F252" s="17" t="n">
        <f aca="false">F250+F251</f>
        <v>1.95</v>
      </c>
      <c r="G252" s="17" t="n">
        <f aca="false">G250+G251</f>
        <v>2.3729875</v>
      </c>
    </row>
    <row r="253" customFormat="false" ht="17.15" hidden="false" customHeight="false" outlineLevel="0" collapsed="false">
      <c r="A253" s="4" t="s">
        <v>588</v>
      </c>
      <c r="B253" s="0" t="s">
        <v>196</v>
      </c>
      <c r="D253" s="18" t="n">
        <f aca="false">a26_rev*ai_26/fx/(D250+k_non*D251)</f>
        <v>0.882225417842414</v>
      </c>
      <c r="K253" s="8" t="s">
        <v>589</v>
      </c>
    </row>
    <row r="254" customFormat="false" ht="17.15" hidden="false" customHeight="false" outlineLevel="0" collapsed="false">
      <c r="A254" s="4" t="s">
        <v>590</v>
      </c>
      <c r="B254" s="0" t="s">
        <v>109</v>
      </c>
      <c r="D254" s="19" t="n">
        <f aca="false">1</f>
        <v>1</v>
      </c>
      <c r="E254" s="19" t="n">
        <f aca="false">RLO_27</f>
        <v>0.92</v>
      </c>
      <c r="F254" s="19" t="n">
        <f aca="false">RLO_28</f>
        <v>0.85</v>
      </c>
      <c r="G254" s="19" t="n">
        <f aca="false">RLO_29</f>
        <v>0.8</v>
      </c>
    </row>
    <row r="255" customFormat="false" ht="17.15" hidden="false" customHeight="false" outlineLevel="0" collapsed="false">
      <c r="A255" s="4" t="s">
        <v>591</v>
      </c>
      <c r="B255" s="0" t="s">
        <v>196</v>
      </c>
      <c r="D255" s="18" t="n">
        <f aca="false">$D$253*D254</f>
        <v>0.882225417842414</v>
      </c>
      <c r="E255" s="18" t="n">
        <f aca="false">$D$253*E254</f>
        <v>0.811647384415021</v>
      </c>
      <c r="F255" s="18" t="n">
        <f aca="false">$D$253*F254</f>
        <v>0.749891605166052</v>
      </c>
      <c r="G255" s="18" t="n">
        <f aca="false">$D$253*G254</f>
        <v>0.705780334273931</v>
      </c>
    </row>
    <row r="256" customFormat="false" ht="17.15" hidden="false" customHeight="false" outlineLevel="0" collapsed="false">
      <c r="A256" s="4" t="s">
        <v>592</v>
      </c>
      <c r="B256" s="0" t="s">
        <v>196</v>
      </c>
      <c r="D256" s="18" t="n">
        <f aca="false">D255*k_non</f>
        <v>0.352890167136966</v>
      </c>
      <c r="E256" s="18" t="n">
        <f aca="false">E255*k_non</f>
        <v>0.324658953766008</v>
      </c>
      <c r="F256" s="18" t="n">
        <f aca="false">F255*k_non</f>
        <v>0.299956642066421</v>
      </c>
      <c r="G256" s="18" t="n">
        <f aca="false">G255*k_non</f>
        <v>0.282312133709573</v>
      </c>
    </row>
    <row r="257" customFormat="false" ht="17.15" hidden="false" customHeight="false" outlineLevel="0" collapsed="false">
      <c r="A257" s="0" t="s">
        <v>593</v>
      </c>
      <c r="B257" s="0" t="s">
        <v>301</v>
      </c>
      <c r="C257" s="24" t="n">
        <f aca="false">a25_ail</f>
        <v>6.0828</v>
      </c>
      <c r="D257" s="24" t="n">
        <f aca="false">(D250*D255+D251*D256)*fx</f>
        <v>13.00612</v>
      </c>
      <c r="E257" s="24" t="n">
        <f aca="false">(E250*E255+E251*E256)*fx</f>
        <v>36.4916664032993</v>
      </c>
      <c r="F257" s="24" t="n">
        <f aca="false">(F250*F255+F251*F256)*fx</f>
        <v>38.0393015202952</v>
      </c>
      <c r="G257" s="24" t="n">
        <f aca="false">(G250*G255+G251*G256)*fx</f>
        <v>43.5268283129151</v>
      </c>
    </row>
    <row r="258" customFormat="false" ht="17.15" hidden="false" customHeight="false" outlineLevel="0" collapsed="false">
      <c r="A258" s="6" t="s">
        <v>594</v>
      </c>
    </row>
    <row r="259" customFormat="false" ht="17.15" hidden="false" customHeight="false" outlineLevel="0" collapsed="false">
      <c r="A259" s="0" t="s">
        <v>595</v>
      </c>
      <c r="B259" s="0" t="s">
        <v>205</v>
      </c>
      <c r="D259" s="24" t="n">
        <f aca="false">lmkB_26</f>
        <v>4.51368758595869</v>
      </c>
      <c r="E259" s="24" t="n">
        <f aca="false">lmkB_27*1</f>
        <v>10.2011004204398</v>
      </c>
      <c r="F259" s="24" t="n">
        <f aca="false">lmkB_28*1</f>
        <v>12.6260448229601</v>
      </c>
      <c r="G259" s="24" t="n">
        <f aca="false">lmkB_29*1</f>
        <v>16.1809438578051</v>
      </c>
      <c r="K259" s="4" t="s">
        <v>596</v>
      </c>
    </row>
    <row r="260" customFormat="false" ht="15" hidden="false" customHeight="false" outlineLevel="0" collapsed="false">
      <c r="A260" s="4" t="s">
        <v>542</v>
      </c>
      <c r="B260" s="0" t="s">
        <v>196</v>
      </c>
      <c r="D260" s="18" t="n">
        <f aca="false">0</f>
        <v>0</v>
      </c>
      <c r="E260" s="18" t="n">
        <f aca="false">lcs_27</f>
        <v>0.008</v>
      </c>
      <c r="F260" s="18" t="n">
        <f aca="false">lcs_28</f>
        <v>0.015</v>
      </c>
      <c r="G260" s="18" t="n">
        <f aca="false">lcs_29</f>
        <v>0.025</v>
      </c>
    </row>
    <row r="261" customFormat="false" ht="17.15" hidden="false" customHeight="false" outlineLevel="0" collapsed="false">
      <c r="A261" s="4" t="s">
        <v>597</v>
      </c>
      <c r="B261" s="0" t="s">
        <v>301</v>
      </c>
      <c r="C261" s="24" t="n">
        <f aca="false">0</f>
        <v>0</v>
      </c>
      <c r="D261" s="24" t="n">
        <f aca="false">D259*D260*fx</f>
        <v>0</v>
      </c>
      <c r="E261" s="24" t="n">
        <f aca="false">E259*E260*fx</f>
        <v>2.61148170763259</v>
      </c>
      <c r="F261" s="24" t="n">
        <f aca="false">F259*F260*fx</f>
        <v>6.06050151502085</v>
      </c>
      <c r="G261" s="24" t="n">
        <f aca="false">G259*G260*fx</f>
        <v>12.9447550862441</v>
      </c>
    </row>
    <row r="262" customFormat="false" ht="17.15" hidden="false" customHeight="false" outlineLevel="0" collapsed="false">
      <c r="A262" s="6" t="s">
        <v>598</v>
      </c>
    </row>
    <row r="263" customFormat="false" ht="17.15" hidden="false" customHeight="false" outlineLevel="0" collapsed="false">
      <c r="A263" s="4" t="s">
        <v>599</v>
      </c>
      <c r="B263" s="0" t="s">
        <v>301</v>
      </c>
      <c r="C263" s="24" t="n">
        <f aca="false">a25_oth</f>
        <v>8.637576</v>
      </c>
      <c r="D263" s="24" t="n">
        <f aca="false">a26_rev*(th_26-ai_26)</f>
        <v>11.380355</v>
      </c>
      <c r="E263" s="24" t="n">
        <f aca="false">D263*(1+g_oth_27)</f>
        <v>12.7459976</v>
      </c>
      <c r="F263" s="24" t="n">
        <f aca="false">E263*(1+g_oth_28)</f>
        <v>14.02059736</v>
      </c>
      <c r="G263" s="24" t="n">
        <f aca="false">F263*(1+g_oth_29)</f>
        <v>15.1422451488</v>
      </c>
    </row>
    <row r="264" customFormat="false" ht="15" hidden="false" customHeight="false" outlineLevel="0" collapsed="false">
      <c r="A264" s="4" t="s">
        <v>600</v>
      </c>
      <c r="B264" s="0" t="s">
        <v>301</v>
      </c>
      <c r="C264" s="24" t="n">
        <f aca="false">a25_lf</f>
        <v>5.555624</v>
      </c>
      <c r="D264" s="24" t="n">
        <f aca="false">a26_lf</f>
        <v>8.128825</v>
      </c>
      <c r="E264" s="24" t="n">
        <f aca="false">D264*(1+g_lf_27)</f>
        <v>8.37268975</v>
      </c>
      <c r="F264" s="24" t="n">
        <f aca="false">E264*(1+g_lf_28)</f>
        <v>8.6238704425</v>
      </c>
      <c r="G264" s="24" t="n">
        <f aca="false">F264*(1+g_lf_29)</f>
        <v>8.882586555775</v>
      </c>
    </row>
    <row r="265" customFormat="false" ht="17.15" hidden="false" customHeight="false" outlineLevel="0" collapsed="false">
      <c r="A265" s="4" t="s">
        <v>475</v>
      </c>
      <c r="B265" s="0" t="s">
        <v>301</v>
      </c>
      <c r="C265" s="24" t="n">
        <f aca="false">C257+C261+C263+C264</f>
        <v>20.276</v>
      </c>
      <c r="D265" s="24" t="n">
        <f aca="false">D257+D261+D263+D264</f>
        <v>32.5153</v>
      </c>
      <c r="E265" s="24" t="n">
        <f aca="false">E257+E261+E263+E264</f>
        <v>60.2218354609319</v>
      </c>
      <c r="F265" s="24" t="n">
        <f aca="false">F257+F261+F263+F264</f>
        <v>66.7442708378161</v>
      </c>
      <c r="G265" s="24" t="n">
        <f aca="false">G257+G261+G263+G264</f>
        <v>80.4964151037342</v>
      </c>
      <c r="H265" s="25" t="n">
        <f aca="false">G265*(1+H266)</f>
        <v>92.6268126022697</v>
      </c>
      <c r="I265" s="25" t="n">
        <f aca="false">H265*(1+I266)</f>
        <v>101.458541992543</v>
      </c>
      <c r="J265" s="25" t="n">
        <f aca="false">I265*(1+J266)</f>
        <v>105.516883672245</v>
      </c>
      <c r="K265" s="8" t="s">
        <v>601</v>
      </c>
    </row>
    <row r="266" customFormat="false" ht="15" hidden="false" customHeight="false" outlineLevel="0" collapsed="false">
      <c r="A266" s="4" t="s">
        <v>602</v>
      </c>
      <c r="B266" s="0" t="s">
        <v>196</v>
      </c>
      <c r="D266" s="18" t="n">
        <f aca="false">D265/C265-1</f>
        <v>0.603634839218781</v>
      </c>
      <c r="E266" s="18" t="n">
        <f aca="false">E265/D265-1</f>
        <v>0.852107637356319</v>
      </c>
      <c r="F266" s="18" t="n">
        <f aca="false">F265/E265-1</f>
        <v>0.108306818066272</v>
      </c>
      <c r="G266" s="18" t="n">
        <f aca="false">G265/F265-1</f>
        <v>0.206042317839308</v>
      </c>
      <c r="H266" s="26" t="n">
        <f aca="false">$G266+(fade_gB-$G266)*1/3</f>
        <v>0.150694878559539</v>
      </c>
      <c r="I266" s="26" t="n">
        <f aca="false">$G266+(fade_gB-$G266)*2/3</f>
        <v>0.0953474392797694</v>
      </c>
      <c r="J266" s="26" t="n">
        <f aca="false">$G266+(fade_gB-$G266)*3/3</f>
        <v>0.04</v>
      </c>
    </row>
    <row r="267" customFormat="false" ht="17.15" hidden="false" customHeight="false" outlineLevel="0" collapsed="false">
      <c r="A267" s="0" t="s">
        <v>603</v>
      </c>
      <c r="B267" s="0" t="s">
        <v>196</v>
      </c>
      <c r="C267" s="18" t="n">
        <f aca="false">C257/C265</f>
        <v>0.3</v>
      </c>
      <c r="D267" s="18" t="n">
        <f aca="false">D257/D265</f>
        <v>0.4</v>
      </c>
      <c r="E267" s="18" t="n">
        <f aca="false">E257/E265</f>
        <v>0.605954071708306</v>
      </c>
      <c r="F267" s="18" t="n">
        <f aca="false">F257/F265</f>
        <v>0.569926093173271</v>
      </c>
      <c r="G267" s="18" t="n">
        <f aca="false">G257/G265</f>
        <v>0.54073002203667</v>
      </c>
    </row>
    <row r="268" customFormat="false" ht="17.15" hidden="false" customHeight="false" outlineLevel="0" collapsed="false">
      <c r="A268" s="4" t="s">
        <v>604</v>
      </c>
      <c r="B268" s="0" t="s">
        <v>136</v>
      </c>
      <c r="D268" s="24" t="n">
        <f aca="false">D257/fx*1000/(D241+D242+D243+D244+D245+D246)</f>
        <v>26.7395559210526</v>
      </c>
      <c r="E268" s="24" t="n">
        <f aca="false">E257/fx*1000/(E241+E242+E243+E244+E245+E246)</f>
        <v>48.1166487385276</v>
      </c>
      <c r="F268" s="24" t="n">
        <f aca="false">F257/fx*1000/(F241+F242+F243+F244+F245+F246)</f>
        <v>56.0720836089257</v>
      </c>
      <c r="G268" s="24" t="n">
        <f aca="false">G257/fx*1000/(G241+G242+G243+G244+G245+G246)</f>
        <v>53.0763197650414</v>
      </c>
    </row>
    <row r="269" customFormat="false" ht="17.15" hidden="false" customHeight="false" outlineLevel="0" collapsed="false">
      <c r="A269" s="6" t="s">
        <v>605</v>
      </c>
    </row>
    <row r="270" customFormat="false" ht="17.15" hidden="false" customHeight="false" outlineLevel="0" collapsed="false">
      <c r="A270" s="4" t="s">
        <v>606</v>
      </c>
      <c r="B270" s="0" t="s">
        <v>196</v>
      </c>
      <c r="D270" s="18" t="n">
        <f aca="false">a26_gp/D265-d_ai*D267</f>
        <v>0.425324773260588</v>
      </c>
      <c r="K270" s="8" t="s">
        <v>607</v>
      </c>
    </row>
    <row r="271" customFormat="false" ht="15" hidden="false" customHeight="false" outlineLevel="0" collapsed="false">
      <c r="A271" s="4" t="s">
        <v>479</v>
      </c>
      <c r="B271" s="0" t="s">
        <v>301</v>
      </c>
      <c r="C271" s="24" t="n">
        <f aca="false">a25_gp</f>
        <v>8.434</v>
      </c>
      <c r="D271" s="24" t="n">
        <f aca="false">a26_gp</f>
        <v>15.390297</v>
      </c>
      <c r="E271" s="24" t="n">
        <f aca="false">$D$270*E265+d_ai*E257</f>
        <v>29.9928384811532</v>
      </c>
      <c r="F271" s="24" t="n">
        <f aca="false">$D$270*F265+d_ai*F257</f>
        <v>32.9527080429728</v>
      </c>
      <c r="G271" s="24" t="n">
        <f aca="false">$D$270*G265+d_ai*G257</f>
        <v>39.4603388998358</v>
      </c>
    </row>
    <row r="272" customFormat="false" ht="15" hidden="false" customHeight="false" outlineLevel="0" collapsed="false">
      <c r="A272" s="4" t="s">
        <v>482</v>
      </c>
      <c r="B272" s="0" t="s">
        <v>196</v>
      </c>
      <c r="C272" s="18" t="n">
        <f aca="false">C271/C265</f>
        <v>0.415959755375814</v>
      </c>
      <c r="D272" s="18" t="n">
        <f aca="false">D271/D265</f>
        <v>0.473324773260588</v>
      </c>
      <c r="E272" s="18" t="n">
        <f aca="false">E271/E265</f>
        <v>0.498039261865585</v>
      </c>
      <c r="F272" s="18" t="n">
        <f aca="false">F271/F265</f>
        <v>0.493715904441381</v>
      </c>
      <c r="G272" s="18" t="n">
        <f aca="false">G271/G265</f>
        <v>0.490212375904988</v>
      </c>
    </row>
    <row r="273" customFormat="false" ht="15" hidden="false" customHeight="false" outlineLevel="0" collapsed="false">
      <c r="A273" s="4" t="s">
        <v>608</v>
      </c>
      <c r="B273" s="0" t="s">
        <v>301</v>
      </c>
      <c r="C273" s="24" t="n">
        <f aca="false">a25_opx</f>
        <v>1.936</v>
      </c>
      <c r="D273" s="24" t="n">
        <f aca="false">a26_opx</f>
        <v>2.8705005</v>
      </c>
      <c r="E273" s="24" t="n">
        <f aca="false">D273*(1+MAX(0,phi*E266))</f>
        <v>4.33808573945108</v>
      </c>
      <c r="F273" s="24" t="n">
        <f aca="false">E273*(1+MAX(0,phi*F266))</f>
        <v>4.61999229721425</v>
      </c>
      <c r="G273" s="24" t="n">
        <f aca="false">F273*(1+MAX(0,phi*G266))</f>
        <v>5.19114065000491</v>
      </c>
    </row>
    <row r="274" customFormat="false" ht="15" hidden="false" customHeight="false" outlineLevel="0" collapsed="false">
      <c r="A274" s="4" t="s">
        <v>484</v>
      </c>
      <c r="B274" s="0" t="s">
        <v>301</v>
      </c>
      <c r="C274" s="24" t="n">
        <f aca="false">C273</f>
        <v>1.936</v>
      </c>
      <c r="D274" s="24" t="n">
        <f aca="false">D273</f>
        <v>2.8705005</v>
      </c>
      <c r="E274" s="24" t="n">
        <f aca="false">E273+0*E265</f>
        <v>4.33808573945108</v>
      </c>
      <c r="F274" s="24" t="n">
        <f aca="false">F273+0*F265</f>
        <v>4.61999229721425</v>
      </c>
      <c r="G274" s="24" t="n">
        <f aca="false">G273+0*G265</f>
        <v>5.19114065000491</v>
      </c>
    </row>
    <row r="275" customFormat="false" ht="15" hidden="false" customHeight="false" outlineLevel="0" collapsed="false">
      <c r="A275" s="4" t="s">
        <v>486</v>
      </c>
      <c r="B275" s="0" t="s">
        <v>301</v>
      </c>
      <c r="C275" s="24" t="n">
        <f aca="false">C271-C274</f>
        <v>6.498</v>
      </c>
      <c r="D275" s="24" t="n">
        <f aca="false">D271-D274</f>
        <v>12.5197965</v>
      </c>
      <c r="E275" s="24" t="n">
        <f aca="false">E271-E274</f>
        <v>25.6547527417022</v>
      </c>
      <c r="F275" s="24" t="n">
        <f aca="false">F271-F274</f>
        <v>28.3327157457586</v>
      </c>
      <c r="G275" s="24" t="n">
        <f aca="false">G271-G274</f>
        <v>34.2691982498308</v>
      </c>
    </row>
    <row r="276" customFormat="false" ht="15" hidden="false" customHeight="false" outlineLevel="0" collapsed="false">
      <c r="A276" s="4" t="s">
        <v>488</v>
      </c>
      <c r="B276" s="0" t="s">
        <v>196</v>
      </c>
      <c r="C276" s="18" t="n">
        <f aca="false">C275/C265</f>
        <v>0.320477411718288</v>
      </c>
      <c r="D276" s="18" t="n">
        <f aca="false">D275/D265</f>
        <v>0.385043241181844</v>
      </c>
      <c r="E276" s="18" t="n">
        <f aca="false">E275/E265</f>
        <v>0.426004165189308</v>
      </c>
      <c r="F276" s="18" t="n">
        <f aca="false">F275/F265</f>
        <v>0.424496595589532</v>
      </c>
      <c r="G276" s="18" t="n">
        <f aca="false">G275/G265</f>
        <v>0.425723284765772</v>
      </c>
    </row>
    <row r="277" customFormat="false" ht="15" hidden="false" customHeight="false" outlineLevel="0" collapsed="false">
      <c r="A277" s="4" t="s">
        <v>489</v>
      </c>
      <c r="B277" s="0" t="s">
        <v>301</v>
      </c>
      <c r="C277" s="29" t="n">
        <f aca="false">a25_nop</f>
        <v>0.108999999999999</v>
      </c>
      <c r="D277" s="29" t="n">
        <f aca="false">a26_nop</f>
        <v>0.330500000000001</v>
      </c>
      <c r="E277" s="29" t="n">
        <f aca="false">nop_f</f>
        <v>0.3</v>
      </c>
      <c r="F277" s="29" t="n">
        <f aca="false">nop_f</f>
        <v>0.3</v>
      </c>
      <c r="G277" s="29" t="n">
        <f aca="false">nop_f</f>
        <v>0.3</v>
      </c>
    </row>
    <row r="278" customFormat="false" ht="15" hidden="false" customHeight="false" outlineLevel="0" collapsed="false">
      <c r="A278" s="4" t="s">
        <v>494</v>
      </c>
      <c r="B278" s="0" t="s">
        <v>301</v>
      </c>
      <c r="C278" s="24" t="n">
        <f aca="false">a25_ni</f>
        <v>5.277</v>
      </c>
      <c r="D278" s="24" t="n">
        <f aca="false">a26_ni</f>
        <v>10.3442061825</v>
      </c>
      <c r="E278" s="24" t="n">
        <f aca="false">(E275+E277)*nir_f</f>
        <v>20.8935759570702</v>
      </c>
      <c r="F278" s="24" t="n">
        <f aca="false">(F275+F277)*nir_f</f>
        <v>23.0493361753356</v>
      </c>
      <c r="G278" s="24" t="n">
        <f aca="false">(G275+G277)*nir_f</f>
        <v>27.8282045911138</v>
      </c>
      <c r="H278" s="25" t="n">
        <f aca="false">H265*H282</f>
        <v>30.7724950355569</v>
      </c>
      <c r="I278" s="25" t="n">
        <f aca="false">I265*I282</f>
        <v>32.3381807630788</v>
      </c>
      <c r="J278" s="25" t="n">
        <f aca="false">J265*J282</f>
        <v>32.2085794042593</v>
      </c>
    </row>
    <row r="279" customFormat="false" ht="15" hidden="false" customHeight="false" outlineLevel="0" collapsed="false">
      <c r="A279" s="4" t="s">
        <v>609</v>
      </c>
      <c r="B279" s="4" t="s">
        <v>327</v>
      </c>
      <c r="C279" s="28" t="n">
        <f aca="false">a25_sh</f>
        <v>0.143591836734694</v>
      </c>
      <c r="D279" s="28" t="n">
        <f aca="false">a26_sh</f>
        <v>0.146703513620213</v>
      </c>
      <c r="E279" s="28" t="n">
        <f aca="false">D279*(1+sh_g)</f>
        <v>0.146703513620213</v>
      </c>
      <c r="F279" s="28" t="n">
        <f aca="false">E279*(1+sh_g)</f>
        <v>0.146703513620213</v>
      </c>
      <c r="G279" s="28" t="n">
        <f aca="false">F279*(1+sh_g)</f>
        <v>0.146703513620213</v>
      </c>
      <c r="H279" s="30" t="n">
        <f aca="false">G279*(1+sh_g)</f>
        <v>0.146703513620213</v>
      </c>
      <c r="I279" s="30" t="n">
        <f aca="false">H279*(1+sh_g)</f>
        <v>0.146703513620213</v>
      </c>
      <c r="J279" s="30" t="n">
        <f aca="false">I279*(1+sh_g)</f>
        <v>0.146703513620213</v>
      </c>
    </row>
    <row r="280" customFormat="false" ht="15" hidden="false" customHeight="false" outlineLevel="0" collapsed="false">
      <c r="A280" s="0" t="s">
        <v>500</v>
      </c>
      <c r="B280" s="0" t="s">
        <v>360</v>
      </c>
      <c r="C280" s="29" t="n">
        <f aca="false">C278/C279</f>
        <v>36.75</v>
      </c>
      <c r="D280" s="29" t="n">
        <f aca="false">D278/D279</f>
        <v>70.5109641019174</v>
      </c>
      <c r="E280" s="29" t="n">
        <f aca="false">E278/E279</f>
        <v>142.420419535142</v>
      </c>
      <c r="F280" s="29" t="n">
        <f aca="false">F278/F279</f>
        <v>157.115092928216</v>
      </c>
      <c r="G280" s="29" t="n">
        <f aca="false">G278/G279</f>
        <v>189.690102877533</v>
      </c>
      <c r="H280" s="31" t="n">
        <f aca="false">H278/H279</f>
        <v>209.7597683667</v>
      </c>
      <c r="I280" s="31" t="n">
        <f aca="false">I278/I279</f>
        <v>220.432217096013</v>
      </c>
      <c r="J280" s="31" t="n">
        <f aca="false">J278/J279</f>
        <v>219.54879340955</v>
      </c>
    </row>
    <row r="281" customFormat="false" ht="17.15" hidden="false" customHeight="false" outlineLevel="0" collapsed="false">
      <c r="A281" s="0" t="s">
        <v>610</v>
      </c>
      <c r="B281" s="0" t="s">
        <v>196</v>
      </c>
      <c r="D281" s="18" t="n">
        <f aca="false">D280/C280-1</f>
        <v>0.918665689848092</v>
      </c>
      <c r="E281" s="18" t="n">
        <f aca="false">E280/D280-1</f>
        <v>1.01983367195613</v>
      </c>
      <c r="F281" s="18" t="n">
        <f aca="false">F280/E280-1</f>
        <v>0.103178135839208</v>
      </c>
      <c r="G281" s="18" t="n">
        <f aca="false">G280/F280-1</f>
        <v>0.207332149586672</v>
      </c>
      <c r="H281" s="26" t="n">
        <f aca="false">H280/G280-1</f>
        <v>0.105802386021816</v>
      </c>
      <c r="I281" s="26" t="n">
        <f aca="false">I280/H280-1</f>
        <v>0.0508793884185457</v>
      </c>
      <c r="J281" s="26" t="n">
        <f aca="false">J280/I280-1</f>
        <v>-0.00400768861331347</v>
      </c>
    </row>
    <row r="282" customFormat="false" ht="17.15" hidden="false" customHeight="false" outlineLevel="0" collapsed="false">
      <c r="A282" s="4" t="s">
        <v>611</v>
      </c>
      <c r="B282" s="0" t="s">
        <v>196</v>
      </c>
      <c r="C282" s="18" t="n">
        <f aca="false">C278/C265</f>
        <v>0.260258433616098</v>
      </c>
      <c r="D282" s="18" t="n">
        <f aca="false">D278/D265</f>
        <v>0.318133499690915</v>
      </c>
      <c r="E282" s="18" t="n">
        <f aca="false">E278/E265</f>
        <v>0.346943526333146</v>
      </c>
      <c r="F282" s="18" t="n">
        <f aca="false">F278/F265</f>
        <v>0.345338047535854</v>
      </c>
      <c r="G282" s="18" t="n">
        <f aca="false">G278/G265</f>
        <v>0.345707377841015</v>
      </c>
      <c r="H282" s="26" t="n">
        <f aca="false">$G282+(fade_mB-$G282)*1/3</f>
        <v>0.332220165749317</v>
      </c>
      <c r="I282" s="26" t="n">
        <f aca="false">$G282+(fade_mB-$G282)*2/3</f>
        <v>0.318732953657618</v>
      </c>
      <c r="J282" s="26" t="n">
        <f aca="false">$G282+(fade_mB-$G282)*3/3</f>
        <v>0.30524574156592</v>
      </c>
    </row>
    <row r="285" customFormat="false" ht="17.15" hidden="false" customHeight="false" outlineLevel="0" collapsed="false">
      <c r="A285" s="1" t="s">
        <v>907</v>
      </c>
    </row>
    <row r="286" customFormat="false" ht="17.15" hidden="false" customHeight="false" outlineLevel="0" collapsed="false">
      <c r="A286" s="5" t="s">
        <v>22</v>
      </c>
      <c r="B286" s="5" t="s">
        <v>23</v>
      </c>
      <c r="C286" s="15" t="s">
        <v>470</v>
      </c>
      <c r="D286" s="15" t="s">
        <v>553</v>
      </c>
      <c r="E286" s="15" t="s">
        <v>554</v>
      </c>
      <c r="F286" s="15" t="s">
        <v>555</v>
      </c>
      <c r="G286" s="15" t="s">
        <v>556</v>
      </c>
      <c r="H286" s="15" t="s">
        <v>557</v>
      </c>
      <c r="I286" s="15" t="s">
        <v>558</v>
      </c>
      <c r="J286" s="15" t="s">
        <v>559</v>
      </c>
      <c r="K286" s="5" t="s">
        <v>523</v>
      </c>
    </row>
    <row r="287" customFormat="false" ht="17.15" hidden="false" customHeight="false" outlineLevel="0" collapsed="false">
      <c r="A287" s="6" t="s">
        <v>575</v>
      </c>
    </row>
    <row r="288" customFormat="false" ht="17.15" hidden="false" customHeight="false" outlineLevel="0" collapsed="false">
      <c r="A288" s="0" t="s">
        <v>576</v>
      </c>
      <c r="B288" s="4" t="s">
        <v>33</v>
      </c>
      <c r="D288" s="19" t="n">
        <f aca="false">(u_bw26)*1</f>
        <v>5.4</v>
      </c>
      <c r="E288" s="19" t="n">
        <f aca="false">(u_bw27)*1*1</f>
        <v>2.4</v>
      </c>
      <c r="F288" s="19" t="n">
        <f aca="false">(u_bw28)*um28_B*1</f>
        <v>0.4</v>
      </c>
      <c r="G288" s="19" t="n">
        <f aca="false">(u_bw29)*um29_B*1</f>
        <v>0.2125</v>
      </c>
    </row>
    <row r="289" customFormat="false" ht="17.15" hidden="false" customHeight="false" outlineLevel="0" collapsed="false">
      <c r="A289" s="0" t="s">
        <v>577</v>
      </c>
      <c r="B289" s="4" t="s">
        <v>33</v>
      </c>
      <c r="D289" s="19" t="n">
        <f aca="false">(u_hp26)*1</f>
        <v>0.5</v>
      </c>
      <c r="E289" s="19" t="n">
        <f aca="false">(u_hp27)*1*1</f>
        <v>0</v>
      </c>
      <c r="F289" s="19" t="n">
        <f aca="false">(u_hp28)*um28_B*1</f>
        <v>0</v>
      </c>
      <c r="G289" s="19" t="n">
        <f aca="false">(u_hp29)*um29_B*1</f>
        <v>0</v>
      </c>
    </row>
    <row r="290" customFormat="false" ht="17.15" hidden="false" customHeight="false" outlineLevel="0" collapsed="false">
      <c r="A290" s="0" t="s">
        <v>578</v>
      </c>
      <c r="B290" s="4" t="s">
        <v>33</v>
      </c>
      <c r="D290" s="19" t="n">
        <f aca="false">(u_rb26)*1</f>
        <v>1.7</v>
      </c>
      <c r="E290" s="19" t="n">
        <f aca="false">(u_rb27)*1*1</f>
        <v>7</v>
      </c>
      <c r="F290" s="19" t="n">
        <f aca="false">(u_rb28)*um28_B*1</f>
        <v>5.6</v>
      </c>
      <c r="G290" s="19" t="n">
        <f aca="false">(u_rb29)*um29_B*1</f>
        <v>6.8425</v>
      </c>
    </row>
    <row r="291" customFormat="false" ht="17.15" hidden="false" customHeight="false" outlineLevel="0" collapsed="false">
      <c r="A291" s="0" t="s">
        <v>579</v>
      </c>
      <c r="B291" s="4" t="s">
        <v>33</v>
      </c>
      <c r="D291" s="19" t="n">
        <f aca="false">(u_ru26)*1</f>
        <v>0</v>
      </c>
      <c r="E291" s="19" t="n">
        <f aca="false">(u_ru27)*1*1</f>
        <v>0.3</v>
      </c>
      <c r="F291" s="19" t="n">
        <f aca="false">(u_ru28)*um28_B*1</f>
        <v>1.6</v>
      </c>
      <c r="G291" s="19" t="n">
        <f aca="false">(u_ru29)*um29_B*1</f>
        <v>1.955</v>
      </c>
    </row>
    <row r="292" customFormat="false" ht="17.15" hidden="false" customHeight="false" outlineLevel="0" collapsed="false">
      <c r="A292" s="0" t="s">
        <v>580</v>
      </c>
      <c r="B292" s="4" t="s">
        <v>33</v>
      </c>
      <c r="D292" s="19" t="n">
        <f aca="false">(u_amd26)*1</f>
        <v>0.75</v>
      </c>
      <c r="E292" s="19" t="n">
        <f aca="false">(u_amd27)*1*1</f>
        <v>1.5</v>
      </c>
      <c r="F292" s="19" t="n">
        <f aca="false">(u_amd28)*um28_B*1</f>
        <v>1.6</v>
      </c>
      <c r="G292" s="19" t="n">
        <f aca="false">(u_amd29)*um29_B*1</f>
        <v>1.955</v>
      </c>
    </row>
    <row r="293" customFormat="false" ht="17.15" hidden="false" customHeight="false" outlineLevel="0" collapsed="false">
      <c r="A293" s="0" t="s">
        <v>581</v>
      </c>
      <c r="B293" s="4" t="s">
        <v>33</v>
      </c>
      <c r="D293" s="19" t="n">
        <f aca="false">(u_tpu26+u_trn26+u_oth26)*1</f>
        <v>6.85</v>
      </c>
      <c r="E293" s="19" t="n">
        <f aca="false">(u_tpu27+u_trn27+u_oth27)*1*1</f>
        <v>12.5</v>
      </c>
      <c r="F293" s="19" t="n">
        <f aca="false">(u_tpu28+u_trn28+u_oth28)*um28_B*1</f>
        <v>12</v>
      </c>
      <c r="G293" s="19" t="n">
        <f aca="false">(u_tpu29+u_trn29+u_oth29)*um29_B*1</f>
        <v>14.6625</v>
      </c>
    </row>
    <row r="294" customFormat="false" ht="17.15" hidden="false" customHeight="false" outlineLevel="0" collapsed="false">
      <c r="A294" s="0" t="s">
        <v>527</v>
      </c>
      <c r="B294" s="0" t="s">
        <v>136</v>
      </c>
      <c r="D294" s="22" t="n">
        <f aca="false">asp_vr_26</f>
        <v>100</v>
      </c>
      <c r="E294" s="22" t="n">
        <f aca="false">asp_vr_27</f>
        <v>150</v>
      </c>
      <c r="F294" s="22" t="n">
        <f aca="false">asp_vr_28</f>
        <v>180</v>
      </c>
      <c r="G294" s="22" t="n">
        <f aca="false">asp_vr_29</f>
        <v>180</v>
      </c>
    </row>
    <row r="295" customFormat="false" ht="17.15" hidden="false" customHeight="false" outlineLevel="0" collapsed="false">
      <c r="A295" s="0" t="s">
        <v>582</v>
      </c>
      <c r="B295" s="0" t="s">
        <v>136</v>
      </c>
      <c r="D295" s="22" t="n">
        <f aca="false">asp_amd_26</f>
        <v>40</v>
      </c>
      <c r="E295" s="22" t="n">
        <f aca="false">asp_amd_27</f>
        <v>60</v>
      </c>
      <c r="F295" s="22" t="n">
        <f aca="false">asp_amd_28</f>
        <v>80</v>
      </c>
      <c r="G295" s="22" t="n">
        <f aca="false">asp_amd_29</f>
        <v>80</v>
      </c>
    </row>
    <row r="296" customFormat="false" ht="17.15" hidden="false" customHeight="false" outlineLevel="0" collapsed="false">
      <c r="A296" s="0" t="s">
        <v>583</v>
      </c>
      <c r="B296" s="0" t="s">
        <v>136</v>
      </c>
      <c r="D296" s="22" t="n">
        <f aca="false">asp_asic_26</f>
        <v>30</v>
      </c>
      <c r="E296" s="22" t="n">
        <f aca="false">asp_asic_27</f>
        <v>35</v>
      </c>
      <c r="F296" s="22" t="n">
        <f aca="false">asp_asic_28</f>
        <v>40</v>
      </c>
      <c r="G296" s="22" t="n">
        <f aca="false">asp_asic_29</f>
        <v>40</v>
      </c>
    </row>
    <row r="297" customFormat="false" ht="17.15" hidden="false" customHeight="false" outlineLevel="0" collapsed="false">
      <c r="A297" s="0" t="s">
        <v>584</v>
      </c>
      <c r="B297" s="0" t="s">
        <v>205</v>
      </c>
      <c r="D297" s="17" t="n">
        <f aca="false">(D288*asp_bw+D289*asp_hp+D290*D294+D291*asp_ru)/1000</f>
        <v>0.3665</v>
      </c>
      <c r="E297" s="17" t="n">
        <f aca="false">(E288*asp_bw+E289*asp_hp+E290*E294+E291*asp_ru)/1000</f>
        <v>1.194</v>
      </c>
      <c r="F297" s="17" t="n">
        <f aca="false">(F288*asp_bw+F289*asp_hp+F290*F294+F291*asp_ru)/1000</f>
        <v>1.342</v>
      </c>
      <c r="G297" s="17" t="n">
        <f aca="false">(G288*asp_bw+G289*asp_hp+G290*G294+G291*asp_ru)/1000</f>
        <v>1.6300875</v>
      </c>
      <c r="K297" s="4" t="s">
        <v>585</v>
      </c>
    </row>
    <row r="298" customFormat="false" ht="17.15" hidden="false" customHeight="false" outlineLevel="0" collapsed="false">
      <c r="A298" s="4" t="s">
        <v>586</v>
      </c>
      <c r="B298" s="0" t="s">
        <v>205</v>
      </c>
      <c r="D298" s="17" t="n">
        <f aca="false">(D292*D295+D293*D296)/1000</f>
        <v>0.2355</v>
      </c>
      <c r="E298" s="17" t="n">
        <f aca="false">(E292*E295+E293*E296)/1000</f>
        <v>0.5275</v>
      </c>
      <c r="F298" s="17" t="n">
        <f aca="false">(F292*F295+F293*F296)/1000</f>
        <v>0.608</v>
      </c>
      <c r="G298" s="17" t="n">
        <f aca="false">(G292*G295+G293*G296)/1000</f>
        <v>0.7429</v>
      </c>
    </row>
    <row r="299" customFormat="false" ht="17.15" hidden="false" customHeight="false" outlineLevel="0" collapsed="false">
      <c r="A299" s="0" t="s">
        <v>587</v>
      </c>
      <c r="B299" s="0" t="s">
        <v>205</v>
      </c>
      <c r="D299" s="17" t="n">
        <f aca="false">D297+D298</f>
        <v>0.602</v>
      </c>
      <c r="E299" s="17" t="n">
        <f aca="false">E297+E298</f>
        <v>1.7215</v>
      </c>
      <c r="F299" s="17" t="n">
        <f aca="false">F297+F298</f>
        <v>1.95</v>
      </c>
      <c r="G299" s="17" t="n">
        <f aca="false">G297+G298</f>
        <v>2.3729875</v>
      </c>
    </row>
    <row r="300" customFormat="false" ht="17.15" hidden="false" customHeight="false" outlineLevel="0" collapsed="false">
      <c r="A300" s="4" t="s">
        <v>588</v>
      </c>
      <c r="B300" s="0" t="s">
        <v>196</v>
      </c>
      <c r="D300" s="18" t="n">
        <f aca="false">a26_rev*ai_26/fx/(D297+k_non*D298)</f>
        <v>0.882225417842414</v>
      </c>
      <c r="K300" s="8" t="s">
        <v>589</v>
      </c>
    </row>
    <row r="301" customFormat="false" ht="17.15" hidden="false" customHeight="false" outlineLevel="0" collapsed="false">
      <c r="A301" s="4" t="s">
        <v>590</v>
      </c>
      <c r="B301" s="0" t="s">
        <v>109</v>
      </c>
      <c r="D301" s="19" t="n">
        <f aca="false">1</f>
        <v>1</v>
      </c>
      <c r="E301" s="19" t="n">
        <f aca="false">RHI_27</f>
        <v>1</v>
      </c>
      <c r="F301" s="19" t="n">
        <f aca="false">RHI_28</f>
        <v>1</v>
      </c>
      <c r="G301" s="19" t="n">
        <f aca="false">RHI_29</f>
        <v>0.98</v>
      </c>
    </row>
    <row r="302" customFormat="false" ht="17.15" hidden="false" customHeight="false" outlineLevel="0" collapsed="false">
      <c r="A302" s="4" t="s">
        <v>591</v>
      </c>
      <c r="B302" s="0" t="s">
        <v>196</v>
      </c>
      <c r="D302" s="18" t="n">
        <f aca="false">$D$300*D301</f>
        <v>0.882225417842414</v>
      </c>
      <c r="E302" s="18" t="n">
        <f aca="false">$D$300*E301</f>
        <v>0.882225417842414</v>
      </c>
      <c r="F302" s="18" t="n">
        <f aca="false">$D$300*F301</f>
        <v>0.882225417842414</v>
      </c>
      <c r="G302" s="18" t="n">
        <f aca="false">$D$300*G301</f>
        <v>0.864580909485566</v>
      </c>
    </row>
    <row r="303" customFormat="false" ht="17.15" hidden="false" customHeight="false" outlineLevel="0" collapsed="false">
      <c r="A303" s="4" t="s">
        <v>592</v>
      </c>
      <c r="B303" s="0" t="s">
        <v>196</v>
      </c>
      <c r="D303" s="18" t="n">
        <f aca="false">D302*k_non</f>
        <v>0.352890167136966</v>
      </c>
      <c r="E303" s="18" t="n">
        <f aca="false">E302*k_non</f>
        <v>0.352890167136966</v>
      </c>
      <c r="F303" s="18" t="n">
        <f aca="false">F302*k_non</f>
        <v>0.352890167136966</v>
      </c>
      <c r="G303" s="18" t="n">
        <f aca="false">G302*k_non</f>
        <v>0.345832363794226</v>
      </c>
    </row>
    <row r="304" customFormat="false" ht="17.15" hidden="false" customHeight="false" outlineLevel="0" collapsed="false">
      <c r="A304" s="0" t="s">
        <v>593</v>
      </c>
      <c r="B304" s="0" t="s">
        <v>301</v>
      </c>
      <c r="C304" s="24" t="n">
        <f aca="false">a25_ail</f>
        <v>6.0828</v>
      </c>
      <c r="D304" s="24" t="n">
        <f aca="false">(D297*D302+D298*D303)*fx</f>
        <v>13.00612</v>
      </c>
      <c r="E304" s="24" t="n">
        <f aca="false">(E297*E302+E298*E303)*fx</f>
        <v>39.6648547861949</v>
      </c>
      <c r="F304" s="24" t="n">
        <f aca="false">(F297*F302+F298*F303)*fx</f>
        <v>44.7521194356414</v>
      </c>
      <c r="G304" s="24" t="n">
        <f aca="false">(G297*G302+G298*G303)*fx</f>
        <v>53.320364683321</v>
      </c>
    </row>
    <row r="305" customFormat="false" ht="17.15" hidden="false" customHeight="false" outlineLevel="0" collapsed="false">
      <c r="A305" s="6" t="s">
        <v>594</v>
      </c>
    </row>
    <row r="306" customFormat="false" ht="17.15" hidden="false" customHeight="false" outlineLevel="0" collapsed="false">
      <c r="A306" s="0" t="s">
        <v>595</v>
      </c>
      <c r="B306" s="0" t="s">
        <v>205</v>
      </c>
      <c r="D306" s="24" t="n">
        <f aca="false">lmkB_26</f>
        <v>4.51368758595869</v>
      </c>
      <c r="E306" s="24" t="n">
        <f aca="false">lmkB_27*1</f>
        <v>10.2011004204398</v>
      </c>
      <c r="F306" s="24" t="n">
        <f aca="false">lmkB_28*1</f>
        <v>12.6260448229601</v>
      </c>
      <c r="G306" s="24" t="n">
        <f aca="false">lmkB_29*1</f>
        <v>16.1809438578051</v>
      </c>
      <c r="K306" s="4" t="s">
        <v>596</v>
      </c>
    </row>
    <row r="307" customFormat="false" ht="15" hidden="false" customHeight="false" outlineLevel="0" collapsed="false">
      <c r="A307" s="4" t="s">
        <v>542</v>
      </c>
      <c r="B307" s="0" t="s">
        <v>196</v>
      </c>
      <c r="D307" s="18" t="n">
        <f aca="false">0</f>
        <v>0</v>
      </c>
      <c r="E307" s="18" t="n">
        <f aca="false">lcs_27</f>
        <v>0.008</v>
      </c>
      <c r="F307" s="18" t="n">
        <f aca="false">lcs_28</f>
        <v>0.015</v>
      </c>
      <c r="G307" s="18" t="n">
        <f aca="false">lcs_29</f>
        <v>0.025</v>
      </c>
    </row>
    <row r="308" customFormat="false" ht="17.15" hidden="false" customHeight="false" outlineLevel="0" collapsed="false">
      <c r="A308" s="4" t="s">
        <v>597</v>
      </c>
      <c r="B308" s="0" t="s">
        <v>301</v>
      </c>
      <c r="C308" s="24" t="n">
        <f aca="false">0</f>
        <v>0</v>
      </c>
      <c r="D308" s="24" t="n">
        <f aca="false">D306*D307*fx</f>
        <v>0</v>
      </c>
      <c r="E308" s="24" t="n">
        <f aca="false">E306*E307*fx</f>
        <v>2.61148170763259</v>
      </c>
      <c r="F308" s="24" t="n">
        <f aca="false">F306*F307*fx</f>
        <v>6.06050151502085</v>
      </c>
      <c r="G308" s="24" t="n">
        <f aca="false">G306*G307*fx</f>
        <v>12.9447550862441</v>
      </c>
    </row>
    <row r="309" customFormat="false" ht="17.15" hidden="false" customHeight="false" outlineLevel="0" collapsed="false">
      <c r="A309" s="6" t="s">
        <v>598</v>
      </c>
    </row>
    <row r="310" customFormat="false" ht="17.15" hidden="false" customHeight="false" outlineLevel="0" collapsed="false">
      <c r="A310" s="4" t="s">
        <v>599</v>
      </c>
      <c r="B310" s="0" t="s">
        <v>301</v>
      </c>
      <c r="C310" s="24" t="n">
        <f aca="false">a25_oth</f>
        <v>8.637576</v>
      </c>
      <c r="D310" s="24" t="n">
        <f aca="false">a26_rev*(th_26-ai_26)</f>
        <v>11.380355</v>
      </c>
      <c r="E310" s="24" t="n">
        <f aca="false">D310*(1+g_oth_27)</f>
        <v>12.7459976</v>
      </c>
      <c r="F310" s="24" t="n">
        <f aca="false">E310*(1+g_oth_28)</f>
        <v>14.02059736</v>
      </c>
      <c r="G310" s="24" t="n">
        <f aca="false">F310*(1+g_oth_29)</f>
        <v>15.1422451488</v>
      </c>
    </row>
    <row r="311" customFormat="false" ht="15" hidden="false" customHeight="false" outlineLevel="0" collapsed="false">
      <c r="A311" s="4" t="s">
        <v>600</v>
      </c>
      <c r="B311" s="0" t="s">
        <v>301</v>
      </c>
      <c r="C311" s="24" t="n">
        <f aca="false">a25_lf</f>
        <v>5.555624</v>
      </c>
      <c r="D311" s="24" t="n">
        <f aca="false">a26_lf</f>
        <v>8.128825</v>
      </c>
      <c r="E311" s="24" t="n">
        <f aca="false">D311*(1+g_lf_27)</f>
        <v>8.37268975</v>
      </c>
      <c r="F311" s="24" t="n">
        <f aca="false">E311*(1+g_lf_28)</f>
        <v>8.6238704425</v>
      </c>
      <c r="G311" s="24" t="n">
        <f aca="false">F311*(1+g_lf_29)</f>
        <v>8.882586555775</v>
      </c>
    </row>
    <row r="312" customFormat="false" ht="17.15" hidden="false" customHeight="false" outlineLevel="0" collapsed="false">
      <c r="A312" s="4" t="s">
        <v>475</v>
      </c>
      <c r="B312" s="0" t="s">
        <v>301</v>
      </c>
      <c r="C312" s="24" t="n">
        <f aca="false">C304+C308+C310+C311</f>
        <v>20.276</v>
      </c>
      <c r="D312" s="24" t="n">
        <f aca="false">D304+D308+D310+D311</f>
        <v>32.5153</v>
      </c>
      <c r="E312" s="24" t="n">
        <f aca="false">E304+E308+E310+E311</f>
        <v>63.3950238438275</v>
      </c>
      <c r="F312" s="24" t="n">
        <f aca="false">F304+F308+F310+F311</f>
        <v>73.4570887531623</v>
      </c>
      <c r="G312" s="24" t="n">
        <f aca="false">G304+G308+G310+G311</f>
        <v>90.2899514741401</v>
      </c>
      <c r="H312" s="25" t="n">
        <f aca="false">G312*(1+H313)</f>
        <v>105.287252400671</v>
      </c>
      <c r="I312" s="25" t="n">
        <f aca="false">H312*(1+I313)</f>
        <v>116.1371853799</v>
      </c>
      <c r="J312" s="25" t="n">
        <f aca="false">I312*(1+J313)</f>
        <v>120.782672795096</v>
      </c>
      <c r="K312" s="8" t="s">
        <v>601</v>
      </c>
    </row>
    <row r="313" customFormat="false" ht="15" hidden="false" customHeight="false" outlineLevel="0" collapsed="false">
      <c r="A313" s="4" t="s">
        <v>602</v>
      </c>
      <c r="B313" s="0" t="s">
        <v>196</v>
      </c>
      <c r="D313" s="18" t="n">
        <f aca="false">D312/C312-1</f>
        <v>0.603634839218781</v>
      </c>
      <c r="E313" s="18" t="n">
        <f aca="false">E312/D312-1</f>
        <v>0.949698260321372</v>
      </c>
      <c r="F313" s="18" t="n">
        <f aca="false">F312/E312-1</f>
        <v>0.158720106078396</v>
      </c>
      <c r="G313" s="18" t="n">
        <f aca="false">G312/F312-1</f>
        <v>0.229152325618856</v>
      </c>
      <c r="H313" s="26" t="n">
        <f aca="false">$G313+(fade_gB-$G313)*1/3</f>
        <v>0.166101550412571</v>
      </c>
      <c r="I313" s="26" t="n">
        <f aca="false">$G313+(fade_gB-$G313)*2/3</f>
        <v>0.103050775206285</v>
      </c>
      <c r="J313" s="26" t="n">
        <f aca="false">$G313+(fade_gB-$G313)*3/3</f>
        <v>0.04</v>
      </c>
    </row>
    <row r="314" customFormat="false" ht="17.15" hidden="false" customHeight="false" outlineLevel="0" collapsed="false">
      <c r="A314" s="0" t="s">
        <v>603</v>
      </c>
      <c r="B314" s="0" t="s">
        <v>196</v>
      </c>
      <c r="C314" s="18" t="n">
        <f aca="false">C304/C312</f>
        <v>0.3</v>
      </c>
      <c r="D314" s="18" t="n">
        <f aca="false">D304/D312</f>
        <v>0.4</v>
      </c>
      <c r="E314" s="18" t="n">
        <f aca="false">E304/E312</f>
        <v>0.625677732749318</v>
      </c>
      <c r="F314" s="18" t="n">
        <f aca="false">F304/F312</f>
        <v>0.609228056750546</v>
      </c>
      <c r="G314" s="18" t="n">
        <f aca="false">G304/G312</f>
        <v>0.590545944623666</v>
      </c>
    </row>
    <row r="315" customFormat="false" ht="17.15" hidden="false" customHeight="false" outlineLevel="0" collapsed="false">
      <c r="A315" s="4" t="s">
        <v>604</v>
      </c>
      <c r="B315" s="0" t="s">
        <v>136</v>
      </c>
      <c r="D315" s="24" t="n">
        <f aca="false">D304/fx*1000/(D288+D289+D290+D291+D292+D293)</f>
        <v>26.7395559210526</v>
      </c>
      <c r="E315" s="24" t="n">
        <f aca="false">E304/fx*1000/(E288+E289+E290+E291+E292+E293)</f>
        <v>52.3007051505735</v>
      </c>
      <c r="F315" s="24" t="n">
        <f aca="false">F304/fx*1000/(F288+F289+F290+F291+F292+F293)</f>
        <v>65.9671571869714</v>
      </c>
      <c r="G315" s="24" t="n">
        <f aca="false">G304/fx*1000/(G288+G289+G290+G291+G292+G293)</f>
        <v>65.0184917121757</v>
      </c>
    </row>
    <row r="316" customFormat="false" ht="17.15" hidden="false" customHeight="false" outlineLevel="0" collapsed="false">
      <c r="A316" s="6" t="s">
        <v>605</v>
      </c>
    </row>
    <row r="317" customFormat="false" ht="17.15" hidden="false" customHeight="false" outlineLevel="0" collapsed="false">
      <c r="A317" s="4" t="s">
        <v>606</v>
      </c>
      <c r="B317" s="0" t="s">
        <v>196</v>
      </c>
      <c r="D317" s="18" t="n">
        <f aca="false">a26_gp/D312-d_ai*D314</f>
        <v>0.425324773260588</v>
      </c>
      <c r="K317" s="8" t="s">
        <v>607</v>
      </c>
    </row>
    <row r="318" customFormat="false" ht="15" hidden="false" customHeight="false" outlineLevel="0" collapsed="false">
      <c r="A318" s="4" t="s">
        <v>479</v>
      </c>
      <c r="B318" s="0" t="s">
        <v>301</v>
      </c>
      <c r="C318" s="24" t="n">
        <f aca="false">a25_gp</f>
        <v>8.434</v>
      </c>
      <c r="D318" s="24" t="n">
        <f aca="false">a26_gp</f>
        <v>15.390297</v>
      </c>
      <c r="E318" s="24" t="n">
        <f aca="false">$D$317*E312+d_ai*E304</f>
        <v>31.7232567165689</v>
      </c>
      <c r="F318" s="24" t="n">
        <f aca="false">$D$317*F312+d_ai*F304</f>
        <v>36.6133739505986</v>
      </c>
      <c r="G318" s="24" t="n">
        <f aca="false">$D$317*G312+d_ai*G304</f>
        <v>44.8009969004467</v>
      </c>
    </row>
    <row r="319" customFormat="false" ht="15" hidden="false" customHeight="false" outlineLevel="0" collapsed="false">
      <c r="A319" s="4" t="s">
        <v>482</v>
      </c>
      <c r="B319" s="0" t="s">
        <v>196</v>
      </c>
      <c r="C319" s="18" t="n">
        <f aca="false">C318/C312</f>
        <v>0.415959755375814</v>
      </c>
      <c r="D319" s="18" t="n">
        <f aca="false">D318/D312</f>
        <v>0.473324773260588</v>
      </c>
      <c r="E319" s="18" t="n">
        <f aca="false">E318/E312</f>
        <v>0.500406101190506</v>
      </c>
      <c r="F319" s="18" t="n">
        <f aca="false">F318/F312</f>
        <v>0.498432140070654</v>
      </c>
      <c r="G319" s="18" t="n">
        <f aca="false">G318/G312</f>
        <v>0.496190286615428</v>
      </c>
    </row>
    <row r="320" customFormat="false" ht="15" hidden="false" customHeight="false" outlineLevel="0" collapsed="false">
      <c r="A320" s="4" t="s">
        <v>608</v>
      </c>
      <c r="B320" s="0" t="s">
        <v>301</v>
      </c>
      <c r="C320" s="24" t="n">
        <f aca="false">a25_opx</f>
        <v>1.936</v>
      </c>
      <c r="D320" s="24" t="n">
        <f aca="false">a26_opx</f>
        <v>2.8705005</v>
      </c>
      <c r="E320" s="24" t="n">
        <f aca="false">D320*(1+MAX(0,phi*E313))</f>
        <v>4.50616609866098</v>
      </c>
      <c r="F320" s="24" t="n">
        <f aca="false">E320*(1+MAX(0,phi*F313))</f>
        <v>4.93529759537278</v>
      </c>
      <c r="G320" s="24" t="n">
        <f aca="false">F320*(1+MAX(0,phi*G313))</f>
        <v>5.61385854833328</v>
      </c>
    </row>
    <row r="321" customFormat="false" ht="15" hidden="false" customHeight="false" outlineLevel="0" collapsed="false">
      <c r="A321" s="4" t="s">
        <v>484</v>
      </c>
      <c r="B321" s="0" t="s">
        <v>301</v>
      </c>
      <c r="C321" s="24" t="n">
        <f aca="false">C320</f>
        <v>1.936</v>
      </c>
      <c r="D321" s="24" t="n">
        <f aca="false">D320</f>
        <v>2.8705005</v>
      </c>
      <c r="E321" s="24" t="n">
        <f aca="false">E320+0*E312</f>
        <v>4.50616609866098</v>
      </c>
      <c r="F321" s="24" t="n">
        <f aca="false">F320+0*F312</f>
        <v>4.93529759537278</v>
      </c>
      <c r="G321" s="24" t="n">
        <f aca="false">G320+0*G312</f>
        <v>5.61385854833328</v>
      </c>
    </row>
    <row r="322" customFormat="false" ht="15" hidden="false" customHeight="false" outlineLevel="0" collapsed="false">
      <c r="A322" s="4" t="s">
        <v>486</v>
      </c>
      <c r="B322" s="0" t="s">
        <v>301</v>
      </c>
      <c r="C322" s="24" t="n">
        <f aca="false">C318-C321</f>
        <v>6.498</v>
      </c>
      <c r="D322" s="24" t="n">
        <f aca="false">D318-D321</f>
        <v>12.5197965</v>
      </c>
      <c r="E322" s="24" t="n">
        <f aca="false">E318-E321</f>
        <v>27.2170906179079</v>
      </c>
      <c r="F322" s="24" t="n">
        <f aca="false">F318-F321</f>
        <v>31.6780763552258</v>
      </c>
      <c r="G322" s="24" t="n">
        <f aca="false">G318-G321</f>
        <v>39.1871383521134</v>
      </c>
    </row>
    <row r="323" customFormat="false" ht="15" hidden="false" customHeight="false" outlineLevel="0" collapsed="false">
      <c r="A323" s="4" t="s">
        <v>488</v>
      </c>
      <c r="B323" s="0" t="s">
        <v>196</v>
      </c>
      <c r="C323" s="18" t="n">
        <f aca="false">C322/C312</f>
        <v>0.320477411718288</v>
      </c>
      <c r="D323" s="18" t="n">
        <f aca="false">D322/D312</f>
        <v>0.385043241181844</v>
      </c>
      <c r="E323" s="18" t="n">
        <f aca="false">E322/E312</f>
        <v>0.429325347127508</v>
      </c>
      <c r="F323" s="18" t="n">
        <f aca="false">F322/F312</f>
        <v>0.431246008968224</v>
      </c>
      <c r="G323" s="18" t="n">
        <f aca="false">G322/G312</f>
        <v>0.434014391549839</v>
      </c>
    </row>
    <row r="324" customFormat="false" ht="15" hidden="false" customHeight="false" outlineLevel="0" collapsed="false">
      <c r="A324" s="4" t="s">
        <v>489</v>
      </c>
      <c r="B324" s="0" t="s">
        <v>301</v>
      </c>
      <c r="C324" s="29" t="n">
        <f aca="false">a25_nop</f>
        <v>0.108999999999999</v>
      </c>
      <c r="D324" s="29" t="n">
        <f aca="false">a26_nop</f>
        <v>0.330500000000001</v>
      </c>
      <c r="E324" s="29" t="n">
        <f aca="false">nop_f</f>
        <v>0.3</v>
      </c>
      <c r="F324" s="29" t="n">
        <f aca="false">nop_f</f>
        <v>0.3</v>
      </c>
      <c r="G324" s="29" t="n">
        <f aca="false">nop_f</f>
        <v>0.3</v>
      </c>
    </row>
    <row r="325" customFormat="false" ht="15" hidden="false" customHeight="false" outlineLevel="0" collapsed="false">
      <c r="A325" s="4" t="s">
        <v>494</v>
      </c>
      <c r="B325" s="0" t="s">
        <v>301</v>
      </c>
      <c r="C325" s="24" t="n">
        <f aca="false">a25_ni</f>
        <v>5.277</v>
      </c>
      <c r="D325" s="24" t="n">
        <f aca="false">a26_ni</f>
        <v>10.3442061825</v>
      </c>
      <c r="E325" s="24" t="n">
        <f aca="false">(E322+E324)*nir_f</f>
        <v>22.1512579474159</v>
      </c>
      <c r="F325" s="24" t="n">
        <f aca="false">(F322+F324)*nir_f</f>
        <v>25.7423514659568</v>
      </c>
      <c r="G325" s="24" t="n">
        <f aca="false">(G322+G324)*nir_f</f>
        <v>31.7871463734513</v>
      </c>
      <c r="H325" s="25" t="n">
        <f aca="false">H312*H329</f>
        <v>35.4241889250089</v>
      </c>
      <c r="I325" s="25" t="n">
        <f aca="false">I312*I329</f>
        <v>37.2625301647256</v>
      </c>
      <c r="J325" s="25" t="n">
        <f aca="false">J312*J329</f>
        <v>36.8683965256528</v>
      </c>
    </row>
    <row r="326" customFormat="false" ht="15" hidden="false" customHeight="false" outlineLevel="0" collapsed="false">
      <c r="A326" s="4" t="s">
        <v>609</v>
      </c>
      <c r="B326" s="4" t="s">
        <v>327</v>
      </c>
      <c r="C326" s="28" t="n">
        <f aca="false">a25_sh</f>
        <v>0.143591836734694</v>
      </c>
      <c r="D326" s="28" t="n">
        <f aca="false">a26_sh</f>
        <v>0.146703513620213</v>
      </c>
      <c r="E326" s="28" t="n">
        <f aca="false">D326*(1+sh_g)</f>
        <v>0.146703513620213</v>
      </c>
      <c r="F326" s="28" t="n">
        <f aca="false">E326*(1+sh_g)</f>
        <v>0.146703513620213</v>
      </c>
      <c r="G326" s="28" t="n">
        <f aca="false">F326*(1+sh_g)</f>
        <v>0.146703513620213</v>
      </c>
      <c r="H326" s="30" t="n">
        <f aca="false">G326*(1+sh_g)</f>
        <v>0.146703513620213</v>
      </c>
      <c r="I326" s="30" t="n">
        <f aca="false">H326*(1+sh_g)</f>
        <v>0.146703513620213</v>
      </c>
      <c r="J326" s="30" t="n">
        <f aca="false">I326*(1+sh_g)</f>
        <v>0.146703513620213</v>
      </c>
    </row>
    <row r="327" customFormat="false" ht="15" hidden="false" customHeight="false" outlineLevel="0" collapsed="false">
      <c r="A327" s="0" t="s">
        <v>500</v>
      </c>
      <c r="B327" s="0" t="s">
        <v>360</v>
      </c>
      <c r="C327" s="29" t="n">
        <f aca="false">C325/C326</f>
        <v>36.75</v>
      </c>
      <c r="D327" s="29" t="n">
        <f aca="false">D325/D326</f>
        <v>70.5109641019174</v>
      </c>
      <c r="E327" s="29" t="n">
        <f aca="false">E325/E326</f>
        <v>150.993370238979</v>
      </c>
      <c r="F327" s="29" t="n">
        <f aca="false">F325/F326</f>
        <v>175.471949040012</v>
      </c>
      <c r="G327" s="29" t="n">
        <f aca="false">G325/G326</f>
        <v>216.676108083832</v>
      </c>
      <c r="H327" s="31" t="n">
        <f aca="false">H325/H326</f>
        <v>241.467897058793</v>
      </c>
      <c r="I327" s="31" t="n">
        <f aca="false">I325/I326</f>
        <v>253.998893722416</v>
      </c>
      <c r="J327" s="31" t="n">
        <f aca="false">J325/J326</f>
        <v>251.312293862967</v>
      </c>
    </row>
    <row r="328" customFormat="false" ht="17.15" hidden="false" customHeight="false" outlineLevel="0" collapsed="false">
      <c r="A328" s="0" t="s">
        <v>610</v>
      </c>
      <c r="B328" s="0" t="s">
        <v>196</v>
      </c>
      <c r="D328" s="18" t="n">
        <f aca="false">D327/C327-1</f>
        <v>0.918665689848092</v>
      </c>
      <c r="E328" s="18" t="n">
        <f aca="false">E327/D327-1</f>
        <v>1.14141690107557</v>
      </c>
      <c r="F328" s="18" t="n">
        <f aca="false">F327/E327-1</f>
        <v>0.162116911241144</v>
      </c>
      <c r="G328" s="18" t="n">
        <f aca="false">G327/F327-1</f>
        <v>0.234819065208106</v>
      </c>
      <c r="H328" s="26" t="n">
        <f aca="false">H327/G327-1</f>
        <v>0.114418655541702</v>
      </c>
      <c r="I328" s="26" t="n">
        <f aca="false">I327/H327-1</f>
        <v>0.0518950834303746</v>
      </c>
      <c r="J328" s="26" t="n">
        <f aca="false">J327/I327-1</f>
        <v>-0.0105772108692138</v>
      </c>
    </row>
    <row r="329" customFormat="false" ht="17.15" hidden="false" customHeight="false" outlineLevel="0" collapsed="false">
      <c r="A329" s="4" t="s">
        <v>611</v>
      </c>
      <c r="B329" s="0" t="s">
        <v>196</v>
      </c>
      <c r="C329" s="18" t="n">
        <f aca="false">C325/C312</f>
        <v>0.260258433616098</v>
      </c>
      <c r="D329" s="18" t="n">
        <f aca="false">D325/D312</f>
        <v>0.318133499690915</v>
      </c>
      <c r="E329" s="18" t="n">
        <f aca="false">E325/E312</f>
        <v>0.349416351699545</v>
      </c>
      <c r="F329" s="18" t="n">
        <f aca="false">F325/F312</f>
        <v>0.350440670912766</v>
      </c>
      <c r="G329" s="18" t="n">
        <f aca="false">G325/G312</f>
        <v>0.352056301442973</v>
      </c>
      <c r="H329" s="26" t="n">
        <f aca="false">$G329+(fade_mB-$G329)*1/3</f>
        <v>0.336452781483955</v>
      </c>
      <c r="I329" s="26" t="n">
        <f aca="false">$G329+(fade_mB-$G329)*2/3</f>
        <v>0.320849261524938</v>
      </c>
      <c r="J329" s="26" t="n">
        <f aca="false">$G329+(fade_mB-$G329)*3/3</f>
        <v>0.30524574156592</v>
      </c>
    </row>
    <row r="332" customFormat="false" ht="17.15" hidden="false" customHeight="false" outlineLevel="0" collapsed="false">
      <c r="A332" s="1" t="s">
        <v>908</v>
      </c>
    </row>
    <row r="333" customFormat="false" ht="17.15" hidden="false" customHeight="false" outlineLevel="0" collapsed="false">
      <c r="A333" s="5" t="s">
        <v>22</v>
      </c>
      <c r="B333" s="5" t="s">
        <v>23</v>
      </c>
      <c r="C333" s="15" t="s">
        <v>470</v>
      </c>
      <c r="D333" s="15" t="s">
        <v>553</v>
      </c>
      <c r="E333" s="15" t="s">
        <v>554</v>
      </c>
      <c r="F333" s="15" t="s">
        <v>555</v>
      </c>
      <c r="G333" s="15" t="s">
        <v>556</v>
      </c>
      <c r="H333" s="15" t="s">
        <v>557</v>
      </c>
      <c r="I333" s="15" t="s">
        <v>558</v>
      </c>
      <c r="J333" s="15" t="s">
        <v>559</v>
      </c>
      <c r="K333" s="5" t="s">
        <v>523</v>
      </c>
    </row>
    <row r="334" customFormat="false" ht="17.15" hidden="false" customHeight="false" outlineLevel="0" collapsed="false">
      <c r="A334" s="6" t="s">
        <v>575</v>
      </c>
    </row>
    <row r="335" customFormat="false" ht="17.15" hidden="false" customHeight="false" outlineLevel="0" collapsed="false">
      <c r="A335" s="0" t="s">
        <v>576</v>
      </c>
      <c r="B335" s="4" t="s">
        <v>33</v>
      </c>
      <c r="D335" s="19" t="n">
        <f aca="false">(u_bw26)*1</f>
        <v>5.4</v>
      </c>
      <c r="E335" s="19" t="n">
        <f aca="false">(u_bw27)*1*1</f>
        <v>2.4</v>
      </c>
      <c r="F335" s="19" t="n">
        <f aca="false">(u_bw28)*um28_B*1</f>
        <v>0.4</v>
      </c>
      <c r="G335" s="19" t="n">
        <f aca="false">(u_bw29)*um29_B*1</f>
        <v>0.2125</v>
      </c>
    </row>
    <row r="336" customFormat="false" ht="17.15" hidden="false" customHeight="false" outlineLevel="0" collapsed="false">
      <c r="A336" s="0" t="s">
        <v>577</v>
      </c>
      <c r="B336" s="4" t="s">
        <v>33</v>
      </c>
      <c r="D336" s="19" t="n">
        <f aca="false">(u_hp26)*1</f>
        <v>0.5</v>
      </c>
      <c r="E336" s="19" t="n">
        <f aca="false">(u_hp27)*1*1</f>
        <v>0</v>
      </c>
      <c r="F336" s="19" t="n">
        <f aca="false">(u_hp28)*um28_B*1</f>
        <v>0</v>
      </c>
      <c r="G336" s="19" t="n">
        <f aca="false">(u_hp29)*um29_B*1</f>
        <v>0</v>
      </c>
    </row>
    <row r="337" customFormat="false" ht="17.15" hidden="false" customHeight="false" outlineLevel="0" collapsed="false">
      <c r="A337" s="0" t="s">
        <v>578</v>
      </c>
      <c r="B337" s="4" t="s">
        <v>33</v>
      </c>
      <c r="D337" s="19" t="n">
        <f aca="false">(u_rb26)*1</f>
        <v>1.7</v>
      </c>
      <c r="E337" s="19" t="n">
        <f aca="false">(u_rb27)*1*1</f>
        <v>7</v>
      </c>
      <c r="F337" s="19" t="n">
        <f aca="false">(u_rb28)*um28_B*1</f>
        <v>5.6</v>
      </c>
      <c r="G337" s="19" t="n">
        <f aca="false">(u_rb29)*um29_B*1</f>
        <v>6.8425</v>
      </c>
    </row>
    <row r="338" customFormat="false" ht="17.15" hidden="false" customHeight="false" outlineLevel="0" collapsed="false">
      <c r="A338" s="0" t="s">
        <v>579</v>
      </c>
      <c r="B338" s="4" t="s">
        <v>33</v>
      </c>
      <c r="D338" s="19" t="n">
        <f aca="false">(u_ru26)*1</f>
        <v>0</v>
      </c>
      <c r="E338" s="19" t="n">
        <f aca="false">(u_ru27)*1*1</f>
        <v>0.3</v>
      </c>
      <c r="F338" s="19" t="n">
        <f aca="false">(u_ru28)*um28_B*1</f>
        <v>1.6</v>
      </c>
      <c r="G338" s="19" t="n">
        <f aca="false">(u_ru29)*um29_B*1</f>
        <v>1.955</v>
      </c>
    </row>
    <row r="339" customFormat="false" ht="17.15" hidden="false" customHeight="false" outlineLevel="0" collapsed="false">
      <c r="A339" s="0" t="s">
        <v>580</v>
      </c>
      <c r="B339" s="4" t="s">
        <v>33</v>
      </c>
      <c r="D339" s="19" t="n">
        <f aca="false">(u_amd26)*1</f>
        <v>0.75</v>
      </c>
      <c r="E339" s="19" t="n">
        <f aca="false">(u_amd27)*1*1</f>
        <v>1.5</v>
      </c>
      <c r="F339" s="19" t="n">
        <f aca="false">(u_amd28)*um28_B*1</f>
        <v>1.6</v>
      </c>
      <c r="G339" s="19" t="n">
        <f aca="false">(u_amd29)*um29_B*1</f>
        <v>1.955</v>
      </c>
    </row>
    <row r="340" customFormat="false" ht="17.15" hidden="false" customHeight="false" outlineLevel="0" collapsed="false">
      <c r="A340" s="0" t="s">
        <v>581</v>
      </c>
      <c r="B340" s="4" t="s">
        <v>33</v>
      </c>
      <c r="D340" s="19" t="n">
        <f aca="false">(u_tpu26+u_trn26+u_oth26)*1</f>
        <v>6.85</v>
      </c>
      <c r="E340" s="19" t="n">
        <f aca="false">(u_tpu27+u_trn27+u_oth27)*1*1</f>
        <v>12.5</v>
      </c>
      <c r="F340" s="19" t="n">
        <f aca="false">(u_tpu28+u_trn28+u_oth28)*um28_B*1</f>
        <v>12</v>
      </c>
      <c r="G340" s="19" t="n">
        <f aca="false">(u_tpu29+u_trn29+u_oth29)*um29_B*1</f>
        <v>14.6625</v>
      </c>
    </row>
    <row r="341" customFormat="false" ht="17.15" hidden="false" customHeight="false" outlineLevel="0" collapsed="false">
      <c r="A341" s="0" t="s">
        <v>527</v>
      </c>
      <c r="B341" s="0" t="s">
        <v>136</v>
      </c>
      <c r="D341" s="22" t="n">
        <f aca="false">asp_vr_26</f>
        <v>100</v>
      </c>
      <c r="E341" s="22" t="n">
        <f aca="false">asp_vr_27</f>
        <v>150</v>
      </c>
      <c r="F341" s="22" t="n">
        <f aca="false">asp_vr_28</f>
        <v>180</v>
      </c>
      <c r="G341" s="22" t="n">
        <f aca="false">asp_vr_29</f>
        <v>180</v>
      </c>
    </row>
    <row r="342" customFormat="false" ht="17.15" hidden="false" customHeight="false" outlineLevel="0" collapsed="false">
      <c r="A342" s="0" t="s">
        <v>582</v>
      </c>
      <c r="B342" s="0" t="s">
        <v>136</v>
      </c>
      <c r="D342" s="22" t="n">
        <f aca="false">asp_amd_26</f>
        <v>40</v>
      </c>
      <c r="E342" s="22" t="n">
        <f aca="false">asp_amd_27</f>
        <v>60</v>
      </c>
      <c r="F342" s="22" t="n">
        <f aca="false">asp_amd_28</f>
        <v>80</v>
      </c>
      <c r="G342" s="22" t="n">
        <f aca="false">asp_amd_29</f>
        <v>80</v>
      </c>
    </row>
    <row r="343" customFormat="false" ht="17.15" hidden="false" customHeight="false" outlineLevel="0" collapsed="false">
      <c r="A343" s="0" t="s">
        <v>583</v>
      </c>
      <c r="B343" s="0" t="s">
        <v>136</v>
      </c>
      <c r="D343" s="22" t="n">
        <f aca="false">asp_asic_26</f>
        <v>30</v>
      </c>
      <c r="E343" s="22" t="n">
        <f aca="false">asp_asic_27</f>
        <v>35</v>
      </c>
      <c r="F343" s="22" t="n">
        <f aca="false">asp_asic_28</f>
        <v>40</v>
      </c>
      <c r="G343" s="22" t="n">
        <f aca="false">asp_asic_29</f>
        <v>40</v>
      </c>
    </row>
    <row r="344" customFormat="false" ht="17.15" hidden="false" customHeight="false" outlineLevel="0" collapsed="false">
      <c r="A344" s="0" t="s">
        <v>584</v>
      </c>
      <c r="B344" s="0" t="s">
        <v>205</v>
      </c>
      <c r="D344" s="17" t="n">
        <f aca="false">(D335*asp_bw+D336*asp_hp+D337*D341+D338*asp_ru)/1000</f>
        <v>0.3665</v>
      </c>
      <c r="E344" s="17" t="n">
        <f aca="false">(E335*asp_bw+E336*asp_hp+E337*E341+E338*asp_ru)/1000</f>
        <v>1.194</v>
      </c>
      <c r="F344" s="17" t="n">
        <f aca="false">(F335*asp_bw+F336*asp_hp+F337*F341+F338*asp_ru)/1000</f>
        <v>1.342</v>
      </c>
      <c r="G344" s="17" t="n">
        <f aca="false">(G335*asp_bw+G336*asp_hp+G337*G341+G338*asp_ru)/1000</f>
        <v>1.6300875</v>
      </c>
      <c r="K344" s="4" t="s">
        <v>585</v>
      </c>
    </row>
    <row r="345" customFormat="false" ht="17.15" hidden="false" customHeight="false" outlineLevel="0" collapsed="false">
      <c r="A345" s="4" t="s">
        <v>586</v>
      </c>
      <c r="B345" s="0" t="s">
        <v>205</v>
      </c>
      <c r="D345" s="17" t="n">
        <f aca="false">(D339*D342+D340*D343)/1000</f>
        <v>0.2355</v>
      </c>
      <c r="E345" s="17" t="n">
        <f aca="false">(E339*E342+E340*E343)/1000</f>
        <v>0.5275</v>
      </c>
      <c r="F345" s="17" t="n">
        <f aca="false">(F339*F342+F340*F343)/1000</f>
        <v>0.608</v>
      </c>
      <c r="G345" s="17" t="n">
        <f aca="false">(G339*G342+G340*G343)/1000</f>
        <v>0.7429</v>
      </c>
    </row>
    <row r="346" customFormat="false" ht="17.15" hidden="false" customHeight="false" outlineLevel="0" collapsed="false">
      <c r="A346" s="0" t="s">
        <v>587</v>
      </c>
      <c r="B346" s="0" t="s">
        <v>205</v>
      </c>
      <c r="D346" s="17" t="n">
        <f aca="false">D344+D345</f>
        <v>0.602</v>
      </c>
      <c r="E346" s="17" t="n">
        <f aca="false">E344+E345</f>
        <v>1.7215</v>
      </c>
      <c r="F346" s="17" t="n">
        <f aca="false">F344+F345</f>
        <v>1.95</v>
      </c>
      <c r="G346" s="17" t="n">
        <f aca="false">G344+G345</f>
        <v>2.3729875</v>
      </c>
    </row>
    <row r="347" customFormat="false" ht="17.15" hidden="false" customHeight="false" outlineLevel="0" collapsed="false">
      <c r="A347" s="4" t="s">
        <v>588</v>
      </c>
      <c r="B347" s="0" t="s">
        <v>196</v>
      </c>
      <c r="D347" s="18" t="n">
        <f aca="false">a26_rev*ai_26/fx/(D344+k_non_lo*D345)</f>
        <v>0.95548927416985</v>
      </c>
      <c r="K347" s="8" t="s">
        <v>589</v>
      </c>
    </row>
    <row r="348" customFormat="false" ht="17.15" hidden="false" customHeight="false" outlineLevel="0" collapsed="false">
      <c r="A348" s="4" t="s">
        <v>590</v>
      </c>
      <c r="B348" s="0" t="s">
        <v>109</v>
      </c>
      <c r="D348" s="19" t="n">
        <f aca="false">1</f>
        <v>1</v>
      </c>
      <c r="E348" s="19" t="n">
        <f aca="false">rel_27</f>
        <v>0.97</v>
      </c>
      <c r="F348" s="19" t="n">
        <f aca="false">rel_28</f>
        <v>0.93</v>
      </c>
      <c r="G348" s="19" t="n">
        <f aca="false">rel_29</f>
        <v>0.9</v>
      </c>
    </row>
    <row r="349" customFormat="false" ht="17.15" hidden="false" customHeight="false" outlineLevel="0" collapsed="false">
      <c r="A349" s="4" t="s">
        <v>591</v>
      </c>
      <c r="B349" s="0" t="s">
        <v>196</v>
      </c>
      <c r="D349" s="18" t="n">
        <f aca="false">$D$347*D348</f>
        <v>0.95548927416985</v>
      </c>
      <c r="E349" s="18" t="n">
        <f aca="false">$D$347*E348</f>
        <v>0.926824595944755</v>
      </c>
      <c r="F349" s="18" t="n">
        <f aca="false">$D$347*F348</f>
        <v>0.888605024977961</v>
      </c>
      <c r="G349" s="18" t="n">
        <f aca="false">$D$347*G348</f>
        <v>0.859940346752865</v>
      </c>
    </row>
    <row r="350" customFormat="false" ht="17.15" hidden="false" customHeight="false" outlineLevel="0" collapsed="false">
      <c r="A350" s="4" t="s">
        <v>592</v>
      </c>
      <c r="B350" s="0" t="s">
        <v>196</v>
      </c>
      <c r="D350" s="18" t="n">
        <f aca="false">D349*k_non_lo</f>
        <v>0.238872318542463</v>
      </c>
      <c r="E350" s="18" t="n">
        <f aca="false">E349*k_non_lo</f>
        <v>0.231706148986189</v>
      </c>
      <c r="F350" s="18" t="n">
        <f aca="false">F349*k_non_lo</f>
        <v>0.22215125624449</v>
      </c>
      <c r="G350" s="18" t="n">
        <f aca="false">G349*k_non_lo</f>
        <v>0.214985086688216</v>
      </c>
    </row>
    <row r="351" customFormat="false" ht="17.15" hidden="false" customHeight="false" outlineLevel="0" collapsed="false">
      <c r="A351" s="0" t="s">
        <v>593</v>
      </c>
      <c r="B351" s="0" t="s">
        <v>301</v>
      </c>
      <c r="C351" s="24" t="n">
        <f aca="false">a25_ail</f>
        <v>6.0828</v>
      </c>
      <c r="D351" s="24" t="n">
        <f aca="false">(D344*D349+D345*D350)*fx</f>
        <v>13.00612</v>
      </c>
      <c r="E351" s="24" t="n">
        <f aca="false">(E344*E349+E345*E350)*fx</f>
        <v>39.3233139567441</v>
      </c>
      <c r="F351" s="24" t="n">
        <f aca="false">(F344*F349+F345*F350)*fx</f>
        <v>42.4824290341464</v>
      </c>
      <c r="G351" s="24" t="n">
        <f aca="false">(G344*G349+G345*G350)*fx</f>
        <v>49.967693788422</v>
      </c>
    </row>
    <row r="352" customFormat="false" ht="17.15" hidden="false" customHeight="false" outlineLevel="0" collapsed="false">
      <c r="A352" s="6" t="s">
        <v>594</v>
      </c>
    </row>
    <row r="353" customFormat="false" ht="17.15" hidden="false" customHeight="false" outlineLevel="0" collapsed="false">
      <c r="A353" s="0" t="s">
        <v>595</v>
      </c>
      <c r="B353" s="0" t="s">
        <v>205</v>
      </c>
      <c r="D353" s="24" t="n">
        <f aca="false">lmkB_26</f>
        <v>4.51368758595869</v>
      </c>
      <c r="E353" s="24" t="n">
        <f aca="false">lmkB_27*1</f>
        <v>10.2011004204398</v>
      </c>
      <c r="F353" s="24" t="n">
        <f aca="false">lmkB_28*1</f>
        <v>12.6260448229601</v>
      </c>
      <c r="G353" s="24" t="n">
        <f aca="false">lmkB_29*1</f>
        <v>16.1809438578051</v>
      </c>
      <c r="K353" s="4" t="s">
        <v>596</v>
      </c>
    </row>
    <row r="354" customFormat="false" ht="15" hidden="false" customHeight="false" outlineLevel="0" collapsed="false">
      <c r="A354" s="4" t="s">
        <v>542</v>
      </c>
      <c r="B354" s="0" t="s">
        <v>196</v>
      </c>
      <c r="D354" s="18" t="n">
        <f aca="false">0</f>
        <v>0</v>
      </c>
      <c r="E354" s="18" t="n">
        <f aca="false">lcs_27</f>
        <v>0.008</v>
      </c>
      <c r="F354" s="18" t="n">
        <f aca="false">lcs_28</f>
        <v>0.015</v>
      </c>
      <c r="G354" s="18" t="n">
        <f aca="false">lcs_29</f>
        <v>0.025</v>
      </c>
    </row>
    <row r="355" customFormat="false" ht="17.15" hidden="false" customHeight="false" outlineLevel="0" collapsed="false">
      <c r="A355" s="4" t="s">
        <v>597</v>
      </c>
      <c r="B355" s="0" t="s">
        <v>301</v>
      </c>
      <c r="C355" s="24" t="n">
        <f aca="false">0</f>
        <v>0</v>
      </c>
      <c r="D355" s="24" t="n">
        <f aca="false">D353*D354*fx</f>
        <v>0</v>
      </c>
      <c r="E355" s="24" t="n">
        <f aca="false">E353*E354*fx</f>
        <v>2.61148170763259</v>
      </c>
      <c r="F355" s="24" t="n">
        <f aca="false">F353*F354*fx</f>
        <v>6.06050151502085</v>
      </c>
      <c r="G355" s="24" t="n">
        <f aca="false">G353*G354*fx</f>
        <v>12.9447550862441</v>
      </c>
    </row>
    <row r="356" customFormat="false" ht="17.15" hidden="false" customHeight="false" outlineLevel="0" collapsed="false">
      <c r="A356" s="6" t="s">
        <v>598</v>
      </c>
    </row>
    <row r="357" customFormat="false" ht="17.15" hidden="false" customHeight="false" outlineLevel="0" collapsed="false">
      <c r="A357" s="4" t="s">
        <v>599</v>
      </c>
      <c r="B357" s="0" t="s">
        <v>301</v>
      </c>
      <c r="C357" s="24" t="n">
        <f aca="false">a25_oth</f>
        <v>8.637576</v>
      </c>
      <c r="D357" s="24" t="n">
        <f aca="false">a26_rev*(th_26-ai_26)</f>
        <v>11.380355</v>
      </c>
      <c r="E357" s="24" t="n">
        <f aca="false">D357*(1+g_oth_27)</f>
        <v>12.7459976</v>
      </c>
      <c r="F357" s="24" t="n">
        <f aca="false">E357*(1+g_oth_28)</f>
        <v>14.02059736</v>
      </c>
      <c r="G357" s="24" t="n">
        <f aca="false">F357*(1+g_oth_29)</f>
        <v>15.1422451488</v>
      </c>
    </row>
    <row r="358" customFormat="false" ht="15" hidden="false" customHeight="false" outlineLevel="0" collapsed="false">
      <c r="A358" s="4" t="s">
        <v>600</v>
      </c>
      <c r="B358" s="0" t="s">
        <v>301</v>
      </c>
      <c r="C358" s="24" t="n">
        <f aca="false">a25_lf</f>
        <v>5.555624</v>
      </c>
      <c r="D358" s="24" t="n">
        <f aca="false">a26_lf</f>
        <v>8.128825</v>
      </c>
      <c r="E358" s="24" t="n">
        <f aca="false">D358*(1+g_lf_27)</f>
        <v>8.37268975</v>
      </c>
      <c r="F358" s="24" t="n">
        <f aca="false">E358*(1+g_lf_28)</f>
        <v>8.6238704425</v>
      </c>
      <c r="G358" s="24" t="n">
        <f aca="false">F358*(1+g_lf_29)</f>
        <v>8.882586555775</v>
      </c>
    </row>
    <row r="359" customFormat="false" ht="17.15" hidden="false" customHeight="false" outlineLevel="0" collapsed="false">
      <c r="A359" s="4" t="s">
        <v>475</v>
      </c>
      <c r="B359" s="0" t="s">
        <v>301</v>
      </c>
      <c r="C359" s="24" t="n">
        <f aca="false">C351+C355+C357+C358</f>
        <v>20.276</v>
      </c>
      <c r="D359" s="24" t="n">
        <f aca="false">D351+D355+D357+D358</f>
        <v>32.5153</v>
      </c>
      <c r="E359" s="24" t="n">
        <f aca="false">E351+E355+E357+E358</f>
        <v>63.0534830143766</v>
      </c>
      <c r="F359" s="24" t="n">
        <f aca="false">F351+F355+F357+F358</f>
        <v>71.1873983516672</v>
      </c>
      <c r="G359" s="24" t="n">
        <f aca="false">G351+G355+G357+G358</f>
        <v>86.9372805792411</v>
      </c>
      <c r="H359" s="25" t="n">
        <f aca="false">G359*(1+H360)</f>
        <v>100.919424810416</v>
      </c>
      <c r="I359" s="25" t="n">
        <f aca="false">H359*(1+I360)</f>
        <v>111.053261271093</v>
      </c>
      <c r="J359" s="25" t="n">
        <f aca="false">I359*(1+J360)</f>
        <v>115.495391721937</v>
      </c>
      <c r="K359" s="8" t="s">
        <v>601</v>
      </c>
    </row>
    <row r="360" customFormat="false" ht="15" hidden="false" customHeight="false" outlineLevel="0" collapsed="false">
      <c r="A360" s="4" t="s">
        <v>602</v>
      </c>
      <c r="B360" s="0" t="s">
        <v>196</v>
      </c>
      <c r="D360" s="18" t="n">
        <f aca="false">D359/C359-1</f>
        <v>0.603634839218781</v>
      </c>
      <c r="E360" s="18" t="n">
        <f aca="false">E359/D359-1</f>
        <v>0.939194256684596</v>
      </c>
      <c r="F360" s="18" t="n">
        <f aca="false">F359/E359-1</f>
        <v>0.129000254203816</v>
      </c>
      <c r="G360" s="18" t="n">
        <f aca="false">G359/F359-1</f>
        <v>0.221245369156057</v>
      </c>
      <c r="H360" s="26" t="n">
        <f aca="false">$G360+(fade_gB-$G360)*1/3</f>
        <v>0.160830246104038</v>
      </c>
      <c r="I360" s="26" t="n">
        <f aca="false">$G360+(fade_gB-$G360)*2/3</f>
        <v>0.100415123052019</v>
      </c>
      <c r="J360" s="26" t="n">
        <f aca="false">$G360+(fade_gB-$G360)*3/3</f>
        <v>0.04</v>
      </c>
    </row>
    <row r="361" customFormat="false" ht="17.15" hidden="false" customHeight="false" outlineLevel="0" collapsed="false">
      <c r="A361" s="0" t="s">
        <v>603</v>
      </c>
      <c r="B361" s="0" t="s">
        <v>196</v>
      </c>
      <c r="C361" s="18" t="n">
        <f aca="false">C351/C359</f>
        <v>0.3</v>
      </c>
      <c r="D361" s="18" t="n">
        <f aca="false">D351/D359</f>
        <v>0.4</v>
      </c>
      <c r="E361" s="18" t="n">
        <f aca="false">E351/E359</f>
        <v>0.623650147094619</v>
      </c>
      <c r="F361" s="18" t="n">
        <f aca="false">F351/F359</f>
        <v>0.596768950935421</v>
      </c>
      <c r="G361" s="18" t="n">
        <f aca="false">G351/G359</f>
        <v>0.574755656669957</v>
      </c>
    </row>
    <row r="362" customFormat="false" ht="17.15" hidden="false" customHeight="false" outlineLevel="0" collapsed="false">
      <c r="A362" s="4" t="s">
        <v>604</v>
      </c>
      <c r="B362" s="0" t="s">
        <v>136</v>
      </c>
      <c r="D362" s="24" t="n">
        <f aca="false">D351/fx*1000/(D335+D336+D337+D338+D339+D340)</f>
        <v>26.7395559210526</v>
      </c>
      <c r="E362" s="24" t="n">
        <f aca="false">E351/fx*1000/(E335+E336+E337+E338+E339+E340)</f>
        <v>51.850361229884</v>
      </c>
      <c r="F362" s="24" t="n">
        <f aca="false">F351/fx*1000/(F335+F336+F337+F338+F339+F340)</f>
        <v>62.6215050621261</v>
      </c>
      <c r="G362" s="24" t="n">
        <f aca="false">G351/fx*1000/(G335+G336+G337+G338+G339+G340)</f>
        <v>60.9302675207565</v>
      </c>
    </row>
    <row r="363" customFormat="false" ht="17.15" hidden="false" customHeight="false" outlineLevel="0" collapsed="false">
      <c r="A363" s="6" t="s">
        <v>605</v>
      </c>
    </row>
    <row r="364" customFormat="false" ht="17.15" hidden="false" customHeight="false" outlineLevel="0" collapsed="false">
      <c r="A364" s="4" t="s">
        <v>606</v>
      </c>
      <c r="B364" s="0" t="s">
        <v>196</v>
      </c>
      <c r="D364" s="18" t="n">
        <f aca="false">a26_gp/D359-d_ai*D361</f>
        <v>0.425324773260588</v>
      </c>
      <c r="K364" s="8" t="s">
        <v>607</v>
      </c>
    </row>
    <row r="365" customFormat="false" ht="15" hidden="false" customHeight="false" outlineLevel="0" collapsed="false">
      <c r="A365" s="4" t="s">
        <v>479</v>
      </c>
      <c r="B365" s="0" t="s">
        <v>301</v>
      </c>
      <c r="C365" s="24" t="n">
        <f aca="false">a25_gp</f>
        <v>8.434</v>
      </c>
      <c r="D365" s="24" t="n">
        <f aca="false">a26_gp</f>
        <v>15.390297</v>
      </c>
      <c r="E365" s="24" t="n">
        <f aca="false">$D$364*E359+d_ai*E351</f>
        <v>31.5370060411894</v>
      </c>
      <c r="F365" s="24" t="n">
        <f aca="false">$D$364*F359+d_ai*F351</f>
        <v>35.3756555470316</v>
      </c>
      <c r="G365" s="24" t="n">
        <f aca="false">$D$364*G359+d_ai*G351</f>
        <v>42.9727024048685</v>
      </c>
    </row>
    <row r="366" customFormat="false" ht="15" hidden="false" customHeight="false" outlineLevel="0" collapsed="false">
      <c r="A366" s="4" t="s">
        <v>482</v>
      </c>
      <c r="B366" s="0" t="s">
        <v>196</v>
      </c>
      <c r="C366" s="18" t="n">
        <f aca="false">C365/C359</f>
        <v>0.415959755375814</v>
      </c>
      <c r="D366" s="18" t="n">
        <f aca="false">D365/D359</f>
        <v>0.473324773260588</v>
      </c>
      <c r="E366" s="18" t="n">
        <f aca="false">E365/E359</f>
        <v>0.500162790911942</v>
      </c>
      <c r="F366" s="18" t="n">
        <f aca="false">F365/F359</f>
        <v>0.496937047372839</v>
      </c>
      <c r="G366" s="18" t="n">
        <f aca="false">G365/G359</f>
        <v>0.494295452060983</v>
      </c>
    </row>
    <row r="367" customFormat="false" ht="15" hidden="false" customHeight="false" outlineLevel="0" collapsed="false">
      <c r="A367" s="4" t="s">
        <v>608</v>
      </c>
      <c r="B367" s="0" t="s">
        <v>301</v>
      </c>
      <c r="C367" s="24" t="n">
        <f aca="false">a25_opx</f>
        <v>1.936</v>
      </c>
      <c r="D367" s="24" t="n">
        <f aca="false">a26_opx</f>
        <v>2.8705005</v>
      </c>
      <c r="E367" s="24" t="n">
        <f aca="false">D367*(1+MAX(0,phi*E360))</f>
        <v>4.48807505004616</v>
      </c>
      <c r="F367" s="24" t="n">
        <f aca="false">E367*(1+MAX(0,phi*F360))</f>
        <v>4.83545274345121</v>
      </c>
      <c r="G367" s="24" t="n">
        <f aca="false">F367*(1+MAX(0,phi*G360))</f>
        <v>5.47734565980813</v>
      </c>
    </row>
    <row r="368" customFormat="false" ht="15" hidden="false" customHeight="false" outlineLevel="0" collapsed="false">
      <c r="A368" s="4" t="s">
        <v>484</v>
      </c>
      <c r="B368" s="0" t="s">
        <v>301</v>
      </c>
      <c r="C368" s="24" t="n">
        <f aca="false">C367</f>
        <v>1.936</v>
      </c>
      <c r="D368" s="24" t="n">
        <f aca="false">D367</f>
        <v>2.8705005</v>
      </c>
      <c r="E368" s="24" t="n">
        <f aca="false">E367+0*E359</f>
        <v>4.48807505004616</v>
      </c>
      <c r="F368" s="24" t="n">
        <f aca="false">F367+0*F359</f>
        <v>4.83545274345121</v>
      </c>
      <c r="G368" s="24" t="n">
        <f aca="false">G367+0*G359</f>
        <v>5.47734565980813</v>
      </c>
    </row>
    <row r="369" customFormat="false" ht="15" hidden="false" customHeight="false" outlineLevel="0" collapsed="false">
      <c r="A369" s="4" t="s">
        <v>486</v>
      </c>
      <c r="B369" s="0" t="s">
        <v>301</v>
      </c>
      <c r="C369" s="24" t="n">
        <f aca="false">C365-C368</f>
        <v>6.498</v>
      </c>
      <c r="D369" s="24" t="n">
        <f aca="false">D365-D368</f>
        <v>12.5197965</v>
      </c>
      <c r="E369" s="24" t="n">
        <f aca="false">E365-E368</f>
        <v>27.0489309911432</v>
      </c>
      <c r="F369" s="24" t="n">
        <f aca="false">F365-F368</f>
        <v>30.5402028035804</v>
      </c>
      <c r="G369" s="24" t="n">
        <f aca="false">G365-G368</f>
        <v>37.4953567450603</v>
      </c>
    </row>
    <row r="370" customFormat="false" ht="15" hidden="false" customHeight="false" outlineLevel="0" collapsed="false">
      <c r="A370" s="4" t="s">
        <v>488</v>
      </c>
      <c r="B370" s="0" t="s">
        <v>196</v>
      </c>
      <c r="C370" s="18" t="n">
        <f aca="false">C369/C359</f>
        <v>0.320477411718288</v>
      </c>
      <c r="D370" s="18" t="n">
        <f aca="false">D369/D359</f>
        <v>0.385043241181844</v>
      </c>
      <c r="E370" s="18" t="n">
        <f aca="false">E369/E359</f>
        <v>0.428983930752499</v>
      </c>
      <c r="F370" s="18" t="n">
        <f aca="false">F369/F359</f>
        <v>0.429011363116701</v>
      </c>
      <c r="G370" s="18" t="n">
        <f aca="false">G369/G359</f>
        <v>0.431292035996966</v>
      </c>
    </row>
    <row r="371" customFormat="false" ht="15" hidden="false" customHeight="false" outlineLevel="0" collapsed="false">
      <c r="A371" s="4" t="s">
        <v>489</v>
      </c>
      <c r="B371" s="0" t="s">
        <v>301</v>
      </c>
      <c r="C371" s="29" t="n">
        <f aca="false">a25_nop</f>
        <v>0.108999999999999</v>
      </c>
      <c r="D371" s="29" t="n">
        <f aca="false">a26_nop</f>
        <v>0.330500000000001</v>
      </c>
      <c r="E371" s="29" t="n">
        <f aca="false">nop_f</f>
        <v>0.3</v>
      </c>
      <c r="F371" s="29" t="n">
        <f aca="false">nop_f</f>
        <v>0.3</v>
      </c>
      <c r="G371" s="29" t="n">
        <f aca="false">nop_f</f>
        <v>0.3</v>
      </c>
    </row>
    <row r="372" customFormat="false" ht="15" hidden="false" customHeight="false" outlineLevel="0" collapsed="false">
      <c r="A372" s="4" t="s">
        <v>494</v>
      </c>
      <c r="B372" s="0" t="s">
        <v>301</v>
      </c>
      <c r="C372" s="24" t="n">
        <f aca="false">a25_ni</f>
        <v>5.277</v>
      </c>
      <c r="D372" s="24" t="n">
        <f aca="false">a26_ni</f>
        <v>10.3442061825</v>
      </c>
      <c r="E372" s="24" t="n">
        <f aca="false">(E369+E371)*nir_f</f>
        <v>22.0158894478703</v>
      </c>
      <c r="F372" s="24" t="n">
        <f aca="false">(F369+F371)*nir_f</f>
        <v>24.8263632568822</v>
      </c>
      <c r="G372" s="24" t="n">
        <f aca="false">(G369+G371)*nir_f</f>
        <v>30.4252621797736</v>
      </c>
      <c r="H372" s="25" t="n">
        <f aca="false">H359*H376</f>
        <v>33.8141179441715</v>
      </c>
      <c r="I372" s="25" t="n">
        <f aca="false">I359*I376</f>
        <v>35.5540509242198</v>
      </c>
      <c r="J372" s="25" t="n">
        <f aca="false">J359*J376</f>
        <v>35.2544764936091</v>
      </c>
    </row>
    <row r="373" customFormat="false" ht="15" hidden="false" customHeight="false" outlineLevel="0" collapsed="false">
      <c r="A373" s="4" t="s">
        <v>609</v>
      </c>
      <c r="B373" s="4" t="s">
        <v>327</v>
      </c>
      <c r="C373" s="28" t="n">
        <f aca="false">a25_sh</f>
        <v>0.143591836734694</v>
      </c>
      <c r="D373" s="28" t="n">
        <f aca="false">a26_sh</f>
        <v>0.146703513620213</v>
      </c>
      <c r="E373" s="28" t="n">
        <f aca="false">D373*(1+sh_g)</f>
        <v>0.146703513620213</v>
      </c>
      <c r="F373" s="28" t="n">
        <f aca="false">E373*(1+sh_g)</f>
        <v>0.146703513620213</v>
      </c>
      <c r="G373" s="28" t="n">
        <f aca="false">F373*(1+sh_g)</f>
        <v>0.146703513620213</v>
      </c>
      <c r="H373" s="30" t="n">
        <f aca="false">G373*(1+sh_g)</f>
        <v>0.146703513620213</v>
      </c>
      <c r="I373" s="30" t="n">
        <f aca="false">H373*(1+sh_g)</f>
        <v>0.146703513620213</v>
      </c>
      <c r="J373" s="30" t="n">
        <f aca="false">I373*(1+sh_g)</f>
        <v>0.146703513620213</v>
      </c>
    </row>
    <row r="374" customFormat="false" ht="15" hidden="false" customHeight="false" outlineLevel="0" collapsed="false">
      <c r="A374" s="0" t="s">
        <v>500</v>
      </c>
      <c r="B374" s="0" t="s">
        <v>360</v>
      </c>
      <c r="C374" s="29" t="n">
        <f aca="false">C372/C373</f>
        <v>36.75</v>
      </c>
      <c r="D374" s="29" t="n">
        <f aca="false">D372/D373</f>
        <v>70.5109641019174</v>
      </c>
      <c r="E374" s="29" t="n">
        <f aca="false">E372/E373</f>
        <v>150.070635014681</v>
      </c>
      <c r="F374" s="29" t="n">
        <f aca="false">F372/F373</f>
        <v>169.228143513678</v>
      </c>
      <c r="G374" s="29" t="n">
        <f aca="false">G372/G373</f>
        <v>207.392866257714</v>
      </c>
      <c r="H374" s="31" t="n">
        <f aca="false">H372/H373</f>
        <v>230.492897611912</v>
      </c>
      <c r="I374" s="31" t="n">
        <f aca="false">I372/I373</f>
        <v>242.353097392489</v>
      </c>
      <c r="J374" s="31" t="n">
        <f aca="false">J372/J373</f>
        <v>240.311057476619</v>
      </c>
    </row>
    <row r="375" customFormat="false" ht="17.15" hidden="false" customHeight="false" outlineLevel="0" collapsed="false">
      <c r="A375" s="0" t="s">
        <v>610</v>
      </c>
      <c r="B375" s="0" t="s">
        <v>196</v>
      </c>
      <c r="D375" s="18" t="n">
        <f aca="false">D374/C374-1</f>
        <v>0.918665689848092</v>
      </c>
      <c r="E375" s="18" t="n">
        <f aca="false">E374/D374-1</f>
        <v>1.12833049336508</v>
      </c>
      <c r="F375" s="18" t="n">
        <f aca="false">F374/E374-1</f>
        <v>0.127656609816588</v>
      </c>
      <c r="G375" s="18" t="n">
        <f aca="false">G374/F374-1</f>
        <v>0.22552231532902</v>
      </c>
      <c r="H375" s="26" t="n">
        <f aca="false">H374/G374-1</f>
        <v>0.111382960132741</v>
      </c>
      <c r="I375" s="26" t="n">
        <f aca="false">I374/H374-1</f>
        <v>0.0514558144891149</v>
      </c>
      <c r="J375" s="26" t="n">
        <f aca="false">J374/I374-1</f>
        <v>-0.00842588742557893</v>
      </c>
    </row>
    <row r="376" customFormat="false" ht="17.15" hidden="false" customHeight="false" outlineLevel="0" collapsed="false">
      <c r="A376" s="4" t="s">
        <v>611</v>
      </c>
      <c r="B376" s="0" t="s">
        <v>196</v>
      </c>
      <c r="C376" s="18" t="n">
        <f aca="false">C372/C359</f>
        <v>0.260258433616098</v>
      </c>
      <c r="D376" s="18" t="n">
        <f aca="false">D372/D359</f>
        <v>0.318133499690915</v>
      </c>
      <c r="E376" s="18" t="n">
        <f aca="false">E372/E359</f>
        <v>0.349162146091922</v>
      </c>
      <c r="F376" s="18" t="n">
        <f aca="false">F372/F359</f>
        <v>0.348746601670136</v>
      </c>
      <c r="G376" s="18" t="n">
        <f aca="false">G372/G359</f>
        <v>0.349967953644947</v>
      </c>
      <c r="H376" s="26" t="n">
        <f aca="false">$G376+(fade_mB-$G376)*1/3</f>
        <v>0.335060549618605</v>
      </c>
      <c r="I376" s="26" t="n">
        <f aca="false">$G376+(fade_mB-$G376)*2/3</f>
        <v>0.320153145592262</v>
      </c>
      <c r="J376" s="26" t="n">
        <f aca="false">$G376+(fade_mB-$G376)*3/3</f>
        <v>0.30524574156592</v>
      </c>
    </row>
    <row r="379" customFormat="false" ht="17.15" hidden="false" customHeight="false" outlineLevel="0" collapsed="false">
      <c r="A379" s="1" t="s">
        <v>909</v>
      </c>
    </row>
    <row r="380" customFormat="false" ht="17.15" hidden="false" customHeight="false" outlineLevel="0" collapsed="false">
      <c r="A380" s="5" t="s">
        <v>22</v>
      </c>
      <c r="B380" s="5" t="s">
        <v>23</v>
      </c>
      <c r="C380" s="15" t="s">
        <v>470</v>
      </c>
      <c r="D380" s="15" t="s">
        <v>553</v>
      </c>
      <c r="E380" s="15" t="s">
        <v>554</v>
      </c>
      <c r="F380" s="15" t="s">
        <v>555</v>
      </c>
      <c r="G380" s="15" t="s">
        <v>556</v>
      </c>
      <c r="H380" s="15" t="s">
        <v>557</v>
      </c>
      <c r="I380" s="15" t="s">
        <v>558</v>
      </c>
      <c r="J380" s="15" t="s">
        <v>559</v>
      </c>
      <c r="K380" s="5" t="s">
        <v>523</v>
      </c>
    </row>
    <row r="381" customFormat="false" ht="17.15" hidden="false" customHeight="false" outlineLevel="0" collapsed="false">
      <c r="A381" s="6" t="s">
        <v>575</v>
      </c>
    </row>
    <row r="382" customFormat="false" ht="17.15" hidden="false" customHeight="false" outlineLevel="0" collapsed="false">
      <c r="A382" s="0" t="s">
        <v>576</v>
      </c>
      <c r="B382" s="4" t="s">
        <v>33</v>
      </c>
      <c r="D382" s="19" t="n">
        <f aca="false">(u_bw26)*1</f>
        <v>5.4</v>
      </c>
      <c r="E382" s="19" t="n">
        <f aca="false">(u_bw27)*1*1</f>
        <v>2.4</v>
      </c>
      <c r="F382" s="19" t="n">
        <f aca="false">(u_bw28)*um28_B*1</f>
        <v>0.4</v>
      </c>
      <c r="G382" s="19" t="n">
        <f aca="false">(u_bw29)*um29_B*1</f>
        <v>0.2125</v>
      </c>
    </row>
    <row r="383" customFormat="false" ht="17.15" hidden="false" customHeight="false" outlineLevel="0" collapsed="false">
      <c r="A383" s="0" t="s">
        <v>577</v>
      </c>
      <c r="B383" s="4" t="s">
        <v>33</v>
      </c>
      <c r="D383" s="19" t="n">
        <f aca="false">(u_hp26)*1</f>
        <v>0.5</v>
      </c>
      <c r="E383" s="19" t="n">
        <f aca="false">(u_hp27)*1*1</f>
        <v>0</v>
      </c>
      <c r="F383" s="19" t="n">
        <f aca="false">(u_hp28)*um28_B*1</f>
        <v>0</v>
      </c>
      <c r="G383" s="19" t="n">
        <f aca="false">(u_hp29)*um29_B*1</f>
        <v>0</v>
      </c>
    </row>
    <row r="384" customFormat="false" ht="17.15" hidden="false" customHeight="false" outlineLevel="0" collapsed="false">
      <c r="A384" s="0" t="s">
        <v>578</v>
      </c>
      <c r="B384" s="4" t="s">
        <v>33</v>
      </c>
      <c r="D384" s="19" t="n">
        <f aca="false">(u_rb26)*1</f>
        <v>1.7</v>
      </c>
      <c r="E384" s="19" t="n">
        <f aca="false">(u_rb27)*1*1</f>
        <v>7</v>
      </c>
      <c r="F384" s="19" t="n">
        <f aca="false">(u_rb28)*um28_B*1</f>
        <v>5.6</v>
      </c>
      <c r="G384" s="19" t="n">
        <f aca="false">(u_rb29)*um29_B*1</f>
        <v>6.8425</v>
      </c>
    </row>
    <row r="385" customFormat="false" ht="17.15" hidden="false" customHeight="false" outlineLevel="0" collapsed="false">
      <c r="A385" s="0" t="s">
        <v>579</v>
      </c>
      <c r="B385" s="4" t="s">
        <v>33</v>
      </c>
      <c r="D385" s="19" t="n">
        <f aca="false">(u_ru26)*1</f>
        <v>0</v>
      </c>
      <c r="E385" s="19" t="n">
        <f aca="false">(u_ru27)*1*1</f>
        <v>0.3</v>
      </c>
      <c r="F385" s="19" t="n">
        <f aca="false">(u_ru28)*um28_B*1</f>
        <v>1.6</v>
      </c>
      <c r="G385" s="19" t="n">
        <f aca="false">(u_ru29)*um29_B*1</f>
        <v>1.955</v>
      </c>
    </row>
    <row r="386" customFormat="false" ht="17.15" hidden="false" customHeight="false" outlineLevel="0" collapsed="false">
      <c r="A386" s="0" t="s">
        <v>580</v>
      </c>
      <c r="B386" s="4" t="s">
        <v>33</v>
      </c>
      <c r="D386" s="19" t="n">
        <f aca="false">(u_amd26)*1</f>
        <v>0.75</v>
      </c>
      <c r="E386" s="19" t="n">
        <f aca="false">(u_amd27)*1*1</f>
        <v>1.5</v>
      </c>
      <c r="F386" s="19" t="n">
        <f aca="false">(u_amd28)*um28_B*1</f>
        <v>1.6</v>
      </c>
      <c r="G386" s="19" t="n">
        <f aca="false">(u_amd29)*um29_B*1</f>
        <v>1.955</v>
      </c>
    </row>
    <row r="387" customFormat="false" ht="17.15" hidden="false" customHeight="false" outlineLevel="0" collapsed="false">
      <c r="A387" s="0" t="s">
        <v>581</v>
      </c>
      <c r="B387" s="4" t="s">
        <v>33</v>
      </c>
      <c r="D387" s="19" t="n">
        <f aca="false">(u_tpu26+u_trn26+u_oth26)*1</f>
        <v>6.85</v>
      </c>
      <c r="E387" s="19" t="n">
        <f aca="false">(u_tpu27+u_trn27+u_oth27)*1*1</f>
        <v>12.5</v>
      </c>
      <c r="F387" s="19" t="n">
        <f aca="false">(u_tpu28+u_trn28+u_oth28)*um28_B*1</f>
        <v>12</v>
      </c>
      <c r="G387" s="19" t="n">
        <f aca="false">(u_tpu29+u_trn29+u_oth29)*um29_B*1</f>
        <v>14.6625</v>
      </c>
    </row>
    <row r="388" customFormat="false" ht="17.15" hidden="false" customHeight="false" outlineLevel="0" collapsed="false">
      <c r="A388" s="0" t="s">
        <v>527</v>
      </c>
      <c r="B388" s="0" t="s">
        <v>136</v>
      </c>
      <c r="D388" s="22" t="n">
        <f aca="false">asp_vr_26</f>
        <v>100</v>
      </c>
      <c r="E388" s="22" t="n">
        <f aca="false">asp_vr_27</f>
        <v>150</v>
      </c>
      <c r="F388" s="22" t="n">
        <f aca="false">asp_vr_28</f>
        <v>180</v>
      </c>
      <c r="G388" s="22" t="n">
        <f aca="false">asp_vr_29</f>
        <v>180</v>
      </c>
    </row>
    <row r="389" customFormat="false" ht="17.15" hidden="false" customHeight="false" outlineLevel="0" collapsed="false">
      <c r="A389" s="0" t="s">
        <v>582</v>
      </c>
      <c r="B389" s="0" t="s">
        <v>136</v>
      </c>
      <c r="D389" s="22" t="n">
        <f aca="false">asp_amd_26</f>
        <v>40</v>
      </c>
      <c r="E389" s="22" t="n">
        <f aca="false">asp_amd_27</f>
        <v>60</v>
      </c>
      <c r="F389" s="22" t="n">
        <f aca="false">asp_amd_28</f>
        <v>80</v>
      </c>
      <c r="G389" s="22" t="n">
        <f aca="false">asp_amd_29</f>
        <v>80</v>
      </c>
    </row>
    <row r="390" customFormat="false" ht="17.15" hidden="false" customHeight="false" outlineLevel="0" collapsed="false">
      <c r="A390" s="0" t="s">
        <v>583</v>
      </c>
      <c r="B390" s="0" t="s">
        <v>136</v>
      </c>
      <c r="D390" s="22" t="n">
        <f aca="false">asp_asic_26</f>
        <v>30</v>
      </c>
      <c r="E390" s="22" t="n">
        <f aca="false">asp_asic_27</f>
        <v>35</v>
      </c>
      <c r="F390" s="22" t="n">
        <f aca="false">asp_asic_28</f>
        <v>40</v>
      </c>
      <c r="G390" s="22" t="n">
        <f aca="false">asp_asic_29</f>
        <v>40</v>
      </c>
    </row>
    <row r="391" customFormat="false" ht="17.15" hidden="false" customHeight="false" outlineLevel="0" collapsed="false">
      <c r="A391" s="0" t="s">
        <v>584</v>
      </c>
      <c r="B391" s="0" t="s">
        <v>205</v>
      </c>
      <c r="D391" s="17" t="n">
        <f aca="false">(D382*asp_bw+D383*asp_hp+D384*D388+D385*asp_ru)/1000</f>
        <v>0.3665</v>
      </c>
      <c r="E391" s="17" t="n">
        <f aca="false">(E382*asp_bw+E383*asp_hp+E384*E388+E385*asp_ru)/1000</f>
        <v>1.194</v>
      </c>
      <c r="F391" s="17" t="n">
        <f aca="false">(F382*asp_bw+F383*asp_hp+F384*F388+F385*asp_ru)/1000</f>
        <v>1.342</v>
      </c>
      <c r="G391" s="17" t="n">
        <f aca="false">(G382*asp_bw+G383*asp_hp+G384*G388+G385*asp_ru)/1000</f>
        <v>1.6300875</v>
      </c>
      <c r="K391" s="4" t="s">
        <v>585</v>
      </c>
    </row>
    <row r="392" customFormat="false" ht="17.15" hidden="false" customHeight="false" outlineLevel="0" collapsed="false">
      <c r="A392" s="4" t="s">
        <v>586</v>
      </c>
      <c r="B392" s="0" t="s">
        <v>205</v>
      </c>
      <c r="D392" s="17" t="n">
        <f aca="false">(D386*D389+D387*D390)/1000</f>
        <v>0.2355</v>
      </c>
      <c r="E392" s="17" t="n">
        <f aca="false">(E386*E389+E387*E390)/1000</f>
        <v>0.5275</v>
      </c>
      <c r="F392" s="17" t="n">
        <f aca="false">(F386*F389+F387*F390)/1000</f>
        <v>0.608</v>
      </c>
      <c r="G392" s="17" t="n">
        <f aca="false">(G386*G389+G387*G390)/1000</f>
        <v>0.7429</v>
      </c>
    </row>
    <row r="393" customFormat="false" ht="17.15" hidden="false" customHeight="false" outlineLevel="0" collapsed="false">
      <c r="A393" s="0" t="s">
        <v>587</v>
      </c>
      <c r="B393" s="0" t="s">
        <v>205</v>
      </c>
      <c r="D393" s="17" t="n">
        <f aca="false">D391+D392</f>
        <v>0.602</v>
      </c>
      <c r="E393" s="17" t="n">
        <f aca="false">E391+E392</f>
        <v>1.7215</v>
      </c>
      <c r="F393" s="17" t="n">
        <f aca="false">F391+F392</f>
        <v>1.95</v>
      </c>
      <c r="G393" s="17" t="n">
        <f aca="false">G391+G392</f>
        <v>2.3729875</v>
      </c>
    </row>
    <row r="394" customFormat="false" ht="17.15" hidden="false" customHeight="false" outlineLevel="0" collapsed="false">
      <c r="A394" s="4" t="s">
        <v>588</v>
      </c>
      <c r="B394" s="0" t="s">
        <v>196</v>
      </c>
      <c r="D394" s="18" t="n">
        <f aca="false">a26_rev*ai_26/fx/(D391+k_non_hi*D392)</f>
        <v>0.819396703795172</v>
      </c>
      <c r="K394" s="8" t="s">
        <v>589</v>
      </c>
    </row>
    <row r="395" customFormat="false" ht="17.15" hidden="false" customHeight="false" outlineLevel="0" collapsed="false">
      <c r="A395" s="4" t="s">
        <v>590</v>
      </c>
      <c r="B395" s="0" t="s">
        <v>109</v>
      </c>
      <c r="D395" s="19" t="n">
        <f aca="false">1</f>
        <v>1</v>
      </c>
      <c r="E395" s="19" t="n">
        <f aca="false">rel_27</f>
        <v>0.97</v>
      </c>
      <c r="F395" s="19" t="n">
        <f aca="false">rel_28</f>
        <v>0.93</v>
      </c>
      <c r="G395" s="19" t="n">
        <f aca="false">rel_29</f>
        <v>0.9</v>
      </c>
    </row>
    <row r="396" customFormat="false" ht="17.15" hidden="false" customHeight="false" outlineLevel="0" collapsed="false">
      <c r="A396" s="4" t="s">
        <v>591</v>
      </c>
      <c r="B396" s="0" t="s">
        <v>196</v>
      </c>
      <c r="D396" s="18" t="n">
        <f aca="false">$D$394*D395</f>
        <v>0.819396703795172</v>
      </c>
      <c r="E396" s="18" t="n">
        <f aca="false">$D$394*E395</f>
        <v>0.794814802681317</v>
      </c>
      <c r="F396" s="18" t="n">
        <f aca="false">$D$394*F395</f>
        <v>0.76203893452951</v>
      </c>
      <c r="G396" s="18" t="n">
        <f aca="false">$D$394*G395</f>
        <v>0.737457033415655</v>
      </c>
    </row>
    <row r="397" customFormat="false" ht="17.15" hidden="false" customHeight="false" outlineLevel="0" collapsed="false">
      <c r="A397" s="4" t="s">
        <v>592</v>
      </c>
      <c r="B397" s="0" t="s">
        <v>196</v>
      </c>
      <c r="D397" s="18" t="n">
        <f aca="false">D396*k_non_hi</f>
        <v>0.450668187087345</v>
      </c>
      <c r="E397" s="18" t="n">
        <f aca="false">E396*k_non_hi</f>
        <v>0.437148141474724</v>
      </c>
      <c r="F397" s="18" t="n">
        <f aca="false">F396*k_non_hi</f>
        <v>0.419121413991231</v>
      </c>
      <c r="G397" s="18" t="n">
        <f aca="false">G396*k_non_hi</f>
        <v>0.40560136837861</v>
      </c>
    </row>
    <row r="398" customFormat="false" ht="17.15" hidden="false" customHeight="false" outlineLevel="0" collapsed="false">
      <c r="A398" s="0" t="s">
        <v>593</v>
      </c>
      <c r="B398" s="0" t="s">
        <v>301</v>
      </c>
      <c r="C398" s="24" t="n">
        <f aca="false">a25_ail</f>
        <v>6.0828</v>
      </c>
      <c r="D398" s="24" t="n">
        <f aca="false">(D391*D396+D392*D397)*fx</f>
        <v>13.00612</v>
      </c>
      <c r="E398" s="24" t="n">
        <f aca="false">(E391*E396+E392*E397)*fx</f>
        <v>37.7473446089411</v>
      </c>
      <c r="F398" s="24" t="n">
        <f aca="false">(F391*F396+F392*F397)*fx</f>
        <v>40.8794262350487</v>
      </c>
      <c r="G398" s="24" t="n">
        <f aca="false">(G391*G396+G392*G397)*fx</f>
        <v>48.1101039528451</v>
      </c>
    </row>
    <row r="399" customFormat="false" ht="17.15" hidden="false" customHeight="false" outlineLevel="0" collapsed="false">
      <c r="A399" s="6" t="s">
        <v>594</v>
      </c>
    </row>
    <row r="400" customFormat="false" ht="17.15" hidden="false" customHeight="false" outlineLevel="0" collapsed="false">
      <c r="A400" s="0" t="s">
        <v>595</v>
      </c>
      <c r="B400" s="0" t="s">
        <v>205</v>
      </c>
      <c r="D400" s="24" t="n">
        <f aca="false">lmkB_26</f>
        <v>4.51368758595869</v>
      </c>
      <c r="E400" s="24" t="n">
        <f aca="false">lmkB_27*1</f>
        <v>10.2011004204398</v>
      </c>
      <c r="F400" s="24" t="n">
        <f aca="false">lmkB_28*1</f>
        <v>12.6260448229601</v>
      </c>
      <c r="G400" s="24" t="n">
        <f aca="false">lmkB_29*1</f>
        <v>16.1809438578051</v>
      </c>
      <c r="K400" s="4" t="s">
        <v>596</v>
      </c>
    </row>
    <row r="401" customFormat="false" ht="15" hidden="false" customHeight="false" outlineLevel="0" collapsed="false">
      <c r="A401" s="4" t="s">
        <v>542</v>
      </c>
      <c r="B401" s="0" t="s">
        <v>196</v>
      </c>
      <c r="D401" s="18" t="n">
        <f aca="false">0</f>
        <v>0</v>
      </c>
      <c r="E401" s="18" t="n">
        <f aca="false">lcs_27</f>
        <v>0.008</v>
      </c>
      <c r="F401" s="18" t="n">
        <f aca="false">lcs_28</f>
        <v>0.015</v>
      </c>
      <c r="G401" s="18" t="n">
        <f aca="false">lcs_29</f>
        <v>0.025</v>
      </c>
    </row>
    <row r="402" customFormat="false" ht="17.15" hidden="false" customHeight="false" outlineLevel="0" collapsed="false">
      <c r="A402" s="4" t="s">
        <v>597</v>
      </c>
      <c r="B402" s="0" t="s">
        <v>301</v>
      </c>
      <c r="C402" s="24" t="n">
        <f aca="false">0</f>
        <v>0</v>
      </c>
      <c r="D402" s="24" t="n">
        <f aca="false">D400*D401*fx</f>
        <v>0</v>
      </c>
      <c r="E402" s="24" t="n">
        <f aca="false">E400*E401*fx</f>
        <v>2.61148170763259</v>
      </c>
      <c r="F402" s="24" t="n">
        <f aca="false">F400*F401*fx</f>
        <v>6.06050151502085</v>
      </c>
      <c r="G402" s="24" t="n">
        <f aca="false">G400*G401*fx</f>
        <v>12.9447550862441</v>
      </c>
    </row>
    <row r="403" customFormat="false" ht="17.15" hidden="false" customHeight="false" outlineLevel="0" collapsed="false">
      <c r="A403" s="6" t="s">
        <v>598</v>
      </c>
    </row>
    <row r="404" customFormat="false" ht="17.15" hidden="false" customHeight="false" outlineLevel="0" collapsed="false">
      <c r="A404" s="4" t="s">
        <v>599</v>
      </c>
      <c r="B404" s="0" t="s">
        <v>301</v>
      </c>
      <c r="C404" s="24" t="n">
        <f aca="false">a25_oth</f>
        <v>8.637576</v>
      </c>
      <c r="D404" s="24" t="n">
        <f aca="false">a26_rev*(th_26-ai_26)</f>
        <v>11.380355</v>
      </c>
      <c r="E404" s="24" t="n">
        <f aca="false">D404*(1+g_oth_27)</f>
        <v>12.7459976</v>
      </c>
      <c r="F404" s="24" t="n">
        <f aca="false">E404*(1+g_oth_28)</f>
        <v>14.02059736</v>
      </c>
      <c r="G404" s="24" t="n">
        <f aca="false">F404*(1+g_oth_29)</f>
        <v>15.1422451488</v>
      </c>
    </row>
    <row r="405" customFormat="false" ht="15" hidden="false" customHeight="false" outlineLevel="0" collapsed="false">
      <c r="A405" s="4" t="s">
        <v>600</v>
      </c>
      <c r="B405" s="0" t="s">
        <v>301</v>
      </c>
      <c r="C405" s="24" t="n">
        <f aca="false">a25_lf</f>
        <v>5.555624</v>
      </c>
      <c r="D405" s="24" t="n">
        <f aca="false">a26_lf</f>
        <v>8.128825</v>
      </c>
      <c r="E405" s="24" t="n">
        <f aca="false">D405*(1+g_lf_27)</f>
        <v>8.37268975</v>
      </c>
      <c r="F405" s="24" t="n">
        <f aca="false">E405*(1+g_lf_28)</f>
        <v>8.6238704425</v>
      </c>
      <c r="G405" s="24" t="n">
        <f aca="false">F405*(1+g_lf_29)</f>
        <v>8.882586555775</v>
      </c>
    </row>
    <row r="406" customFormat="false" ht="17.15" hidden="false" customHeight="false" outlineLevel="0" collapsed="false">
      <c r="A406" s="4" t="s">
        <v>475</v>
      </c>
      <c r="B406" s="0" t="s">
        <v>301</v>
      </c>
      <c r="C406" s="24" t="n">
        <f aca="false">C398+C402+C404+C405</f>
        <v>20.276</v>
      </c>
      <c r="D406" s="24" t="n">
        <f aca="false">D398+D402+D404+D405</f>
        <v>32.5153</v>
      </c>
      <c r="E406" s="24" t="n">
        <f aca="false">E398+E402+E404+E405</f>
        <v>61.4775136665737</v>
      </c>
      <c r="F406" s="24" t="n">
        <f aca="false">F398+F402+F404+F405</f>
        <v>69.5843955525695</v>
      </c>
      <c r="G406" s="24" t="n">
        <f aca="false">G398+G402+G404+G405</f>
        <v>85.0796907436642</v>
      </c>
      <c r="H406" s="25" t="n">
        <f aca="false">G406*(1+H407)</f>
        <v>98.8446475611129</v>
      </c>
      <c r="I406" s="25" t="n">
        <f aca="false">H406*(1+I407)</f>
        <v>108.817528117732</v>
      </c>
      <c r="J406" s="25" t="n">
        <f aca="false">I406*(1+J407)</f>
        <v>113.170229242441</v>
      </c>
      <c r="K406" s="8" t="s">
        <v>601</v>
      </c>
    </row>
    <row r="407" customFormat="false" ht="15" hidden="false" customHeight="false" outlineLevel="0" collapsed="false">
      <c r="A407" s="4" t="s">
        <v>602</v>
      </c>
      <c r="B407" s="0" t="s">
        <v>196</v>
      </c>
      <c r="D407" s="18" t="n">
        <f aca="false">D406/C406-1</f>
        <v>0.603634839218781</v>
      </c>
      <c r="E407" s="18" t="n">
        <f aca="false">E406/D406-1</f>
        <v>0.890725709637422</v>
      </c>
      <c r="F407" s="18" t="n">
        <f aca="false">F406/E406-1</f>
        <v>0.13186743253743</v>
      </c>
      <c r="G407" s="18" t="n">
        <f aca="false">G406/F406-1</f>
        <v>0.222683477639586</v>
      </c>
      <c r="H407" s="26" t="n">
        <f aca="false">$G407+(fade_gB-$G407)*1/3</f>
        <v>0.161788985093057</v>
      </c>
      <c r="I407" s="26" t="n">
        <f aca="false">$G407+(fade_gB-$G407)*2/3</f>
        <v>0.100894492546529</v>
      </c>
      <c r="J407" s="26" t="n">
        <f aca="false">$G407+(fade_gB-$G407)*3/3</f>
        <v>0.04</v>
      </c>
    </row>
    <row r="408" customFormat="false" ht="17.15" hidden="false" customHeight="false" outlineLevel="0" collapsed="false">
      <c r="A408" s="0" t="s">
        <v>603</v>
      </c>
      <c r="B408" s="0" t="s">
        <v>196</v>
      </c>
      <c r="C408" s="18" t="n">
        <f aca="false">C398/C406</f>
        <v>0.3</v>
      </c>
      <c r="D408" s="18" t="n">
        <f aca="false">D398/D406</f>
        <v>0.4</v>
      </c>
      <c r="E408" s="18" t="n">
        <f aca="false">E398/E406</f>
        <v>0.614002459723171</v>
      </c>
      <c r="F408" s="18" t="n">
        <f aca="false">F398/F406</f>
        <v>0.587479792134792</v>
      </c>
      <c r="G408" s="18" t="n">
        <f aca="false">G398/G406</f>
        <v>0.565471072265596</v>
      </c>
    </row>
    <row r="409" customFormat="false" ht="17.15" hidden="false" customHeight="false" outlineLevel="0" collapsed="false">
      <c r="A409" s="4" t="s">
        <v>604</v>
      </c>
      <c r="B409" s="0" t="s">
        <v>136</v>
      </c>
      <c r="D409" s="24" t="n">
        <f aca="false">D398/fx*1000/(D382+D383+D384+D385+D386+D387)</f>
        <v>26.7395559210526</v>
      </c>
      <c r="E409" s="24" t="n">
        <f aca="false">E398/fx*1000/(E382+E383+E384+E385+E386+E387)</f>
        <v>49.7723425750806</v>
      </c>
      <c r="F409" s="24" t="n">
        <f aca="false">F398/fx*1000/(F382+F383+F384+F385+F386+F387)</f>
        <v>60.2585882002486</v>
      </c>
      <c r="G409" s="24" t="n">
        <f aca="false">G398/fx*1000/(G382+G383+G384+G385+G386+G387)</f>
        <v>58.6651350512696</v>
      </c>
    </row>
    <row r="410" customFormat="false" ht="17.15" hidden="false" customHeight="false" outlineLevel="0" collapsed="false">
      <c r="A410" s="6" t="s">
        <v>605</v>
      </c>
    </row>
    <row r="411" customFormat="false" ht="17.15" hidden="false" customHeight="false" outlineLevel="0" collapsed="false">
      <c r="A411" s="4" t="s">
        <v>606</v>
      </c>
      <c r="B411" s="0" t="s">
        <v>196</v>
      </c>
      <c r="D411" s="18" t="n">
        <f aca="false">a26_gp/D406-d_ai*D408</f>
        <v>0.425324773260588</v>
      </c>
      <c r="K411" s="8" t="s">
        <v>607</v>
      </c>
    </row>
    <row r="412" customFormat="false" ht="15" hidden="false" customHeight="false" outlineLevel="0" collapsed="false">
      <c r="A412" s="4" t="s">
        <v>479</v>
      </c>
      <c r="B412" s="0" t="s">
        <v>301</v>
      </c>
      <c r="C412" s="24" t="n">
        <f aca="false">a25_gp</f>
        <v>8.434</v>
      </c>
      <c r="D412" s="24" t="n">
        <f aca="false">a26_gp</f>
        <v>15.390297</v>
      </c>
      <c r="E412" s="24" t="n">
        <f aca="false">$D$411*E406+d_ai*E398</f>
        <v>30.6775909139331</v>
      </c>
      <c r="F412" s="24" t="n">
        <f aca="false">$D$411*F406+d_ai*F398</f>
        <v>34.5014984090775</v>
      </c>
      <c r="G412" s="24" t="n">
        <f aca="false">$D$411*G406+d_ai*G398</f>
        <v>41.9597126489714</v>
      </c>
    </row>
    <row r="413" customFormat="false" ht="15" hidden="false" customHeight="false" outlineLevel="0" collapsed="false">
      <c r="A413" s="4" t="s">
        <v>482</v>
      </c>
      <c r="B413" s="0" t="s">
        <v>196</v>
      </c>
      <c r="C413" s="18" t="n">
        <f aca="false">C412/C406</f>
        <v>0.415959755375814</v>
      </c>
      <c r="D413" s="18" t="n">
        <f aca="false">D412/D406</f>
        <v>0.473324773260588</v>
      </c>
      <c r="E413" s="18" t="n">
        <f aca="false">E412/E406</f>
        <v>0.499005068427369</v>
      </c>
      <c r="F413" s="18" t="n">
        <f aca="false">F412/F406</f>
        <v>0.495822348316763</v>
      </c>
      <c r="G413" s="18" t="n">
        <f aca="false">G412/G406</f>
        <v>0.49318130193246</v>
      </c>
    </row>
    <row r="414" customFormat="false" ht="15" hidden="false" customHeight="false" outlineLevel="0" collapsed="false">
      <c r="A414" s="4" t="s">
        <v>608</v>
      </c>
      <c r="B414" s="0" t="s">
        <v>301</v>
      </c>
      <c r="C414" s="24" t="n">
        <f aca="false">a25_opx</f>
        <v>1.936</v>
      </c>
      <c r="D414" s="24" t="n">
        <f aca="false">a26_opx</f>
        <v>2.8705005</v>
      </c>
      <c r="E414" s="24" t="n">
        <f aca="false">D414*(1+MAX(0,phi*E407))</f>
        <v>4.40459765692625</v>
      </c>
      <c r="F414" s="24" t="n">
        <f aca="false">E414*(1+MAX(0,phi*F407))</f>
        <v>4.75309144755379</v>
      </c>
      <c r="G414" s="24" t="n">
        <f aca="false">F414*(1+MAX(0,phi*G407))</f>
        <v>5.38815240740194</v>
      </c>
    </row>
    <row r="415" customFormat="false" ht="15" hidden="false" customHeight="false" outlineLevel="0" collapsed="false">
      <c r="A415" s="4" t="s">
        <v>484</v>
      </c>
      <c r="B415" s="0" t="s">
        <v>301</v>
      </c>
      <c r="C415" s="24" t="n">
        <f aca="false">C414</f>
        <v>1.936</v>
      </c>
      <c r="D415" s="24" t="n">
        <f aca="false">D414</f>
        <v>2.8705005</v>
      </c>
      <c r="E415" s="24" t="n">
        <f aca="false">E414+0*E406</f>
        <v>4.40459765692625</v>
      </c>
      <c r="F415" s="24" t="n">
        <f aca="false">F414+0*F406</f>
        <v>4.75309144755379</v>
      </c>
      <c r="G415" s="24" t="n">
        <f aca="false">G414+0*G406</f>
        <v>5.38815240740194</v>
      </c>
    </row>
    <row r="416" customFormat="false" ht="15" hidden="false" customHeight="false" outlineLevel="0" collapsed="false">
      <c r="A416" s="4" t="s">
        <v>486</v>
      </c>
      <c r="B416" s="0" t="s">
        <v>301</v>
      </c>
      <c r="C416" s="24" t="n">
        <f aca="false">C412-C415</f>
        <v>6.498</v>
      </c>
      <c r="D416" s="24" t="n">
        <f aca="false">D412-D415</f>
        <v>12.5197965</v>
      </c>
      <c r="E416" s="24" t="n">
        <f aca="false">E412-E415</f>
        <v>26.2729932570068</v>
      </c>
      <c r="F416" s="24" t="n">
        <f aca="false">F412-F415</f>
        <v>29.7484069615237</v>
      </c>
      <c r="G416" s="24" t="n">
        <f aca="false">G412-G415</f>
        <v>36.5715602415694</v>
      </c>
    </row>
    <row r="417" customFormat="false" ht="15" hidden="false" customHeight="false" outlineLevel="0" collapsed="false">
      <c r="A417" s="4" t="s">
        <v>488</v>
      </c>
      <c r="B417" s="0" t="s">
        <v>196</v>
      </c>
      <c r="C417" s="18" t="n">
        <f aca="false">C416/C406</f>
        <v>0.320477411718288</v>
      </c>
      <c r="D417" s="18" t="n">
        <f aca="false">D416/D406</f>
        <v>0.385043241181844</v>
      </c>
      <c r="E417" s="18" t="n">
        <f aca="false">E416/E406</f>
        <v>0.427359398421669</v>
      </c>
      <c r="F417" s="18" t="n">
        <f aca="false">F416/F406</f>
        <v>0.427515490007375</v>
      </c>
      <c r="G417" s="18" t="n">
        <f aca="false">G416/G406</f>
        <v>0.429850648514409</v>
      </c>
    </row>
    <row r="418" customFormat="false" ht="15" hidden="false" customHeight="false" outlineLevel="0" collapsed="false">
      <c r="A418" s="4" t="s">
        <v>489</v>
      </c>
      <c r="B418" s="0" t="s">
        <v>301</v>
      </c>
      <c r="C418" s="29" t="n">
        <f aca="false">a25_nop</f>
        <v>0.108999999999999</v>
      </c>
      <c r="D418" s="29" t="n">
        <f aca="false">a26_nop</f>
        <v>0.330500000000001</v>
      </c>
      <c r="E418" s="29" t="n">
        <f aca="false">nop_f</f>
        <v>0.3</v>
      </c>
      <c r="F418" s="29" t="n">
        <f aca="false">nop_f</f>
        <v>0.3</v>
      </c>
      <c r="G418" s="29" t="n">
        <f aca="false">nop_f</f>
        <v>0.3</v>
      </c>
    </row>
    <row r="419" customFormat="false" ht="15" hidden="false" customHeight="false" outlineLevel="0" collapsed="false">
      <c r="A419" s="4" t="s">
        <v>494</v>
      </c>
      <c r="B419" s="0" t="s">
        <v>301</v>
      </c>
      <c r="C419" s="24" t="n">
        <f aca="false">a25_ni</f>
        <v>5.277</v>
      </c>
      <c r="D419" s="24" t="n">
        <f aca="false">a26_ni</f>
        <v>10.3442061825</v>
      </c>
      <c r="E419" s="24" t="n">
        <f aca="false">(E416+E418)*nir_f</f>
        <v>21.3912595718905</v>
      </c>
      <c r="F419" s="24" t="n">
        <f aca="false">(F416+F418)*nir_f</f>
        <v>24.1889676040266</v>
      </c>
      <c r="G419" s="24" t="n">
        <f aca="false">(G416+G418)*nir_f</f>
        <v>29.6816059944634</v>
      </c>
      <c r="H419" s="25" t="n">
        <f aca="false">H406*H423</f>
        <v>33.046477851031</v>
      </c>
      <c r="I419" s="25" t="n">
        <f aca="false">I406*I423</f>
        <v>34.7983862649642</v>
      </c>
      <c r="J419" s="25" t="n">
        <f aca="false">J406*J423</f>
        <v>34.5447305482941</v>
      </c>
    </row>
    <row r="420" customFormat="false" ht="15" hidden="false" customHeight="false" outlineLevel="0" collapsed="false">
      <c r="A420" s="4" t="s">
        <v>609</v>
      </c>
      <c r="B420" s="4" t="s">
        <v>327</v>
      </c>
      <c r="C420" s="28" t="n">
        <f aca="false">a25_sh</f>
        <v>0.143591836734694</v>
      </c>
      <c r="D420" s="28" t="n">
        <f aca="false">a26_sh</f>
        <v>0.146703513620213</v>
      </c>
      <c r="E420" s="28" t="n">
        <f aca="false">D420*(1+sh_g)</f>
        <v>0.146703513620213</v>
      </c>
      <c r="F420" s="28" t="n">
        <f aca="false">E420*(1+sh_g)</f>
        <v>0.146703513620213</v>
      </c>
      <c r="G420" s="28" t="n">
        <f aca="false">F420*(1+sh_g)</f>
        <v>0.146703513620213</v>
      </c>
      <c r="H420" s="30" t="n">
        <f aca="false">G420*(1+sh_g)</f>
        <v>0.146703513620213</v>
      </c>
      <c r="I420" s="30" t="n">
        <f aca="false">H420*(1+sh_g)</f>
        <v>0.146703513620213</v>
      </c>
      <c r="J420" s="30" t="n">
        <f aca="false">I420*(1+sh_g)</f>
        <v>0.146703513620213</v>
      </c>
    </row>
    <row r="421" customFormat="false" ht="15" hidden="false" customHeight="false" outlineLevel="0" collapsed="false">
      <c r="A421" s="0" t="s">
        <v>500</v>
      </c>
      <c r="B421" s="0" t="s">
        <v>360</v>
      </c>
      <c r="C421" s="29" t="n">
        <f aca="false">C419/C420</f>
        <v>36.75</v>
      </c>
      <c r="D421" s="29" t="n">
        <f aca="false">D419/D420</f>
        <v>70.5109641019174</v>
      </c>
      <c r="E421" s="29" t="n">
        <f aca="false">E419/E420</f>
        <v>145.812864627553</v>
      </c>
      <c r="F421" s="29" t="n">
        <f aca="false">F419/F420</f>
        <v>164.883355600106</v>
      </c>
      <c r="G421" s="29" t="n">
        <f aca="false">G419/G420</f>
        <v>202.323756684542</v>
      </c>
      <c r="H421" s="31" t="n">
        <f aca="false">H419/H420</f>
        <v>225.260302466797</v>
      </c>
      <c r="I421" s="31" t="n">
        <f aca="false">I419/I420</f>
        <v>237.202132425065</v>
      </c>
      <c r="J421" s="31" t="n">
        <f aca="false">J419/J420</f>
        <v>235.473096014072</v>
      </c>
    </row>
    <row r="422" customFormat="false" ht="17.15" hidden="false" customHeight="false" outlineLevel="0" collapsed="false">
      <c r="A422" s="0" t="s">
        <v>610</v>
      </c>
      <c r="B422" s="0" t="s">
        <v>196</v>
      </c>
      <c r="D422" s="18" t="n">
        <f aca="false">D421/C421-1</f>
        <v>0.918665689848092</v>
      </c>
      <c r="E422" s="18" t="n">
        <f aca="false">E421/D421-1</f>
        <v>1.06794597811474</v>
      </c>
      <c r="F422" s="18" t="n">
        <f aca="false">F421/E421-1</f>
        <v>0.130787437866093</v>
      </c>
      <c r="G422" s="18" t="n">
        <f aca="false">G421/F421-1</f>
        <v>0.227072047073329</v>
      </c>
      <c r="H422" s="26" t="n">
        <f aca="false">H421/G421-1</f>
        <v>0.113365559033272</v>
      </c>
      <c r="I422" s="26" t="n">
        <f aca="false">I421/H421-1</f>
        <v>0.0530134685405959</v>
      </c>
      <c r="J422" s="26" t="n">
        <f aca="false">J421/I421-1</f>
        <v>-0.00728929539256928</v>
      </c>
    </row>
    <row r="423" customFormat="false" ht="17.15" hidden="false" customHeight="false" outlineLevel="0" collapsed="false">
      <c r="A423" s="4" t="s">
        <v>611</v>
      </c>
      <c r="B423" s="0" t="s">
        <v>196</v>
      </c>
      <c r="C423" s="18" t="n">
        <f aca="false">C419/C406</f>
        <v>0.260258433616098</v>
      </c>
      <c r="D423" s="18" t="n">
        <f aca="false">D419/D406</f>
        <v>0.318133499690915</v>
      </c>
      <c r="E423" s="18" t="n">
        <f aca="false">E419/E406</f>
        <v>0.347952581295123</v>
      </c>
      <c r="F423" s="18" t="n">
        <f aca="false">F419/F406</f>
        <v>0.347620575158296</v>
      </c>
      <c r="G423" s="18" t="n">
        <f aca="false">G419/G406</f>
        <v>0.348868287308317</v>
      </c>
      <c r="H423" s="26" t="n">
        <f aca="false">$G423+(fade_mB-$G423)*1/3</f>
        <v>0.334327438727518</v>
      </c>
      <c r="I423" s="26" t="n">
        <f aca="false">$G423+(fade_mB-$G423)*2/3</f>
        <v>0.319786590146719</v>
      </c>
      <c r="J423" s="26" t="n">
        <f aca="false">$G423+(fade_mB-$G423)*3/3</f>
        <v>0.30524574156592</v>
      </c>
    </row>
    <row r="426" customFormat="false" ht="17.15" hidden="false" customHeight="false" outlineLevel="0" collapsed="false">
      <c r="A426" s="1" t="s">
        <v>910</v>
      </c>
    </row>
    <row r="427" customFormat="false" ht="17.15" hidden="false" customHeight="false" outlineLevel="0" collapsed="false">
      <c r="A427" s="5" t="s">
        <v>22</v>
      </c>
      <c r="B427" s="5" t="s">
        <v>23</v>
      </c>
      <c r="C427" s="15" t="s">
        <v>470</v>
      </c>
      <c r="D427" s="15" t="s">
        <v>553</v>
      </c>
      <c r="E427" s="15" t="s">
        <v>554</v>
      </c>
      <c r="F427" s="15" t="s">
        <v>555</v>
      </c>
      <c r="G427" s="15" t="s">
        <v>556</v>
      </c>
      <c r="H427" s="15" t="s">
        <v>557</v>
      </c>
      <c r="I427" s="15" t="s">
        <v>558</v>
      </c>
      <c r="J427" s="15" t="s">
        <v>559</v>
      </c>
      <c r="K427" s="5" t="s">
        <v>523</v>
      </c>
    </row>
    <row r="428" customFormat="false" ht="17.15" hidden="false" customHeight="false" outlineLevel="0" collapsed="false">
      <c r="A428" s="6" t="s">
        <v>575</v>
      </c>
    </row>
    <row r="429" customFormat="false" ht="17.15" hidden="false" customHeight="false" outlineLevel="0" collapsed="false">
      <c r="A429" s="0" t="s">
        <v>576</v>
      </c>
      <c r="B429" s="4" t="s">
        <v>33</v>
      </c>
      <c r="D429" s="19" t="n">
        <f aca="false">(u_bw26)*1</f>
        <v>5.4</v>
      </c>
      <c r="E429" s="19" t="n">
        <f aca="false">(u_bw27)*1*1</f>
        <v>2.4</v>
      </c>
      <c r="F429" s="19" t="n">
        <f aca="false">(u_bw28)*um28_B*1</f>
        <v>0.4</v>
      </c>
      <c r="G429" s="19" t="n">
        <f aca="false">(u_bw29)*um29_B*1</f>
        <v>0.2125</v>
      </c>
    </row>
    <row r="430" customFormat="false" ht="17.15" hidden="false" customHeight="false" outlineLevel="0" collapsed="false">
      <c r="A430" s="0" t="s">
        <v>577</v>
      </c>
      <c r="B430" s="4" t="s">
        <v>33</v>
      </c>
      <c r="D430" s="19" t="n">
        <f aca="false">(u_hp26)*1</f>
        <v>0.5</v>
      </c>
      <c r="E430" s="19" t="n">
        <f aca="false">(u_hp27)*1*1</f>
        <v>0</v>
      </c>
      <c r="F430" s="19" t="n">
        <f aca="false">(u_hp28)*um28_B*1</f>
        <v>0</v>
      </c>
      <c r="G430" s="19" t="n">
        <f aca="false">(u_hp29)*um29_B*1</f>
        <v>0</v>
      </c>
    </row>
    <row r="431" customFormat="false" ht="17.15" hidden="false" customHeight="false" outlineLevel="0" collapsed="false">
      <c r="A431" s="0" t="s">
        <v>578</v>
      </c>
      <c r="B431" s="4" t="s">
        <v>33</v>
      </c>
      <c r="D431" s="19" t="n">
        <f aca="false">(u_rb26)*1</f>
        <v>1.7</v>
      </c>
      <c r="E431" s="19" t="n">
        <f aca="false">(u_rb27)*1*1</f>
        <v>7</v>
      </c>
      <c r="F431" s="19" t="n">
        <f aca="false">(u_rb28)*um28_B*1</f>
        <v>5.6</v>
      </c>
      <c r="G431" s="19" t="n">
        <f aca="false">(u_rb29)*um29_B*1</f>
        <v>6.8425</v>
      </c>
    </row>
    <row r="432" customFormat="false" ht="17.15" hidden="false" customHeight="false" outlineLevel="0" collapsed="false">
      <c r="A432" s="0" t="s">
        <v>579</v>
      </c>
      <c r="B432" s="4" t="s">
        <v>33</v>
      </c>
      <c r="D432" s="19" t="n">
        <f aca="false">(u_ru26)*1</f>
        <v>0</v>
      </c>
      <c r="E432" s="19" t="n">
        <f aca="false">(u_ru27)*1*1</f>
        <v>0.3</v>
      </c>
      <c r="F432" s="19" t="n">
        <f aca="false">(u_ru28)*um28_B*1</f>
        <v>1.6</v>
      </c>
      <c r="G432" s="19" t="n">
        <f aca="false">(u_ru29)*um29_B*1</f>
        <v>1.955</v>
      </c>
    </row>
    <row r="433" customFormat="false" ht="17.15" hidden="false" customHeight="false" outlineLevel="0" collapsed="false">
      <c r="A433" s="0" t="s">
        <v>580</v>
      </c>
      <c r="B433" s="4" t="s">
        <v>33</v>
      </c>
      <c r="D433" s="19" t="n">
        <f aca="false">(u_amd26)*1</f>
        <v>0.75</v>
      </c>
      <c r="E433" s="19" t="n">
        <f aca="false">(u_amd27)*1*1</f>
        <v>1.5</v>
      </c>
      <c r="F433" s="19" t="n">
        <f aca="false">(u_amd28)*um28_B*1</f>
        <v>1.6</v>
      </c>
      <c r="G433" s="19" t="n">
        <f aca="false">(u_amd29)*um29_B*1</f>
        <v>1.955</v>
      </c>
    </row>
    <row r="434" customFormat="false" ht="17.15" hidden="false" customHeight="false" outlineLevel="0" collapsed="false">
      <c r="A434" s="0" t="s">
        <v>581</v>
      </c>
      <c r="B434" s="4" t="s">
        <v>33</v>
      </c>
      <c r="D434" s="19" t="n">
        <f aca="false">(u_tpu26+u_trn26+u_oth26)*1</f>
        <v>6.85</v>
      </c>
      <c r="E434" s="19" t="n">
        <f aca="false">(u_tpu27+u_trn27+u_oth27)*1*1</f>
        <v>12.5</v>
      </c>
      <c r="F434" s="19" t="n">
        <f aca="false">(u_tpu28+u_trn28+u_oth28)*um28_B*1</f>
        <v>12</v>
      </c>
      <c r="G434" s="19" t="n">
        <f aca="false">(u_tpu29+u_trn29+u_oth29)*um29_B*1</f>
        <v>14.6625</v>
      </c>
    </row>
    <row r="435" customFormat="false" ht="17.15" hidden="false" customHeight="false" outlineLevel="0" collapsed="false">
      <c r="A435" s="0" t="s">
        <v>527</v>
      </c>
      <c r="B435" s="0" t="s">
        <v>136</v>
      </c>
      <c r="D435" s="22" t="n">
        <f aca="false">asp_vr_26</f>
        <v>100</v>
      </c>
      <c r="E435" s="22" t="n">
        <f aca="false">asp_vr_27</f>
        <v>150</v>
      </c>
      <c r="F435" s="22" t="n">
        <f aca="false">asp_vr_28</f>
        <v>180</v>
      </c>
      <c r="G435" s="22" t="n">
        <f aca="false">asp_vr_29</f>
        <v>180</v>
      </c>
    </row>
    <row r="436" customFormat="false" ht="17.15" hidden="false" customHeight="false" outlineLevel="0" collapsed="false">
      <c r="A436" s="0" t="s">
        <v>582</v>
      </c>
      <c r="B436" s="0" t="s">
        <v>136</v>
      </c>
      <c r="D436" s="22" t="n">
        <f aca="false">asp_amd_26</f>
        <v>40</v>
      </c>
      <c r="E436" s="22" t="n">
        <f aca="false">asp_amd_27</f>
        <v>60</v>
      </c>
      <c r="F436" s="22" t="n">
        <f aca="false">asp_amd_28</f>
        <v>80</v>
      </c>
      <c r="G436" s="22" t="n">
        <f aca="false">asp_amd_29</f>
        <v>80</v>
      </c>
    </row>
    <row r="437" customFormat="false" ht="17.15" hidden="false" customHeight="false" outlineLevel="0" collapsed="false">
      <c r="A437" s="0" t="s">
        <v>583</v>
      </c>
      <c r="B437" s="0" t="s">
        <v>136</v>
      </c>
      <c r="D437" s="22" t="n">
        <f aca="false">asp_asic_26</f>
        <v>30</v>
      </c>
      <c r="E437" s="22" t="n">
        <f aca="false">asp_asic_27</f>
        <v>35</v>
      </c>
      <c r="F437" s="22" t="n">
        <f aca="false">asp_asic_28</f>
        <v>40</v>
      </c>
      <c r="G437" s="22" t="n">
        <f aca="false">asp_asic_29</f>
        <v>40</v>
      </c>
    </row>
    <row r="438" customFormat="false" ht="17.15" hidden="false" customHeight="false" outlineLevel="0" collapsed="false">
      <c r="A438" s="0" t="s">
        <v>584</v>
      </c>
      <c r="B438" s="0" t="s">
        <v>205</v>
      </c>
      <c r="D438" s="17" t="n">
        <f aca="false">(D429*asp_bw+D430*asp_hp+D431*D435+D432*asp_ru)/1000</f>
        <v>0.3665</v>
      </c>
      <c r="E438" s="17" t="n">
        <f aca="false">(E429*asp_bw+E430*asp_hp+E431*E435+E432*asp_ru)/1000</f>
        <v>1.194</v>
      </c>
      <c r="F438" s="17" t="n">
        <f aca="false">(F429*asp_bw+F430*asp_hp+F431*F435+F432*asp_ru)/1000</f>
        <v>1.342</v>
      </c>
      <c r="G438" s="17" t="n">
        <f aca="false">(G429*asp_bw+G430*asp_hp+G431*G435+G432*asp_ru)/1000</f>
        <v>1.6300875</v>
      </c>
      <c r="K438" s="4" t="s">
        <v>585</v>
      </c>
    </row>
    <row r="439" customFormat="false" ht="17.15" hidden="false" customHeight="false" outlineLevel="0" collapsed="false">
      <c r="A439" s="4" t="s">
        <v>586</v>
      </c>
      <c r="B439" s="0" t="s">
        <v>205</v>
      </c>
      <c r="D439" s="17" t="n">
        <f aca="false">(D433*D436+D434*D437)/1000</f>
        <v>0.2355</v>
      </c>
      <c r="E439" s="17" t="n">
        <f aca="false">(E433*E436+E434*E437)/1000</f>
        <v>0.5275</v>
      </c>
      <c r="F439" s="17" t="n">
        <f aca="false">(F433*F436+F434*F437)/1000</f>
        <v>0.608</v>
      </c>
      <c r="G439" s="17" t="n">
        <f aca="false">(G433*G436+G434*G437)/1000</f>
        <v>0.7429</v>
      </c>
    </row>
    <row r="440" customFormat="false" ht="17.15" hidden="false" customHeight="false" outlineLevel="0" collapsed="false">
      <c r="A440" s="0" t="s">
        <v>587</v>
      </c>
      <c r="B440" s="0" t="s">
        <v>205</v>
      </c>
      <c r="D440" s="17" t="n">
        <f aca="false">D438+D439</f>
        <v>0.602</v>
      </c>
      <c r="E440" s="17" t="n">
        <f aca="false">E438+E439</f>
        <v>1.7215</v>
      </c>
      <c r="F440" s="17" t="n">
        <f aca="false">F438+F439</f>
        <v>1.95</v>
      </c>
      <c r="G440" s="17" t="n">
        <f aca="false">G438+G439</f>
        <v>2.3729875</v>
      </c>
    </row>
    <row r="441" customFormat="false" ht="17.15" hidden="false" customHeight="false" outlineLevel="0" collapsed="false">
      <c r="A441" s="4" t="s">
        <v>588</v>
      </c>
      <c r="B441" s="0" t="s">
        <v>196</v>
      </c>
      <c r="D441" s="18" t="n">
        <f aca="false">a26_rev*ai_26_lo/fx/(D438+k_non*D439)</f>
        <v>0.705780334273931</v>
      </c>
      <c r="K441" s="8" t="s">
        <v>589</v>
      </c>
    </row>
    <row r="442" customFormat="false" ht="17.15" hidden="false" customHeight="false" outlineLevel="0" collapsed="false">
      <c r="A442" s="4" t="s">
        <v>590</v>
      </c>
      <c r="B442" s="0" t="s">
        <v>109</v>
      </c>
      <c r="D442" s="19" t="n">
        <f aca="false">1</f>
        <v>1</v>
      </c>
      <c r="E442" s="19" t="n">
        <f aca="false">rel_27</f>
        <v>0.97</v>
      </c>
      <c r="F442" s="19" t="n">
        <f aca="false">rel_28</f>
        <v>0.93</v>
      </c>
      <c r="G442" s="19" t="n">
        <f aca="false">rel_29</f>
        <v>0.9</v>
      </c>
    </row>
    <row r="443" customFormat="false" ht="17.15" hidden="false" customHeight="false" outlineLevel="0" collapsed="false">
      <c r="A443" s="4" t="s">
        <v>591</v>
      </c>
      <c r="B443" s="0" t="s">
        <v>196</v>
      </c>
      <c r="D443" s="18" t="n">
        <f aca="false">$D$441*D442</f>
        <v>0.705780334273931</v>
      </c>
      <c r="E443" s="18" t="n">
        <f aca="false">$D$441*E442</f>
        <v>0.684606924245713</v>
      </c>
      <c r="F443" s="18" t="n">
        <f aca="false">$D$441*F442</f>
        <v>0.656375710874756</v>
      </c>
      <c r="G443" s="18" t="n">
        <f aca="false">$D$441*G442</f>
        <v>0.635202300846538</v>
      </c>
    </row>
    <row r="444" customFormat="false" ht="17.15" hidden="false" customHeight="false" outlineLevel="0" collapsed="false">
      <c r="A444" s="4" t="s">
        <v>592</v>
      </c>
      <c r="B444" s="0" t="s">
        <v>196</v>
      </c>
      <c r="D444" s="18" t="n">
        <f aca="false">D443*k_non</f>
        <v>0.282312133709572</v>
      </c>
      <c r="E444" s="18" t="n">
        <f aca="false">E443*k_non</f>
        <v>0.273842769698285</v>
      </c>
      <c r="F444" s="18" t="n">
        <f aca="false">F443*k_non</f>
        <v>0.262550284349902</v>
      </c>
      <c r="G444" s="18" t="n">
        <f aca="false">G443*k_non</f>
        <v>0.254080920338615</v>
      </c>
    </row>
    <row r="445" customFormat="false" ht="17.15" hidden="false" customHeight="false" outlineLevel="0" collapsed="false">
      <c r="A445" s="0" t="s">
        <v>593</v>
      </c>
      <c r="B445" s="0" t="s">
        <v>301</v>
      </c>
      <c r="C445" s="24" t="n">
        <f aca="false">a25_ail</f>
        <v>6.0828</v>
      </c>
      <c r="D445" s="24" t="n">
        <f aca="false">(D438*D443+D439*D444)*fx</f>
        <v>10.404896</v>
      </c>
      <c r="E445" s="24" t="n">
        <f aca="false">(E438*E443+E439*E444)*fx</f>
        <v>30.7799273140873</v>
      </c>
      <c r="F445" s="24" t="n">
        <f aca="false">(F438*F443+F439*F444)*fx</f>
        <v>33.2955768601172</v>
      </c>
      <c r="G445" s="24" t="n">
        <f aca="false">(G438*G443+G439*G444)*fx</f>
        <v>39.1741454816236</v>
      </c>
    </row>
    <row r="446" customFormat="false" ht="17.15" hidden="false" customHeight="false" outlineLevel="0" collapsed="false">
      <c r="A446" s="6" t="s">
        <v>594</v>
      </c>
    </row>
    <row r="447" customFormat="false" ht="17.15" hidden="false" customHeight="false" outlineLevel="0" collapsed="false">
      <c r="A447" s="0" t="s">
        <v>595</v>
      </c>
      <c r="B447" s="0" t="s">
        <v>205</v>
      </c>
      <c r="D447" s="24" t="n">
        <f aca="false">lmkB_26</f>
        <v>4.51368758595869</v>
      </c>
      <c r="E447" s="24" t="n">
        <f aca="false">lmkB_27*1</f>
        <v>10.2011004204398</v>
      </c>
      <c r="F447" s="24" t="n">
        <f aca="false">lmkB_28*1</f>
        <v>12.6260448229601</v>
      </c>
      <c r="G447" s="24" t="n">
        <f aca="false">lmkB_29*1</f>
        <v>16.1809438578051</v>
      </c>
      <c r="K447" s="4" t="s">
        <v>596</v>
      </c>
    </row>
    <row r="448" customFormat="false" ht="15" hidden="false" customHeight="false" outlineLevel="0" collapsed="false">
      <c r="A448" s="4" t="s">
        <v>542</v>
      </c>
      <c r="B448" s="0" t="s">
        <v>196</v>
      </c>
      <c r="D448" s="18" t="n">
        <f aca="false">0</f>
        <v>0</v>
      </c>
      <c r="E448" s="18" t="n">
        <f aca="false">lcs_27</f>
        <v>0.008</v>
      </c>
      <c r="F448" s="18" t="n">
        <f aca="false">lcs_28</f>
        <v>0.015</v>
      </c>
      <c r="G448" s="18" t="n">
        <f aca="false">lcs_29</f>
        <v>0.025</v>
      </c>
    </row>
    <row r="449" customFormat="false" ht="17.15" hidden="false" customHeight="false" outlineLevel="0" collapsed="false">
      <c r="A449" s="4" t="s">
        <v>597</v>
      </c>
      <c r="B449" s="0" t="s">
        <v>301</v>
      </c>
      <c r="C449" s="24" t="n">
        <f aca="false">0</f>
        <v>0</v>
      </c>
      <c r="D449" s="24" t="n">
        <f aca="false">D447*D448*fx</f>
        <v>0</v>
      </c>
      <c r="E449" s="24" t="n">
        <f aca="false">E447*E448*fx</f>
        <v>2.61148170763259</v>
      </c>
      <c r="F449" s="24" t="n">
        <f aca="false">F447*F448*fx</f>
        <v>6.06050151502085</v>
      </c>
      <c r="G449" s="24" t="n">
        <f aca="false">G447*G448*fx</f>
        <v>12.9447550862441</v>
      </c>
    </row>
    <row r="450" customFormat="false" ht="17.15" hidden="false" customHeight="false" outlineLevel="0" collapsed="false">
      <c r="A450" s="6" t="s">
        <v>598</v>
      </c>
    </row>
    <row r="451" customFormat="false" ht="17.15" hidden="false" customHeight="false" outlineLevel="0" collapsed="false">
      <c r="A451" s="4" t="s">
        <v>599</v>
      </c>
      <c r="B451" s="0" t="s">
        <v>301</v>
      </c>
      <c r="C451" s="24" t="n">
        <f aca="false">a25_oth</f>
        <v>8.637576</v>
      </c>
      <c r="D451" s="24" t="n">
        <f aca="false">a26_rev*(th_26-ai_26_lo)</f>
        <v>13.981579</v>
      </c>
      <c r="E451" s="24" t="n">
        <f aca="false">D451*(1+g_oth_27)</f>
        <v>15.65936848</v>
      </c>
      <c r="F451" s="24" t="n">
        <f aca="false">E451*(1+g_oth_28)</f>
        <v>17.225305328</v>
      </c>
      <c r="G451" s="24" t="n">
        <f aca="false">F451*(1+g_oth_29)</f>
        <v>18.60332975424</v>
      </c>
    </row>
    <row r="452" customFormat="false" ht="15" hidden="false" customHeight="false" outlineLevel="0" collapsed="false">
      <c r="A452" s="4" t="s">
        <v>600</v>
      </c>
      <c r="B452" s="0" t="s">
        <v>301</v>
      </c>
      <c r="C452" s="24" t="n">
        <f aca="false">a25_lf</f>
        <v>5.555624</v>
      </c>
      <c r="D452" s="24" t="n">
        <f aca="false">a26_lf</f>
        <v>8.128825</v>
      </c>
      <c r="E452" s="24" t="n">
        <f aca="false">D452*(1+g_lf_27)</f>
        <v>8.37268975</v>
      </c>
      <c r="F452" s="24" t="n">
        <f aca="false">E452*(1+g_lf_28)</f>
        <v>8.6238704425</v>
      </c>
      <c r="G452" s="24" t="n">
        <f aca="false">F452*(1+g_lf_29)</f>
        <v>8.882586555775</v>
      </c>
    </row>
    <row r="453" customFormat="false" ht="17.15" hidden="false" customHeight="false" outlineLevel="0" collapsed="false">
      <c r="A453" s="4" t="s">
        <v>475</v>
      </c>
      <c r="B453" s="0" t="s">
        <v>301</v>
      </c>
      <c r="C453" s="24" t="n">
        <f aca="false">C445+C449+C451+C452</f>
        <v>20.276</v>
      </c>
      <c r="D453" s="24" t="n">
        <f aca="false">D445+D449+D451+D452</f>
        <v>32.5153</v>
      </c>
      <c r="E453" s="24" t="n">
        <f aca="false">E445+E449+E451+E452</f>
        <v>57.4234672517199</v>
      </c>
      <c r="F453" s="24" t="n">
        <f aca="false">F445+F449+F451+F452</f>
        <v>65.2052541456381</v>
      </c>
      <c r="G453" s="24" t="n">
        <f aca="false">G445+G449+G451+G452</f>
        <v>79.6048168778827</v>
      </c>
      <c r="H453" s="25" t="n">
        <f aca="false">G453*(1+H454)</f>
        <v>92.3858687232304</v>
      </c>
      <c r="I453" s="25" t="n">
        <f aca="false">H453*(1+I454)</f>
        <v>101.65015097555</v>
      </c>
      <c r="J453" s="25" t="n">
        <f aca="false">I453*(1+J454)</f>
        <v>105.716157014572</v>
      </c>
      <c r="K453" s="8" t="s">
        <v>601</v>
      </c>
    </row>
    <row r="454" customFormat="false" ht="15" hidden="false" customHeight="false" outlineLevel="0" collapsed="false">
      <c r="A454" s="4" t="s">
        <v>602</v>
      </c>
      <c r="B454" s="0" t="s">
        <v>196</v>
      </c>
      <c r="D454" s="18" t="n">
        <f aca="false">D453/C453-1</f>
        <v>0.603634839218781</v>
      </c>
      <c r="E454" s="18" t="n">
        <f aca="false">E453/D453-1</f>
        <v>0.766044516019223</v>
      </c>
      <c r="F454" s="18" t="n">
        <f aca="false">F453/E453-1</f>
        <v>0.135515796352146</v>
      </c>
      <c r="G454" s="18" t="n">
        <f aca="false">G453/F453-1</f>
        <v>0.220834393192959</v>
      </c>
      <c r="H454" s="26" t="n">
        <f aca="false">$G454+(fade_gB-$G454)*1/3</f>
        <v>0.160556262128639</v>
      </c>
      <c r="I454" s="26" t="n">
        <f aca="false">$G454+(fade_gB-$G454)*2/3</f>
        <v>0.10027813106432</v>
      </c>
      <c r="J454" s="26" t="n">
        <f aca="false">$G454+(fade_gB-$G454)*3/3</f>
        <v>0.04</v>
      </c>
    </row>
    <row r="455" customFormat="false" ht="17.15" hidden="false" customHeight="false" outlineLevel="0" collapsed="false">
      <c r="A455" s="0" t="s">
        <v>603</v>
      </c>
      <c r="B455" s="0" t="s">
        <v>196</v>
      </c>
      <c r="C455" s="18" t="n">
        <f aca="false">C445/C453</f>
        <v>0.3</v>
      </c>
      <c r="D455" s="18" t="n">
        <f aca="false">D445/D453</f>
        <v>0.32</v>
      </c>
      <c r="E455" s="18" t="n">
        <f aca="false">E445/E453</f>
        <v>0.536016524031216</v>
      </c>
      <c r="F455" s="18" t="n">
        <f aca="false">F445/F453</f>
        <v>0.510627207828229</v>
      </c>
      <c r="G455" s="18" t="n">
        <f aca="false">G445/G453</f>
        <v>0.492107726869323</v>
      </c>
    </row>
    <row r="456" customFormat="false" ht="17.15" hidden="false" customHeight="false" outlineLevel="0" collapsed="false">
      <c r="A456" s="4" t="s">
        <v>604</v>
      </c>
      <c r="B456" s="0" t="s">
        <v>136</v>
      </c>
      <c r="D456" s="24" t="n">
        <f aca="false">D445/fx*1000/(D429+D430+D431+D432+D433+D434)</f>
        <v>21.3916447368421</v>
      </c>
      <c r="E456" s="24" t="n">
        <f aca="false">E445/fx*1000/(E429+E430+E431+E432+E433+E434)</f>
        <v>40.585347196845</v>
      </c>
      <c r="F456" s="24" t="n">
        <f aca="false">F445/fx*1000/(F429+F430+F431+F432+F433+F434)</f>
        <v>49.0795649471067</v>
      </c>
      <c r="G456" s="24" t="n">
        <f aca="false">G445/fx*1000/(G429+G430+G431+G432+G433+G434)</f>
        <v>47.7686877885373</v>
      </c>
    </row>
    <row r="457" customFormat="false" ht="17.15" hidden="false" customHeight="false" outlineLevel="0" collapsed="false">
      <c r="A457" s="6" t="s">
        <v>605</v>
      </c>
    </row>
    <row r="458" customFormat="false" ht="17.15" hidden="false" customHeight="false" outlineLevel="0" collapsed="false">
      <c r="A458" s="4" t="s">
        <v>606</v>
      </c>
      <c r="B458" s="0" t="s">
        <v>196</v>
      </c>
      <c r="D458" s="18" t="n">
        <f aca="false">a26_gp/D453-d_ai*D455</f>
        <v>0.434924773260588</v>
      </c>
      <c r="K458" s="8" t="s">
        <v>607</v>
      </c>
    </row>
    <row r="459" customFormat="false" ht="15" hidden="false" customHeight="false" outlineLevel="0" collapsed="false">
      <c r="A459" s="4" t="s">
        <v>479</v>
      </c>
      <c r="B459" s="0" t="s">
        <v>301</v>
      </c>
      <c r="C459" s="24" t="n">
        <f aca="false">a25_gp</f>
        <v>8.434</v>
      </c>
      <c r="D459" s="24" t="n">
        <f aca="false">a26_gp</f>
        <v>15.390297</v>
      </c>
      <c r="E459" s="24" t="n">
        <f aca="false">$D$458*E453+d_ai*E445</f>
        <v>28.6684797519815</v>
      </c>
      <c r="F459" s="24" t="n">
        <f aca="false">$D$458*F453+d_ai*F445</f>
        <v>32.3548495979047</v>
      </c>
      <c r="G459" s="24" t="n">
        <f aca="false">$D$458*G453+d_ai*G445</f>
        <v>39.3230043888586</v>
      </c>
    </row>
    <row r="460" customFormat="false" ht="15" hidden="false" customHeight="false" outlineLevel="0" collapsed="false">
      <c r="A460" s="4" t="s">
        <v>482</v>
      </c>
      <c r="B460" s="0" t="s">
        <v>196</v>
      </c>
      <c r="C460" s="18" t="n">
        <f aca="false">C459/C453</f>
        <v>0.415959755375814</v>
      </c>
      <c r="D460" s="18" t="n">
        <f aca="false">D459/D453</f>
        <v>0.473324773260588</v>
      </c>
      <c r="E460" s="18" t="n">
        <f aca="false">E459/E453</f>
        <v>0.499246756144334</v>
      </c>
      <c r="F460" s="18" t="n">
        <f aca="false">F459/F453</f>
        <v>0.496200038199976</v>
      </c>
      <c r="G460" s="18" t="n">
        <f aca="false">G459/G453</f>
        <v>0.493977700484907</v>
      </c>
    </row>
    <row r="461" customFormat="false" ht="15" hidden="false" customHeight="false" outlineLevel="0" collapsed="false">
      <c r="A461" s="4" t="s">
        <v>608</v>
      </c>
      <c r="B461" s="0" t="s">
        <v>301</v>
      </c>
      <c r="C461" s="24" t="n">
        <f aca="false">a25_opx</f>
        <v>1.936</v>
      </c>
      <c r="D461" s="24" t="n">
        <f aca="false">a26_opx</f>
        <v>2.8705005</v>
      </c>
      <c r="E461" s="24" t="n">
        <f aca="false">D461*(1+MAX(0,phi*E454))</f>
        <v>4.18985919975326</v>
      </c>
      <c r="F461" s="24" t="n">
        <f aca="false">E461*(1+MAX(0,phi*F454))</f>
        <v>4.53053446338802</v>
      </c>
      <c r="G461" s="24" t="n">
        <f aca="false">F461*(1+MAX(0,phi*G454))</f>
        <v>5.13083316082527</v>
      </c>
    </row>
    <row r="462" customFormat="false" ht="15" hidden="false" customHeight="false" outlineLevel="0" collapsed="false">
      <c r="A462" s="4" t="s">
        <v>484</v>
      </c>
      <c r="B462" s="0" t="s">
        <v>301</v>
      </c>
      <c r="C462" s="24" t="n">
        <f aca="false">C461</f>
        <v>1.936</v>
      </c>
      <c r="D462" s="24" t="n">
        <f aca="false">D461</f>
        <v>2.8705005</v>
      </c>
      <c r="E462" s="24" t="n">
        <f aca="false">E461+0*E453</f>
        <v>4.18985919975326</v>
      </c>
      <c r="F462" s="24" t="n">
        <f aca="false">F461+0*F453</f>
        <v>4.53053446338802</v>
      </c>
      <c r="G462" s="24" t="n">
        <f aca="false">G461+0*G453</f>
        <v>5.13083316082527</v>
      </c>
    </row>
    <row r="463" customFormat="false" ht="15" hidden="false" customHeight="false" outlineLevel="0" collapsed="false">
      <c r="A463" s="4" t="s">
        <v>486</v>
      </c>
      <c r="B463" s="0" t="s">
        <v>301</v>
      </c>
      <c r="C463" s="24" t="n">
        <f aca="false">C459-C462</f>
        <v>6.498</v>
      </c>
      <c r="D463" s="24" t="n">
        <f aca="false">D459-D462</f>
        <v>12.5197965</v>
      </c>
      <c r="E463" s="24" t="n">
        <f aca="false">E459-E462</f>
        <v>24.4786205522283</v>
      </c>
      <c r="F463" s="24" t="n">
        <f aca="false">F459-F462</f>
        <v>27.8243151345167</v>
      </c>
      <c r="G463" s="24" t="n">
        <f aca="false">G459-G462</f>
        <v>34.1921712280333</v>
      </c>
    </row>
    <row r="464" customFormat="false" ht="15" hidden="false" customHeight="false" outlineLevel="0" collapsed="false">
      <c r="A464" s="4" t="s">
        <v>488</v>
      </c>
      <c r="B464" s="0" t="s">
        <v>196</v>
      </c>
      <c r="C464" s="18" t="n">
        <f aca="false">C463/C453</f>
        <v>0.320477411718288</v>
      </c>
      <c r="D464" s="18" t="n">
        <f aca="false">D463/D453</f>
        <v>0.385043241181844</v>
      </c>
      <c r="E464" s="18" t="n">
        <f aca="false">E463/E453</f>
        <v>0.42628252391874</v>
      </c>
      <c r="F464" s="18" t="n">
        <f aca="false">F463/F453</f>
        <v>0.426718912441782</v>
      </c>
      <c r="G464" s="18" t="n">
        <f aca="false">G463/G453</f>
        <v>0.429523897787311</v>
      </c>
    </row>
    <row r="465" customFormat="false" ht="15" hidden="false" customHeight="false" outlineLevel="0" collapsed="false">
      <c r="A465" s="4" t="s">
        <v>489</v>
      </c>
      <c r="B465" s="0" t="s">
        <v>301</v>
      </c>
      <c r="C465" s="29" t="n">
        <f aca="false">a25_nop</f>
        <v>0.108999999999999</v>
      </c>
      <c r="D465" s="29" t="n">
        <f aca="false">a26_nop</f>
        <v>0.330500000000001</v>
      </c>
      <c r="E465" s="29" t="n">
        <f aca="false">nop_f</f>
        <v>0.3</v>
      </c>
      <c r="F465" s="29" t="n">
        <f aca="false">nop_f</f>
        <v>0.3</v>
      </c>
      <c r="G465" s="29" t="n">
        <f aca="false">nop_f</f>
        <v>0.3</v>
      </c>
    </row>
    <row r="466" customFormat="false" ht="15" hidden="false" customHeight="false" outlineLevel="0" collapsed="false">
      <c r="A466" s="4" t="s">
        <v>494</v>
      </c>
      <c r="B466" s="0" t="s">
        <v>301</v>
      </c>
      <c r="C466" s="24" t="n">
        <f aca="false">a25_ni</f>
        <v>5.277</v>
      </c>
      <c r="D466" s="24" t="n">
        <f aca="false">a26_ni</f>
        <v>10.3442061825</v>
      </c>
      <c r="E466" s="24" t="n">
        <f aca="false">(E463+E465)*nir_f</f>
        <v>19.9467895445438</v>
      </c>
      <c r="F466" s="24" t="n">
        <f aca="false">(F463+F465)*nir_f</f>
        <v>22.6400736832859</v>
      </c>
      <c r="G466" s="24" t="n">
        <f aca="false">(G463+G465)*nir_f</f>
        <v>27.7661978385668</v>
      </c>
      <c r="H466" s="25" t="n">
        <f aca="false">H453*H470</f>
        <v>30.882954187579</v>
      </c>
      <c r="I466" s="25" t="n">
        <f aca="false">I453*I470</f>
        <v>32.5040574150369</v>
      </c>
      <c r="J466" s="25" t="n">
        <f aca="false">J453*J470</f>
        <v>32.2694067434121</v>
      </c>
    </row>
    <row r="467" customFormat="false" ht="15" hidden="false" customHeight="false" outlineLevel="0" collapsed="false">
      <c r="A467" s="4" t="s">
        <v>609</v>
      </c>
      <c r="B467" s="4" t="s">
        <v>327</v>
      </c>
      <c r="C467" s="28" t="n">
        <f aca="false">a25_sh</f>
        <v>0.143591836734694</v>
      </c>
      <c r="D467" s="28" t="n">
        <f aca="false">a26_sh</f>
        <v>0.146703513620213</v>
      </c>
      <c r="E467" s="28" t="n">
        <f aca="false">D467*(1+sh_g)</f>
        <v>0.146703513620213</v>
      </c>
      <c r="F467" s="28" t="n">
        <f aca="false">E467*(1+sh_g)</f>
        <v>0.146703513620213</v>
      </c>
      <c r="G467" s="28" t="n">
        <f aca="false">F467*(1+sh_g)</f>
        <v>0.146703513620213</v>
      </c>
      <c r="H467" s="30" t="n">
        <f aca="false">G467*(1+sh_g)</f>
        <v>0.146703513620213</v>
      </c>
      <c r="I467" s="30" t="n">
        <f aca="false">H467*(1+sh_g)</f>
        <v>0.146703513620213</v>
      </c>
      <c r="J467" s="30" t="n">
        <f aca="false">I467*(1+sh_g)</f>
        <v>0.146703513620213</v>
      </c>
    </row>
    <row r="468" customFormat="false" ht="15" hidden="false" customHeight="false" outlineLevel="0" collapsed="false">
      <c r="A468" s="0" t="s">
        <v>500</v>
      </c>
      <c r="B468" s="0" t="s">
        <v>360</v>
      </c>
      <c r="C468" s="29" t="n">
        <f aca="false">C466/C467</f>
        <v>36.75</v>
      </c>
      <c r="D468" s="29" t="n">
        <f aca="false">D466/D467</f>
        <v>70.5109641019174</v>
      </c>
      <c r="E468" s="29" t="n">
        <f aca="false">E466/E467</f>
        <v>135.96667899981</v>
      </c>
      <c r="F468" s="29" t="n">
        <f aca="false">F466/F467</f>
        <v>154.325367706575</v>
      </c>
      <c r="G468" s="29" t="n">
        <f aca="false">G466/G467</f>
        <v>189.267435751049</v>
      </c>
      <c r="H468" s="31" t="n">
        <f aca="false">H466/H467</f>
        <v>210.512709787776</v>
      </c>
      <c r="I468" s="31" t="n">
        <f aca="false">I466/I467</f>
        <v>221.562910205297</v>
      </c>
      <c r="J468" s="31" t="n">
        <f aca="false">J466/J467</f>
        <v>219.963421100815</v>
      </c>
    </row>
    <row r="469" customFormat="false" ht="17.15" hidden="false" customHeight="false" outlineLevel="0" collapsed="false">
      <c r="A469" s="0" t="s">
        <v>610</v>
      </c>
      <c r="B469" s="0" t="s">
        <v>196</v>
      </c>
      <c r="D469" s="18" t="n">
        <f aca="false">D468/C468-1</f>
        <v>0.918665689848092</v>
      </c>
      <c r="E469" s="18" t="n">
        <f aca="false">E468/D468-1</f>
        <v>0.928305487403093</v>
      </c>
      <c r="F469" s="18" t="n">
        <f aca="false">F468/E468-1</f>
        <v>0.135023439873757</v>
      </c>
      <c r="G469" s="18" t="n">
        <f aca="false">G468/F468-1</f>
        <v>0.226418174560327</v>
      </c>
      <c r="H469" s="26" t="n">
        <f aca="false">H468/G468-1</f>
        <v>0.112250023108424</v>
      </c>
      <c r="I469" s="26" t="n">
        <f aca="false">I468/H468-1</f>
        <v>0.0524918444528171</v>
      </c>
      <c r="J469" s="26" t="n">
        <f aca="false">J468/I468-1</f>
        <v>-0.00721911940495823</v>
      </c>
    </row>
    <row r="470" customFormat="false" ht="17.15" hidden="false" customHeight="false" outlineLevel="0" collapsed="false">
      <c r="A470" s="4" t="s">
        <v>611</v>
      </c>
      <c r="B470" s="0" t="s">
        <v>196</v>
      </c>
      <c r="C470" s="18" t="n">
        <f aca="false">C466/C453</f>
        <v>0.260258433616098</v>
      </c>
      <c r="D470" s="18" t="n">
        <f aca="false">D466/D453</f>
        <v>0.318133499690915</v>
      </c>
      <c r="E470" s="18" t="n">
        <f aca="false">E466/E453</f>
        <v>0.347363029423242</v>
      </c>
      <c r="F470" s="18" t="n">
        <f aca="false">F466/F453</f>
        <v>0.34721241378369</v>
      </c>
      <c r="G470" s="18" t="n">
        <f aca="false">G466/G453</f>
        <v>0.348800473734666</v>
      </c>
      <c r="H470" s="26" t="n">
        <f aca="false">$G470+(fade_mB-$G470)*1/3</f>
        <v>0.334282229678418</v>
      </c>
      <c r="I470" s="26" t="n">
        <f aca="false">$G470+(fade_mB-$G470)*2/3</f>
        <v>0.319763985622169</v>
      </c>
      <c r="J470" s="26" t="n">
        <f aca="false">$G470+(fade_mB-$G470)*3/3</f>
        <v>0.30524574156592</v>
      </c>
    </row>
    <row r="473" customFormat="false" ht="17.15" hidden="false" customHeight="false" outlineLevel="0" collapsed="false">
      <c r="A473" s="1" t="s">
        <v>911</v>
      </c>
    </row>
    <row r="474" customFormat="false" ht="17.15" hidden="false" customHeight="false" outlineLevel="0" collapsed="false">
      <c r="A474" s="5" t="s">
        <v>22</v>
      </c>
      <c r="B474" s="5" t="s">
        <v>23</v>
      </c>
      <c r="C474" s="15" t="s">
        <v>470</v>
      </c>
      <c r="D474" s="15" t="s">
        <v>553</v>
      </c>
      <c r="E474" s="15" t="s">
        <v>554</v>
      </c>
      <c r="F474" s="15" t="s">
        <v>555</v>
      </c>
      <c r="G474" s="15" t="s">
        <v>556</v>
      </c>
      <c r="H474" s="15" t="s">
        <v>557</v>
      </c>
      <c r="I474" s="15" t="s">
        <v>558</v>
      </c>
      <c r="J474" s="15" t="s">
        <v>559</v>
      </c>
      <c r="K474" s="5" t="s">
        <v>523</v>
      </c>
    </row>
    <row r="475" customFormat="false" ht="17.15" hidden="false" customHeight="false" outlineLevel="0" collapsed="false">
      <c r="A475" s="6" t="s">
        <v>575</v>
      </c>
    </row>
    <row r="476" customFormat="false" ht="17.15" hidden="false" customHeight="false" outlineLevel="0" collapsed="false">
      <c r="A476" s="0" t="s">
        <v>576</v>
      </c>
      <c r="B476" s="4" t="s">
        <v>33</v>
      </c>
      <c r="D476" s="19" t="n">
        <f aca="false">(u_bw26)*1</f>
        <v>5.4</v>
      </c>
      <c r="E476" s="19" t="n">
        <f aca="false">(u_bw27)*1*1</f>
        <v>2.4</v>
      </c>
      <c r="F476" s="19" t="n">
        <f aca="false">(u_bw28)*um28_B*1</f>
        <v>0.4</v>
      </c>
      <c r="G476" s="19" t="n">
        <f aca="false">(u_bw29)*um29_B*1</f>
        <v>0.2125</v>
      </c>
    </row>
    <row r="477" customFormat="false" ht="17.15" hidden="false" customHeight="false" outlineLevel="0" collapsed="false">
      <c r="A477" s="0" t="s">
        <v>577</v>
      </c>
      <c r="B477" s="4" t="s">
        <v>33</v>
      </c>
      <c r="D477" s="19" t="n">
        <f aca="false">(u_hp26)*1</f>
        <v>0.5</v>
      </c>
      <c r="E477" s="19" t="n">
        <f aca="false">(u_hp27)*1*1</f>
        <v>0</v>
      </c>
      <c r="F477" s="19" t="n">
        <f aca="false">(u_hp28)*um28_B*1</f>
        <v>0</v>
      </c>
      <c r="G477" s="19" t="n">
        <f aca="false">(u_hp29)*um29_B*1</f>
        <v>0</v>
      </c>
    </row>
    <row r="478" customFormat="false" ht="17.15" hidden="false" customHeight="false" outlineLevel="0" collapsed="false">
      <c r="A478" s="0" t="s">
        <v>578</v>
      </c>
      <c r="B478" s="4" t="s">
        <v>33</v>
      </c>
      <c r="D478" s="19" t="n">
        <f aca="false">(u_rb26)*1</f>
        <v>1.7</v>
      </c>
      <c r="E478" s="19" t="n">
        <f aca="false">(u_rb27)*1*1</f>
        <v>7</v>
      </c>
      <c r="F478" s="19" t="n">
        <f aca="false">(u_rb28)*um28_B*1</f>
        <v>5.6</v>
      </c>
      <c r="G478" s="19" t="n">
        <f aca="false">(u_rb29)*um29_B*1</f>
        <v>6.8425</v>
      </c>
    </row>
    <row r="479" customFormat="false" ht="17.15" hidden="false" customHeight="false" outlineLevel="0" collapsed="false">
      <c r="A479" s="0" t="s">
        <v>579</v>
      </c>
      <c r="B479" s="4" t="s">
        <v>33</v>
      </c>
      <c r="D479" s="19" t="n">
        <f aca="false">(u_ru26)*1</f>
        <v>0</v>
      </c>
      <c r="E479" s="19" t="n">
        <f aca="false">(u_ru27)*1*1</f>
        <v>0.3</v>
      </c>
      <c r="F479" s="19" t="n">
        <f aca="false">(u_ru28)*um28_B*1</f>
        <v>1.6</v>
      </c>
      <c r="G479" s="19" t="n">
        <f aca="false">(u_ru29)*um29_B*1</f>
        <v>1.955</v>
      </c>
    </row>
    <row r="480" customFormat="false" ht="17.15" hidden="false" customHeight="false" outlineLevel="0" collapsed="false">
      <c r="A480" s="0" t="s">
        <v>580</v>
      </c>
      <c r="B480" s="4" t="s">
        <v>33</v>
      </c>
      <c r="D480" s="19" t="n">
        <f aca="false">(u_amd26)*1</f>
        <v>0.75</v>
      </c>
      <c r="E480" s="19" t="n">
        <f aca="false">(u_amd27)*1*1</f>
        <v>1.5</v>
      </c>
      <c r="F480" s="19" t="n">
        <f aca="false">(u_amd28)*um28_B*1</f>
        <v>1.6</v>
      </c>
      <c r="G480" s="19" t="n">
        <f aca="false">(u_amd29)*um29_B*1</f>
        <v>1.955</v>
      </c>
    </row>
    <row r="481" customFormat="false" ht="17.15" hidden="false" customHeight="false" outlineLevel="0" collapsed="false">
      <c r="A481" s="0" t="s">
        <v>581</v>
      </c>
      <c r="B481" s="4" t="s">
        <v>33</v>
      </c>
      <c r="D481" s="19" t="n">
        <f aca="false">(u_tpu26+u_trn26+u_oth26)*1</f>
        <v>6.85</v>
      </c>
      <c r="E481" s="19" t="n">
        <f aca="false">(u_tpu27+u_trn27+u_oth27)*1*1</f>
        <v>12.5</v>
      </c>
      <c r="F481" s="19" t="n">
        <f aca="false">(u_tpu28+u_trn28+u_oth28)*um28_B*1</f>
        <v>12</v>
      </c>
      <c r="G481" s="19" t="n">
        <f aca="false">(u_tpu29+u_trn29+u_oth29)*um29_B*1</f>
        <v>14.6625</v>
      </c>
    </row>
    <row r="482" customFormat="false" ht="17.15" hidden="false" customHeight="false" outlineLevel="0" collapsed="false">
      <c r="A482" s="0" t="s">
        <v>527</v>
      </c>
      <c r="B482" s="0" t="s">
        <v>136</v>
      </c>
      <c r="D482" s="22" t="n">
        <f aca="false">asp_vr_26</f>
        <v>100</v>
      </c>
      <c r="E482" s="22" t="n">
        <f aca="false">asp_vr_27</f>
        <v>150</v>
      </c>
      <c r="F482" s="22" t="n">
        <f aca="false">asp_vr_28</f>
        <v>180</v>
      </c>
      <c r="G482" s="22" t="n">
        <f aca="false">asp_vr_29</f>
        <v>180</v>
      </c>
    </row>
    <row r="483" customFormat="false" ht="17.15" hidden="false" customHeight="false" outlineLevel="0" collapsed="false">
      <c r="A483" s="0" t="s">
        <v>582</v>
      </c>
      <c r="B483" s="0" t="s">
        <v>136</v>
      </c>
      <c r="D483" s="22" t="n">
        <f aca="false">asp_amd_26</f>
        <v>40</v>
      </c>
      <c r="E483" s="22" t="n">
        <f aca="false">asp_amd_27</f>
        <v>60</v>
      </c>
      <c r="F483" s="22" t="n">
        <f aca="false">asp_amd_28</f>
        <v>80</v>
      </c>
      <c r="G483" s="22" t="n">
        <f aca="false">asp_amd_29</f>
        <v>80</v>
      </c>
    </row>
    <row r="484" customFormat="false" ht="17.15" hidden="false" customHeight="false" outlineLevel="0" collapsed="false">
      <c r="A484" s="0" t="s">
        <v>583</v>
      </c>
      <c r="B484" s="0" t="s">
        <v>136</v>
      </c>
      <c r="D484" s="22" t="n">
        <f aca="false">asp_asic_26</f>
        <v>30</v>
      </c>
      <c r="E484" s="22" t="n">
        <f aca="false">asp_asic_27</f>
        <v>35</v>
      </c>
      <c r="F484" s="22" t="n">
        <f aca="false">asp_asic_28</f>
        <v>40</v>
      </c>
      <c r="G484" s="22" t="n">
        <f aca="false">asp_asic_29</f>
        <v>40</v>
      </c>
    </row>
    <row r="485" customFormat="false" ht="17.15" hidden="false" customHeight="false" outlineLevel="0" collapsed="false">
      <c r="A485" s="0" t="s">
        <v>584</v>
      </c>
      <c r="B485" s="0" t="s">
        <v>205</v>
      </c>
      <c r="D485" s="17" t="n">
        <f aca="false">(D476*asp_bw+D477*asp_hp+D478*D482+D479*asp_ru)/1000</f>
        <v>0.3665</v>
      </c>
      <c r="E485" s="17" t="n">
        <f aca="false">(E476*asp_bw+E477*asp_hp+E478*E482+E479*asp_ru)/1000</f>
        <v>1.194</v>
      </c>
      <c r="F485" s="17" t="n">
        <f aca="false">(F476*asp_bw+F477*asp_hp+F478*F482+F479*asp_ru)/1000</f>
        <v>1.342</v>
      </c>
      <c r="G485" s="17" t="n">
        <f aca="false">(G476*asp_bw+G477*asp_hp+G478*G482+G479*asp_ru)/1000</f>
        <v>1.6300875</v>
      </c>
      <c r="K485" s="4" t="s">
        <v>585</v>
      </c>
    </row>
    <row r="486" customFormat="false" ht="17.15" hidden="false" customHeight="false" outlineLevel="0" collapsed="false">
      <c r="A486" s="4" t="s">
        <v>586</v>
      </c>
      <c r="B486" s="0" t="s">
        <v>205</v>
      </c>
      <c r="D486" s="17" t="n">
        <f aca="false">(D480*D483+D481*D484)/1000</f>
        <v>0.2355</v>
      </c>
      <c r="E486" s="17" t="n">
        <f aca="false">(E480*E483+E481*E484)/1000</f>
        <v>0.5275</v>
      </c>
      <c r="F486" s="17" t="n">
        <f aca="false">(F480*F483+F481*F484)/1000</f>
        <v>0.608</v>
      </c>
      <c r="G486" s="17" t="n">
        <f aca="false">(G480*G483+G481*G484)/1000</f>
        <v>0.7429</v>
      </c>
    </row>
    <row r="487" customFormat="false" ht="17.15" hidden="false" customHeight="false" outlineLevel="0" collapsed="false">
      <c r="A487" s="0" t="s">
        <v>587</v>
      </c>
      <c r="B487" s="0" t="s">
        <v>205</v>
      </c>
      <c r="D487" s="17" t="n">
        <f aca="false">D485+D486</f>
        <v>0.602</v>
      </c>
      <c r="E487" s="17" t="n">
        <f aca="false">E485+E486</f>
        <v>1.7215</v>
      </c>
      <c r="F487" s="17" t="n">
        <f aca="false">F485+F486</f>
        <v>1.95</v>
      </c>
      <c r="G487" s="17" t="n">
        <f aca="false">G485+G486</f>
        <v>2.3729875</v>
      </c>
    </row>
    <row r="488" customFormat="false" ht="17.15" hidden="false" customHeight="false" outlineLevel="0" collapsed="false">
      <c r="A488" s="4" t="s">
        <v>588</v>
      </c>
      <c r="B488" s="0" t="s">
        <v>196</v>
      </c>
      <c r="D488" s="18" t="n">
        <f aca="false">a26_rev*ai_26_hi/fx/(D485+k_non*D486)</f>
        <v>1.0586705014109</v>
      </c>
      <c r="K488" s="8" t="s">
        <v>589</v>
      </c>
    </row>
    <row r="489" customFormat="false" ht="17.15" hidden="false" customHeight="false" outlineLevel="0" collapsed="false">
      <c r="A489" s="4" t="s">
        <v>590</v>
      </c>
      <c r="B489" s="0" t="s">
        <v>109</v>
      </c>
      <c r="D489" s="19" t="n">
        <f aca="false">1</f>
        <v>1</v>
      </c>
      <c r="E489" s="19" t="n">
        <f aca="false">rel_27</f>
        <v>0.97</v>
      </c>
      <c r="F489" s="19" t="n">
        <f aca="false">rel_28</f>
        <v>0.93</v>
      </c>
      <c r="G489" s="19" t="n">
        <f aca="false">rel_29</f>
        <v>0.9</v>
      </c>
    </row>
    <row r="490" customFormat="false" ht="17.15" hidden="false" customHeight="false" outlineLevel="0" collapsed="false">
      <c r="A490" s="4" t="s">
        <v>591</v>
      </c>
      <c r="B490" s="0" t="s">
        <v>196</v>
      </c>
      <c r="D490" s="18" t="n">
        <f aca="false">$D$488*D489</f>
        <v>1.0586705014109</v>
      </c>
      <c r="E490" s="18" t="n">
        <f aca="false">$D$488*E489</f>
        <v>1.02691038636857</v>
      </c>
      <c r="F490" s="18" t="n">
        <f aca="false">$D$488*F489</f>
        <v>0.984563566312134</v>
      </c>
      <c r="G490" s="18" t="n">
        <f aca="false">$D$488*G489</f>
        <v>0.952803451269807</v>
      </c>
    </row>
    <row r="491" customFormat="false" ht="17.15" hidden="false" customHeight="false" outlineLevel="0" collapsed="false">
      <c r="A491" s="4" t="s">
        <v>592</v>
      </c>
      <c r="B491" s="0" t="s">
        <v>196</v>
      </c>
      <c r="D491" s="18" t="n">
        <f aca="false">D490*k_non</f>
        <v>0.423468200564359</v>
      </c>
      <c r="E491" s="18" t="n">
        <f aca="false">E490*k_non</f>
        <v>0.410764154547428</v>
      </c>
      <c r="F491" s="18" t="n">
        <f aca="false">F490*k_non</f>
        <v>0.393825426524854</v>
      </c>
      <c r="G491" s="18" t="n">
        <f aca="false">G490*k_non</f>
        <v>0.381121380507923</v>
      </c>
    </row>
    <row r="492" customFormat="false" ht="17.15" hidden="false" customHeight="false" outlineLevel="0" collapsed="false">
      <c r="A492" s="0" t="s">
        <v>593</v>
      </c>
      <c r="B492" s="0" t="s">
        <v>301</v>
      </c>
      <c r="C492" s="24" t="n">
        <f aca="false">a25_ail</f>
        <v>6.0828</v>
      </c>
      <c r="D492" s="24" t="n">
        <f aca="false">(D485*D490+D486*D491)*fx</f>
        <v>15.607344</v>
      </c>
      <c r="E492" s="24" t="n">
        <f aca="false">(E485*E490+E486*E491)*fx</f>
        <v>46.1698909711309</v>
      </c>
      <c r="F492" s="24" t="n">
        <f aca="false">(F485*F490+F486*F491)*fx</f>
        <v>49.9433652901758</v>
      </c>
      <c r="G492" s="24" t="n">
        <f aca="false">(G485*G490+G486*G491)*fx</f>
        <v>58.7612182224354</v>
      </c>
    </row>
    <row r="493" customFormat="false" ht="17.15" hidden="false" customHeight="false" outlineLevel="0" collapsed="false">
      <c r="A493" s="6" t="s">
        <v>594</v>
      </c>
    </row>
    <row r="494" customFormat="false" ht="17.15" hidden="false" customHeight="false" outlineLevel="0" collapsed="false">
      <c r="A494" s="0" t="s">
        <v>595</v>
      </c>
      <c r="B494" s="0" t="s">
        <v>205</v>
      </c>
      <c r="D494" s="24" t="n">
        <f aca="false">lmkB_26</f>
        <v>4.51368758595869</v>
      </c>
      <c r="E494" s="24" t="n">
        <f aca="false">lmkB_27*1</f>
        <v>10.2011004204398</v>
      </c>
      <c r="F494" s="24" t="n">
        <f aca="false">lmkB_28*1</f>
        <v>12.6260448229601</v>
      </c>
      <c r="G494" s="24" t="n">
        <f aca="false">lmkB_29*1</f>
        <v>16.1809438578051</v>
      </c>
      <c r="K494" s="4" t="s">
        <v>596</v>
      </c>
    </row>
    <row r="495" customFormat="false" ht="15" hidden="false" customHeight="false" outlineLevel="0" collapsed="false">
      <c r="A495" s="4" t="s">
        <v>542</v>
      </c>
      <c r="B495" s="0" t="s">
        <v>196</v>
      </c>
      <c r="D495" s="18" t="n">
        <f aca="false">0</f>
        <v>0</v>
      </c>
      <c r="E495" s="18" t="n">
        <f aca="false">lcs_27</f>
        <v>0.008</v>
      </c>
      <c r="F495" s="18" t="n">
        <f aca="false">lcs_28</f>
        <v>0.015</v>
      </c>
      <c r="G495" s="18" t="n">
        <f aca="false">lcs_29</f>
        <v>0.025</v>
      </c>
    </row>
    <row r="496" customFormat="false" ht="17.15" hidden="false" customHeight="false" outlineLevel="0" collapsed="false">
      <c r="A496" s="4" t="s">
        <v>597</v>
      </c>
      <c r="B496" s="0" t="s">
        <v>301</v>
      </c>
      <c r="C496" s="24" t="n">
        <f aca="false">0</f>
        <v>0</v>
      </c>
      <c r="D496" s="24" t="n">
        <f aca="false">D494*D495*fx</f>
        <v>0</v>
      </c>
      <c r="E496" s="24" t="n">
        <f aca="false">E494*E495*fx</f>
        <v>2.61148170763259</v>
      </c>
      <c r="F496" s="24" t="n">
        <f aca="false">F494*F495*fx</f>
        <v>6.06050151502085</v>
      </c>
      <c r="G496" s="24" t="n">
        <f aca="false">G494*G495*fx</f>
        <v>12.9447550862441</v>
      </c>
    </row>
    <row r="497" customFormat="false" ht="17.15" hidden="false" customHeight="false" outlineLevel="0" collapsed="false">
      <c r="A497" s="6" t="s">
        <v>598</v>
      </c>
    </row>
    <row r="498" customFormat="false" ht="17.15" hidden="false" customHeight="false" outlineLevel="0" collapsed="false">
      <c r="A498" s="4" t="s">
        <v>599</v>
      </c>
      <c r="B498" s="0" t="s">
        <v>301</v>
      </c>
      <c r="C498" s="24" t="n">
        <f aca="false">a25_oth</f>
        <v>8.637576</v>
      </c>
      <c r="D498" s="24" t="n">
        <f aca="false">a26_rev*(th_26-ai_26_hi)</f>
        <v>8.779131</v>
      </c>
      <c r="E498" s="24" t="n">
        <f aca="false">D498*(1+g_oth_27)</f>
        <v>9.83262672</v>
      </c>
      <c r="F498" s="24" t="n">
        <f aca="false">E498*(1+g_oth_28)</f>
        <v>10.815889392</v>
      </c>
      <c r="G498" s="24" t="n">
        <f aca="false">F498*(1+g_oth_29)</f>
        <v>11.68116054336</v>
      </c>
    </row>
    <row r="499" customFormat="false" ht="15" hidden="false" customHeight="false" outlineLevel="0" collapsed="false">
      <c r="A499" s="4" t="s">
        <v>600</v>
      </c>
      <c r="B499" s="0" t="s">
        <v>301</v>
      </c>
      <c r="C499" s="24" t="n">
        <f aca="false">a25_lf</f>
        <v>5.555624</v>
      </c>
      <c r="D499" s="24" t="n">
        <f aca="false">a26_lf</f>
        <v>8.128825</v>
      </c>
      <c r="E499" s="24" t="n">
        <f aca="false">D499*(1+g_lf_27)</f>
        <v>8.37268975</v>
      </c>
      <c r="F499" s="24" t="n">
        <f aca="false">E499*(1+g_lf_28)</f>
        <v>8.6238704425</v>
      </c>
      <c r="G499" s="24" t="n">
        <f aca="false">F499*(1+g_lf_29)</f>
        <v>8.882586555775</v>
      </c>
    </row>
    <row r="500" customFormat="false" ht="17.15" hidden="false" customHeight="false" outlineLevel="0" collapsed="false">
      <c r="A500" s="4" t="s">
        <v>475</v>
      </c>
      <c r="B500" s="0" t="s">
        <v>301</v>
      </c>
      <c r="C500" s="24" t="n">
        <f aca="false">C492+C496+C498+C499</f>
        <v>20.276</v>
      </c>
      <c r="D500" s="24" t="n">
        <f aca="false">D492+D496+D498+D499</f>
        <v>32.5153</v>
      </c>
      <c r="E500" s="24" t="n">
        <f aca="false">E492+E496+E498+E499</f>
        <v>66.9866891487635</v>
      </c>
      <c r="F500" s="24" t="n">
        <f aca="false">F492+F496+F498+F499</f>
        <v>75.4436266396967</v>
      </c>
      <c r="G500" s="24" t="n">
        <f aca="false">G492+G496+G498+G499</f>
        <v>92.2697204078145</v>
      </c>
      <c r="H500" s="25" t="n">
        <f aca="false">G500*(1+H501)</f>
        <v>107.219180374361</v>
      </c>
      <c r="I500" s="25" t="n">
        <f aca="false">H500*(1+I501)</f>
        <v>118.049343225397</v>
      </c>
      <c r="J500" s="25" t="n">
        <f aca="false">I500*(1+J501)</f>
        <v>122.771316954413</v>
      </c>
      <c r="K500" s="8" t="s">
        <v>601</v>
      </c>
    </row>
    <row r="501" customFormat="false" ht="15" hidden="false" customHeight="false" outlineLevel="0" collapsed="false">
      <c r="A501" s="4" t="s">
        <v>602</v>
      </c>
      <c r="B501" s="0" t="s">
        <v>196</v>
      </c>
      <c r="D501" s="18" t="n">
        <f aca="false">D500/C500-1</f>
        <v>0.603634839218781</v>
      </c>
      <c r="E501" s="18" t="n">
        <f aca="false">E500/D500-1</f>
        <v>1.06015903739973</v>
      </c>
      <c r="F501" s="18" t="n">
        <f aca="false">F500/E500-1</f>
        <v>0.126248029248798</v>
      </c>
      <c r="G501" s="18" t="n">
        <f aca="false">G500/F500-1</f>
        <v>0.223028697287788</v>
      </c>
      <c r="H501" s="26" t="n">
        <f aca="false">$G501+(fade_gB-$G501)*1/3</f>
        <v>0.162019131525192</v>
      </c>
      <c r="I501" s="26" t="n">
        <f aca="false">$G501+(fade_gB-$G501)*2/3</f>
        <v>0.101009565762596</v>
      </c>
      <c r="J501" s="26" t="n">
        <f aca="false">$G501+(fade_gB-$G501)*3/3</f>
        <v>0.04</v>
      </c>
    </row>
    <row r="502" customFormat="false" ht="17.15" hidden="false" customHeight="false" outlineLevel="0" collapsed="false">
      <c r="A502" s="0" t="s">
        <v>603</v>
      </c>
      <c r="B502" s="0" t="s">
        <v>196</v>
      </c>
      <c r="C502" s="18" t="n">
        <f aca="false">C492/C500</f>
        <v>0.3</v>
      </c>
      <c r="D502" s="18" t="n">
        <f aca="false">D492/D500</f>
        <v>0.48</v>
      </c>
      <c r="E502" s="18" t="n">
        <f aca="false">E492/E500</f>
        <v>0.689239781183948</v>
      </c>
      <c r="F502" s="18" t="n">
        <f aca="false">F492/F500</f>
        <v>0.66199581746905</v>
      </c>
      <c r="G502" s="18" t="n">
        <f aca="false">G492/G500</f>
        <v>0.636841836766407</v>
      </c>
    </row>
    <row r="503" customFormat="false" ht="17.15" hidden="false" customHeight="false" outlineLevel="0" collapsed="false">
      <c r="A503" s="4" t="s">
        <v>604</v>
      </c>
      <c r="B503" s="0" t="s">
        <v>136</v>
      </c>
      <c r="D503" s="24" t="n">
        <f aca="false">D492/fx*1000/(D476+D477+D478+D479+D480+D481)</f>
        <v>32.0874671052632</v>
      </c>
      <c r="E503" s="24" t="n">
        <f aca="false">E492/fx*1000/(E476+E477+E478+E479+E480+E481)</f>
        <v>60.8780207952675</v>
      </c>
      <c r="F503" s="24" t="n">
        <f aca="false">F492/fx*1000/(F476+F477+F478+F479+F480+F481)</f>
        <v>73.6193474206601</v>
      </c>
      <c r="G503" s="24" t="n">
        <f aca="false">G492/fx*1000/(G476+G477+G478+G479+G480+G481)</f>
        <v>71.6530316828059</v>
      </c>
    </row>
    <row r="504" customFormat="false" ht="17.15" hidden="false" customHeight="false" outlineLevel="0" collapsed="false">
      <c r="A504" s="6" t="s">
        <v>605</v>
      </c>
    </row>
    <row r="505" customFormat="false" ht="17.15" hidden="false" customHeight="false" outlineLevel="0" collapsed="false">
      <c r="A505" s="4" t="s">
        <v>606</v>
      </c>
      <c r="B505" s="0" t="s">
        <v>196</v>
      </c>
      <c r="D505" s="18" t="n">
        <f aca="false">a26_gp/D500-d_ai*D502</f>
        <v>0.415724773260588</v>
      </c>
      <c r="K505" s="8" t="s">
        <v>607</v>
      </c>
    </row>
    <row r="506" customFormat="false" ht="15" hidden="false" customHeight="false" outlineLevel="0" collapsed="false">
      <c r="A506" s="4" t="s">
        <v>479</v>
      </c>
      <c r="B506" s="0" t="s">
        <v>301</v>
      </c>
      <c r="C506" s="24" t="n">
        <f aca="false">a25_gp</f>
        <v>8.434</v>
      </c>
      <c r="D506" s="24" t="n">
        <f aca="false">a26_gp</f>
        <v>15.390297</v>
      </c>
      <c r="E506" s="24" t="n">
        <f aca="false">$D$505*E500+d_ai*E492</f>
        <v>33.3884130743829</v>
      </c>
      <c r="F506" s="24" t="n">
        <f aca="false">$D$505*F500+d_ai*F492</f>
        <v>37.3569884135655</v>
      </c>
      <c r="G506" s="24" t="n">
        <f aca="false">$D$505*G500+d_ai*G492</f>
        <v>45.4101547820488</v>
      </c>
    </row>
    <row r="507" customFormat="false" ht="15" hidden="false" customHeight="false" outlineLevel="0" collapsed="false">
      <c r="A507" s="4" t="s">
        <v>482</v>
      </c>
      <c r="B507" s="0" t="s">
        <v>196</v>
      </c>
      <c r="C507" s="18" t="n">
        <f aca="false">C506/C500</f>
        <v>0.415959755375814</v>
      </c>
      <c r="D507" s="18" t="n">
        <f aca="false">D506/D500</f>
        <v>0.473324773260588</v>
      </c>
      <c r="E507" s="18" t="n">
        <f aca="false">E506/E500</f>
        <v>0.498433547002662</v>
      </c>
      <c r="F507" s="18" t="n">
        <f aca="false">F506/F500</f>
        <v>0.495164271356874</v>
      </c>
      <c r="G507" s="18" t="n">
        <f aca="false">G506/G500</f>
        <v>0.492145793672557</v>
      </c>
    </row>
    <row r="508" customFormat="false" ht="15" hidden="false" customHeight="false" outlineLevel="0" collapsed="false">
      <c r="A508" s="4" t="s">
        <v>608</v>
      </c>
      <c r="B508" s="0" t="s">
        <v>301</v>
      </c>
      <c r="C508" s="24" t="n">
        <f aca="false">a25_opx</f>
        <v>1.936</v>
      </c>
      <c r="D508" s="24" t="n">
        <f aca="false">a26_opx</f>
        <v>2.8705005</v>
      </c>
      <c r="E508" s="24" t="n">
        <f aca="false">D508*(1+MAX(0,phi*E501))</f>
        <v>4.69641272816127</v>
      </c>
      <c r="F508" s="24" t="n">
        <f aca="false">E508*(1+MAX(0,phi*F501))</f>
        <v>5.05216043904287</v>
      </c>
      <c r="G508" s="24" t="n">
        <f aca="false">F508*(1+MAX(0,phi*G501))</f>
        <v>5.72822649576805</v>
      </c>
    </row>
    <row r="509" customFormat="false" ht="15" hidden="false" customHeight="false" outlineLevel="0" collapsed="false">
      <c r="A509" s="4" t="s">
        <v>484</v>
      </c>
      <c r="B509" s="0" t="s">
        <v>301</v>
      </c>
      <c r="C509" s="24" t="n">
        <f aca="false">C508</f>
        <v>1.936</v>
      </c>
      <c r="D509" s="24" t="n">
        <f aca="false">D508</f>
        <v>2.8705005</v>
      </c>
      <c r="E509" s="24" t="n">
        <f aca="false">E508+0*E500</f>
        <v>4.69641272816127</v>
      </c>
      <c r="F509" s="24" t="n">
        <f aca="false">F508+0*F500</f>
        <v>5.05216043904287</v>
      </c>
      <c r="G509" s="24" t="n">
        <f aca="false">G508+0*G500</f>
        <v>5.72822649576805</v>
      </c>
    </row>
    <row r="510" customFormat="false" ht="15" hidden="false" customHeight="false" outlineLevel="0" collapsed="false">
      <c r="A510" s="4" t="s">
        <v>486</v>
      </c>
      <c r="B510" s="0" t="s">
        <v>301</v>
      </c>
      <c r="C510" s="24" t="n">
        <f aca="false">C506-C509</f>
        <v>6.498</v>
      </c>
      <c r="D510" s="24" t="n">
        <f aca="false">D506-D509</f>
        <v>12.5197965</v>
      </c>
      <c r="E510" s="24" t="n">
        <f aca="false">E506-E509</f>
        <v>28.6920003462216</v>
      </c>
      <c r="F510" s="24" t="n">
        <f aca="false">F506-F509</f>
        <v>32.3048279745226</v>
      </c>
      <c r="G510" s="24" t="n">
        <f aca="false">G506-G509</f>
        <v>39.6819282862808</v>
      </c>
    </row>
    <row r="511" customFormat="false" ht="15" hidden="false" customHeight="false" outlineLevel="0" collapsed="false">
      <c r="A511" s="4" t="s">
        <v>488</v>
      </c>
      <c r="B511" s="0" t="s">
        <v>196</v>
      </c>
      <c r="C511" s="18" t="n">
        <f aca="false">C510/C500</f>
        <v>0.320477411718288</v>
      </c>
      <c r="D511" s="18" t="n">
        <f aca="false">D510/D500</f>
        <v>0.385043241181844</v>
      </c>
      <c r="E511" s="18" t="n">
        <f aca="false">E510/E500</f>
        <v>0.428323906000231</v>
      </c>
      <c r="F511" s="18" t="n">
        <f aca="false">F510/F500</f>
        <v>0.428198237722635</v>
      </c>
      <c r="G511" s="18" t="n">
        <f aca="false">G510/G500</f>
        <v>0.430064468721637</v>
      </c>
    </row>
    <row r="512" customFormat="false" ht="15" hidden="false" customHeight="false" outlineLevel="0" collapsed="false">
      <c r="A512" s="4" t="s">
        <v>489</v>
      </c>
      <c r="B512" s="0" t="s">
        <v>301</v>
      </c>
      <c r="C512" s="29" t="n">
        <f aca="false">a25_nop</f>
        <v>0.108999999999999</v>
      </c>
      <c r="D512" s="29" t="n">
        <f aca="false">a26_nop</f>
        <v>0.330500000000001</v>
      </c>
      <c r="E512" s="29" t="n">
        <f aca="false">nop_f</f>
        <v>0.3</v>
      </c>
      <c r="F512" s="29" t="n">
        <f aca="false">nop_f</f>
        <v>0.3</v>
      </c>
      <c r="G512" s="29" t="n">
        <f aca="false">nop_f</f>
        <v>0.3</v>
      </c>
    </row>
    <row r="513" customFormat="false" ht="15" hidden="false" customHeight="false" outlineLevel="0" collapsed="false">
      <c r="A513" s="4" t="s">
        <v>494</v>
      </c>
      <c r="B513" s="0" t="s">
        <v>301</v>
      </c>
      <c r="C513" s="24" t="n">
        <f aca="false">a25_ni</f>
        <v>5.277</v>
      </c>
      <c r="D513" s="24" t="n">
        <f aca="false">a26_ni</f>
        <v>10.3442061825</v>
      </c>
      <c r="E513" s="24" t="n">
        <f aca="false">(E510+E512)*nir_f</f>
        <v>23.3385602787084</v>
      </c>
      <c r="F513" s="24" t="n">
        <f aca="false">(F510+F512)*nir_f</f>
        <v>26.2468865194907</v>
      </c>
      <c r="G513" s="24" t="n">
        <f aca="false">(G510+G512)*nir_f</f>
        <v>32.185452270456</v>
      </c>
      <c r="H513" s="25" t="n">
        <f aca="false">H500*H517</f>
        <v>35.8428069378612</v>
      </c>
      <c r="I513" s="25" t="n">
        <f aca="false">I500*I517</f>
        <v>37.7486663082866</v>
      </c>
      <c r="J513" s="25" t="n">
        <f aca="false">J500*J517</f>
        <v>37.4754216867743</v>
      </c>
    </row>
    <row r="514" customFormat="false" ht="15" hidden="false" customHeight="false" outlineLevel="0" collapsed="false">
      <c r="A514" s="4" t="s">
        <v>609</v>
      </c>
      <c r="B514" s="4" t="s">
        <v>327</v>
      </c>
      <c r="C514" s="28" t="n">
        <f aca="false">a25_sh</f>
        <v>0.143591836734694</v>
      </c>
      <c r="D514" s="28" t="n">
        <f aca="false">a26_sh</f>
        <v>0.146703513620213</v>
      </c>
      <c r="E514" s="28" t="n">
        <f aca="false">D514*(1+sh_g)</f>
        <v>0.146703513620213</v>
      </c>
      <c r="F514" s="28" t="n">
        <f aca="false">E514*(1+sh_g)</f>
        <v>0.146703513620213</v>
      </c>
      <c r="G514" s="28" t="n">
        <f aca="false">F514*(1+sh_g)</f>
        <v>0.146703513620213</v>
      </c>
      <c r="H514" s="30" t="n">
        <f aca="false">G514*(1+sh_g)</f>
        <v>0.146703513620213</v>
      </c>
      <c r="I514" s="30" t="n">
        <f aca="false">H514*(1+sh_g)</f>
        <v>0.146703513620213</v>
      </c>
      <c r="J514" s="30" t="n">
        <f aca="false">I514*(1+sh_g)</f>
        <v>0.146703513620213</v>
      </c>
    </row>
    <row r="515" customFormat="false" ht="15" hidden="false" customHeight="false" outlineLevel="0" collapsed="false">
      <c r="A515" s="0" t="s">
        <v>500</v>
      </c>
      <c r="B515" s="0" t="s">
        <v>360</v>
      </c>
      <c r="C515" s="29" t="n">
        <f aca="false">C513/C514</f>
        <v>36.75</v>
      </c>
      <c r="D515" s="29" t="n">
        <f aca="false">D513/D514</f>
        <v>70.5109641019174</v>
      </c>
      <c r="E515" s="29" t="n">
        <f aca="false">E513/E514</f>
        <v>159.086580155997</v>
      </c>
      <c r="F515" s="29" t="n">
        <f aca="false">F513/F514</f>
        <v>178.911096754225</v>
      </c>
      <c r="G515" s="29" t="n">
        <f aca="false">G513/G514</f>
        <v>219.391148011478</v>
      </c>
      <c r="H515" s="31" t="n">
        <f aca="false">H513/H514</f>
        <v>244.321393900975</v>
      </c>
      <c r="I515" s="31" t="n">
        <f aca="false">I513/I514</f>
        <v>257.312625831243</v>
      </c>
      <c r="J515" s="31" t="n">
        <f aca="false">J513/J514</f>
        <v>255.450062251343</v>
      </c>
    </row>
    <row r="516" customFormat="false" ht="17.15" hidden="false" customHeight="false" outlineLevel="0" collapsed="false">
      <c r="A516" s="0" t="s">
        <v>610</v>
      </c>
      <c r="B516" s="0" t="s">
        <v>196</v>
      </c>
      <c r="D516" s="18" t="n">
        <f aca="false">D515/C515-1</f>
        <v>0.918665689848092</v>
      </c>
      <c r="E516" s="18" t="n">
        <f aca="false">E515/D515-1</f>
        <v>1.25619635445703</v>
      </c>
      <c r="F516" s="18" t="n">
        <f aca="false">F515/E515-1</f>
        <v>0.124614638008991</v>
      </c>
      <c r="G516" s="18" t="n">
        <f aca="false">G515/F515-1</f>
        <v>0.226257912402501</v>
      </c>
      <c r="H516" s="26" t="n">
        <f aca="false">H515/G515-1</f>
        <v>0.113633782016554</v>
      </c>
      <c r="I516" s="26" t="n">
        <f aca="false">I515/H515-1</f>
        <v>0.0531727153436803</v>
      </c>
      <c r="J516" s="26" t="n">
        <f aca="false">J515/I515-1</f>
        <v>-0.00723852385355195</v>
      </c>
    </row>
    <row r="517" customFormat="false" ht="17.15" hidden="false" customHeight="false" outlineLevel="0" collapsed="false">
      <c r="A517" s="4" t="s">
        <v>611</v>
      </c>
      <c r="B517" s="0" t="s">
        <v>196</v>
      </c>
      <c r="C517" s="18" t="n">
        <f aca="false">C513/C500</f>
        <v>0.260258433616098</v>
      </c>
      <c r="D517" s="18" t="n">
        <f aca="false">D513/D500</f>
        <v>0.318133499690915</v>
      </c>
      <c r="E517" s="18" t="n">
        <f aca="false">E513/E500</f>
        <v>0.348405938183903</v>
      </c>
      <c r="F517" s="18" t="n">
        <f aca="false">F513/F500</f>
        <v>0.347900646993555</v>
      </c>
      <c r="G517" s="18" t="n">
        <f aca="false">G513/G500</f>
        <v>0.348819223990302</v>
      </c>
      <c r="H517" s="26" t="n">
        <f aca="false">$G517+(fade_mB-$G517)*1/3</f>
        <v>0.334294729848841</v>
      </c>
      <c r="I517" s="26" t="n">
        <f aca="false">$G517+(fade_mB-$G517)*2/3</f>
        <v>0.319770235707381</v>
      </c>
      <c r="J517" s="26" t="n">
        <f aca="false">$G517+(fade_mB-$G517)*3/3</f>
        <v>0.30524574156592</v>
      </c>
    </row>
    <row r="520" customFormat="false" ht="17.15" hidden="false" customHeight="false" outlineLevel="0" collapsed="false">
      <c r="A520" s="1" t="s">
        <v>912</v>
      </c>
    </row>
    <row r="521" customFormat="false" ht="17.15" hidden="false" customHeight="false" outlineLevel="0" collapsed="false">
      <c r="A521" s="5" t="s">
        <v>22</v>
      </c>
      <c r="B521" s="5" t="s">
        <v>23</v>
      </c>
      <c r="C521" s="15" t="s">
        <v>470</v>
      </c>
      <c r="D521" s="15" t="s">
        <v>553</v>
      </c>
      <c r="E521" s="15" t="s">
        <v>554</v>
      </c>
      <c r="F521" s="15" t="s">
        <v>555</v>
      </c>
      <c r="G521" s="15" t="s">
        <v>556</v>
      </c>
      <c r="H521" s="15" t="s">
        <v>557</v>
      </c>
      <c r="I521" s="15" t="s">
        <v>558</v>
      </c>
      <c r="J521" s="15" t="s">
        <v>559</v>
      </c>
      <c r="K521" s="5" t="s">
        <v>523</v>
      </c>
    </row>
    <row r="522" customFormat="false" ht="17.15" hidden="false" customHeight="false" outlineLevel="0" collapsed="false">
      <c r="A522" s="6" t="s">
        <v>575</v>
      </c>
    </row>
    <row r="523" customFormat="false" ht="17.15" hidden="false" customHeight="false" outlineLevel="0" collapsed="false">
      <c r="A523" s="0" t="s">
        <v>576</v>
      </c>
      <c r="B523" s="4" t="s">
        <v>33</v>
      </c>
      <c r="D523" s="19" t="n">
        <f aca="false">(u_bw26)*1</f>
        <v>5.4</v>
      </c>
      <c r="E523" s="19" t="n">
        <f aca="false">(u_bw27)*1*1</f>
        <v>2.4</v>
      </c>
      <c r="F523" s="19" t="n">
        <f aca="false">(u_bw28)*um28_B*1</f>
        <v>0.4</v>
      </c>
      <c r="G523" s="19" t="n">
        <f aca="false">(u_bw29)*um29_B*1</f>
        <v>0.2125</v>
      </c>
    </row>
    <row r="524" customFormat="false" ht="17.15" hidden="false" customHeight="false" outlineLevel="0" collapsed="false">
      <c r="A524" s="0" t="s">
        <v>577</v>
      </c>
      <c r="B524" s="4" t="s">
        <v>33</v>
      </c>
      <c r="D524" s="19" t="n">
        <f aca="false">(u_hp26)*1</f>
        <v>0.5</v>
      </c>
      <c r="E524" s="19" t="n">
        <f aca="false">(u_hp27)*1*1</f>
        <v>0</v>
      </c>
      <c r="F524" s="19" t="n">
        <f aca="false">(u_hp28)*um28_B*1</f>
        <v>0</v>
      </c>
      <c r="G524" s="19" t="n">
        <f aca="false">(u_hp29)*um29_B*1</f>
        <v>0</v>
      </c>
    </row>
    <row r="525" customFormat="false" ht="17.15" hidden="false" customHeight="false" outlineLevel="0" collapsed="false">
      <c r="A525" s="0" t="s">
        <v>578</v>
      </c>
      <c r="B525" s="4" t="s">
        <v>33</v>
      </c>
      <c r="D525" s="19" t="n">
        <f aca="false">(u_rb26)*1</f>
        <v>1.7</v>
      </c>
      <c r="E525" s="19" t="n">
        <f aca="false">(u_rb27)*1*1</f>
        <v>7</v>
      </c>
      <c r="F525" s="19" t="n">
        <f aca="false">(u_rb28)*um28_B*1</f>
        <v>5.6</v>
      </c>
      <c r="G525" s="19" t="n">
        <f aca="false">(u_rb29)*um29_B*1</f>
        <v>6.8425</v>
      </c>
    </row>
    <row r="526" customFormat="false" ht="17.15" hidden="false" customHeight="false" outlineLevel="0" collapsed="false">
      <c r="A526" s="0" t="s">
        <v>579</v>
      </c>
      <c r="B526" s="4" t="s">
        <v>33</v>
      </c>
      <c r="D526" s="19" t="n">
        <f aca="false">(u_ru26)*1</f>
        <v>0</v>
      </c>
      <c r="E526" s="19" t="n">
        <f aca="false">(u_ru27)*1*1</f>
        <v>0.3</v>
      </c>
      <c r="F526" s="19" t="n">
        <f aca="false">(u_ru28)*um28_B*1</f>
        <v>1.6</v>
      </c>
      <c r="G526" s="19" t="n">
        <f aca="false">(u_ru29)*um29_B*1</f>
        <v>1.955</v>
      </c>
    </row>
    <row r="527" customFormat="false" ht="17.15" hidden="false" customHeight="false" outlineLevel="0" collapsed="false">
      <c r="A527" s="0" t="s">
        <v>580</v>
      </c>
      <c r="B527" s="4" t="s">
        <v>33</v>
      </c>
      <c r="D527" s="19" t="n">
        <f aca="false">(u_amd26)*1</f>
        <v>0.75</v>
      </c>
      <c r="E527" s="19" t="n">
        <f aca="false">(u_amd27)*1*1</f>
        <v>1.5</v>
      </c>
      <c r="F527" s="19" t="n">
        <f aca="false">(u_amd28)*um28_B*1</f>
        <v>1.6</v>
      </c>
      <c r="G527" s="19" t="n">
        <f aca="false">(u_amd29)*um29_B*1</f>
        <v>1.955</v>
      </c>
    </row>
    <row r="528" customFormat="false" ht="17.15" hidden="false" customHeight="false" outlineLevel="0" collapsed="false">
      <c r="A528" s="0" t="s">
        <v>581</v>
      </c>
      <c r="B528" s="4" t="s">
        <v>33</v>
      </c>
      <c r="D528" s="19" t="n">
        <f aca="false">(u_tpu26+u_trn26+u_oth26)*1</f>
        <v>6.85</v>
      </c>
      <c r="E528" s="19" t="n">
        <f aca="false">(u_tpu27+u_trn27+u_oth27)*1*1</f>
        <v>12.5</v>
      </c>
      <c r="F528" s="19" t="n">
        <f aca="false">(u_tpu28+u_trn28+u_oth28)*um28_B*1</f>
        <v>12</v>
      </c>
      <c r="G528" s="19" t="n">
        <f aca="false">(u_tpu29+u_trn29+u_oth29)*um29_B*1</f>
        <v>14.6625</v>
      </c>
    </row>
    <row r="529" customFormat="false" ht="17.15" hidden="false" customHeight="false" outlineLevel="0" collapsed="false">
      <c r="A529" s="0" t="s">
        <v>527</v>
      </c>
      <c r="B529" s="0" t="s">
        <v>136</v>
      </c>
      <c r="D529" s="22" t="n">
        <f aca="false">asp_vr_26</f>
        <v>100</v>
      </c>
      <c r="E529" s="22" t="n">
        <f aca="false">asp_vr_27</f>
        <v>150</v>
      </c>
      <c r="F529" s="22" t="n">
        <f aca="false">asp_vr_28</f>
        <v>180</v>
      </c>
      <c r="G529" s="22" t="n">
        <f aca="false">asp_vr_29</f>
        <v>180</v>
      </c>
    </row>
    <row r="530" customFormat="false" ht="17.15" hidden="false" customHeight="false" outlineLevel="0" collapsed="false">
      <c r="A530" s="0" t="s">
        <v>582</v>
      </c>
      <c r="B530" s="0" t="s">
        <v>136</v>
      </c>
      <c r="D530" s="22" t="n">
        <f aca="false">asp_amd_26</f>
        <v>40</v>
      </c>
      <c r="E530" s="22" t="n">
        <f aca="false">asp_amd_27</f>
        <v>60</v>
      </c>
      <c r="F530" s="22" t="n">
        <f aca="false">asp_amd_28</f>
        <v>80</v>
      </c>
      <c r="G530" s="22" t="n">
        <f aca="false">asp_amd_29</f>
        <v>80</v>
      </c>
    </row>
    <row r="531" customFormat="false" ht="17.15" hidden="false" customHeight="false" outlineLevel="0" collapsed="false">
      <c r="A531" s="0" t="s">
        <v>583</v>
      </c>
      <c r="B531" s="0" t="s">
        <v>136</v>
      </c>
      <c r="D531" s="22" t="n">
        <f aca="false">asp_asic_26</f>
        <v>30</v>
      </c>
      <c r="E531" s="22" t="n">
        <f aca="false">asp_asic_27</f>
        <v>35</v>
      </c>
      <c r="F531" s="22" t="n">
        <f aca="false">asp_asic_28</f>
        <v>40</v>
      </c>
      <c r="G531" s="22" t="n">
        <f aca="false">asp_asic_29</f>
        <v>40</v>
      </c>
    </row>
    <row r="532" customFormat="false" ht="17.15" hidden="false" customHeight="false" outlineLevel="0" collapsed="false">
      <c r="A532" s="0" t="s">
        <v>584</v>
      </c>
      <c r="B532" s="0" t="s">
        <v>205</v>
      </c>
      <c r="D532" s="17" t="n">
        <f aca="false">(D523*asp_bw+D524*asp_hp+D525*D529+D526*asp_ru)/1000</f>
        <v>0.3665</v>
      </c>
      <c r="E532" s="17" t="n">
        <f aca="false">(E523*asp_bw+E524*asp_hp+E525*E529+E526*asp_ru)/1000</f>
        <v>1.194</v>
      </c>
      <c r="F532" s="17" t="n">
        <f aca="false">(F523*asp_bw+F524*asp_hp+F525*F529+F526*asp_ru)/1000</f>
        <v>1.342</v>
      </c>
      <c r="G532" s="17" t="n">
        <f aca="false">(G523*asp_bw+G524*asp_hp+G525*G529+G526*asp_ru)/1000</f>
        <v>1.6300875</v>
      </c>
      <c r="K532" s="4" t="s">
        <v>585</v>
      </c>
    </row>
    <row r="533" customFormat="false" ht="17.15" hidden="false" customHeight="false" outlineLevel="0" collapsed="false">
      <c r="A533" s="4" t="s">
        <v>586</v>
      </c>
      <c r="B533" s="0" t="s">
        <v>205</v>
      </c>
      <c r="D533" s="17" t="n">
        <f aca="false">(D527*D530+D528*D531)/1000</f>
        <v>0.2355</v>
      </c>
      <c r="E533" s="17" t="n">
        <f aca="false">(E527*E530+E528*E531)/1000</f>
        <v>0.5275</v>
      </c>
      <c r="F533" s="17" t="n">
        <f aca="false">(F527*F530+F528*F531)/1000</f>
        <v>0.608</v>
      </c>
      <c r="G533" s="17" t="n">
        <f aca="false">(G527*G530+G528*G531)/1000</f>
        <v>0.7429</v>
      </c>
    </row>
    <row r="534" customFormat="false" ht="17.15" hidden="false" customHeight="false" outlineLevel="0" collapsed="false">
      <c r="A534" s="0" t="s">
        <v>587</v>
      </c>
      <c r="B534" s="0" t="s">
        <v>205</v>
      </c>
      <c r="D534" s="17" t="n">
        <f aca="false">D532+D533</f>
        <v>0.602</v>
      </c>
      <c r="E534" s="17" t="n">
        <f aca="false">E532+E533</f>
        <v>1.7215</v>
      </c>
      <c r="F534" s="17" t="n">
        <f aca="false">F532+F533</f>
        <v>1.95</v>
      </c>
      <c r="G534" s="17" t="n">
        <f aca="false">G532+G533</f>
        <v>2.3729875</v>
      </c>
    </row>
    <row r="535" customFormat="false" ht="17.15" hidden="false" customHeight="false" outlineLevel="0" collapsed="false">
      <c r="A535" s="4" t="s">
        <v>588</v>
      </c>
      <c r="B535" s="0" t="s">
        <v>196</v>
      </c>
      <c r="D535" s="18" t="n">
        <f aca="false">a26_rev*ai_26/fx/(D532+k_non*D533)</f>
        <v>0.882225417842414</v>
      </c>
      <c r="K535" s="8" t="s">
        <v>589</v>
      </c>
    </row>
    <row r="536" customFormat="false" ht="17.15" hidden="false" customHeight="false" outlineLevel="0" collapsed="false">
      <c r="A536" s="4" t="s">
        <v>590</v>
      </c>
      <c r="B536" s="0" t="s">
        <v>109</v>
      </c>
      <c r="D536" s="19" t="n">
        <f aca="false">1</f>
        <v>1</v>
      </c>
      <c r="E536" s="19" t="n">
        <f aca="false">rel_27</f>
        <v>0.97</v>
      </c>
      <c r="F536" s="19" t="n">
        <f aca="false">rel_28</f>
        <v>0.93</v>
      </c>
      <c r="G536" s="19" t="n">
        <f aca="false">rel_29</f>
        <v>0.9</v>
      </c>
    </row>
    <row r="537" customFormat="false" ht="17.15" hidden="false" customHeight="false" outlineLevel="0" collapsed="false">
      <c r="A537" s="4" t="s">
        <v>591</v>
      </c>
      <c r="B537" s="0" t="s">
        <v>196</v>
      </c>
      <c r="D537" s="18" t="n">
        <f aca="false">$D$535*D536</f>
        <v>0.882225417842414</v>
      </c>
      <c r="E537" s="18" t="n">
        <f aca="false">$D$535*E536</f>
        <v>0.855758655307142</v>
      </c>
      <c r="F537" s="18" t="n">
        <f aca="false">$D$535*F536</f>
        <v>0.820469638593445</v>
      </c>
      <c r="G537" s="18" t="n">
        <f aca="false">$D$535*G536</f>
        <v>0.794002876058173</v>
      </c>
    </row>
    <row r="538" customFormat="false" ht="17.15" hidden="false" customHeight="false" outlineLevel="0" collapsed="false">
      <c r="A538" s="4" t="s">
        <v>592</v>
      </c>
      <c r="B538" s="0" t="s">
        <v>196</v>
      </c>
      <c r="D538" s="18" t="n">
        <f aca="false">D537*k_non</f>
        <v>0.352890167136966</v>
      </c>
      <c r="E538" s="18" t="n">
        <f aca="false">E537*k_non</f>
        <v>0.342303462122857</v>
      </c>
      <c r="F538" s="18" t="n">
        <f aca="false">F537*k_non</f>
        <v>0.328187855437378</v>
      </c>
      <c r="G538" s="18" t="n">
        <f aca="false">G537*k_non</f>
        <v>0.317601150423269</v>
      </c>
    </row>
    <row r="539" customFormat="false" ht="17.15" hidden="false" customHeight="false" outlineLevel="0" collapsed="false">
      <c r="A539" s="0" t="s">
        <v>593</v>
      </c>
      <c r="B539" s="0" t="s">
        <v>301</v>
      </c>
      <c r="C539" s="24" t="n">
        <f aca="false">a25_ail</f>
        <v>6.0828</v>
      </c>
      <c r="D539" s="24" t="n">
        <f aca="false">(D532*D537+D533*D538)*fx</f>
        <v>13.00612</v>
      </c>
      <c r="E539" s="24" t="n">
        <f aca="false">(E532*E537+E533*E538)*fx</f>
        <v>38.4749091426091</v>
      </c>
      <c r="F539" s="24" t="n">
        <f aca="false">(F532*F537+F533*F538)*fx</f>
        <v>41.6194710751465</v>
      </c>
      <c r="G539" s="24" t="n">
        <f aca="false">(G532*G537+G533*G538)*fx</f>
        <v>48.9676818520295</v>
      </c>
    </row>
    <row r="540" customFormat="false" ht="17.15" hidden="false" customHeight="false" outlineLevel="0" collapsed="false">
      <c r="A540" s="6" t="s">
        <v>594</v>
      </c>
    </row>
    <row r="541" customFormat="false" ht="17.15" hidden="false" customHeight="false" outlineLevel="0" collapsed="false">
      <c r="A541" s="0" t="s">
        <v>595</v>
      </c>
      <c r="B541" s="0" t="s">
        <v>205</v>
      </c>
      <c r="D541" s="24" t="n">
        <f aca="false">lmkB_26</f>
        <v>4.51368758595869</v>
      </c>
      <c r="E541" s="24" t="n">
        <f aca="false">lmkB_27*1</f>
        <v>10.2011004204398</v>
      </c>
      <c r="F541" s="24" t="n">
        <f aca="false">lmkB_28*1</f>
        <v>12.6260448229601</v>
      </c>
      <c r="G541" s="24" t="n">
        <f aca="false">lmkB_29*1</f>
        <v>16.1809438578051</v>
      </c>
      <c r="K541" s="4" t="s">
        <v>596</v>
      </c>
    </row>
    <row r="542" customFormat="false" ht="15" hidden="false" customHeight="false" outlineLevel="0" collapsed="false">
      <c r="A542" s="4" t="s">
        <v>542</v>
      </c>
      <c r="B542" s="0" t="s">
        <v>196</v>
      </c>
      <c r="D542" s="18" t="n">
        <f aca="false">0</f>
        <v>0</v>
      </c>
      <c r="E542" s="18" t="n">
        <f aca="false">LCLO_27</f>
        <v>0.003</v>
      </c>
      <c r="F542" s="18" t="n">
        <f aca="false">LCLO_28</f>
        <v>0.006</v>
      </c>
      <c r="G542" s="18" t="n">
        <f aca="false">LCLO_29</f>
        <v>0.01</v>
      </c>
    </row>
    <row r="543" customFormat="false" ht="17.15" hidden="false" customHeight="false" outlineLevel="0" collapsed="false">
      <c r="A543" s="4" t="s">
        <v>597</v>
      </c>
      <c r="B543" s="0" t="s">
        <v>301</v>
      </c>
      <c r="C543" s="24" t="n">
        <f aca="false">0</f>
        <v>0</v>
      </c>
      <c r="D543" s="24" t="n">
        <f aca="false">D541*D542*fx</f>
        <v>0</v>
      </c>
      <c r="E543" s="24" t="n">
        <f aca="false">E541*E542*fx</f>
        <v>0.979305640362221</v>
      </c>
      <c r="F543" s="24" t="n">
        <f aca="false">F541*F542*fx</f>
        <v>2.42420060600834</v>
      </c>
      <c r="G543" s="24" t="n">
        <f aca="false">G541*G542*fx</f>
        <v>5.17790203449763</v>
      </c>
    </row>
    <row r="544" customFormat="false" ht="17.15" hidden="false" customHeight="false" outlineLevel="0" collapsed="false">
      <c r="A544" s="6" t="s">
        <v>598</v>
      </c>
    </row>
    <row r="545" customFormat="false" ht="17.15" hidden="false" customHeight="false" outlineLevel="0" collapsed="false">
      <c r="A545" s="4" t="s">
        <v>599</v>
      </c>
      <c r="B545" s="0" t="s">
        <v>301</v>
      </c>
      <c r="C545" s="24" t="n">
        <f aca="false">a25_oth</f>
        <v>8.637576</v>
      </c>
      <c r="D545" s="24" t="n">
        <f aca="false">a26_rev*(th_26-ai_26)</f>
        <v>11.380355</v>
      </c>
      <c r="E545" s="24" t="n">
        <f aca="false">D545*(1+g_oth_27)</f>
        <v>12.7459976</v>
      </c>
      <c r="F545" s="24" t="n">
        <f aca="false">E545*(1+g_oth_28)</f>
        <v>14.02059736</v>
      </c>
      <c r="G545" s="24" t="n">
        <f aca="false">F545*(1+g_oth_29)</f>
        <v>15.1422451488</v>
      </c>
    </row>
    <row r="546" customFormat="false" ht="15" hidden="false" customHeight="false" outlineLevel="0" collapsed="false">
      <c r="A546" s="4" t="s">
        <v>600</v>
      </c>
      <c r="B546" s="0" t="s">
        <v>301</v>
      </c>
      <c r="C546" s="24" t="n">
        <f aca="false">a25_lf</f>
        <v>5.555624</v>
      </c>
      <c r="D546" s="24" t="n">
        <f aca="false">a26_lf</f>
        <v>8.128825</v>
      </c>
      <c r="E546" s="24" t="n">
        <f aca="false">D546*(1+g_lf_27)</f>
        <v>8.37268975</v>
      </c>
      <c r="F546" s="24" t="n">
        <f aca="false">E546*(1+g_lf_28)</f>
        <v>8.6238704425</v>
      </c>
      <c r="G546" s="24" t="n">
        <f aca="false">F546*(1+g_lf_29)</f>
        <v>8.882586555775</v>
      </c>
    </row>
    <row r="547" customFormat="false" ht="17.15" hidden="false" customHeight="false" outlineLevel="0" collapsed="false">
      <c r="A547" s="4" t="s">
        <v>475</v>
      </c>
      <c r="B547" s="0" t="s">
        <v>301</v>
      </c>
      <c r="C547" s="24" t="n">
        <f aca="false">C539+C543+C545+C546</f>
        <v>20.276</v>
      </c>
      <c r="D547" s="24" t="n">
        <f aca="false">D539+D543+D545+D546</f>
        <v>32.5153</v>
      </c>
      <c r="E547" s="24" t="n">
        <f aca="false">E539+E543+E545+E546</f>
        <v>60.5729021329713</v>
      </c>
      <c r="F547" s="24" t="n">
        <f aca="false">F539+F543+F545+F546</f>
        <v>66.6881394836549</v>
      </c>
      <c r="G547" s="24" t="n">
        <f aca="false">G539+G543+G545+G546</f>
        <v>78.1704155911022</v>
      </c>
      <c r="H547" s="25" t="n">
        <f aca="false">G547*(1+H548)</f>
        <v>88.1855406650811</v>
      </c>
      <c r="I547" s="25" t="n">
        <f aca="false">H547*(1+I548)</f>
        <v>95.5983785349477</v>
      </c>
      <c r="J547" s="25" t="n">
        <f aca="false">I547*(1+J548)</f>
        <v>99.4223136763456</v>
      </c>
      <c r="K547" s="8" t="s">
        <v>601</v>
      </c>
    </row>
    <row r="548" customFormat="false" ht="15" hidden="false" customHeight="false" outlineLevel="0" collapsed="false">
      <c r="A548" s="4" t="s">
        <v>602</v>
      </c>
      <c r="B548" s="0" t="s">
        <v>196</v>
      </c>
      <c r="D548" s="18" t="n">
        <f aca="false">D547/C547-1</f>
        <v>0.603634839218781</v>
      </c>
      <c r="E548" s="18" t="n">
        <f aca="false">E547/D547-1</f>
        <v>0.862904605923098</v>
      </c>
      <c r="F548" s="18" t="n">
        <f aca="false">F547/E547-1</f>
        <v>0.100956651164893</v>
      </c>
      <c r="G548" s="18" t="n">
        <f aca="false">G547/F547-1</f>
        <v>0.172178684191086</v>
      </c>
      <c r="H548" s="26" t="n">
        <f aca="false">$G548+(fade_gB-$G548)*1/3</f>
        <v>0.128119122794057</v>
      </c>
      <c r="I548" s="26" t="n">
        <f aca="false">$G548+(fade_gB-$G548)*2/3</f>
        <v>0.0840595613970287</v>
      </c>
      <c r="J548" s="26" t="n">
        <f aca="false">$G548+(fade_gB-$G548)*3/3</f>
        <v>0.04</v>
      </c>
    </row>
    <row r="549" customFormat="false" ht="17.15" hidden="false" customHeight="false" outlineLevel="0" collapsed="false">
      <c r="A549" s="0" t="s">
        <v>603</v>
      </c>
      <c r="B549" s="0" t="s">
        <v>196</v>
      </c>
      <c r="C549" s="18" t="n">
        <f aca="false">C539/C547</f>
        <v>0.3</v>
      </c>
      <c r="D549" s="18" t="n">
        <f aca="false">D539/D547</f>
        <v>0.4</v>
      </c>
      <c r="E549" s="18" t="n">
        <f aca="false">E539/E547</f>
        <v>0.635183519160893</v>
      </c>
      <c r="F549" s="18" t="n">
        <f aca="false">F539/F547</f>
        <v>0.624091051233291</v>
      </c>
      <c r="G549" s="18" t="n">
        <f aca="false">G539/G547</f>
        <v>0.626422176238287</v>
      </c>
    </row>
    <row r="550" customFormat="false" ht="17.15" hidden="false" customHeight="false" outlineLevel="0" collapsed="false">
      <c r="A550" s="4" t="s">
        <v>604</v>
      </c>
      <c r="B550" s="0" t="s">
        <v>136</v>
      </c>
      <c r="D550" s="24" t="n">
        <f aca="false">D539/fx*1000/(D523+D524+D525+D526+D527+D528)</f>
        <v>26.7395559210526</v>
      </c>
      <c r="E550" s="24" t="n">
        <f aca="false">E539/fx*1000/(E523+E524+E525+E526+E527+E528)</f>
        <v>50.7316839960563</v>
      </c>
      <c r="F550" s="24" t="n">
        <f aca="false">F539/fx*1000/(F523+F524+F525+F526+F527+F528)</f>
        <v>61.3494561838834</v>
      </c>
      <c r="G550" s="24" t="n">
        <f aca="false">G539/fx*1000/(G523+G524+G525+G526+G527+G528)</f>
        <v>59.7108597356716</v>
      </c>
    </row>
    <row r="551" customFormat="false" ht="17.15" hidden="false" customHeight="false" outlineLevel="0" collapsed="false">
      <c r="A551" s="6" t="s">
        <v>605</v>
      </c>
    </row>
    <row r="552" customFormat="false" ht="17.15" hidden="false" customHeight="false" outlineLevel="0" collapsed="false">
      <c r="A552" s="4" t="s">
        <v>606</v>
      </c>
      <c r="B552" s="0" t="s">
        <v>196</v>
      </c>
      <c r="D552" s="18" t="n">
        <f aca="false">a26_gp/D547-d_ai*D549</f>
        <v>0.425324773260588</v>
      </c>
      <c r="K552" s="8" t="s">
        <v>607</v>
      </c>
    </row>
    <row r="553" customFormat="false" ht="15" hidden="false" customHeight="false" outlineLevel="0" collapsed="false">
      <c r="A553" s="4" t="s">
        <v>479</v>
      </c>
      <c r="B553" s="0" t="s">
        <v>301</v>
      </c>
      <c r="C553" s="24" t="n">
        <f aca="false">a25_gp</f>
        <v>8.434</v>
      </c>
      <c r="D553" s="24" t="n">
        <f aca="false">a26_gp</f>
        <v>15.390297</v>
      </c>
      <c r="E553" s="24" t="n">
        <f aca="false">$D$552*E547+d_ai*E539</f>
        <v>30.3801449625549</v>
      </c>
      <c r="F553" s="24" t="n">
        <f aca="false">$D$552*F547+d_ai*F539</f>
        <v>33.3584543340736</v>
      </c>
      <c r="G553" s="24" t="n">
        <f aca="false">$D$552*G547+d_ai*G539</f>
        <v>39.123936109215</v>
      </c>
    </row>
    <row r="554" customFormat="false" ht="15" hidden="false" customHeight="false" outlineLevel="0" collapsed="false">
      <c r="A554" s="4" t="s">
        <v>482</v>
      </c>
      <c r="B554" s="0" t="s">
        <v>196</v>
      </c>
      <c r="C554" s="18" t="n">
        <f aca="false">C553/C547</f>
        <v>0.415959755375814</v>
      </c>
      <c r="D554" s="18" t="n">
        <f aca="false">D553/D547</f>
        <v>0.473324773260588</v>
      </c>
      <c r="E554" s="18" t="n">
        <f aca="false">E553/E547</f>
        <v>0.501546795559895</v>
      </c>
      <c r="F554" s="18" t="n">
        <f aca="false">F553/F547</f>
        <v>0.500215699408583</v>
      </c>
      <c r="G554" s="18" t="n">
        <f aca="false">G553/G547</f>
        <v>0.500495434409183</v>
      </c>
    </row>
    <row r="555" customFormat="false" ht="15" hidden="false" customHeight="false" outlineLevel="0" collapsed="false">
      <c r="A555" s="4" t="s">
        <v>608</v>
      </c>
      <c r="B555" s="0" t="s">
        <v>301</v>
      </c>
      <c r="C555" s="24" t="n">
        <f aca="false">a25_opx</f>
        <v>1.936</v>
      </c>
      <c r="D555" s="24" t="n">
        <f aca="false">a26_opx</f>
        <v>2.8705005</v>
      </c>
      <c r="E555" s="24" t="n">
        <f aca="false">D555*(1+MAX(0,phi*E548))</f>
        <v>4.35668136165273</v>
      </c>
      <c r="F555" s="24" t="n">
        <f aca="false">E555*(1+MAX(0,phi*F548))</f>
        <v>4.62058293793171</v>
      </c>
      <c r="G555" s="24" t="n">
        <f aca="false">F555*(1+MAX(0,phi*G548))</f>
        <v>5.09792247220103</v>
      </c>
    </row>
    <row r="556" customFormat="false" ht="15" hidden="false" customHeight="false" outlineLevel="0" collapsed="false">
      <c r="A556" s="4" t="s">
        <v>484</v>
      </c>
      <c r="B556" s="0" t="s">
        <v>301</v>
      </c>
      <c r="C556" s="24" t="n">
        <f aca="false">C555</f>
        <v>1.936</v>
      </c>
      <c r="D556" s="24" t="n">
        <f aca="false">D555</f>
        <v>2.8705005</v>
      </c>
      <c r="E556" s="24" t="n">
        <f aca="false">E555+0*E547</f>
        <v>4.35668136165273</v>
      </c>
      <c r="F556" s="24" t="n">
        <f aca="false">F555+0*F547</f>
        <v>4.62058293793171</v>
      </c>
      <c r="G556" s="24" t="n">
        <f aca="false">G555+0*G547</f>
        <v>5.09792247220103</v>
      </c>
    </row>
    <row r="557" customFormat="false" ht="15" hidden="false" customHeight="false" outlineLevel="0" collapsed="false">
      <c r="A557" s="4" t="s">
        <v>486</v>
      </c>
      <c r="B557" s="0" t="s">
        <v>301</v>
      </c>
      <c r="C557" s="24" t="n">
        <f aca="false">C553-C556</f>
        <v>6.498</v>
      </c>
      <c r="D557" s="24" t="n">
        <f aca="false">D553-D556</f>
        <v>12.5197965</v>
      </c>
      <c r="E557" s="24" t="n">
        <f aca="false">E553-E556</f>
        <v>26.0234636009022</v>
      </c>
      <c r="F557" s="24" t="n">
        <f aca="false">F553-F556</f>
        <v>28.7378713961419</v>
      </c>
      <c r="G557" s="24" t="n">
        <f aca="false">G553-G556</f>
        <v>34.026013637014</v>
      </c>
    </row>
    <row r="558" customFormat="false" ht="15" hidden="false" customHeight="false" outlineLevel="0" collapsed="false">
      <c r="A558" s="4" t="s">
        <v>488</v>
      </c>
      <c r="B558" s="0" t="s">
        <v>196</v>
      </c>
      <c r="C558" s="18" t="n">
        <f aca="false">C557/C547</f>
        <v>0.320477411718288</v>
      </c>
      <c r="D558" s="18" t="n">
        <f aca="false">D557/D547</f>
        <v>0.385043241181844</v>
      </c>
      <c r="E558" s="18" t="n">
        <f aca="false">E557/E547</f>
        <v>0.42962220208262</v>
      </c>
      <c r="F558" s="18" t="n">
        <f aca="false">F557/F547</f>
        <v>0.430929271961252</v>
      </c>
      <c r="G558" s="18" t="n">
        <f aca="false">G557/G547</f>
        <v>0.435279937809196</v>
      </c>
    </row>
    <row r="559" customFormat="false" ht="15" hidden="false" customHeight="false" outlineLevel="0" collapsed="false">
      <c r="A559" s="4" t="s">
        <v>489</v>
      </c>
      <c r="B559" s="0" t="s">
        <v>301</v>
      </c>
      <c r="C559" s="29" t="n">
        <f aca="false">a25_nop</f>
        <v>0.108999999999999</v>
      </c>
      <c r="D559" s="29" t="n">
        <f aca="false">a26_nop</f>
        <v>0.330500000000001</v>
      </c>
      <c r="E559" s="29" t="n">
        <f aca="false">nop_f</f>
        <v>0.3</v>
      </c>
      <c r="F559" s="29" t="n">
        <f aca="false">nop_f</f>
        <v>0.3</v>
      </c>
      <c r="G559" s="29" t="n">
        <f aca="false">nop_f</f>
        <v>0.3</v>
      </c>
    </row>
    <row r="560" customFormat="false" ht="15" hidden="false" customHeight="false" outlineLevel="0" collapsed="false">
      <c r="A560" s="4" t="s">
        <v>494</v>
      </c>
      <c r="B560" s="0" t="s">
        <v>301</v>
      </c>
      <c r="C560" s="24" t="n">
        <f aca="false">a25_ni</f>
        <v>5.277</v>
      </c>
      <c r="D560" s="24" t="n">
        <f aca="false">a26_ni</f>
        <v>10.3442061825</v>
      </c>
      <c r="E560" s="24" t="n">
        <f aca="false">(E557+E559)*nir_f</f>
        <v>21.1903881987262</v>
      </c>
      <c r="F560" s="24" t="n">
        <f aca="false">(F557+F559)*nir_f</f>
        <v>23.3754864738942</v>
      </c>
      <c r="G560" s="24" t="n">
        <f aca="false">(G557+G559)*nir_f</f>
        <v>27.6324409777963</v>
      </c>
      <c r="H560" s="25" t="n">
        <f aca="false">H547*H564</f>
        <v>29.7545436362548</v>
      </c>
      <c r="I560" s="25" t="n">
        <f aca="false">I547*I564</f>
        <v>30.7183477361434</v>
      </c>
      <c r="J560" s="25" t="n">
        <f aca="false">J547*J564</f>
        <v>30.3482378663356</v>
      </c>
    </row>
    <row r="561" customFormat="false" ht="15" hidden="false" customHeight="false" outlineLevel="0" collapsed="false">
      <c r="A561" s="4" t="s">
        <v>609</v>
      </c>
      <c r="B561" s="4" t="s">
        <v>327</v>
      </c>
      <c r="C561" s="28" t="n">
        <f aca="false">a25_sh</f>
        <v>0.143591836734694</v>
      </c>
      <c r="D561" s="28" t="n">
        <f aca="false">a26_sh</f>
        <v>0.146703513620213</v>
      </c>
      <c r="E561" s="28" t="n">
        <f aca="false">D561*(1+sh_g)</f>
        <v>0.146703513620213</v>
      </c>
      <c r="F561" s="28" t="n">
        <f aca="false">E561*(1+sh_g)</f>
        <v>0.146703513620213</v>
      </c>
      <c r="G561" s="28" t="n">
        <f aca="false">F561*(1+sh_g)</f>
        <v>0.146703513620213</v>
      </c>
      <c r="H561" s="30" t="n">
        <f aca="false">G561*(1+sh_g)</f>
        <v>0.146703513620213</v>
      </c>
      <c r="I561" s="30" t="n">
        <f aca="false">H561*(1+sh_g)</f>
        <v>0.146703513620213</v>
      </c>
      <c r="J561" s="30" t="n">
        <f aca="false">I561*(1+sh_g)</f>
        <v>0.146703513620213</v>
      </c>
    </row>
    <row r="562" customFormat="false" ht="15" hidden="false" customHeight="false" outlineLevel="0" collapsed="false">
      <c r="A562" s="0" t="s">
        <v>500</v>
      </c>
      <c r="B562" s="0" t="s">
        <v>360</v>
      </c>
      <c r="C562" s="29" t="n">
        <f aca="false">C560/C561</f>
        <v>36.75</v>
      </c>
      <c r="D562" s="29" t="n">
        <f aca="false">D560/D561</f>
        <v>70.5109641019174</v>
      </c>
      <c r="E562" s="29" t="n">
        <f aca="false">E560/E561</f>
        <v>144.443631074741</v>
      </c>
      <c r="F562" s="29" t="n">
        <f aca="false">F560/F561</f>
        <v>159.338286432653</v>
      </c>
      <c r="G562" s="29" t="n">
        <f aca="false">G560/G561</f>
        <v>188.355686213019</v>
      </c>
      <c r="H562" s="31" t="n">
        <f aca="false">H560/H561</f>
        <v>202.820933882221</v>
      </c>
      <c r="I562" s="31" t="n">
        <f aca="false">I560/I561</f>
        <v>209.390674961387</v>
      </c>
      <c r="J562" s="31" t="n">
        <f aca="false">J560/J561</f>
        <v>206.867832388127</v>
      </c>
    </row>
    <row r="563" customFormat="false" ht="17.15" hidden="false" customHeight="false" outlineLevel="0" collapsed="false">
      <c r="A563" s="0" t="s">
        <v>610</v>
      </c>
      <c r="B563" s="0" t="s">
        <v>196</v>
      </c>
      <c r="D563" s="18" t="n">
        <f aca="false">D562/C562-1</f>
        <v>0.918665689848092</v>
      </c>
      <c r="E563" s="18" t="n">
        <f aca="false">E562/D562-1</f>
        <v>1.04852724557786</v>
      </c>
      <c r="F563" s="18" t="n">
        <f aca="false">F562/E562-1</f>
        <v>0.103117425441941</v>
      </c>
      <c r="G563" s="18" t="n">
        <f aca="false">G562/F562-1</f>
        <v>0.182111910640074</v>
      </c>
      <c r="H563" s="26" t="n">
        <f aca="false">H562/G562-1</f>
        <v>0.0767975098603757</v>
      </c>
      <c r="I563" s="26" t="n">
        <f aca="false">I562/H562-1</f>
        <v>0.032391829351206</v>
      </c>
      <c r="J563" s="26" t="n">
        <f aca="false">J562/I562-1</f>
        <v>-0.012048495348345</v>
      </c>
    </row>
    <row r="564" customFormat="false" ht="17.15" hidden="false" customHeight="false" outlineLevel="0" collapsed="false">
      <c r="A564" s="4" t="s">
        <v>611</v>
      </c>
      <c r="B564" s="0" t="s">
        <v>196</v>
      </c>
      <c r="C564" s="18" t="n">
        <f aca="false">C560/C547</f>
        <v>0.260258433616098</v>
      </c>
      <c r="D564" s="18" t="n">
        <f aca="false">D560/D547</f>
        <v>0.318133499690915</v>
      </c>
      <c r="E564" s="18" t="n">
        <f aca="false">E560/E547</f>
        <v>0.349832803985659</v>
      </c>
      <c r="F564" s="18" t="n">
        <f aca="false">F560/F547</f>
        <v>0.350519397525305</v>
      </c>
      <c r="G564" s="18" t="n">
        <f aca="false">G560/G547</f>
        <v>0.35348975400537</v>
      </c>
      <c r="H564" s="26" t="n">
        <f aca="false">$G564+(fade_mB-$G564)*1/3</f>
        <v>0.337408416525554</v>
      </c>
      <c r="I564" s="26" t="n">
        <f aca="false">$G564+(fade_mB-$G564)*2/3</f>
        <v>0.321327079045737</v>
      </c>
      <c r="J564" s="26" t="n">
        <f aca="false">$G564+(fade_mB-$G564)*3/3</f>
        <v>0.30524574156592</v>
      </c>
    </row>
    <row r="567" customFormat="false" ht="17.15" hidden="false" customHeight="false" outlineLevel="0" collapsed="false">
      <c r="A567" s="1" t="s">
        <v>913</v>
      </c>
    </row>
    <row r="568" customFormat="false" ht="17.15" hidden="false" customHeight="false" outlineLevel="0" collapsed="false">
      <c r="A568" s="5" t="s">
        <v>22</v>
      </c>
      <c r="B568" s="5" t="s">
        <v>23</v>
      </c>
      <c r="C568" s="15" t="s">
        <v>470</v>
      </c>
      <c r="D568" s="15" t="s">
        <v>553</v>
      </c>
      <c r="E568" s="15" t="s">
        <v>554</v>
      </c>
      <c r="F568" s="15" t="s">
        <v>555</v>
      </c>
      <c r="G568" s="15" t="s">
        <v>556</v>
      </c>
      <c r="H568" s="15" t="s">
        <v>557</v>
      </c>
      <c r="I568" s="15" t="s">
        <v>558</v>
      </c>
      <c r="J568" s="15" t="s">
        <v>559</v>
      </c>
      <c r="K568" s="5" t="s">
        <v>523</v>
      </c>
    </row>
    <row r="569" customFormat="false" ht="17.15" hidden="false" customHeight="false" outlineLevel="0" collapsed="false">
      <c r="A569" s="6" t="s">
        <v>575</v>
      </c>
    </row>
    <row r="570" customFormat="false" ht="17.15" hidden="false" customHeight="false" outlineLevel="0" collapsed="false">
      <c r="A570" s="0" t="s">
        <v>576</v>
      </c>
      <c r="B570" s="4" t="s">
        <v>33</v>
      </c>
      <c r="D570" s="19" t="n">
        <f aca="false">(u_bw26)*1</f>
        <v>5.4</v>
      </c>
      <c r="E570" s="19" t="n">
        <f aca="false">(u_bw27)*1*1</f>
        <v>2.4</v>
      </c>
      <c r="F570" s="19" t="n">
        <f aca="false">(u_bw28)*um28_B*1</f>
        <v>0.4</v>
      </c>
      <c r="G570" s="19" t="n">
        <f aca="false">(u_bw29)*um29_B*1</f>
        <v>0.2125</v>
      </c>
    </row>
    <row r="571" customFormat="false" ht="17.15" hidden="false" customHeight="false" outlineLevel="0" collapsed="false">
      <c r="A571" s="0" t="s">
        <v>577</v>
      </c>
      <c r="B571" s="4" t="s">
        <v>33</v>
      </c>
      <c r="D571" s="19" t="n">
        <f aca="false">(u_hp26)*1</f>
        <v>0.5</v>
      </c>
      <c r="E571" s="19" t="n">
        <f aca="false">(u_hp27)*1*1</f>
        <v>0</v>
      </c>
      <c r="F571" s="19" t="n">
        <f aca="false">(u_hp28)*um28_B*1</f>
        <v>0</v>
      </c>
      <c r="G571" s="19" t="n">
        <f aca="false">(u_hp29)*um29_B*1</f>
        <v>0</v>
      </c>
    </row>
    <row r="572" customFormat="false" ht="17.15" hidden="false" customHeight="false" outlineLevel="0" collapsed="false">
      <c r="A572" s="0" t="s">
        <v>578</v>
      </c>
      <c r="B572" s="4" t="s">
        <v>33</v>
      </c>
      <c r="D572" s="19" t="n">
        <f aca="false">(u_rb26)*1</f>
        <v>1.7</v>
      </c>
      <c r="E572" s="19" t="n">
        <f aca="false">(u_rb27)*1*1</f>
        <v>7</v>
      </c>
      <c r="F572" s="19" t="n">
        <f aca="false">(u_rb28)*um28_B*1</f>
        <v>5.6</v>
      </c>
      <c r="G572" s="19" t="n">
        <f aca="false">(u_rb29)*um29_B*1</f>
        <v>6.8425</v>
      </c>
    </row>
    <row r="573" customFormat="false" ht="17.15" hidden="false" customHeight="false" outlineLevel="0" collapsed="false">
      <c r="A573" s="0" t="s">
        <v>579</v>
      </c>
      <c r="B573" s="4" t="s">
        <v>33</v>
      </c>
      <c r="D573" s="19" t="n">
        <f aca="false">(u_ru26)*1</f>
        <v>0</v>
      </c>
      <c r="E573" s="19" t="n">
        <f aca="false">(u_ru27)*1*1</f>
        <v>0.3</v>
      </c>
      <c r="F573" s="19" t="n">
        <f aca="false">(u_ru28)*um28_B*1</f>
        <v>1.6</v>
      </c>
      <c r="G573" s="19" t="n">
        <f aca="false">(u_ru29)*um29_B*1</f>
        <v>1.955</v>
      </c>
    </row>
    <row r="574" customFormat="false" ht="17.15" hidden="false" customHeight="false" outlineLevel="0" collapsed="false">
      <c r="A574" s="0" t="s">
        <v>580</v>
      </c>
      <c r="B574" s="4" t="s">
        <v>33</v>
      </c>
      <c r="D574" s="19" t="n">
        <f aca="false">(u_amd26)*1</f>
        <v>0.75</v>
      </c>
      <c r="E574" s="19" t="n">
        <f aca="false">(u_amd27)*1*1</f>
        <v>1.5</v>
      </c>
      <c r="F574" s="19" t="n">
        <f aca="false">(u_amd28)*um28_B*1</f>
        <v>1.6</v>
      </c>
      <c r="G574" s="19" t="n">
        <f aca="false">(u_amd29)*um29_B*1</f>
        <v>1.955</v>
      </c>
    </row>
    <row r="575" customFormat="false" ht="17.15" hidden="false" customHeight="false" outlineLevel="0" collapsed="false">
      <c r="A575" s="0" t="s">
        <v>581</v>
      </c>
      <c r="B575" s="4" t="s">
        <v>33</v>
      </c>
      <c r="D575" s="19" t="n">
        <f aca="false">(u_tpu26+u_trn26+u_oth26)*1</f>
        <v>6.85</v>
      </c>
      <c r="E575" s="19" t="n">
        <f aca="false">(u_tpu27+u_trn27+u_oth27)*1*1</f>
        <v>12.5</v>
      </c>
      <c r="F575" s="19" t="n">
        <f aca="false">(u_tpu28+u_trn28+u_oth28)*um28_B*1</f>
        <v>12</v>
      </c>
      <c r="G575" s="19" t="n">
        <f aca="false">(u_tpu29+u_trn29+u_oth29)*um29_B*1</f>
        <v>14.6625</v>
      </c>
    </row>
    <row r="576" customFormat="false" ht="17.15" hidden="false" customHeight="false" outlineLevel="0" collapsed="false">
      <c r="A576" s="0" t="s">
        <v>527</v>
      </c>
      <c r="B576" s="0" t="s">
        <v>136</v>
      </c>
      <c r="D576" s="22" t="n">
        <f aca="false">asp_vr_26</f>
        <v>100</v>
      </c>
      <c r="E576" s="22" t="n">
        <f aca="false">asp_vr_27</f>
        <v>150</v>
      </c>
      <c r="F576" s="22" t="n">
        <f aca="false">asp_vr_28</f>
        <v>180</v>
      </c>
      <c r="G576" s="22" t="n">
        <f aca="false">asp_vr_29</f>
        <v>180</v>
      </c>
    </row>
    <row r="577" customFormat="false" ht="17.15" hidden="false" customHeight="false" outlineLevel="0" collapsed="false">
      <c r="A577" s="0" t="s">
        <v>582</v>
      </c>
      <c r="B577" s="0" t="s">
        <v>136</v>
      </c>
      <c r="D577" s="22" t="n">
        <f aca="false">asp_amd_26</f>
        <v>40</v>
      </c>
      <c r="E577" s="22" t="n">
        <f aca="false">asp_amd_27</f>
        <v>60</v>
      </c>
      <c r="F577" s="22" t="n">
        <f aca="false">asp_amd_28</f>
        <v>80</v>
      </c>
      <c r="G577" s="22" t="n">
        <f aca="false">asp_amd_29</f>
        <v>80</v>
      </c>
    </row>
    <row r="578" customFormat="false" ht="17.15" hidden="false" customHeight="false" outlineLevel="0" collapsed="false">
      <c r="A578" s="0" t="s">
        <v>583</v>
      </c>
      <c r="B578" s="0" t="s">
        <v>136</v>
      </c>
      <c r="D578" s="22" t="n">
        <f aca="false">asp_asic_26</f>
        <v>30</v>
      </c>
      <c r="E578" s="22" t="n">
        <f aca="false">asp_asic_27</f>
        <v>35</v>
      </c>
      <c r="F578" s="22" t="n">
        <f aca="false">asp_asic_28</f>
        <v>40</v>
      </c>
      <c r="G578" s="22" t="n">
        <f aca="false">asp_asic_29</f>
        <v>40</v>
      </c>
    </row>
    <row r="579" customFormat="false" ht="17.15" hidden="false" customHeight="false" outlineLevel="0" collapsed="false">
      <c r="A579" s="0" t="s">
        <v>584</v>
      </c>
      <c r="B579" s="0" t="s">
        <v>205</v>
      </c>
      <c r="D579" s="17" t="n">
        <f aca="false">(D570*asp_bw+D571*asp_hp+D572*D576+D573*asp_ru)/1000</f>
        <v>0.3665</v>
      </c>
      <c r="E579" s="17" t="n">
        <f aca="false">(E570*asp_bw+E571*asp_hp+E572*E576+E573*asp_ru)/1000</f>
        <v>1.194</v>
      </c>
      <c r="F579" s="17" t="n">
        <f aca="false">(F570*asp_bw+F571*asp_hp+F572*F576+F573*asp_ru)/1000</f>
        <v>1.342</v>
      </c>
      <c r="G579" s="17" t="n">
        <f aca="false">(G570*asp_bw+G571*asp_hp+G572*G576+G573*asp_ru)/1000</f>
        <v>1.6300875</v>
      </c>
      <c r="K579" s="4" t="s">
        <v>585</v>
      </c>
    </row>
    <row r="580" customFormat="false" ht="17.15" hidden="false" customHeight="false" outlineLevel="0" collapsed="false">
      <c r="A580" s="4" t="s">
        <v>586</v>
      </c>
      <c r="B580" s="0" t="s">
        <v>205</v>
      </c>
      <c r="D580" s="17" t="n">
        <f aca="false">(D574*D577+D575*D578)/1000</f>
        <v>0.2355</v>
      </c>
      <c r="E580" s="17" t="n">
        <f aca="false">(E574*E577+E575*E578)/1000</f>
        <v>0.5275</v>
      </c>
      <c r="F580" s="17" t="n">
        <f aca="false">(F574*F577+F575*F578)/1000</f>
        <v>0.608</v>
      </c>
      <c r="G580" s="17" t="n">
        <f aca="false">(G574*G577+G575*G578)/1000</f>
        <v>0.7429</v>
      </c>
    </row>
    <row r="581" customFormat="false" ht="17.15" hidden="false" customHeight="false" outlineLevel="0" collapsed="false">
      <c r="A581" s="0" t="s">
        <v>587</v>
      </c>
      <c r="B581" s="0" t="s">
        <v>205</v>
      </c>
      <c r="D581" s="17" t="n">
        <f aca="false">D579+D580</f>
        <v>0.602</v>
      </c>
      <c r="E581" s="17" t="n">
        <f aca="false">E579+E580</f>
        <v>1.7215</v>
      </c>
      <c r="F581" s="17" t="n">
        <f aca="false">F579+F580</f>
        <v>1.95</v>
      </c>
      <c r="G581" s="17" t="n">
        <f aca="false">G579+G580</f>
        <v>2.3729875</v>
      </c>
    </row>
    <row r="582" customFormat="false" ht="17.15" hidden="false" customHeight="false" outlineLevel="0" collapsed="false">
      <c r="A582" s="4" t="s">
        <v>588</v>
      </c>
      <c r="B582" s="0" t="s">
        <v>196</v>
      </c>
      <c r="D582" s="18" t="n">
        <f aca="false">a26_rev*ai_26/fx/(D579+k_non*D580)</f>
        <v>0.882225417842414</v>
      </c>
      <c r="K582" s="8" t="s">
        <v>589</v>
      </c>
    </row>
    <row r="583" customFormat="false" ht="17.15" hidden="false" customHeight="false" outlineLevel="0" collapsed="false">
      <c r="A583" s="4" t="s">
        <v>590</v>
      </c>
      <c r="B583" s="0" t="s">
        <v>109</v>
      </c>
      <c r="D583" s="19" t="n">
        <f aca="false">1</f>
        <v>1</v>
      </c>
      <c r="E583" s="19" t="n">
        <f aca="false">rel_27</f>
        <v>0.97</v>
      </c>
      <c r="F583" s="19" t="n">
        <f aca="false">rel_28</f>
        <v>0.93</v>
      </c>
      <c r="G583" s="19" t="n">
        <f aca="false">rel_29</f>
        <v>0.9</v>
      </c>
    </row>
    <row r="584" customFormat="false" ht="17.15" hidden="false" customHeight="false" outlineLevel="0" collapsed="false">
      <c r="A584" s="4" t="s">
        <v>591</v>
      </c>
      <c r="B584" s="0" t="s">
        <v>196</v>
      </c>
      <c r="D584" s="18" t="n">
        <f aca="false">$D$582*D583</f>
        <v>0.882225417842414</v>
      </c>
      <c r="E584" s="18" t="n">
        <f aca="false">$D$582*E583</f>
        <v>0.855758655307142</v>
      </c>
      <c r="F584" s="18" t="n">
        <f aca="false">$D$582*F583</f>
        <v>0.820469638593445</v>
      </c>
      <c r="G584" s="18" t="n">
        <f aca="false">$D$582*G583</f>
        <v>0.794002876058173</v>
      </c>
    </row>
    <row r="585" customFormat="false" ht="17.15" hidden="false" customHeight="false" outlineLevel="0" collapsed="false">
      <c r="A585" s="4" t="s">
        <v>592</v>
      </c>
      <c r="B585" s="0" t="s">
        <v>196</v>
      </c>
      <c r="D585" s="18" t="n">
        <f aca="false">D584*k_non</f>
        <v>0.352890167136966</v>
      </c>
      <c r="E585" s="18" t="n">
        <f aca="false">E584*k_non</f>
        <v>0.342303462122857</v>
      </c>
      <c r="F585" s="18" t="n">
        <f aca="false">F584*k_non</f>
        <v>0.328187855437378</v>
      </c>
      <c r="G585" s="18" t="n">
        <f aca="false">G584*k_non</f>
        <v>0.317601150423269</v>
      </c>
    </row>
    <row r="586" customFormat="false" ht="17.15" hidden="false" customHeight="false" outlineLevel="0" collapsed="false">
      <c r="A586" s="0" t="s">
        <v>593</v>
      </c>
      <c r="B586" s="0" t="s">
        <v>301</v>
      </c>
      <c r="C586" s="24" t="n">
        <f aca="false">a25_ail</f>
        <v>6.0828</v>
      </c>
      <c r="D586" s="24" t="n">
        <f aca="false">(D579*D584+D580*D585)*fx</f>
        <v>13.00612</v>
      </c>
      <c r="E586" s="24" t="n">
        <f aca="false">(E579*E584+E580*E585)*fx</f>
        <v>38.4749091426091</v>
      </c>
      <c r="F586" s="24" t="n">
        <f aca="false">(F579*F584+F580*F585)*fx</f>
        <v>41.6194710751465</v>
      </c>
      <c r="G586" s="24" t="n">
        <f aca="false">(G579*G584+G580*G585)*fx</f>
        <v>48.9676818520295</v>
      </c>
    </row>
    <row r="587" customFormat="false" ht="17.15" hidden="false" customHeight="false" outlineLevel="0" collapsed="false">
      <c r="A587" s="6" t="s">
        <v>594</v>
      </c>
    </row>
    <row r="588" customFormat="false" ht="17.15" hidden="false" customHeight="false" outlineLevel="0" collapsed="false">
      <c r="A588" s="0" t="s">
        <v>595</v>
      </c>
      <c r="B588" s="0" t="s">
        <v>205</v>
      </c>
      <c r="D588" s="24" t="n">
        <f aca="false">lmkB_26</f>
        <v>4.51368758595869</v>
      </c>
      <c r="E588" s="24" t="n">
        <f aca="false">lmkB_27*1</f>
        <v>10.2011004204398</v>
      </c>
      <c r="F588" s="24" t="n">
        <f aca="false">lmkB_28*1</f>
        <v>12.6260448229601</v>
      </c>
      <c r="G588" s="24" t="n">
        <f aca="false">lmkB_29*1</f>
        <v>16.1809438578051</v>
      </c>
      <c r="K588" s="4" t="s">
        <v>596</v>
      </c>
    </row>
    <row r="589" customFormat="false" ht="15" hidden="false" customHeight="false" outlineLevel="0" collapsed="false">
      <c r="A589" s="4" t="s">
        <v>542</v>
      </c>
      <c r="B589" s="0" t="s">
        <v>196</v>
      </c>
      <c r="D589" s="18" t="n">
        <f aca="false">0</f>
        <v>0</v>
      </c>
      <c r="E589" s="18" t="n">
        <f aca="false">LCHI_27</f>
        <v>0.015</v>
      </c>
      <c r="F589" s="18" t="n">
        <f aca="false">LCHI_28</f>
        <v>0.03</v>
      </c>
      <c r="G589" s="18" t="n">
        <f aca="false">LCHI_29</f>
        <v>0.045</v>
      </c>
    </row>
    <row r="590" customFormat="false" ht="17.15" hidden="false" customHeight="false" outlineLevel="0" collapsed="false">
      <c r="A590" s="4" t="s">
        <v>597</v>
      </c>
      <c r="B590" s="0" t="s">
        <v>301</v>
      </c>
      <c r="C590" s="24" t="n">
        <f aca="false">0</f>
        <v>0</v>
      </c>
      <c r="D590" s="24" t="n">
        <f aca="false">D588*D589*fx</f>
        <v>0</v>
      </c>
      <c r="E590" s="24" t="n">
        <f aca="false">E588*E589*fx</f>
        <v>4.8965282018111</v>
      </c>
      <c r="F590" s="24" t="n">
        <f aca="false">F588*F589*fx</f>
        <v>12.1210030300417</v>
      </c>
      <c r="G590" s="24" t="n">
        <f aca="false">G588*G589*fx</f>
        <v>23.3005591552393</v>
      </c>
    </row>
    <row r="591" customFormat="false" ht="17.15" hidden="false" customHeight="false" outlineLevel="0" collapsed="false">
      <c r="A591" s="6" t="s">
        <v>598</v>
      </c>
    </row>
    <row r="592" customFormat="false" ht="17.15" hidden="false" customHeight="false" outlineLevel="0" collapsed="false">
      <c r="A592" s="4" t="s">
        <v>599</v>
      </c>
      <c r="B592" s="0" t="s">
        <v>301</v>
      </c>
      <c r="C592" s="24" t="n">
        <f aca="false">a25_oth</f>
        <v>8.637576</v>
      </c>
      <c r="D592" s="24" t="n">
        <f aca="false">a26_rev*(th_26-ai_26)</f>
        <v>11.380355</v>
      </c>
      <c r="E592" s="24" t="n">
        <f aca="false">D592*(1+g_oth_27)</f>
        <v>12.7459976</v>
      </c>
      <c r="F592" s="24" t="n">
        <f aca="false">E592*(1+g_oth_28)</f>
        <v>14.02059736</v>
      </c>
      <c r="G592" s="24" t="n">
        <f aca="false">F592*(1+g_oth_29)</f>
        <v>15.1422451488</v>
      </c>
    </row>
    <row r="593" customFormat="false" ht="15" hidden="false" customHeight="false" outlineLevel="0" collapsed="false">
      <c r="A593" s="4" t="s">
        <v>600</v>
      </c>
      <c r="B593" s="0" t="s">
        <v>301</v>
      </c>
      <c r="C593" s="24" t="n">
        <f aca="false">a25_lf</f>
        <v>5.555624</v>
      </c>
      <c r="D593" s="24" t="n">
        <f aca="false">a26_lf</f>
        <v>8.128825</v>
      </c>
      <c r="E593" s="24" t="n">
        <f aca="false">D593*(1+g_lf_27)</f>
        <v>8.37268975</v>
      </c>
      <c r="F593" s="24" t="n">
        <f aca="false">E593*(1+g_lf_28)</f>
        <v>8.6238704425</v>
      </c>
      <c r="G593" s="24" t="n">
        <f aca="false">F593*(1+g_lf_29)</f>
        <v>8.882586555775</v>
      </c>
    </row>
    <row r="594" customFormat="false" ht="17.15" hidden="false" customHeight="false" outlineLevel="0" collapsed="false">
      <c r="A594" s="4" t="s">
        <v>475</v>
      </c>
      <c r="B594" s="0" t="s">
        <v>301</v>
      </c>
      <c r="C594" s="24" t="n">
        <f aca="false">C586+C590+C592+C593</f>
        <v>20.276</v>
      </c>
      <c r="D594" s="24" t="n">
        <f aca="false">D586+D590+D592+D593</f>
        <v>32.5153</v>
      </c>
      <c r="E594" s="24" t="n">
        <f aca="false">E586+E590+E592+E593</f>
        <v>64.4901246944202</v>
      </c>
      <c r="F594" s="24" t="n">
        <f aca="false">F586+F590+F592+F593</f>
        <v>76.3849419076882</v>
      </c>
      <c r="G594" s="24" t="n">
        <f aca="false">G586+G590+G592+G593</f>
        <v>96.2930727118439</v>
      </c>
      <c r="H594" s="25" t="n">
        <f aca="false">G594*(1+H595)</f>
        <v>114.308158328065</v>
      </c>
      <c r="I594" s="25" t="n">
        <f aca="false">H594*(1+I595)</f>
        <v>127.287049439216</v>
      </c>
      <c r="J594" s="25" t="n">
        <f aca="false">I594*(1+J595)</f>
        <v>132.378531416784</v>
      </c>
      <c r="K594" s="8" t="s">
        <v>601</v>
      </c>
    </row>
    <row r="595" customFormat="false" ht="15" hidden="false" customHeight="false" outlineLevel="0" collapsed="false">
      <c r="A595" s="4" t="s">
        <v>602</v>
      </c>
      <c r="B595" s="0" t="s">
        <v>196</v>
      </c>
      <c r="D595" s="18" t="n">
        <f aca="false">D594/C594-1</f>
        <v>0.603634839218781</v>
      </c>
      <c r="E595" s="18" t="n">
        <f aca="false">E594/D594-1</f>
        <v>0.983377815810409</v>
      </c>
      <c r="F595" s="18" t="n">
        <f aca="false">F594/E594-1</f>
        <v>0.18444401014311</v>
      </c>
      <c r="G595" s="18" t="n">
        <f aca="false">G594/F594-1</f>
        <v>0.260628997115882</v>
      </c>
      <c r="H595" s="26" t="n">
        <f aca="false">$G595+(fade_gB-$G595)*1/3</f>
        <v>0.187085998077254</v>
      </c>
      <c r="I595" s="26" t="n">
        <f aca="false">$G595+(fade_gB-$G595)*2/3</f>
        <v>0.113542999038627</v>
      </c>
      <c r="J595" s="26" t="n">
        <f aca="false">$G595+(fade_gB-$G595)*3/3</f>
        <v>0.04</v>
      </c>
    </row>
    <row r="596" customFormat="false" ht="17.15" hidden="false" customHeight="false" outlineLevel="0" collapsed="false">
      <c r="A596" s="0" t="s">
        <v>603</v>
      </c>
      <c r="B596" s="0" t="s">
        <v>196</v>
      </c>
      <c r="C596" s="18" t="n">
        <f aca="false">C586/C594</f>
        <v>0.3</v>
      </c>
      <c r="D596" s="18" t="n">
        <f aca="false">D586/D594</f>
        <v>0.4</v>
      </c>
      <c r="E596" s="18" t="n">
        <f aca="false">E586/E594</f>
        <v>0.596601562253422</v>
      </c>
      <c r="F596" s="18" t="n">
        <f aca="false">F586/F594</f>
        <v>0.54486486519089</v>
      </c>
      <c r="G596" s="18" t="n">
        <f aca="false">G586/G594</f>
        <v>0.508527565617984</v>
      </c>
    </row>
    <row r="597" customFormat="false" ht="17.15" hidden="false" customHeight="false" outlineLevel="0" collapsed="false">
      <c r="A597" s="4" t="s">
        <v>604</v>
      </c>
      <c r="B597" s="0" t="s">
        <v>136</v>
      </c>
      <c r="D597" s="24" t="n">
        <f aca="false">D586/fx*1000/(D570+D571+D572+D573+D574+D575)</f>
        <v>26.7395559210526</v>
      </c>
      <c r="E597" s="24" t="n">
        <f aca="false">E586/fx*1000/(E570+E571+E572+E573+E574+E575)</f>
        <v>50.7316839960563</v>
      </c>
      <c r="F597" s="24" t="n">
        <f aca="false">F586/fx*1000/(F570+F571+F572+F573+F574+F575)</f>
        <v>61.3494561838834</v>
      </c>
      <c r="G597" s="24" t="n">
        <f aca="false">G586/fx*1000/(G570+G571+G572+G573+G574+G575)</f>
        <v>59.7108597356716</v>
      </c>
    </row>
    <row r="598" customFormat="false" ht="17.15" hidden="false" customHeight="false" outlineLevel="0" collapsed="false">
      <c r="A598" s="6" t="s">
        <v>605</v>
      </c>
    </row>
    <row r="599" customFormat="false" ht="17.15" hidden="false" customHeight="false" outlineLevel="0" collapsed="false">
      <c r="A599" s="4" t="s">
        <v>606</v>
      </c>
      <c r="B599" s="0" t="s">
        <v>196</v>
      </c>
      <c r="D599" s="18" t="n">
        <f aca="false">a26_gp/D594-d_ai*D596</f>
        <v>0.425324773260588</v>
      </c>
      <c r="K599" s="8" t="s">
        <v>607</v>
      </c>
    </row>
    <row r="600" customFormat="false" ht="15" hidden="false" customHeight="false" outlineLevel="0" collapsed="false">
      <c r="A600" s="4" t="s">
        <v>479</v>
      </c>
      <c r="B600" s="0" t="s">
        <v>301</v>
      </c>
      <c r="C600" s="24" t="n">
        <f aca="false">a25_gp</f>
        <v>8.434</v>
      </c>
      <c r="D600" s="24" t="n">
        <f aca="false">a26_gp</f>
        <v>15.390297</v>
      </c>
      <c r="E600" s="24" t="n">
        <f aca="false">$D$599*E594+d_ai*E586</f>
        <v>32.0462367603144</v>
      </c>
      <c r="F600" s="24" t="n">
        <f aca="false">$D$599*F594+d_ai*F586</f>
        <v>37.4827446264283</v>
      </c>
      <c r="G600" s="24" t="n">
        <f aca="false">$D$599*G594+d_ai*G586</f>
        <v>46.8319511399739</v>
      </c>
    </row>
    <row r="601" customFormat="false" ht="15" hidden="false" customHeight="false" outlineLevel="0" collapsed="false">
      <c r="A601" s="4" t="s">
        <v>482</v>
      </c>
      <c r="B601" s="0" t="s">
        <v>196</v>
      </c>
      <c r="C601" s="18" t="n">
        <f aca="false">C600/C594</f>
        <v>0.415959755375814</v>
      </c>
      <c r="D601" s="18" t="n">
        <f aca="false">D600/D594</f>
        <v>0.473324773260588</v>
      </c>
      <c r="E601" s="18" t="n">
        <f aca="false">E600/E594</f>
        <v>0.496916960730999</v>
      </c>
      <c r="F601" s="18" t="n">
        <f aca="false">F600/F594</f>
        <v>0.490708557083495</v>
      </c>
      <c r="G601" s="18" t="n">
        <f aca="false">G600/G594</f>
        <v>0.486348081134746</v>
      </c>
    </row>
    <row r="602" customFormat="false" ht="15" hidden="false" customHeight="false" outlineLevel="0" collapsed="false">
      <c r="A602" s="4" t="s">
        <v>608</v>
      </c>
      <c r="B602" s="0" t="s">
        <v>301</v>
      </c>
      <c r="C602" s="24" t="n">
        <f aca="false">a25_opx</f>
        <v>1.936</v>
      </c>
      <c r="D602" s="24" t="n">
        <f aca="false">a26_opx</f>
        <v>2.8705005</v>
      </c>
      <c r="E602" s="24" t="n">
        <f aca="false">D602*(1+MAX(0,phi*E595))</f>
        <v>4.56417240718361</v>
      </c>
      <c r="F602" s="24" t="n">
        <f aca="false">E602*(1+MAX(0,phi*F595))</f>
        <v>5.0692729642429</v>
      </c>
      <c r="G602" s="24" t="n">
        <f aca="false">F602*(1+MAX(0,phi*G595))</f>
        <v>5.86199268150927</v>
      </c>
    </row>
    <row r="603" customFormat="false" ht="15" hidden="false" customHeight="false" outlineLevel="0" collapsed="false">
      <c r="A603" s="4" t="s">
        <v>484</v>
      </c>
      <c r="B603" s="0" t="s">
        <v>301</v>
      </c>
      <c r="C603" s="24" t="n">
        <f aca="false">C602</f>
        <v>1.936</v>
      </c>
      <c r="D603" s="24" t="n">
        <f aca="false">D602</f>
        <v>2.8705005</v>
      </c>
      <c r="E603" s="24" t="n">
        <f aca="false">E602+0*E594</f>
        <v>4.56417240718361</v>
      </c>
      <c r="F603" s="24" t="n">
        <f aca="false">F602+0*F594</f>
        <v>5.0692729642429</v>
      </c>
      <c r="G603" s="24" t="n">
        <f aca="false">G602+0*G594</f>
        <v>5.86199268150927</v>
      </c>
    </row>
    <row r="604" customFormat="false" ht="15" hidden="false" customHeight="false" outlineLevel="0" collapsed="false">
      <c r="A604" s="4" t="s">
        <v>486</v>
      </c>
      <c r="B604" s="0" t="s">
        <v>301</v>
      </c>
      <c r="C604" s="24" t="n">
        <f aca="false">C600-C603</f>
        <v>6.498</v>
      </c>
      <c r="D604" s="24" t="n">
        <f aca="false">D600-D603</f>
        <v>12.5197965</v>
      </c>
      <c r="E604" s="24" t="n">
        <f aca="false">E600-E603</f>
        <v>27.4820643531308</v>
      </c>
      <c r="F604" s="24" t="n">
        <f aca="false">F600-F603</f>
        <v>32.4134716621854</v>
      </c>
      <c r="G604" s="24" t="n">
        <f aca="false">G600-G603</f>
        <v>40.9699584584646</v>
      </c>
    </row>
    <row r="605" customFormat="false" ht="15" hidden="false" customHeight="false" outlineLevel="0" collapsed="false">
      <c r="A605" s="4" t="s">
        <v>488</v>
      </c>
      <c r="B605" s="0" t="s">
        <v>196</v>
      </c>
      <c r="C605" s="18" t="n">
        <f aca="false">C604/C594</f>
        <v>0.320477411718288</v>
      </c>
      <c r="D605" s="18" t="n">
        <f aca="false">D604/D594</f>
        <v>0.385043241181844</v>
      </c>
      <c r="E605" s="18" t="n">
        <f aca="false">E604/E594</f>
        <v>0.426143762062048</v>
      </c>
      <c r="F605" s="18" t="n">
        <f aca="false">F604/F594</f>
        <v>0.424343736509707</v>
      </c>
      <c r="G605" s="18" t="n">
        <f aca="false">G604/G594</f>
        <v>0.425471503864736</v>
      </c>
    </row>
    <row r="606" customFormat="false" ht="15" hidden="false" customHeight="false" outlineLevel="0" collapsed="false">
      <c r="A606" s="4" t="s">
        <v>489</v>
      </c>
      <c r="B606" s="0" t="s">
        <v>301</v>
      </c>
      <c r="C606" s="29" t="n">
        <f aca="false">a25_nop</f>
        <v>0.108999999999999</v>
      </c>
      <c r="D606" s="29" t="n">
        <f aca="false">a26_nop</f>
        <v>0.330500000000001</v>
      </c>
      <c r="E606" s="29" t="n">
        <f aca="false">nop_f</f>
        <v>0.3</v>
      </c>
      <c r="F606" s="29" t="n">
        <f aca="false">nop_f</f>
        <v>0.3</v>
      </c>
      <c r="G606" s="29" t="n">
        <f aca="false">nop_f</f>
        <v>0.3</v>
      </c>
    </row>
    <row r="607" customFormat="false" ht="15" hidden="false" customHeight="false" outlineLevel="0" collapsed="false">
      <c r="A607" s="4" t="s">
        <v>494</v>
      </c>
      <c r="B607" s="0" t="s">
        <v>301</v>
      </c>
      <c r="C607" s="24" t="n">
        <f aca="false">a25_ni</f>
        <v>5.277</v>
      </c>
      <c r="D607" s="24" t="n">
        <f aca="false">a26_ni</f>
        <v>10.3442061825</v>
      </c>
      <c r="E607" s="24" t="n">
        <f aca="false">(E604+E606)*nir_f</f>
        <v>22.3645618042703</v>
      </c>
      <c r="F607" s="24" t="n">
        <f aca="false">(F604+F606)*nir_f</f>
        <v>26.3343446880592</v>
      </c>
      <c r="G607" s="24" t="n">
        <f aca="false">(G604+G606)*nir_f</f>
        <v>33.222316559064</v>
      </c>
      <c r="H607" s="25" t="n">
        <f aca="false">H594*H611</f>
        <v>37.9225240592649</v>
      </c>
      <c r="I607" s="25" t="n">
        <f aca="false">I594*I611</f>
        <v>40.5410954849398</v>
      </c>
      <c r="J607" s="25" t="n">
        <f aca="false">J594*J611</f>
        <v>40.4079829897238</v>
      </c>
    </row>
    <row r="608" customFormat="false" ht="15" hidden="false" customHeight="false" outlineLevel="0" collapsed="false">
      <c r="A608" s="4" t="s">
        <v>609</v>
      </c>
      <c r="B608" s="4" t="s">
        <v>327</v>
      </c>
      <c r="C608" s="28" t="n">
        <f aca="false">a25_sh</f>
        <v>0.143591836734694</v>
      </c>
      <c r="D608" s="28" t="n">
        <f aca="false">a26_sh</f>
        <v>0.146703513620213</v>
      </c>
      <c r="E608" s="28" t="n">
        <f aca="false">D608*(1+sh_g)</f>
        <v>0.146703513620213</v>
      </c>
      <c r="F608" s="28" t="n">
        <f aca="false">E608*(1+sh_g)</f>
        <v>0.146703513620213</v>
      </c>
      <c r="G608" s="28" t="n">
        <f aca="false">F608*(1+sh_g)</f>
        <v>0.146703513620213</v>
      </c>
      <c r="H608" s="30" t="n">
        <f aca="false">G608*(1+sh_g)</f>
        <v>0.146703513620213</v>
      </c>
      <c r="I608" s="30" t="n">
        <f aca="false">H608*(1+sh_g)</f>
        <v>0.146703513620213</v>
      </c>
      <c r="J608" s="30" t="n">
        <f aca="false">I608*(1+sh_g)</f>
        <v>0.146703513620213</v>
      </c>
    </row>
    <row r="609" customFormat="false" ht="15" hidden="false" customHeight="false" outlineLevel="0" collapsed="false">
      <c r="A609" s="0" t="s">
        <v>500</v>
      </c>
      <c r="B609" s="0" t="s">
        <v>360</v>
      </c>
      <c r="C609" s="29" t="n">
        <f aca="false">C607/C608</f>
        <v>36.75</v>
      </c>
      <c r="D609" s="29" t="n">
        <f aca="false">D607/D608</f>
        <v>70.5109641019174</v>
      </c>
      <c r="E609" s="29" t="n">
        <f aca="false">E607/E608</f>
        <v>152.447349435459</v>
      </c>
      <c r="F609" s="29" t="n">
        <f aca="false">F607/F608</f>
        <v>179.507252677217</v>
      </c>
      <c r="G609" s="29" t="n">
        <f aca="false">G607/G608</f>
        <v>226.458901625697</v>
      </c>
      <c r="H609" s="31" t="n">
        <f aca="false">H607/H608</f>
        <v>258.497721857153</v>
      </c>
      <c r="I609" s="31" t="n">
        <f aca="false">I607/I608</f>
        <v>276.347133647343</v>
      </c>
      <c r="J609" s="31" t="n">
        <f aca="false">J607/J608</f>
        <v>275.439776407347</v>
      </c>
    </row>
    <row r="610" customFormat="false" ht="17.15" hidden="false" customHeight="false" outlineLevel="0" collapsed="false">
      <c r="A610" s="0" t="s">
        <v>610</v>
      </c>
      <c r="B610" s="0" t="s">
        <v>196</v>
      </c>
      <c r="D610" s="18" t="n">
        <f aca="false">D609/C609-1</f>
        <v>0.918665689848092</v>
      </c>
      <c r="E610" s="18" t="n">
        <f aca="false">E609/D609-1</f>
        <v>1.16203751256485</v>
      </c>
      <c r="F610" s="18" t="n">
        <f aca="false">F609/E609-1</f>
        <v>0.177503271404626</v>
      </c>
      <c r="G610" s="18" t="n">
        <f aca="false">G609/F609-1</f>
        <v>0.261558506679986</v>
      </c>
      <c r="H610" s="26" t="n">
        <f aca="false">H609/G609-1</f>
        <v>0.141477415996705</v>
      </c>
      <c r="I610" s="26" t="n">
        <f aca="false">I609/H609-1</f>
        <v>0.0690505574360669</v>
      </c>
      <c r="J610" s="26" t="n">
        <f aca="false">J609/I609-1</f>
        <v>-0.00328339660346633</v>
      </c>
    </row>
    <row r="611" customFormat="false" ht="17.15" hidden="false" customHeight="false" outlineLevel="0" collapsed="false">
      <c r="A611" s="4" t="s">
        <v>611</v>
      </c>
      <c r="B611" s="0" t="s">
        <v>196</v>
      </c>
      <c r="C611" s="18" t="n">
        <f aca="false">C607/C594</f>
        <v>0.260258433616098</v>
      </c>
      <c r="D611" s="18" t="n">
        <f aca="false">D607/D594</f>
        <v>0.318133499690915</v>
      </c>
      <c r="E611" s="18" t="n">
        <f aca="false">E607/E594</f>
        <v>0.346790487849767</v>
      </c>
      <c r="F611" s="18" t="n">
        <f aca="false">F607/F594</f>
        <v>0.344758325795213</v>
      </c>
      <c r="G611" s="18" t="n">
        <f aca="false">G607/G594</f>
        <v>0.345012529182462</v>
      </c>
      <c r="H611" s="26" t="n">
        <f aca="false">$G611+(fade_mB-$G611)*1/3</f>
        <v>0.331756933310282</v>
      </c>
      <c r="I611" s="26" t="n">
        <f aca="false">$G611+(fade_mB-$G611)*2/3</f>
        <v>0.318501337438101</v>
      </c>
      <c r="J611" s="26" t="n">
        <f aca="false">$G611+(fade_mB-$G611)*3/3</f>
        <v>0.30524574156592</v>
      </c>
    </row>
    <row r="614" customFormat="false" ht="17.15" hidden="false" customHeight="false" outlineLevel="0" collapsed="false">
      <c r="A614" s="1" t="s">
        <v>914</v>
      </c>
    </row>
    <row r="615" customFormat="false" ht="17.15" hidden="false" customHeight="false" outlineLevel="0" collapsed="false">
      <c r="A615" s="5" t="s">
        <v>22</v>
      </c>
      <c r="B615" s="5" t="s">
        <v>23</v>
      </c>
      <c r="C615" s="15" t="s">
        <v>470</v>
      </c>
      <c r="D615" s="15" t="s">
        <v>553</v>
      </c>
      <c r="E615" s="15" t="s">
        <v>554</v>
      </c>
      <c r="F615" s="15" t="s">
        <v>555</v>
      </c>
      <c r="G615" s="15" t="s">
        <v>556</v>
      </c>
      <c r="H615" s="15" t="s">
        <v>557</v>
      </c>
      <c r="I615" s="15" t="s">
        <v>558</v>
      </c>
      <c r="J615" s="15" t="s">
        <v>559</v>
      </c>
      <c r="K615" s="5" t="s">
        <v>523</v>
      </c>
    </row>
    <row r="616" customFormat="false" ht="17.15" hidden="false" customHeight="false" outlineLevel="0" collapsed="false">
      <c r="A616" s="6" t="s">
        <v>575</v>
      </c>
    </row>
    <row r="617" customFormat="false" ht="17.15" hidden="false" customHeight="false" outlineLevel="0" collapsed="false">
      <c r="A617" s="0" t="s">
        <v>576</v>
      </c>
      <c r="B617" s="4" t="s">
        <v>33</v>
      </c>
      <c r="D617" s="19" t="n">
        <f aca="false">(u_bw26)*1</f>
        <v>5.4</v>
      </c>
      <c r="E617" s="19" t="n">
        <f aca="false">(u_bw27)*1*mf_lo</f>
        <v>1.92</v>
      </c>
      <c r="F617" s="19" t="n">
        <f aca="false">(u_bw28)*um28_B*mf_lo</f>
        <v>0.32</v>
      </c>
      <c r="G617" s="19" t="n">
        <f aca="false">(u_bw29)*um29_B*mf_lo</f>
        <v>0.17</v>
      </c>
    </row>
    <row r="618" customFormat="false" ht="17.15" hidden="false" customHeight="false" outlineLevel="0" collapsed="false">
      <c r="A618" s="0" t="s">
        <v>577</v>
      </c>
      <c r="B618" s="4" t="s">
        <v>33</v>
      </c>
      <c r="D618" s="19" t="n">
        <f aca="false">(u_hp26)*1</f>
        <v>0.5</v>
      </c>
      <c r="E618" s="19" t="n">
        <f aca="false">(u_hp27)*1*mf_lo</f>
        <v>0</v>
      </c>
      <c r="F618" s="19" t="n">
        <f aca="false">(u_hp28)*um28_B*mf_lo</f>
        <v>0</v>
      </c>
      <c r="G618" s="19" t="n">
        <f aca="false">(u_hp29)*um29_B*mf_lo</f>
        <v>0</v>
      </c>
    </row>
    <row r="619" customFormat="false" ht="17.15" hidden="false" customHeight="false" outlineLevel="0" collapsed="false">
      <c r="A619" s="0" t="s">
        <v>578</v>
      </c>
      <c r="B619" s="4" t="s">
        <v>33</v>
      </c>
      <c r="D619" s="19" t="n">
        <f aca="false">(u_rb26)*1</f>
        <v>1.7</v>
      </c>
      <c r="E619" s="19" t="n">
        <f aca="false">(u_rb27)*1*mf_lo</f>
        <v>5.6</v>
      </c>
      <c r="F619" s="19" t="n">
        <f aca="false">(u_rb28)*um28_B*mf_lo</f>
        <v>4.48</v>
      </c>
      <c r="G619" s="19" t="n">
        <f aca="false">(u_rb29)*um29_B*mf_lo</f>
        <v>5.474</v>
      </c>
    </row>
    <row r="620" customFormat="false" ht="17.15" hidden="false" customHeight="false" outlineLevel="0" collapsed="false">
      <c r="A620" s="0" t="s">
        <v>579</v>
      </c>
      <c r="B620" s="4" t="s">
        <v>33</v>
      </c>
      <c r="D620" s="19" t="n">
        <f aca="false">(u_ru26)*1</f>
        <v>0</v>
      </c>
      <c r="E620" s="19" t="n">
        <f aca="false">(u_ru27)*1*mf_lo</f>
        <v>0.24</v>
      </c>
      <c r="F620" s="19" t="n">
        <f aca="false">(u_ru28)*um28_B*mf_lo</f>
        <v>1.28</v>
      </c>
      <c r="G620" s="19" t="n">
        <f aca="false">(u_ru29)*um29_B*mf_lo</f>
        <v>1.564</v>
      </c>
    </row>
    <row r="621" customFormat="false" ht="17.15" hidden="false" customHeight="false" outlineLevel="0" collapsed="false">
      <c r="A621" s="0" t="s">
        <v>580</v>
      </c>
      <c r="B621" s="4" t="s">
        <v>33</v>
      </c>
      <c r="D621" s="19" t="n">
        <f aca="false">(u_amd26)*1</f>
        <v>0.75</v>
      </c>
      <c r="E621" s="19" t="n">
        <f aca="false">(u_amd27)*1*mf_lo</f>
        <v>1.2</v>
      </c>
      <c r="F621" s="19" t="n">
        <f aca="false">(u_amd28)*um28_B*mf_lo</f>
        <v>1.28</v>
      </c>
      <c r="G621" s="19" t="n">
        <f aca="false">(u_amd29)*um29_B*mf_lo</f>
        <v>1.564</v>
      </c>
    </row>
    <row r="622" customFormat="false" ht="17.15" hidden="false" customHeight="false" outlineLevel="0" collapsed="false">
      <c r="A622" s="0" t="s">
        <v>581</v>
      </c>
      <c r="B622" s="4" t="s">
        <v>33</v>
      </c>
      <c r="D622" s="19" t="n">
        <f aca="false">(u_tpu26+u_trn26+u_oth26)*1</f>
        <v>6.85</v>
      </c>
      <c r="E622" s="19" t="n">
        <f aca="false">(u_tpu27+u_trn27+u_oth27)*1*mf_lo</f>
        <v>10</v>
      </c>
      <c r="F622" s="19" t="n">
        <f aca="false">(u_tpu28+u_trn28+u_oth28)*um28_B*mf_lo</f>
        <v>9.6</v>
      </c>
      <c r="G622" s="19" t="n">
        <f aca="false">(u_tpu29+u_trn29+u_oth29)*um29_B*mf_lo</f>
        <v>11.73</v>
      </c>
    </row>
    <row r="623" customFormat="false" ht="17.15" hidden="false" customHeight="false" outlineLevel="0" collapsed="false">
      <c r="A623" s="0" t="s">
        <v>527</v>
      </c>
      <c r="B623" s="0" t="s">
        <v>136</v>
      </c>
      <c r="D623" s="22" t="n">
        <f aca="false">asp_vr_26</f>
        <v>100</v>
      </c>
      <c r="E623" s="22" t="n">
        <f aca="false">asp_vr_27</f>
        <v>150</v>
      </c>
      <c r="F623" s="22" t="n">
        <f aca="false">asp_vr_28</f>
        <v>180</v>
      </c>
      <c r="G623" s="22" t="n">
        <f aca="false">asp_vr_29</f>
        <v>180</v>
      </c>
    </row>
    <row r="624" customFormat="false" ht="17.15" hidden="false" customHeight="false" outlineLevel="0" collapsed="false">
      <c r="A624" s="0" t="s">
        <v>582</v>
      </c>
      <c r="B624" s="0" t="s">
        <v>136</v>
      </c>
      <c r="D624" s="22" t="n">
        <f aca="false">asp_amd_26</f>
        <v>40</v>
      </c>
      <c r="E624" s="22" t="n">
        <f aca="false">asp_amd_27</f>
        <v>60</v>
      </c>
      <c r="F624" s="22" t="n">
        <f aca="false">asp_amd_28</f>
        <v>80</v>
      </c>
      <c r="G624" s="22" t="n">
        <f aca="false">asp_amd_29</f>
        <v>80</v>
      </c>
    </row>
    <row r="625" customFormat="false" ht="17.15" hidden="false" customHeight="false" outlineLevel="0" collapsed="false">
      <c r="A625" s="0" t="s">
        <v>583</v>
      </c>
      <c r="B625" s="0" t="s">
        <v>136</v>
      </c>
      <c r="D625" s="22" t="n">
        <f aca="false">asp_asic_26</f>
        <v>30</v>
      </c>
      <c r="E625" s="22" t="n">
        <f aca="false">asp_asic_27</f>
        <v>35</v>
      </c>
      <c r="F625" s="22" t="n">
        <f aca="false">asp_asic_28</f>
        <v>40</v>
      </c>
      <c r="G625" s="22" t="n">
        <f aca="false">asp_asic_29</f>
        <v>40</v>
      </c>
    </row>
    <row r="626" customFormat="false" ht="17.15" hidden="false" customHeight="false" outlineLevel="0" collapsed="false">
      <c r="A626" s="0" t="s">
        <v>584</v>
      </c>
      <c r="B626" s="0" t="s">
        <v>205</v>
      </c>
      <c r="D626" s="17" t="n">
        <f aca="false">(D617*asp_bw+D618*asp_hp+D619*D623+D620*asp_ru)/1000</f>
        <v>0.3665</v>
      </c>
      <c r="E626" s="17" t="n">
        <f aca="false">(E617*asp_bw+E618*asp_hp+E619*E623+E620*asp_ru)/1000</f>
        <v>0.9552</v>
      </c>
      <c r="F626" s="17" t="n">
        <f aca="false">(F617*asp_bw+F618*asp_hp+F619*F623+F620*asp_ru)/1000</f>
        <v>1.0736</v>
      </c>
      <c r="G626" s="17" t="n">
        <f aca="false">(G617*asp_bw+G618*asp_hp+G619*G623+G620*asp_ru)/1000</f>
        <v>1.30407</v>
      </c>
      <c r="K626" s="4" t="s">
        <v>585</v>
      </c>
    </row>
    <row r="627" customFormat="false" ht="17.15" hidden="false" customHeight="false" outlineLevel="0" collapsed="false">
      <c r="A627" s="4" t="s">
        <v>586</v>
      </c>
      <c r="B627" s="0" t="s">
        <v>205</v>
      </c>
      <c r="D627" s="17" t="n">
        <f aca="false">(D621*D624+D622*D625)/1000</f>
        <v>0.2355</v>
      </c>
      <c r="E627" s="17" t="n">
        <f aca="false">(E621*E624+E622*E625)/1000</f>
        <v>0.422</v>
      </c>
      <c r="F627" s="17" t="n">
        <f aca="false">(F621*F624+F622*F625)/1000</f>
        <v>0.4864</v>
      </c>
      <c r="G627" s="17" t="n">
        <f aca="false">(G621*G624+G622*G625)/1000</f>
        <v>0.59432</v>
      </c>
    </row>
    <row r="628" customFormat="false" ht="17.15" hidden="false" customHeight="false" outlineLevel="0" collapsed="false">
      <c r="A628" s="0" t="s">
        <v>587</v>
      </c>
      <c r="B628" s="0" t="s">
        <v>205</v>
      </c>
      <c r="D628" s="17" t="n">
        <f aca="false">D626+D627</f>
        <v>0.602</v>
      </c>
      <c r="E628" s="17" t="n">
        <f aca="false">E626+E627</f>
        <v>1.3772</v>
      </c>
      <c r="F628" s="17" t="n">
        <f aca="false">F626+F627</f>
        <v>1.56</v>
      </c>
      <c r="G628" s="17" t="n">
        <f aca="false">G626+G627</f>
        <v>1.89839</v>
      </c>
    </row>
    <row r="629" customFormat="false" ht="17.15" hidden="false" customHeight="false" outlineLevel="0" collapsed="false">
      <c r="A629" s="4" t="s">
        <v>588</v>
      </c>
      <c r="B629" s="0" t="s">
        <v>196</v>
      </c>
      <c r="D629" s="18" t="n">
        <f aca="false">a26_rev*ai_26/fx/(D626+k_non*D627)</f>
        <v>0.882225417842414</v>
      </c>
      <c r="K629" s="8" t="s">
        <v>589</v>
      </c>
    </row>
    <row r="630" customFormat="false" ht="17.15" hidden="false" customHeight="false" outlineLevel="0" collapsed="false">
      <c r="A630" s="4" t="s">
        <v>590</v>
      </c>
      <c r="B630" s="0" t="s">
        <v>109</v>
      </c>
      <c r="D630" s="19" t="n">
        <f aca="false">1</f>
        <v>1</v>
      </c>
      <c r="E630" s="19" t="n">
        <f aca="false">rel_27</f>
        <v>0.97</v>
      </c>
      <c r="F630" s="19" t="n">
        <f aca="false">rel_28</f>
        <v>0.93</v>
      </c>
      <c r="G630" s="19" t="n">
        <f aca="false">rel_29</f>
        <v>0.9</v>
      </c>
    </row>
    <row r="631" customFormat="false" ht="17.15" hidden="false" customHeight="false" outlineLevel="0" collapsed="false">
      <c r="A631" s="4" t="s">
        <v>591</v>
      </c>
      <c r="B631" s="0" t="s">
        <v>196</v>
      </c>
      <c r="D631" s="18" t="n">
        <f aca="false">$D$629*D630</f>
        <v>0.882225417842414</v>
      </c>
      <c r="E631" s="18" t="n">
        <f aca="false">$D$629*E630</f>
        <v>0.855758655307142</v>
      </c>
      <c r="F631" s="18" t="n">
        <f aca="false">$D$629*F630</f>
        <v>0.820469638593445</v>
      </c>
      <c r="G631" s="18" t="n">
        <f aca="false">$D$629*G630</f>
        <v>0.794002876058173</v>
      </c>
    </row>
    <row r="632" customFormat="false" ht="17.15" hidden="false" customHeight="false" outlineLevel="0" collapsed="false">
      <c r="A632" s="4" t="s">
        <v>592</v>
      </c>
      <c r="B632" s="0" t="s">
        <v>196</v>
      </c>
      <c r="D632" s="18" t="n">
        <f aca="false">D631*k_non</f>
        <v>0.352890167136966</v>
      </c>
      <c r="E632" s="18" t="n">
        <f aca="false">E631*k_non</f>
        <v>0.342303462122857</v>
      </c>
      <c r="F632" s="18" t="n">
        <f aca="false">F631*k_non</f>
        <v>0.328187855437378</v>
      </c>
      <c r="G632" s="18" t="n">
        <f aca="false">G631*k_non</f>
        <v>0.317601150423269</v>
      </c>
    </row>
    <row r="633" customFormat="false" ht="17.15" hidden="false" customHeight="false" outlineLevel="0" collapsed="false">
      <c r="A633" s="0" t="s">
        <v>593</v>
      </c>
      <c r="B633" s="0" t="s">
        <v>301</v>
      </c>
      <c r="C633" s="24" t="n">
        <f aca="false">a25_ail</f>
        <v>6.0828</v>
      </c>
      <c r="D633" s="24" t="n">
        <f aca="false">(D626*D631+D627*D632)*fx</f>
        <v>13.00612</v>
      </c>
      <c r="E633" s="24" t="n">
        <f aca="false">(E626*E631+E627*E632)*fx</f>
        <v>30.7799273140873</v>
      </c>
      <c r="F633" s="24" t="n">
        <f aca="false">(F626*F631+F627*F632)*fx</f>
        <v>33.2955768601172</v>
      </c>
      <c r="G633" s="24" t="n">
        <f aca="false">(G626*G631+G627*G632)*fx</f>
        <v>39.1741454816236</v>
      </c>
    </row>
    <row r="634" customFormat="false" ht="17.15" hidden="false" customHeight="false" outlineLevel="0" collapsed="false">
      <c r="A634" s="6" t="s">
        <v>594</v>
      </c>
    </row>
    <row r="635" customFormat="false" ht="17.15" hidden="false" customHeight="false" outlineLevel="0" collapsed="false">
      <c r="A635" s="0" t="s">
        <v>595</v>
      </c>
      <c r="B635" s="0" t="s">
        <v>205</v>
      </c>
      <c r="D635" s="24" t="n">
        <f aca="false">lmkB_26</f>
        <v>4.51368758595869</v>
      </c>
      <c r="E635" s="24" t="n">
        <f aca="false">lmkB_27*mf_lo</f>
        <v>8.16088033635184</v>
      </c>
      <c r="F635" s="24" t="n">
        <f aca="false">lmkB_28*mf_lo</f>
        <v>10.1008358583681</v>
      </c>
      <c r="G635" s="24" t="n">
        <f aca="false">lmkB_29*mf_lo</f>
        <v>12.9447550862441</v>
      </c>
      <c r="K635" s="4" t="s">
        <v>596</v>
      </c>
    </row>
    <row r="636" customFormat="false" ht="15" hidden="false" customHeight="false" outlineLevel="0" collapsed="false">
      <c r="A636" s="4" t="s">
        <v>542</v>
      </c>
      <c r="B636" s="0" t="s">
        <v>196</v>
      </c>
      <c r="D636" s="18" t="n">
        <f aca="false">0</f>
        <v>0</v>
      </c>
      <c r="E636" s="18" t="n">
        <f aca="false">lcs_27</f>
        <v>0.008</v>
      </c>
      <c r="F636" s="18" t="n">
        <f aca="false">lcs_28</f>
        <v>0.015</v>
      </c>
      <c r="G636" s="18" t="n">
        <f aca="false">lcs_29</f>
        <v>0.025</v>
      </c>
    </row>
    <row r="637" customFormat="false" ht="17.15" hidden="false" customHeight="false" outlineLevel="0" collapsed="false">
      <c r="A637" s="4" t="s">
        <v>597</v>
      </c>
      <c r="B637" s="0" t="s">
        <v>301</v>
      </c>
      <c r="C637" s="24" t="n">
        <f aca="false">0</f>
        <v>0</v>
      </c>
      <c r="D637" s="24" t="n">
        <f aca="false">D635*D636*fx</f>
        <v>0</v>
      </c>
      <c r="E637" s="24" t="n">
        <f aca="false">E635*E636*fx</f>
        <v>2.08918536610607</v>
      </c>
      <c r="F637" s="24" t="n">
        <f aca="false">F635*F636*fx</f>
        <v>4.84840121201668</v>
      </c>
      <c r="G637" s="24" t="n">
        <f aca="false">G635*G636*fx</f>
        <v>10.3558040689953</v>
      </c>
    </row>
    <row r="638" customFormat="false" ht="17.15" hidden="false" customHeight="false" outlineLevel="0" collapsed="false">
      <c r="A638" s="6" t="s">
        <v>598</v>
      </c>
    </row>
    <row r="639" customFormat="false" ht="17.15" hidden="false" customHeight="false" outlineLevel="0" collapsed="false">
      <c r="A639" s="4" t="s">
        <v>599</v>
      </c>
      <c r="B639" s="0" t="s">
        <v>301</v>
      </c>
      <c r="C639" s="24" t="n">
        <f aca="false">a25_oth</f>
        <v>8.637576</v>
      </c>
      <c r="D639" s="24" t="n">
        <f aca="false">a26_rev*(th_26-ai_26)</f>
        <v>11.380355</v>
      </c>
      <c r="E639" s="24" t="n">
        <f aca="false">D639*(1+g_oth_27)</f>
        <v>12.7459976</v>
      </c>
      <c r="F639" s="24" t="n">
        <f aca="false">E639*(1+g_oth_28)</f>
        <v>14.02059736</v>
      </c>
      <c r="G639" s="24" t="n">
        <f aca="false">F639*(1+g_oth_29)</f>
        <v>15.1422451488</v>
      </c>
    </row>
    <row r="640" customFormat="false" ht="15" hidden="false" customHeight="false" outlineLevel="0" collapsed="false">
      <c r="A640" s="4" t="s">
        <v>600</v>
      </c>
      <c r="B640" s="0" t="s">
        <v>301</v>
      </c>
      <c r="C640" s="24" t="n">
        <f aca="false">a25_lf</f>
        <v>5.555624</v>
      </c>
      <c r="D640" s="24" t="n">
        <f aca="false">a26_lf</f>
        <v>8.128825</v>
      </c>
      <c r="E640" s="24" t="n">
        <f aca="false">D640*(1+g_lf_27)</f>
        <v>8.37268975</v>
      </c>
      <c r="F640" s="24" t="n">
        <f aca="false">E640*(1+g_lf_28)</f>
        <v>8.6238704425</v>
      </c>
      <c r="G640" s="24" t="n">
        <f aca="false">F640*(1+g_lf_29)</f>
        <v>8.882586555775</v>
      </c>
    </row>
    <row r="641" customFormat="false" ht="17.15" hidden="false" customHeight="false" outlineLevel="0" collapsed="false">
      <c r="A641" s="4" t="s">
        <v>475</v>
      </c>
      <c r="B641" s="0" t="s">
        <v>301</v>
      </c>
      <c r="C641" s="24" t="n">
        <f aca="false">C633+C637+C639+C640</f>
        <v>20.276</v>
      </c>
      <c r="D641" s="24" t="n">
        <f aca="false">D633+D637+D639+D640</f>
        <v>32.5153</v>
      </c>
      <c r="E641" s="24" t="n">
        <f aca="false">E633+E637+E639+E640</f>
        <v>53.9878000301933</v>
      </c>
      <c r="F641" s="24" t="n">
        <f aca="false">F633+F637+F639+F640</f>
        <v>60.7884458746339</v>
      </c>
      <c r="G641" s="24" t="n">
        <f aca="false">G633+G637+G639+G640</f>
        <v>73.5547812551939</v>
      </c>
      <c r="H641" s="25" t="n">
        <f aca="false">G641*(1+H642)</f>
        <v>84.8337955298427</v>
      </c>
      <c r="I641" s="25" t="n">
        <f aca="false">H641*(1+I642)</f>
        <v>93.0347501183547</v>
      </c>
      <c r="J641" s="25" t="n">
        <f aca="false">I641*(1+J642)</f>
        <v>96.7561401230889</v>
      </c>
      <c r="K641" s="8" t="s">
        <v>601</v>
      </c>
    </row>
    <row r="642" customFormat="false" ht="15" hidden="false" customHeight="false" outlineLevel="0" collapsed="false">
      <c r="A642" s="4" t="s">
        <v>602</v>
      </c>
      <c r="B642" s="0" t="s">
        <v>196</v>
      </c>
      <c r="D642" s="18" t="n">
        <f aca="false">D641/C641-1</f>
        <v>0.603634839218781</v>
      </c>
      <c r="E642" s="18" t="n">
        <f aca="false">E641/D641-1</f>
        <v>0.660381421367582</v>
      </c>
      <c r="F642" s="18" t="n">
        <f aca="false">F641/E641-1</f>
        <v>0.125966345000856</v>
      </c>
      <c r="G642" s="18" t="n">
        <f aca="false">G641/F641-1</f>
        <v>0.210012531113041</v>
      </c>
      <c r="H642" s="26" t="n">
        <f aca="false">$G642+(fade_gB-$G642)*1/3</f>
        <v>0.153341687408694</v>
      </c>
      <c r="I642" s="26" t="n">
        <f aca="false">$G642+(fade_gB-$G642)*2/3</f>
        <v>0.0966708437043471</v>
      </c>
      <c r="J642" s="26" t="n">
        <f aca="false">$G642+(fade_gB-$G642)*3/3</f>
        <v>0.04</v>
      </c>
    </row>
    <row r="643" customFormat="false" ht="17.15" hidden="false" customHeight="false" outlineLevel="0" collapsed="false">
      <c r="A643" s="0" t="s">
        <v>603</v>
      </c>
      <c r="B643" s="0" t="s">
        <v>196</v>
      </c>
      <c r="C643" s="18" t="n">
        <f aca="false">C633/C641</f>
        <v>0.3</v>
      </c>
      <c r="D643" s="18" t="n">
        <f aca="false">D633/D641</f>
        <v>0.4</v>
      </c>
      <c r="E643" s="18" t="n">
        <f aca="false">E633/E641</f>
        <v>0.570127460220146</v>
      </c>
      <c r="F643" s="18" t="n">
        <f aca="false">F633/F641</f>
        <v>0.547728707010932</v>
      </c>
      <c r="G643" s="18" t="n">
        <f aca="false">G633/G641</f>
        <v>0.532584623502737</v>
      </c>
    </row>
    <row r="644" customFormat="false" ht="17.15" hidden="false" customHeight="false" outlineLevel="0" collapsed="false">
      <c r="A644" s="4" t="s">
        <v>604</v>
      </c>
      <c r="B644" s="0" t="s">
        <v>136</v>
      </c>
      <c r="D644" s="24" t="n">
        <f aca="false">D633/fx*1000/(D617+D618+D619+D620+D621+D622)</f>
        <v>26.7395559210526</v>
      </c>
      <c r="E644" s="24" t="n">
        <f aca="false">E633/fx*1000/(E617+E618+E619+E620+E621+E622)</f>
        <v>50.7316839960563</v>
      </c>
      <c r="F644" s="24" t="n">
        <f aca="false">F633/fx*1000/(F617+F618+F619+F620+F621+F622)</f>
        <v>61.3494561838835</v>
      </c>
      <c r="G644" s="24" t="n">
        <f aca="false">G633/fx*1000/(G617+G618+G619+G620+G621+G622)</f>
        <v>59.7108597356716</v>
      </c>
    </row>
    <row r="645" customFormat="false" ht="17.15" hidden="false" customHeight="false" outlineLevel="0" collapsed="false">
      <c r="A645" s="6" t="s">
        <v>605</v>
      </c>
    </row>
    <row r="646" customFormat="false" ht="17.15" hidden="false" customHeight="false" outlineLevel="0" collapsed="false">
      <c r="A646" s="4" t="s">
        <v>606</v>
      </c>
      <c r="B646" s="0" t="s">
        <v>196</v>
      </c>
      <c r="D646" s="18" t="n">
        <f aca="false">a26_gp/D641-d_ai*D643</f>
        <v>0.425324773260588</v>
      </c>
      <c r="K646" s="8" t="s">
        <v>607</v>
      </c>
    </row>
    <row r="647" customFormat="false" ht="15" hidden="false" customHeight="false" outlineLevel="0" collapsed="false">
      <c r="A647" s="4" t="s">
        <v>479</v>
      </c>
      <c r="B647" s="0" t="s">
        <v>301</v>
      </c>
      <c r="C647" s="24" t="n">
        <f aca="false">a25_gp</f>
        <v>8.434</v>
      </c>
      <c r="D647" s="24" t="n">
        <f aca="false">a26_gp</f>
        <v>15.390297</v>
      </c>
      <c r="E647" s="24" t="n">
        <f aca="false">$D$646*E641+d_ai*E633</f>
        <v>26.6559400843704</v>
      </c>
      <c r="F647" s="24" t="n">
        <f aca="false">$D$646*F641+d_ai*F633</f>
        <v>29.8503011817063</v>
      </c>
      <c r="G647" s="24" t="n">
        <f aca="false">$D$646*G641+d_ai*G633</f>
        <v>35.9855681173923</v>
      </c>
    </row>
    <row r="648" customFormat="false" ht="15" hidden="false" customHeight="false" outlineLevel="0" collapsed="false">
      <c r="A648" s="4" t="s">
        <v>482</v>
      </c>
      <c r="B648" s="0" t="s">
        <v>196</v>
      </c>
      <c r="C648" s="18" t="n">
        <f aca="false">C647/C641</f>
        <v>0.415959755375814</v>
      </c>
      <c r="D648" s="18" t="n">
        <f aca="false">D647/D641</f>
        <v>0.473324773260588</v>
      </c>
      <c r="E648" s="18" t="n">
        <f aca="false">E647/E641</f>
        <v>0.493740068487006</v>
      </c>
      <c r="F648" s="18" t="n">
        <f aca="false">F647/F641</f>
        <v>0.4910522181019</v>
      </c>
      <c r="G648" s="18" t="n">
        <f aca="false">G647/G641</f>
        <v>0.489234928080917</v>
      </c>
    </row>
    <row r="649" customFormat="false" ht="15" hidden="false" customHeight="false" outlineLevel="0" collapsed="false">
      <c r="A649" s="4" t="s">
        <v>608</v>
      </c>
      <c r="B649" s="0" t="s">
        <v>301</v>
      </c>
      <c r="C649" s="24" t="n">
        <f aca="false">a25_opx</f>
        <v>1.936</v>
      </c>
      <c r="D649" s="24" t="n">
        <f aca="false">a26_opx</f>
        <v>2.8705005</v>
      </c>
      <c r="E649" s="24" t="n">
        <f aca="false">D649*(1+MAX(0,phi*E642))</f>
        <v>4.00787562013581</v>
      </c>
      <c r="F649" s="24" t="n">
        <f aca="false">E649*(1+MAX(0,phi*F642))</f>
        <v>4.31079008598774</v>
      </c>
      <c r="G649" s="24" t="n">
        <f aca="false">F649*(1+MAX(0,phi*G642))</f>
        <v>4.85398204822092</v>
      </c>
    </row>
    <row r="650" customFormat="false" ht="15" hidden="false" customHeight="false" outlineLevel="0" collapsed="false">
      <c r="A650" s="4" t="s">
        <v>484</v>
      </c>
      <c r="B650" s="0" t="s">
        <v>301</v>
      </c>
      <c r="C650" s="24" t="n">
        <f aca="false">C649</f>
        <v>1.936</v>
      </c>
      <c r="D650" s="24" t="n">
        <f aca="false">D649</f>
        <v>2.8705005</v>
      </c>
      <c r="E650" s="24" t="n">
        <f aca="false">E649+0*E641</f>
        <v>4.00787562013581</v>
      </c>
      <c r="F650" s="24" t="n">
        <f aca="false">F649+0*F641</f>
        <v>4.31079008598774</v>
      </c>
      <c r="G650" s="24" t="n">
        <f aca="false">G649+0*G641</f>
        <v>4.85398204822092</v>
      </c>
    </row>
    <row r="651" customFormat="false" ht="15" hidden="false" customHeight="false" outlineLevel="0" collapsed="false">
      <c r="A651" s="4" t="s">
        <v>486</v>
      </c>
      <c r="B651" s="0" t="s">
        <v>301</v>
      </c>
      <c r="C651" s="24" t="n">
        <f aca="false">C647-C650</f>
        <v>6.498</v>
      </c>
      <c r="D651" s="24" t="n">
        <f aca="false">D647-D650</f>
        <v>12.5197965</v>
      </c>
      <c r="E651" s="24" t="n">
        <f aca="false">E647-E650</f>
        <v>22.6480644642346</v>
      </c>
      <c r="F651" s="24" t="n">
        <f aca="false">F647-F650</f>
        <v>25.5395110957185</v>
      </c>
      <c r="G651" s="24" t="n">
        <f aca="false">G647-G650</f>
        <v>31.1315860691714</v>
      </c>
    </row>
    <row r="652" customFormat="false" ht="15" hidden="false" customHeight="false" outlineLevel="0" collapsed="false">
      <c r="A652" s="4" t="s">
        <v>488</v>
      </c>
      <c r="B652" s="0" t="s">
        <v>196</v>
      </c>
      <c r="C652" s="18" t="n">
        <f aca="false">C651/C641</f>
        <v>0.320477411718288</v>
      </c>
      <c r="D652" s="18" t="n">
        <f aca="false">D651/D641</f>
        <v>0.385043241181844</v>
      </c>
      <c r="E652" s="18" t="n">
        <f aca="false">E651/E641</f>
        <v>0.419503377643994</v>
      </c>
      <c r="F652" s="18" t="n">
        <f aca="false">F651/F641</f>
        <v>0.420137589113391</v>
      </c>
      <c r="G652" s="18" t="n">
        <f aca="false">G651/G641</f>
        <v>0.423243540908133</v>
      </c>
    </row>
    <row r="653" customFormat="false" ht="15" hidden="false" customHeight="false" outlineLevel="0" collapsed="false">
      <c r="A653" s="4" t="s">
        <v>489</v>
      </c>
      <c r="B653" s="0" t="s">
        <v>301</v>
      </c>
      <c r="C653" s="29" t="n">
        <f aca="false">a25_nop</f>
        <v>0.108999999999999</v>
      </c>
      <c r="D653" s="29" t="n">
        <f aca="false">a26_nop</f>
        <v>0.330500000000001</v>
      </c>
      <c r="E653" s="29" t="n">
        <f aca="false">nop_f</f>
        <v>0.3</v>
      </c>
      <c r="F653" s="29" t="n">
        <f aca="false">nop_f</f>
        <v>0.3</v>
      </c>
      <c r="G653" s="29" t="n">
        <f aca="false">nop_f</f>
        <v>0.3</v>
      </c>
    </row>
    <row r="654" customFormat="false" ht="15" hidden="false" customHeight="false" outlineLevel="0" collapsed="false">
      <c r="A654" s="4" t="s">
        <v>494</v>
      </c>
      <c r="B654" s="0" t="s">
        <v>301</v>
      </c>
      <c r="C654" s="24" t="n">
        <f aca="false">a25_ni</f>
        <v>5.277</v>
      </c>
      <c r="D654" s="24" t="n">
        <f aca="false">a26_ni</f>
        <v>10.3442061825</v>
      </c>
      <c r="E654" s="24" t="n">
        <f aca="false">(E651+E653)*nir_f</f>
        <v>18.4731918937089</v>
      </c>
      <c r="F654" s="24" t="n">
        <f aca="false">(F651+F653)*nir_f</f>
        <v>20.8008064320534</v>
      </c>
      <c r="G654" s="24" t="n">
        <f aca="false">(G651+G653)*nir_f</f>
        <v>25.302426785683</v>
      </c>
      <c r="H654" s="25" t="n">
        <f aca="false">H641*H658</f>
        <v>28.0866140118092</v>
      </c>
      <c r="I654" s="25" t="n">
        <f aca="false">I641*I658</f>
        <v>29.6001159882032</v>
      </c>
      <c r="J654" s="25" t="n">
        <f aca="false">J641*J658</f>
        <v>29.5343997429284</v>
      </c>
    </row>
    <row r="655" customFormat="false" ht="15" hidden="false" customHeight="false" outlineLevel="0" collapsed="false">
      <c r="A655" s="4" t="s">
        <v>609</v>
      </c>
      <c r="B655" s="4" t="s">
        <v>327</v>
      </c>
      <c r="C655" s="28" t="n">
        <f aca="false">a25_sh</f>
        <v>0.143591836734694</v>
      </c>
      <c r="D655" s="28" t="n">
        <f aca="false">a26_sh</f>
        <v>0.146703513620213</v>
      </c>
      <c r="E655" s="28" t="n">
        <f aca="false">D655*(1+sh_g)</f>
        <v>0.146703513620213</v>
      </c>
      <c r="F655" s="28" t="n">
        <f aca="false">E655*(1+sh_g)</f>
        <v>0.146703513620213</v>
      </c>
      <c r="G655" s="28" t="n">
        <f aca="false">F655*(1+sh_g)</f>
        <v>0.146703513620213</v>
      </c>
      <c r="H655" s="30" t="n">
        <f aca="false">G655*(1+sh_g)</f>
        <v>0.146703513620213</v>
      </c>
      <c r="I655" s="30" t="n">
        <f aca="false">H655*(1+sh_g)</f>
        <v>0.146703513620213</v>
      </c>
      <c r="J655" s="30" t="n">
        <f aca="false">I655*(1+sh_g)</f>
        <v>0.146703513620213</v>
      </c>
    </row>
    <row r="656" customFormat="false" ht="15" hidden="false" customHeight="false" outlineLevel="0" collapsed="false">
      <c r="A656" s="0" t="s">
        <v>500</v>
      </c>
      <c r="B656" s="0" t="s">
        <v>360</v>
      </c>
      <c r="C656" s="29" t="n">
        <f aca="false">C654/C655</f>
        <v>36.75</v>
      </c>
      <c r="D656" s="29" t="n">
        <f aca="false">D654/D655</f>
        <v>70.5109641019174</v>
      </c>
      <c r="E656" s="29" t="n">
        <f aca="false">E654/E655</f>
        <v>125.921945820141</v>
      </c>
      <c r="F656" s="29" t="n">
        <f aca="false">F654/F655</f>
        <v>141.788058913862</v>
      </c>
      <c r="G656" s="29" t="n">
        <f aca="false">G654/G655</f>
        <v>172.473215953001</v>
      </c>
      <c r="H656" s="31" t="n">
        <f aca="false">H654/H655</f>
        <v>191.451542766181</v>
      </c>
      <c r="I656" s="31" t="n">
        <f aca="false">I654/I655</f>
        <v>201.768282556832</v>
      </c>
      <c r="J656" s="31" t="n">
        <f aca="false">J654/J655</f>
        <v>201.320329786969</v>
      </c>
    </row>
    <row r="657" customFormat="false" ht="17.15" hidden="false" customHeight="false" outlineLevel="0" collapsed="false">
      <c r="A657" s="0" t="s">
        <v>610</v>
      </c>
      <c r="B657" s="0" t="s">
        <v>196</v>
      </c>
      <c r="D657" s="18" t="n">
        <f aca="false">D656/C656-1</f>
        <v>0.918665689848092</v>
      </c>
      <c r="E657" s="18" t="n">
        <f aca="false">E656/D656-1</f>
        <v>0.785849157276198</v>
      </c>
      <c r="F657" s="18" t="n">
        <f aca="false">F656/E656-1</f>
        <v>0.125999586413501</v>
      </c>
      <c r="G657" s="18" t="n">
        <f aca="false">G656/F656-1</f>
        <v>0.216415664860605</v>
      </c>
      <c r="H657" s="26" t="n">
        <f aca="false">H656/G656-1</f>
        <v>0.110036371203003</v>
      </c>
      <c r="I657" s="26" t="n">
        <f aca="false">I656/H656-1</f>
        <v>0.0538869504083912</v>
      </c>
      <c r="J657" s="26" t="n">
        <f aca="false">J656/I656-1</f>
        <v>-0.00222013472180438</v>
      </c>
    </row>
    <row r="658" customFormat="false" ht="17.15" hidden="false" customHeight="false" outlineLevel="0" collapsed="false">
      <c r="A658" s="4" t="s">
        <v>611</v>
      </c>
      <c r="B658" s="0" t="s">
        <v>196</v>
      </c>
      <c r="C658" s="18" t="n">
        <f aca="false">C654/C641</f>
        <v>0.260258433616098</v>
      </c>
      <c r="D658" s="18" t="n">
        <f aca="false">D654/D641</f>
        <v>0.318133499690915</v>
      </c>
      <c r="E658" s="18" t="n">
        <f aca="false">E654/E641</f>
        <v>0.342173451842407</v>
      </c>
      <c r="F658" s="18" t="n">
        <f aca="false">F654/F641</f>
        <v>0.342183553679784</v>
      </c>
      <c r="G658" s="18" t="n">
        <f aca="false">G654/G641</f>
        <v>0.343994317621553</v>
      </c>
      <c r="H658" s="26" t="n">
        <f aca="false">$G658+(fade_mB-$G658)*1/3</f>
        <v>0.331078125603009</v>
      </c>
      <c r="I658" s="26" t="n">
        <f aca="false">$G658+(fade_mB-$G658)*2/3</f>
        <v>0.318161933584464</v>
      </c>
      <c r="J658" s="26" t="n">
        <f aca="false">$G658+(fade_mB-$G658)*3/3</f>
        <v>0.30524574156592</v>
      </c>
    </row>
    <row r="661" customFormat="false" ht="17.15" hidden="false" customHeight="false" outlineLevel="0" collapsed="false">
      <c r="A661" s="1" t="s">
        <v>915</v>
      </c>
    </row>
    <row r="662" customFormat="false" ht="17.15" hidden="false" customHeight="false" outlineLevel="0" collapsed="false">
      <c r="A662" s="5" t="s">
        <v>22</v>
      </c>
      <c r="B662" s="5" t="s">
        <v>23</v>
      </c>
      <c r="C662" s="15" t="s">
        <v>470</v>
      </c>
      <c r="D662" s="15" t="s">
        <v>553</v>
      </c>
      <c r="E662" s="15" t="s">
        <v>554</v>
      </c>
      <c r="F662" s="15" t="s">
        <v>555</v>
      </c>
      <c r="G662" s="15" t="s">
        <v>556</v>
      </c>
      <c r="H662" s="15" t="s">
        <v>557</v>
      </c>
      <c r="I662" s="15" t="s">
        <v>558</v>
      </c>
      <c r="J662" s="15" t="s">
        <v>559</v>
      </c>
      <c r="K662" s="5" t="s">
        <v>523</v>
      </c>
    </row>
    <row r="663" customFormat="false" ht="17.15" hidden="false" customHeight="false" outlineLevel="0" collapsed="false">
      <c r="A663" s="6" t="s">
        <v>575</v>
      </c>
    </row>
    <row r="664" customFormat="false" ht="17.15" hidden="false" customHeight="false" outlineLevel="0" collapsed="false">
      <c r="A664" s="0" t="s">
        <v>576</v>
      </c>
      <c r="B664" s="4" t="s">
        <v>33</v>
      </c>
      <c r="D664" s="19" t="n">
        <f aca="false">(u_bw26)*1</f>
        <v>5.4</v>
      </c>
      <c r="E664" s="19" t="n">
        <f aca="false">(u_bw27)*1*mf_hi</f>
        <v>2.88</v>
      </c>
      <c r="F664" s="19" t="n">
        <f aca="false">(u_bw28)*um28_B*mf_hi</f>
        <v>0.48</v>
      </c>
      <c r="G664" s="19" t="n">
        <f aca="false">(u_bw29)*um29_B*mf_hi</f>
        <v>0.255</v>
      </c>
    </row>
    <row r="665" customFormat="false" ht="17.15" hidden="false" customHeight="false" outlineLevel="0" collapsed="false">
      <c r="A665" s="0" t="s">
        <v>577</v>
      </c>
      <c r="B665" s="4" t="s">
        <v>33</v>
      </c>
      <c r="D665" s="19" t="n">
        <f aca="false">(u_hp26)*1</f>
        <v>0.5</v>
      </c>
      <c r="E665" s="19" t="n">
        <f aca="false">(u_hp27)*1*mf_hi</f>
        <v>0</v>
      </c>
      <c r="F665" s="19" t="n">
        <f aca="false">(u_hp28)*um28_B*mf_hi</f>
        <v>0</v>
      </c>
      <c r="G665" s="19" t="n">
        <f aca="false">(u_hp29)*um29_B*mf_hi</f>
        <v>0</v>
      </c>
    </row>
    <row r="666" customFormat="false" ht="17.15" hidden="false" customHeight="false" outlineLevel="0" collapsed="false">
      <c r="A666" s="0" t="s">
        <v>578</v>
      </c>
      <c r="B666" s="4" t="s">
        <v>33</v>
      </c>
      <c r="D666" s="19" t="n">
        <f aca="false">(u_rb26)*1</f>
        <v>1.7</v>
      </c>
      <c r="E666" s="19" t="n">
        <f aca="false">(u_rb27)*1*mf_hi</f>
        <v>8.4</v>
      </c>
      <c r="F666" s="19" t="n">
        <f aca="false">(u_rb28)*um28_B*mf_hi</f>
        <v>6.72</v>
      </c>
      <c r="G666" s="19" t="n">
        <f aca="false">(u_rb29)*um29_B*mf_hi</f>
        <v>8.211</v>
      </c>
    </row>
    <row r="667" customFormat="false" ht="17.15" hidden="false" customHeight="false" outlineLevel="0" collapsed="false">
      <c r="A667" s="0" t="s">
        <v>579</v>
      </c>
      <c r="B667" s="4" t="s">
        <v>33</v>
      </c>
      <c r="D667" s="19" t="n">
        <f aca="false">(u_ru26)*1</f>
        <v>0</v>
      </c>
      <c r="E667" s="19" t="n">
        <f aca="false">(u_ru27)*1*mf_hi</f>
        <v>0.36</v>
      </c>
      <c r="F667" s="19" t="n">
        <f aca="false">(u_ru28)*um28_B*mf_hi</f>
        <v>1.92</v>
      </c>
      <c r="G667" s="19" t="n">
        <f aca="false">(u_ru29)*um29_B*mf_hi</f>
        <v>2.346</v>
      </c>
    </row>
    <row r="668" customFormat="false" ht="17.15" hidden="false" customHeight="false" outlineLevel="0" collapsed="false">
      <c r="A668" s="0" t="s">
        <v>580</v>
      </c>
      <c r="B668" s="4" t="s">
        <v>33</v>
      </c>
      <c r="D668" s="19" t="n">
        <f aca="false">(u_amd26)*1</f>
        <v>0.75</v>
      </c>
      <c r="E668" s="19" t="n">
        <f aca="false">(u_amd27)*1*mf_hi</f>
        <v>1.8</v>
      </c>
      <c r="F668" s="19" t="n">
        <f aca="false">(u_amd28)*um28_B*mf_hi</f>
        <v>1.92</v>
      </c>
      <c r="G668" s="19" t="n">
        <f aca="false">(u_amd29)*um29_B*mf_hi</f>
        <v>2.346</v>
      </c>
    </row>
    <row r="669" customFormat="false" ht="17.15" hidden="false" customHeight="false" outlineLevel="0" collapsed="false">
      <c r="A669" s="0" t="s">
        <v>581</v>
      </c>
      <c r="B669" s="4" t="s">
        <v>33</v>
      </c>
      <c r="D669" s="19" t="n">
        <f aca="false">(u_tpu26+u_trn26+u_oth26)*1</f>
        <v>6.85</v>
      </c>
      <c r="E669" s="19" t="n">
        <f aca="false">(u_tpu27+u_trn27+u_oth27)*1*mf_hi</f>
        <v>15</v>
      </c>
      <c r="F669" s="19" t="n">
        <f aca="false">(u_tpu28+u_trn28+u_oth28)*um28_B*mf_hi</f>
        <v>14.4</v>
      </c>
      <c r="G669" s="19" t="n">
        <f aca="false">(u_tpu29+u_trn29+u_oth29)*um29_B*mf_hi</f>
        <v>17.595</v>
      </c>
    </row>
    <row r="670" customFormat="false" ht="17.15" hidden="false" customHeight="false" outlineLevel="0" collapsed="false">
      <c r="A670" s="0" t="s">
        <v>527</v>
      </c>
      <c r="B670" s="0" t="s">
        <v>136</v>
      </c>
      <c r="D670" s="22" t="n">
        <f aca="false">asp_vr_26</f>
        <v>100</v>
      </c>
      <c r="E670" s="22" t="n">
        <f aca="false">asp_vr_27</f>
        <v>150</v>
      </c>
      <c r="F670" s="22" t="n">
        <f aca="false">asp_vr_28</f>
        <v>180</v>
      </c>
      <c r="G670" s="22" t="n">
        <f aca="false">asp_vr_29</f>
        <v>180</v>
      </c>
    </row>
    <row r="671" customFormat="false" ht="17.15" hidden="false" customHeight="false" outlineLevel="0" collapsed="false">
      <c r="A671" s="0" t="s">
        <v>582</v>
      </c>
      <c r="B671" s="0" t="s">
        <v>136</v>
      </c>
      <c r="D671" s="22" t="n">
        <f aca="false">asp_amd_26</f>
        <v>40</v>
      </c>
      <c r="E671" s="22" t="n">
        <f aca="false">asp_amd_27</f>
        <v>60</v>
      </c>
      <c r="F671" s="22" t="n">
        <f aca="false">asp_amd_28</f>
        <v>80</v>
      </c>
      <c r="G671" s="22" t="n">
        <f aca="false">asp_amd_29</f>
        <v>80</v>
      </c>
    </row>
    <row r="672" customFormat="false" ht="17.15" hidden="false" customHeight="false" outlineLevel="0" collapsed="false">
      <c r="A672" s="0" t="s">
        <v>583</v>
      </c>
      <c r="B672" s="0" t="s">
        <v>136</v>
      </c>
      <c r="D672" s="22" t="n">
        <f aca="false">asp_asic_26</f>
        <v>30</v>
      </c>
      <c r="E672" s="22" t="n">
        <f aca="false">asp_asic_27</f>
        <v>35</v>
      </c>
      <c r="F672" s="22" t="n">
        <f aca="false">asp_asic_28</f>
        <v>40</v>
      </c>
      <c r="G672" s="22" t="n">
        <f aca="false">asp_asic_29</f>
        <v>40</v>
      </c>
    </row>
    <row r="673" customFormat="false" ht="17.15" hidden="false" customHeight="false" outlineLevel="0" collapsed="false">
      <c r="A673" s="0" t="s">
        <v>584</v>
      </c>
      <c r="B673" s="0" t="s">
        <v>205</v>
      </c>
      <c r="D673" s="17" t="n">
        <f aca="false">(D664*asp_bw+D665*asp_hp+D666*D670+D667*asp_ru)/1000</f>
        <v>0.3665</v>
      </c>
      <c r="E673" s="17" t="n">
        <f aca="false">(E664*asp_bw+E665*asp_hp+E666*E670+E667*asp_ru)/1000</f>
        <v>1.4328</v>
      </c>
      <c r="F673" s="17" t="n">
        <f aca="false">(F664*asp_bw+F665*asp_hp+F666*F670+F667*asp_ru)/1000</f>
        <v>1.6104</v>
      </c>
      <c r="G673" s="17" t="n">
        <f aca="false">(G664*asp_bw+G665*asp_hp+G666*G670+G667*asp_ru)/1000</f>
        <v>1.956105</v>
      </c>
      <c r="K673" s="4" t="s">
        <v>585</v>
      </c>
    </row>
    <row r="674" customFormat="false" ht="17.15" hidden="false" customHeight="false" outlineLevel="0" collapsed="false">
      <c r="A674" s="4" t="s">
        <v>586</v>
      </c>
      <c r="B674" s="0" t="s">
        <v>205</v>
      </c>
      <c r="D674" s="17" t="n">
        <f aca="false">(D668*D671+D669*D672)/1000</f>
        <v>0.2355</v>
      </c>
      <c r="E674" s="17" t="n">
        <f aca="false">(E668*E671+E669*E672)/1000</f>
        <v>0.633</v>
      </c>
      <c r="F674" s="17" t="n">
        <f aca="false">(F668*F671+F669*F672)/1000</f>
        <v>0.7296</v>
      </c>
      <c r="G674" s="17" t="n">
        <f aca="false">(G668*G671+G669*G672)/1000</f>
        <v>0.89148</v>
      </c>
    </row>
    <row r="675" customFormat="false" ht="17.15" hidden="false" customHeight="false" outlineLevel="0" collapsed="false">
      <c r="A675" s="0" t="s">
        <v>587</v>
      </c>
      <c r="B675" s="0" t="s">
        <v>205</v>
      </c>
      <c r="D675" s="17" t="n">
        <f aca="false">D673+D674</f>
        <v>0.602</v>
      </c>
      <c r="E675" s="17" t="n">
        <f aca="false">E673+E674</f>
        <v>2.0658</v>
      </c>
      <c r="F675" s="17" t="n">
        <f aca="false">F673+F674</f>
        <v>2.34</v>
      </c>
      <c r="G675" s="17" t="n">
        <f aca="false">G673+G674</f>
        <v>2.847585</v>
      </c>
    </row>
    <row r="676" customFormat="false" ht="17.15" hidden="false" customHeight="false" outlineLevel="0" collapsed="false">
      <c r="A676" s="4" t="s">
        <v>588</v>
      </c>
      <c r="B676" s="0" t="s">
        <v>196</v>
      </c>
      <c r="D676" s="18" t="n">
        <f aca="false">a26_rev*ai_26/fx/(D673+k_non*D674)</f>
        <v>0.882225417842414</v>
      </c>
      <c r="K676" s="8" t="s">
        <v>589</v>
      </c>
    </row>
    <row r="677" customFormat="false" ht="17.15" hidden="false" customHeight="false" outlineLevel="0" collapsed="false">
      <c r="A677" s="4" t="s">
        <v>590</v>
      </c>
      <c r="B677" s="0" t="s">
        <v>109</v>
      </c>
      <c r="D677" s="19" t="n">
        <f aca="false">1</f>
        <v>1</v>
      </c>
      <c r="E677" s="19" t="n">
        <f aca="false">rel_27</f>
        <v>0.97</v>
      </c>
      <c r="F677" s="19" t="n">
        <f aca="false">rel_28</f>
        <v>0.93</v>
      </c>
      <c r="G677" s="19" t="n">
        <f aca="false">rel_29</f>
        <v>0.9</v>
      </c>
    </row>
    <row r="678" customFormat="false" ht="17.15" hidden="false" customHeight="false" outlineLevel="0" collapsed="false">
      <c r="A678" s="4" t="s">
        <v>591</v>
      </c>
      <c r="B678" s="0" t="s">
        <v>196</v>
      </c>
      <c r="D678" s="18" t="n">
        <f aca="false">$D$676*D677</f>
        <v>0.882225417842414</v>
      </c>
      <c r="E678" s="18" t="n">
        <f aca="false">$D$676*E677</f>
        <v>0.855758655307142</v>
      </c>
      <c r="F678" s="18" t="n">
        <f aca="false">$D$676*F677</f>
        <v>0.820469638593445</v>
      </c>
      <c r="G678" s="18" t="n">
        <f aca="false">$D$676*G677</f>
        <v>0.794002876058173</v>
      </c>
    </row>
    <row r="679" customFormat="false" ht="17.15" hidden="false" customHeight="false" outlineLevel="0" collapsed="false">
      <c r="A679" s="4" t="s">
        <v>592</v>
      </c>
      <c r="B679" s="0" t="s">
        <v>196</v>
      </c>
      <c r="D679" s="18" t="n">
        <f aca="false">D678*k_non</f>
        <v>0.352890167136966</v>
      </c>
      <c r="E679" s="18" t="n">
        <f aca="false">E678*k_non</f>
        <v>0.342303462122857</v>
      </c>
      <c r="F679" s="18" t="n">
        <f aca="false">F678*k_non</f>
        <v>0.328187855437378</v>
      </c>
      <c r="G679" s="18" t="n">
        <f aca="false">G678*k_non</f>
        <v>0.317601150423269</v>
      </c>
    </row>
    <row r="680" customFormat="false" ht="17.15" hidden="false" customHeight="false" outlineLevel="0" collapsed="false">
      <c r="A680" s="0" t="s">
        <v>593</v>
      </c>
      <c r="B680" s="0" t="s">
        <v>301</v>
      </c>
      <c r="C680" s="24" t="n">
        <f aca="false">a25_ail</f>
        <v>6.0828</v>
      </c>
      <c r="D680" s="24" t="n">
        <f aca="false">(D673*D678+D674*D679)*fx</f>
        <v>13.00612</v>
      </c>
      <c r="E680" s="24" t="n">
        <f aca="false">(E673*E678+E674*E679)*fx</f>
        <v>46.1698909711309</v>
      </c>
      <c r="F680" s="24" t="n">
        <f aca="false">(F673*F678+F674*F679)*fx</f>
        <v>49.9433652901758</v>
      </c>
      <c r="G680" s="24" t="n">
        <f aca="false">(G673*G678+G674*G679)*fx</f>
        <v>58.7612182224354</v>
      </c>
    </row>
    <row r="681" customFormat="false" ht="17.15" hidden="false" customHeight="false" outlineLevel="0" collapsed="false">
      <c r="A681" s="6" t="s">
        <v>594</v>
      </c>
    </row>
    <row r="682" customFormat="false" ht="17.15" hidden="false" customHeight="false" outlineLevel="0" collapsed="false">
      <c r="A682" s="0" t="s">
        <v>595</v>
      </c>
      <c r="B682" s="0" t="s">
        <v>205</v>
      </c>
      <c r="D682" s="24" t="n">
        <f aca="false">lmkB_26</f>
        <v>4.51368758595869</v>
      </c>
      <c r="E682" s="24" t="n">
        <f aca="false">lmkB_27*mf_hi</f>
        <v>12.2413205045278</v>
      </c>
      <c r="F682" s="24" t="n">
        <f aca="false">lmkB_28*mf_hi</f>
        <v>15.1512537875521</v>
      </c>
      <c r="G682" s="24" t="n">
        <f aca="false">lmkB_29*mf_hi</f>
        <v>19.4171326293661</v>
      </c>
      <c r="K682" s="4" t="s">
        <v>596</v>
      </c>
    </row>
    <row r="683" customFormat="false" ht="15" hidden="false" customHeight="false" outlineLevel="0" collapsed="false">
      <c r="A683" s="4" t="s">
        <v>542</v>
      </c>
      <c r="B683" s="0" t="s">
        <v>196</v>
      </c>
      <c r="D683" s="18" t="n">
        <f aca="false">0</f>
        <v>0</v>
      </c>
      <c r="E683" s="18" t="n">
        <f aca="false">lcs_27</f>
        <v>0.008</v>
      </c>
      <c r="F683" s="18" t="n">
        <f aca="false">lcs_28</f>
        <v>0.015</v>
      </c>
      <c r="G683" s="18" t="n">
        <f aca="false">lcs_29</f>
        <v>0.025</v>
      </c>
    </row>
    <row r="684" customFormat="false" ht="17.15" hidden="false" customHeight="false" outlineLevel="0" collapsed="false">
      <c r="A684" s="4" t="s">
        <v>597</v>
      </c>
      <c r="B684" s="0" t="s">
        <v>301</v>
      </c>
      <c r="C684" s="24" t="n">
        <f aca="false">0</f>
        <v>0</v>
      </c>
      <c r="D684" s="24" t="n">
        <f aca="false">D682*D683*fx</f>
        <v>0</v>
      </c>
      <c r="E684" s="24" t="n">
        <f aca="false">E682*E683*fx</f>
        <v>3.13377804915911</v>
      </c>
      <c r="F684" s="24" t="n">
        <f aca="false">F682*F683*fx</f>
        <v>7.27260181802502</v>
      </c>
      <c r="G684" s="24" t="n">
        <f aca="false">G682*G683*fx</f>
        <v>15.5337061034929</v>
      </c>
    </row>
    <row r="685" customFormat="false" ht="17.15" hidden="false" customHeight="false" outlineLevel="0" collapsed="false">
      <c r="A685" s="6" t="s">
        <v>598</v>
      </c>
    </row>
    <row r="686" customFormat="false" ht="17.15" hidden="false" customHeight="false" outlineLevel="0" collapsed="false">
      <c r="A686" s="4" t="s">
        <v>599</v>
      </c>
      <c r="B686" s="0" t="s">
        <v>301</v>
      </c>
      <c r="C686" s="24" t="n">
        <f aca="false">a25_oth</f>
        <v>8.637576</v>
      </c>
      <c r="D686" s="24" t="n">
        <f aca="false">a26_rev*(th_26-ai_26)</f>
        <v>11.380355</v>
      </c>
      <c r="E686" s="24" t="n">
        <f aca="false">D686*(1+g_oth_27)</f>
        <v>12.7459976</v>
      </c>
      <c r="F686" s="24" t="n">
        <f aca="false">E686*(1+g_oth_28)</f>
        <v>14.02059736</v>
      </c>
      <c r="G686" s="24" t="n">
        <f aca="false">F686*(1+g_oth_29)</f>
        <v>15.1422451488</v>
      </c>
    </row>
    <row r="687" customFormat="false" ht="15" hidden="false" customHeight="false" outlineLevel="0" collapsed="false">
      <c r="A687" s="4" t="s">
        <v>600</v>
      </c>
      <c r="B687" s="0" t="s">
        <v>301</v>
      </c>
      <c r="C687" s="24" t="n">
        <f aca="false">a25_lf</f>
        <v>5.555624</v>
      </c>
      <c r="D687" s="24" t="n">
        <f aca="false">a26_lf</f>
        <v>8.128825</v>
      </c>
      <c r="E687" s="24" t="n">
        <f aca="false">D687*(1+g_lf_27)</f>
        <v>8.37268975</v>
      </c>
      <c r="F687" s="24" t="n">
        <f aca="false">E687*(1+g_lf_28)</f>
        <v>8.6238704425</v>
      </c>
      <c r="G687" s="24" t="n">
        <f aca="false">F687*(1+g_lf_29)</f>
        <v>8.882586555775</v>
      </c>
    </row>
    <row r="688" customFormat="false" ht="17.15" hidden="false" customHeight="false" outlineLevel="0" collapsed="false">
      <c r="A688" s="4" t="s">
        <v>475</v>
      </c>
      <c r="B688" s="0" t="s">
        <v>301</v>
      </c>
      <c r="C688" s="24" t="n">
        <f aca="false">C680+C684+C686+C687</f>
        <v>20.276</v>
      </c>
      <c r="D688" s="24" t="n">
        <f aca="false">D680+D684+D686+D687</f>
        <v>32.5153</v>
      </c>
      <c r="E688" s="24" t="n">
        <f aca="false">E680+E684+E686+E687</f>
        <v>70.42235637029</v>
      </c>
      <c r="F688" s="24" t="n">
        <f aca="false">F680+F684+F686+F687</f>
        <v>79.8604349107009</v>
      </c>
      <c r="G688" s="24" t="n">
        <f aca="false">G680+G684+G686+G687</f>
        <v>98.3197560305033</v>
      </c>
      <c r="H688" s="25" t="n">
        <f aca="false">G688*(1+H689)</f>
        <v>114.78141709985</v>
      </c>
      <c r="I688" s="25" t="n">
        <f aca="false">H688*(1+I689)</f>
        <v>126.685962620053</v>
      </c>
      <c r="J688" s="25" t="n">
        <f aca="false">I688*(1+J689)</f>
        <v>131.753401124856</v>
      </c>
      <c r="K688" s="8" t="s">
        <v>601</v>
      </c>
    </row>
    <row r="689" customFormat="false" ht="15" hidden="false" customHeight="false" outlineLevel="0" collapsed="false">
      <c r="A689" s="4" t="s">
        <v>602</v>
      </c>
      <c r="B689" s="0" t="s">
        <v>196</v>
      </c>
      <c r="D689" s="18" t="n">
        <f aca="false">D688/C688-1</f>
        <v>0.603634839218781</v>
      </c>
      <c r="E689" s="18" t="n">
        <f aca="false">E688/D688-1</f>
        <v>1.16582213205137</v>
      </c>
      <c r="F689" s="18" t="n">
        <f aca="false">F688/E688-1</f>
        <v>0.134021055625918</v>
      </c>
      <c r="G689" s="18" t="n">
        <f aca="false">G688/F688-1</f>
        <v>0.231144760737197</v>
      </c>
      <c r="H689" s="26" t="n">
        <f aca="false">$G689+(fade_gB-$G689)*1/3</f>
        <v>0.167429840491465</v>
      </c>
      <c r="I689" s="26" t="n">
        <f aca="false">$G689+(fade_gB-$G689)*2/3</f>
        <v>0.103714920245733</v>
      </c>
      <c r="J689" s="26" t="n">
        <f aca="false">$G689+(fade_gB-$G689)*3/3</f>
        <v>0.04</v>
      </c>
    </row>
    <row r="690" customFormat="false" ht="17.15" hidden="false" customHeight="false" outlineLevel="0" collapsed="false">
      <c r="A690" s="0" t="s">
        <v>603</v>
      </c>
      <c r="B690" s="0" t="s">
        <v>196</v>
      </c>
      <c r="C690" s="18" t="n">
        <f aca="false">C680/C688</f>
        <v>0.3</v>
      </c>
      <c r="D690" s="18" t="n">
        <f aca="false">D680/D688</f>
        <v>0.4</v>
      </c>
      <c r="E690" s="18" t="n">
        <f aca="false">E680/E688</f>
        <v>0.655614116749567</v>
      </c>
      <c r="F690" s="18" t="n">
        <f aca="false">F680/F688</f>
        <v>0.625383086706478</v>
      </c>
      <c r="G690" s="18" t="n">
        <f aca="false">G680/G688</f>
        <v>0.597654231405995</v>
      </c>
    </row>
    <row r="691" customFormat="false" ht="17.15" hidden="false" customHeight="false" outlineLevel="0" collapsed="false">
      <c r="A691" s="4" t="s">
        <v>604</v>
      </c>
      <c r="B691" s="0" t="s">
        <v>136</v>
      </c>
      <c r="D691" s="24" t="n">
        <f aca="false">D680/fx*1000/(D664+D665+D666+D667+D668+D669)</f>
        <v>26.7395559210526</v>
      </c>
      <c r="E691" s="24" t="n">
        <f aca="false">E680/fx*1000/(E664+E665+E666+E667+E668+E669)</f>
        <v>50.7316839960563</v>
      </c>
      <c r="F691" s="24" t="n">
        <f aca="false">F680/fx*1000/(F664+F665+F666+F667+F668+F669)</f>
        <v>61.3494561838835</v>
      </c>
      <c r="G691" s="24" t="n">
        <f aca="false">G680/fx*1000/(G664+G665+G666+G667+G668+G669)</f>
        <v>59.7108597356716</v>
      </c>
    </row>
    <row r="692" customFormat="false" ht="17.15" hidden="false" customHeight="false" outlineLevel="0" collapsed="false">
      <c r="A692" s="6" t="s">
        <v>605</v>
      </c>
    </row>
    <row r="693" customFormat="false" ht="17.15" hidden="false" customHeight="false" outlineLevel="0" collapsed="false">
      <c r="A693" s="4" t="s">
        <v>606</v>
      </c>
      <c r="B693" s="0" t="s">
        <v>196</v>
      </c>
      <c r="D693" s="18" t="n">
        <f aca="false">a26_gp/D688-d_ai*D690</f>
        <v>0.425324773260588</v>
      </c>
      <c r="K693" s="8" t="s">
        <v>607</v>
      </c>
    </row>
    <row r="694" customFormat="false" ht="15" hidden="false" customHeight="false" outlineLevel="0" collapsed="false">
      <c r="A694" s="4" t="s">
        <v>479</v>
      </c>
      <c r="B694" s="0" t="s">
        <v>301</v>
      </c>
      <c r="C694" s="24" t="n">
        <f aca="false">a25_gp</f>
        <v>8.434</v>
      </c>
      <c r="D694" s="24" t="n">
        <f aca="false">a26_gp</f>
        <v>15.390297</v>
      </c>
      <c r="E694" s="24" t="n">
        <f aca="false">$D$693*E688+d_ai*E680</f>
        <v>35.4927596722056</v>
      </c>
      <c r="F694" s="24" t="n">
        <f aca="false">$D$693*F688+d_ai*F680</f>
        <v>39.9598252057069</v>
      </c>
      <c r="G694" s="24" t="n">
        <f aca="false">$D$693*G688+d_ai*G680</f>
        <v>48.8691741274024</v>
      </c>
    </row>
    <row r="695" customFormat="false" ht="15" hidden="false" customHeight="false" outlineLevel="0" collapsed="false">
      <c r="A695" s="4" t="s">
        <v>482</v>
      </c>
      <c r="B695" s="0" t="s">
        <v>196</v>
      </c>
      <c r="C695" s="18" t="n">
        <f aca="false">C694/C688</f>
        <v>0.415959755375814</v>
      </c>
      <c r="D695" s="18" t="n">
        <f aca="false">D694/D688</f>
        <v>0.473324773260588</v>
      </c>
      <c r="E695" s="18" t="n">
        <f aca="false">E694/E688</f>
        <v>0.503998467270536</v>
      </c>
      <c r="F695" s="18" t="n">
        <f aca="false">F694/F688</f>
        <v>0.500370743665365</v>
      </c>
      <c r="G695" s="18" t="n">
        <f aca="false">G694/G688</f>
        <v>0.497043281029307</v>
      </c>
    </row>
    <row r="696" customFormat="false" ht="15" hidden="false" customHeight="false" outlineLevel="0" collapsed="false">
      <c r="A696" s="4" t="s">
        <v>608</v>
      </c>
      <c r="B696" s="0" t="s">
        <v>301</v>
      </c>
      <c r="C696" s="24" t="n">
        <f aca="false">a25_opx</f>
        <v>1.936</v>
      </c>
      <c r="D696" s="24" t="n">
        <f aca="false">a26_opx</f>
        <v>2.8705005</v>
      </c>
      <c r="E696" s="24" t="n">
        <f aca="false">D696*(1+MAX(0,phi*E689))</f>
        <v>4.87839630777872</v>
      </c>
      <c r="F696" s="24" t="n">
        <f aca="false">E696*(1+MAX(0,phi*F689))</f>
        <v>5.27068100153677</v>
      </c>
      <c r="G696" s="24" t="n">
        <f aca="false">F696*(1+MAX(0,phi*G689))</f>
        <v>6.00165518095016</v>
      </c>
    </row>
    <row r="697" customFormat="false" ht="15" hidden="false" customHeight="false" outlineLevel="0" collapsed="false">
      <c r="A697" s="4" t="s">
        <v>484</v>
      </c>
      <c r="B697" s="0" t="s">
        <v>301</v>
      </c>
      <c r="C697" s="24" t="n">
        <f aca="false">C696</f>
        <v>1.936</v>
      </c>
      <c r="D697" s="24" t="n">
        <f aca="false">D696</f>
        <v>2.8705005</v>
      </c>
      <c r="E697" s="24" t="n">
        <f aca="false">E696+0*E688</f>
        <v>4.87839630777872</v>
      </c>
      <c r="F697" s="24" t="n">
        <f aca="false">F696+0*F688</f>
        <v>5.27068100153677</v>
      </c>
      <c r="G697" s="24" t="n">
        <f aca="false">G696+0*G688</f>
        <v>6.00165518095016</v>
      </c>
    </row>
    <row r="698" customFormat="false" ht="15" hidden="false" customHeight="false" outlineLevel="0" collapsed="false">
      <c r="A698" s="4" t="s">
        <v>486</v>
      </c>
      <c r="B698" s="0" t="s">
        <v>301</v>
      </c>
      <c r="C698" s="24" t="n">
        <f aca="false">C694-C697</f>
        <v>6.498</v>
      </c>
      <c r="D698" s="24" t="n">
        <f aca="false">D694-D697</f>
        <v>12.5197965</v>
      </c>
      <c r="E698" s="24" t="n">
        <f aca="false">E694-E697</f>
        <v>30.6143633644269</v>
      </c>
      <c r="F698" s="24" t="n">
        <f aca="false">F694-F697</f>
        <v>34.6891442041701</v>
      </c>
      <c r="G698" s="24" t="n">
        <f aca="false">G694-G697</f>
        <v>42.8675189464523</v>
      </c>
    </row>
    <row r="699" customFormat="false" ht="15" hidden="false" customHeight="false" outlineLevel="0" collapsed="false">
      <c r="A699" s="4" t="s">
        <v>488</v>
      </c>
      <c r="B699" s="0" t="s">
        <v>196</v>
      </c>
      <c r="C699" s="18" t="n">
        <f aca="false">C698/C688</f>
        <v>0.320477411718288</v>
      </c>
      <c r="D699" s="18" t="n">
        <f aca="false">D698/D688</f>
        <v>0.385043241181844</v>
      </c>
      <c r="E699" s="18" t="n">
        <f aca="false">E698/E688</f>
        <v>0.434725063777369</v>
      </c>
      <c r="F699" s="18" t="n">
        <f aca="false">F698/F688</f>
        <v>0.434372092300263</v>
      </c>
      <c r="G699" s="18" t="n">
        <f aca="false">G698/G688</f>
        <v>0.436001071169794</v>
      </c>
    </row>
    <row r="700" customFormat="false" ht="15" hidden="false" customHeight="false" outlineLevel="0" collapsed="false">
      <c r="A700" s="4" t="s">
        <v>489</v>
      </c>
      <c r="B700" s="0" t="s">
        <v>301</v>
      </c>
      <c r="C700" s="29" t="n">
        <f aca="false">a25_nop</f>
        <v>0.108999999999999</v>
      </c>
      <c r="D700" s="29" t="n">
        <f aca="false">a26_nop</f>
        <v>0.330500000000001</v>
      </c>
      <c r="E700" s="29" t="n">
        <f aca="false">nop_f</f>
        <v>0.3</v>
      </c>
      <c r="F700" s="29" t="n">
        <f aca="false">nop_f</f>
        <v>0.3</v>
      </c>
      <c r="G700" s="29" t="n">
        <f aca="false">nop_f</f>
        <v>0.3</v>
      </c>
    </row>
    <row r="701" customFormat="false" ht="15" hidden="false" customHeight="false" outlineLevel="0" collapsed="false">
      <c r="A701" s="4" t="s">
        <v>494</v>
      </c>
      <c r="B701" s="0" t="s">
        <v>301</v>
      </c>
      <c r="C701" s="24" t="n">
        <f aca="false">a25_ni</f>
        <v>5.277</v>
      </c>
      <c r="D701" s="24" t="n">
        <f aca="false">a26_ni</f>
        <v>10.3442061825</v>
      </c>
      <c r="E701" s="24" t="n">
        <f aca="false">(E698+E700)*nir_f</f>
        <v>24.8860625083637</v>
      </c>
      <c r="F701" s="24" t="n">
        <f aca="false">(F698+F700)*nir_f</f>
        <v>28.1662610843569</v>
      </c>
      <c r="G701" s="24" t="n">
        <f aca="false">(G698+G700)*nir_f</f>
        <v>34.7498527518941</v>
      </c>
      <c r="H701" s="25" t="n">
        <f aca="false">H688*H705</f>
        <v>38.7241896303741</v>
      </c>
      <c r="I701" s="25" t="n">
        <f aca="false">I688*I705</f>
        <v>40.7054082377098</v>
      </c>
      <c r="J701" s="25" t="n">
        <f aca="false">J688*J705</f>
        <v>40.2171646301887</v>
      </c>
    </row>
    <row r="702" customFormat="false" ht="15" hidden="false" customHeight="false" outlineLevel="0" collapsed="false">
      <c r="A702" s="4" t="s">
        <v>609</v>
      </c>
      <c r="B702" s="4" t="s">
        <v>327</v>
      </c>
      <c r="C702" s="28" t="n">
        <f aca="false">a25_sh</f>
        <v>0.143591836734694</v>
      </c>
      <c r="D702" s="28" t="n">
        <f aca="false">a26_sh</f>
        <v>0.146703513620213</v>
      </c>
      <c r="E702" s="28" t="n">
        <f aca="false">D702*(1+sh_g)</f>
        <v>0.146703513620213</v>
      </c>
      <c r="F702" s="28" t="n">
        <f aca="false">E702*(1+sh_g)</f>
        <v>0.146703513620213</v>
      </c>
      <c r="G702" s="28" t="n">
        <f aca="false">F702*(1+sh_g)</f>
        <v>0.146703513620213</v>
      </c>
      <c r="H702" s="30" t="n">
        <f aca="false">G702*(1+sh_g)</f>
        <v>0.146703513620213</v>
      </c>
      <c r="I702" s="30" t="n">
        <f aca="false">H702*(1+sh_g)</f>
        <v>0.146703513620213</v>
      </c>
      <c r="J702" s="30" t="n">
        <f aca="false">I702*(1+sh_g)</f>
        <v>0.146703513620213</v>
      </c>
    </row>
    <row r="703" customFormat="false" ht="15" hidden="false" customHeight="false" outlineLevel="0" collapsed="false">
      <c r="A703" s="0" t="s">
        <v>500</v>
      </c>
      <c r="B703" s="0" t="s">
        <v>360</v>
      </c>
      <c r="C703" s="29" t="n">
        <f aca="false">C701/C702</f>
        <v>36.75</v>
      </c>
      <c r="D703" s="29" t="n">
        <f aca="false">D701/D702</f>
        <v>70.5109641019174</v>
      </c>
      <c r="E703" s="29" t="n">
        <f aca="false">E701/E702</f>
        <v>169.635081629939</v>
      </c>
      <c r="F703" s="29" t="n">
        <f aca="false">F701/F702</f>
        <v>191.994454592778</v>
      </c>
      <c r="G703" s="29" t="n">
        <f aca="false">G701/G702</f>
        <v>236.871305222141</v>
      </c>
      <c r="H703" s="31" t="n">
        <f aca="false">H701/H702</f>
        <v>263.962250629003</v>
      </c>
      <c r="I703" s="31" t="n">
        <f aca="false">I701/I702</f>
        <v>277.467166485788</v>
      </c>
      <c r="J703" s="31" t="n">
        <f aca="false">J701/J702</f>
        <v>274.13906891353</v>
      </c>
    </row>
    <row r="704" customFormat="false" ht="17.15" hidden="false" customHeight="false" outlineLevel="0" collapsed="false">
      <c r="A704" s="0" t="s">
        <v>610</v>
      </c>
      <c r="B704" s="0" t="s">
        <v>196</v>
      </c>
      <c r="D704" s="18" t="n">
        <f aca="false">D703/C703-1</f>
        <v>0.918665689848092</v>
      </c>
      <c r="E704" s="18" t="n">
        <f aca="false">E703/D703-1</f>
        <v>1.40579722303536</v>
      </c>
      <c r="F704" s="18" t="n">
        <f aca="false">F703/E703-1</f>
        <v>0.131808660967997</v>
      </c>
      <c r="G704" s="18" t="n">
        <f aca="false">G703/F703-1</f>
        <v>0.233740347993633</v>
      </c>
      <c r="H704" s="26" t="n">
        <f aca="false">H703/G703-1</f>
        <v>0.114369891200858</v>
      </c>
      <c r="I704" s="26" t="n">
        <f aca="false">I703/H703-1</f>
        <v>0.051162300005414</v>
      </c>
      <c r="J704" s="26" t="n">
        <f aca="false">J703/I703-1</f>
        <v>-0.0119945635889436</v>
      </c>
    </row>
    <row r="705" customFormat="false" ht="17.15" hidden="false" customHeight="false" outlineLevel="0" collapsed="false">
      <c r="A705" s="4" t="s">
        <v>611</v>
      </c>
      <c r="B705" s="0" t="s">
        <v>196</v>
      </c>
      <c r="C705" s="18" t="n">
        <f aca="false">C701/C688</f>
        <v>0.260258433616098</v>
      </c>
      <c r="D705" s="18" t="n">
        <f aca="false">D701/D688</f>
        <v>0.318133499690915</v>
      </c>
      <c r="E705" s="18" t="n">
        <f aca="false">E701/E688</f>
        <v>0.353382985049655</v>
      </c>
      <c r="F705" s="18" t="n">
        <f aca="false">F701/F688</f>
        <v>0.352693559906757</v>
      </c>
      <c r="G705" s="18" t="n">
        <f aca="false">G701/G688</f>
        <v>0.353437133642938</v>
      </c>
      <c r="H705" s="26" t="n">
        <f aca="false">$G705+(fade_mB-$G705)*1/3</f>
        <v>0.337373336283932</v>
      </c>
      <c r="I705" s="26" t="n">
        <f aca="false">$G705+(fade_mB-$G705)*2/3</f>
        <v>0.321309538924926</v>
      </c>
      <c r="J705" s="26" t="n">
        <f aca="false">$G705+(fade_mB-$G705)*3/3</f>
        <v>0.30524574156592</v>
      </c>
    </row>
    <row r="708" customFormat="false" ht="17.15" hidden="false" customHeight="false" outlineLevel="0" collapsed="false">
      <c r="A708" s="1" t="s">
        <v>916</v>
      </c>
    </row>
    <row r="709" customFormat="false" ht="17.15" hidden="false" customHeight="false" outlineLevel="0" collapsed="false">
      <c r="A709" s="5" t="s">
        <v>22</v>
      </c>
      <c r="B709" s="5" t="s">
        <v>23</v>
      </c>
      <c r="C709" s="15" t="s">
        <v>470</v>
      </c>
      <c r="D709" s="15" t="s">
        <v>553</v>
      </c>
      <c r="E709" s="15" t="s">
        <v>554</v>
      </c>
      <c r="F709" s="15" t="s">
        <v>555</v>
      </c>
      <c r="G709" s="15" t="s">
        <v>556</v>
      </c>
      <c r="H709" s="15" t="s">
        <v>557</v>
      </c>
      <c r="I709" s="15" t="s">
        <v>558</v>
      </c>
      <c r="J709" s="15" t="s">
        <v>559</v>
      </c>
      <c r="K709" s="5" t="s">
        <v>523</v>
      </c>
    </row>
    <row r="710" customFormat="false" ht="17.15" hidden="false" customHeight="false" outlineLevel="0" collapsed="false">
      <c r="A710" s="6" t="s">
        <v>575</v>
      </c>
    </row>
    <row r="711" customFormat="false" ht="17.15" hidden="false" customHeight="false" outlineLevel="0" collapsed="false">
      <c r="A711" s="0" t="s">
        <v>576</v>
      </c>
      <c r="B711" s="4" t="s">
        <v>33</v>
      </c>
      <c r="D711" s="19" t="n">
        <f aca="false">(u_bw26)*1</f>
        <v>5.4</v>
      </c>
      <c r="E711" s="19" t="n">
        <f aca="false">(u_bw27)*1*1</f>
        <v>2.4</v>
      </c>
      <c r="F711" s="19" t="n">
        <f aca="false">(u_bw28)*um28_B*1</f>
        <v>0.4</v>
      </c>
      <c r="G711" s="19" t="n">
        <f aca="false">(u_bw29)*um29_B*1</f>
        <v>0.2125</v>
      </c>
    </row>
    <row r="712" customFormat="false" ht="17.15" hidden="false" customHeight="false" outlineLevel="0" collapsed="false">
      <c r="A712" s="0" t="s">
        <v>577</v>
      </c>
      <c r="B712" s="4" t="s">
        <v>33</v>
      </c>
      <c r="D712" s="19" t="n">
        <f aca="false">(u_hp26)*1</f>
        <v>0.5</v>
      </c>
      <c r="E712" s="19" t="n">
        <f aca="false">(u_hp27)*1*1</f>
        <v>0</v>
      </c>
      <c r="F712" s="19" t="n">
        <f aca="false">(u_hp28)*um28_B*1</f>
        <v>0</v>
      </c>
      <c r="G712" s="19" t="n">
        <f aca="false">(u_hp29)*um29_B*1</f>
        <v>0</v>
      </c>
    </row>
    <row r="713" customFormat="false" ht="17.15" hidden="false" customHeight="false" outlineLevel="0" collapsed="false">
      <c r="A713" s="0" t="s">
        <v>578</v>
      </c>
      <c r="B713" s="4" t="s">
        <v>33</v>
      </c>
      <c r="D713" s="19" t="n">
        <f aca="false">(u_rb26)*1</f>
        <v>1.7</v>
      </c>
      <c r="E713" s="19" t="n">
        <f aca="false">(u_rb27)*1*1</f>
        <v>7</v>
      </c>
      <c r="F713" s="19" t="n">
        <f aca="false">(u_rb28)*um28_B*1</f>
        <v>5.6</v>
      </c>
      <c r="G713" s="19" t="n">
        <f aca="false">(u_rb29)*um29_B*1</f>
        <v>6.8425</v>
      </c>
    </row>
    <row r="714" customFormat="false" ht="17.15" hidden="false" customHeight="false" outlineLevel="0" collapsed="false">
      <c r="A714" s="0" t="s">
        <v>579</v>
      </c>
      <c r="B714" s="4" t="s">
        <v>33</v>
      </c>
      <c r="D714" s="19" t="n">
        <f aca="false">(u_ru26)*1</f>
        <v>0</v>
      </c>
      <c r="E714" s="19" t="n">
        <f aca="false">(u_ru27)*1*1</f>
        <v>0.3</v>
      </c>
      <c r="F714" s="19" t="n">
        <f aca="false">(u_ru28)*um28_B*1</f>
        <v>1.6</v>
      </c>
      <c r="G714" s="19" t="n">
        <f aca="false">(u_ru29)*um29_B*1</f>
        <v>1.955</v>
      </c>
    </row>
    <row r="715" customFormat="false" ht="17.15" hidden="false" customHeight="false" outlineLevel="0" collapsed="false">
      <c r="A715" s="0" t="s">
        <v>580</v>
      </c>
      <c r="B715" s="4" t="s">
        <v>33</v>
      </c>
      <c r="D715" s="19" t="n">
        <f aca="false">(u_amd26)*1</f>
        <v>0.75</v>
      </c>
      <c r="E715" s="19" t="n">
        <f aca="false">(u_amd27)*1*1</f>
        <v>1.5</v>
      </c>
      <c r="F715" s="19" t="n">
        <f aca="false">(u_amd28)*um28_B*1</f>
        <v>1.6</v>
      </c>
      <c r="G715" s="19" t="n">
        <f aca="false">(u_amd29)*um29_B*1</f>
        <v>1.955</v>
      </c>
    </row>
    <row r="716" customFormat="false" ht="17.15" hidden="false" customHeight="false" outlineLevel="0" collapsed="false">
      <c r="A716" s="0" t="s">
        <v>581</v>
      </c>
      <c r="B716" s="4" t="s">
        <v>33</v>
      </c>
      <c r="D716" s="19" t="n">
        <f aca="false">(u_tpu26+u_trn26+u_oth26)*1</f>
        <v>6.85</v>
      </c>
      <c r="E716" s="19" t="n">
        <f aca="false">(u_tpu27+u_trn27+u_oth27)*1*1</f>
        <v>12.5</v>
      </c>
      <c r="F716" s="19" t="n">
        <f aca="false">(u_tpu28+u_trn28+u_oth28)*um28_B*1</f>
        <v>12</v>
      </c>
      <c r="G716" s="19" t="n">
        <f aca="false">(u_tpu29+u_trn29+u_oth29)*um29_B*1</f>
        <v>14.6625</v>
      </c>
    </row>
    <row r="717" customFormat="false" ht="17.15" hidden="false" customHeight="false" outlineLevel="0" collapsed="false">
      <c r="A717" s="0" t="s">
        <v>527</v>
      </c>
      <c r="B717" s="0" t="s">
        <v>136</v>
      </c>
      <c r="D717" s="22" t="n">
        <f aca="false">asp_vr_26</f>
        <v>100</v>
      </c>
      <c r="E717" s="22" t="n">
        <f aca="false">asp_vr_27</f>
        <v>150</v>
      </c>
      <c r="F717" s="22" t="n">
        <f aca="false">asp_vr_28</f>
        <v>180</v>
      </c>
      <c r="G717" s="22" t="n">
        <f aca="false">asp_vr_29</f>
        <v>180</v>
      </c>
    </row>
    <row r="718" customFormat="false" ht="17.15" hidden="false" customHeight="false" outlineLevel="0" collapsed="false">
      <c r="A718" s="0" t="s">
        <v>582</v>
      </c>
      <c r="B718" s="0" t="s">
        <v>136</v>
      </c>
      <c r="D718" s="22" t="n">
        <f aca="false">asp_amd_26</f>
        <v>40</v>
      </c>
      <c r="E718" s="22" t="n">
        <f aca="false">asp_amd_27</f>
        <v>60</v>
      </c>
      <c r="F718" s="22" t="n">
        <f aca="false">asp_amd_28</f>
        <v>80</v>
      </c>
      <c r="G718" s="22" t="n">
        <f aca="false">asp_amd_29</f>
        <v>80</v>
      </c>
    </row>
    <row r="719" customFormat="false" ht="17.15" hidden="false" customHeight="false" outlineLevel="0" collapsed="false">
      <c r="A719" s="0" t="s">
        <v>583</v>
      </c>
      <c r="B719" s="0" t="s">
        <v>136</v>
      </c>
      <c r="D719" s="22" t="n">
        <f aca="false">asp_asic_26</f>
        <v>30</v>
      </c>
      <c r="E719" s="22" t="n">
        <f aca="false">asp_asic_27</f>
        <v>35</v>
      </c>
      <c r="F719" s="22" t="n">
        <f aca="false">asp_asic_28</f>
        <v>40</v>
      </c>
      <c r="G719" s="22" t="n">
        <f aca="false">asp_asic_29</f>
        <v>40</v>
      </c>
    </row>
    <row r="720" customFormat="false" ht="17.15" hidden="false" customHeight="false" outlineLevel="0" collapsed="false">
      <c r="A720" s="0" t="s">
        <v>584</v>
      </c>
      <c r="B720" s="0" t="s">
        <v>205</v>
      </c>
      <c r="D720" s="17" t="n">
        <f aca="false">(D711*asp_bw+D712*asp_hp+D713*D717+D714*asp_ru)/1000</f>
        <v>0.3665</v>
      </c>
      <c r="E720" s="17" t="n">
        <f aca="false">(E711*asp_bw+E712*asp_hp+E713*E717+E714*asp_ru)/1000</f>
        <v>1.194</v>
      </c>
      <c r="F720" s="17" t="n">
        <f aca="false">(F711*asp_bw+F712*asp_hp+F713*F717+F714*asp_ru)/1000</f>
        <v>1.342</v>
      </c>
      <c r="G720" s="17" t="n">
        <f aca="false">(G711*asp_bw+G712*asp_hp+G713*G717+G714*asp_ru)/1000</f>
        <v>1.6300875</v>
      </c>
      <c r="K720" s="4" t="s">
        <v>585</v>
      </c>
    </row>
    <row r="721" customFormat="false" ht="17.15" hidden="false" customHeight="false" outlineLevel="0" collapsed="false">
      <c r="A721" s="4" t="s">
        <v>586</v>
      </c>
      <c r="B721" s="0" t="s">
        <v>205</v>
      </c>
      <c r="D721" s="17" t="n">
        <f aca="false">(D715*D718+D716*D719)/1000</f>
        <v>0.2355</v>
      </c>
      <c r="E721" s="17" t="n">
        <f aca="false">(E715*E718+E716*E719)/1000</f>
        <v>0.5275</v>
      </c>
      <c r="F721" s="17" t="n">
        <f aca="false">(F715*F718+F716*F719)/1000</f>
        <v>0.608</v>
      </c>
      <c r="G721" s="17" t="n">
        <f aca="false">(G715*G718+G716*G719)/1000</f>
        <v>0.7429</v>
      </c>
    </row>
    <row r="722" customFormat="false" ht="17.15" hidden="false" customHeight="false" outlineLevel="0" collapsed="false">
      <c r="A722" s="0" t="s">
        <v>587</v>
      </c>
      <c r="B722" s="0" t="s">
        <v>205</v>
      </c>
      <c r="D722" s="17" t="n">
        <f aca="false">D720+D721</f>
        <v>0.602</v>
      </c>
      <c r="E722" s="17" t="n">
        <f aca="false">E720+E721</f>
        <v>1.7215</v>
      </c>
      <c r="F722" s="17" t="n">
        <f aca="false">F720+F721</f>
        <v>1.95</v>
      </c>
      <c r="G722" s="17" t="n">
        <f aca="false">G720+G721</f>
        <v>2.3729875</v>
      </c>
    </row>
    <row r="723" customFormat="false" ht="17.15" hidden="false" customHeight="false" outlineLevel="0" collapsed="false">
      <c r="A723" s="4" t="s">
        <v>588</v>
      </c>
      <c r="B723" s="0" t="s">
        <v>196</v>
      </c>
      <c r="D723" s="18" t="n">
        <f aca="false">a26_rev*ai_26/fx/(D720+k_non*D721)</f>
        <v>0.882225417842414</v>
      </c>
      <c r="K723" s="8" t="s">
        <v>589</v>
      </c>
    </row>
    <row r="724" customFormat="false" ht="17.15" hidden="false" customHeight="false" outlineLevel="0" collapsed="false">
      <c r="A724" s="4" t="s">
        <v>590</v>
      </c>
      <c r="B724" s="0" t="s">
        <v>109</v>
      </c>
      <c r="D724" s="19" t="n">
        <f aca="false">1</f>
        <v>1</v>
      </c>
      <c r="E724" s="19" t="n">
        <f aca="false">rel_27</f>
        <v>0.97</v>
      </c>
      <c r="F724" s="19" t="n">
        <f aca="false">rel_28</f>
        <v>0.93</v>
      </c>
      <c r="G724" s="19" t="n">
        <f aca="false">rel_29</f>
        <v>0.9</v>
      </c>
    </row>
    <row r="725" customFormat="false" ht="17.15" hidden="false" customHeight="false" outlineLevel="0" collapsed="false">
      <c r="A725" s="4" t="s">
        <v>591</v>
      </c>
      <c r="B725" s="0" t="s">
        <v>196</v>
      </c>
      <c r="D725" s="18" t="n">
        <f aca="false">$D$723*D724</f>
        <v>0.882225417842414</v>
      </c>
      <c r="E725" s="18" t="n">
        <f aca="false">$D$723*E724</f>
        <v>0.855758655307142</v>
      </c>
      <c r="F725" s="18" t="n">
        <f aca="false">$D$723*F724</f>
        <v>0.820469638593445</v>
      </c>
      <c r="G725" s="18" t="n">
        <f aca="false">$D$723*G724</f>
        <v>0.794002876058173</v>
      </c>
    </row>
    <row r="726" customFormat="false" ht="17.15" hidden="false" customHeight="false" outlineLevel="0" collapsed="false">
      <c r="A726" s="4" t="s">
        <v>592</v>
      </c>
      <c r="B726" s="0" t="s">
        <v>196</v>
      </c>
      <c r="D726" s="18" t="n">
        <f aca="false">D725*k_non</f>
        <v>0.352890167136966</v>
      </c>
      <c r="E726" s="18" t="n">
        <f aca="false">E725*k_non</f>
        <v>0.342303462122857</v>
      </c>
      <c r="F726" s="18" t="n">
        <f aca="false">F725*k_non</f>
        <v>0.328187855437378</v>
      </c>
      <c r="G726" s="18" t="n">
        <f aca="false">G725*k_non</f>
        <v>0.317601150423269</v>
      </c>
    </row>
    <row r="727" customFormat="false" ht="17.15" hidden="false" customHeight="false" outlineLevel="0" collapsed="false">
      <c r="A727" s="0" t="s">
        <v>593</v>
      </c>
      <c r="B727" s="0" t="s">
        <v>301</v>
      </c>
      <c r="C727" s="24" t="n">
        <f aca="false">a25_ail</f>
        <v>6.0828</v>
      </c>
      <c r="D727" s="24" t="n">
        <f aca="false">(D720*D725+D721*D726)*fx</f>
        <v>13.00612</v>
      </c>
      <c r="E727" s="24" t="n">
        <f aca="false">(E720*E725+E721*E726)*fx</f>
        <v>38.4749091426091</v>
      </c>
      <c r="F727" s="24" t="n">
        <f aca="false">(F720*F725+F721*F726)*fx</f>
        <v>41.6194710751465</v>
      </c>
      <c r="G727" s="24" t="n">
        <f aca="false">(G720*G725+G721*G726)*fx</f>
        <v>48.9676818520295</v>
      </c>
    </row>
    <row r="728" customFormat="false" ht="17.15" hidden="false" customHeight="false" outlineLevel="0" collapsed="false">
      <c r="A728" s="6" t="s">
        <v>594</v>
      </c>
    </row>
    <row r="729" customFormat="false" ht="17.15" hidden="false" customHeight="false" outlineLevel="0" collapsed="false">
      <c r="A729" s="0" t="s">
        <v>595</v>
      </c>
      <c r="B729" s="0" t="s">
        <v>205</v>
      </c>
      <c r="D729" s="24" t="n">
        <f aca="false">lmkB_26</f>
        <v>4.51368758595869</v>
      </c>
      <c r="E729" s="24" t="n">
        <f aca="false">lmkB_27*1</f>
        <v>10.2011004204398</v>
      </c>
      <c r="F729" s="24" t="n">
        <f aca="false">lmkB_28*1</f>
        <v>12.6260448229601</v>
      </c>
      <c r="G729" s="24" t="n">
        <f aca="false">lmkB_29*1</f>
        <v>16.1809438578051</v>
      </c>
      <c r="K729" s="4" t="s">
        <v>596</v>
      </c>
    </row>
    <row r="730" customFormat="false" ht="15" hidden="false" customHeight="false" outlineLevel="0" collapsed="false">
      <c r="A730" s="4" t="s">
        <v>542</v>
      </c>
      <c r="B730" s="0" t="s">
        <v>196</v>
      </c>
      <c r="D730" s="18" t="n">
        <f aca="false">0</f>
        <v>0</v>
      </c>
      <c r="E730" s="18" t="n">
        <f aca="false">lcs_27</f>
        <v>0.008</v>
      </c>
      <c r="F730" s="18" t="n">
        <f aca="false">lcs_28</f>
        <v>0.015</v>
      </c>
      <c r="G730" s="18" t="n">
        <f aca="false">lcs_29</f>
        <v>0.025</v>
      </c>
    </row>
    <row r="731" customFormat="false" ht="17.15" hidden="false" customHeight="false" outlineLevel="0" collapsed="false">
      <c r="A731" s="4" t="s">
        <v>597</v>
      </c>
      <c r="B731" s="0" t="s">
        <v>301</v>
      </c>
      <c r="C731" s="24" t="n">
        <f aca="false">0</f>
        <v>0</v>
      </c>
      <c r="D731" s="24" t="n">
        <f aca="false">D729*D730*fx</f>
        <v>0</v>
      </c>
      <c r="E731" s="24" t="n">
        <f aca="false">E729*E730*fx</f>
        <v>2.61148170763259</v>
      </c>
      <c r="F731" s="24" t="n">
        <f aca="false">F729*F730*fx</f>
        <v>6.06050151502085</v>
      </c>
      <c r="G731" s="24" t="n">
        <f aca="false">G729*G730*fx</f>
        <v>12.9447550862441</v>
      </c>
    </row>
    <row r="732" customFormat="false" ht="17.15" hidden="false" customHeight="false" outlineLevel="0" collapsed="false">
      <c r="A732" s="6" t="s">
        <v>598</v>
      </c>
    </row>
    <row r="733" customFormat="false" ht="17.15" hidden="false" customHeight="false" outlineLevel="0" collapsed="false">
      <c r="A733" s="4" t="s">
        <v>599</v>
      </c>
      <c r="B733" s="0" t="s">
        <v>301</v>
      </c>
      <c r="C733" s="24" t="n">
        <f aca="false">a25_oth</f>
        <v>8.637576</v>
      </c>
      <c r="D733" s="24" t="n">
        <f aca="false">a26_rev*(th_26-ai_26)</f>
        <v>11.380355</v>
      </c>
      <c r="E733" s="24" t="n">
        <f aca="false">D733*(1+g_oth_27)</f>
        <v>12.7459976</v>
      </c>
      <c r="F733" s="24" t="n">
        <f aca="false">E733*(1+g_oth_28)</f>
        <v>14.02059736</v>
      </c>
      <c r="G733" s="24" t="n">
        <f aca="false">F733*(1+g_oth_29)</f>
        <v>15.1422451488</v>
      </c>
    </row>
    <row r="734" customFormat="false" ht="15" hidden="false" customHeight="false" outlineLevel="0" collapsed="false">
      <c r="A734" s="4" t="s">
        <v>600</v>
      </c>
      <c r="B734" s="0" t="s">
        <v>301</v>
      </c>
      <c r="C734" s="24" t="n">
        <f aca="false">a25_lf</f>
        <v>5.555624</v>
      </c>
      <c r="D734" s="24" t="n">
        <f aca="false">a26_lf</f>
        <v>8.128825</v>
      </c>
      <c r="E734" s="24" t="n">
        <f aca="false">D734*(1+g_lf_27)</f>
        <v>8.37268975</v>
      </c>
      <c r="F734" s="24" t="n">
        <f aca="false">E734*(1+g_lf_28)</f>
        <v>8.6238704425</v>
      </c>
      <c r="G734" s="24" t="n">
        <f aca="false">F734*(1+g_lf_29)</f>
        <v>8.882586555775</v>
      </c>
    </row>
    <row r="735" customFormat="false" ht="17.15" hidden="false" customHeight="false" outlineLevel="0" collapsed="false">
      <c r="A735" s="4" t="s">
        <v>475</v>
      </c>
      <c r="B735" s="0" t="s">
        <v>301</v>
      </c>
      <c r="C735" s="24" t="n">
        <f aca="false">C727+C731+C733+C734</f>
        <v>20.276</v>
      </c>
      <c r="D735" s="24" t="n">
        <f aca="false">D727+D731+D733+D734</f>
        <v>32.5153</v>
      </c>
      <c r="E735" s="24" t="n">
        <f aca="false">E727+E731+E733+E734</f>
        <v>62.2050782002417</v>
      </c>
      <c r="F735" s="24" t="n">
        <f aca="false">F727+F731+F733+F734</f>
        <v>70.3244403926674</v>
      </c>
      <c r="G735" s="24" t="n">
        <f aca="false">G727+G731+G733+G734</f>
        <v>85.9372686428486</v>
      </c>
      <c r="H735" s="25" t="n">
        <f aca="false">G735*(1+H736)</f>
        <v>99.8024684128244</v>
      </c>
      <c r="I735" s="25" t="n">
        <f aca="false">H735*(1+I736)</f>
        <v>109.849629853489</v>
      </c>
      <c r="J735" s="25" t="n">
        <f aca="false">I735*(1+J736)</f>
        <v>114.243615047629</v>
      </c>
      <c r="K735" s="8" t="s">
        <v>601</v>
      </c>
    </row>
    <row r="736" customFormat="false" ht="15" hidden="false" customHeight="false" outlineLevel="0" collapsed="false">
      <c r="A736" s="4" t="s">
        <v>602</v>
      </c>
      <c r="B736" s="0" t="s">
        <v>196</v>
      </c>
      <c r="D736" s="18" t="n">
        <f aca="false">D735/C735-1</f>
        <v>0.603634839218781</v>
      </c>
      <c r="E736" s="18" t="n">
        <f aca="false">E735/D735-1</f>
        <v>0.913101776709477</v>
      </c>
      <c r="F736" s="18" t="n">
        <f aca="false">F735/E735-1</f>
        <v>0.13052571313051</v>
      </c>
      <c r="G736" s="18" t="n">
        <f aca="false">G735/F735-1</f>
        <v>0.222011411153855</v>
      </c>
      <c r="H736" s="26" t="n">
        <f aca="false">$G736+(fade_gB-$G736)*1/3</f>
        <v>0.161340940769237</v>
      </c>
      <c r="I736" s="26" t="n">
        <f aca="false">$G736+(fade_gB-$G736)*2/3</f>
        <v>0.100670470384618</v>
      </c>
      <c r="J736" s="26" t="n">
        <f aca="false">$G736+(fade_gB-$G736)*3/3</f>
        <v>0.04</v>
      </c>
    </row>
    <row r="737" customFormat="false" ht="17.15" hidden="false" customHeight="false" outlineLevel="0" collapsed="false">
      <c r="A737" s="0" t="s">
        <v>603</v>
      </c>
      <c r="B737" s="0" t="s">
        <v>196</v>
      </c>
      <c r="C737" s="18" t="n">
        <f aca="false">C727/C735</f>
        <v>0.3</v>
      </c>
      <c r="D737" s="18" t="n">
        <f aca="false">D727/D735</f>
        <v>0.4</v>
      </c>
      <c r="E737" s="18" t="n">
        <f aca="false">E727/E735</f>
        <v>0.618517173449347</v>
      </c>
      <c r="F737" s="18" t="n">
        <f aca="false">F727/F735</f>
        <v>0.591820864023343</v>
      </c>
      <c r="G737" s="18" t="n">
        <f aca="false">G727/G735</f>
        <v>0.569807286470053</v>
      </c>
    </row>
    <row r="738" customFormat="false" ht="17.15" hidden="false" customHeight="false" outlineLevel="0" collapsed="false">
      <c r="A738" s="4" t="s">
        <v>604</v>
      </c>
      <c r="B738" s="0" t="s">
        <v>136</v>
      </c>
      <c r="D738" s="24" t="n">
        <f aca="false">D727/fx*1000/(D711+D712+D713+D714+D715+D716)</f>
        <v>26.7395559210526</v>
      </c>
      <c r="E738" s="24" t="n">
        <f aca="false">E727/fx*1000/(E711+E712+E713+E714+E715+E716)</f>
        <v>50.7316839960563</v>
      </c>
      <c r="F738" s="24" t="n">
        <f aca="false">F727/fx*1000/(F711+F712+F713+F714+F715+F716)</f>
        <v>61.3494561838834</v>
      </c>
      <c r="G738" s="24" t="n">
        <f aca="false">G727/fx*1000/(G711+G712+G713+G714+G715+G716)</f>
        <v>59.7108597356716</v>
      </c>
    </row>
    <row r="739" customFormat="false" ht="17.15" hidden="false" customHeight="false" outlineLevel="0" collapsed="false">
      <c r="A739" s="6" t="s">
        <v>605</v>
      </c>
    </row>
    <row r="740" customFormat="false" ht="17.15" hidden="false" customHeight="false" outlineLevel="0" collapsed="false">
      <c r="A740" s="4" t="s">
        <v>606</v>
      </c>
      <c r="B740" s="0" t="s">
        <v>196</v>
      </c>
      <c r="D740" s="18" t="n">
        <f aca="false">a26_gp/D735-d_ai_lo*D737</f>
        <v>0.449324773260588</v>
      </c>
      <c r="K740" s="8" t="s">
        <v>607</v>
      </c>
    </row>
    <row r="741" customFormat="false" ht="15" hidden="false" customHeight="false" outlineLevel="0" collapsed="false">
      <c r="A741" s="4" t="s">
        <v>479</v>
      </c>
      <c r="B741" s="0" t="s">
        <v>301</v>
      </c>
      <c r="C741" s="24" t="n">
        <f aca="false">a25_gp</f>
        <v>8.434</v>
      </c>
      <c r="D741" s="24" t="n">
        <f aca="false">a26_gp</f>
        <v>15.390297</v>
      </c>
      <c r="E741" s="24" t="n">
        <f aca="false">$D$740*E735+d_ai_lo*E727</f>
        <v>30.2587772065373</v>
      </c>
      <c r="F741" s="24" t="n">
        <f aca="false">$D$740*F735+d_ai_lo*F727</f>
        <v>34.0956814986218</v>
      </c>
      <c r="G741" s="24" t="n">
        <f aca="false">$D$740*G735+d_ai_lo*G727</f>
        <v>41.551804658704</v>
      </c>
    </row>
    <row r="742" customFormat="false" ht="15" hidden="false" customHeight="false" outlineLevel="0" collapsed="false">
      <c r="A742" s="4" t="s">
        <v>482</v>
      </c>
      <c r="B742" s="0" t="s">
        <v>196</v>
      </c>
      <c r="C742" s="18" t="n">
        <f aca="false">C741/C735</f>
        <v>0.415959755375814</v>
      </c>
      <c r="D742" s="18" t="n">
        <f aca="false">D741/D735</f>
        <v>0.473324773260588</v>
      </c>
      <c r="E742" s="18" t="n">
        <f aca="false">E741/E735</f>
        <v>0.486435803667549</v>
      </c>
      <c r="F742" s="18" t="n">
        <f aca="false">F741/F735</f>
        <v>0.484834025101989</v>
      </c>
      <c r="G742" s="18" t="n">
        <f aca="false">G741/G735</f>
        <v>0.483513210448791</v>
      </c>
    </row>
    <row r="743" customFormat="false" ht="15" hidden="false" customHeight="false" outlineLevel="0" collapsed="false">
      <c r="A743" s="4" t="s">
        <v>608</v>
      </c>
      <c r="B743" s="0" t="s">
        <v>301</v>
      </c>
      <c r="C743" s="24" t="n">
        <f aca="false">a25_opx</f>
        <v>1.936</v>
      </c>
      <c r="D743" s="24" t="n">
        <f aca="false">a26_opx</f>
        <v>2.8705005</v>
      </c>
      <c r="E743" s="24" t="n">
        <f aca="false">D743*(1+MAX(0,phi*E736))</f>
        <v>4.44313596395727</v>
      </c>
      <c r="F743" s="24" t="n">
        <f aca="false">E743*(1+MAX(0,phi*F736))</f>
        <v>4.79110205809607</v>
      </c>
      <c r="G743" s="24" t="n">
        <f aca="false">F743*(1+MAX(0,phi*G736))</f>
        <v>5.4293096554361</v>
      </c>
    </row>
    <row r="744" customFormat="false" ht="15" hidden="false" customHeight="false" outlineLevel="0" collapsed="false">
      <c r="A744" s="4" t="s">
        <v>484</v>
      </c>
      <c r="B744" s="0" t="s">
        <v>301</v>
      </c>
      <c r="C744" s="24" t="n">
        <f aca="false">C743</f>
        <v>1.936</v>
      </c>
      <c r="D744" s="24" t="n">
        <f aca="false">D743</f>
        <v>2.8705005</v>
      </c>
      <c r="E744" s="24" t="n">
        <f aca="false">E743+0*E735</f>
        <v>4.44313596395727</v>
      </c>
      <c r="F744" s="24" t="n">
        <f aca="false">F743+0*F735</f>
        <v>4.79110205809607</v>
      </c>
      <c r="G744" s="24" t="n">
        <f aca="false">G743+0*G735</f>
        <v>5.4293096554361</v>
      </c>
    </row>
    <row r="745" customFormat="false" ht="15" hidden="false" customHeight="false" outlineLevel="0" collapsed="false">
      <c r="A745" s="4" t="s">
        <v>486</v>
      </c>
      <c r="B745" s="0" t="s">
        <v>301</v>
      </c>
      <c r="C745" s="24" t="n">
        <f aca="false">C741-C744</f>
        <v>6.498</v>
      </c>
      <c r="D745" s="24" t="n">
        <f aca="false">D741-D744</f>
        <v>12.5197965</v>
      </c>
      <c r="E745" s="24" t="n">
        <f aca="false">E741-E744</f>
        <v>25.81564124258</v>
      </c>
      <c r="F745" s="24" t="n">
        <f aca="false">F741-F744</f>
        <v>29.3045794405257</v>
      </c>
      <c r="G745" s="24" t="n">
        <f aca="false">G741-G744</f>
        <v>36.1224950032679</v>
      </c>
    </row>
    <row r="746" customFormat="false" ht="15" hidden="false" customHeight="false" outlineLevel="0" collapsed="false">
      <c r="A746" s="4" t="s">
        <v>488</v>
      </c>
      <c r="B746" s="0" t="s">
        <v>196</v>
      </c>
      <c r="C746" s="18" t="n">
        <f aca="false">C745/C735</f>
        <v>0.320477411718288</v>
      </c>
      <c r="D746" s="18" t="n">
        <f aca="false">D745/D735</f>
        <v>0.385043241181844</v>
      </c>
      <c r="E746" s="18" t="n">
        <f aca="false">E745/E735</f>
        <v>0.415008581123843</v>
      </c>
      <c r="F746" s="18" t="n">
        <f aca="false">F745/F735</f>
        <v>0.416705476458811</v>
      </c>
      <c r="G746" s="18" t="n">
        <f aca="false">G745/G735</f>
        <v>0.420335618919788</v>
      </c>
    </row>
    <row r="747" customFormat="false" ht="15" hidden="false" customHeight="false" outlineLevel="0" collapsed="false">
      <c r="A747" s="4" t="s">
        <v>489</v>
      </c>
      <c r="B747" s="0" t="s">
        <v>301</v>
      </c>
      <c r="C747" s="29" t="n">
        <f aca="false">a25_nop</f>
        <v>0.108999999999999</v>
      </c>
      <c r="D747" s="29" t="n">
        <f aca="false">a26_nop</f>
        <v>0.330500000000001</v>
      </c>
      <c r="E747" s="29" t="n">
        <f aca="false">nop_f</f>
        <v>0.3</v>
      </c>
      <c r="F747" s="29" t="n">
        <f aca="false">nop_f</f>
        <v>0.3</v>
      </c>
      <c r="G747" s="29" t="n">
        <f aca="false">nop_f</f>
        <v>0.3</v>
      </c>
    </row>
    <row r="748" customFormat="false" ht="15" hidden="false" customHeight="false" outlineLevel="0" collapsed="false">
      <c r="A748" s="4" t="s">
        <v>494</v>
      </c>
      <c r="B748" s="0" t="s">
        <v>301</v>
      </c>
      <c r="C748" s="24" t="n">
        <f aca="false">a25_ni</f>
        <v>5.277</v>
      </c>
      <c r="D748" s="24" t="n">
        <f aca="false">a26_ni</f>
        <v>10.3442061825</v>
      </c>
      <c r="E748" s="24" t="n">
        <f aca="false">(E745+E747)*nir_f</f>
        <v>21.0230912002769</v>
      </c>
      <c r="F748" s="24" t="n">
        <f aca="false">(F745+F747)*nir_f</f>
        <v>23.8316864496232</v>
      </c>
      <c r="G748" s="24" t="n">
        <f aca="false">(G745+G747)*nir_f</f>
        <v>29.3201084776306</v>
      </c>
      <c r="H748" s="25" t="n">
        <f aca="false">H735*H752</f>
        <v>32.8551877355057</v>
      </c>
      <c r="I748" s="25" t="n">
        <f aca="false">I735*I752</f>
        <v>34.8469333323921</v>
      </c>
      <c r="J748" s="25" t="n">
        <f aca="false">J735*J752</f>
        <v>34.8723769943851</v>
      </c>
    </row>
    <row r="749" customFormat="false" ht="15" hidden="false" customHeight="false" outlineLevel="0" collapsed="false">
      <c r="A749" s="4" t="s">
        <v>609</v>
      </c>
      <c r="B749" s="4" t="s">
        <v>327</v>
      </c>
      <c r="C749" s="28" t="n">
        <f aca="false">a25_sh</f>
        <v>0.143591836734694</v>
      </c>
      <c r="D749" s="28" t="n">
        <f aca="false">a26_sh</f>
        <v>0.146703513620213</v>
      </c>
      <c r="E749" s="28" t="n">
        <f aca="false">D749*(1+sh_g)</f>
        <v>0.146703513620213</v>
      </c>
      <c r="F749" s="28" t="n">
        <f aca="false">E749*(1+sh_g)</f>
        <v>0.146703513620213</v>
      </c>
      <c r="G749" s="28" t="n">
        <f aca="false">F749*(1+sh_g)</f>
        <v>0.146703513620213</v>
      </c>
      <c r="H749" s="30" t="n">
        <f aca="false">G749*(1+sh_g)</f>
        <v>0.146703513620213</v>
      </c>
      <c r="I749" s="30" t="n">
        <f aca="false">H749*(1+sh_g)</f>
        <v>0.146703513620213</v>
      </c>
      <c r="J749" s="30" t="n">
        <f aca="false">I749*(1+sh_g)</f>
        <v>0.146703513620213</v>
      </c>
    </row>
    <row r="750" customFormat="false" ht="15" hidden="false" customHeight="false" outlineLevel="0" collapsed="false">
      <c r="A750" s="0" t="s">
        <v>500</v>
      </c>
      <c r="B750" s="0" t="s">
        <v>360</v>
      </c>
      <c r="C750" s="29" t="n">
        <f aca="false">C748/C749</f>
        <v>36.75</v>
      </c>
      <c r="D750" s="29" t="n">
        <f aca="false">D748/D749</f>
        <v>70.5109641019174</v>
      </c>
      <c r="E750" s="29" t="n">
        <f aca="false">E748/E749</f>
        <v>143.303256217173</v>
      </c>
      <c r="F750" s="29" t="n">
        <f aca="false">F748/F749</f>
        <v>162.44795957184</v>
      </c>
      <c r="G750" s="29" t="n">
        <f aca="false">G748/G749</f>
        <v>199.859619951126</v>
      </c>
      <c r="H750" s="31" t="n">
        <f aca="false">H748/H749</f>
        <v>223.956379262745</v>
      </c>
      <c r="I750" s="31" t="n">
        <f aca="false">I748/I749</f>
        <v>237.533052020854</v>
      </c>
      <c r="J750" s="31" t="n">
        <f aca="false">J748/J749</f>
        <v>237.706487962264</v>
      </c>
    </row>
    <row r="751" customFormat="false" ht="17.15" hidden="false" customHeight="false" outlineLevel="0" collapsed="false">
      <c r="A751" s="0" t="s">
        <v>610</v>
      </c>
      <c r="B751" s="0" t="s">
        <v>196</v>
      </c>
      <c r="D751" s="18" t="n">
        <f aca="false">D750/C750-1</f>
        <v>0.918665689848092</v>
      </c>
      <c r="E751" s="18" t="n">
        <f aca="false">E750/D750-1</f>
        <v>1.03235423089721</v>
      </c>
      <c r="F751" s="18" t="n">
        <f aca="false">F750/E750-1</f>
        <v>0.133595731597706</v>
      </c>
      <c r="G751" s="18" t="n">
        <f aca="false">G750/F750-1</f>
        <v>0.230299355423678</v>
      </c>
      <c r="H751" s="26" t="n">
        <f aca="false">H750/G750-1</f>
        <v>0.120568423564057</v>
      </c>
      <c r="I751" s="26" t="n">
        <f aca="false">I750/H750-1</f>
        <v>0.0606219514836004</v>
      </c>
      <c r="J751" s="26" t="n">
        <f aca="false">J750/I750-1</f>
        <v>0.000730154982368836</v>
      </c>
    </row>
    <row r="752" customFormat="false" ht="17.15" hidden="false" customHeight="false" outlineLevel="0" collapsed="false">
      <c r="A752" s="4" t="s">
        <v>611</v>
      </c>
      <c r="B752" s="0" t="s">
        <v>196</v>
      </c>
      <c r="C752" s="18" t="n">
        <f aca="false">C748/C735</f>
        <v>0.260258433616098</v>
      </c>
      <c r="D752" s="18" t="n">
        <f aca="false">D748/D735</f>
        <v>0.318133499690915</v>
      </c>
      <c r="E752" s="18" t="n">
        <f aca="false">E748/E735</f>
        <v>0.337964227496064</v>
      </c>
      <c r="F752" s="18" t="n">
        <f aca="false">F748/F735</f>
        <v>0.338881992043667</v>
      </c>
      <c r="G752" s="18" t="n">
        <f aca="false">G748/G735</f>
        <v>0.341180362614079</v>
      </c>
      <c r="H752" s="26" t="n">
        <f aca="false">$G752+(fade_mB-$G752)*1/3</f>
        <v>0.329202155598026</v>
      </c>
      <c r="I752" s="26" t="n">
        <f aca="false">$G752+(fade_mB-$G752)*2/3</f>
        <v>0.317223948581973</v>
      </c>
      <c r="J752" s="26" t="n">
        <f aca="false">$G752+(fade_mB-$G752)*3/3</f>
        <v>0.30524574156592</v>
      </c>
    </row>
    <row r="755" customFormat="false" ht="17.15" hidden="false" customHeight="false" outlineLevel="0" collapsed="false">
      <c r="A755" s="1" t="s">
        <v>917</v>
      </c>
    </row>
    <row r="756" customFormat="false" ht="17.15" hidden="false" customHeight="false" outlineLevel="0" collapsed="false">
      <c r="A756" s="5" t="s">
        <v>22</v>
      </c>
      <c r="B756" s="5" t="s">
        <v>23</v>
      </c>
      <c r="C756" s="15" t="s">
        <v>470</v>
      </c>
      <c r="D756" s="15" t="s">
        <v>553</v>
      </c>
      <c r="E756" s="15" t="s">
        <v>554</v>
      </c>
      <c r="F756" s="15" t="s">
        <v>555</v>
      </c>
      <c r="G756" s="15" t="s">
        <v>556</v>
      </c>
      <c r="H756" s="15" t="s">
        <v>557</v>
      </c>
      <c r="I756" s="15" t="s">
        <v>558</v>
      </c>
      <c r="J756" s="15" t="s">
        <v>559</v>
      </c>
      <c r="K756" s="5" t="s">
        <v>523</v>
      </c>
    </row>
    <row r="757" customFormat="false" ht="17.15" hidden="false" customHeight="false" outlineLevel="0" collapsed="false">
      <c r="A757" s="6" t="s">
        <v>575</v>
      </c>
    </row>
    <row r="758" customFormat="false" ht="17.15" hidden="false" customHeight="false" outlineLevel="0" collapsed="false">
      <c r="A758" s="0" t="s">
        <v>576</v>
      </c>
      <c r="B758" s="4" t="s">
        <v>33</v>
      </c>
      <c r="D758" s="19" t="n">
        <f aca="false">(u_bw26)*1</f>
        <v>5.4</v>
      </c>
      <c r="E758" s="19" t="n">
        <f aca="false">(u_bw27)*1*1</f>
        <v>2.4</v>
      </c>
      <c r="F758" s="19" t="n">
        <f aca="false">(u_bw28)*um28_B*1</f>
        <v>0.4</v>
      </c>
      <c r="G758" s="19" t="n">
        <f aca="false">(u_bw29)*um29_B*1</f>
        <v>0.2125</v>
      </c>
    </row>
    <row r="759" customFormat="false" ht="17.15" hidden="false" customHeight="false" outlineLevel="0" collapsed="false">
      <c r="A759" s="0" t="s">
        <v>577</v>
      </c>
      <c r="B759" s="4" t="s">
        <v>33</v>
      </c>
      <c r="D759" s="19" t="n">
        <f aca="false">(u_hp26)*1</f>
        <v>0.5</v>
      </c>
      <c r="E759" s="19" t="n">
        <f aca="false">(u_hp27)*1*1</f>
        <v>0</v>
      </c>
      <c r="F759" s="19" t="n">
        <f aca="false">(u_hp28)*um28_B*1</f>
        <v>0</v>
      </c>
      <c r="G759" s="19" t="n">
        <f aca="false">(u_hp29)*um29_B*1</f>
        <v>0</v>
      </c>
    </row>
    <row r="760" customFormat="false" ht="17.15" hidden="false" customHeight="false" outlineLevel="0" collapsed="false">
      <c r="A760" s="0" t="s">
        <v>578</v>
      </c>
      <c r="B760" s="4" t="s">
        <v>33</v>
      </c>
      <c r="D760" s="19" t="n">
        <f aca="false">(u_rb26)*1</f>
        <v>1.7</v>
      </c>
      <c r="E760" s="19" t="n">
        <f aca="false">(u_rb27)*1*1</f>
        <v>7</v>
      </c>
      <c r="F760" s="19" t="n">
        <f aca="false">(u_rb28)*um28_B*1</f>
        <v>5.6</v>
      </c>
      <c r="G760" s="19" t="n">
        <f aca="false">(u_rb29)*um29_B*1</f>
        <v>6.8425</v>
      </c>
    </row>
    <row r="761" customFormat="false" ht="17.15" hidden="false" customHeight="false" outlineLevel="0" collapsed="false">
      <c r="A761" s="0" t="s">
        <v>579</v>
      </c>
      <c r="B761" s="4" t="s">
        <v>33</v>
      </c>
      <c r="D761" s="19" t="n">
        <f aca="false">(u_ru26)*1</f>
        <v>0</v>
      </c>
      <c r="E761" s="19" t="n">
        <f aca="false">(u_ru27)*1*1</f>
        <v>0.3</v>
      </c>
      <c r="F761" s="19" t="n">
        <f aca="false">(u_ru28)*um28_B*1</f>
        <v>1.6</v>
      </c>
      <c r="G761" s="19" t="n">
        <f aca="false">(u_ru29)*um29_B*1</f>
        <v>1.955</v>
      </c>
    </row>
    <row r="762" customFormat="false" ht="17.15" hidden="false" customHeight="false" outlineLevel="0" collapsed="false">
      <c r="A762" s="0" t="s">
        <v>580</v>
      </c>
      <c r="B762" s="4" t="s">
        <v>33</v>
      </c>
      <c r="D762" s="19" t="n">
        <f aca="false">(u_amd26)*1</f>
        <v>0.75</v>
      </c>
      <c r="E762" s="19" t="n">
        <f aca="false">(u_amd27)*1*1</f>
        <v>1.5</v>
      </c>
      <c r="F762" s="19" t="n">
        <f aca="false">(u_amd28)*um28_B*1</f>
        <v>1.6</v>
      </c>
      <c r="G762" s="19" t="n">
        <f aca="false">(u_amd29)*um29_B*1</f>
        <v>1.955</v>
      </c>
    </row>
    <row r="763" customFormat="false" ht="17.15" hidden="false" customHeight="false" outlineLevel="0" collapsed="false">
      <c r="A763" s="0" t="s">
        <v>581</v>
      </c>
      <c r="B763" s="4" t="s">
        <v>33</v>
      </c>
      <c r="D763" s="19" t="n">
        <f aca="false">(u_tpu26+u_trn26+u_oth26)*1</f>
        <v>6.85</v>
      </c>
      <c r="E763" s="19" t="n">
        <f aca="false">(u_tpu27+u_trn27+u_oth27)*1*1</f>
        <v>12.5</v>
      </c>
      <c r="F763" s="19" t="n">
        <f aca="false">(u_tpu28+u_trn28+u_oth28)*um28_B*1</f>
        <v>12</v>
      </c>
      <c r="G763" s="19" t="n">
        <f aca="false">(u_tpu29+u_trn29+u_oth29)*um29_B*1</f>
        <v>14.6625</v>
      </c>
    </row>
    <row r="764" customFormat="false" ht="17.15" hidden="false" customHeight="false" outlineLevel="0" collapsed="false">
      <c r="A764" s="0" t="s">
        <v>527</v>
      </c>
      <c r="B764" s="0" t="s">
        <v>136</v>
      </c>
      <c r="D764" s="22" t="n">
        <f aca="false">asp_vr_26</f>
        <v>100</v>
      </c>
      <c r="E764" s="22" t="n">
        <f aca="false">asp_vr_27</f>
        <v>150</v>
      </c>
      <c r="F764" s="22" t="n">
        <f aca="false">asp_vr_28</f>
        <v>180</v>
      </c>
      <c r="G764" s="22" t="n">
        <f aca="false">asp_vr_29</f>
        <v>180</v>
      </c>
    </row>
    <row r="765" customFormat="false" ht="17.15" hidden="false" customHeight="false" outlineLevel="0" collapsed="false">
      <c r="A765" s="0" t="s">
        <v>582</v>
      </c>
      <c r="B765" s="0" t="s">
        <v>136</v>
      </c>
      <c r="D765" s="22" t="n">
        <f aca="false">asp_amd_26</f>
        <v>40</v>
      </c>
      <c r="E765" s="22" t="n">
        <f aca="false">asp_amd_27</f>
        <v>60</v>
      </c>
      <c r="F765" s="22" t="n">
        <f aca="false">asp_amd_28</f>
        <v>80</v>
      </c>
      <c r="G765" s="22" t="n">
        <f aca="false">asp_amd_29</f>
        <v>80</v>
      </c>
    </row>
    <row r="766" customFormat="false" ht="17.15" hidden="false" customHeight="false" outlineLevel="0" collapsed="false">
      <c r="A766" s="0" t="s">
        <v>583</v>
      </c>
      <c r="B766" s="0" t="s">
        <v>136</v>
      </c>
      <c r="D766" s="22" t="n">
        <f aca="false">asp_asic_26</f>
        <v>30</v>
      </c>
      <c r="E766" s="22" t="n">
        <f aca="false">asp_asic_27</f>
        <v>35</v>
      </c>
      <c r="F766" s="22" t="n">
        <f aca="false">asp_asic_28</f>
        <v>40</v>
      </c>
      <c r="G766" s="22" t="n">
        <f aca="false">asp_asic_29</f>
        <v>40</v>
      </c>
    </row>
    <row r="767" customFormat="false" ht="17.15" hidden="false" customHeight="false" outlineLevel="0" collapsed="false">
      <c r="A767" s="0" t="s">
        <v>584</v>
      </c>
      <c r="B767" s="0" t="s">
        <v>205</v>
      </c>
      <c r="D767" s="17" t="n">
        <f aca="false">(D758*asp_bw+D759*asp_hp+D760*D764+D761*asp_ru)/1000</f>
        <v>0.3665</v>
      </c>
      <c r="E767" s="17" t="n">
        <f aca="false">(E758*asp_bw+E759*asp_hp+E760*E764+E761*asp_ru)/1000</f>
        <v>1.194</v>
      </c>
      <c r="F767" s="17" t="n">
        <f aca="false">(F758*asp_bw+F759*asp_hp+F760*F764+F761*asp_ru)/1000</f>
        <v>1.342</v>
      </c>
      <c r="G767" s="17" t="n">
        <f aca="false">(G758*asp_bw+G759*asp_hp+G760*G764+G761*asp_ru)/1000</f>
        <v>1.6300875</v>
      </c>
      <c r="K767" s="4" t="s">
        <v>585</v>
      </c>
    </row>
    <row r="768" customFormat="false" ht="17.15" hidden="false" customHeight="false" outlineLevel="0" collapsed="false">
      <c r="A768" s="4" t="s">
        <v>586</v>
      </c>
      <c r="B768" s="0" t="s">
        <v>205</v>
      </c>
      <c r="D768" s="17" t="n">
        <f aca="false">(D762*D765+D763*D766)/1000</f>
        <v>0.2355</v>
      </c>
      <c r="E768" s="17" t="n">
        <f aca="false">(E762*E765+E763*E766)/1000</f>
        <v>0.5275</v>
      </c>
      <c r="F768" s="17" t="n">
        <f aca="false">(F762*F765+F763*F766)/1000</f>
        <v>0.608</v>
      </c>
      <c r="G768" s="17" t="n">
        <f aca="false">(G762*G765+G763*G766)/1000</f>
        <v>0.7429</v>
      </c>
    </row>
    <row r="769" customFormat="false" ht="17.15" hidden="false" customHeight="false" outlineLevel="0" collapsed="false">
      <c r="A769" s="0" t="s">
        <v>587</v>
      </c>
      <c r="B769" s="0" t="s">
        <v>205</v>
      </c>
      <c r="D769" s="17" t="n">
        <f aca="false">D767+D768</f>
        <v>0.602</v>
      </c>
      <c r="E769" s="17" t="n">
        <f aca="false">E767+E768</f>
        <v>1.7215</v>
      </c>
      <c r="F769" s="17" t="n">
        <f aca="false">F767+F768</f>
        <v>1.95</v>
      </c>
      <c r="G769" s="17" t="n">
        <f aca="false">G767+G768</f>
        <v>2.3729875</v>
      </c>
    </row>
    <row r="770" customFormat="false" ht="17.15" hidden="false" customHeight="false" outlineLevel="0" collapsed="false">
      <c r="A770" s="4" t="s">
        <v>588</v>
      </c>
      <c r="B770" s="0" t="s">
        <v>196</v>
      </c>
      <c r="D770" s="18" t="n">
        <f aca="false">a26_rev*ai_26/fx/(D767+k_non*D768)</f>
        <v>0.882225417842414</v>
      </c>
      <c r="K770" s="8" t="s">
        <v>589</v>
      </c>
    </row>
    <row r="771" customFormat="false" ht="17.15" hidden="false" customHeight="false" outlineLevel="0" collapsed="false">
      <c r="A771" s="4" t="s">
        <v>590</v>
      </c>
      <c r="B771" s="0" t="s">
        <v>109</v>
      </c>
      <c r="D771" s="19" t="n">
        <f aca="false">1</f>
        <v>1</v>
      </c>
      <c r="E771" s="19" t="n">
        <f aca="false">rel_27</f>
        <v>0.97</v>
      </c>
      <c r="F771" s="19" t="n">
        <f aca="false">rel_28</f>
        <v>0.93</v>
      </c>
      <c r="G771" s="19" t="n">
        <f aca="false">rel_29</f>
        <v>0.9</v>
      </c>
    </row>
    <row r="772" customFormat="false" ht="17.15" hidden="false" customHeight="false" outlineLevel="0" collapsed="false">
      <c r="A772" s="4" t="s">
        <v>591</v>
      </c>
      <c r="B772" s="0" t="s">
        <v>196</v>
      </c>
      <c r="D772" s="18" t="n">
        <f aca="false">$D$770*D771</f>
        <v>0.882225417842414</v>
      </c>
      <c r="E772" s="18" t="n">
        <f aca="false">$D$770*E771</f>
        <v>0.855758655307142</v>
      </c>
      <c r="F772" s="18" t="n">
        <f aca="false">$D$770*F771</f>
        <v>0.820469638593445</v>
      </c>
      <c r="G772" s="18" t="n">
        <f aca="false">$D$770*G771</f>
        <v>0.794002876058173</v>
      </c>
    </row>
    <row r="773" customFormat="false" ht="17.15" hidden="false" customHeight="false" outlineLevel="0" collapsed="false">
      <c r="A773" s="4" t="s">
        <v>592</v>
      </c>
      <c r="B773" s="0" t="s">
        <v>196</v>
      </c>
      <c r="D773" s="18" t="n">
        <f aca="false">D772*k_non</f>
        <v>0.352890167136966</v>
      </c>
      <c r="E773" s="18" t="n">
        <f aca="false">E772*k_non</f>
        <v>0.342303462122857</v>
      </c>
      <c r="F773" s="18" t="n">
        <f aca="false">F772*k_non</f>
        <v>0.328187855437378</v>
      </c>
      <c r="G773" s="18" t="n">
        <f aca="false">G772*k_non</f>
        <v>0.317601150423269</v>
      </c>
    </row>
    <row r="774" customFormat="false" ht="17.15" hidden="false" customHeight="false" outlineLevel="0" collapsed="false">
      <c r="A774" s="0" t="s">
        <v>593</v>
      </c>
      <c r="B774" s="0" t="s">
        <v>301</v>
      </c>
      <c r="C774" s="24" t="n">
        <f aca="false">a25_ail</f>
        <v>6.0828</v>
      </c>
      <c r="D774" s="24" t="n">
        <f aca="false">(D767*D772+D768*D773)*fx</f>
        <v>13.00612</v>
      </c>
      <c r="E774" s="24" t="n">
        <f aca="false">(E767*E772+E768*E773)*fx</f>
        <v>38.4749091426091</v>
      </c>
      <c r="F774" s="24" t="n">
        <f aca="false">(F767*F772+F768*F773)*fx</f>
        <v>41.6194710751465</v>
      </c>
      <c r="G774" s="24" t="n">
        <f aca="false">(G767*G772+G768*G773)*fx</f>
        <v>48.9676818520295</v>
      </c>
    </row>
    <row r="775" customFormat="false" ht="17.15" hidden="false" customHeight="false" outlineLevel="0" collapsed="false">
      <c r="A775" s="6" t="s">
        <v>594</v>
      </c>
    </row>
    <row r="776" customFormat="false" ht="17.15" hidden="false" customHeight="false" outlineLevel="0" collapsed="false">
      <c r="A776" s="0" t="s">
        <v>595</v>
      </c>
      <c r="B776" s="0" t="s">
        <v>205</v>
      </c>
      <c r="D776" s="24" t="n">
        <f aca="false">lmkB_26</f>
        <v>4.51368758595869</v>
      </c>
      <c r="E776" s="24" t="n">
        <f aca="false">lmkB_27*1</f>
        <v>10.2011004204398</v>
      </c>
      <c r="F776" s="24" t="n">
        <f aca="false">lmkB_28*1</f>
        <v>12.6260448229601</v>
      </c>
      <c r="G776" s="24" t="n">
        <f aca="false">lmkB_29*1</f>
        <v>16.1809438578051</v>
      </c>
      <c r="K776" s="4" t="s">
        <v>596</v>
      </c>
    </row>
    <row r="777" customFormat="false" ht="15" hidden="false" customHeight="false" outlineLevel="0" collapsed="false">
      <c r="A777" s="4" t="s">
        <v>542</v>
      </c>
      <c r="B777" s="0" t="s">
        <v>196</v>
      </c>
      <c r="D777" s="18" t="n">
        <f aca="false">0</f>
        <v>0</v>
      </c>
      <c r="E777" s="18" t="n">
        <f aca="false">lcs_27</f>
        <v>0.008</v>
      </c>
      <c r="F777" s="18" t="n">
        <f aca="false">lcs_28</f>
        <v>0.015</v>
      </c>
      <c r="G777" s="18" t="n">
        <f aca="false">lcs_29</f>
        <v>0.025</v>
      </c>
    </row>
    <row r="778" customFormat="false" ht="17.15" hidden="false" customHeight="false" outlineLevel="0" collapsed="false">
      <c r="A778" s="4" t="s">
        <v>597</v>
      </c>
      <c r="B778" s="0" t="s">
        <v>301</v>
      </c>
      <c r="C778" s="24" t="n">
        <f aca="false">0</f>
        <v>0</v>
      </c>
      <c r="D778" s="24" t="n">
        <f aca="false">D776*D777*fx</f>
        <v>0</v>
      </c>
      <c r="E778" s="24" t="n">
        <f aca="false">E776*E777*fx</f>
        <v>2.61148170763259</v>
      </c>
      <c r="F778" s="24" t="n">
        <f aca="false">F776*F777*fx</f>
        <v>6.06050151502085</v>
      </c>
      <c r="G778" s="24" t="n">
        <f aca="false">G776*G777*fx</f>
        <v>12.9447550862441</v>
      </c>
    </row>
    <row r="779" customFormat="false" ht="17.15" hidden="false" customHeight="false" outlineLevel="0" collapsed="false">
      <c r="A779" s="6" t="s">
        <v>598</v>
      </c>
    </row>
    <row r="780" customFormat="false" ht="17.15" hidden="false" customHeight="false" outlineLevel="0" collapsed="false">
      <c r="A780" s="4" t="s">
        <v>599</v>
      </c>
      <c r="B780" s="0" t="s">
        <v>301</v>
      </c>
      <c r="C780" s="24" t="n">
        <f aca="false">a25_oth</f>
        <v>8.637576</v>
      </c>
      <c r="D780" s="24" t="n">
        <f aca="false">a26_rev*(th_26-ai_26)</f>
        <v>11.380355</v>
      </c>
      <c r="E780" s="24" t="n">
        <f aca="false">D780*(1+g_oth_27)</f>
        <v>12.7459976</v>
      </c>
      <c r="F780" s="24" t="n">
        <f aca="false">E780*(1+g_oth_28)</f>
        <v>14.02059736</v>
      </c>
      <c r="G780" s="24" t="n">
        <f aca="false">F780*(1+g_oth_29)</f>
        <v>15.1422451488</v>
      </c>
    </row>
    <row r="781" customFormat="false" ht="15" hidden="false" customHeight="false" outlineLevel="0" collapsed="false">
      <c r="A781" s="4" t="s">
        <v>600</v>
      </c>
      <c r="B781" s="0" t="s">
        <v>301</v>
      </c>
      <c r="C781" s="24" t="n">
        <f aca="false">a25_lf</f>
        <v>5.555624</v>
      </c>
      <c r="D781" s="24" t="n">
        <f aca="false">a26_lf</f>
        <v>8.128825</v>
      </c>
      <c r="E781" s="24" t="n">
        <f aca="false">D781*(1+g_lf_27)</f>
        <v>8.37268975</v>
      </c>
      <c r="F781" s="24" t="n">
        <f aca="false">E781*(1+g_lf_28)</f>
        <v>8.6238704425</v>
      </c>
      <c r="G781" s="24" t="n">
        <f aca="false">F781*(1+g_lf_29)</f>
        <v>8.882586555775</v>
      </c>
    </row>
    <row r="782" customFormat="false" ht="17.15" hidden="false" customHeight="false" outlineLevel="0" collapsed="false">
      <c r="A782" s="4" t="s">
        <v>475</v>
      </c>
      <c r="B782" s="0" t="s">
        <v>301</v>
      </c>
      <c r="C782" s="24" t="n">
        <f aca="false">C774+C778+C780+C781</f>
        <v>20.276</v>
      </c>
      <c r="D782" s="24" t="n">
        <f aca="false">D774+D778+D780+D781</f>
        <v>32.5153</v>
      </c>
      <c r="E782" s="24" t="n">
        <f aca="false">E774+E778+E780+E781</f>
        <v>62.2050782002417</v>
      </c>
      <c r="F782" s="24" t="n">
        <f aca="false">F774+F778+F780+F781</f>
        <v>70.3244403926674</v>
      </c>
      <c r="G782" s="24" t="n">
        <f aca="false">G774+G778+G780+G781</f>
        <v>85.9372686428486</v>
      </c>
      <c r="H782" s="25" t="n">
        <f aca="false">G782*(1+H783)</f>
        <v>99.8024684128244</v>
      </c>
      <c r="I782" s="25" t="n">
        <f aca="false">H782*(1+I783)</f>
        <v>109.849629853489</v>
      </c>
      <c r="J782" s="25" t="n">
        <f aca="false">I782*(1+J783)</f>
        <v>114.243615047629</v>
      </c>
      <c r="K782" s="8" t="s">
        <v>601</v>
      </c>
    </row>
    <row r="783" customFormat="false" ht="15" hidden="false" customHeight="false" outlineLevel="0" collapsed="false">
      <c r="A783" s="4" t="s">
        <v>602</v>
      </c>
      <c r="B783" s="0" t="s">
        <v>196</v>
      </c>
      <c r="D783" s="18" t="n">
        <f aca="false">D782/C782-1</f>
        <v>0.603634839218781</v>
      </c>
      <c r="E783" s="18" t="n">
        <f aca="false">E782/D782-1</f>
        <v>0.913101776709477</v>
      </c>
      <c r="F783" s="18" t="n">
        <f aca="false">F782/E782-1</f>
        <v>0.13052571313051</v>
      </c>
      <c r="G783" s="18" t="n">
        <f aca="false">G782/F782-1</f>
        <v>0.222011411153855</v>
      </c>
      <c r="H783" s="26" t="n">
        <f aca="false">$G783+(fade_gB-$G783)*1/3</f>
        <v>0.161340940769237</v>
      </c>
      <c r="I783" s="26" t="n">
        <f aca="false">$G783+(fade_gB-$G783)*2/3</f>
        <v>0.100670470384618</v>
      </c>
      <c r="J783" s="26" t="n">
        <f aca="false">$G783+(fade_gB-$G783)*3/3</f>
        <v>0.04</v>
      </c>
    </row>
    <row r="784" customFormat="false" ht="17.15" hidden="false" customHeight="false" outlineLevel="0" collapsed="false">
      <c r="A784" s="0" t="s">
        <v>603</v>
      </c>
      <c r="B784" s="0" t="s">
        <v>196</v>
      </c>
      <c r="C784" s="18" t="n">
        <f aca="false">C774/C782</f>
        <v>0.3</v>
      </c>
      <c r="D784" s="18" t="n">
        <f aca="false">D774/D782</f>
        <v>0.4</v>
      </c>
      <c r="E784" s="18" t="n">
        <f aca="false">E774/E782</f>
        <v>0.618517173449347</v>
      </c>
      <c r="F784" s="18" t="n">
        <f aca="false">F774/F782</f>
        <v>0.591820864023343</v>
      </c>
      <c r="G784" s="18" t="n">
        <f aca="false">G774/G782</f>
        <v>0.569807286470053</v>
      </c>
    </row>
    <row r="785" customFormat="false" ht="17.15" hidden="false" customHeight="false" outlineLevel="0" collapsed="false">
      <c r="A785" s="4" t="s">
        <v>604</v>
      </c>
      <c r="B785" s="0" t="s">
        <v>136</v>
      </c>
      <c r="D785" s="24" t="n">
        <f aca="false">D774/fx*1000/(D758+D759+D760+D761+D762+D763)</f>
        <v>26.7395559210526</v>
      </c>
      <c r="E785" s="24" t="n">
        <f aca="false">E774/fx*1000/(E758+E759+E760+E761+E762+E763)</f>
        <v>50.7316839960563</v>
      </c>
      <c r="F785" s="24" t="n">
        <f aca="false">F774/fx*1000/(F758+F759+F760+F761+F762+F763)</f>
        <v>61.3494561838834</v>
      </c>
      <c r="G785" s="24" t="n">
        <f aca="false">G774/fx*1000/(G758+G759+G760+G761+G762+G763)</f>
        <v>59.7108597356716</v>
      </c>
    </row>
    <row r="786" customFormat="false" ht="17.15" hidden="false" customHeight="false" outlineLevel="0" collapsed="false">
      <c r="A786" s="6" t="s">
        <v>605</v>
      </c>
    </row>
    <row r="787" customFormat="false" ht="17.15" hidden="false" customHeight="false" outlineLevel="0" collapsed="false">
      <c r="A787" s="4" t="s">
        <v>606</v>
      </c>
      <c r="B787" s="0" t="s">
        <v>196</v>
      </c>
      <c r="D787" s="18" t="n">
        <f aca="false">a26_gp/D782-d_ai_hi*D784</f>
        <v>0.401324773260588</v>
      </c>
      <c r="K787" s="8" t="s">
        <v>607</v>
      </c>
    </row>
    <row r="788" customFormat="false" ht="15" hidden="false" customHeight="false" outlineLevel="0" collapsed="false">
      <c r="A788" s="4" t="s">
        <v>479</v>
      </c>
      <c r="B788" s="0" t="s">
        <v>301</v>
      </c>
      <c r="C788" s="24" t="n">
        <f aca="false">a25_gp</f>
        <v>8.434</v>
      </c>
      <c r="D788" s="24" t="n">
        <f aca="false">a26_gp</f>
        <v>15.390297</v>
      </c>
      <c r="E788" s="24" t="n">
        <f aca="false">$D$787*E782+d_ai_hi*E774</f>
        <v>31.8899225500388</v>
      </c>
      <c r="F788" s="24" t="n">
        <f aca="false">$D$787*F782+d_ai_hi*F774</f>
        <v>35.7144448887914</v>
      </c>
      <c r="G788" s="24" t="n">
        <f aca="false">$D$787*G782+d_ai_hi*G774</f>
        <v>43.3029375860908</v>
      </c>
    </row>
    <row r="789" customFormat="false" ht="15" hidden="false" customHeight="false" outlineLevel="0" collapsed="false">
      <c r="A789" s="4" t="s">
        <v>482</v>
      </c>
      <c r="B789" s="0" t="s">
        <v>196</v>
      </c>
      <c r="C789" s="18" t="n">
        <f aca="false">C788/C782</f>
        <v>0.415959755375814</v>
      </c>
      <c r="D789" s="18" t="n">
        <f aca="false">D788/D782</f>
        <v>0.473324773260588</v>
      </c>
      <c r="E789" s="18" t="n">
        <f aca="false">E788/E782</f>
        <v>0.51265786448147</v>
      </c>
      <c r="F789" s="18" t="n">
        <f aca="false">F788/F782</f>
        <v>0.50785252878479</v>
      </c>
      <c r="G789" s="18" t="n">
        <f aca="false">G788/G782</f>
        <v>0.503890084825198</v>
      </c>
    </row>
    <row r="790" customFormat="false" ht="15" hidden="false" customHeight="false" outlineLevel="0" collapsed="false">
      <c r="A790" s="4" t="s">
        <v>608</v>
      </c>
      <c r="B790" s="0" t="s">
        <v>301</v>
      </c>
      <c r="C790" s="24" t="n">
        <f aca="false">a25_opx</f>
        <v>1.936</v>
      </c>
      <c r="D790" s="24" t="n">
        <f aca="false">a26_opx</f>
        <v>2.8705005</v>
      </c>
      <c r="E790" s="24" t="n">
        <f aca="false">D790*(1+MAX(0,phi*E783))</f>
        <v>4.44313596395727</v>
      </c>
      <c r="F790" s="24" t="n">
        <f aca="false">E790*(1+MAX(0,phi*F783))</f>
        <v>4.79110205809607</v>
      </c>
      <c r="G790" s="24" t="n">
        <f aca="false">F790*(1+MAX(0,phi*G783))</f>
        <v>5.4293096554361</v>
      </c>
    </row>
    <row r="791" customFormat="false" ht="15" hidden="false" customHeight="false" outlineLevel="0" collapsed="false">
      <c r="A791" s="4" t="s">
        <v>484</v>
      </c>
      <c r="B791" s="0" t="s">
        <v>301</v>
      </c>
      <c r="C791" s="24" t="n">
        <f aca="false">C790</f>
        <v>1.936</v>
      </c>
      <c r="D791" s="24" t="n">
        <f aca="false">D790</f>
        <v>2.8705005</v>
      </c>
      <c r="E791" s="24" t="n">
        <f aca="false">E790+0*E782</f>
        <v>4.44313596395727</v>
      </c>
      <c r="F791" s="24" t="n">
        <f aca="false">F790+0*F782</f>
        <v>4.79110205809607</v>
      </c>
      <c r="G791" s="24" t="n">
        <f aca="false">G790+0*G782</f>
        <v>5.4293096554361</v>
      </c>
    </row>
    <row r="792" customFormat="false" ht="15" hidden="false" customHeight="false" outlineLevel="0" collapsed="false">
      <c r="A792" s="4" t="s">
        <v>486</v>
      </c>
      <c r="B792" s="0" t="s">
        <v>301</v>
      </c>
      <c r="C792" s="24" t="n">
        <f aca="false">C788-C791</f>
        <v>6.498</v>
      </c>
      <c r="D792" s="24" t="n">
        <f aca="false">D788-D791</f>
        <v>12.5197965</v>
      </c>
      <c r="E792" s="24" t="n">
        <f aca="false">E788-E791</f>
        <v>27.4467865860815</v>
      </c>
      <c r="F792" s="24" t="n">
        <f aca="false">F788-F791</f>
        <v>30.9233428306953</v>
      </c>
      <c r="G792" s="24" t="n">
        <f aca="false">G788-G791</f>
        <v>37.8736279306547</v>
      </c>
    </row>
    <row r="793" customFormat="false" ht="15" hidden="false" customHeight="false" outlineLevel="0" collapsed="false">
      <c r="A793" s="4" t="s">
        <v>488</v>
      </c>
      <c r="B793" s="0" t="s">
        <v>196</v>
      </c>
      <c r="C793" s="18" t="n">
        <f aca="false">C792/C782</f>
        <v>0.320477411718288</v>
      </c>
      <c r="D793" s="18" t="n">
        <f aca="false">D792/D782</f>
        <v>0.385043241181844</v>
      </c>
      <c r="E793" s="18" t="n">
        <f aca="false">E792/E782</f>
        <v>0.441230641937765</v>
      </c>
      <c r="F793" s="18" t="n">
        <f aca="false">F792/F782</f>
        <v>0.439723980141612</v>
      </c>
      <c r="G793" s="18" t="n">
        <f aca="false">G792/G782</f>
        <v>0.440712493296194</v>
      </c>
    </row>
    <row r="794" customFormat="false" ht="15" hidden="false" customHeight="false" outlineLevel="0" collapsed="false">
      <c r="A794" s="4" t="s">
        <v>489</v>
      </c>
      <c r="B794" s="0" t="s">
        <v>301</v>
      </c>
      <c r="C794" s="29" t="n">
        <f aca="false">a25_nop</f>
        <v>0.108999999999999</v>
      </c>
      <c r="D794" s="29" t="n">
        <f aca="false">a26_nop</f>
        <v>0.330500000000001</v>
      </c>
      <c r="E794" s="29" t="n">
        <f aca="false">nop_f</f>
        <v>0.3</v>
      </c>
      <c r="F794" s="29" t="n">
        <f aca="false">nop_f</f>
        <v>0.3</v>
      </c>
      <c r="G794" s="29" t="n">
        <f aca="false">nop_f</f>
        <v>0.3</v>
      </c>
    </row>
    <row r="795" customFormat="false" ht="15" hidden="false" customHeight="false" outlineLevel="0" collapsed="false">
      <c r="A795" s="4" t="s">
        <v>494</v>
      </c>
      <c r="B795" s="0" t="s">
        <v>301</v>
      </c>
      <c r="C795" s="24" t="n">
        <f aca="false">a25_ni</f>
        <v>5.277</v>
      </c>
      <c r="D795" s="24" t="n">
        <f aca="false">a26_ni</f>
        <v>10.3442061825</v>
      </c>
      <c r="E795" s="24" t="n">
        <f aca="false">(E792+E794)*nir_f</f>
        <v>22.3361632017956</v>
      </c>
      <c r="F795" s="24" t="n">
        <f aca="false">(F792+F794)*nir_f</f>
        <v>25.1347909787097</v>
      </c>
      <c r="G795" s="24" t="n">
        <f aca="false">(G792+G794)*nir_f</f>
        <v>30.729770484177</v>
      </c>
      <c r="H795" s="25" t="n">
        <f aca="false">H782*H799</f>
        <v>33.9465865360719</v>
      </c>
      <c r="I795" s="25" t="n">
        <f aca="false">I782*I799</f>
        <v>35.4475685479903</v>
      </c>
      <c r="J795" s="25" t="n">
        <f aca="false">J782*J799</f>
        <v>34.8723769943851</v>
      </c>
    </row>
    <row r="796" customFormat="false" ht="15" hidden="false" customHeight="false" outlineLevel="0" collapsed="false">
      <c r="A796" s="4" t="s">
        <v>609</v>
      </c>
      <c r="B796" s="4" t="s">
        <v>327</v>
      </c>
      <c r="C796" s="28" t="n">
        <f aca="false">a25_sh</f>
        <v>0.143591836734694</v>
      </c>
      <c r="D796" s="28" t="n">
        <f aca="false">a26_sh</f>
        <v>0.146703513620213</v>
      </c>
      <c r="E796" s="28" t="n">
        <f aca="false">D796*(1+sh_g)</f>
        <v>0.146703513620213</v>
      </c>
      <c r="F796" s="28" t="n">
        <f aca="false">E796*(1+sh_g)</f>
        <v>0.146703513620213</v>
      </c>
      <c r="G796" s="28" t="n">
        <f aca="false">F796*(1+sh_g)</f>
        <v>0.146703513620213</v>
      </c>
      <c r="H796" s="30" t="n">
        <f aca="false">G796*(1+sh_g)</f>
        <v>0.146703513620213</v>
      </c>
      <c r="I796" s="30" t="n">
        <f aca="false">H796*(1+sh_g)</f>
        <v>0.146703513620213</v>
      </c>
      <c r="J796" s="30" t="n">
        <f aca="false">I796*(1+sh_g)</f>
        <v>0.146703513620213</v>
      </c>
    </row>
    <row r="797" customFormat="false" ht="15" hidden="false" customHeight="false" outlineLevel="0" collapsed="false">
      <c r="A797" s="0" t="s">
        <v>500</v>
      </c>
      <c r="B797" s="0" t="s">
        <v>360</v>
      </c>
      <c r="C797" s="29" t="n">
        <f aca="false">C795/C796</f>
        <v>36.75</v>
      </c>
      <c r="D797" s="29" t="n">
        <f aca="false">D795/D796</f>
        <v>70.5109641019174</v>
      </c>
      <c r="E797" s="29" t="n">
        <f aca="false">E795/E796</f>
        <v>152.253771232907</v>
      </c>
      <c r="F797" s="29" t="n">
        <f aca="false">F795/F796</f>
        <v>171.330531617523</v>
      </c>
      <c r="G797" s="29" t="n">
        <f aca="false">G795/G796</f>
        <v>209.468537772929</v>
      </c>
      <c r="H797" s="31" t="n">
        <f aca="false">H795/H796</f>
        <v>231.395865704709</v>
      </c>
      <c r="I797" s="31" t="n">
        <f aca="false">I795/I796</f>
        <v>241.627263541602</v>
      </c>
      <c r="J797" s="31" t="n">
        <f aca="false">J795/J796</f>
        <v>237.706487962264</v>
      </c>
    </row>
    <row r="798" customFormat="false" ht="17.15" hidden="false" customHeight="false" outlineLevel="0" collapsed="false">
      <c r="A798" s="0" t="s">
        <v>610</v>
      </c>
      <c r="B798" s="0" t="s">
        <v>196</v>
      </c>
      <c r="D798" s="18" t="n">
        <f aca="false">D797/C797-1</f>
        <v>0.918665689848092</v>
      </c>
      <c r="E798" s="18" t="n">
        <f aca="false">E797/D797-1</f>
        <v>1.15929214941435</v>
      </c>
      <c r="F798" s="18" t="n">
        <f aca="false">F797/E797-1</f>
        <v>0.125295815204695</v>
      </c>
      <c r="G798" s="18" t="n">
        <f aca="false">G797/F797-1</f>
        <v>0.222599006699778</v>
      </c>
      <c r="H798" s="26" t="n">
        <f aca="false">H797/G797-1</f>
        <v>0.104680770510513</v>
      </c>
      <c r="I798" s="26" t="n">
        <f aca="false">I797/H797-1</f>
        <v>0.0442159923892049</v>
      </c>
      <c r="J798" s="26" t="n">
        <f aca="false">J797/I797-1</f>
        <v>-0.0162265446451295</v>
      </c>
    </row>
    <row r="799" customFormat="false" ht="17.15" hidden="false" customHeight="false" outlineLevel="0" collapsed="false">
      <c r="A799" s="4" t="s">
        <v>611</v>
      </c>
      <c r="B799" s="0" t="s">
        <v>196</v>
      </c>
      <c r="C799" s="18" t="n">
        <f aca="false">C795/C782</f>
        <v>0.260258433616098</v>
      </c>
      <c r="D799" s="18" t="n">
        <f aca="false">D795/D782</f>
        <v>0.318133499690915</v>
      </c>
      <c r="E799" s="18" t="n">
        <f aca="false">E795/E782</f>
        <v>0.359072986451271</v>
      </c>
      <c r="F799" s="18" t="n">
        <f aca="false">F795/F782</f>
        <v>0.357411887508322</v>
      </c>
      <c r="G799" s="18" t="n">
        <f aca="false">G795/G782</f>
        <v>0.357583746487086</v>
      </c>
      <c r="H799" s="26" t="n">
        <f aca="false">$G799+(fade_mB-$G799)*1/3</f>
        <v>0.340137744846698</v>
      </c>
      <c r="I799" s="26" t="n">
        <f aca="false">$G799+(fade_mB-$G799)*2/3</f>
        <v>0.322691743206309</v>
      </c>
      <c r="J799" s="26" t="n">
        <f aca="false">$G799+(fade_mB-$G799)*3/3</f>
        <v>0.30524574156592</v>
      </c>
    </row>
    <row r="802" customFormat="false" ht="17.15" hidden="false" customHeight="false" outlineLevel="0" collapsed="false">
      <c r="A802" s="1" t="s">
        <v>918</v>
      </c>
    </row>
    <row r="803" customFormat="false" ht="17.15" hidden="false" customHeight="false" outlineLevel="0" collapsed="false">
      <c r="A803" s="5" t="s">
        <v>22</v>
      </c>
      <c r="B803" s="5" t="s">
        <v>23</v>
      </c>
      <c r="C803" s="15" t="s">
        <v>470</v>
      </c>
      <c r="D803" s="15" t="s">
        <v>553</v>
      </c>
      <c r="E803" s="15" t="s">
        <v>554</v>
      </c>
      <c r="F803" s="15" t="s">
        <v>555</v>
      </c>
      <c r="G803" s="15" t="s">
        <v>556</v>
      </c>
      <c r="H803" s="15" t="s">
        <v>557</v>
      </c>
      <c r="I803" s="15" t="s">
        <v>558</v>
      </c>
      <c r="J803" s="15" t="s">
        <v>559</v>
      </c>
      <c r="K803" s="5" t="s">
        <v>523</v>
      </c>
    </row>
    <row r="804" customFormat="false" ht="17.15" hidden="false" customHeight="false" outlineLevel="0" collapsed="false">
      <c r="A804" s="6" t="s">
        <v>575</v>
      </c>
    </row>
    <row r="805" customFormat="false" ht="17.15" hidden="false" customHeight="false" outlineLevel="0" collapsed="false">
      <c r="A805" s="0" t="s">
        <v>576</v>
      </c>
      <c r="B805" s="4" t="s">
        <v>33</v>
      </c>
      <c r="D805" s="19" t="n">
        <f aca="false">(u_bw26)*1</f>
        <v>5.4</v>
      </c>
      <c r="E805" s="19" t="n">
        <f aca="false">(u_bw27)*1*1</f>
        <v>2.4</v>
      </c>
      <c r="F805" s="19" t="n">
        <f aca="false">(u_bw28)*um28_B*1</f>
        <v>0.4</v>
      </c>
      <c r="G805" s="19" t="n">
        <f aca="false">(u_bw29)*um29_B*1</f>
        <v>0.2125</v>
      </c>
    </row>
    <row r="806" customFormat="false" ht="17.15" hidden="false" customHeight="false" outlineLevel="0" collapsed="false">
      <c r="A806" s="0" t="s">
        <v>577</v>
      </c>
      <c r="B806" s="4" t="s">
        <v>33</v>
      </c>
      <c r="D806" s="19" t="n">
        <f aca="false">(u_hp26)*1</f>
        <v>0.5</v>
      </c>
      <c r="E806" s="19" t="n">
        <f aca="false">(u_hp27)*1*1</f>
        <v>0</v>
      </c>
      <c r="F806" s="19" t="n">
        <f aca="false">(u_hp28)*um28_B*1</f>
        <v>0</v>
      </c>
      <c r="G806" s="19" t="n">
        <f aca="false">(u_hp29)*um29_B*1</f>
        <v>0</v>
      </c>
    </row>
    <row r="807" customFormat="false" ht="17.15" hidden="false" customHeight="false" outlineLevel="0" collapsed="false">
      <c r="A807" s="0" t="s">
        <v>578</v>
      </c>
      <c r="B807" s="4" t="s">
        <v>33</v>
      </c>
      <c r="D807" s="19" t="n">
        <f aca="false">(u_rb26)*1</f>
        <v>1.7</v>
      </c>
      <c r="E807" s="19" t="n">
        <f aca="false">(u_rb27)*1*1</f>
        <v>7</v>
      </c>
      <c r="F807" s="19" t="n">
        <f aca="false">(u_rb28)*um28_B*1</f>
        <v>5.6</v>
      </c>
      <c r="G807" s="19" t="n">
        <f aca="false">(u_rb29)*um29_B*1</f>
        <v>6.8425</v>
      </c>
    </row>
    <row r="808" customFormat="false" ht="17.15" hidden="false" customHeight="false" outlineLevel="0" collapsed="false">
      <c r="A808" s="0" t="s">
        <v>579</v>
      </c>
      <c r="B808" s="4" t="s">
        <v>33</v>
      </c>
      <c r="D808" s="19" t="n">
        <f aca="false">(u_ru26)*1</f>
        <v>0</v>
      </c>
      <c r="E808" s="19" t="n">
        <f aca="false">(u_ru27)*1*1</f>
        <v>0.3</v>
      </c>
      <c r="F808" s="19" t="n">
        <f aca="false">(u_ru28)*um28_B*1</f>
        <v>1.6</v>
      </c>
      <c r="G808" s="19" t="n">
        <f aca="false">(u_ru29)*um29_B*1</f>
        <v>1.955</v>
      </c>
    </row>
    <row r="809" customFormat="false" ht="17.15" hidden="false" customHeight="false" outlineLevel="0" collapsed="false">
      <c r="A809" s="0" t="s">
        <v>580</v>
      </c>
      <c r="B809" s="4" t="s">
        <v>33</v>
      </c>
      <c r="D809" s="19" t="n">
        <f aca="false">(u_amd26)*1</f>
        <v>0.75</v>
      </c>
      <c r="E809" s="19" t="n">
        <f aca="false">(u_amd27)*1*1</f>
        <v>1.5</v>
      </c>
      <c r="F809" s="19" t="n">
        <f aca="false">(u_amd28)*um28_B*1</f>
        <v>1.6</v>
      </c>
      <c r="G809" s="19" t="n">
        <f aca="false">(u_amd29)*um29_B*1</f>
        <v>1.955</v>
      </c>
    </row>
    <row r="810" customFormat="false" ht="17.15" hidden="false" customHeight="false" outlineLevel="0" collapsed="false">
      <c r="A810" s="0" t="s">
        <v>581</v>
      </c>
      <c r="B810" s="4" t="s">
        <v>33</v>
      </c>
      <c r="D810" s="19" t="n">
        <f aca="false">(u_tpu26+u_trn26+u_oth26)*1</f>
        <v>6.85</v>
      </c>
      <c r="E810" s="19" t="n">
        <f aca="false">(u_tpu27+u_trn27+u_oth27)*1*1</f>
        <v>12.5</v>
      </c>
      <c r="F810" s="19" t="n">
        <f aca="false">(u_tpu28+u_trn28+u_oth28)*um28_B*1</f>
        <v>12</v>
      </c>
      <c r="G810" s="19" t="n">
        <f aca="false">(u_tpu29+u_trn29+u_oth29)*um29_B*1</f>
        <v>14.6625</v>
      </c>
    </row>
    <row r="811" customFormat="false" ht="17.15" hidden="false" customHeight="false" outlineLevel="0" collapsed="false">
      <c r="A811" s="0" t="s">
        <v>527</v>
      </c>
      <c r="B811" s="0" t="s">
        <v>136</v>
      </c>
      <c r="D811" s="22" t="n">
        <f aca="false">asp_vr_26</f>
        <v>100</v>
      </c>
      <c r="E811" s="22" t="n">
        <f aca="false">asp_vr_27</f>
        <v>150</v>
      </c>
      <c r="F811" s="22" t="n">
        <f aca="false">asp_vr_28</f>
        <v>180</v>
      </c>
      <c r="G811" s="22" t="n">
        <f aca="false">asp_vr_29</f>
        <v>180</v>
      </c>
    </row>
    <row r="812" customFormat="false" ht="17.15" hidden="false" customHeight="false" outlineLevel="0" collapsed="false">
      <c r="A812" s="0" t="s">
        <v>582</v>
      </c>
      <c r="B812" s="0" t="s">
        <v>136</v>
      </c>
      <c r="D812" s="22" t="n">
        <f aca="false">asp_amd_26</f>
        <v>40</v>
      </c>
      <c r="E812" s="22" t="n">
        <f aca="false">asp_amd_27</f>
        <v>60</v>
      </c>
      <c r="F812" s="22" t="n">
        <f aca="false">asp_amd_28</f>
        <v>80</v>
      </c>
      <c r="G812" s="22" t="n">
        <f aca="false">asp_amd_29</f>
        <v>80</v>
      </c>
    </row>
    <row r="813" customFormat="false" ht="17.15" hidden="false" customHeight="false" outlineLevel="0" collapsed="false">
      <c r="A813" s="0" t="s">
        <v>583</v>
      </c>
      <c r="B813" s="0" t="s">
        <v>136</v>
      </c>
      <c r="D813" s="22" t="n">
        <f aca="false">asp_asic_26</f>
        <v>30</v>
      </c>
      <c r="E813" s="22" t="n">
        <f aca="false">asp_asic_27</f>
        <v>35</v>
      </c>
      <c r="F813" s="22" t="n">
        <f aca="false">asp_asic_28</f>
        <v>40</v>
      </c>
      <c r="G813" s="22" t="n">
        <f aca="false">asp_asic_29</f>
        <v>40</v>
      </c>
    </row>
    <row r="814" customFormat="false" ht="17.15" hidden="false" customHeight="false" outlineLevel="0" collapsed="false">
      <c r="A814" s="0" t="s">
        <v>584</v>
      </c>
      <c r="B814" s="0" t="s">
        <v>205</v>
      </c>
      <c r="D814" s="17" t="n">
        <f aca="false">(D805*asp_bw+D806*asp_hp+D807*D811+D808*asp_ru)/1000</f>
        <v>0.3665</v>
      </c>
      <c r="E814" s="17" t="n">
        <f aca="false">(E805*asp_bw+E806*asp_hp+E807*E811+E808*asp_ru)/1000</f>
        <v>1.194</v>
      </c>
      <c r="F814" s="17" t="n">
        <f aca="false">(F805*asp_bw+F806*asp_hp+F807*F811+F808*asp_ru)/1000</f>
        <v>1.342</v>
      </c>
      <c r="G814" s="17" t="n">
        <f aca="false">(G805*asp_bw+G806*asp_hp+G807*G811+G808*asp_ru)/1000</f>
        <v>1.6300875</v>
      </c>
      <c r="K814" s="4" t="s">
        <v>585</v>
      </c>
    </row>
    <row r="815" customFormat="false" ht="17.15" hidden="false" customHeight="false" outlineLevel="0" collapsed="false">
      <c r="A815" s="4" t="s">
        <v>586</v>
      </c>
      <c r="B815" s="0" t="s">
        <v>205</v>
      </c>
      <c r="D815" s="17" t="n">
        <f aca="false">(D809*D812+D810*D813)/1000</f>
        <v>0.2355</v>
      </c>
      <c r="E815" s="17" t="n">
        <f aca="false">(E809*E812+E810*E813)/1000</f>
        <v>0.5275</v>
      </c>
      <c r="F815" s="17" t="n">
        <f aca="false">(F809*F812+F810*F813)/1000</f>
        <v>0.608</v>
      </c>
      <c r="G815" s="17" t="n">
        <f aca="false">(G809*G812+G810*G813)/1000</f>
        <v>0.7429</v>
      </c>
    </row>
    <row r="816" customFormat="false" ht="17.15" hidden="false" customHeight="false" outlineLevel="0" collapsed="false">
      <c r="A816" s="0" t="s">
        <v>587</v>
      </c>
      <c r="B816" s="0" t="s">
        <v>205</v>
      </c>
      <c r="D816" s="17" t="n">
        <f aca="false">D814+D815</f>
        <v>0.602</v>
      </c>
      <c r="E816" s="17" t="n">
        <f aca="false">E814+E815</f>
        <v>1.7215</v>
      </c>
      <c r="F816" s="17" t="n">
        <f aca="false">F814+F815</f>
        <v>1.95</v>
      </c>
      <c r="G816" s="17" t="n">
        <f aca="false">G814+G815</f>
        <v>2.3729875</v>
      </c>
    </row>
    <row r="817" customFormat="false" ht="17.15" hidden="false" customHeight="false" outlineLevel="0" collapsed="false">
      <c r="A817" s="4" t="s">
        <v>588</v>
      </c>
      <c r="B817" s="0" t="s">
        <v>196</v>
      </c>
      <c r="D817" s="18" t="n">
        <f aca="false">a26_rev*ai_26/fx/(D814+k_non*D815)</f>
        <v>0.882225417842414</v>
      </c>
      <c r="K817" s="8" t="s">
        <v>589</v>
      </c>
    </row>
    <row r="818" customFormat="false" ht="17.15" hidden="false" customHeight="false" outlineLevel="0" collapsed="false">
      <c r="A818" s="4" t="s">
        <v>590</v>
      </c>
      <c r="B818" s="0" t="s">
        <v>109</v>
      </c>
      <c r="D818" s="19" t="n">
        <f aca="false">1</f>
        <v>1</v>
      </c>
      <c r="E818" s="19" t="n">
        <f aca="false">rel_27</f>
        <v>0.97</v>
      </c>
      <c r="F818" s="19" t="n">
        <f aca="false">rel_28</f>
        <v>0.93</v>
      </c>
      <c r="G818" s="19" t="n">
        <f aca="false">rel_29</f>
        <v>0.9</v>
      </c>
    </row>
    <row r="819" customFormat="false" ht="17.15" hidden="false" customHeight="false" outlineLevel="0" collapsed="false">
      <c r="A819" s="4" t="s">
        <v>591</v>
      </c>
      <c r="B819" s="0" t="s">
        <v>196</v>
      </c>
      <c r="D819" s="18" t="n">
        <f aca="false">$D$817*D818</f>
        <v>0.882225417842414</v>
      </c>
      <c r="E819" s="18" t="n">
        <f aca="false">$D$817*E818</f>
        <v>0.855758655307142</v>
      </c>
      <c r="F819" s="18" t="n">
        <f aca="false">$D$817*F818</f>
        <v>0.820469638593445</v>
      </c>
      <c r="G819" s="18" t="n">
        <f aca="false">$D$817*G818</f>
        <v>0.794002876058173</v>
      </c>
    </row>
    <row r="820" customFormat="false" ht="17.15" hidden="false" customHeight="false" outlineLevel="0" collapsed="false">
      <c r="A820" s="4" t="s">
        <v>592</v>
      </c>
      <c r="B820" s="0" t="s">
        <v>196</v>
      </c>
      <c r="D820" s="18" t="n">
        <f aca="false">D819*k_non</f>
        <v>0.352890167136966</v>
      </c>
      <c r="E820" s="18" t="n">
        <f aca="false">E819*k_non</f>
        <v>0.342303462122857</v>
      </c>
      <c r="F820" s="18" t="n">
        <f aca="false">F819*k_non</f>
        <v>0.328187855437378</v>
      </c>
      <c r="G820" s="18" t="n">
        <f aca="false">G819*k_non</f>
        <v>0.317601150423269</v>
      </c>
    </row>
    <row r="821" customFormat="false" ht="17.15" hidden="false" customHeight="false" outlineLevel="0" collapsed="false">
      <c r="A821" s="0" t="s">
        <v>593</v>
      </c>
      <c r="B821" s="0" t="s">
        <v>301</v>
      </c>
      <c r="C821" s="24" t="n">
        <f aca="false">a25_ail</f>
        <v>6.0828</v>
      </c>
      <c r="D821" s="24" t="n">
        <f aca="false">(D814*D819+D815*D820)*fx</f>
        <v>13.00612</v>
      </c>
      <c r="E821" s="24" t="n">
        <f aca="false">(E814*E819+E815*E820)*fx</f>
        <v>38.4749091426091</v>
      </c>
      <c r="F821" s="24" t="n">
        <f aca="false">(F814*F819+F815*F820)*fx</f>
        <v>41.6194710751465</v>
      </c>
      <c r="G821" s="24" t="n">
        <f aca="false">(G814*G819+G815*G820)*fx</f>
        <v>48.9676818520295</v>
      </c>
    </row>
    <row r="822" customFormat="false" ht="17.15" hidden="false" customHeight="false" outlineLevel="0" collapsed="false">
      <c r="A822" s="6" t="s">
        <v>594</v>
      </c>
    </row>
    <row r="823" customFormat="false" ht="17.15" hidden="false" customHeight="false" outlineLevel="0" collapsed="false">
      <c r="A823" s="0" t="s">
        <v>595</v>
      </c>
      <c r="B823" s="0" t="s">
        <v>205</v>
      </c>
      <c r="D823" s="24" t="n">
        <f aca="false">lmkB_26</f>
        <v>4.51368758595869</v>
      </c>
      <c r="E823" s="24" t="n">
        <f aca="false">lmkB_27*1</f>
        <v>10.2011004204398</v>
      </c>
      <c r="F823" s="24" t="n">
        <f aca="false">lmkB_28*1</f>
        <v>12.6260448229601</v>
      </c>
      <c r="G823" s="24" t="n">
        <f aca="false">lmkB_29*1</f>
        <v>16.1809438578051</v>
      </c>
      <c r="K823" s="4" t="s">
        <v>596</v>
      </c>
    </row>
    <row r="824" customFormat="false" ht="15" hidden="false" customHeight="false" outlineLevel="0" collapsed="false">
      <c r="A824" s="4" t="s">
        <v>542</v>
      </c>
      <c r="B824" s="0" t="s">
        <v>196</v>
      </c>
      <c r="D824" s="18" t="n">
        <f aca="false">0</f>
        <v>0</v>
      </c>
      <c r="E824" s="18" t="n">
        <f aca="false">lcs_27</f>
        <v>0.008</v>
      </c>
      <c r="F824" s="18" t="n">
        <f aca="false">lcs_28</f>
        <v>0.015</v>
      </c>
      <c r="G824" s="18" t="n">
        <f aca="false">lcs_29</f>
        <v>0.025</v>
      </c>
    </row>
    <row r="825" customFormat="false" ht="17.15" hidden="false" customHeight="false" outlineLevel="0" collapsed="false">
      <c r="A825" s="4" t="s">
        <v>597</v>
      </c>
      <c r="B825" s="0" t="s">
        <v>301</v>
      </c>
      <c r="C825" s="24" t="n">
        <f aca="false">0</f>
        <v>0</v>
      </c>
      <c r="D825" s="24" t="n">
        <f aca="false">D823*D824*fx</f>
        <v>0</v>
      </c>
      <c r="E825" s="24" t="n">
        <f aca="false">E823*E824*fx</f>
        <v>2.61148170763259</v>
      </c>
      <c r="F825" s="24" t="n">
        <f aca="false">F823*F824*fx</f>
        <v>6.06050151502085</v>
      </c>
      <c r="G825" s="24" t="n">
        <f aca="false">G823*G824*fx</f>
        <v>12.9447550862441</v>
      </c>
    </row>
    <row r="826" customFormat="false" ht="17.15" hidden="false" customHeight="false" outlineLevel="0" collapsed="false">
      <c r="A826" s="6" t="s">
        <v>598</v>
      </c>
    </row>
    <row r="827" customFormat="false" ht="17.15" hidden="false" customHeight="false" outlineLevel="0" collapsed="false">
      <c r="A827" s="4" t="s">
        <v>599</v>
      </c>
      <c r="B827" s="0" t="s">
        <v>301</v>
      </c>
      <c r="C827" s="24" t="n">
        <f aca="false">a25_oth</f>
        <v>8.637576</v>
      </c>
      <c r="D827" s="24" t="n">
        <f aca="false">a26_rev*(th_26-ai_26)</f>
        <v>11.380355</v>
      </c>
      <c r="E827" s="24" t="n">
        <f aca="false">D827*(1+GOLO_27)</f>
        <v>11.94937275</v>
      </c>
      <c r="F827" s="24" t="n">
        <f aca="false">E827*(1+GOLO_28)</f>
        <v>12.3078539325</v>
      </c>
      <c r="G827" s="24" t="n">
        <f aca="false">F827*(1+GOLO_29)</f>
        <v>12.55401101115</v>
      </c>
    </row>
    <row r="828" customFormat="false" ht="15" hidden="false" customHeight="false" outlineLevel="0" collapsed="false">
      <c r="A828" s="4" t="s">
        <v>600</v>
      </c>
      <c r="B828" s="0" t="s">
        <v>301</v>
      </c>
      <c r="C828" s="24" t="n">
        <f aca="false">a25_lf</f>
        <v>5.555624</v>
      </c>
      <c r="D828" s="24" t="n">
        <f aca="false">a26_lf</f>
        <v>8.128825</v>
      </c>
      <c r="E828" s="24" t="n">
        <f aca="false">D828*(1+g_lf_27)</f>
        <v>8.37268975</v>
      </c>
      <c r="F828" s="24" t="n">
        <f aca="false">E828*(1+g_lf_28)</f>
        <v>8.6238704425</v>
      </c>
      <c r="G828" s="24" t="n">
        <f aca="false">F828*(1+g_lf_29)</f>
        <v>8.882586555775</v>
      </c>
    </row>
    <row r="829" customFormat="false" ht="17.15" hidden="false" customHeight="false" outlineLevel="0" collapsed="false">
      <c r="A829" s="4" t="s">
        <v>475</v>
      </c>
      <c r="B829" s="0" t="s">
        <v>301</v>
      </c>
      <c r="C829" s="24" t="n">
        <f aca="false">C821+C825+C827+C828</f>
        <v>20.276</v>
      </c>
      <c r="D829" s="24" t="n">
        <f aca="false">D821+D825+D827+D828</f>
        <v>32.5153</v>
      </c>
      <c r="E829" s="24" t="n">
        <f aca="false">E821+E825+E827+E828</f>
        <v>61.4084533502417</v>
      </c>
      <c r="F829" s="24" t="n">
        <f aca="false">F821+F825+F827+F828</f>
        <v>68.6116969651674</v>
      </c>
      <c r="G829" s="24" t="n">
        <f aca="false">G821+G825+G827+G828</f>
        <v>83.3490345051986</v>
      </c>
      <c r="H829" s="25" t="n">
        <f aca="false">G829*(1+H830)</f>
        <v>96.3955682449358</v>
      </c>
      <c r="I829" s="25" t="n">
        <f aca="false">H829*(1+I830)</f>
        <v>105.867826349629</v>
      </c>
      <c r="J829" s="25" t="n">
        <f aca="false">I829*(1+J830)</f>
        <v>110.102539403615</v>
      </c>
      <c r="K829" s="8" t="s">
        <v>601</v>
      </c>
    </row>
    <row r="830" customFormat="false" ht="15" hidden="false" customHeight="false" outlineLevel="0" collapsed="false">
      <c r="A830" s="4" t="s">
        <v>602</v>
      </c>
      <c r="B830" s="0" t="s">
        <v>196</v>
      </c>
      <c r="D830" s="18" t="n">
        <f aca="false">D829/C829-1</f>
        <v>0.603634839218781</v>
      </c>
      <c r="E830" s="18" t="n">
        <f aca="false">E829/D829-1</f>
        <v>0.888601776709477</v>
      </c>
      <c r="F830" s="18" t="n">
        <f aca="false">F829/E829-1</f>
        <v>0.117300521702479</v>
      </c>
      <c r="G830" s="18" t="n">
        <f aca="false">G829/F829-1</f>
        <v>0.214793368942807</v>
      </c>
      <c r="H830" s="26" t="n">
        <f aca="false">$G830+(fade_gB-$G830)*1/3</f>
        <v>0.156528912628538</v>
      </c>
      <c r="I830" s="26" t="n">
        <f aca="false">$G830+(fade_gB-$G830)*2/3</f>
        <v>0.0982644563142689</v>
      </c>
      <c r="J830" s="26" t="n">
        <f aca="false">$G830+(fade_gB-$G830)*3/3</f>
        <v>0.04</v>
      </c>
    </row>
    <row r="831" customFormat="false" ht="17.15" hidden="false" customHeight="false" outlineLevel="0" collapsed="false">
      <c r="A831" s="0" t="s">
        <v>603</v>
      </c>
      <c r="B831" s="0" t="s">
        <v>196</v>
      </c>
      <c r="C831" s="18" t="n">
        <f aca="false">C821/C829</f>
        <v>0.3</v>
      </c>
      <c r="D831" s="18" t="n">
        <f aca="false">D821/D829</f>
        <v>0.4</v>
      </c>
      <c r="E831" s="18" t="n">
        <f aca="false">E821/E829</f>
        <v>0.626540924637335</v>
      </c>
      <c r="F831" s="18" t="n">
        <f aca="false">F821/F829</f>
        <v>0.606594398857032</v>
      </c>
      <c r="G831" s="18" t="n">
        <f aca="false">G821/G829</f>
        <v>0.587501488682216</v>
      </c>
    </row>
    <row r="832" customFormat="false" ht="17.15" hidden="false" customHeight="false" outlineLevel="0" collapsed="false">
      <c r="A832" s="4" t="s">
        <v>604</v>
      </c>
      <c r="B832" s="0" t="s">
        <v>136</v>
      </c>
      <c r="D832" s="24" t="n">
        <f aca="false">D821/fx*1000/(D805+D806+D807+D808+D809+D810)</f>
        <v>26.7395559210526</v>
      </c>
      <c r="E832" s="24" t="n">
        <f aca="false">E821/fx*1000/(E805+E806+E807+E808+E809+E810)</f>
        <v>50.7316839960563</v>
      </c>
      <c r="F832" s="24" t="n">
        <f aca="false">F821/fx*1000/(F805+F806+F807+F808+F809+F810)</f>
        <v>61.3494561838834</v>
      </c>
      <c r="G832" s="24" t="n">
        <f aca="false">G821/fx*1000/(G805+G806+G807+G808+G809+G810)</f>
        <v>59.7108597356716</v>
      </c>
    </row>
    <row r="833" customFormat="false" ht="17.15" hidden="false" customHeight="false" outlineLevel="0" collapsed="false">
      <c r="A833" s="6" t="s">
        <v>605</v>
      </c>
    </row>
    <row r="834" customFormat="false" ht="17.15" hidden="false" customHeight="false" outlineLevel="0" collapsed="false">
      <c r="A834" s="4" t="s">
        <v>606</v>
      </c>
      <c r="B834" s="0" t="s">
        <v>196</v>
      </c>
      <c r="D834" s="18" t="n">
        <f aca="false">a26_gp/D829-d_ai*D831</f>
        <v>0.425324773260588</v>
      </c>
      <c r="K834" s="8" t="s">
        <v>607</v>
      </c>
    </row>
    <row r="835" customFormat="false" ht="15" hidden="false" customHeight="false" outlineLevel="0" collapsed="false">
      <c r="A835" s="4" t="s">
        <v>479</v>
      </c>
      <c r="B835" s="0" t="s">
        <v>301</v>
      </c>
      <c r="C835" s="24" t="n">
        <f aca="false">a25_gp</f>
        <v>8.434</v>
      </c>
      <c r="D835" s="24" t="n">
        <f aca="false">a26_gp</f>
        <v>15.390297</v>
      </c>
      <c r="E835" s="24" t="n">
        <f aca="false">$D$834*E829+d_ai*E821</f>
        <v>30.735525594588</v>
      </c>
      <c r="F835" s="24" t="n">
        <f aca="false">$D$834*F829+d_ai*F821</f>
        <v>34.1765909837516</v>
      </c>
      <c r="G835" s="24" t="n">
        <f aca="false">$D$834*G829+d_ai*G821</f>
        <v>41.3265310246561</v>
      </c>
    </row>
    <row r="836" customFormat="false" ht="15" hidden="false" customHeight="false" outlineLevel="0" collapsed="false">
      <c r="A836" s="4" t="s">
        <v>482</v>
      </c>
      <c r="B836" s="0" t="s">
        <v>196</v>
      </c>
      <c r="C836" s="18" t="n">
        <f aca="false">C835/C829</f>
        <v>0.415959755375814</v>
      </c>
      <c r="D836" s="18" t="n">
        <f aca="false">D835/D829</f>
        <v>0.473324773260588</v>
      </c>
      <c r="E836" s="18" t="n">
        <f aca="false">E835/E829</f>
        <v>0.500509684217068</v>
      </c>
      <c r="F836" s="18" t="n">
        <f aca="false">F835/F829</f>
        <v>0.498116101123432</v>
      </c>
      <c r="G836" s="18" t="n">
        <f aca="false">G835/G829</f>
        <v>0.495824951902454</v>
      </c>
    </row>
    <row r="837" customFormat="false" ht="15" hidden="false" customHeight="false" outlineLevel="0" collapsed="false">
      <c r="A837" s="4" t="s">
        <v>608</v>
      </c>
      <c r="B837" s="0" t="s">
        <v>301</v>
      </c>
      <c r="C837" s="24" t="n">
        <f aca="false">a25_opx</f>
        <v>1.936</v>
      </c>
      <c r="D837" s="24" t="n">
        <f aca="false">a26_opx</f>
        <v>2.8705005</v>
      </c>
      <c r="E837" s="24" t="n">
        <f aca="false">D837*(1+MAX(0,phi*E830))</f>
        <v>4.40093960660727</v>
      </c>
      <c r="F837" s="24" t="n">
        <f aca="false">E837*(1+MAX(0,phi*F830))</f>
        <v>4.71067911370895</v>
      </c>
      <c r="G837" s="24" t="n">
        <f aca="false">F837*(1+MAX(0,phi*G830))</f>
        <v>5.31777269581418</v>
      </c>
    </row>
    <row r="838" customFormat="false" ht="15" hidden="false" customHeight="false" outlineLevel="0" collapsed="false">
      <c r="A838" s="4" t="s">
        <v>484</v>
      </c>
      <c r="B838" s="0" t="s">
        <v>301</v>
      </c>
      <c r="C838" s="24" t="n">
        <f aca="false">C837</f>
        <v>1.936</v>
      </c>
      <c r="D838" s="24" t="n">
        <f aca="false">D837</f>
        <v>2.8705005</v>
      </c>
      <c r="E838" s="24" t="n">
        <f aca="false">E837+0*E829</f>
        <v>4.40093960660727</v>
      </c>
      <c r="F838" s="24" t="n">
        <f aca="false">F837+0*F829</f>
        <v>4.71067911370895</v>
      </c>
      <c r="G838" s="24" t="n">
        <f aca="false">G837+0*G829</f>
        <v>5.31777269581418</v>
      </c>
    </row>
    <row r="839" customFormat="false" ht="15" hidden="false" customHeight="false" outlineLevel="0" collapsed="false">
      <c r="A839" s="4" t="s">
        <v>486</v>
      </c>
      <c r="B839" s="0" t="s">
        <v>301</v>
      </c>
      <c r="C839" s="24" t="n">
        <f aca="false">C835-C838</f>
        <v>6.498</v>
      </c>
      <c r="D839" s="24" t="n">
        <f aca="false">D835-D838</f>
        <v>12.5197965</v>
      </c>
      <c r="E839" s="24" t="n">
        <f aca="false">E835-E838</f>
        <v>26.3345859879808</v>
      </c>
      <c r="F839" s="24" t="n">
        <f aca="false">F835-F838</f>
        <v>29.4659118700426</v>
      </c>
      <c r="G839" s="24" t="n">
        <f aca="false">G835-G838</f>
        <v>36.0087583288419</v>
      </c>
    </row>
    <row r="840" customFormat="false" ht="15" hidden="false" customHeight="false" outlineLevel="0" collapsed="false">
      <c r="A840" s="4" t="s">
        <v>488</v>
      </c>
      <c r="B840" s="0" t="s">
        <v>196</v>
      </c>
      <c r="C840" s="18" t="n">
        <f aca="false">C839/C829</f>
        <v>0.320477411718288</v>
      </c>
      <c r="D840" s="18" t="n">
        <f aca="false">D839/D829</f>
        <v>0.385043241181844</v>
      </c>
      <c r="E840" s="18" t="n">
        <f aca="false">E839/E829</f>
        <v>0.428843010225027</v>
      </c>
      <c r="F840" s="18" t="n">
        <f aca="false">F839/F829</f>
        <v>0.429459016077125</v>
      </c>
      <c r="G840" s="18" t="n">
        <f aca="false">G839/G829</f>
        <v>0.432023700605626</v>
      </c>
    </row>
    <row r="841" customFormat="false" ht="15" hidden="false" customHeight="false" outlineLevel="0" collapsed="false">
      <c r="A841" s="4" t="s">
        <v>489</v>
      </c>
      <c r="B841" s="0" t="s">
        <v>301</v>
      </c>
      <c r="C841" s="29" t="n">
        <f aca="false">a25_nop</f>
        <v>0.108999999999999</v>
      </c>
      <c r="D841" s="29" t="n">
        <f aca="false">a26_nop</f>
        <v>0.330500000000001</v>
      </c>
      <c r="E841" s="29" t="n">
        <f aca="false">nop_f</f>
        <v>0.3</v>
      </c>
      <c r="F841" s="29" t="n">
        <f aca="false">nop_f</f>
        <v>0.3</v>
      </c>
      <c r="G841" s="29" t="n">
        <f aca="false">nop_f</f>
        <v>0.3</v>
      </c>
    </row>
    <row r="842" customFormat="false" ht="15" hidden="false" customHeight="false" outlineLevel="0" collapsed="false">
      <c r="A842" s="4" t="s">
        <v>494</v>
      </c>
      <c r="B842" s="0" t="s">
        <v>301</v>
      </c>
      <c r="C842" s="24" t="n">
        <f aca="false">a25_ni</f>
        <v>5.277</v>
      </c>
      <c r="D842" s="24" t="n">
        <f aca="false">a26_ni</f>
        <v>10.3442061825</v>
      </c>
      <c r="E842" s="24" t="n">
        <f aca="false">(E839+E841)*nir_f</f>
        <v>21.4408417203245</v>
      </c>
      <c r="F842" s="24" t="n">
        <f aca="false">(F839+F841)*nir_f</f>
        <v>23.9615590553843</v>
      </c>
      <c r="G842" s="24" t="n">
        <f aca="false">(G839+G841)*nir_f</f>
        <v>29.2285504547177</v>
      </c>
      <c r="H842" s="25" t="n">
        <f aca="false">H829*H846</f>
        <v>32.3438880209333</v>
      </c>
      <c r="I842" s="25" t="n">
        <f aca="false">I829*I846</f>
        <v>33.9189228772323</v>
      </c>
      <c r="J842" s="25" t="n">
        <f aca="false">J829*J846</f>
        <v>33.6083312885473</v>
      </c>
    </row>
    <row r="843" customFormat="false" ht="15" hidden="false" customHeight="false" outlineLevel="0" collapsed="false">
      <c r="A843" s="4" t="s">
        <v>609</v>
      </c>
      <c r="B843" s="4" t="s">
        <v>327</v>
      </c>
      <c r="C843" s="28" t="n">
        <f aca="false">a25_sh</f>
        <v>0.143591836734694</v>
      </c>
      <c r="D843" s="28" t="n">
        <f aca="false">a26_sh</f>
        <v>0.146703513620213</v>
      </c>
      <c r="E843" s="28" t="n">
        <f aca="false">D843*(1+sh_g)</f>
        <v>0.146703513620213</v>
      </c>
      <c r="F843" s="28" t="n">
        <f aca="false">E843*(1+sh_g)</f>
        <v>0.146703513620213</v>
      </c>
      <c r="G843" s="28" t="n">
        <f aca="false">F843*(1+sh_g)</f>
        <v>0.146703513620213</v>
      </c>
      <c r="H843" s="30" t="n">
        <f aca="false">G843*(1+sh_g)</f>
        <v>0.146703513620213</v>
      </c>
      <c r="I843" s="30" t="n">
        <f aca="false">H843*(1+sh_g)</f>
        <v>0.146703513620213</v>
      </c>
      <c r="J843" s="30" t="n">
        <f aca="false">I843*(1+sh_g)</f>
        <v>0.146703513620213</v>
      </c>
    </row>
    <row r="844" customFormat="false" ht="15" hidden="false" customHeight="false" outlineLevel="0" collapsed="false">
      <c r="A844" s="0" t="s">
        <v>500</v>
      </c>
      <c r="B844" s="0" t="s">
        <v>360</v>
      </c>
      <c r="C844" s="29" t="n">
        <f aca="false">C842/C843</f>
        <v>36.75</v>
      </c>
      <c r="D844" s="29" t="n">
        <f aca="false">D842/D843</f>
        <v>70.5109641019174</v>
      </c>
      <c r="E844" s="29" t="n">
        <f aca="false">E842/E843</f>
        <v>146.150839821265</v>
      </c>
      <c r="F844" s="29" t="n">
        <f aca="false">F842/F843</f>
        <v>163.333232204759</v>
      </c>
      <c r="G844" s="29" t="n">
        <f aca="false">G842/G843</f>
        <v>199.235517496771</v>
      </c>
      <c r="H844" s="31" t="n">
        <f aca="false">H842/H843</f>
        <v>220.47112044409</v>
      </c>
      <c r="I844" s="31" t="n">
        <f aca="false">I842/I843</f>
        <v>231.207297222899</v>
      </c>
      <c r="J844" s="31" t="n">
        <f aca="false">J842/J843</f>
        <v>229.090159187003</v>
      </c>
    </row>
    <row r="845" customFormat="false" ht="17.15" hidden="false" customHeight="false" outlineLevel="0" collapsed="false">
      <c r="A845" s="0" t="s">
        <v>610</v>
      </c>
      <c r="B845" s="0" t="s">
        <v>196</v>
      </c>
      <c r="D845" s="18" t="n">
        <f aca="false">D844/C844-1</f>
        <v>0.918665689848092</v>
      </c>
      <c r="E845" s="18" t="n">
        <f aca="false">E844/D844-1</f>
        <v>1.07273920705462</v>
      </c>
      <c r="F845" s="18" t="n">
        <f aca="false">F844/E844-1</f>
        <v>0.117566155654716</v>
      </c>
      <c r="G845" s="18" t="n">
        <f aca="false">G844/F844-1</f>
        <v>0.219810046047479</v>
      </c>
      <c r="H845" s="26" t="n">
        <f aca="false">H844/G844-1</f>
        <v>0.106585428211432</v>
      </c>
      <c r="I845" s="26" t="n">
        <f aca="false">I844/H844-1</f>
        <v>0.0486965220532438</v>
      </c>
      <c r="J845" s="26" t="n">
        <f aca="false">J844/I844-1</f>
        <v>-0.00915688242250989</v>
      </c>
    </row>
    <row r="846" customFormat="false" ht="17.15" hidden="false" customHeight="false" outlineLevel="0" collapsed="false">
      <c r="A846" s="4" t="s">
        <v>611</v>
      </c>
      <c r="B846" s="0" t="s">
        <v>196</v>
      </c>
      <c r="C846" s="18" t="n">
        <f aca="false">C842/C829</f>
        <v>0.260258433616098</v>
      </c>
      <c r="D846" s="18" t="n">
        <f aca="false">D842/D829</f>
        <v>0.318133499690915</v>
      </c>
      <c r="E846" s="18" t="n">
        <f aca="false">E842/E829</f>
        <v>0.34915130654793</v>
      </c>
      <c r="F846" s="18" t="n">
        <f aca="false">F842/F829</f>
        <v>0.349234315943957</v>
      </c>
      <c r="G846" s="18" t="n">
        <f aca="false">G842/G829</f>
        <v>0.350676533066435</v>
      </c>
      <c r="H846" s="26" t="n">
        <f aca="false">$G846+(fade_mB-$G846)*1/3</f>
        <v>0.335532935899597</v>
      </c>
      <c r="I846" s="26" t="n">
        <f aca="false">$G846+(fade_mB-$G846)*2/3</f>
        <v>0.320389338732759</v>
      </c>
      <c r="J846" s="26" t="n">
        <f aca="false">$G846+(fade_mB-$G846)*3/3</f>
        <v>0.30524574156592</v>
      </c>
    </row>
    <row r="849" customFormat="false" ht="17.15" hidden="false" customHeight="false" outlineLevel="0" collapsed="false">
      <c r="A849" s="1" t="s">
        <v>919</v>
      </c>
    </row>
    <row r="850" customFormat="false" ht="17.15" hidden="false" customHeight="false" outlineLevel="0" collapsed="false">
      <c r="A850" s="5" t="s">
        <v>22</v>
      </c>
      <c r="B850" s="5" t="s">
        <v>23</v>
      </c>
      <c r="C850" s="15" t="s">
        <v>470</v>
      </c>
      <c r="D850" s="15" t="s">
        <v>553</v>
      </c>
      <c r="E850" s="15" t="s">
        <v>554</v>
      </c>
      <c r="F850" s="15" t="s">
        <v>555</v>
      </c>
      <c r="G850" s="15" t="s">
        <v>556</v>
      </c>
      <c r="H850" s="15" t="s">
        <v>557</v>
      </c>
      <c r="I850" s="15" t="s">
        <v>558</v>
      </c>
      <c r="J850" s="15" t="s">
        <v>559</v>
      </c>
      <c r="K850" s="5" t="s">
        <v>523</v>
      </c>
    </row>
    <row r="851" customFormat="false" ht="17.15" hidden="false" customHeight="false" outlineLevel="0" collapsed="false">
      <c r="A851" s="6" t="s">
        <v>575</v>
      </c>
    </row>
    <row r="852" customFormat="false" ht="17.15" hidden="false" customHeight="false" outlineLevel="0" collapsed="false">
      <c r="A852" s="0" t="s">
        <v>576</v>
      </c>
      <c r="B852" s="4" t="s">
        <v>33</v>
      </c>
      <c r="D852" s="19" t="n">
        <f aca="false">(u_bw26)*1</f>
        <v>5.4</v>
      </c>
      <c r="E852" s="19" t="n">
        <f aca="false">(u_bw27)*1*1</f>
        <v>2.4</v>
      </c>
      <c r="F852" s="19" t="n">
        <f aca="false">(u_bw28)*um28_B*1</f>
        <v>0.4</v>
      </c>
      <c r="G852" s="19" t="n">
        <f aca="false">(u_bw29)*um29_B*1</f>
        <v>0.2125</v>
      </c>
    </row>
    <row r="853" customFormat="false" ht="17.15" hidden="false" customHeight="false" outlineLevel="0" collapsed="false">
      <c r="A853" s="0" t="s">
        <v>577</v>
      </c>
      <c r="B853" s="4" t="s">
        <v>33</v>
      </c>
      <c r="D853" s="19" t="n">
        <f aca="false">(u_hp26)*1</f>
        <v>0.5</v>
      </c>
      <c r="E853" s="19" t="n">
        <f aca="false">(u_hp27)*1*1</f>
        <v>0</v>
      </c>
      <c r="F853" s="19" t="n">
        <f aca="false">(u_hp28)*um28_B*1</f>
        <v>0</v>
      </c>
      <c r="G853" s="19" t="n">
        <f aca="false">(u_hp29)*um29_B*1</f>
        <v>0</v>
      </c>
    </row>
    <row r="854" customFormat="false" ht="17.15" hidden="false" customHeight="false" outlineLevel="0" collapsed="false">
      <c r="A854" s="0" t="s">
        <v>578</v>
      </c>
      <c r="B854" s="4" t="s">
        <v>33</v>
      </c>
      <c r="D854" s="19" t="n">
        <f aca="false">(u_rb26)*1</f>
        <v>1.7</v>
      </c>
      <c r="E854" s="19" t="n">
        <f aca="false">(u_rb27)*1*1</f>
        <v>7</v>
      </c>
      <c r="F854" s="19" t="n">
        <f aca="false">(u_rb28)*um28_B*1</f>
        <v>5.6</v>
      </c>
      <c r="G854" s="19" t="n">
        <f aca="false">(u_rb29)*um29_B*1</f>
        <v>6.8425</v>
      </c>
    </row>
    <row r="855" customFormat="false" ht="17.15" hidden="false" customHeight="false" outlineLevel="0" collapsed="false">
      <c r="A855" s="0" t="s">
        <v>579</v>
      </c>
      <c r="B855" s="4" t="s">
        <v>33</v>
      </c>
      <c r="D855" s="19" t="n">
        <f aca="false">(u_ru26)*1</f>
        <v>0</v>
      </c>
      <c r="E855" s="19" t="n">
        <f aca="false">(u_ru27)*1*1</f>
        <v>0.3</v>
      </c>
      <c r="F855" s="19" t="n">
        <f aca="false">(u_ru28)*um28_B*1</f>
        <v>1.6</v>
      </c>
      <c r="G855" s="19" t="n">
        <f aca="false">(u_ru29)*um29_B*1</f>
        <v>1.955</v>
      </c>
    </row>
    <row r="856" customFormat="false" ht="17.15" hidden="false" customHeight="false" outlineLevel="0" collapsed="false">
      <c r="A856" s="0" t="s">
        <v>580</v>
      </c>
      <c r="B856" s="4" t="s">
        <v>33</v>
      </c>
      <c r="D856" s="19" t="n">
        <f aca="false">(u_amd26)*1</f>
        <v>0.75</v>
      </c>
      <c r="E856" s="19" t="n">
        <f aca="false">(u_amd27)*1*1</f>
        <v>1.5</v>
      </c>
      <c r="F856" s="19" t="n">
        <f aca="false">(u_amd28)*um28_B*1</f>
        <v>1.6</v>
      </c>
      <c r="G856" s="19" t="n">
        <f aca="false">(u_amd29)*um29_B*1</f>
        <v>1.955</v>
      </c>
    </row>
    <row r="857" customFormat="false" ht="17.15" hidden="false" customHeight="false" outlineLevel="0" collapsed="false">
      <c r="A857" s="0" t="s">
        <v>581</v>
      </c>
      <c r="B857" s="4" t="s">
        <v>33</v>
      </c>
      <c r="D857" s="19" t="n">
        <f aca="false">(u_tpu26+u_trn26+u_oth26)*1</f>
        <v>6.85</v>
      </c>
      <c r="E857" s="19" t="n">
        <f aca="false">(u_tpu27+u_trn27+u_oth27)*1*1</f>
        <v>12.5</v>
      </c>
      <c r="F857" s="19" t="n">
        <f aca="false">(u_tpu28+u_trn28+u_oth28)*um28_B*1</f>
        <v>12</v>
      </c>
      <c r="G857" s="19" t="n">
        <f aca="false">(u_tpu29+u_trn29+u_oth29)*um29_B*1</f>
        <v>14.6625</v>
      </c>
    </row>
    <row r="858" customFormat="false" ht="17.15" hidden="false" customHeight="false" outlineLevel="0" collapsed="false">
      <c r="A858" s="0" t="s">
        <v>527</v>
      </c>
      <c r="B858" s="0" t="s">
        <v>136</v>
      </c>
      <c r="D858" s="22" t="n">
        <f aca="false">asp_vr_26</f>
        <v>100</v>
      </c>
      <c r="E858" s="22" t="n">
        <f aca="false">asp_vr_27</f>
        <v>150</v>
      </c>
      <c r="F858" s="22" t="n">
        <f aca="false">asp_vr_28</f>
        <v>180</v>
      </c>
      <c r="G858" s="22" t="n">
        <f aca="false">asp_vr_29</f>
        <v>180</v>
      </c>
    </row>
    <row r="859" customFormat="false" ht="17.15" hidden="false" customHeight="false" outlineLevel="0" collapsed="false">
      <c r="A859" s="0" t="s">
        <v>582</v>
      </c>
      <c r="B859" s="0" t="s">
        <v>136</v>
      </c>
      <c r="D859" s="22" t="n">
        <f aca="false">asp_amd_26</f>
        <v>40</v>
      </c>
      <c r="E859" s="22" t="n">
        <f aca="false">asp_amd_27</f>
        <v>60</v>
      </c>
      <c r="F859" s="22" t="n">
        <f aca="false">asp_amd_28</f>
        <v>80</v>
      </c>
      <c r="G859" s="22" t="n">
        <f aca="false">asp_amd_29</f>
        <v>80</v>
      </c>
    </row>
    <row r="860" customFormat="false" ht="17.15" hidden="false" customHeight="false" outlineLevel="0" collapsed="false">
      <c r="A860" s="0" t="s">
        <v>583</v>
      </c>
      <c r="B860" s="0" t="s">
        <v>136</v>
      </c>
      <c r="D860" s="22" t="n">
        <f aca="false">asp_asic_26</f>
        <v>30</v>
      </c>
      <c r="E860" s="22" t="n">
        <f aca="false">asp_asic_27</f>
        <v>35</v>
      </c>
      <c r="F860" s="22" t="n">
        <f aca="false">asp_asic_28</f>
        <v>40</v>
      </c>
      <c r="G860" s="22" t="n">
        <f aca="false">asp_asic_29</f>
        <v>40</v>
      </c>
    </row>
    <row r="861" customFormat="false" ht="17.15" hidden="false" customHeight="false" outlineLevel="0" collapsed="false">
      <c r="A861" s="0" t="s">
        <v>584</v>
      </c>
      <c r="B861" s="0" t="s">
        <v>205</v>
      </c>
      <c r="D861" s="17" t="n">
        <f aca="false">(D852*asp_bw+D853*asp_hp+D854*D858+D855*asp_ru)/1000</f>
        <v>0.3665</v>
      </c>
      <c r="E861" s="17" t="n">
        <f aca="false">(E852*asp_bw+E853*asp_hp+E854*E858+E855*asp_ru)/1000</f>
        <v>1.194</v>
      </c>
      <c r="F861" s="17" t="n">
        <f aca="false">(F852*asp_bw+F853*asp_hp+F854*F858+F855*asp_ru)/1000</f>
        <v>1.342</v>
      </c>
      <c r="G861" s="17" t="n">
        <f aca="false">(G852*asp_bw+G853*asp_hp+G854*G858+G855*asp_ru)/1000</f>
        <v>1.6300875</v>
      </c>
      <c r="K861" s="4" t="s">
        <v>585</v>
      </c>
    </row>
    <row r="862" customFormat="false" ht="17.15" hidden="false" customHeight="false" outlineLevel="0" collapsed="false">
      <c r="A862" s="4" t="s">
        <v>586</v>
      </c>
      <c r="B862" s="0" t="s">
        <v>205</v>
      </c>
      <c r="D862" s="17" t="n">
        <f aca="false">(D856*D859+D857*D860)/1000</f>
        <v>0.2355</v>
      </c>
      <c r="E862" s="17" t="n">
        <f aca="false">(E856*E859+E857*E860)/1000</f>
        <v>0.5275</v>
      </c>
      <c r="F862" s="17" t="n">
        <f aca="false">(F856*F859+F857*F860)/1000</f>
        <v>0.608</v>
      </c>
      <c r="G862" s="17" t="n">
        <f aca="false">(G856*G859+G857*G860)/1000</f>
        <v>0.7429</v>
      </c>
    </row>
    <row r="863" customFormat="false" ht="17.15" hidden="false" customHeight="false" outlineLevel="0" collapsed="false">
      <c r="A863" s="0" t="s">
        <v>587</v>
      </c>
      <c r="B863" s="0" t="s">
        <v>205</v>
      </c>
      <c r="D863" s="17" t="n">
        <f aca="false">D861+D862</f>
        <v>0.602</v>
      </c>
      <c r="E863" s="17" t="n">
        <f aca="false">E861+E862</f>
        <v>1.7215</v>
      </c>
      <c r="F863" s="17" t="n">
        <f aca="false">F861+F862</f>
        <v>1.95</v>
      </c>
      <c r="G863" s="17" t="n">
        <f aca="false">G861+G862</f>
        <v>2.3729875</v>
      </c>
    </row>
    <row r="864" customFormat="false" ht="17.15" hidden="false" customHeight="false" outlineLevel="0" collapsed="false">
      <c r="A864" s="4" t="s">
        <v>588</v>
      </c>
      <c r="B864" s="0" t="s">
        <v>196</v>
      </c>
      <c r="D864" s="18" t="n">
        <f aca="false">a26_rev*ai_26/fx/(D861+k_non*D862)</f>
        <v>0.882225417842414</v>
      </c>
      <c r="K864" s="8" t="s">
        <v>589</v>
      </c>
    </row>
    <row r="865" customFormat="false" ht="17.15" hidden="false" customHeight="false" outlineLevel="0" collapsed="false">
      <c r="A865" s="4" t="s">
        <v>590</v>
      </c>
      <c r="B865" s="0" t="s">
        <v>109</v>
      </c>
      <c r="D865" s="19" t="n">
        <f aca="false">1</f>
        <v>1</v>
      </c>
      <c r="E865" s="19" t="n">
        <f aca="false">rel_27</f>
        <v>0.97</v>
      </c>
      <c r="F865" s="19" t="n">
        <f aca="false">rel_28</f>
        <v>0.93</v>
      </c>
      <c r="G865" s="19" t="n">
        <f aca="false">rel_29</f>
        <v>0.9</v>
      </c>
    </row>
    <row r="866" customFormat="false" ht="17.15" hidden="false" customHeight="false" outlineLevel="0" collapsed="false">
      <c r="A866" s="4" t="s">
        <v>591</v>
      </c>
      <c r="B866" s="0" t="s">
        <v>196</v>
      </c>
      <c r="D866" s="18" t="n">
        <f aca="false">$D$864*D865</f>
        <v>0.882225417842414</v>
      </c>
      <c r="E866" s="18" t="n">
        <f aca="false">$D$864*E865</f>
        <v>0.855758655307142</v>
      </c>
      <c r="F866" s="18" t="n">
        <f aca="false">$D$864*F865</f>
        <v>0.820469638593445</v>
      </c>
      <c r="G866" s="18" t="n">
        <f aca="false">$D$864*G865</f>
        <v>0.794002876058173</v>
      </c>
    </row>
    <row r="867" customFormat="false" ht="17.15" hidden="false" customHeight="false" outlineLevel="0" collapsed="false">
      <c r="A867" s="4" t="s">
        <v>592</v>
      </c>
      <c r="B867" s="0" t="s">
        <v>196</v>
      </c>
      <c r="D867" s="18" t="n">
        <f aca="false">D866*k_non</f>
        <v>0.352890167136966</v>
      </c>
      <c r="E867" s="18" t="n">
        <f aca="false">E866*k_non</f>
        <v>0.342303462122857</v>
      </c>
      <c r="F867" s="18" t="n">
        <f aca="false">F866*k_non</f>
        <v>0.328187855437378</v>
      </c>
      <c r="G867" s="18" t="n">
        <f aca="false">G866*k_non</f>
        <v>0.317601150423269</v>
      </c>
    </row>
    <row r="868" customFormat="false" ht="17.15" hidden="false" customHeight="false" outlineLevel="0" collapsed="false">
      <c r="A868" s="0" t="s">
        <v>593</v>
      </c>
      <c r="B868" s="0" t="s">
        <v>301</v>
      </c>
      <c r="C868" s="24" t="n">
        <f aca="false">a25_ail</f>
        <v>6.0828</v>
      </c>
      <c r="D868" s="24" t="n">
        <f aca="false">(D861*D866+D862*D867)*fx</f>
        <v>13.00612</v>
      </c>
      <c r="E868" s="24" t="n">
        <f aca="false">(E861*E866+E862*E867)*fx</f>
        <v>38.4749091426091</v>
      </c>
      <c r="F868" s="24" t="n">
        <f aca="false">(F861*F866+F862*F867)*fx</f>
        <v>41.6194710751465</v>
      </c>
      <c r="G868" s="24" t="n">
        <f aca="false">(G861*G866+G862*G867)*fx</f>
        <v>48.9676818520295</v>
      </c>
    </row>
    <row r="869" customFormat="false" ht="17.15" hidden="false" customHeight="false" outlineLevel="0" collapsed="false">
      <c r="A869" s="6" t="s">
        <v>594</v>
      </c>
    </row>
    <row r="870" customFormat="false" ht="17.15" hidden="false" customHeight="false" outlineLevel="0" collapsed="false">
      <c r="A870" s="0" t="s">
        <v>595</v>
      </c>
      <c r="B870" s="0" t="s">
        <v>205</v>
      </c>
      <c r="D870" s="24" t="n">
        <f aca="false">lmkB_26</f>
        <v>4.51368758595869</v>
      </c>
      <c r="E870" s="24" t="n">
        <f aca="false">lmkB_27*1</f>
        <v>10.2011004204398</v>
      </c>
      <c r="F870" s="24" t="n">
        <f aca="false">lmkB_28*1</f>
        <v>12.6260448229601</v>
      </c>
      <c r="G870" s="24" t="n">
        <f aca="false">lmkB_29*1</f>
        <v>16.1809438578051</v>
      </c>
      <c r="K870" s="4" t="s">
        <v>596</v>
      </c>
    </row>
    <row r="871" customFormat="false" ht="15" hidden="false" customHeight="false" outlineLevel="0" collapsed="false">
      <c r="A871" s="4" t="s">
        <v>542</v>
      </c>
      <c r="B871" s="0" t="s">
        <v>196</v>
      </c>
      <c r="D871" s="18" t="n">
        <f aca="false">0</f>
        <v>0</v>
      </c>
      <c r="E871" s="18" t="n">
        <f aca="false">lcs_27</f>
        <v>0.008</v>
      </c>
      <c r="F871" s="18" t="n">
        <f aca="false">lcs_28</f>
        <v>0.015</v>
      </c>
      <c r="G871" s="18" t="n">
        <f aca="false">lcs_29</f>
        <v>0.025</v>
      </c>
    </row>
    <row r="872" customFormat="false" ht="17.15" hidden="false" customHeight="false" outlineLevel="0" collapsed="false">
      <c r="A872" s="4" t="s">
        <v>597</v>
      </c>
      <c r="B872" s="0" t="s">
        <v>301</v>
      </c>
      <c r="C872" s="24" t="n">
        <f aca="false">0</f>
        <v>0</v>
      </c>
      <c r="D872" s="24" t="n">
        <f aca="false">D870*D871*fx</f>
        <v>0</v>
      </c>
      <c r="E872" s="24" t="n">
        <f aca="false">E870*E871*fx</f>
        <v>2.61148170763259</v>
      </c>
      <c r="F872" s="24" t="n">
        <f aca="false">F870*F871*fx</f>
        <v>6.06050151502085</v>
      </c>
      <c r="G872" s="24" t="n">
        <f aca="false">G870*G871*fx</f>
        <v>12.9447550862441</v>
      </c>
    </row>
    <row r="873" customFormat="false" ht="17.15" hidden="false" customHeight="false" outlineLevel="0" collapsed="false">
      <c r="A873" s="6" t="s">
        <v>598</v>
      </c>
    </row>
    <row r="874" customFormat="false" ht="17.15" hidden="false" customHeight="false" outlineLevel="0" collapsed="false">
      <c r="A874" s="4" t="s">
        <v>599</v>
      </c>
      <c r="B874" s="0" t="s">
        <v>301</v>
      </c>
      <c r="C874" s="24" t="n">
        <f aca="false">a25_oth</f>
        <v>8.637576</v>
      </c>
      <c r="D874" s="24" t="n">
        <f aca="false">a26_rev*(th_26-ai_26)</f>
        <v>11.380355</v>
      </c>
      <c r="E874" s="24" t="n">
        <f aca="false">D874*(1+GOHI_27)</f>
        <v>13.656426</v>
      </c>
      <c r="F874" s="24" t="n">
        <f aca="false">E874*(1+GOHI_28)</f>
        <v>15.7048899</v>
      </c>
      <c r="G874" s="24" t="n">
        <f aca="false">F874*(1+GOHI_29)</f>
        <v>17.589476688</v>
      </c>
    </row>
    <row r="875" customFormat="false" ht="15" hidden="false" customHeight="false" outlineLevel="0" collapsed="false">
      <c r="A875" s="4" t="s">
        <v>600</v>
      </c>
      <c r="B875" s="0" t="s">
        <v>301</v>
      </c>
      <c r="C875" s="24" t="n">
        <f aca="false">a25_lf</f>
        <v>5.555624</v>
      </c>
      <c r="D875" s="24" t="n">
        <f aca="false">a26_lf</f>
        <v>8.128825</v>
      </c>
      <c r="E875" s="24" t="n">
        <f aca="false">D875*(1+g_lf_27)</f>
        <v>8.37268975</v>
      </c>
      <c r="F875" s="24" t="n">
        <f aca="false">E875*(1+g_lf_28)</f>
        <v>8.6238704425</v>
      </c>
      <c r="G875" s="24" t="n">
        <f aca="false">F875*(1+g_lf_29)</f>
        <v>8.882586555775</v>
      </c>
    </row>
    <row r="876" customFormat="false" ht="17.15" hidden="false" customHeight="false" outlineLevel="0" collapsed="false">
      <c r="A876" s="4" t="s">
        <v>475</v>
      </c>
      <c r="B876" s="0" t="s">
        <v>301</v>
      </c>
      <c r="C876" s="24" t="n">
        <f aca="false">C868+C872+C874+C875</f>
        <v>20.276</v>
      </c>
      <c r="D876" s="24" t="n">
        <f aca="false">D868+D872+D874+D875</f>
        <v>32.5153</v>
      </c>
      <c r="E876" s="24" t="n">
        <f aca="false">E868+E872+E874+E875</f>
        <v>63.1155066002417</v>
      </c>
      <c r="F876" s="24" t="n">
        <f aca="false">F868+F872+F874+F875</f>
        <v>72.0087329326674</v>
      </c>
      <c r="G876" s="24" t="n">
        <f aca="false">G868+G872+G874+G875</f>
        <v>88.3845001820486</v>
      </c>
      <c r="H876" s="25" t="n">
        <f aca="false">G876*(1+H877)</f>
        <v>102.962853451936</v>
      </c>
      <c r="I876" s="25" t="n">
        <f aca="false">H876*(1+I877)</f>
        <v>113.513581583243</v>
      </c>
      <c r="J876" s="25" t="n">
        <f aca="false">I876*(1+J877)</f>
        <v>118.054124846573</v>
      </c>
      <c r="K876" s="8" t="s">
        <v>601</v>
      </c>
    </row>
    <row r="877" customFormat="false" ht="15" hidden="false" customHeight="false" outlineLevel="0" collapsed="false">
      <c r="A877" s="4" t="s">
        <v>602</v>
      </c>
      <c r="B877" s="0" t="s">
        <v>196</v>
      </c>
      <c r="D877" s="18" t="n">
        <f aca="false">D876/C876-1</f>
        <v>0.603634839218781</v>
      </c>
      <c r="E877" s="18" t="n">
        <f aca="false">E876/D876-1</f>
        <v>0.941101776709477</v>
      </c>
      <c r="F877" s="18" t="n">
        <f aca="false">F876/E876-1</f>
        <v>0.140903984004331</v>
      </c>
      <c r="G877" s="18" t="n">
        <f aca="false">G876/F876-1</f>
        <v>0.227413628631594</v>
      </c>
      <c r="H877" s="26" t="n">
        <f aca="false">$G877+(fade_gB-$G877)*1/3</f>
        <v>0.164942419087729</v>
      </c>
      <c r="I877" s="26" t="n">
        <f aca="false">$G877+(fade_gB-$G877)*2/3</f>
        <v>0.102471209543865</v>
      </c>
      <c r="J877" s="26" t="n">
        <f aca="false">$G877+(fade_gB-$G877)*3/3</f>
        <v>0.04</v>
      </c>
    </row>
    <row r="878" customFormat="false" ht="17.15" hidden="false" customHeight="false" outlineLevel="0" collapsed="false">
      <c r="A878" s="0" t="s">
        <v>603</v>
      </c>
      <c r="B878" s="0" t="s">
        <v>196</v>
      </c>
      <c r="C878" s="18" t="n">
        <f aca="false">C868/C876</f>
        <v>0.3</v>
      </c>
      <c r="D878" s="18" t="n">
        <f aca="false">D868/D876</f>
        <v>0.4</v>
      </c>
      <c r="E878" s="18" t="n">
        <f aca="false">E868/E876</f>
        <v>0.609595188489888</v>
      </c>
      <c r="F878" s="18" t="n">
        <f aca="false">F868/F876</f>
        <v>0.577978105989774</v>
      </c>
      <c r="G878" s="18" t="n">
        <f aca="false">G868/G876</f>
        <v>0.554030194787198</v>
      </c>
    </row>
    <row r="879" customFormat="false" ht="17.15" hidden="false" customHeight="false" outlineLevel="0" collapsed="false">
      <c r="A879" s="4" t="s">
        <v>604</v>
      </c>
      <c r="B879" s="0" t="s">
        <v>136</v>
      </c>
      <c r="D879" s="24" t="n">
        <f aca="false">D868/fx*1000/(D852+D853+D854+D855+D856+D857)</f>
        <v>26.7395559210526</v>
      </c>
      <c r="E879" s="24" t="n">
        <f aca="false">E868/fx*1000/(E852+E853+E854+E855+E856+E857)</f>
        <v>50.7316839960563</v>
      </c>
      <c r="F879" s="24" t="n">
        <f aca="false">F868/fx*1000/(F852+F853+F854+F855+F856+F857)</f>
        <v>61.3494561838834</v>
      </c>
      <c r="G879" s="24" t="n">
        <f aca="false">G868/fx*1000/(G852+G853+G854+G855+G856+G857)</f>
        <v>59.7108597356716</v>
      </c>
    </row>
    <row r="880" customFormat="false" ht="17.15" hidden="false" customHeight="false" outlineLevel="0" collapsed="false">
      <c r="A880" s="6" t="s">
        <v>605</v>
      </c>
    </row>
    <row r="881" customFormat="false" ht="17.15" hidden="false" customHeight="false" outlineLevel="0" collapsed="false">
      <c r="A881" s="4" t="s">
        <v>606</v>
      </c>
      <c r="B881" s="0" t="s">
        <v>196</v>
      </c>
      <c r="D881" s="18" t="n">
        <f aca="false">a26_gp/D876-d_ai*D878</f>
        <v>0.425324773260588</v>
      </c>
      <c r="K881" s="8" t="s">
        <v>607</v>
      </c>
    </row>
    <row r="882" customFormat="false" ht="15" hidden="false" customHeight="false" outlineLevel="0" collapsed="false">
      <c r="A882" s="4" t="s">
        <v>479</v>
      </c>
      <c r="B882" s="0" t="s">
        <v>301</v>
      </c>
      <c r="C882" s="24" t="n">
        <f aca="false">a25_gp</f>
        <v>8.434</v>
      </c>
      <c r="D882" s="24" t="n">
        <f aca="false">a26_gp</f>
        <v>15.390297</v>
      </c>
      <c r="E882" s="24" t="n">
        <f aca="false">$D$881*E876+d_ai*E868</f>
        <v>31.461577631088</v>
      </c>
      <c r="F882" s="24" t="n">
        <f aca="false">$D$881*F876+d_ai*F868</f>
        <v>35.6214345363866</v>
      </c>
      <c r="G882" s="24" t="n">
        <f aca="false">$D$881*G876+d_ai*G868</f>
        <v>43.4682393219238</v>
      </c>
    </row>
    <row r="883" customFormat="false" ht="15" hidden="false" customHeight="false" outlineLevel="0" collapsed="false">
      <c r="A883" s="4" t="s">
        <v>482</v>
      </c>
      <c r="B883" s="0" t="s">
        <v>196</v>
      </c>
      <c r="C883" s="18" t="n">
        <f aca="false">C882/C876</f>
        <v>0.415959755375814</v>
      </c>
      <c r="D883" s="18" t="n">
        <f aca="false">D882/D876</f>
        <v>0.473324773260588</v>
      </c>
      <c r="E883" s="18" t="n">
        <f aca="false">E882/E876</f>
        <v>0.498476195879375</v>
      </c>
      <c r="F883" s="18" t="n">
        <f aca="false">F882/F876</f>
        <v>0.494682145979361</v>
      </c>
      <c r="G883" s="18" t="n">
        <f aca="false">G882/G876</f>
        <v>0.491808396635052</v>
      </c>
    </row>
    <row r="884" customFormat="false" ht="15" hidden="false" customHeight="false" outlineLevel="0" collapsed="false">
      <c r="A884" s="4" t="s">
        <v>608</v>
      </c>
      <c r="B884" s="0" t="s">
        <v>301</v>
      </c>
      <c r="C884" s="24" t="n">
        <f aca="false">a25_opx</f>
        <v>1.936</v>
      </c>
      <c r="D884" s="24" t="n">
        <f aca="false">a26_opx</f>
        <v>2.8705005</v>
      </c>
      <c r="E884" s="24" t="n">
        <f aca="false">D884*(1+MAX(0,phi*E877))</f>
        <v>4.49136037235727</v>
      </c>
      <c r="F884" s="24" t="n">
        <f aca="false">E884*(1+MAX(0,phi*F877))</f>
        <v>4.87107071439586</v>
      </c>
      <c r="G884" s="24" t="n">
        <f aca="false">F884*(1+MAX(0,phi*G877))</f>
        <v>5.53571943428497</v>
      </c>
    </row>
    <row r="885" customFormat="false" ht="15" hidden="false" customHeight="false" outlineLevel="0" collapsed="false">
      <c r="A885" s="4" t="s">
        <v>484</v>
      </c>
      <c r="B885" s="0" t="s">
        <v>301</v>
      </c>
      <c r="C885" s="24" t="n">
        <f aca="false">C884</f>
        <v>1.936</v>
      </c>
      <c r="D885" s="24" t="n">
        <f aca="false">D884</f>
        <v>2.8705005</v>
      </c>
      <c r="E885" s="24" t="n">
        <f aca="false">E884+0*E876</f>
        <v>4.49136037235727</v>
      </c>
      <c r="F885" s="24" t="n">
        <f aca="false">F884+0*F876</f>
        <v>4.87107071439586</v>
      </c>
      <c r="G885" s="24" t="n">
        <f aca="false">G884+0*G876</f>
        <v>5.53571943428497</v>
      </c>
    </row>
    <row r="886" customFormat="false" ht="15" hidden="false" customHeight="false" outlineLevel="0" collapsed="false">
      <c r="A886" s="4" t="s">
        <v>486</v>
      </c>
      <c r="B886" s="0" t="s">
        <v>301</v>
      </c>
      <c r="C886" s="24" t="n">
        <f aca="false">C882-C885</f>
        <v>6.498</v>
      </c>
      <c r="D886" s="24" t="n">
        <f aca="false">D882-D885</f>
        <v>12.5197965</v>
      </c>
      <c r="E886" s="24" t="n">
        <f aca="false">E882-E885</f>
        <v>26.9702172587308</v>
      </c>
      <c r="F886" s="24" t="n">
        <f aca="false">F882-F885</f>
        <v>30.7503638219907</v>
      </c>
      <c r="G886" s="24" t="n">
        <f aca="false">G882-G885</f>
        <v>37.9325198876388</v>
      </c>
    </row>
    <row r="887" customFormat="false" ht="15" hidden="false" customHeight="false" outlineLevel="0" collapsed="false">
      <c r="A887" s="4" t="s">
        <v>488</v>
      </c>
      <c r="B887" s="0" t="s">
        <v>196</v>
      </c>
      <c r="C887" s="18" t="n">
        <f aca="false">C886/C876</f>
        <v>0.320477411718288</v>
      </c>
      <c r="D887" s="18" t="n">
        <f aca="false">D886/D876</f>
        <v>0.385043241181844</v>
      </c>
      <c r="E887" s="18" t="n">
        <f aca="false">E886/E876</f>
        <v>0.427315230622382</v>
      </c>
      <c r="F887" s="18" t="n">
        <f aca="false">F886/F876</f>
        <v>0.427036590836062</v>
      </c>
      <c r="G887" s="18" t="n">
        <f aca="false">G886/G876</f>
        <v>0.429176154297506</v>
      </c>
    </row>
    <row r="888" customFormat="false" ht="15" hidden="false" customHeight="false" outlineLevel="0" collapsed="false">
      <c r="A888" s="4" t="s">
        <v>489</v>
      </c>
      <c r="B888" s="0" t="s">
        <v>301</v>
      </c>
      <c r="C888" s="29" t="n">
        <f aca="false">a25_nop</f>
        <v>0.108999999999999</v>
      </c>
      <c r="D888" s="29" t="n">
        <f aca="false">a26_nop</f>
        <v>0.330500000000001</v>
      </c>
      <c r="E888" s="29" t="n">
        <f aca="false">nop_f</f>
        <v>0.3</v>
      </c>
      <c r="F888" s="29" t="n">
        <f aca="false">nop_f</f>
        <v>0.3</v>
      </c>
      <c r="G888" s="29" t="n">
        <f aca="false">nop_f</f>
        <v>0.3</v>
      </c>
    </row>
    <row r="889" customFormat="false" ht="15" hidden="false" customHeight="false" outlineLevel="0" collapsed="false">
      <c r="A889" s="4" t="s">
        <v>494</v>
      </c>
      <c r="B889" s="0" t="s">
        <v>301</v>
      </c>
      <c r="C889" s="24" t="n">
        <f aca="false">a25_ni</f>
        <v>5.277</v>
      </c>
      <c r="D889" s="24" t="n">
        <f aca="false">a26_ni</f>
        <v>10.3442061825</v>
      </c>
      <c r="E889" s="24" t="n">
        <f aca="false">(E886+E888)*nir_f</f>
        <v>21.9525248932783</v>
      </c>
      <c r="F889" s="24" t="n">
        <f aca="false">(F886+F888)*nir_f</f>
        <v>24.9955428767025</v>
      </c>
      <c r="G889" s="24" t="n">
        <f aca="false">(G886+G888)*nir_f</f>
        <v>30.7771785095492</v>
      </c>
      <c r="H889" s="25" t="n">
        <f aca="false">H876*H893</f>
        <v>34.3787513756325</v>
      </c>
      <c r="I889" s="25" t="n">
        <f aca="false">I876*I893</f>
        <v>36.275560499941</v>
      </c>
      <c r="J889" s="25" t="n">
        <f aca="false">J876*J893</f>
        <v>36.0355188837079</v>
      </c>
    </row>
    <row r="890" customFormat="false" ht="15" hidden="false" customHeight="false" outlineLevel="0" collapsed="false">
      <c r="A890" s="4" t="s">
        <v>609</v>
      </c>
      <c r="B890" s="4" t="s">
        <v>327</v>
      </c>
      <c r="C890" s="28" t="n">
        <f aca="false">a25_sh</f>
        <v>0.143591836734694</v>
      </c>
      <c r="D890" s="28" t="n">
        <f aca="false">a26_sh</f>
        <v>0.146703513620213</v>
      </c>
      <c r="E890" s="28" t="n">
        <f aca="false">D890*(1+sh_g)</f>
        <v>0.146703513620213</v>
      </c>
      <c r="F890" s="28" t="n">
        <f aca="false">E890*(1+sh_g)</f>
        <v>0.146703513620213</v>
      </c>
      <c r="G890" s="28" t="n">
        <f aca="false">F890*(1+sh_g)</f>
        <v>0.146703513620213</v>
      </c>
      <c r="H890" s="30" t="n">
        <f aca="false">G890*(1+sh_g)</f>
        <v>0.146703513620213</v>
      </c>
      <c r="I890" s="30" t="n">
        <f aca="false">H890*(1+sh_g)</f>
        <v>0.146703513620213</v>
      </c>
      <c r="J890" s="30" t="n">
        <f aca="false">I890*(1+sh_g)</f>
        <v>0.146703513620213</v>
      </c>
    </row>
    <row r="891" customFormat="false" ht="15" hidden="false" customHeight="false" outlineLevel="0" collapsed="false">
      <c r="A891" s="0" t="s">
        <v>500</v>
      </c>
      <c r="B891" s="0" t="s">
        <v>360</v>
      </c>
      <c r="C891" s="29" t="n">
        <f aca="false">C889/C890</f>
        <v>36.75</v>
      </c>
      <c r="D891" s="29" t="n">
        <f aca="false">D889/D890</f>
        <v>70.5109641019174</v>
      </c>
      <c r="E891" s="29" t="n">
        <f aca="false">E889/E890</f>
        <v>149.638712472212</v>
      </c>
      <c r="F891" s="29" t="n">
        <f aca="false">F889/F890</f>
        <v>170.381351202065</v>
      </c>
      <c r="G891" s="29" t="n">
        <f aca="false">G889/G890</f>
        <v>209.791693123488</v>
      </c>
      <c r="H891" s="31" t="n">
        <f aca="false">H889/H890</f>
        <v>234.341704075558</v>
      </c>
      <c r="I891" s="31" t="n">
        <f aca="false">I889/I890</f>
        <v>247.271245280814</v>
      </c>
      <c r="J891" s="31" t="n">
        <f aca="false">J889/J890</f>
        <v>245.635008967793</v>
      </c>
    </row>
    <row r="892" customFormat="false" ht="17.15" hidden="false" customHeight="false" outlineLevel="0" collapsed="false">
      <c r="A892" s="0" t="s">
        <v>610</v>
      </c>
      <c r="B892" s="0" t="s">
        <v>196</v>
      </c>
      <c r="D892" s="18" t="n">
        <f aca="false">D891/C891-1</f>
        <v>0.918665689848092</v>
      </c>
      <c r="E892" s="18" t="n">
        <f aca="false">E891/D891-1</f>
        <v>1.12220488512853</v>
      </c>
      <c r="F892" s="18" t="n">
        <f aca="false">F891/E891-1</f>
        <v>0.138618131546045</v>
      </c>
      <c r="G892" s="18" t="n">
        <f aca="false">G891/F891-1</f>
        <v>0.231306663806673</v>
      </c>
      <c r="H892" s="26" t="n">
        <f aca="false">H891/G891-1</f>
        <v>0.117020891468847</v>
      </c>
      <c r="I892" s="26" t="n">
        <f aca="false">I891/H891-1</f>
        <v>0.0551738806212991</v>
      </c>
      <c r="J892" s="26" t="n">
        <f aca="false">J891/I891-1</f>
        <v>-0.00661717180727084</v>
      </c>
    </row>
    <row r="893" customFormat="false" ht="17.15" hidden="false" customHeight="false" outlineLevel="0" collapsed="false">
      <c r="A893" s="4" t="s">
        <v>611</v>
      </c>
      <c r="B893" s="0" t="s">
        <v>196</v>
      </c>
      <c r="C893" s="18" t="n">
        <f aca="false">C889/C876</f>
        <v>0.260258433616098</v>
      </c>
      <c r="D893" s="18" t="n">
        <f aca="false">D889/D876</f>
        <v>0.318133499690915</v>
      </c>
      <c r="E893" s="18" t="n">
        <f aca="false">E889/E876</f>
        <v>0.347815078667121</v>
      </c>
      <c r="F893" s="18" t="n">
        <f aca="false">F889/F876</f>
        <v>0.347118215509706</v>
      </c>
      <c r="G893" s="18" t="n">
        <f aca="false">G889/G876</f>
        <v>0.348219183750051</v>
      </c>
      <c r="H893" s="26" t="n">
        <f aca="false">$G893+(fade_mB-$G893)*1/3</f>
        <v>0.333894703022008</v>
      </c>
      <c r="I893" s="26" t="n">
        <f aca="false">$G893+(fade_mB-$G893)*2/3</f>
        <v>0.319570222293964</v>
      </c>
      <c r="J893" s="26" t="n">
        <f aca="false">$G893+(fade_mB-$G893)*3/3</f>
        <v>0.30524574156592</v>
      </c>
    </row>
    <row r="896" customFormat="false" ht="17.15" hidden="false" customHeight="false" outlineLevel="0" collapsed="false">
      <c r="A896" s="1" t="s">
        <v>920</v>
      </c>
    </row>
    <row r="897" customFormat="false" ht="17.15" hidden="false" customHeight="false" outlineLevel="0" collapsed="false">
      <c r="A897" s="5" t="s">
        <v>22</v>
      </c>
      <c r="B897" s="5" t="s">
        <v>23</v>
      </c>
      <c r="C897" s="15" t="s">
        <v>470</v>
      </c>
      <c r="D897" s="15" t="s">
        <v>553</v>
      </c>
      <c r="E897" s="15" t="s">
        <v>554</v>
      </c>
      <c r="F897" s="15" t="s">
        <v>555</v>
      </c>
      <c r="G897" s="15" t="s">
        <v>556</v>
      </c>
      <c r="H897" s="15" t="s">
        <v>557</v>
      </c>
      <c r="I897" s="15" t="s">
        <v>558</v>
      </c>
      <c r="J897" s="15" t="s">
        <v>559</v>
      </c>
      <c r="K897" s="5" t="s">
        <v>523</v>
      </c>
    </row>
    <row r="898" customFormat="false" ht="17.15" hidden="false" customHeight="false" outlineLevel="0" collapsed="false">
      <c r="A898" s="6" t="s">
        <v>575</v>
      </c>
    </row>
    <row r="899" customFormat="false" ht="17.15" hidden="false" customHeight="false" outlineLevel="0" collapsed="false">
      <c r="A899" s="0" t="s">
        <v>576</v>
      </c>
      <c r="B899" s="4" t="s">
        <v>33</v>
      </c>
      <c r="D899" s="19" t="n">
        <f aca="false">(u_bw26)*1</f>
        <v>5.4</v>
      </c>
      <c r="E899" s="19" t="n">
        <f aca="false">(u_bw27)*1*1</f>
        <v>2.4</v>
      </c>
      <c r="F899" s="19" t="n">
        <f aca="false">(u_bw28)*um28_B*1</f>
        <v>0.4</v>
      </c>
      <c r="G899" s="19" t="n">
        <f aca="false">(u_bw29)*um29_B*1</f>
        <v>0.2125</v>
      </c>
    </row>
    <row r="900" customFormat="false" ht="17.15" hidden="false" customHeight="false" outlineLevel="0" collapsed="false">
      <c r="A900" s="0" t="s">
        <v>577</v>
      </c>
      <c r="B900" s="4" t="s">
        <v>33</v>
      </c>
      <c r="D900" s="19" t="n">
        <f aca="false">(u_hp26)*1</f>
        <v>0.5</v>
      </c>
      <c r="E900" s="19" t="n">
        <f aca="false">(u_hp27)*1*1</f>
        <v>0</v>
      </c>
      <c r="F900" s="19" t="n">
        <f aca="false">(u_hp28)*um28_B*1</f>
        <v>0</v>
      </c>
      <c r="G900" s="19" t="n">
        <f aca="false">(u_hp29)*um29_B*1</f>
        <v>0</v>
      </c>
    </row>
    <row r="901" customFormat="false" ht="17.15" hidden="false" customHeight="false" outlineLevel="0" collapsed="false">
      <c r="A901" s="0" t="s">
        <v>578</v>
      </c>
      <c r="B901" s="4" t="s">
        <v>33</v>
      </c>
      <c r="D901" s="19" t="n">
        <f aca="false">(u_rb26)*1</f>
        <v>1.7</v>
      </c>
      <c r="E901" s="19" t="n">
        <f aca="false">(u_rb27)*1*1</f>
        <v>7</v>
      </c>
      <c r="F901" s="19" t="n">
        <f aca="false">(u_rb28)*um28_B*1</f>
        <v>5.6</v>
      </c>
      <c r="G901" s="19" t="n">
        <f aca="false">(u_rb29)*um29_B*1</f>
        <v>6.8425</v>
      </c>
    </row>
    <row r="902" customFormat="false" ht="17.15" hidden="false" customHeight="false" outlineLevel="0" collapsed="false">
      <c r="A902" s="0" t="s">
        <v>579</v>
      </c>
      <c r="B902" s="4" t="s">
        <v>33</v>
      </c>
      <c r="D902" s="19" t="n">
        <f aca="false">(u_ru26)*1</f>
        <v>0</v>
      </c>
      <c r="E902" s="19" t="n">
        <f aca="false">(u_ru27)*1*1</f>
        <v>0.3</v>
      </c>
      <c r="F902" s="19" t="n">
        <f aca="false">(u_ru28)*um28_B*1</f>
        <v>1.6</v>
      </c>
      <c r="G902" s="19" t="n">
        <f aca="false">(u_ru29)*um29_B*1</f>
        <v>1.955</v>
      </c>
    </row>
    <row r="903" customFormat="false" ht="17.15" hidden="false" customHeight="false" outlineLevel="0" collapsed="false">
      <c r="A903" s="0" t="s">
        <v>580</v>
      </c>
      <c r="B903" s="4" t="s">
        <v>33</v>
      </c>
      <c r="D903" s="19" t="n">
        <f aca="false">(u_amd26)*1</f>
        <v>0.75</v>
      </c>
      <c r="E903" s="19" t="n">
        <f aca="false">(u_amd27)*1*1</f>
        <v>1.5</v>
      </c>
      <c r="F903" s="19" t="n">
        <f aca="false">(u_amd28)*um28_B*1</f>
        <v>1.6</v>
      </c>
      <c r="G903" s="19" t="n">
        <f aca="false">(u_amd29)*um29_B*1</f>
        <v>1.955</v>
      </c>
    </row>
    <row r="904" customFormat="false" ht="17.15" hidden="false" customHeight="false" outlineLevel="0" collapsed="false">
      <c r="A904" s="0" t="s">
        <v>581</v>
      </c>
      <c r="B904" s="4" t="s">
        <v>33</v>
      </c>
      <c r="D904" s="19" t="n">
        <f aca="false">(u_tpu26+u_trn26+u_oth26)*1</f>
        <v>6.85</v>
      </c>
      <c r="E904" s="19" t="n">
        <f aca="false">(u_tpu27+u_trn27+u_oth27)*1*1</f>
        <v>12.5</v>
      </c>
      <c r="F904" s="19" t="n">
        <f aca="false">(u_tpu28+u_trn28+u_oth28)*um28_B*1</f>
        <v>12</v>
      </c>
      <c r="G904" s="19" t="n">
        <f aca="false">(u_tpu29+u_trn29+u_oth29)*um29_B*1</f>
        <v>14.6625</v>
      </c>
    </row>
    <row r="905" customFormat="false" ht="17.15" hidden="false" customHeight="false" outlineLevel="0" collapsed="false">
      <c r="A905" s="0" t="s">
        <v>527</v>
      </c>
      <c r="B905" s="0" t="s">
        <v>136</v>
      </c>
      <c r="D905" s="22" t="n">
        <f aca="false">asp_vr_26</f>
        <v>100</v>
      </c>
      <c r="E905" s="22" t="n">
        <f aca="false">asp_vr_27</f>
        <v>150</v>
      </c>
      <c r="F905" s="22" t="n">
        <f aca="false">asp_vr_28</f>
        <v>180</v>
      </c>
      <c r="G905" s="22" t="n">
        <f aca="false">asp_vr_29</f>
        <v>180</v>
      </c>
    </row>
    <row r="906" customFormat="false" ht="17.15" hidden="false" customHeight="false" outlineLevel="0" collapsed="false">
      <c r="A906" s="0" t="s">
        <v>582</v>
      </c>
      <c r="B906" s="0" t="s">
        <v>136</v>
      </c>
      <c r="D906" s="22" t="n">
        <f aca="false">asp_amd_26</f>
        <v>40</v>
      </c>
      <c r="E906" s="22" t="n">
        <f aca="false">asp_amd_27</f>
        <v>60</v>
      </c>
      <c r="F906" s="22" t="n">
        <f aca="false">asp_amd_28</f>
        <v>80</v>
      </c>
      <c r="G906" s="22" t="n">
        <f aca="false">asp_amd_29</f>
        <v>80</v>
      </c>
    </row>
    <row r="907" customFormat="false" ht="17.15" hidden="false" customHeight="false" outlineLevel="0" collapsed="false">
      <c r="A907" s="0" t="s">
        <v>583</v>
      </c>
      <c r="B907" s="0" t="s">
        <v>136</v>
      </c>
      <c r="D907" s="22" t="n">
        <f aca="false">asp_asic_26</f>
        <v>30</v>
      </c>
      <c r="E907" s="22" t="n">
        <f aca="false">asp_asic_27</f>
        <v>35</v>
      </c>
      <c r="F907" s="22" t="n">
        <f aca="false">asp_asic_28</f>
        <v>40</v>
      </c>
      <c r="G907" s="22" t="n">
        <f aca="false">asp_asic_29</f>
        <v>40</v>
      </c>
    </row>
    <row r="908" customFormat="false" ht="17.15" hidden="false" customHeight="false" outlineLevel="0" collapsed="false">
      <c r="A908" s="0" t="s">
        <v>584</v>
      </c>
      <c r="B908" s="0" t="s">
        <v>205</v>
      </c>
      <c r="D908" s="17" t="n">
        <f aca="false">(D899*asp_bw+D900*asp_hp+D901*D905+D902*asp_ru)/1000</f>
        <v>0.3665</v>
      </c>
      <c r="E908" s="17" t="n">
        <f aca="false">(E899*asp_bw+E900*asp_hp+E901*E905+E902*asp_ru)/1000</f>
        <v>1.194</v>
      </c>
      <c r="F908" s="17" t="n">
        <f aca="false">(F899*asp_bw+F900*asp_hp+F901*F905+F902*asp_ru)/1000</f>
        <v>1.342</v>
      </c>
      <c r="G908" s="17" t="n">
        <f aca="false">(G899*asp_bw+G900*asp_hp+G901*G905+G902*asp_ru)/1000</f>
        <v>1.6300875</v>
      </c>
      <c r="K908" s="4" t="s">
        <v>585</v>
      </c>
    </row>
    <row r="909" customFormat="false" ht="17.15" hidden="false" customHeight="false" outlineLevel="0" collapsed="false">
      <c r="A909" s="4" t="s">
        <v>586</v>
      </c>
      <c r="B909" s="0" t="s">
        <v>205</v>
      </c>
      <c r="D909" s="17" t="n">
        <f aca="false">(D903*D906+D904*D907)/1000</f>
        <v>0.2355</v>
      </c>
      <c r="E909" s="17" t="n">
        <f aca="false">(E903*E906+E904*E907)/1000</f>
        <v>0.5275</v>
      </c>
      <c r="F909" s="17" t="n">
        <f aca="false">(F903*F906+F904*F907)/1000</f>
        <v>0.608</v>
      </c>
      <c r="G909" s="17" t="n">
        <f aca="false">(G903*G906+G904*G907)/1000</f>
        <v>0.7429</v>
      </c>
    </row>
    <row r="910" customFormat="false" ht="17.15" hidden="false" customHeight="false" outlineLevel="0" collapsed="false">
      <c r="A910" s="0" t="s">
        <v>587</v>
      </c>
      <c r="B910" s="0" t="s">
        <v>205</v>
      </c>
      <c r="D910" s="17" t="n">
        <f aca="false">D908+D909</f>
        <v>0.602</v>
      </c>
      <c r="E910" s="17" t="n">
        <f aca="false">E908+E909</f>
        <v>1.7215</v>
      </c>
      <c r="F910" s="17" t="n">
        <f aca="false">F908+F909</f>
        <v>1.95</v>
      </c>
      <c r="G910" s="17" t="n">
        <f aca="false">G908+G909</f>
        <v>2.3729875</v>
      </c>
    </row>
    <row r="911" customFormat="false" ht="17.15" hidden="false" customHeight="false" outlineLevel="0" collapsed="false">
      <c r="A911" s="4" t="s">
        <v>588</v>
      </c>
      <c r="B911" s="0" t="s">
        <v>196</v>
      </c>
      <c r="D911" s="18" t="n">
        <f aca="false">a26_rev*ai_26/fx/(D908+k_non*D909)</f>
        <v>0.882225417842414</v>
      </c>
      <c r="K911" s="8" t="s">
        <v>589</v>
      </c>
    </row>
    <row r="912" customFormat="false" ht="17.15" hidden="false" customHeight="false" outlineLevel="0" collapsed="false">
      <c r="A912" s="4" t="s">
        <v>590</v>
      </c>
      <c r="B912" s="0" t="s">
        <v>109</v>
      </c>
      <c r="D912" s="19" t="n">
        <f aca="false">1</f>
        <v>1</v>
      </c>
      <c r="E912" s="19" t="n">
        <f aca="false">rel_27</f>
        <v>0.97</v>
      </c>
      <c r="F912" s="19" t="n">
        <f aca="false">rel_28</f>
        <v>0.93</v>
      </c>
      <c r="G912" s="19" t="n">
        <f aca="false">rel_29</f>
        <v>0.9</v>
      </c>
    </row>
    <row r="913" customFormat="false" ht="17.15" hidden="false" customHeight="false" outlineLevel="0" collapsed="false">
      <c r="A913" s="4" t="s">
        <v>591</v>
      </c>
      <c r="B913" s="0" t="s">
        <v>196</v>
      </c>
      <c r="D913" s="18" t="n">
        <f aca="false">$D$911*D912</f>
        <v>0.882225417842414</v>
      </c>
      <c r="E913" s="18" t="n">
        <f aca="false">$D$911*E912</f>
        <v>0.855758655307142</v>
      </c>
      <c r="F913" s="18" t="n">
        <f aca="false">$D$911*F912</f>
        <v>0.820469638593445</v>
      </c>
      <c r="G913" s="18" t="n">
        <f aca="false">$D$911*G912</f>
        <v>0.794002876058173</v>
      </c>
    </row>
    <row r="914" customFormat="false" ht="17.15" hidden="false" customHeight="false" outlineLevel="0" collapsed="false">
      <c r="A914" s="4" t="s">
        <v>592</v>
      </c>
      <c r="B914" s="0" t="s">
        <v>196</v>
      </c>
      <c r="D914" s="18" t="n">
        <f aca="false">D913*k_non</f>
        <v>0.352890167136966</v>
      </c>
      <c r="E914" s="18" t="n">
        <f aca="false">E913*k_non</f>
        <v>0.342303462122857</v>
      </c>
      <c r="F914" s="18" t="n">
        <f aca="false">F913*k_non</f>
        <v>0.328187855437378</v>
      </c>
      <c r="G914" s="18" t="n">
        <f aca="false">G913*k_non</f>
        <v>0.317601150423269</v>
      </c>
    </row>
    <row r="915" customFormat="false" ht="17.15" hidden="false" customHeight="false" outlineLevel="0" collapsed="false">
      <c r="A915" s="0" t="s">
        <v>593</v>
      </c>
      <c r="B915" s="0" t="s">
        <v>301</v>
      </c>
      <c r="C915" s="24" t="n">
        <f aca="false">a25_ail</f>
        <v>6.0828</v>
      </c>
      <c r="D915" s="24" t="n">
        <f aca="false">(D908*D913+D909*D914)*fx</f>
        <v>13.00612</v>
      </c>
      <c r="E915" s="24" t="n">
        <f aca="false">(E908*E913+E909*E914)*fx</f>
        <v>38.4749091426091</v>
      </c>
      <c r="F915" s="24" t="n">
        <f aca="false">(F908*F913+F909*F914)*fx</f>
        <v>41.6194710751465</v>
      </c>
      <c r="G915" s="24" t="n">
        <f aca="false">(G908*G913+G909*G914)*fx</f>
        <v>48.9676818520295</v>
      </c>
    </row>
    <row r="916" customFormat="false" ht="17.15" hidden="false" customHeight="false" outlineLevel="0" collapsed="false">
      <c r="A916" s="6" t="s">
        <v>594</v>
      </c>
    </row>
    <row r="917" customFormat="false" ht="17.15" hidden="false" customHeight="false" outlineLevel="0" collapsed="false">
      <c r="A917" s="0" t="s">
        <v>595</v>
      </c>
      <c r="B917" s="0" t="s">
        <v>205</v>
      </c>
      <c r="D917" s="24" t="n">
        <f aca="false">lmkB_26</f>
        <v>4.51368758595869</v>
      </c>
      <c r="E917" s="24" t="n">
        <f aca="false">lmkB_27*1</f>
        <v>10.2011004204398</v>
      </c>
      <c r="F917" s="24" t="n">
        <f aca="false">lmkB_28*1</f>
        <v>12.6260448229601</v>
      </c>
      <c r="G917" s="24" t="n">
        <f aca="false">lmkB_29*1</f>
        <v>16.1809438578051</v>
      </c>
      <c r="K917" s="4" t="s">
        <v>596</v>
      </c>
    </row>
    <row r="918" customFormat="false" ht="15" hidden="false" customHeight="false" outlineLevel="0" collapsed="false">
      <c r="A918" s="4" t="s">
        <v>542</v>
      </c>
      <c r="B918" s="0" t="s">
        <v>196</v>
      </c>
      <c r="D918" s="18" t="n">
        <f aca="false">0</f>
        <v>0</v>
      </c>
      <c r="E918" s="18" t="n">
        <f aca="false">lcs_27</f>
        <v>0.008</v>
      </c>
      <c r="F918" s="18" t="n">
        <f aca="false">lcs_28</f>
        <v>0.015</v>
      </c>
      <c r="G918" s="18" t="n">
        <f aca="false">lcs_29</f>
        <v>0.025</v>
      </c>
    </row>
    <row r="919" customFormat="false" ht="17.15" hidden="false" customHeight="false" outlineLevel="0" collapsed="false">
      <c r="A919" s="4" t="s">
        <v>597</v>
      </c>
      <c r="B919" s="0" t="s">
        <v>301</v>
      </c>
      <c r="C919" s="24" t="n">
        <f aca="false">0</f>
        <v>0</v>
      </c>
      <c r="D919" s="24" t="n">
        <f aca="false">D917*D918*fx</f>
        <v>0</v>
      </c>
      <c r="E919" s="24" t="n">
        <f aca="false">E917*E918*fx</f>
        <v>2.61148170763259</v>
      </c>
      <c r="F919" s="24" t="n">
        <f aca="false">F917*F918*fx</f>
        <v>6.06050151502085</v>
      </c>
      <c r="G919" s="24" t="n">
        <f aca="false">G917*G918*fx</f>
        <v>12.9447550862441</v>
      </c>
    </row>
    <row r="920" customFormat="false" ht="17.15" hidden="false" customHeight="false" outlineLevel="0" collapsed="false">
      <c r="A920" s="6" t="s">
        <v>598</v>
      </c>
    </row>
    <row r="921" customFormat="false" ht="17.15" hidden="false" customHeight="false" outlineLevel="0" collapsed="false">
      <c r="A921" s="4" t="s">
        <v>599</v>
      </c>
      <c r="B921" s="0" t="s">
        <v>301</v>
      </c>
      <c r="C921" s="24" t="n">
        <f aca="false">a25_oth</f>
        <v>8.637576</v>
      </c>
      <c r="D921" s="24" t="n">
        <f aca="false">a26_rev*(th_26-ai_26)</f>
        <v>11.380355</v>
      </c>
      <c r="E921" s="24" t="n">
        <f aca="false">D921*(1+g_oth_27)</f>
        <v>12.7459976</v>
      </c>
      <c r="F921" s="24" t="n">
        <f aca="false">E921*(1+g_oth_28)</f>
        <v>14.02059736</v>
      </c>
      <c r="G921" s="24" t="n">
        <f aca="false">F921*(1+g_oth_29)</f>
        <v>15.1422451488</v>
      </c>
    </row>
    <row r="922" customFormat="false" ht="15" hidden="false" customHeight="false" outlineLevel="0" collapsed="false">
      <c r="A922" s="4" t="s">
        <v>600</v>
      </c>
      <c r="B922" s="0" t="s">
        <v>301</v>
      </c>
      <c r="C922" s="24" t="n">
        <f aca="false">a25_lf</f>
        <v>5.555624</v>
      </c>
      <c r="D922" s="24" t="n">
        <f aca="false">a26_lf</f>
        <v>8.128825</v>
      </c>
      <c r="E922" s="24" t="n">
        <f aca="false">D922*(1+g_lf_27)</f>
        <v>8.37268975</v>
      </c>
      <c r="F922" s="24" t="n">
        <f aca="false">E922*(1+g_lf_28)</f>
        <v>8.6238704425</v>
      </c>
      <c r="G922" s="24" t="n">
        <f aca="false">F922*(1+g_lf_29)</f>
        <v>8.882586555775</v>
      </c>
    </row>
    <row r="923" customFormat="false" ht="17.15" hidden="false" customHeight="false" outlineLevel="0" collapsed="false">
      <c r="A923" s="4" t="s">
        <v>475</v>
      </c>
      <c r="B923" s="0" t="s">
        <v>301</v>
      </c>
      <c r="C923" s="24" t="n">
        <f aca="false">C915+C919+C921+C922</f>
        <v>20.276</v>
      </c>
      <c r="D923" s="24" t="n">
        <f aca="false">D915+D919+D921+D922</f>
        <v>32.5153</v>
      </c>
      <c r="E923" s="24" t="n">
        <f aca="false">E915+E919+E921+E922</f>
        <v>62.2050782002417</v>
      </c>
      <c r="F923" s="24" t="n">
        <f aca="false">F915+F919+F921+F922</f>
        <v>70.3244403926674</v>
      </c>
      <c r="G923" s="24" t="n">
        <f aca="false">G915+G919+G921+G922</f>
        <v>85.9372686428486</v>
      </c>
      <c r="H923" s="25" t="n">
        <f aca="false">G923*(1+H924)</f>
        <v>99.8024684128244</v>
      </c>
      <c r="I923" s="25" t="n">
        <f aca="false">H923*(1+I924)</f>
        <v>109.849629853489</v>
      </c>
      <c r="J923" s="25" t="n">
        <f aca="false">I923*(1+J924)</f>
        <v>114.243615047629</v>
      </c>
      <c r="K923" s="8" t="s">
        <v>601</v>
      </c>
    </row>
    <row r="924" customFormat="false" ht="15" hidden="false" customHeight="false" outlineLevel="0" collapsed="false">
      <c r="A924" s="4" t="s">
        <v>602</v>
      </c>
      <c r="B924" s="0" t="s">
        <v>196</v>
      </c>
      <c r="D924" s="18" t="n">
        <f aca="false">D923/C923-1</f>
        <v>0.603634839218781</v>
      </c>
      <c r="E924" s="18" t="n">
        <f aca="false">E923/D923-1</f>
        <v>0.913101776709477</v>
      </c>
      <c r="F924" s="18" t="n">
        <f aca="false">F923/E923-1</f>
        <v>0.13052571313051</v>
      </c>
      <c r="G924" s="18" t="n">
        <f aca="false">G923/F923-1</f>
        <v>0.222011411153855</v>
      </c>
      <c r="H924" s="26" t="n">
        <f aca="false">$G924+(fade_gB-$G924)*1/3</f>
        <v>0.161340940769237</v>
      </c>
      <c r="I924" s="26" t="n">
        <f aca="false">$G924+(fade_gB-$G924)*2/3</f>
        <v>0.100670470384618</v>
      </c>
      <c r="J924" s="26" t="n">
        <f aca="false">$G924+(fade_gB-$G924)*3/3</f>
        <v>0.04</v>
      </c>
    </row>
    <row r="925" customFormat="false" ht="17.15" hidden="false" customHeight="false" outlineLevel="0" collapsed="false">
      <c r="A925" s="0" t="s">
        <v>603</v>
      </c>
      <c r="B925" s="0" t="s">
        <v>196</v>
      </c>
      <c r="C925" s="18" t="n">
        <f aca="false">C915/C923</f>
        <v>0.3</v>
      </c>
      <c r="D925" s="18" t="n">
        <f aca="false">D915/D923</f>
        <v>0.4</v>
      </c>
      <c r="E925" s="18" t="n">
        <f aca="false">E915/E923</f>
        <v>0.618517173449347</v>
      </c>
      <c r="F925" s="18" t="n">
        <f aca="false">F915/F923</f>
        <v>0.591820864023343</v>
      </c>
      <c r="G925" s="18" t="n">
        <f aca="false">G915/G923</f>
        <v>0.569807286470053</v>
      </c>
    </row>
    <row r="926" customFormat="false" ht="17.15" hidden="false" customHeight="false" outlineLevel="0" collapsed="false">
      <c r="A926" s="4" t="s">
        <v>604</v>
      </c>
      <c r="B926" s="0" t="s">
        <v>136</v>
      </c>
      <c r="D926" s="24" t="n">
        <f aca="false">D915/fx*1000/(D899+D900+D901+D902+D903+D904)</f>
        <v>26.7395559210526</v>
      </c>
      <c r="E926" s="24" t="n">
        <f aca="false">E915/fx*1000/(E899+E900+E901+E902+E903+E904)</f>
        <v>50.7316839960563</v>
      </c>
      <c r="F926" s="24" t="n">
        <f aca="false">F915/fx*1000/(F899+F900+F901+F902+F903+F904)</f>
        <v>61.3494561838834</v>
      </c>
      <c r="G926" s="24" t="n">
        <f aca="false">G915/fx*1000/(G899+G900+G901+G902+G903+G904)</f>
        <v>59.7108597356716</v>
      </c>
    </row>
    <row r="927" customFormat="false" ht="17.15" hidden="false" customHeight="false" outlineLevel="0" collapsed="false">
      <c r="A927" s="6" t="s">
        <v>605</v>
      </c>
    </row>
    <row r="928" customFormat="false" ht="17.15" hidden="false" customHeight="false" outlineLevel="0" collapsed="false">
      <c r="A928" s="4" t="s">
        <v>606</v>
      </c>
      <c r="B928" s="0" t="s">
        <v>196</v>
      </c>
      <c r="D928" s="18" t="n">
        <f aca="false">a26_gp/D923-d_ai*D925</f>
        <v>0.425324773260588</v>
      </c>
      <c r="K928" s="8" t="s">
        <v>607</v>
      </c>
    </row>
    <row r="929" customFormat="false" ht="15" hidden="false" customHeight="false" outlineLevel="0" collapsed="false">
      <c r="A929" s="4" t="s">
        <v>479</v>
      </c>
      <c r="B929" s="0" t="s">
        <v>301</v>
      </c>
      <c r="C929" s="24" t="n">
        <f aca="false">a25_gp</f>
        <v>8.434</v>
      </c>
      <c r="D929" s="24" t="n">
        <f aca="false">a26_gp</f>
        <v>15.390297</v>
      </c>
      <c r="E929" s="24" t="n">
        <f aca="false">$D$928*E923+d_ai*E915</f>
        <v>31.074349878288</v>
      </c>
      <c r="F929" s="24" t="n">
        <f aca="false">$D$928*F923+d_ai*F915</f>
        <v>34.9050631937066</v>
      </c>
      <c r="G929" s="24" t="n">
        <f aca="false">$D$928*G923+d_ai*G915</f>
        <v>42.4273711223974</v>
      </c>
    </row>
    <row r="930" customFormat="false" ht="15" hidden="false" customHeight="false" outlineLevel="0" collapsed="false">
      <c r="A930" s="4" t="s">
        <v>482</v>
      </c>
      <c r="B930" s="0" t="s">
        <v>196</v>
      </c>
      <c r="C930" s="18" t="n">
        <f aca="false">C929/C923</f>
        <v>0.415959755375814</v>
      </c>
      <c r="D930" s="18" t="n">
        <f aca="false">D929/D923</f>
        <v>0.473324773260588</v>
      </c>
      <c r="E930" s="18" t="n">
        <f aca="false">E929/E923</f>
        <v>0.49954683407451</v>
      </c>
      <c r="F930" s="18" t="n">
        <f aca="false">F929/F923</f>
        <v>0.496343276943389</v>
      </c>
      <c r="G930" s="18" t="n">
        <f aca="false">G929/G923</f>
        <v>0.493701647636994</v>
      </c>
    </row>
    <row r="931" customFormat="false" ht="15" hidden="false" customHeight="false" outlineLevel="0" collapsed="false">
      <c r="A931" s="4" t="s">
        <v>608</v>
      </c>
      <c r="B931" s="0" t="s">
        <v>301</v>
      </c>
      <c r="C931" s="24" t="n">
        <f aca="false">a25_opx</f>
        <v>1.936</v>
      </c>
      <c r="D931" s="24" t="n">
        <f aca="false">a26_opx</f>
        <v>2.8705005</v>
      </c>
      <c r="E931" s="24" t="n">
        <f aca="false">D931*(1+MAX(0,phi_hi*E924))</f>
        <v>5.2294536959359</v>
      </c>
      <c r="F931" s="24" t="n">
        <f aca="false">E931*(1+MAX(0,phi_hi*F924))</f>
        <v>5.84377405158642</v>
      </c>
      <c r="G931" s="24" t="n">
        <f aca="false">F931*(1+MAX(0,phi_hi*G924))</f>
        <v>7.0114201228777</v>
      </c>
    </row>
    <row r="932" customFormat="false" ht="15" hidden="false" customHeight="false" outlineLevel="0" collapsed="false">
      <c r="A932" s="4" t="s">
        <v>484</v>
      </c>
      <c r="B932" s="0" t="s">
        <v>301</v>
      </c>
      <c r="C932" s="24" t="n">
        <f aca="false">C931</f>
        <v>1.936</v>
      </c>
      <c r="D932" s="24" t="n">
        <f aca="false">D931</f>
        <v>2.8705005</v>
      </c>
      <c r="E932" s="24" t="n">
        <f aca="false">E931+0*E923</f>
        <v>5.2294536959359</v>
      </c>
      <c r="F932" s="24" t="n">
        <f aca="false">F931+0*F923</f>
        <v>5.84377405158642</v>
      </c>
      <c r="G932" s="24" t="n">
        <f aca="false">G931+0*G923</f>
        <v>7.0114201228777</v>
      </c>
    </row>
    <row r="933" customFormat="false" ht="15" hidden="false" customHeight="false" outlineLevel="0" collapsed="false">
      <c r="A933" s="4" t="s">
        <v>486</v>
      </c>
      <c r="B933" s="0" t="s">
        <v>301</v>
      </c>
      <c r="C933" s="24" t="n">
        <f aca="false">C929-C932</f>
        <v>6.498</v>
      </c>
      <c r="D933" s="24" t="n">
        <f aca="false">D929-D932</f>
        <v>12.5197965</v>
      </c>
      <c r="E933" s="24" t="n">
        <f aca="false">E929-E932</f>
        <v>25.8448961823521</v>
      </c>
      <c r="F933" s="24" t="n">
        <f aca="false">F929-F932</f>
        <v>29.0612891421202</v>
      </c>
      <c r="G933" s="24" t="n">
        <f aca="false">G929-G932</f>
        <v>35.4159509995197</v>
      </c>
    </row>
    <row r="934" customFormat="false" ht="15" hidden="false" customHeight="false" outlineLevel="0" collapsed="false">
      <c r="A934" s="4" t="s">
        <v>488</v>
      </c>
      <c r="B934" s="0" t="s">
        <v>196</v>
      </c>
      <c r="C934" s="18" t="n">
        <f aca="false">C933/C923</f>
        <v>0.320477411718288</v>
      </c>
      <c r="D934" s="18" t="n">
        <f aca="false">D933/D923</f>
        <v>0.385043241181844</v>
      </c>
      <c r="E934" s="18" t="n">
        <f aca="false">E933/E923</f>
        <v>0.415478879379525</v>
      </c>
      <c r="F934" s="18" t="n">
        <f aca="false">F933/F923</f>
        <v>0.413245935265918</v>
      </c>
      <c r="G934" s="18" t="n">
        <f aca="false">G933/G923</f>
        <v>0.412113993833185</v>
      </c>
    </row>
    <row r="935" customFormat="false" ht="15" hidden="false" customHeight="false" outlineLevel="0" collapsed="false">
      <c r="A935" s="4" t="s">
        <v>489</v>
      </c>
      <c r="B935" s="0" t="s">
        <v>301</v>
      </c>
      <c r="C935" s="29" t="n">
        <f aca="false">a25_nop</f>
        <v>0.108999999999999</v>
      </c>
      <c r="D935" s="29" t="n">
        <f aca="false">a26_nop</f>
        <v>0.330500000000001</v>
      </c>
      <c r="E935" s="29" t="n">
        <f aca="false">nop_f</f>
        <v>0.3</v>
      </c>
      <c r="F935" s="29" t="n">
        <f aca="false">nop_f</f>
        <v>0.3</v>
      </c>
      <c r="G935" s="29" t="n">
        <f aca="false">nop_f</f>
        <v>0.3</v>
      </c>
    </row>
    <row r="936" customFormat="false" ht="15" hidden="false" customHeight="false" outlineLevel="0" collapsed="false">
      <c r="A936" s="4" t="s">
        <v>494</v>
      </c>
      <c r="B936" s="0" t="s">
        <v>301</v>
      </c>
      <c r="C936" s="24" t="n">
        <f aca="false">a25_ni</f>
        <v>5.277</v>
      </c>
      <c r="D936" s="24" t="n">
        <f aca="false">a26_ni</f>
        <v>10.3442061825</v>
      </c>
      <c r="E936" s="24" t="n">
        <f aca="false">(E933+E935)*nir_f</f>
        <v>21.0466414267935</v>
      </c>
      <c r="F936" s="24" t="n">
        <f aca="false">(F933+F935)*nir_f</f>
        <v>23.6358377594067</v>
      </c>
      <c r="G936" s="24" t="n">
        <f aca="false">(G933+G935)*nir_f</f>
        <v>28.7513405546133</v>
      </c>
      <c r="H936" s="25" t="n">
        <f aca="false">H923*H940</f>
        <v>32.4148320856416</v>
      </c>
      <c r="I936" s="25" t="n">
        <f aca="false">I923*I940</f>
        <v>34.6045901022559</v>
      </c>
      <c r="J936" s="25" t="n">
        <f aca="false">J923*J940</f>
        <v>34.8723769943851</v>
      </c>
    </row>
    <row r="937" customFormat="false" ht="15" hidden="false" customHeight="false" outlineLevel="0" collapsed="false">
      <c r="A937" s="4" t="s">
        <v>609</v>
      </c>
      <c r="B937" s="4" t="s">
        <v>327</v>
      </c>
      <c r="C937" s="28" t="n">
        <f aca="false">a25_sh</f>
        <v>0.143591836734694</v>
      </c>
      <c r="D937" s="28" t="n">
        <f aca="false">a26_sh</f>
        <v>0.146703513620213</v>
      </c>
      <c r="E937" s="28" t="n">
        <f aca="false">D937*(1+sh_g)</f>
        <v>0.146703513620213</v>
      </c>
      <c r="F937" s="28" t="n">
        <f aca="false">E937*(1+sh_g)</f>
        <v>0.146703513620213</v>
      </c>
      <c r="G937" s="28" t="n">
        <f aca="false">F937*(1+sh_g)</f>
        <v>0.146703513620213</v>
      </c>
      <c r="H937" s="30" t="n">
        <f aca="false">G937*(1+sh_g)</f>
        <v>0.146703513620213</v>
      </c>
      <c r="I937" s="30" t="n">
        <f aca="false">H937*(1+sh_g)</f>
        <v>0.146703513620213</v>
      </c>
      <c r="J937" s="30" t="n">
        <f aca="false">I937*(1+sh_g)</f>
        <v>0.146703513620213</v>
      </c>
    </row>
    <row r="938" customFormat="false" ht="15" hidden="false" customHeight="false" outlineLevel="0" collapsed="false">
      <c r="A938" s="0" t="s">
        <v>500</v>
      </c>
      <c r="B938" s="0" t="s">
        <v>360</v>
      </c>
      <c r="C938" s="29" t="n">
        <f aca="false">C936/C937</f>
        <v>36.75</v>
      </c>
      <c r="D938" s="29" t="n">
        <f aca="false">D936/D937</f>
        <v>70.5109641019174</v>
      </c>
      <c r="E938" s="29" t="n">
        <f aca="false">E936/E937</f>
        <v>143.463785613746</v>
      </c>
      <c r="F938" s="29" t="n">
        <f aca="false">F936/F937</f>
        <v>161.112962983254</v>
      </c>
      <c r="G938" s="29" t="n">
        <f aca="false">G936/G937</f>
        <v>195.982630852625</v>
      </c>
      <c r="H938" s="31" t="n">
        <f aca="false">H936/H937</f>
        <v>220.954708484742</v>
      </c>
      <c r="I938" s="31" t="n">
        <f aca="false">I936/I937</f>
        <v>235.881126827272</v>
      </c>
      <c r="J938" s="31" t="n">
        <f aca="false">J936/J937</f>
        <v>237.706487962264</v>
      </c>
    </row>
    <row r="939" customFormat="false" ht="17.15" hidden="false" customHeight="false" outlineLevel="0" collapsed="false">
      <c r="A939" s="0" t="s">
        <v>610</v>
      </c>
      <c r="B939" s="0" t="s">
        <v>196</v>
      </c>
      <c r="D939" s="18" t="n">
        <f aca="false">D938/C938-1</f>
        <v>0.918665689848092</v>
      </c>
      <c r="E939" s="18" t="n">
        <f aca="false">E938/D938-1</f>
        <v>1.03463088955047</v>
      </c>
      <c r="F939" s="18" t="n">
        <f aca="false">F938/E938-1</f>
        <v>0.123021829474278</v>
      </c>
      <c r="G939" s="18" t="n">
        <f aca="false">G938/F938-1</f>
        <v>0.216429933530522</v>
      </c>
      <c r="H939" s="26" t="n">
        <f aca="false">H938/G938-1</f>
        <v>0.127419851052488</v>
      </c>
      <c r="I939" s="26" t="n">
        <f aca="false">I938/H938-1</f>
        <v>0.0675541989799262</v>
      </c>
      <c r="J939" s="26" t="n">
        <f aca="false">J938/I938-1</f>
        <v>0.00773847895143054</v>
      </c>
    </row>
    <row r="940" customFormat="false" ht="17.15" hidden="false" customHeight="false" outlineLevel="0" collapsed="false">
      <c r="A940" s="4" t="s">
        <v>611</v>
      </c>
      <c r="B940" s="0" t="s">
        <v>196</v>
      </c>
      <c r="C940" s="18" t="n">
        <f aca="false">C936/C923</f>
        <v>0.260258433616098</v>
      </c>
      <c r="D940" s="18" t="n">
        <f aca="false">D936/D923</f>
        <v>0.318133499690915</v>
      </c>
      <c r="E940" s="18" t="n">
        <f aca="false">E936/E923</f>
        <v>0.338342817591887</v>
      </c>
      <c r="F940" s="18" t="n">
        <f aca="false">F936/F923</f>
        <v>0.336097061383388</v>
      </c>
      <c r="G940" s="18" t="n">
        <f aca="false">G936/G923</f>
        <v>0.334561954419364</v>
      </c>
      <c r="H940" s="26" t="n">
        <f aca="false">$G940+(fade_mB-$G940)*1/3</f>
        <v>0.324789883468216</v>
      </c>
      <c r="I940" s="26" t="n">
        <f aca="false">$G940+(fade_mB-$G940)*2/3</f>
        <v>0.315017812517068</v>
      </c>
      <c r="J940" s="26" t="n">
        <f aca="false">$G940+(fade_mB-$G940)*3/3</f>
        <v>0.30524574156592</v>
      </c>
    </row>
    <row r="943" customFormat="false" ht="17.15" hidden="false" customHeight="false" outlineLevel="0" collapsed="false">
      <c r="A943" s="1" t="s">
        <v>921</v>
      </c>
    </row>
    <row r="944" customFormat="false" ht="17.15" hidden="false" customHeight="false" outlineLevel="0" collapsed="false">
      <c r="A944" s="5" t="s">
        <v>22</v>
      </c>
      <c r="B944" s="5" t="s">
        <v>23</v>
      </c>
      <c r="C944" s="15" t="s">
        <v>470</v>
      </c>
      <c r="D944" s="15" t="s">
        <v>553</v>
      </c>
      <c r="E944" s="15" t="s">
        <v>554</v>
      </c>
      <c r="F944" s="15" t="s">
        <v>555</v>
      </c>
      <c r="G944" s="15" t="s">
        <v>556</v>
      </c>
      <c r="H944" s="15" t="s">
        <v>557</v>
      </c>
      <c r="I944" s="15" t="s">
        <v>558</v>
      </c>
      <c r="J944" s="15" t="s">
        <v>559</v>
      </c>
      <c r="K944" s="5" t="s">
        <v>523</v>
      </c>
    </row>
    <row r="945" customFormat="false" ht="17.15" hidden="false" customHeight="false" outlineLevel="0" collapsed="false">
      <c r="A945" s="6" t="s">
        <v>575</v>
      </c>
    </row>
    <row r="946" customFormat="false" ht="17.15" hidden="false" customHeight="false" outlineLevel="0" collapsed="false">
      <c r="A946" s="0" t="s">
        <v>576</v>
      </c>
      <c r="B946" s="4" t="s">
        <v>33</v>
      </c>
      <c r="D946" s="19" t="n">
        <f aca="false">(u_bw26)*1</f>
        <v>5.4</v>
      </c>
      <c r="E946" s="19" t="n">
        <f aca="false">(u_bw27)*1*1</f>
        <v>2.4</v>
      </c>
      <c r="F946" s="19" t="n">
        <f aca="false">(u_bw28)*um28_B*1</f>
        <v>0.4</v>
      </c>
      <c r="G946" s="19" t="n">
        <f aca="false">(u_bw29)*um29_B*1</f>
        <v>0.2125</v>
      </c>
    </row>
    <row r="947" customFormat="false" ht="17.15" hidden="false" customHeight="false" outlineLevel="0" collapsed="false">
      <c r="A947" s="0" t="s">
        <v>577</v>
      </c>
      <c r="B947" s="4" t="s">
        <v>33</v>
      </c>
      <c r="D947" s="19" t="n">
        <f aca="false">(u_hp26)*1</f>
        <v>0.5</v>
      </c>
      <c r="E947" s="19" t="n">
        <f aca="false">(u_hp27)*1*1</f>
        <v>0</v>
      </c>
      <c r="F947" s="19" t="n">
        <f aca="false">(u_hp28)*um28_B*1</f>
        <v>0</v>
      </c>
      <c r="G947" s="19" t="n">
        <f aca="false">(u_hp29)*um29_B*1</f>
        <v>0</v>
      </c>
    </row>
    <row r="948" customFormat="false" ht="17.15" hidden="false" customHeight="false" outlineLevel="0" collapsed="false">
      <c r="A948" s="0" t="s">
        <v>578</v>
      </c>
      <c r="B948" s="4" t="s">
        <v>33</v>
      </c>
      <c r="D948" s="19" t="n">
        <f aca="false">(u_rb26)*1</f>
        <v>1.7</v>
      </c>
      <c r="E948" s="19" t="n">
        <f aca="false">(u_rb27)*1*1</f>
        <v>7</v>
      </c>
      <c r="F948" s="19" t="n">
        <f aca="false">(u_rb28)*um28_B*1</f>
        <v>5.6</v>
      </c>
      <c r="G948" s="19" t="n">
        <f aca="false">(u_rb29)*um29_B*1</f>
        <v>6.8425</v>
      </c>
    </row>
    <row r="949" customFormat="false" ht="17.15" hidden="false" customHeight="false" outlineLevel="0" collapsed="false">
      <c r="A949" s="0" t="s">
        <v>579</v>
      </c>
      <c r="B949" s="4" t="s">
        <v>33</v>
      </c>
      <c r="D949" s="19" t="n">
        <f aca="false">(u_ru26)*1</f>
        <v>0</v>
      </c>
      <c r="E949" s="19" t="n">
        <f aca="false">(u_ru27)*1*1</f>
        <v>0.3</v>
      </c>
      <c r="F949" s="19" t="n">
        <f aca="false">(u_ru28)*um28_B*1</f>
        <v>1.6</v>
      </c>
      <c r="G949" s="19" t="n">
        <f aca="false">(u_ru29)*um29_B*1</f>
        <v>1.955</v>
      </c>
    </row>
    <row r="950" customFormat="false" ht="17.15" hidden="false" customHeight="false" outlineLevel="0" collapsed="false">
      <c r="A950" s="0" t="s">
        <v>580</v>
      </c>
      <c r="B950" s="4" t="s">
        <v>33</v>
      </c>
      <c r="D950" s="19" t="n">
        <f aca="false">(u_amd26)*1</f>
        <v>0.75</v>
      </c>
      <c r="E950" s="19" t="n">
        <f aca="false">(u_amd27)*1*1</f>
        <v>1.5</v>
      </c>
      <c r="F950" s="19" t="n">
        <f aca="false">(u_amd28)*um28_B*1</f>
        <v>1.6</v>
      </c>
      <c r="G950" s="19" t="n">
        <f aca="false">(u_amd29)*um29_B*1</f>
        <v>1.955</v>
      </c>
    </row>
    <row r="951" customFormat="false" ht="17.15" hidden="false" customHeight="false" outlineLevel="0" collapsed="false">
      <c r="A951" s="0" t="s">
        <v>581</v>
      </c>
      <c r="B951" s="4" t="s">
        <v>33</v>
      </c>
      <c r="D951" s="19" t="n">
        <f aca="false">(u_tpu26+u_trn26+u_oth26)*1</f>
        <v>6.85</v>
      </c>
      <c r="E951" s="19" t="n">
        <f aca="false">(u_tpu27+u_trn27+u_oth27)*1*1</f>
        <v>12.5</v>
      </c>
      <c r="F951" s="19" t="n">
        <f aca="false">(u_tpu28+u_trn28+u_oth28)*um28_B*1</f>
        <v>12</v>
      </c>
      <c r="G951" s="19" t="n">
        <f aca="false">(u_tpu29+u_trn29+u_oth29)*um29_B*1</f>
        <v>14.6625</v>
      </c>
    </row>
    <row r="952" customFormat="false" ht="17.15" hidden="false" customHeight="false" outlineLevel="0" collapsed="false">
      <c r="A952" s="0" t="s">
        <v>527</v>
      </c>
      <c r="B952" s="0" t="s">
        <v>136</v>
      </c>
      <c r="D952" s="22" t="n">
        <f aca="false">asp_vr_26</f>
        <v>100</v>
      </c>
      <c r="E952" s="22" t="n">
        <f aca="false">asp_vr_27</f>
        <v>150</v>
      </c>
      <c r="F952" s="22" t="n">
        <f aca="false">asp_vr_28</f>
        <v>180</v>
      </c>
      <c r="G952" s="22" t="n">
        <f aca="false">asp_vr_29</f>
        <v>180</v>
      </c>
    </row>
    <row r="953" customFormat="false" ht="17.15" hidden="false" customHeight="false" outlineLevel="0" collapsed="false">
      <c r="A953" s="0" t="s">
        <v>582</v>
      </c>
      <c r="B953" s="0" t="s">
        <v>136</v>
      </c>
      <c r="D953" s="22" t="n">
        <f aca="false">asp_amd_26</f>
        <v>40</v>
      </c>
      <c r="E953" s="22" t="n">
        <f aca="false">asp_amd_27</f>
        <v>60</v>
      </c>
      <c r="F953" s="22" t="n">
        <f aca="false">asp_amd_28</f>
        <v>80</v>
      </c>
      <c r="G953" s="22" t="n">
        <f aca="false">asp_amd_29</f>
        <v>80</v>
      </c>
    </row>
    <row r="954" customFormat="false" ht="17.15" hidden="false" customHeight="false" outlineLevel="0" collapsed="false">
      <c r="A954" s="0" t="s">
        <v>583</v>
      </c>
      <c r="B954" s="0" t="s">
        <v>136</v>
      </c>
      <c r="D954" s="22" t="n">
        <f aca="false">asp_asic_26</f>
        <v>30</v>
      </c>
      <c r="E954" s="22" t="n">
        <f aca="false">asp_asic_27</f>
        <v>35</v>
      </c>
      <c r="F954" s="22" t="n">
        <f aca="false">asp_asic_28</f>
        <v>40</v>
      </c>
      <c r="G954" s="22" t="n">
        <f aca="false">asp_asic_29</f>
        <v>40</v>
      </c>
    </row>
    <row r="955" customFormat="false" ht="17.15" hidden="false" customHeight="false" outlineLevel="0" collapsed="false">
      <c r="A955" s="0" t="s">
        <v>584</v>
      </c>
      <c r="B955" s="0" t="s">
        <v>205</v>
      </c>
      <c r="D955" s="17" t="n">
        <f aca="false">(D946*asp_bw+D947*asp_hp+D948*D952+D949*asp_ru)/1000</f>
        <v>0.3665</v>
      </c>
      <c r="E955" s="17" t="n">
        <f aca="false">(E946*asp_bw+E947*asp_hp+E948*E952+E949*asp_ru)/1000</f>
        <v>1.194</v>
      </c>
      <c r="F955" s="17" t="n">
        <f aca="false">(F946*asp_bw+F947*asp_hp+F948*F952+F949*asp_ru)/1000</f>
        <v>1.342</v>
      </c>
      <c r="G955" s="17" t="n">
        <f aca="false">(G946*asp_bw+G947*asp_hp+G948*G952+G949*asp_ru)/1000</f>
        <v>1.6300875</v>
      </c>
      <c r="K955" s="4" t="s">
        <v>585</v>
      </c>
    </row>
    <row r="956" customFormat="false" ht="17.15" hidden="false" customHeight="false" outlineLevel="0" collapsed="false">
      <c r="A956" s="4" t="s">
        <v>586</v>
      </c>
      <c r="B956" s="0" t="s">
        <v>205</v>
      </c>
      <c r="D956" s="17" t="n">
        <f aca="false">(D950*D953+D951*D954)/1000</f>
        <v>0.2355</v>
      </c>
      <c r="E956" s="17" t="n">
        <f aca="false">(E950*E953+E951*E954)/1000</f>
        <v>0.5275</v>
      </c>
      <c r="F956" s="17" t="n">
        <f aca="false">(F950*F953+F951*F954)/1000</f>
        <v>0.608</v>
      </c>
      <c r="G956" s="17" t="n">
        <f aca="false">(G950*G953+G951*G954)/1000</f>
        <v>0.7429</v>
      </c>
    </row>
    <row r="957" customFormat="false" ht="17.15" hidden="false" customHeight="false" outlineLevel="0" collapsed="false">
      <c r="A957" s="0" t="s">
        <v>587</v>
      </c>
      <c r="B957" s="0" t="s">
        <v>205</v>
      </c>
      <c r="D957" s="17" t="n">
        <f aca="false">D955+D956</f>
        <v>0.602</v>
      </c>
      <c r="E957" s="17" t="n">
        <f aca="false">E955+E956</f>
        <v>1.7215</v>
      </c>
      <c r="F957" s="17" t="n">
        <f aca="false">F955+F956</f>
        <v>1.95</v>
      </c>
      <c r="G957" s="17" t="n">
        <f aca="false">G955+G956</f>
        <v>2.3729875</v>
      </c>
    </row>
    <row r="958" customFormat="false" ht="17.15" hidden="false" customHeight="false" outlineLevel="0" collapsed="false">
      <c r="A958" s="4" t="s">
        <v>588</v>
      </c>
      <c r="B958" s="0" t="s">
        <v>196</v>
      </c>
      <c r="D958" s="18" t="n">
        <f aca="false">a26_rev*ai_26/fx/(D955+k_non*D956)</f>
        <v>0.882225417842414</v>
      </c>
      <c r="K958" s="8" t="s">
        <v>589</v>
      </c>
    </row>
    <row r="959" customFormat="false" ht="17.15" hidden="false" customHeight="false" outlineLevel="0" collapsed="false">
      <c r="A959" s="4" t="s">
        <v>590</v>
      </c>
      <c r="B959" s="0" t="s">
        <v>109</v>
      </c>
      <c r="D959" s="19" t="n">
        <f aca="false">1</f>
        <v>1</v>
      </c>
      <c r="E959" s="19" t="n">
        <f aca="false">rel_27</f>
        <v>0.97</v>
      </c>
      <c r="F959" s="19" t="n">
        <f aca="false">rel_28</f>
        <v>0.93</v>
      </c>
      <c r="G959" s="19" t="n">
        <f aca="false">rel_29</f>
        <v>0.9</v>
      </c>
    </row>
    <row r="960" customFormat="false" ht="17.15" hidden="false" customHeight="false" outlineLevel="0" collapsed="false">
      <c r="A960" s="4" t="s">
        <v>591</v>
      </c>
      <c r="B960" s="0" t="s">
        <v>196</v>
      </c>
      <c r="D960" s="18" t="n">
        <f aca="false">$D$958*D959</f>
        <v>0.882225417842414</v>
      </c>
      <c r="E960" s="18" t="n">
        <f aca="false">$D$958*E959</f>
        <v>0.855758655307142</v>
      </c>
      <c r="F960" s="18" t="n">
        <f aca="false">$D$958*F959</f>
        <v>0.820469638593445</v>
      </c>
      <c r="G960" s="18" t="n">
        <f aca="false">$D$958*G959</f>
        <v>0.794002876058173</v>
      </c>
    </row>
    <row r="961" customFormat="false" ht="17.15" hidden="false" customHeight="false" outlineLevel="0" collapsed="false">
      <c r="A961" s="4" t="s">
        <v>592</v>
      </c>
      <c r="B961" s="0" t="s">
        <v>196</v>
      </c>
      <c r="D961" s="18" t="n">
        <f aca="false">D960*k_non</f>
        <v>0.352890167136966</v>
      </c>
      <c r="E961" s="18" t="n">
        <f aca="false">E960*k_non</f>
        <v>0.342303462122857</v>
      </c>
      <c r="F961" s="18" t="n">
        <f aca="false">F960*k_non</f>
        <v>0.328187855437378</v>
      </c>
      <c r="G961" s="18" t="n">
        <f aca="false">G960*k_non</f>
        <v>0.317601150423269</v>
      </c>
    </row>
    <row r="962" customFormat="false" ht="17.15" hidden="false" customHeight="false" outlineLevel="0" collapsed="false">
      <c r="A962" s="0" t="s">
        <v>593</v>
      </c>
      <c r="B962" s="0" t="s">
        <v>301</v>
      </c>
      <c r="C962" s="24" t="n">
        <f aca="false">a25_ail</f>
        <v>6.0828</v>
      </c>
      <c r="D962" s="24" t="n">
        <f aca="false">(D955*D960+D956*D961)*fx</f>
        <v>13.00612</v>
      </c>
      <c r="E962" s="24" t="n">
        <f aca="false">(E955*E960+E956*E961)*fx</f>
        <v>38.4749091426091</v>
      </c>
      <c r="F962" s="24" t="n">
        <f aca="false">(F955*F960+F956*F961)*fx</f>
        <v>41.6194710751465</v>
      </c>
      <c r="G962" s="24" t="n">
        <f aca="false">(G955*G960+G956*G961)*fx</f>
        <v>48.9676818520295</v>
      </c>
    </row>
    <row r="963" customFormat="false" ht="17.15" hidden="false" customHeight="false" outlineLevel="0" collapsed="false">
      <c r="A963" s="6" t="s">
        <v>594</v>
      </c>
    </row>
    <row r="964" customFormat="false" ht="17.15" hidden="false" customHeight="false" outlineLevel="0" collapsed="false">
      <c r="A964" s="0" t="s">
        <v>595</v>
      </c>
      <c r="B964" s="0" t="s">
        <v>205</v>
      </c>
      <c r="D964" s="24" t="n">
        <f aca="false">lmkB_26</f>
        <v>4.51368758595869</v>
      </c>
      <c r="E964" s="24" t="n">
        <f aca="false">lmkB_27*1</f>
        <v>10.2011004204398</v>
      </c>
      <c r="F964" s="24" t="n">
        <f aca="false">lmkB_28*1</f>
        <v>12.6260448229601</v>
      </c>
      <c r="G964" s="24" t="n">
        <f aca="false">lmkB_29*1</f>
        <v>16.1809438578051</v>
      </c>
      <c r="K964" s="4" t="s">
        <v>596</v>
      </c>
    </row>
    <row r="965" customFormat="false" ht="15" hidden="false" customHeight="false" outlineLevel="0" collapsed="false">
      <c r="A965" s="4" t="s">
        <v>542</v>
      </c>
      <c r="B965" s="0" t="s">
        <v>196</v>
      </c>
      <c r="D965" s="18" t="n">
        <f aca="false">0</f>
        <v>0</v>
      </c>
      <c r="E965" s="18" t="n">
        <f aca="false">lcs_27</f>
        <v>0.008</v>
      </c>
      <c r="F965" s="18" t="n">
        <f aca="false">lcs_28</f>
        <v>0.015</v>
      </c>
      <c r="G965" s="18" t="n">
        <f aca="false">lcs_29</f>
        <v>0.025</v>
      </c>
    </row>
    <row r="966" customFormat="false" ht="17.15" hidden="false" customHeight="false" outlineLevel="0" collapsed="false">
      <c r="A966" s="4" t="s">
        <v>597</v>
      </c>
      <c r="B966" s="0" t="s">
        <v>301</v>
      </c>
      <c r="C966" s="24" t="n">
        <f aca="false">0</f>
        <v>0</v>
      </c>
      <c r="D966" s="24" t="n">
        <f aca="false">D964*D965*fx</f>
        <v>0</v>
      </c>
      <c r="E966" s="24" t="n">
        <f aca="false">E964*E965*fx</f>
        <v>2.61148170763259</v>
      </c>
      <c r="F966" s="24" t="n">
        <f aca="false">F964*F965*fx</f>
        <v>6.06050151502085</v>
      </c>
      <c r="G966" s="24" t="n">
        <f aca="false">G964*G965*fx</f>
        <v>12.9447550862441</v>
      </c>
    </row>
    <row r="967" customFormat="false" ht="17.15" hidden="false" customHeight="false" outlineLevel="0" collapsed="false">
      <c r="A967" s="6" t="s">
        <v>598</v>
      </c>
    </row>
    <row r="968" customFormat="false" ht="17.15" hidden="false" customHeight="false" outlineLevel="0" collapsed="false">
      <c r="A968" s="4" t="s">
        <v>599</v>
      </c>
      <c r="B968" s="0" t="s">
        <v>301</v>
      </c>
      <c r="C968" s="24" t="n">
        <f aca="false">a25_oth</f>
        <v>8.637576</v>
      </c>
      <c r="D968" s="24" t="n">
        <f aca="false">a26_rev*(th_26-ai_26)</f>
        <v>11.380355</v>
      </c>
      <c r="E968" s="24" t="n">
        <f aca="false">D968*(1+g_oth_27)</f>
        <v>12.7459976</v>
      </c>
      <c r="F968" s="24" t="n">
        <f aca="false">E968*(1+g_oth_28)</f>
        <v>14.02059736</v>
      </c>
      <c r="G968" s="24" t="n">
        <f aca="false">F968*(1+g_oth_29)</f>
        <v>15.1422451488</v>
      </c>
    </row>
    <row r="969" customFormat="false" ht="15" hidden="false" customHeight="false" outlineLevel="0" collapsed="false">
      <c r="A969" s="4" t="s">
        <v>600</v>
      </c>
      <c r="B969" s="0" t="s">
        <v>301</v>
      </c>
      <c r="C969" s="24" t="n">
        <f aca="false">a25_lf</f>
        <v>5.555624</v>
      </c>
      <c r="D969" s="24" t="n">
        <f aca="false">a26_lf</f>
        <v>8.128825</v>
      </c>
      <c r="E969" s="24" t="n">
        <f aca="false">D969*(1+g_lf_27)</f>
        <v>8.37268975</v>
      </c>
      <c r="F969" s="24" t="n">
        <f aca="false">E969*(1+g_lf_28)</f>
        <v>8.6238704425</v>
      </c>
      <c r="G969" s="24" t="n">
        <f aca="false">F969*(1+g_lf_29)</f>
        <v>8.882586555775</v>
      </c>
    </row>
    <row r="970" customFormat="false" ht="17.15" hidden="false" customHeight="false" outlineLevel="0" collapsed="false">
      <c r="A970" s="4" t="s">
        <v>475</v>
      </c>
      <c r="B970" s="0" t="s">
        <v>301</v>
      </c>
      <c r="C970" s="24" t="n">
        <f aca="false">C962+C966+C968+C969</f>
        <v>20.276</v>
      </c>
      <c r="D970" s="24" t="n">
        <f aca="false">D962+D966+D968+D969</f>
        <v>32.5153</v>
      </c>
      <c r="E970" s="24" t="n">
        <f aca="false">E962+E966+E968+E969</f>
        <v>62.2050782002417</v>
      </c>
      <c r="F970" s="24" t="n">
        <f aca="false">F962+F966+F968+F969</f>
        <v>70.3244403926674</v>
      </c>
      <c r="G970" s="24" t="n">
        <f aca="false">G962+G966+G968+G969</f>
        <v>85.9372686428486</v>
      </c>
      <c r="H970" s="25" t="n">
        <f aca="false">G970*(1+H971)</f>
        <v>99.8024684128244</v>
      </c>
      <c r="I970" s="25" t="n">
        <f aca="false">H970*(1+I971)</f>
        <v>109.849629853489</v>
      </c>
      <c r="J970" s="25" t="n">
        <f aca="false">I970*(1+J971)</f>
        <v>114.243615047629</v>
      </c>
      <c r="K970" s="8" t="s">
        <v>601</v>
      </c>
    </row>
    <row r="971" customFormat="false" ht="15" hidden="false" customHeight="false" outlineLevel="0" collapsed="false">
      <c r="A971" s="4" t="s">
        <v>602</v>
      </c>
      <c r="B971" s="0" t="s">
        <v>196</v>
      </c>
      <c r="D971" s="18" t="n">
        <f aca="false">D970/C970-1</f>
        <v>0.603634839218781</v>
      </c>
      <c r="E971" s="18" t="n">
        <f aca="false">E970/D970-1</f>
        <v>0.913101776709477</v>
      </c>
      <c r="F971" s="18" t="n">
        <f aca="false">F970/E970-1</f>
        <v>0.13052571313051</v>
      </c>
      <c r="G971" s="18" t="n">
        <f aca="false">G970/F970-1</f>
        <v>0.222011411153855</v>
      </c>
      <c r="H971" s="26" t="n">
        <f aca="false">$G971+(fade_gB-$G971)*1/3</f>
        <v>0.161340940769237</v>
      </c>
      <c r="I971" s="26" t="n">
        <f aca="false">$G971+(fade_gB-$G971)*2/3</f>
        <v>0.100670470384618</v>
      </c>
      <c r="J971" s="26" t="n">
        <f aca="false">$G971+(fade_gB-$G971)*3/3</f>
        <v>0.04</v>
      </c>
    </row>
    <row r="972" customFormat="false" ht="17.15" hidden="false" customHeight="false" outlineLevel="0" collapsed="false">
      <c r="A972" s="0" t="s">
        <v>603</v>
      </c>
      <c r="B972" s="0" t="s">
        <v>196</v>
      </c>
      <c r="C972" s="18" t="n">
        <f aca="false">C962/C970</f>
        <v>0.3</v>
      </c>
      <c r="D972" s="18" t="n">
        <f aca="false">D962/D970</f>
        <v>0.4</v>
      </c>
      <c r="E972" s="18" t="n">
        <f aca="false">E962/E970</f>
        <v>0.618517173449347</v>
      </c>
      <c r="F972" s="18" t="n">
        <f aca="false">F962/F970</f>
        <v>0.591820864023343</v>
      </c>
      <c r="G972" s="18" t="n">
        <f aca="false">G962/G970</f>
        <v>0.569807286470053</v>
      </c>
    </row>
    <row r="973" customFormat="false" ht="17.15" hidden="false" customHeight="false" outlineLevel="0" collapsed="false">
      <c r="A973" s="4" t="s">
        <v>604</v>
      </c>
      <c r="B973" s="0" t="s">
        <v>136</v>
      </c>
      <c r="D973" s="24" t="n">
        <f aca="false">D962/fx*1000/(D946+D947+D948+D949+D950+D951)</f>
        <v>26.7395559210526</v>
      </c>
      <c r="E973" s="24" t="n">
        <f aca="false">E962/fx*1000/(E946+E947+E948+E949+E950+E951)</f>
        <v>50.7316839960563</v>
      </c>
      <c r="F973" s="24" t="n">
        <f aca="false">F962/fx*1000/(F946+F947+F948+F949+F950+F951)</f>
        <v>61.3494561838834</v>
      </c>
      <c r="G973" s="24" t="n">
        <f aca="false">G962/fx*1000/(G946+G947+G948+G949+G950+G951)</f>
        <v>59.7108597356716</v>
      </c>
    </row>
    <row r="974" customFormat="false" ht="17.15" hidden="false" customHeight="false" outlineLevel="0" collapsed="false">
      <c r="A974" s="6" t="s">
        <v>605</v>
      </c>
    </row>
    <row r="975" customFormat="false" ht="17.15" hidden="false" customHeight="false" outlineLevel="0" collapsed="false">
      <c r="A975" s="4" t="s">
        <v>606</v>
      </c>
      <c r="B975" s="0" t="s">
        <v>196</v>
      </c>
      <c r="D975" s="18" t="n">
        <f aca="false">a26_gp/D970-d_ai*D972</f>
        <v>0.425324773260588</v>
      </c>
      <c r="K975" s="8" t="s">
        <v>607</v>
      </c>
    </row>
    <row r="976" customFormat="false" ht="15" hidden="false" customHeight="false" outlineLevel="0" collapsed="false">
      <c r="A976" s="4" t="s">
        <v>479</v>
      </c>
      <c r="B976" s="0" t="s">
        <v>301</v>
      </c>
      <c r="C976" s="24" t="n">
        <f aca="false">a25_gp</f>
        <v>8.434</v>
      </c>
      <c r="D976" s="24" t="n">
        <f aca="false">a26_gp</f>
        <v>15.390297</v>
      </c>
      <c r="E976" s="24" t="n">
        <f aca="false">$D$975*E970+d_ai*E962</f>
        <v>31.074349878288</v>
      </c>
      <c r="F976" s="24" t="n">
        <f aca="false">$D$975*F970+d_ai*F962</f>
        <v>34.9050631937066</v>
      </c>
      <c r="G976" s="24" t="n">
        <f aca="false">$D$975*G970+d_ai*G962</f>
        <v>42.4273711223974</v>
      </c>
    </row>
    <row r="977" customFormat="false" ht="15" hidden="false" customHeight="false" outlineLevel="0" collapsed="false">
      <c r="A977" s="4" t="s">
        <v>482</v>
      </c>
      <c r="B977" s="0" t="s">
        <v>196</v>
      </c>
      <c r="C977" s="18" t="n">
        <f aca="false">C976/C970</f>
        <v>0.415959755375814</v>
      </c>
      <c r="D977" s="18" t="n">
        <f aca="false">D976/D970</f>
        <v>0.473324773260588</v>
      </c>
      <c r="E977" s="18" t="n">
        <f aca="false">E976/E970</f>
        <v>0.49954683407451</v>
      </c>
      <c r="F977" s="18" t="n">
        <f aca="false">F976/F970</f>
        <v>0.496343276943389</v>
      </c>
      <c r="G977" s="18" t="n">
        <f aca="false">G976/G970</f>
        <v>0.493701647636994</v>
      </c>
    </row>
    <row r="978" customFormat="false" ht="15" hidden="false" customHeight="false" outlineLevel="0" collapsed="false">
      <c r="A978" s="4" t="s">
        <v>608</v>
      </c>
      <c r="B978" s="0" t="s">
        <v>301</v>
      </c>
      <c r="C978" s="24" t="n">
        <f aca="false">a25_opx</f>
        <v>1.936</v>
      </c>
      <c r="D978" s="24" t="n">
        <f aca="false">a26_opx</f>
        <v>2.8705005</v>
      </c>
      <c r="E978" s="24" t="n">
        <f aca="false">D978*(1+MAX(0,phi*E971))</f>
        <v>4.44313596395727</v>
      </c>
      <c r="F978" s="24" t="n">
        <f aca="false">E978*(1+MAX(0,phi*F971))</f>
        <v>4.79110205809607</v>
      </c>
      <c r="G978" s="24" t="n">
        <f aca="false">F978*(1+MAX(0,phi*G971))</f>
        <v>5.4293096554361</v>
      </c>
    </row>
    <row r="979" customFormat="false" ht="15" hidden="false" customHeight="false" outlineLevel="0" collapsed="false">
      <c r="A979" s="4" t="s">
        <v>484</v>
      </c>
      <c r="B979" s="0" t="s">
        <v>301</v>
      </c>
      <c r="C979" s="24" t="n">
        <f aca="false">C978</f>
        <v>1.936</v>
      </c>
      <c r="D979" s="24" t="n">
        <f aca="false">D978</f>
        <v>2.8705005</v>
      </c>
      <c r="E979" s="24" t="n">
        <f aca="false">E978+opx_adj_hi*E970</f>
        <v>5.6872375279621</v>
      </c>
      <c r="F979" s="24" t="n">
        <f aca="false">F978+opx_adj_hi*F970</f>
        <v>6.19759086594942</v>
      </c>
      <c r="G979" s="24" t="n">
        <f aca="false">G978+opx_adj_hi*G970</f>
        <v>7.14805502829307</v>
      </c>
    </row>
    <row r="980" customFormat="false" ht="15" hidden="false" customHeight="false" outlineLevel="0" collapsed="false">
      <c r="A980" s="4" t="s">
        <v>486</v>
      </c>
      <c r="B980" s="0" t="s">
        <v>301</v>
      </c>
      <c r="C980" s="24" t="n">
        <f aca="false">C976-C979</f>
        <v>6.498</v>
      </c>
      <c r="D980" s="24" t="n">
        <f aca="false">D976-D979</f>
        <v>12.5197965</v>
      </c>
      <c r="E980" s="24" t="n">
        <f aca="false">E976-E979</f>
        <v>25.3871123503259</v>
      </c>
      <c r="F980" s="24" t="n">
        <f aca="false">F976-F979</f>
        <v>28.7074723277572</v>
      </c>
      <c r="G980" s="24" t="n">
        <f aca="false">G976-G979</f>
        <v>35.2793160941043</v>
      </c>
    </row>
    <row r="981" customFormat="false" ht="15" hidden="false" customHeight="false" outlineLevel="0" collapsed="false">
      <c r="A981" s="4" t="s">
        <v>488</v>
      </c>
      <c r="B981" s="0" t="s">
        <v>196</v>
      </c>
      <c r="C981" s="18" t="n">
        <f aca="false">C980/C970</f>
        <v>0.320477411718288</v>
      </c>
      <c r="D981" s="18" t="n">
        <f aca="false">D980/D970</f>
        <v>0.385043241181844</v>
      </c>
      <c r="E981" s="18" t="n">
        <f aca="false">E980/E970</f>
        <v>0.408119611530804</v>
      </c>
      <c r="F981" s="18" t="n">
        <f aca="false">F980/F970</f>
        <v>0.408214728300212</v>
      </c>
      <c r="G981" s="18" t="n">
        <f aca="false">G980/G970</f>
        <v>0.410524056107991</v>
      </c>
    </row>
    <row r="982" customFormat="false" ht="15" hidden="false" customHeight="false" outlineLevel="0" collapsed="false">
      <c r="A982" s="4" t="s">
        <v>489</v>
      </c>
      <c r="B982" s="0" t="s">
        <v>301</v>
      </c>
      <c r="C982" s="29" t="n">
        <f aca="false">a25_nop</f>
        <v>0.108999999999999</v>
      </c>
      <c r="D982" s="29" t="n">
        <f aca="false">a26_nop</f>
        <v>0.330500000000001</v>
      </c>
      <c r="E982" s="29" t="n">
        <f aca="false">nop_f</f>
        <v>0.3</v>
      </c>
      <c r="F982" s="29" t="n">
        <f aca="false">nop_f</f>
        <v>0.3</v>
      </c>
      <c r="G982" s="29" t="n">
        <f aca="false">nop_f</f>
        <v>0.3</v>
      </c>
    </row>
    <row r="983" customFormat="false" ht="15" hidden="false" customHeight="false" outlineLevel="0" collapsed="false">
      <c r="A983" s="4" t="s">
        <v>494</v>
      </c>
      <c r="B983" s="0" t="s">
        <v>301</v>
      </c>
      <c r="C983" s="24" t="n">
        <f aca="false">a25_ni</f>
        <v>5.277</v>
      </c>
      <c r="D983" s="24" t="n">
        <f aca="false">a26_ni</f>
        <v>10.3442061825</v>
      </c>
      <c r="E983" s="24" t="n">
        <f aca="false">(E980+E982)*nir_f</f>
        <v>20.6781254420124</v>
      </c>
      <c r="F983" s="24" t="n">
        <f aca="false">(F980+F982)*nir_f</f>
        <v>23.3510152238445</v>
      </c>
      <c r="G983" s="24" t="n">
        <f aca="false">(G980+G982)*nir_f</f>
        <v>28.641349455754</v>
      </c>
      <c r="H983" s="25" t="n">
        <f aca="false">H970*H987</f>
        <v>32.3296739748245</v>
      </c>
      <c r="I983" s="25" t="n">
        <f aca="false">I970*I987</f>
        <v>34.5577245933108</v>
      </c>
      <c r="J983" s="25" t="n">
        <f aca="false">J970*J987</f>
        <v>34.8723769943851</v>
      </c>
    </row>
    <row r="984" customFormat="false" ht="15" hidden="false" customHeight="false" outlineLevel="0" collapsed="false">
      <c r="A984" s="4" t="s">
        <v>609</v>
      </c>
      <c r="B984" s="4" t="s">
        <v>327</v>
      </c>
      <c r="C984" s="28" t="n">
        <f aca="false">a25_sh</f>
        <v>0.143591836734694</v>
      </c>
      <c r="D984" s="28" t="n">
        <f aca="false">a26_sh</f>
        <v>0.146703513620213</v>
      </c>
      <c r="E984" s="28" t="n">
        <f aca="false">D984*(1+sh_g)</f>
        <v>0.146703513620213</v>
      </c>
      <c r="F984" s="28" t="n">
        <f aca="false">E984*(1+sh_g)</f>
        <v>0.146703513620213</v>
      </c>
      <c r="G984" s="28" t="n">
        <f aca="false">F984*(1+sh_g)</f>
        <v>0.146703513620213</v>
      </c>
      <c r="H984" s="30" t="n">
        <f aca="false">G984*(1+sh_g)</f>
        <v>0.146703513620213</v>
      </c>
      <c r="I984" s="30" t="n">
        <f aca="false">H984*(1+sh_g)</f>
        <v>0.146703513620213</v>
      </c>
      <c r="J984" s="30" t="n">
        <f aca="false">I984*(1+sh_g)</f>
        <v>0.146703513620213</v>
      </c>
    </row>
    <row r="985" customFormat="false" ht="15" hidden="false" customHeight="false" outlineLevel="0" collapsed="false">
      <c r="A985" s="0" t="s">
        <v>500</v>
      </c>
      <c r="B985" s="0" t="s">
        <v>360</v>
      </c>
      <c r="C985" s="29" t="n">
        <f aca="false">C983/C984</f>
        <v>36.75</v>
      </c>
      <c r="D985" s="29" t="n">
        <f aca="false">D983/D984</f>
        <v>70.5109641019174</v>
      </c>
      <c r="E985" s="29" t="n">
        <f aca="false">E983/E984</f>
        <v>140.951807708873</v>
      </c>
      <c r="F985" s="29" t="n">
        <f aca="false">F983/F984</f>
        <v>159.171478907422</v>
      </c>
      <c r="G985" s="29" t="n">
        <f aca="false">G983/G984</f>
        <v>195.232879901574</v>
      </c>
      <c r="H985" s="31" t="n">
        <f aca="false">H983/H984</f>
        <v>220.37423083485</v>
      </c>
      <c r="I985" s="31" t="n">
        <f aca="false">I983/I984</f>
        <v>235.561669523295</v>
      </c>
      <c r="J985" s="31" t="n">
        <f aca="false">J983/J984</f>
        <v>237.706487962264</v>
      </c>
    </row>
    <row r="986" customFormat="false" ht="17.15" hidden="false" customHeight="false" outlineLevel="0" collapsed="false">
      <c r="A986" s="0" t="s">
        <v>610</v>
      </c>
      <c r="B986" s="0" t="s">
        <v>196</v>
      </c>
      <c r="D986" s="18" t="n">
        <f aca="false">D985/C985-1</f>
        <v>0.918665689848092</v>
      </c>
      <c r="E986" s="18" t="n">
        <f aca="false">E985/D985-1</f>
        <v>0.999005537708149</v>
      </c>
      <c r="F986" s="18" t="n">
        <f aca="false">F985/E985-1</f>
        <v>0.129261706498866</v>
      </c>
      <c r="G986" s="18" t="n">
        <f aca="false">G985/F985-1</f>
        <v>0.226556926163421</v>
      </c>
      <c r="H986" s="26" t="n">
        <f aca="false">H985/G985-1</f>
        <v>0.128776213033131</v>
      </c>
      <c r="I986" s="26" t="n">
        <f aca="false">I985/H985-1</f>
        <v>0.0689165817206001</v>
      </c>
      <c r="J986" s="26" t="n">
        <f aca="false">J985/I985-1</f>
        <v>0.00910512496922711</v>
      </c>
    </row>
    <row r="987" customFormat="false" ht="17.15" hidden="false" customHeight="false" outlineLevel="0" collapsed="false">
      <c r="A987" s="4" t="s">
        <v>611</v>
      </c>
      <c r="B987" s="0" t="s">
        <v>196</v>
      </c>
      <c r="C987" s="18" t="n">
        <f aca="false">C983/C970</f>
        <v>0.260258433616098</v>
      </c>
      <c r="D987" s="18" t="n">
        <f aca="false">D983/D970</f>
        <v>0.318133499690915</v>
      </c>
      <c r="E987" s="18" t="n">
        <f aca="false">E983/E970</f>
        <v>0.332418606973667</v>
      </c>
      <c r="F987" s="18" t="n">
        <f aca="false">F983/F970</f>
        <v>0.332046939775994</v>
      </c>
      <c r="G987" s="18" t="n">
        <f aca="false">G983/G970</f>
        <v>0.333282054550583</v>
      </c>
      <c r="H987" s="26" t="n">
        <f aca="false">$G987+(fade_mB-$G987)*1/3</f>
        <v>0.323936616889029</v>
      </c>
      <c r="I987" s="26" t="n">
        <f aca="false">$G987+(fade_mB-$G987)*2/3</f>
        <v>0.314591179227474</v>
      </c>
      <c r="J987" s="26" t="n">
        <f aca="false">$G987+(fade_mB-$G987)*3/3</f>
        <v>0.30524574156592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922</v>
      </c>
    </row>
    <row r="2" customFormat="false" ht="17.15" hidden="false" customHeight="false" outlineLevel="0" collapsed="false">
      <c r="A2" s="4" t="s">
        <v>923</v>
      </c>
      <c r="B2" s="0" t="s">
        <v>924</v>
      </c>
    </row>
    <row r="3" customFormat="false" ht="17.15" hidden="false" customHeight="false" outlineLevel="0" collapsed="false">
      <c r="A3" s="4" t="s">
        <v>925</v>
      </c>
      <c r="B3" s="0" t="s">
        <v>926</v>
      </c>
    </row>
    <row r="4" customFormat="false" ht="17.15" hidden="false" customHeight="false" outlineLevel="0" collapsed="false">
      <c r="A4" s="4" t="s">
        <v>927</v>
      </c>
      <c r="B4" s="0" t="s">
        <v>928</v>
      </c>
    </row>
    <row r="5" customFormat="false" ht="17.15" hidden="false" customHeight="false" outlineLevel="0" collapsed="false">
      <c r="A5" s="4" t="s">
        <v>929</v>
      </c>
      <c r="B5" s="0" t="s">
        <v>930</v>
      </c>
    </row>
    <row r="6" customFormat="false" ht="17.15" hidden="false" customHeight="false" outlineLevel="0" collapsed="false">
      <c r="A6" s="4" t="s">
        <v>931</v>
      </c>
      <c r="B6" s="0" t="s">
        <v>932</v>
      </c>
    </row>
    <row r="7" customFormat="false" ht="17.15" hidden="false" customHeight="false" outlineLevel="0" collapsed="false">
      <c r="A7" s="4" t="s">
        <v>933</v>
      </c>
      <c r="B7" s="0" t="s">
        <v>934</v>
      </c>
    </row>
    <row r="8" customFormat="false" ht="17.15" hidden="false" customHeight="false" outlineLevel="0" collapsed="false">
      <c r="A8" s="4" t="s">
        <v>935</v>
      </c>
      <c r="B8" s="0" t="s">
        <v>936</v>
      </c>
    </row>
    <row r="9" customFormat="false" ht="17.15" hidden="false" customHeight="false" outlineLevel="0" collapsed="false">
      <c r="A9" s="4" t="s">
        <v>937</v>
      </c>
      <c r="B9" s="0" t="s">
        <v>938</v>
      </c>
    </row>
    <row r="10" customFormat="false" ht="17.15" hidden="false" customHeight="false" outlineLevel="0" collapsed="false">
      <c r="A10" s="4" t="s">
        <v>939</v>
      </c>
      <c r="B10" s="0" t="s">
        <v>940</v>
      </c>
    </row>
    <row r="11" customFormat="false" ht="17.15" hidden="false" customHeight="false" outlineLevel="0" collapsed="false">
      <c r="A11" s="4" t="s">
        <v>941</v>
      </c>
      <c r="B11" s="0" t="s">
        <v>942</v>
      </c>
    </row>
    <row r="12" customFormat="false" ht="17.15" hidden="false" customHeight="false" outlineLevel="0" collapsed="false">
      <c r="A12" s="4" t="s">
        <v>943</v>
      </c>
      <c r="B12" s="0" t="s">
        <v>944</v>
      </c>
    </row>
    <row r="13" customFormat="false" ht="17.15" hidden="false" customHeight="false" outlineLevel="0" collapsed="false">
      <c r="A13" s="4" t="s">
        <v>945</v>
      </c>
      <c r="B13" s="0" t="s">
        <v>946</v>
      </c>
    </row>
    <row r="14" customFormat="false" ht="17.15" hidden="false" customHeight="false" outlineLevel="0" collapsed="false">
      <c r="A14" s="4" t="s">
        <v>947</v>
      </c>
      <c r="B14" s="0" t="s">
        <v>948</v>
      </c>
    </row>
    <row r="15" customFormat="false" ht="17.15" hidden="false" customHeight="false" outlineLevel="0" collapsed="false">
      <c r="A15" s="4" t="s">
        <v>949</v>
      </c>
      <c r="B15" s="0" t="s">
        <v>950</v>
      </c>
    </row>
    <row r="16" customFormat="false" ht="17.15" hidden="false" customHeight="false" outlineLevel="0" collapsed="false">
      <c r="A16" s="4" t="s">
        <v>951</v>
      </c>
      <c r="B16" s="0" t="s">
        <v>952</v>
      </c>
    </row>
    <row r="17" customFormat="false" ht="17.15" hidden="false" customHeight="false" outlineLevel="0" collapsed="false">
      <c r="A17" s="4" t="s">
        <v>953</v>
      </c>
      <c r="B17" s="0" t="s">
        <v>954</v>
      </c>
    </row>
    <row r="18" customFormat="false" ht="17.15" hidden="false" customHeight="false" outlineLevel="0" collapsed="false">
      <c r="A18" s="4" t="s">
        <v>955</v>
      </c>
      <c r="B18" s="0" t="s">
        <v>956</v>
      </c>
    </row>
    <row r="19" customFormat="false" ht="17.15" hidden="false" customHeight="false" outlineLevel="0" collapsed="false">
      <c r="A19" s="4" t="s">
        <v>957</v>
      </c>
    </row>
    <row r="20" customFormat="false" ht="17.15" hidden="false" customHeight="false" outlineLevel="0" collapsed="false">
      <c r="A20" s="4" t="s">
        <v>958</v>
      </c>
      <c r="B20" s="4" t="s">
        <v>959</v>
      </c>
    </row>
    <row r="21" customFormat="false" ht="15" hidden="false" customHeight="false" outlineLevel="0" collapsed="false">
      <c r="A21" s="0" t="s">
        <v>960</v>
      </c>
      <c r="B21" s="4" t="s">
        <v>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2026-10-28T00:05:08Z</dcterms:created>
  <dc:creator>openpyxl</dc:creator>
  <dc:description/>
  <dc:language>en-US</dc:language>
  <cp:lastModifiedBy/>
  <dcterms:modified xsi:type="dcterms:W3CDTF">2026-10-28T00:05:08Z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