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<sst xmlns="http://schemas.openxmlformats.org/spreadsheetml/2006/main" count="3177" uniqueCount="868">
  <si>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</si>
  <si>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</si>
  <si>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</si>
  <si>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</si>
  <si>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</si>
  <si>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</si>
  <si>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</si>
  <si>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</si>
  <si>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</si>
  <si>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</si>
  <si>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</si>
  <si>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</si>
  <si>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</si>
  <si>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</si>
  <si>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</si>
  <si>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3,002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4,929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179.1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132.6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35.1%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163.2 </t>
    </r>
    <r>
      <rPr>
        <sz val="11"/>
        <color theme="1"/>
        <rFont val="Noto Sans CJK SC"/>
        <family val="2"/>
      </rPr>
      <t xml:space="preserve">比高盛 </t>
    </r>
    <r>
      <rPr>
        <sz val="11"/>
        <color theme="1"/>
        <rFont val="Calibri"/>
        <family val="2"/>
        <charset val="1"/>
      </rPr>
      <t xml:space="preserve">154.8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），同業（雙鴻、健策、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27.5 </t>
    </r>
    <r>
      <rPr>
        <sz val="11"/>
        <color theme="1"/>
        <rFont val="Noto Sans CJK SC"/>
        <family val="2"/>
      </rPr>
      <t xml:space="preserve">倍略高於現價隱含 </t>
    </r>
    <r>
      <rPr>
        <sz val="11"/>
        <color theme="1"/>
        <rFont val="Calibri"/>
        <family val="2"/>
        <charset val="1"/>
      </rPr>
      <t xml:space="preserve">23.7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16.8 </t>
    </r>
    <r>
      <rPr>
        <sz val="11"/>
        <color theme="1"/>
        <rFont val="Noto Sans CJK SC"/>
        <family val="2"/>
      </rPr>
      <t xml:space="preserve">倍、比現價低 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，上檔空間全由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拉動。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</si>
  <si>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</si>
  <si>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</si>
  <si>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</si>
  <si>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</si>
  <si>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</si>
  <si>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</si>
  <si>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</si>
  <si>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</si>
  <si>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</si>
  <si>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</si>
  <si>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</si>
  <si>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</si>
  <si>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</si>
  <si>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</si>
  <si>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</si>
  <si>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</si>
  <si>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</si>
  <si>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</si>
  <si>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</si>
  <si>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</si>
  <si>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</si>
  <si>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</si>
  <si>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</si>
  <si>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</si>
  <si>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</si>
  <si>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</si>
  <si>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</si>
  <si>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</si>
  <si>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</si>
  <si>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</si>
  <si>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</si>
  <si>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</si>
  <si>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</si>
  <si>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</si>
  <si>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</si>
  <si>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</si>
  <si>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</si>
  <si>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</si>
  <si>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</si>
  <si>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</si>
  <si>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</si>
  <si>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</si>
  <si>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</si>
  <si>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</si>
  <si>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</si>
  <si>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</si>
  <si>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</si>
  <si>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</si>
  <si>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</si>
  <si>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</si>
  <si>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</si>
  <si>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</si>
  <si>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</si>
  <si>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</si>
  <si>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</si>
  <si>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</si>
  <si>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</si>
  <si>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</si>
  <si>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</si>
  <si>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</si>
  <si>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</si>
  <si>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</si>
  <si>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</si>
  <si>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</si>
  <si>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</si>
  <si>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</si>
  <si>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</si>
  <si>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</si>
  <si>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</si>
  <si>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</si>
  <si>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</si>
  <si>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</si>
  <si>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</si>
  <si>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</si>
  <si>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</si>
  <si>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</si>
  <si>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</si>
  <si>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</si>
  <si>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</si>
  <si>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</si>
  <si>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</si>
  <si>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</si>
  <si>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</si>
  <si>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</si>
  <si>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</si>
  <si>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</si>
  <si>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</si>
  <si>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</si>
  <si>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</si>
  <si>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</si>
  <si>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</si>
  <si>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</si>
  <si>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</si>
  <si>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</si>
  <si>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</si>
  <si>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</si>
  <si>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</si>
  <si>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</si>
  <si>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</si>
  <si>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</si>
  <si>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</si>
  <si>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</si>
  <si>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</si>
  <si>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</si>
  <si>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</si>
  <si>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</si>
  <si>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</si>
  <si>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</si>
  <si>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）。行業情境：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＝低值（奇鋐、雙鴻模型與本庫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頁相同）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</si>
  <si>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</si>
  <si>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</si>
  <si>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</si>
  <si>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</si>
  <si>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</si>
  <si>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</si>
  <si>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</si>
  <si>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</si>
  <si>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</si>
  <si>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）；份額數字：未找到。雙鴻模型的份額相對值取同一組值（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</si>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</sst>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65</v>
      </c>
      <c r="E14" s="7" t="n">
        <v>50</v>
      </c>
      <c r="G14" s="8" t="s">
        <v>53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65</v>
      </c>
      <c r="E15" s="7" t="n">
        <v>56</v>
      </c>
      <c r="G15" s="8" t="s">
        <v>53</v>
      </c>
      <c r="H15" s="8" t="s">
        <v>66</v>
      </c>
      <c r="I15" s="4" t="s">
        <v>70</v>
      </c>
    </row>
    <row r="16" customFormat="false" ht="17.15" hidden="false" customHeight="false" outlineLevel="0" collapsed="false">
      <c r="A16" s="0" t="s">
        <v>71</v>
      </c>
      <c r="B16" s="4" t="s">
        <v>72</v>
      </c>
      <c r="C16" s="0" t="s">
        <v>73</v>
      </c>
      <c r="E16" s="7" t="n">
        <v>1</v>
      </c>
      <c r="G16" s="8" t="s">
        <v>74</v>
      </c>
      <c r="H16" s="8" t="s">
        <v>75</v>
      </c>
      <c r="I16" s="8" t="s">
        <v>76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73</v>
      </c>
      <c r="E17" s="7" t="n">
        <v>1</v>
      </c>
      <c r="G17" s="8" t="s">
        <v>74</v>
      </c>
      <c r="H17" s="8" t="s">
        <v>79</v>
      </c>
      <c r="I17" s="4" t="s">
        <v>38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73</v>
      </c>
      <c r="E18" s="7" t="n">
        <v>0.8</v>
      </c>
      <c r="G18" s="8" t="s">
        <v>74</v>
      </c>
      <c r="H18" s="8" t="s">
        <v>82</v>
      </c>
      <c r="I18" s="8" t="s">
        <v>76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73</v>
      </c>
      <c r="E19" s="7" t="n">
        <v>0.85</v>
      </c>
      <c r="G19" s="8" t="s">
        <v>74</v>
      </c>
      <c r="H19" s="8" t="s">
        <v>85</v>
      </c>
      <c r="I19" s="4" t="s">
        <v>38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73</v>
      </c>
      <c r="E20" s="7" t="n">
        <v>0.6</v>
      </c>
      <c r="G20" s="8" t="s">
        <v>74</v>
      </c>
      <c r="H20" s="8" t="s">
        <v>88</v>
      </c>
      <c r="I20" s="8" t="s">
        <v>76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73</v>
      </c>
      <c r="E21" s="7" t="n">
        <v>0.6</v>
      </c>
      <c r="G21" s="8" t="s">
        <v>74</v>
      </c>
      <c r="H21" s="8" t="s">
        <v>91</v>
      </c>
      <c r="I21" s="4" t="s">
        <v>38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94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95</v>
      </c>
      <c r="I22" s="4" t="s">
        <v>96</v>
      </c>
    </row>
    <row r="23" customFormat="false" ht="17.15" hidden="false" customHeight="false" outlineLevel="0" collapsed="false">
      <c r="A23" s="0" t="s">
        <v>97</v>
      </c>
      <c r="B23" s="4" t="s">
        <v>98</v>
      </c>
      <c r="C23" s="0" t="s">
        <v>32</v>
      </c>
      <c r="E23" s="7" t="n">
        <v>2.954780859375</v>
      </c>
      <c r="G23" s="8" t="s">
        <v>33</v>
      </c>
      <c r="H23" s="8" t="s">
        <v>99</v>
      </c>
      <c r="I23" s="4" t="s">
        <v>100</v>
      </c>
    </row>
    <row r="24" customFormat="false" ht="17.15" hidden="false" customHeight="false" outlineLevel="0" collapsed="false">
      <c r="A24" s="0" t="s">
        <v>101</v>
      </c>
      <c r="B24" s="4" t="s">
        <v>102</v>
      </c>
      <c r="C24" s="0" t="s">
        <v>32</v>
      </c>
      <c r="E24" s="7" t="n">
        <v>5.78484809940116</v>
      </c>
      <c r="G24" s="8" t="s">
        <v>33</v>
      </c>
      <c r="H24" s="8" t="s">
        <v>99</v>
      </c>
      <c r="I24" s="4" t="s">
        <v>38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32</v>
      </c>
      <c r="E25" s="7" t="n">
        <v>7.66628721680114</v>
      </c>
      <c r="G25" s="8" t="s">
        <v>33</v>
      </c>
      <c r="H25" s="8" t="s">
        <v>99</v>
      </c>
      <c r="I25" s="4" t="s">
        <v>38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32</v>
      </c>
      <c r="E26" s="7" t="n">
        <v>9.1128137377172</v>
      </c>
      <c r="G26" s="8" t="s">
        <v>33</v>
      </c>
      <c r="H26" s="8" t="s">
        <v>99</v>
      </c>
      <c r="I26" s="4" t="s">
        <v>38</v>
      </c>
    </row>
    <row r="27" customFormat="false" ht="17.15" hidden="false" customHeight="false" outlineLevel="0" collapsed="false">
      <c r="A27" s="6" t="s">
        <v>107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65</v>
      </c>
      <c r="D28" s="7" t="n">
        <v>3</v>
      </c>
      <c r="E28" s="7" t="n">
        <v>6</v>
      </c>
      <c r="F28" s="7" t="n">
        <v>10</v>
      </c>
      <c r="G28" s="8" t="s">
        <v>74</v>
      </c>
      <c r="H28" s="4" t="s">
        <v>110</v>
      </c>
      <c r="I28" s="4" t="s">
        <v>111</v>
      </c>
    </row>
    <row r="29" customFormat="false" ht="17.15" hidden="false" customHeight="false" outlineLevel="0" collapsed="false">
      <c r="A29" s="0" t="s">
        <v>112</v>
      </c>
      <c r="B29" s="4" t="s">
        <v>113</v>
      </c>
      <c r="C29" s="0" t="s">
        <v>73</v>
      </c>
      <c r="D29" s="7" t="n">
        <v>1</v>
      </c>
      <c r="E29" s="7" t="n">
        <v>1.3</v>
      </c>
      <c r="F29" s="7" t="n">
        <v>1.6</v>
      </c>
      <c r="G29" s="8" t="s">
        <v>74</v>
      </c>
      <c r="H29" s="8" t="s">
        <v>114</v>
      </c>
      <c r="I29" s="8" t="s">
        <v>115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73</v>
      </c>
      <c r="D30" s="7" t="n">
        <v>1</v>
      </c>
      <c r="E30" s="7" t="n">
        <v>1.4</v>
      </c>
      <c r="F30" s="7" t="n">
        <v>1.8</v>
      </c>
      <c r="G30" s="8" t="s">
        <v>74</v>
      </c>
      <c r="H30" s="4" t="s">
        <v>38</v>
      </c>
      <c r="I30" s="8" t="s">
        <v>118</v>
      </c>
    </row>
    <row r="31" customFormat="false" ht="17.15" hidden="false" customHeight="false" outlineLevel="0" collapsed="false">
      <c r="A31" s="0" t="s">
        <v>119</v>
      </c>
      <c r="B31" s="4" t="s">
        <v>120</v>
      </c>
      <c r="C31" s="0" t="s">
        <v>73</v>
      </c>
      <c r="D31" s="7" t="n">
        <v>1</v>
      </c>
      <c r="E31" s="7" t="n">
        <v>1.4</v>
      </c>
      <c r="F31" s="7" t="n">
        <v>1.8</v>
      </c>
      <c r="G31" s="8" t="s">
        <v>74</v>
      </c>
      <c r="H31" s="4" t="s">
        <v>38</v>
      </c>
      <c r="I31" s="8" t="s">
        <v>118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52</v>
      </c>
      <c r="D32" s="7" t="n">
        <v>0.45</v>
      </c>
      <c r="E32" s="7" t="n">
        <v>0.55</v>
      </c>
      <c r="F32" s="7" t="n">
        <v>0.65</v>
      </c>
      <c r="G32" s="8" t="s">
        <v>74</v>
      </c>
      <c r="H32" s="8" t="s">
        <v>123</v>
      </c>
      <c r="I32" s="4" t="s">
        <v>124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52</v>
      </c>
      <c r="D33" s="7" t="n">
        <v>0.6</v>
      </c>
      <c r="E33" s="7" t="n">
        <v>0.75</v>
      </c>
      <c r="F33" s="7" t="n">
        <v>0.85</v>
      </c>
      <c r="G33" s="8" t="s">
        <v>74</v>
      </c>
      <c r="H33" s="4" t="s">
        <v>38</v>
      </c>
      <c r="I33" s="8" t="s">
        <v>118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52</v>
      </c>
      <c r="D34" s="7" t="n">
        <v>0.7</v>
      </c>
      <c r="E34" s="7" t="n">
        <v>0.85</v>
      </c>
      <c r="F34" s="7" t="n">
        <v>0.95</v>
      </c>
      <c r="G34" s="8" t="s">
        <v>74</v>
      </c>
      <c r="H34" s="4" t="s">
        <v>38</v>
      </c>
      <c r="I34" s="8" t="s">
        <v>118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52</v>
      </c>
      <c r="D35" s="7" t="n">
        <v>0.75</v>
      </c>
      <c r="E35" s="7" t="n">
        <v>0.9</v>
      </c>
      <c r="F35" s="7" t="n">
        <v>0.95</v>
      </c>
      <c r="G35" s="8" t="s">
        <v>74</v>
      </c>
      <c r="H35" s="4" t="s">
        <v>38</v>
      </c>
      <c r="I35" s="8" t="s">
        <v>118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73</v>
      </c>
      <c r="D36" s="7" t="n">
        <v>0.85</v>
      </c>
      <c r="E36" s="7" t="n">
        <v>0.95</v>
      </c>
      <c r="F36" s="7" t="n">
        <v>1.05</v>
      </c>
      <c r="G36" s="8" t="s">
        <v>74</v>
      </c>
      <c r="H36" s="4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73</v>
      </c>
      <c r="D37" s="7" t="n">
        <v>0.75</v>
      </c>
      <c r="E37" s="7" t="n">
        <v>0.9</v>
      </c>
      <c r="F37" s="7" t="n">
        <v>1.05</v>
      </c>
      <c r="G37" s="8" t="s">
        <v>74</v>
      </c>
      <c r="H37" s="4" t="s">
        <v>38</v>
      </c>
      <c r="I37" s="8" t="s">
        <v>118</v>
      </c>
    </row>
    <row r="38" customFormat="false" ht="17.15" hidden="false" customHeight="false" outlineLevel="0" collapsed="false">
      <c r="A38" s="0" t="s">
        <v>137</v>
      </c>
      <c r="B38" s="4" t="s">
        <v>138</v>
      </c>
      <c r="C38" s="0" t="s">
        <v>73</v>
      </c>
      <c r="D38" s="7" t="n">
        <v>0.7</v>
      </c>
      <c r="E38" s="7" t="n">
        <v>0.85</v>
      </c>
      <c r="F38" s="7" t="n">
        <v>1.05</v>
      </c>
      <c r="G38" s="8" t="s">
        <v>74</v>
      </c>
      <c r="H38" s="4" t="s">
        <v>38</v>
      </c>
      <c r="I38" s="8" t="s">
        <v>118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73</v>
      </c>
      <c r="D39" s="7" t="n">
        <v>0.6</v>
      </c>
      <c r="E39" s="7" t="n">
        <v>0.75</v>
      </c>
      <c r="F39" s="7" t="n">
        <v>0.9</v>
      </c>
      <c r="G39" s="8" t="s">
        <v>74</v>
      </c>
      <c r="H39" s="4" t="s">
        <v>141</v>
      </c>
      <c r="I39" s="8" t="s">
        <v>142</v>
      </c>
    </row>
    <row r="40" customFormat="false" ht="17.15" hidden="false" customHeight="false" outlineLevel="0" collapsed="false">
      <c r="A40" s="0" t="s">
        <v>143</v>
      </c>
      <c r="B40" s="0" t="s">
        <v>144</v>
      </c>
      <c r="C40" s="0" t="s">
        <v>73</v>
      </c>
      <c r="D40" s="7" t="n">
        <v>0.45</v>
      </c>
      <c r="E40" s="7" t="n">
        <v>0.65</v>
      </c>
      <c r="F40" s="7" t="n">
        <v>0.85</v>
      </c>
      <c r="G40" s="8" t="s">
        <v>74</v>
      </c>
      <c r="H40" s="4" t="s">
        <v>38</v>
      </c>
      <c r="I40" s="8" t="s">
        <v>118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73</v>
      </c>
      <c r="D41" s="7" t="n">
        <v>0.4</v>
      </c>
      <c r="E41" s="7" t="n">
        <v>0.6</v>
      </c>
      <c r="F41" s="7" t="n">
        <v>0.8</v>
      </c>
      <c r="G41" s="8" t="s">
        <v>74</v>
      </c>
      <c r="H41" s="4" t="s">
        <v>38</v>
      </c>
      <c r="I41" s="8" t="s">
        <v>118</v>
      </c>
    </row>
    <row r="42" customFormat="false" ht="17.15" hidden="false" customHeight="false" outlineLevel="0" collapsed="false">
      <c r="A42" s="6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52</v>
      </c>
      <c r="E43" s="7" t="n">
        <v>0.52</v>
      </c>
      <c r="G43" s="8" t="s">
        <v>53</v>
      </c>
      <c r="H43" s="4" t="s">
        <v>150</v>
      </c>
      <c r="I43" s="4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52</v>
      </c>
      <c r="D44" s="7" t="n">
        <v>0.66</v>
      </c>
      <c r="E44" s="7" t="n">
        <v>0.67</v>
      </c>
      <c r="F44" s="7" t="n">
        <v>0.69</v>
      </c>
      <c r="G44" s="8" t="s">
        <v>53</v>
      </c>
      <c r="H44" s="8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52</v>
      </c>
      <c r="D45" s="7" t="n">
        <v>0.1</v>
      </c>
      <c r="E45" s="7" t="n">
        <v>0.15</v>
      </c>
      <c r="F45" s="7" t="n">
        <v>0.2</v>
      </c>
      <c r="G45" s="8" t="s">
        <v>74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52</v>
      </c>
      <c r="D46" s="7" t="n">
        <v>0.28</v>
      </c>
      <c r="E46" s="7" t="n">
        <v>0.32</v>
      </c>
      <c r="F46" s="7" t="n">
        <v>0.35</v>
      </c>
      <c r="G46" s="8" t="s">
        <v>53</v>
      </c>
      <c r="H46" s="8" t="s">
        <v>162</v>
      </c>
      <c r="I46" s="4" t="s">
        <v>163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52</v>
      </c>
      <c r="D47" s="7" t="n">
        <v>0.4</v>
      </c>
      <c r="E47" s="7" t="n">
        <v>0.6</v>
      </c>
      <c r="F47" s="7" t="n">
        <v>0.8</v>
      </c>
      <c r="G47" s="8" t="s">
        <v>74</v>
      </c>
      <c r="H47" s="4" t="s">
        <v>166</v>
      </c>
      <c r="I47" s="4" t="s">
        <v>167</v>
      </c>
    </row>
    <row r="48" customFormat="false" ht="17.15" hidden="false" customHeight="false" outlineLevel="0" collapsed="false">
      <c r="A48" s="0" t="s">
        <v>168</v>
      </c>
      <c r="B48" s="4" t="s">
        <v>169</v>
      </c>
      <c r="C48" s="0" t="s">
        <v>52</v>
      </c>
      <c r="D48" s="7" t="n">
        <v>0</v>
      </c>
      <c r="E48" s="7" t="n">
        <v>0.08</v>
      </c>
      <c r="F48" s="7" t="n">
        <v>0.15</v>
      </c>
      <c r="G48" s="8" t="s">
        <v>74</v>
      </c>
      <c r="H48" s="4" t="s">
        <v>170</v>
      </c>
      <c r="I48" s="8" t="s">
        <v>118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52</v>
      </c>
      <c r="D49" s="7" t="n">
        <v>0</v>
      </c>
      <c r="E49" s="7" t="n">
        <v>0.06</v>
      </c>
      <c r="F49" s="7" t="n">
        <v>0.12</v>
      </c>
      <c r="G49" s="8" t="s">
        <v>74</v>
      </c>
      <c r="H49" s="4" t="s">
        <v>38</v>
      </c>
      <c r="I49" s="8" t="s">
        <v>118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52</v>
      </c>
      <c r="D50" s="7" t="n">
        <v>0</v>
      </c>
      <c r="E50" s="7" t="n">
        <v>0.05</v>
      </c>
      <c r="F50" s="7" t="n">
        <v>0.1</v>
      </c>
      <c r="G50" s="8" t="s">
        <v>74</v>
      </c>
      <c r="H50" s="4" t="s">
        <v>38</v>
      </c>
      <c r="I50" s="8" t="s">
        <v>118</v>
      </c>
    </row>
    <row r="51" customFormat="false" ht="17.15" hidden="false" customHeight="false" outlineLevel="0" collapsed="false">
      <c r="A51" s="0" t="s">
        <v>175</v>
      </c>
      <c r="B51" s="4" t="s">
        <v>176</v>
      </c>
      <c r="C51" s="0" t="s">
        <v>52</v>
      </c>
      <c r="D51" s="7" t="n">
        <v>0</v>
      </c>
      <c r="E51" s="7" t="n">
        <v>0.06</v>
      </c>
      <c r="F51" s="7" t="n">
        <v>0.12</v>
      </c>
      <c r="G51" s="8" t="s">
        <v>74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4" t="s">
        <v>180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74</v>
      </c>
      <c r="H52" s="4" t="s">
        <v>38</v>
      </c>
      <c r="I52" s="8" t="s">
        <v>118</v>
      </c>
    </row>
    <row r="53" customFormat="false" ht="17.15" hidden="false" customHeight="false" outlineLevel="0" collapsed="false">
      <c r="A53" s="0" t="s">
        <v>181</v>
      </c>
      <c r="B53" s="4" t="s">
        <v>182</v>
      </c>
      <c r="C53" s="0" t="s">
        <v>52</v>
      </c>
      <c r="D53" s="7" t="n">
        <v>0</v>
      </c>
      <c r="E53" s="7" t="n">
        <v>0.04</v>
      </c>
      <c r="F53" s="7" t="n">
        <v>0.08</v>
      </c>
      <c r="G53" s="8" t="s">
        <v>74</v>
      </c>
      <c r="H53" s="4" t="s">
        <v>38</v>
      </c>
      <c r="I53" s="8" t="s">
        <v>118</v>
      </c>
    </row>
    <row r="54" customFormat="false" ht="17.15" hidden="false" customHeight="false" outlineLevel="0" collapsed="false">
      <c r="A54" s="6" t="s">
        <v>183</v>
      </c>
    </row>
    <row r="55" customFormat="false" ht="17.15" hidden="false" customHeight="false" outlineLevel="0" collapsed="false">
      <c r="A55" s="0" t="s">
        <v>184</v>
      </c>
      <c r="B55" s="4" t="s">
        <v>185</v>
      </c>
      <c r="C55" s="0" t="s">
        <v>186</v>
      </c>
      <c r="D55" s="7" t="n">
        <v>0.02</v>
      </c>
      <c r="E55" s="7" t="n">
        <v>0.06</v>
      </c>
      <c r="F55" s="7" t="n">
        <v>0.1</v>
      </c>
      <c r="G55" s="8" t="s">
        <v>74</v>
      </c>
      <c r="H55" s="4" t="s">
        <v>187</v>
      </c>
      <c r="I55" s="4" t="s">
        <v>188</v>
      </c>
    </row>
    <row r="56" customFormat="false" ht="17.15" hidden="false" customHeight="false" outlineLevel="0" collapsed="false">
      <c r="A56" s="6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192</v>
      </c>
      <c r="E57" s="0" t="n">
        <f aca="false">18.59+19.481+21.018</f>
        <v>59.089</v>
      </c>
      <c r="G57" s="0" t="s">
        <v>193</v>
      </c>
      <c r="H57" s="0" t="s">
        <v>194</v>
      </c>
      <c r="I57" s="0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52</v>
      </c>
      <c r="D58" s="7" t="n">
        <v>0.08</v>
      </c>
      <c r="E58" s="7" t="n">
        <v>0.15</v>
      </c>
      <c r="F58" s="7" t="n">
        <v>0.2</v>
      </c>
      <c r="G58" s="8" t="s">
        <v>53</v>
      </c>
      <c r="H58" s="8" t="s">
        <v>198</v>
      </c>
      <c r="I58" s="8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52</v>
      </c>
      <c r="D59" s="7" t="n">
        <v>0.32</v>
      </c>
      <c r="E59" s="7" t="n">
        <v>0.33</v>
      </c>
      <c r="F59" s="7" t="n">
        <v>0.345</v>
      </c>
      <c r="G59" s="8" t="s">
        <v>53</v>
      </c>
      <c r="H59" s="8" t="s">
        <v>202</v>
      </c>
      <c r="I59" s="8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52</v>
      </c>
      <c r="D60" s="7" t="n">
        <v>0.048</v>
      </c>
      <c r="E60" s="7" t="n">
        <v>0.052</v>
      </c>
      <c r="F60" s="7" t="n">
        <v>0.056</v>
      </c>
      <c r="G60" s="8" t="s">
        <v>33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192</v>
      </c>
      <c r="D61" s="7" t="n">
        <v>-0.3</v>
      </c>
      <c r="E61" s="7" t="n">
        <v>0.2</v>
      </c>
      <c r="F61" s="7" t="n">
        <v>0.6</v>
      </c>
      <c r="G61" s="8" t="s">
        <v>33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52</v>
      </c>
      <c r="D62" s="7" t="n">
        <v>0.66</v>
      </c>
      <c r="E62" s="7" t="n">
        <v>0.675</v>
      </c>
      <c r="F62" s="7" t="n">
        <v>0.69</v>
      </c>
      <c r="G62" s="8" t="s">
        <v>33</v>
      </c>
      <c r="H62" s="8" t="s">
        <v>214</v>
      </c>
      <c r="I62" s="4" t="s">
        <v>215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4" t="s">
        <v>218</v>
      </c>
      <c r="E63" s="0" t="n">
        <f aca="false">17.483/44.54</f>
        <v>0.392523574315222</v>
      </c>
      <c r="G63" s="0" t="s">
        <v>33</v>
      </c>
      <c r="H63" s="0" t="s">
        <v>219</v>
      </c>
      <c r="I63" s="4" t="s">
        <v>220</v>
      </c>
    </row>
    <row r="64" customFormat="false" ht="17.15" hidden="false" customHeight="false" outlineLevel="0" collapsed="false">
      <c r="A64" s="6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73</v>
      </c>
      <c r="D65" s="7" t="n">
        <v>0.5</v>
      </c>
      <c r="E65" s="7" t="n">
        <v>0.7</v>
      </c>
      <c r="F65" s="7" t="n">
        <v>0.9</v>
      </c>
      <c r="G65" s="8" t="s">
        <v>33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186</v>
      </c>
      <c r="D66" s="7" t="n">
        <v>-0.02</v>
      </c>
      <c r="E66" s="7" t="n">
        <v>0</v>
      </c>
      <c r="F66" s="7" t="n">
        <v>0.02</v>
      </c>
      <c r="G66" s="8" t="s">
        <v>74</v>
      </c>
      <c r="H66" s="4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4" t="s">
        <v>231</v>
      </c>
      <c r="C67" s="0" t="s">
        <v>192</v>
      </c>
      <c r="D67" s="7" t="n">
        <v>-1</v>
      </c>
      <c r="E67" s="7" t="n">
        <v>1</v>
      </c>
      <c r="F67" s="7" t="n">
        <v>3</v>
      </c>
      <c r="G67" s="8" t="s">
        <v>74</v>
      </c>
      <c r="H67" s="8" t="s">
        <v>232</v>
      </c>
      <c r="I67" s="4" t="s">
        <v>233</v>
      </c>
    </row>
    <row r="68" customFormat="false" ht="17.15" hidden="false" customHeight="false" outlineLevel="0" collapsed="false">
      <c r="A68" s="0" t="s">
        <v>234</v>
      </c>
      <c r="B68" s="4" t="s">
        <v>235</v>
      </c>
      <c r="C68" s="0" t="s">
        <v>52</v>
      </c>
      <c r="D68" s="7" t="n">
        <v>0.66</v>
      </c>
      <c r="E68" s="7" t="n">
        <v>0.675</v>
      </c>
      <c r="F68" s="7" t="n">
        <v>0.69</v>
      </c>
      <c r="G68" s="8" t="s">
        <v>33</v>
      </c>
      <c r="H68" s="4" t="s">
        <v>236</v>
      </c>
      <c r="I68" s="4" t="s">
        <v>237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52</v>
      </c>
      <c r="D69" s="7" t="n">
        <v>0</v>
      </c>
      <c r="E69" s="7" t="n">
        <v>0</v>
      </c>
      <c r="F69" s="7" t="n">
        <v>0.01</v>
      </c>
      <c r="G69" s="8" t="s">
        <v>74</v>
      </c>
      <c r="H69" s="8" t="s">
        <v>240</v>
      </c>
      <c r="I69" s="4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73</v>
      </c>
      <c r="D70" s="7" t="n">
        <v>0.8</v>
      </c>
      <c r="E70" s="7" t="n">
        <v>1</v>
      </c>
      <c r="F70" s="7" t="n">
        <v>1.2</v>
      </c>
      <c r="G70" s="8" t="s">
        <v>74</v>
      </c>
      <c r="H70" s="4" t="s">
        <v>244</v>
      </c>
      <c r="I70" s="8" t="s">
        <v>245</v>
      </c>
    </row>
    <row r="71" customFormat="false" ht="17.15" hidden="false" customHeight="false" outlineLevel="0" collapsed="false">
      <c r="A71" s="6" t="s">
        <v>246</v>
      </c>
    </row>
    <row r="72" customFormat="false" ht="17.15" hidden="false" customHeight="false" outlineLevel="0" collapsed="false">
      <c r="A72" s="0" t="s">
        <v>247</v>
      </c>
      <c r="B72" s="4" t="s">
        <v>248</v>
      </c>
      <c r="C72" s="0" t="s">
        <v>192</v>
      </c>
      <c r="E72" s="7" t="n">
        <v>213.809</v>
      </c>
      <c r="G72" s="8" t="s">
        <v>53</v>
      </c>
      <c r="H72" s="8" t="s">
        <v>249</v>
      </c>
      <c r="I72" s="8" t="s">
        <v>118</v>
      </c>
    </row>
    <row r="73" customFormat="false" ht="17.15" hidden="false" customHeight="false" outlineLevel="0" collapsed="false">
      <c r="A73" s="0" t="s">
        <v>250</v>
      </c>
      <c r="B73" s="4" t="s">
        <v>251</v>
      </c>
      <c r="C73" s="0" t="s">
        <v>192</v>
      </c>
      <c r="E73" s="7" t="n">
        <v>68.057</v>
      </c>
      <c r="G73" s="8" t="s">
        <v>53</v>
      </c>
      <c r="H73" s="8" t="s">
        <v>252</v>
      </c>
      <c r="I73" s="8" t="s">
        <v>118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255</v>
      </c>
      <c r="E74" s="7" t="n">
        <v>101.06</v>
      </c>
      <c r="G74" s="8" t="s">
        <v>53</v>
      </c>
      <c r="H74" s="8" t="s">
        <v>256</v>
      </c>
      <c r="I74" s="8" t="s">
        <v>118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255</v>
      </c>
      <c r="E75" s="7" t="n">
        <v>103.17</v>
      </c>
      <c r="G75" s="8" t="s">
        <v>53</v>
      </c>
      <c r="H75" s="8" t="s">
        <v>249</v>
      </c>
      <c r="I75" s="4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192</v>
      </c>
      <c r="E76" s="7" t="n">
        <v>311.893</v>
      </c>
      <c r="G76" s="8" t="s">
        <v>53</v>
      </c>
      <c r="H76" s="8" t="s">
        <v>249</v>
      </c>
      <c r="I76" s="4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255</v>
      </c>
      <c r="E77" s="7" t="n">
        <v>154.78</v>
      </c>
      <c r="G77" s="8" t="s">
        <v>53</v>
      </c>
      <c r="H77" s="8" t="s">
        <v>252</v>
      </c>
      <c r="I77" s="8" t="s">
        <v>118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255</v>
      </c>
      <c r="E78" s="7" t="n">
        <v>160.03</v>
      </c>
      <c r="G78" s="8" t="s">
        <v>53</v>
      </c>
      <c r="H78" s="8" t="s">
        <v>249</v>
      </c>
      <c r="I78" s="8" t="s">
        <v>118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255</v>
      </c>
      <c r="E79" s="7" t="n">
        <v>143.99</v>
      </c>
      <c r="G79" s="8" t="s">
        <v>53</v>
      </c>
      <c r="H79" s="8" t="s">
        <v>269</v>
      </c>
      <c r="I79" s="8" t="s">
        <v>118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255</v>
      </c>
      <c r="E80" s="7" t="n">
        <v>139.53</v>
      </c>
      <c r="G80" s="8" t="s">
        <v>53</v>
      </c>
      <c r="H80" s="8" t="s">
        <v>272</v>
      </c>
      <c r="I80" s="8" t="s">
        <v>118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255</v>
      </c>
      <c r="E81" s="7" t="n">
        <v>153.21</v>
      </c>
      <c r="G81" s="8" t="s">
        <v>53</v>
      </c>
      <c r="H81" s="4" t="s">
        <v>275</v>
      </c>
      <c r="I81" s="4" t="s">
        <v>276</v>
      </c>
    </row>
    <row r="82" customFormat="false" ht="17.15" hidden="false" customHeight="false" outlineLevel="0" collapsed="false">
      <c r="A82" s="0" t="s">
        <v>277</v>
      </c>
      <c r="B82" s="4" t="s">
        <v>278</v>
      </c>
      <c r="C82" s="0" t="s">
        <v>255</v>
      </c>
      <c r="E82" s="7" t="n">
        <v>195.18</v>
      </c>
      <c r="G82" s="8" t="s">
        <v>53</v>
      </c>
      <c r="H82" s="8" t="s">
        <v>252</v>
      </c>
      <c r="I82" s="8" t="s">
        <v>118</v>
      </c>
    </row>
    <row r="83" customFormat="false" ht="17.15" hidden="false" customHeight="false" outlineLevel="0" collapsed="false">
      <c r="A83" s="0" t="s">
        <v>279</v>
      </c>
      <c r="B83" s="4" t="s">
        <v>280</v>
      </c>
      <c r="C83" s="0" t="s">
        <v>52</v>
      </c>
      <c r="E83" s="7" t="n">
        <v>0.349</v>
      </c>
      <c r="G83" s="8" t="s">
        <v>53</v>
      </c>
      <c r="H83" s="4" t="s">
        <v>281</v>
      </c>
      <c r="I83" s="4" t="s">
        <v>282</v>
      </c>
    </row>
    <row r="84" customFormat="false" ht="17.15" hidden="false" customHeight="false" outlineLevel="0" collapsed="false">
      <c r="A84" s="0" t="s">
        <v>283</v>
      </c>
      <c r="B84" s="4" t="s">
        <v>284</v>
      </c>
      <c r="C84" s="0" t="s">
        <v>52</v>
      </c>
      <c r="E84" s="7" t="n">
        <v>0.5</v>
      </c>
      <c r="G84" s="8" t="s">
        <v>53</v>
      </c>
      <c r="H84" s="8" t="s">
        <v>249</v>
      </c>
      <c r="I84" s="4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52</v>
      </c>
      <c r="E85" s="7" t="n">
        <v>0.53</v>
      </c>
      <c r="G85" s="8" t="s">
        <v>53</v>
      </c>
      <c r="H85" s="8" t="s">
        <v>288</v>
      </c>
      <c r="I85" s="8" t="s">
        <v>118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52</v>
      </c>
      <c r="E86" s="7" t="n">
        <v>0.6</v>
      </c>
      <c r="G86" s="8" t="s">
        <v>53</v>
      </c>
      <c r="H86" s="8" t="s">
        <v>288</v>
      </c>
      <c r="I86" s="4" t="s">
        <v>291</v>
      </c>
    </row>
    <row r="87" customFormat="false" ht="17.15" hidden="false" customHeight="false" outlineLevel="0" collapsed="false">
      <c r="A87" s="6" t="s">
        <v>292</v>
      </c>
    </row>
    <row r="88" customFormat="false" ht="17.15" hidden="false" customHeight="false" outlineLevel="0" collapsed="false">
      <c r="A88" s="0" t="s">
        <v>293</v>
      </c>
      <c r="B88" s="4" t="s">
        <v>294</v>
      </c>
      <c r="C88" s="0" t="s">
        <v>255</v>
      </c>
      <c r="E88" s="7" t="n">
        <v>3145</v>
      </c>
      <c r="G88" s="8" t="s">
        <v>53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4" t="s">
        <v>298</v>
      </c>
      <c r="C89" s="0" t="s">
        <v>73</v>
      </c>
      <c r="E89" s="7" t="n">
        <v>41.92</v>
      </c>
      <c r="G89" s="8" t="s">
        <v>53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301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4" t="s">
        <v>304</v>
      </c>
      <c r="E91" s="9" t="n">
        <v>0.3</v>
      </c>
      <c r="G91" s="8" t="s">
        <v>74</v>
      </c>
      <c r="H91" s="8" t="s">
        <v>305</v>
      </c>
      <c r="I91" s="4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4" t="s">
        <v>304</v>
      </c>
      <c r="E92" s="9" t="n">
        <v>0.5</v>
      </c>
      <c r="G92" s="8" t="s">
        <v>74</v>
      </c>
      <c r="H92" s="8" t="s">
        <v>305</v>
      </c>
      <c r="I92" s="4" t="s">
        <v>306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304</v>
      </c>
      <c r="E93" s="9" t="n">
        <v>0.2</v>
      </c>
      <c r="G93" s="8" t="s">
        <v>74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6" t="s">
        <v>311</v>
      </c>
    </row>
    <row r="95" customFormat="false" ht="17.15" hidden="false" customHeight="false" outlineLevel="0" collapsed="false">
      <c r="A95" s="0" t="s">
        <v>312</v>
      </c>
      <c r="B95" s="4" t="s">
        <v>313</v>
      </c>
      <c r="C95" s="0" t="s">
        <v>52</v>
      </c>
      <c r="E95" s="9" t="n">
        <v>0.1</v>
      </c>
      <c r="G95" s="8" t="s">
        <v>74</v>
      </c>
      <c r="H95" s="8" t="s">
        <v>314</v>
      </c>
      <c r="I95" s="8" t="s">
        <v>315</v>
      </c>
    </row>
    <row r="96" customFormat="false" ht="17.15" hidden="false" customHeight="false" outlineLevel="0" collapsed="false">
      <c r="A96" s="0" t="s">
        <v>316</v>
      </c>
      <c r="B96" s="4" t="s">
        <v>317</v>
      </c>
      <c r="C96" s="0" t="s">
        <v>52</v>
      </c>
      <c r="E96" s="9" t="n">
        <v>0.04</v>
      </c>
      <c r="G96" s="8" t="s">
        <v>74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52</v>
      </c>
      <c r="E97" s="10" t="n">
        <f aca="false">AVERAGE(0.2688,0.3099,0.4986)</f>
        <v>0.3591</v>
      </c>
      <c r="G97" s="8" t="s">
        <v>33</v>
      </c>
      <c r="H97" s="8" t="s">
        <v>322</v>
      </c>
      <c r="I97" s="4" t="s">
        <v>323</v>
      </c>
    </row>
    <row r="98" customFormat="false" ht="17.15" hidden="false" customHeight="false" outlineLevel="0" collapsed="false">
      <c r="A98" s="0" t="s">
        <v>324</v>
      </c>
      <c r="B98" s="4" t="s">
        <v>325</v>
      </c>
      <c r="C98" s="0" t="s">
        <v>52</v>
      </c>
      <c r="E98" s="9" t="n">
        <v>0.5</v>
      </c>
      <c r="G98" s="8" t="s">
        <v>74</v>
      </c>
      <c r="H98" s="8" t="s">
        <v>326</v>
      </c>
      <c r="I98" s="8" t="s">
        <v>327</v>
      </c>
    </row>
    <row r="99" customFormat="false" ht="17.15" hidden="false" customHeight="false" outlineLevel="0" collapsed="false">
      <c r="A99" s="0" t="s">
        <v>328</v>
      </c>
      <c r="B99" s="4" t="s">
        <v>329</v>
      </c>
      <c r="C99" s="0" t="s">
        <v>52</v>
      </c>
      <c r="E99" s="10" t="n">
        <f aca="false">tp_g+0.02</f>
        <v>0.06</v>
      </c>
      <c r="G99" s="8" t="s">
        <v>74</v>
      </c>
      <c r="H99" s="4" t="s">
        <v>330</v>
      </c>
      <c r="I99" s="8" t="s">
        <v>331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52</v>
      </c>
      <c r="E100" s="10" t="n">
        <f aca="false">tp_g</f>
        <v>0.04</v>
      </c>
      <c r="G100" s="8" t="s">
        <v>74</v>
      </c>
      <c r="H100" s="4" t="s">
        <v>38</v>
      </c>
      <c r="I100" s="8" t="s">
        <v>118</v>
      </c>
    </row>
    <row r="101" customFormat="false" ht="17.15" hidden="false" customHeight="false" outlineLevel="0" collapsed="false">
      <c r="A101" s="0" t="s">
        <v>334</v>
      </c>
      <c r="B101" s="4" t="s">
        <v>335</v>
      </c>
      <c r="C101" s="0" t="s">
        <v>52</v>
      </c>
      <c r="E101" s="10" t="n">
        <f aca="false">tp_g-0.02</f>
        <v>0.02</v>
      </c>
      <c r="G101" s="8" t="s">
        <v>74</v>
      </c>
      <c r="H101" s="4" t="s">
        <v>38</v>
      </c>
      <c r="I101" s="8" t="s">
        <v>118</v>
      </c>
    </row>
    <row r="102" customFormat="false" ht="17.15" hidden="false" customHeight="false" outlineLevel="0" collapsed="false">
      <c r="A102" s="0" t="s">
        <v>336</v>
      </c>
      <c r="B102" s="4" t="s">
        <v>337</v>
      </c>
      <c r="C102" s="0" t="s">
        <v>73</v>
      </c>
      <c r="E102" s="9" t="n">
        <v>0.8</v>
      </c>
      <c r="G102" s="8" t="s">
        <v>74</v>
      </c>
      <c r="H102" s="4" t="s">
        <v>338</v>
      </c>
      <c r="I102" s="4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255</v>
      </c>
      <c r="E103" s="7" t="n">
        <v>4130</v>
      </c>
      <c r="G103" s="8" t="s">
        <v>53</v>
      </c>
      <c r="H103" s="8" t="s">
        <v>342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255</v>
      </c>
      <c r="E104" s="0" t="n">
        <f aca="false">3585/27.04</f>
        <v>132.581360946746</v>
      </c>
      <c r="G104" s="0" t="s">
        <v>53</v>
      </c>
      <c r="H104" s="0" t="s">
        <v>346</v>
      </c>
      <c r="I104" s="4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0" t="s">
        <v>349</v>
      </c>
    </row>
    <row r="3" customFormat="false" ht="17.15" hidden="false" customHeight="false" outlineLevel="0" collapsed="false">
      <c r="A3" s="5" t="s">
        <v>21</v>
      </c>
      <c r="B3" s="11" t="s">
        <v>350</v>
      </c>
      <c r="C3" s="11" t="s">
        <v>351</v>
      </c>
      <c r="D3" s="11" t="s">
        <v>352</v>
      </c>
      <c r="E3" s="11" t="s">
        <v>353</v>
      </c>
      <c r="F3" s="11" t="s">
        <v>354</v>
      </c>
      <c r="G3" s="5" t="s">
        <v>26</v>
      </c>
      <c r="H3" s="5" t="s">
        <v>355</v>
      </c>
      <c r="I3" s="5" t="s">
        <v>28</v>
      </c>
    </row>
    <row r="4" customFormat="false" ht="17.15" hidden="false" customHeight="false" outlineLevel="0" collapsed="false">
      <c r="A4" s="4" t="s">
        <v>356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357</v>
      </c>
      <c r="H4" s="8" t="s">
        <v>358</v>
      </c>
      <c r="I4" s="4" t="s">
        <v>359</v>
      </c>
    </row>
    <row r="5" customFormat="false" ht="17.15" hidden="false" customHeight="false" outlineLevel="0" collapsed="false">
      <c r="A5" s="4" t="s">
        <v>360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361</v>
      </c>
      <c r="H5" s="8" t="s">
        <v>358</v>
      </c>
      <c r="I5" s="8" t="s">
        <v>362</v>
      </c>
    </row>
    <row r="6" customFormat="false" ht="17.15" hidden="false" customHeight="false" outlineLevel="0" collapsed="false">
      <c r="A6" s="4" t="s">
        <v>363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33</v>
      </c>
      <c r="H6" s="8" t="s">
        <v>118</v>
      </c>
      <c r="I6" s="8" t="s">
        <v>364</v>
      </c>
    </row>
    <row r="7" customFormat="false" ht="17.15" hidden="false" customHeight="false" outlineLevel="0" collapsed="false">
      <c r="A7" s="4" t="s">
        <v>365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366</v>
      </c>
      <c r="H7" s="8" t="s">
        <v>358</v>
      </c>
      <c r="I7" s="4" t="s">
        <v>359</v>
      </c>
    </row>
    <row r="8" customFormat="false" ht="17.15" hidden="false" customHeight="false" outlineLevel="0" collapsed="false">
      <c r="A8" s="4" t="s">
        <v>367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368</v>
      </c>
      <c r="H8" s="8" t="s">
        <v>358</v>
      </c>
      <c r="I8" s="8" t="s">
        <v>369</v>
      </c>
    </row>
    <row r="9" customFormat="false" ht="17.15" hidden="false" customHeight="false" outlineLevel="0" collapsed="false">
      <c r="A9" s="4" t="s">
        <v>370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33</v>
      </c>
      <c r="H9" s="8" t="s">
        <v>118</v>
      </c>
      <c r="I9" s="8" t="s">
        <v>371</v>
      </c>
    </row>
    <row r="10" customFormat="false" ht="17.15" hidden="false" customHeight="false" outlineLevel="0" collapsed="false">
      <c r="A10" s="4" t="s">
        <v>372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33</v>
      </c>
      <c r="H10" s="8" t="s">
        <v>358</v>
      </c>
      <c r="I10" s="4" t="s">
        <v>359</v>
      </c>
    </row>
    <row r="11" customFormat="false" ht="17.15" hidden="false" customHeight="false" outlineLevel="0" collapsed="false">
      <c r="A11" s="4" t="s">
        <v>373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374</v>
      </c>
      <c r="H11" s="8" t="s">
        <v>211</v>
      </c>
      <c r="I11" s="4" t="s">
        <v>375</v>
      </c>
    </row>
    <row r="12" customFormat="false" ht="17.15" hidden="false" customHeight="false" outlineLevel="0" collapsed="false">
      <c r="A12" s="4" t="s">
        <v>376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377</v>
      </c>
      <c r="H12" s="8" t="s">
        <v>358</v>
      </c>
      <c r="I12" s="4" t="s">
        <v>359</v>
      </c>
    </row>
    <row r="13" customFormat="false" ht="17.15" hidden="false" customHeight="false" outlineLevel="0" collapsed="false">
      <c r="A13" s="4" t="s">
        <v>378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33</v>
      </c>
      <c r="H13" s="8" t="s">
        <v>118</v>
      </c>
      <c r="I13" s="8" t="s">
        <v>118</v>
      </c>
    </row>
    <row r="14" customFormat="false" ht="17.15" hidden="false" customHeight="false" outlineLevel="0" collapsed="false">
      <c r="A14" s="4" t="s">
        <v>379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33</v>
      </c>
      <c r="H14" s="8" t="s">
        <v>358</v>
      </c>
      <c r="I14" s="4" t="s">
        <v>380</v>
      </c>
    </row>
    <row r="15" customFormat="false" ht="17.15" hidden="false" customHeight="false" outlineLevel="0" collapsed="false">
      <c r="A15" s="0" t="s">
        <v>381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33</v>
      </c>
      <c r="H15" s="4" t="s">
        <v>382</v>
      </c>
      <c r="I15" s="8" t="s">
        <v>118</v>
      </c>
    </row>
    <row r="16" customFormat="false" ht="17.15" hidden="false" customHeight="false" outlineLevel="0" collapsed="false">
      <c r="A16" s="4" t="s">
        <v>383</v>
      </c>
      <c r="B16" s="16" t="n">
        <v>49.17</v>
      </c>
      <c r="C16" s="16" t="n">
        <v>44.54</v>
      </c>
      <c r="G16" s="8" t="s">
        <v>193</v>
      </c>
      <c r="H16" s="8" t="s">
        <v>358</v>
      </c>
      <c r="I16" s="8" t="s">
        <v>384</v>
      </c>
    </row>
    <row r="17" customFormat="false" ht="17.15" hidden="false" customHeight="false" outlineLevel="0" collapsed="false">
      <c r="A17" s="4" t="s">
        <v>385</v>
      </c>
      <c r="B17" s="13" t="n">
        <f aca="false">B4*lc_25</f>
        <v>20.94585</v>
      </c>
      <c r="F17" s="13" t="n">
        <f aca="false">F4*lc_26</f>
        <v>72.064112</v>
      </c>
      <c r="G17" s="8" t="s">
        <v>386</v>
      </c>
      <c r="H17" s="4" t="s">
        <v>387</v>
      </c>
      <c r="I17" s="4" t="s">
        <v>388</v>
      </c>
    </row>
    <row r="18" customFormat="false" ht="17.15" hidden="false" customHeight="false" outlineLevel="0" collapsed="false">
      <c r="A18" s="0" t="s">
        <v>389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386</v>
      </c>
      <c r="H18" s="4" t="s">
        <v>387</v>
      </c>
      <c r="I18" s="8" t="s">
        <v>118</v>
      </c>
    </row>
    <row r="19" customFormat="false" ht="17.15" hidden="false" customHeight="false" outlineLevel="0" collapsed="false">
      <c r="A19" s="4" t="s">
        <v>390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386</v>
      </c>
      <c r="H19" s="4" t="s">
        <v>387</v>
      </c>
      <c r="I19" s="8" t="s">
        <v>118</v>
      </c>
    </row>
    <row r="20" customFormat="false" ht="17.15" hidden="false" customHeight="false" outlineLevel="0" collapsed="false">
      <c r="A20" s="4" t="s">
        <v>391</v>
      </c>
      <c r="B20" s="13" t="n">
        <f aca="false">B4*(1-srv_25)</f>
        <v>67.02672</v>
      </c>
      <c r="F20" s="13" t="n">
        <f aca="false">F4*(1-srv_26)</f>
        <v>74.3161155</v>
      </c>
      <c r="G20" s="8" t="s">
        <v>386</v>
      </c>
      <c r="H20" s="4" t="s">
        <v>387</v>
      </c>
      <c r="I20" s="8" t="s">
        <v>118</v>
      </c>
    </row>
    <row r="21" customFormat="false" ht="17.15" hidden="false" customHeight="false" outlineLevel="0" collapsed="false">
      <c r="A21" s="0" t="s">
        <v>392</v>
      </c>
      <c r="F21" s="13" t="n">
        <f aca="false">F4*(srv_26-lc_26)*aiair_lo</f>
        <v>31.528049</v>
      </c>
      <c r="G21" s="8" t="s">
        <v>33</v>
      </c>
      <c r="H21" s="8" t="s">
        <v>393</v>
      </c>
      <c r="I21" s="8" t="s">
        <v>118</v>
      </c>
    </row>
    <row r="22" customFormat="false" ht="17.15" hidden="false" customHeight="false" outlineLevel="0" collapsed="false">
      <c r="A22" s="4" t="s">
        <v>394</v>
      </c>
      <c r="F22" s="13" t="n">
        <f aca="false">F4*(srv_26-lc_26)*(1-aiair_lo)</f>
        <v>47.2920735</v>
      </c>
      <c r="G22" s="8" t="s">
        <v>33</v>
      </c>
      <c r="H22" s="8" t="s">
        <v>393</v>
      </c>
      <c r="I22" s="8" t="s">
        <v>118</v>
      </c>
    </row>
    <row r="23" customFormat="false" ht="17.15" hidden="false" customHeight="false" outlineLevel="0" collapsed="false">
      <c r="A23" s="0" t="s">
        <v>395</v>
      </c>
      <c r="F23" s="13" t="n">
        <f aca="false">F4*(srv_26-lc_26)*aiair_hi</f>
        <v>63.056098</v>
      </c>
      <c r="G23" s="8" t="s">
        <v>33</v>
      </c>
      <c r="H23" s="8" t="s">
        <v>393</v>
      </c>
      <c r="I23" s="8" t="s">
        <v>118</v>
      </c>
    </row>
    <row r="24" customFormat="false" ht="17.15" hidden="false" customHeight="false" outlineLevel="0" collapsed="false">
      <c r="A24" s="4" t="s">
        <v>396</v>
      </c>
      <c r="F24" s="13" t="n">
        <f aca="false">F4*(srv_26-lc_26)*(1-aiair_hi)</f>
        <v>15.7640245</v>
      </c>
      <c r="G24" s="8" t="s">
        <v>33</v>
      </c>
      <c r="H24" s="8" t="s">
        <v>393</v>
      </c>
      <c r="I24" s="8" t="s">
        <v>118</v>
      </c>
    </row>
    <row r="25" customFormat="false" ht="17.15" hidden="false" customHeight="false" outlineLevel="0" collapsed="false">
      <c r="A25" s="4" t="s">
        <v>397</v>
      </c>
      <c r="F25" s="13" t="n">
        <f aca="false">F4*lc_26_lo</f>
        <v>63.056098</v>
      </c>
      <c r="G25" s="8" t="s">
        <v>33</v>
      </c>
      <c r="H25" s="8" t="s">
        <v>393</v>
      </c>
      <c r="I25" s="8" t="s">
        <v>118</v>
      </c>
    </row>
    <row r="26" customFormat="false" ht="17.15" hidden="false" customHeight="false" outlineLevel="0" collapsed="false">
      <c r="A26" s="0" t="s">
        <v>398</v>
      </c>
      <c r="F26" s="13" t="n">
        <f aca="false">F4*(srv_26-lc_26_lo)*aiair</f>
        <v>52.6968819</v>
      </c>
      <c r="G26" s="8" t="s">
        <v>33</v>
      </c>
      <c r="H26" s="8" t="s">
        <v>393</v>
      </c>
      <c r="I26" s="8" t="s">
        <v>118</v>
      </c>
    </row>
    <row r="27" customFormat="false" ht="17.15" hidden="false" customHeight="false" outlineLevel="0" collapsed="false">
      <c r="A27" s="4" t="s">
        <v>399</v>
      </c>
      <c r="F27" s="13" t="n">
        <f aca="false">F4*(srv_26-lc_26_lo)*(1-aiair)</f>
        <v>35.1312546</v>
      </c>
      <c r="G27" s="8" t="s">
        <v>33</v>
      </c>
      <c r="H27" s="8" t="s">
        <v>393</v>
      </c>
      <c r="I27" s="8" t="s">
        <v>118</v>
      </c>
    </row>
    <row r="28" customFormat="false" ht="17.15" hidden="false" customHeight="false" outlineLevel="0" collapsed="false">
      <c r="A28" s="4" t="s">
        <v>400</v>
      </c>
      <c r="F28" s="13" t="n">
        <f aca="false">F4*lc_26_hi</f>
        <v>78.8201225</v>
      </c>
      <c r="G28" s="8" t="s">
        <v>33</v>
      </c>
      <c r="H28" s="8" t="s">
        <v>393</v>
      </c>
      <c r="I28" s="8" t="s">
        <v>118</v>
      </c>
    </row>
    <row r="29" customFormat="false" ht="17.15" hidden="false" customHeight="false" outlineLevel="0" collapsed="false">
      <c r="A29" s="0" t="s">
        <v>401</v>
      </c>
      <c r="F29" s="13" t="n">
        <f aca="false">F4*(srv_26-lc_26_hi)*aiair</f>
        <v>43.2384672</v>
      </c>
      <c r="G29" s="8" t="s">
        <v>33</v>
      </c>
      <c r="H29" s="8" t="s">
        <v>393</v>
      </c>
      <c r="I29" s="8" t="s">
        <v>118</v>
      </c>
    </row>
    <row r="30" customFormat="false" ht="17.15" hidden="false" customHeight="false" outlineLevel="0" collapsed="false">
      <c r="A30" s="4" t="s">
        <v>402</v>
      </c>
      <c r="F30" s="13" t="n">
        <f aca="false">F4*(srv_26-lc_26_hi)*(1-aiair)</f>
        <v>28.8256448</v>
      </c>
      <c r="G30" s="8" t="s">
        <v>33</v>
      </c>
      <c r="H30" s="8" t="s">
        <v>393</v>
      </c>
      <c r="I30" s="8" t="s">
        <v>118</v>
      </c>
    </row>
    <row r="32" customFormat="false" ht="17.15" hidden="false" customHeight="false" outlineLevel="0" collapsed="false">
      <c r="A32" s="6" t="s">
        <v>403</v>
      </c>
    </row>
    <row r="33" customFormat="false" ht="17.15" hidden="false" customHeight="false" outlineLevel="0" collapsed="false">
      <c r="A33" s="0" t="s">
        <v>404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405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406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407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408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409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410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411</v>
      </c>
      <c r="D3" s="11" t="s">
        <v>412</v>
      </c>
      <c r="E3" s="11" t="s">
        <v>413</v>
      </c>
      <c r="F3" s="11" t="s">
        <v>414</v>
      </c>
      <c r="G3" s="5" t="s">
        <v>415</v>
      </c>
    </row>
    <row r="4" customFormat="false" ht="17.15" hidden="false" customHeight="false" outlineLevel="0" collapsed="false">
      <c r="A4" s="4" t="s">
        <v>416</v>
      </c>
      <c r="B4" s="0" t="s">
        <v>417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418</v>
      </c>
    </row>
    <row r="5" customFormat="false" ht="17.15" hidden="false" customHeight="false" outlineLevel="0" collapsed="false">
      <c r="A5" s="4" t="s">
        <v>419</v>
      </c>
      <c r="B5" s="0" t="s">
        <v>52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420</v>
      </c>
    </row>
    <row r="6" customFormat="false" ht="17.15" hidden="false" customHeight="false" outlineLevel="0" collapsed="false">
      <c r="A6" s="4" t="s">
        <v>421</v>
      </c>
      <c r="B6" s="0" t="s">
        <v>422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425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426</v>
      </c>
    </row>
    <row r="8" customFormat="false" ht="17.15" hidden="false" customHeight="false" outlineLevel="0" collapsed="false">
      <c r="A8" s="0" t="s">
        <v>427</v>
      </c>
      <c r="B8" s="0" t="s">
        <v>32</v>
      </c>
      <c r="C8" s="19" t="n">
        <f aca="false">PL!D68</f>
        <v>4.51368758595869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428</v>
      </c>
    </row>
    <row r="9" customFormat="false" ht="17.15" hidden="false" customHeight="false" outlineLevel="0" collapsed="false">
      <c r="A9" s="4" t="s">
        <v>429</v>
      </c>
      <c r="B9" s="0" t="s">
        <v>52</v>
      </c>
      <c r="C9" s="14" t="n">
        <f aca="false">PL!D72</f>
        <v>0.498927641116677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0.424088494949176</v>
      </c>
      <c r="G9" s="8" t="s">
        <v>430</v>
      </c>
    </row>
    <row r="10" customFormat="false" ht="15" hidden="false" customHeight="false" outlineLevel="0" collapsed="false">
      <c r="A10" s="4" t="s">
        <v>431</v>
      </c>
      <c r="B10" s="0" t="s">
        <v>32</v>
      </c>
      <c r="C10" s="20" t="n">
        <f aca="false">PL!D73/fx</f>
        <v>2.2520035</v>
      </c>
      <c r="D10" s="20" t="n">
        <f aca="false">PL!E73/fx</f>
        <v>5.479814477231</v>
      </c>
      <c r="E10" s="20" t="n">
        <f aca="false">PL!F73/fx</f>
        <v>7.92067317636874</v>
      </c>
      <c r="F10" s="20" t="n">
        <f aca="false">PL!G73/fx</f>
        <v>8.52162682501698</v>
      </c>
    </row>
    <row r="11" customFormat="false" ht="17.15" hidden="false" customHeight="false" outlineLevel="0" collapsed="false">
      <c r="A11" s="4" t="s">
        <v>432</v>
      </c>
      <c r="B11" s="0" t="s">
        <v>32</v>
      </c>
      <c r="C11" s="20" t="n">
        <f aca="false">PL!D77/fx</f>
        <v>1.477877296875</v>
      </c>
      <c r="D11" s="20" t="n">
        <f aca="false">PL!E77/fx</f>
        <v>1.97275720546171</v>
      </c>
      <c r="E11" s="20" t="n">
        <f aca="false">PL!F77/fx</f>
        <v>2.16727341048155</v>
      </c>
      <c r="F11" s="20" t="n">
        <f aca="false">PL!G77/fx</f>
        <v>2.2789542058411</v>
      </c>
      <c r="G11" s="8" t="s">
        <v>433</v>
      </c>
    </row>
    <row r="12" customFormat="false" ht="17.15" hidden="false" customHeight="false" outlineLevel="0" collapsed="false">
      <c r="A12" s="4" t="s">
        <v>434</v>
      </c>
      <c r="B12" s="0" t="s">
        <v>422</v>
      </c>
      <c r="C12" s="18" t="n">
        <f aca="false">PL!D84</f>
        <v>159.399762088039</v>
      </c>
      <c r="D12" s="18" t="n">
        <f aca="false">PL!E84</f>
        <v>178.947189172339</v>
      </c>
      <c r="E12" s="18" t="n">
        <f aca="false">PL!F84</f>
        <v>191.088047055512</v>
      </c>
      <c r="F12" s="18" t="n">
        <f aca="false">PL!G84</f>
        <v>179.594844492719</v>
      </c>
    </row>
    <row r="13" customFormat="false" ht="17.15" hidden="false" customHeight="false" outlineLevel="0" collapsed="false">
      <c r="A13" s="4" t="s">
        <v>435</v>
      </c>
      <c r="B13" s="0" t="s">
        <v>32</v>
      </c>
      <c r="C13" s="19" t="n">
        <f aca="false">PL!D68-PL!D73/fx</f>
        <v>2.26168408595869</v>
      </c>
      <c r="D13" s="19" t="n">
        <f aca="false">PL!E68-PL!E73/fx</f>
        <v>6.08143266593416</v>
      </c>
      <c r="E13" s="19" t="n">
        <f aca="false">PL!F68-PL!F73/fx</f>
        <v>9.71865414982551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437</v>
      </c>
    </row>
    <row r="3" customFormat="false" ht="17.15" hidden="false" customHeight="false" outlineLevel="0" collapsed="false">
      <c r="A3" s="5" t="s">
        <v>438</v>
      </c>
      <c r="B3" s="5" t="s">
        <v>22</v>
      </c>
      <c r="C3" s="11" t="s">
        <v>350</v>
      </c>
      <c r="D3" s="11" t="s">
        <v>439</v>
      </c>
      <c r="E3" s="11" t="s">
        <v>440</v>
      </c>
      <c r="F3" s="11" t="s">
        <v>441</v>
      </c>
      <c r="G3" s="11" t="s">
        <v>442</v>
      </c>
      <c r="H3" s="5" t="s">
        <v>415</v>
      </c>
    </row>
    <row r="4" customFormat="false" ht="17.15" hidden="false" customHeight="false" outlineLevel="0" collapsed="false">
      <c r="A4" s="1" t="s">
        <v>443</v>
      </c>
    </row>
    <row r="5" customFormat="false" ht="15" hidden="false" customHeight="false" outlineLevel="0" collapsed="false">
      <c r="A5" s="4" t="s">
        <v>356</v>
      </c>
      <c r="B5" s="0" t="s">
        <v>192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351.307669196167</v>
      </c>
      <c r="F5" s="19" t="n">
        <f aca="false">F80</f>
        <v>441.621437825909</v>
      </c>
      <c r="G5" s="19" t="n">
        <f aca="false">G80</f>
        <v>469.538959020978</v>
      </c>
    </row>
    <row r="6" customFormat="false" ht="15" hidden="false" customHeight="false" outlineLevel="0" collapsed="false">
      <c r="A6" s="4" t="s">
        <v>444</v>
      </c>
      <c r="B6" s="0" t="s">
        <v>52</v>
      </c>
      <c r="D6" s="14" t="n">
        <f aca="false">D81</f>
        <v>0.612732474451979</v>
      </c>
      <c r="E6" s="14" t="n">
        <f aca="false">E81</f>
        <v>0.559978344599227</v>
      </c>
      <c r="F6" s="14" t="n">
        <f aca="false">F81</f>
        <v>0.257078841564692</v>
      </c>
      <c r="G6" s="14" t="n">
        <f aca="false">G81</f>
        <v>0.06321595557613</v>
      </c>
    </row>
    <row r="7" customFormat="false" ht="15" hidden="false" customHeight="false" outlineLevel="0" collapsed="false">
      <c r="A7" s="4" t="s">
        <v>445</v>
      </c>
      <c r="B7" s="0" t="s">
        <v>192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253.4615416438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446</v>
      </c>
      <c r="B8" s="0" t="s">
        <v>192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63.1282305747746</v>
      </c>
      <c r="F8" s="19" t="n">
        <f aca="false">F77</f>
        <v>69.3527491354095</v>
      </c>
      <c r="G8" s="19" t="n">
        <f aca="false">G77</f>
        <v>72.9265345869151</v>
      </c>
    </row>
    <row r="9" customFormat="false" ht="15" hidden="false" customHeight="false" outlineLevel="0" collapsed="false">
      <c r="A9" s="4" t="s">
        <v>447</v>
      </c>
      <c r="B9" s="0" t="s">
        <v>192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448</v>
      </c>
      <c r="B10" s="0" t="s">
        <v>192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449</v>
      </c>
      <c r="B11" s="0" t="s">
        <v>52</v>
      </c>
      <c r="C11" s="14" t="n">
        <f aca="false">C82</f>
        <v>0.15</v>
      </c>
      <c r="D11" s="14" t="n">
        <f aca="false">D82</f>
        <v>0.32</v>
      </c>
      <c r="E11" s="14" t="n">
        <f aca="false">E82</f>
        <v>0.499146698597906</v>
      </c>
      <c r="F11" s="14" t="n">
        <f aca="false">F82</f>
        <v>0.573933962290382</v>
      </c>
      <c r="G11" s="14" t="n">
        <f aca="false">G82</f>
        <v>0.58076556409531</v>
      </c>
    </row>
    <row r="12" customFormat="false" ht="15" hidden="false" customHeight="false" outlineLevel="0" collapsed="false">
      <c r="A12" s="4" t="s">
        <v>363</v>
      </c>
      <c r="B12" s="0" t="s">
        <v>52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0.332770304990803</v>
      </c>
      <c r="F12" s="14" t="n">
        <f aca="false">F88</f>
        <v>0.337257540812352</v>
      </c>
      <c r="G12" s="14" t="n">
        <f aca="false">G88</f>
        <v>0.337667436920647</v>
      </c>
    </row>
    <row r="13" customFormat="false" ht="15" hidden="false" customHeight="false" outlineLevel="0" collapsed="false">
      <c r="A13" s="4" t="s">
        <v>370</v>
      </c>
      <c r="B13" s="0" t="s">
        <v>52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0.286392189799985</v>
      </c>
      <c r="F13" s="14" t="n">
        <f aca="false">F92</f>
        <v>0.293724791814883</v>
      </c>
      <c r="G13" s="14" t="n">
        <f aca="false">G92</f>
        <v>0.294911189906327</v>
      </c>
    </row>
    <row r="14" customFormat="false" ht="15" hidden="false" customHeight="false" outlineLevel="0" collapsed="false">
      <c r="A14" s="4" t="s">
        <v>376</v>
      </c>
      <c r="B14" s="0" t="s">
        <v>192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68.5879465553678</v>
      </c>
      <c r="F14" s="19" t="n">
        <f aca="false">F95</f>
        <v>88.232736298323</v>
      </c>
      <c r="G14" s="19" t="n">
        <f aca="false">G95</f>
        <v>94.1437978507719</v>
      </c>
    </row>
    <row r="15" customFormat="false" ht="15" hidden="false" customHeight="false" outlineLevel="0" collapsed="false">
      <c r="A15" s="0" t="s">
        <v>381</v>
      </c>
      <c r="B15" s="0" t="s">
        <v>255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174.735865673859</v>
      </c>
      <c r="F15" s="15" t="n">
        <f aca="false">F97</f>
        <v>224.783279455889</v>
      </c>
      <c r="G15" s="15" t="n">
        <f aca="false">G97</f>
        <v>239.842404408476</v>
      </c>
    </row>
    <row r="16" customFormat="false" ht="17.15" hidden="false" customHeight="false" outlineLevel="0" collapsed="false">
      <c r="A16" s="0" t="s">
        <v>450</v>
      </c>
      <c r="B16" s="0" t="s">
        <v>52</v>
      </c>
      <c r="D16" s="14" t="n">
        <f aca="false">D98</f>
        <v>1.15499904075659</v>
      </c>
      <c r="E16" s="14" t="n">
        <f aca="false">E98</f>
        <v>0.649053578999492</v>
      </c>
      <c r="F16" s="14" t="n">
        <f aca="false">F98</f>
        <v>0.286417522750836</v>
      </c>
      <c r="G16" s="14" t="n">
        <f aca="false">G98</f>
        <v>0.0669939729905125</v>
      </c>
    </row>
    <row r="18" customFormat="false" ht="17.15" hidden="false" customHeight="false" outlineLevel="0" collapsed="false">
      <c r="A18" s="1" t="s">
        <v>451</v>
      </c>
    </row>
    <row r="19" customFormat="false" ht="15" hidden="false" customHeight="false" outlineLevel="0" collapsed="false">
      <c r="A19" s="4" t="s">
        <v>356</v>
      </c>
      <c r="B19" s="0" t="s">
        <v>192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444</v>
      </c>
      <c r="B20" s="0" t="s">
        <v>52</v>
      </c>
      <c r="D20" s="14" t="n">
        <f aca="false">D122</f>
        <v>0.612732474451979</v>
      </c>
      <c r="E20" s="14" t="n">
        <f aca="false">E122</f>
        <v>0.468371516294412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445</v>
      </c>
      <c r="B21" s="0" t="s">
        <v>192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154.724173474758</v>
      </c>
      <c r="F21" s="19" t="n">
        <f aca="false">F114</f>
        <v>181.425103492404</v>
      </c>
      <c r="G21" s="19" t="n">
        <f aca="false">G114</f>
        <v>219.588868080438</v>
      </c>
    </row>
    <row r="22" customFormat="false" ht="17.15" hidden="false" customHeight="false" outlineLevel="0" collapsed="false">
      <c r="A22" s="0" t="s">
        <v>446</v>
      </c>
      <c r="B22" s="0" t="s">
        <v>192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63.1282305747746</v>
      </c>
      <c r="F22" s="19" t="n">
        <f aca="false">F118</f>
        <v>55.4821993083276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447</v>
      </c>
      <c r="B23" s="0" t="s">
        <v>192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448</v>
      </c>
      <c r="B24" s="0" t="s">
        <v>192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449</v>
      </c>
      <c r="B25" s="0" t="s">
        <v>52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0.467900122456721</v>
      </c>
      <c r="F25" s="14" t="n">
        <f aca="false">F123</f>
        <v>0.510030176087079</v>
      </c>
      <c r="G25" s="14" t="n">
        <f aca="false">G123</f>
        <v>0.541530473979295</v>
      </c>
    </row>
    <row r="26" customFormat="false" ht="15" hidden="false" customHeight="false" outlineLevel="0" collapsed="false">
      <c r="A26" s="4" t="s">
        <v>363</v>
      </c>
      <c r="B26" s="0" t="s">
        <v>52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370</v>
      </c>
      <c r="B27" s="0" t="s">
        <v>52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376</v>
      </c>
      <c r="B28" s="0" t="s">
        <v>192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64.0422292145633</v>
      </c>
      <c r="F28" s="19" t="n">
        <f aca="false">F136</f>
        <v>69.6852034444305</v>
      </c>
      <c r="G28" s="19" t="n">
        <f aca="false">G136</f>
        <v>80.3243341611878</v>
      </c>
    </row>
    <row r="29" customFormat="false" ht="15" hidden="false" customHeight="false" outlineLevel="0" collapsed="false">
      <c r="A29" s="0" t="s">
        <v>381</v>
      </c>
      <c r="B29" s="0" t="s">
        <v>255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450</v>
      </c>
      <c r="B30" s="0" t="s">
        <v>52</v>
      </c>
      <c r="D30" s="14" t="n">
        <f aca="false">D139</f>
        <v>1.15499904075659</v>
      </c>
      <c r="E30" s="14" t="n">
        <f aca="false">E139</f>
        <v>0.539761322466888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4" t="s">
        <v>356</v>
      </c>
      <c r="B33" s="0" t="s">
        <v>192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299.732944704581</v>
      </c>
      <c r="F33" s="19" t="n">
        <f aca="false">F162</f>
        <v>272.475478096783</v>
      </c>
      <c r="G33" s="19" t="n">
        <f aca="false">G162</f>
        <v>296.846209185926</v>
      </c>
    </row>
    <row r="34" customFormat="false" ht="15" hidden="false" customHeight="false" outlineLevel="0" collapsed="false">
      <c r="A34" s="4" t="s">
        <v>444</v>
      </c>
      <c r="B34" s="0" t="s">
        <v>52</v>
      </c>
      <c r="D34" s="14" t="n">
        <f aca="false">D163</f>
        <v>0.612732474451979</v>
      </c>
      <c r="E34" s="14" t="n">
        <f aca="false">E163</f>
        <v>0.330961273837189</v>
      </c>
      <c r="F34" s="14" t="n">
        <f aca="false">F163</f>
        <v>-0.0909391746531648</v>
      </c>
      <c r="G34" s="14" t="n">
        <f aca="false">G163</f>
        <v>0.0894419243132276</v>
      </c>
    </row>
    <row r="35" customFormat="false" ht="15" hidden="false" customHeight="false" outlineLevel="0" collapsed="false">
      <c r="A35" s="4" t="s">
        <v>445</v>
      </c>
      <c r="B35" s="0" t="s">
        <v>192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123.779338779806</v>
      </c>
      <c r="F35" s="19" t="n">
        <f aca="false">F155</f>
        <v>112.056681568838</v>
      </c>
      <c r="G35" s="19" t="n">
        <f aca="false">G155</f>
        <v>129.169922400257</v>
      </c>
    </row>
    <row r="36" customFormat="false" ht="17.15" hidden="false" customHeight="false" outlineLevel="0" collapsed="false">
      <c r="A36" s="0" t="s">
        <v>446</v>
      </c>
      <c r="B36" s="0" t="s">
        <v>192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63.1282305747746</v>
      </c>
      <c r="F36" s="19" t="n">
        <f aca="false">F159</f>
        <v>41.6116494812457</v>
      </c>
      <c r="G36" s="19" t="n">
        <f aca="false">G159</f>
        <v>43.7559207521491</v>
      </c>
    </row>
    <row r="37" customFormat="false" ht="15" hidden="false" customHeight="false" outlineLevel="0" collapsed="false">
      <c r="A37" s="4" t="s">
        <v>447</v>
      </c>
      <c r="B37" s="0" t="s">
        <v>192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448</v>
      </c>
      <c r="B38" s="0" t="s">
        <v>192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449</v>
      </c>
      <c r="B39" s="0" t="s">
        <v>52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0.412965411265699</v>
      </c>
      <c r="F39" s="14" t="n">
        <f aca="false">F164</f>
        <v>0.41125418827244</v>
      </c>
      <c r="G39" s="14" t="n">
        <f aca="false">G164</f>
        <v>0.435140885762005</v>
      </c>
    </row>
    <row r="40" customFormat="false" ht="15" hidden="false" customHeight="false" outlineLevel="0" collapsed="false">
      <c r="A40" s="4" t="s">
        <v>363</v>
      </c>
      <c r="B40" s="0" t="s">
        <v>52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0.327599427750871</v>
      </c>
      <c r="F40" s="14" t="n">
        <f aca="false">F170</f>
        <v>0.327496754371275</v>
      </c>
      <c r="G40" s="14" t="n">
        <f aca="false">G170</f>
        <v>0.328929956220649</v>
      </c>
    </row>
    <row r="41" customFormat="false" ht="15" hidden="false" customHeight="false" outlineLevel="0" collapsed="false">
      <c r="A41" s="4" t="s">
        <v>370</v>
      </c>
      <c r="B41" s="0" t="s">
        <v>52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0.279501416189206</v>
      </c>
      <c r="F41" s="14" t="n">
        <f aca="false">F174</f>
        <v>0.274587190763896</v>
      </c>
      <c r="G41" s="14" t="n">
        <f aca="false">G174</f>
        <v>0.277323536840971</v>
      </c>
    </row>
    <row r="42" customFormat="false" ht="15" hidden="false" customHeight="false" outlineLevel="0" collapsed="false">
      <c r="A42" s="4" t="s">
        <v>376</v>
      </c>
      <c r="B42" s="0" t="s">
        <v>192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57.2236532033565</v>
      </c>
      <c r="F42" s="19" t="n">
        <f aca="false">F177</f>
        <v>51.1773363557855</v>
      </c>
      <c r="G42" s="19" t="n">
        <f aca="false">G177</f>
        <v>56.2426474247613</v>
      </c>
    </row>
    <row r="43" customFormat="false" ht="15" hidden="false" customHeight="false" outlineLevel="0" collapsed="false">
      <c r="A43" s="0" t="s">
        <v>381</v>
      </c>
      <c r="B43" s="0" t="s">
        <v>255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145.783990944203</v>
      </c>
      <c r="F43" s="15" t="n">
        <f aca="false">F179</f>
        <v>130.380287209671</v>
      </c>
      <c r="G43" s="15" t="n">
        <f aca="false">G179</f>
        <v>143.284763272829</v>
      </c>
    </row>
    <row r="44" customFormat="false" ht="17.15" hidden="false" customHeight="false" outlineLevel="0" collapsed="false">
      <c r="A44" s="0" t="s">
        <v>450</v>
      </c>
      <c r="B44" s="0" t="s">
        <v>52</v>
      </c>
      <c r="D44" s="14" t="n">
        <f aca="false">D180</f>
        <v>1.15499904075659</v>
      </c>
      <c r="E44" s="14" t="n">
        <f aca="false">E180</f>
        <v>0.375822937667983</v>
      </c>
      <c r="F44" s="14" t="n">
        <f aca="false">F180</f>
        <v>-0.105661147254687</v>
      </c>
      <c r="G44" s="14" t="n">
        <f aca="false">G180</f>
        <v>0.0989756683263403</v>
      </c>
    </row>
    <row r="46" customFormat="false" ht="17.15" hidden="false" customHeight="false" outlineLevel="0" collapsed="false">
      <c r="A46" s="1" t="s">
        <v>453</v>
      </c>
    </row>
    <row r="47" customFormat="false" ht="17.15" hidden="false" customHeight="false" outlineLevel="0" collapsed="false">
      <c r="A47" s="4" t="s">
        <v>454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455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456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350</v>
      </c>
      <c r="D61" s="11" t="s">
        <v>439</v>
      </c>
      <c r="E61" s="11" t="s">
        <v>440</v>
      </c>
      <c r="F61" s="11" t="s">
        <v>441</v>
      </c>
      <c r="G61" s="11" t="s">
        <v>442</v>
      </c>
      <c r="H61" s="5" t="s">
        <v>415</v>
      </c>
    </row>
    <row r="62" customFormat="false" ht="17.15" hidden="false" customHeight="false" outlineLevel="0" collapsed="false">
      <c r="A62" s="6" t="s">
        <v>458</v>
      </c>
    </row>
    <row r="63" customFormat="false" ht="17.15" hidden="false" customHeight="false" outlineLevel="0" collapsed="false">
      <c r="A63" s="0" t="s">
        <v>459</v>
      </c>
      <c r="B63" s="0" t="s">
        <v>32</v>
      </c>
      <c r="D63" s="20" t="n">
        <f aca="false">itc_26*1</f>
        <v>781.872916666666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460</v>
      </c>
      <c r="B64" s="0" t="s">
        <v>32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461</v>
      </c>
      <c r="B65" s="0" t="s">
        <v>417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462</v>
      </c>
      <c r="B66" s="0" t="s">
        <v>52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463</v>
      </c>
      <c r="B67" s="0" t="s">
        <v>422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464</v>
      </c>
    </row>
    <row r="68" customFormat="false" ht="17.15" hidden="false" customHeight="false" outlineLevel="0" collapsed="false">
      <c r="A68" s="0" t="s">
        <v>465</v>
      </c>
      <c r="B68" s="0" t="s">
        <v>32</v>
      </c>
      <c r="D68" s="20" t="n">
        <f aca="false">D65*D66*D67/1000</f>
        <v>4.51368758595869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466</v>
      </c>
      <c r="B69" s="0" t="s">
        <v>192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467</v>
      </c>
      <c r="B70" s="0" t="s">
        <v>52</v>
      </c>
      <c r="D70" s="14" t="n">
        <f aca="false">a26_lc/D69</f>
        <v>0.498927641116677</v>
      </c>
      <c r="H70" s="8" t="s">
        <v>468</v>
      </c>
    </row>
    <row r="71" customFormat="false" ht="17.15" hidden="false" customHeight="false" outlineLevel="0" collapsed="false">
      <c r="A71" s="4" t="s">
        <v>469</v>
      </c>
      <c r="B71" s="0" t="s">
        <v>73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429</v>
      </c>
      <c r="B72" s="0" t="s">
        <v>52</v>
      </c>
      <c r="D72" s="14" t="n">
        <f aca="false">$D$70*D71</f>
        <v>0.498927641116677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0.424088494949176</v>
      </c>
    </row>
    <row r="73" customFormat="false" ht="15" hidden="false" customHeight="false" outlineLevel="0" collapsed="false">
      <c r="A73" s="4" t="s">
        <v>470</v>
      </c>
      <c r="B73" s="0" t="s">
        <v>192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253.4615416438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471</v>
      </c>
    </row>
    <row r="75" customFormat="false" ht="17.15" hidden="false" customHeight="false" outlineLevel="0" collapsed="false">
      <c r="A75" s="0" t="s">
        <v>472</v>
      </c>
      <c r="B75" s="0" t="s">
        <v>473</v>
      </c>
      <c r="D75" s="22" t="n">
        <f aca="false">a26_air/D65</f>
        <v>2.0210686815691</v>
      </c>
    </row>
    <row r="76" customFormat="false" ht="17.15" hidden="false" customHeight="false" outlineLevel="0" collapsed="false">
      <c r="A76" s="0" t="s">
        <v>474</v>
      </c>
      <c r="B76" s="0" t="s">
        <v>73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475</v>
      </c>
      <c r="B77" s="0" t="s">
        <v>192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63.1282305747746</v>
      </c>
      <c r="F77" s="19" t="n">
        <f aca="false">F65*$D$75*F76</f>
        <v>69.3527491354095</v>
      </c>
      <c r="G77" s="19" t="n">
        <f aca="false">G65*$D$75*G76</f>
        <v>72.9265345869151</v>
      </c>
    </row>
    <row r="78" customFormat="false" ht="15" hidden="false" customHeight="false" outlineLevel="0" collapsed="false">
      <c r="A78" s="4" t="s">
        <v>476</v>
      </c>
      <c r="B78" s="0" t="s">
        <v>192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477</v>
      </c>
      <c r="B79" s="0" t="s">
        <v>192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356</v>
      </c>
      <c r="B80" s="0" t="s">
        <v>192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351.307669196167</v>
      </c>
      <c r="F80" s="19" t="n">
        <f aca="false">F73+F77+F78+F79</f>
        <v>441.621437825909</v>
      </c>
      <c r="G80" s="19" t="n">
        <f aca="false">G73+G77+G78+G79</f>
        <v>469.538959020978</v>
      </c>
    </row>
    <row r="81" customFormat="false" ht="15" hidden="false" customHeight="false" outlineLevel="0" collapsed="false">
      <c r="A81" s="4" t="s">
        <v>478</v>
      </c>
      <c r="B81" s="0" t="s">
        <v>52</v>
      </c>
      <c r="D81" s="14" t="n">
        <f aca="false">D80/C80-1</f>
        <v>0.612732474451979</v>
      </c>
      <c r="E81" s="14" t="n">
        <f aca="false">E80/D80-1</f>
        <v>0.559978344599227</v>
      </c>
      <c r="F81" s="14" t="n">
        <f aca="false">F80/E80-1</f>
        <v>0.257078841564692</v>
      </c>
      <c r="G81" s="14" t="n">
        <f aca="false">G80/F80-1</f>
        <v>0.06321595557613</v>
      </c>
    </row>
    <row r="82" customFormat="false" ht="17.15" hidden="false" customHeight="false" outlineLevel="0" collapsed="false">
      <c r="A82" s="4" t="s">
        <v>479</v>
      </c>
      <c r="B82" s="0" t="s">
        <v>52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0.499146698597906</v>
      </c>
      <c r="F82" s="14" t="n">
        <f aca="false">F73/F80</f>
        <v>0.573933962290382</v>
      </c>
      <c r="G82" s="14" t="n">
        <f aca="false">G73/G80</f>
        <v>0.58076556409531</v>
      </c>
    </row>
    <row r="83" customFormat="false" ht="17.15" hidden="false" customHeight="false" outlineLevel="0" collapsed="false">
      <c r="A83" s="0" t="s">
        <v>480</v>
      </c>
      <c r="B83" s="0" t="s">
        <v>52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0.678841695633466</v>
      </c>
      <c r="F83" s="14" t="n">
        <f aca="false">(F73+F77)/F80</f>
        <v>0.730975136461707</v>
      </c>
      <c r="G83" s="14" t="n">
        <f aca="false">(G73+G77)/G80</f>
        <v>0.736080758257201</v>
      </c>
    </row>
    <row r="84" customFormat="false" ht="17.15" hidden="false" customHeight="false" outlineLevel="0" collapsed="false">
      <c r="A84" s="4" t="s">
        <v>434</v>
      </c>
      <c r="B84" s="0" t="s">
        <v>422</v>
      </c>
      <c r="D84" s="18" t="n">
        <f aca="false">(D73+D77)/fx/D65*1000</f>
        <v>159.399762088039</v>
      </c>
      <c r="E84" s="18" t="n">
        <f aca="false">(E73+E77)/fx/E65*1000</f>
        <v>178.947189172339</v>
      </c>
      <c r="F84" s="18" t="n">
        <f aca="false">(F73+F77)/fx/F65*1000</f>
        <v>191.088047055512</v>
      </c>
      <c r="G84" s="18" t="n">
        <f aca="false">(G73+G77)/fx/G65*1000</f>
        <v>179.594844492719</v>
      </c>
    </row>
    <row r="85" customFormat="false" ht="17.15" hidden="false" customHeight="false" outlineLevel="0" collapsed="false">
      <c r="A85" s="6" t="s">
        <v>481</v>
      </c>
    </row>
    <row r="86" customFormat="false" ht="17.15" hidden="false" customHeight="false" outlineLevel="0" collapsed="false">
      <c r="A86" s="4" t="s">
        <v>482</v>
      </c>
      <c r="B86" s="0" t="s">
        <v>52</v>
      </c>
      <c r="D86" s="14" t="n">
        <f aca="false">a26_gp/D80-d_lc*D82</f>
        <v>0.302821503074929</v>
      </c>
      <c r="H86" s="8" t="s">
        <v>483</v>
      </c>
    </row>
    <row r="87" customFormat="false" ht="15" hidden="false" customHeight="false" outlineLevel="0" collapsed="false">
      <c r="A87" s="4" t="s">
        <v>360</v>
      </c>
      <c r="B87" s="0" t="s">
        <v>192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116.904760224016</v>
      </c>
      <c r="F87" s="19" t="n">
        <f aca="false">$D$86*F80+d_lc*F73</f>
        <v>148.940160091181</v>
      </c>
      <c r="G87" s="19" t="n">
        <f aca="false">$D$86*G80+d_lc*G73</f>
        <v>158.548016827003</v>
      </c>
    </row>
    <row r="88" customFormat="false" ht="15" hidden="false" customHeight="false" outlineLevel="0" collapsed="false">
      <c r="A88" s="4" t="s">
        <v>363</v>
      </c>
      <c r="B88" s="0" t="s">
        <v>52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0.332770304990803</v>
      </c>
      <c r="F88" s="14" t="n">
        <f aca="false">F87/F80</f>
        <v>0.337257540812352</v>
      </c>
      <c r="G88" s="14" t="n">
        <f aca="false">G87/G80</f>
        <v>0.337667436920647</v>
      </c>
    </row>
    <row r="89" customFormat="false" ht="15" hidden="false" customHeight="false" outlineLevel="0" collapsed="false">
      <c r="A89" s="4" t="s">
        <v>484</v>
      </c>
      <c r="B89" s="0" t="s">
        <v>192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16.2929875493975</v>
      </c>
      <c r="F89" s="19" t="n">
        <f aca="false">E89*(1+MAX(0,phi*F81))</f>
        <v>19.2249952047765</v>
      </c>
      <c r="G89" s="19" t="n">
        <f aca="false">F89*(1+MAX(0,phi*G81))</f>
        <v>20.075723714748</v>
      </c>
    </row>
    <row r="90" customFormat="false" ht="15" hidden="false" customHeight="false" outlineLevel="0" collapsed="false">
      <c r="A90" s="4" t="s">
        <v>365</v>
      </c>
      <c r="B90" s="0" t="s">
        <v>192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16.2929875493975</v>
      </c>
      <c r="F90" s="19" t="n">
        <f aca="false">F89+0*F80</f>
        <v>19.2249952047765</v>
      </c>
      <c r="G90" s="19" t="n">
        <f aca="false">G89+0*G80</f>
        <v>20.075723714748</v>
      </c>
    </row>
    <row r="91" customFormat="false" ht="15" hidden="false" customHeight="false" outlineLevel="0" collapsed="false">
      <c r="A91" s="4" t="s">
        <v>367</v>
      </c>
      <c r="B91" s="0" t="s">
        <v>192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100.611772674619</v>
      </c>
      <c r="F91" s="19" t="n">
        <f aca="false">F87-F90</f>
        <v>129.715164886404</v>
      </c>
      <c r="G91" s="19" t="n">
        <f aca="false">G87-G90</f>
        <v>138.472293112255</v>
      </c>
    </row>
    <row r="92" customFormat="false" ht="15" hidden="false" customHeight="false" outlineLevel="0" collapsed="false">
      <c r="A92" s="4" t="s">
        <v>370</v>
      </c>
      <c r="B92" s="0" t="s">
        <v>52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0.286392189799985</v>
      </c>
      <c r="F92" s="14" t="n">
        <f aca="false">F91/F80</f>
        <v>0.293724791814883</v>
      </c>
      <c r="G92" s="14" t="n">
        <f aca="false">G91/G80</f>
        <v>0.294911189906327</v>
      </c>
    </row>
    <row r="93" customFormat="false" ht="15" hidden="false" customHeight="false" outlineLevel="0" collapsed="false">
      <c r="A93" s="4" t="s">
        <v>372</v>
      </c>
      <c r="B93" s="0" t="s">
        <v>192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235</v>
      </c>
      <c r="B94" s="0" t="s">
        <v>52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376</v>
      </c>
      <c r="B95" s="0" t="s">
        <v>192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68.5879465553678</v>
      </c>
      <c r="F95" s="19" t="n">
        <f aca="false">(F91+F93)*F94</f>
        <v>88.232736298323</v>
      </c>
      <c r="G95" s="19" t="n">
        <f aca="false">(G91+G93)*G94</f>
        <v>94.1437978507719</v>
      </c>
    </row>
    <row r="96" customFormat="false" ht="15" hidden="false" customHeight="false" outlineLevel="0" collapsed="false">
      <c r="A96" s="4" t="s">
        <v>485</v>
      </c>
      <c r="B96" s="4" t="s">
        <v>218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381</v>
      </c>
      <c r="B97" s="0" t="s">
        <v>255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174.735865673859</v>
      </c>
      <c r="F97" s="20" t="n">
        <f aca="false">F95/F96</f>
        <v>224.783279455889</v>
      </c>
      <c r="G97" s="20" t="n">
        <f aca="false">G95/G96</f>
        <v>239.842404408476</v>
      </c>
    </row>
    <row r="98" customFormat="false" ht="17.15" hidden="false" customHeight="false" outlineLevel="0" collapsed="false">
      <c r="A98" s="0" t="s">
        <v>486</v>
      </c>
      <c r="B98" s="0" t="s">
        <v>52</v>
      </c>
      <c r="D98" s="14" t="n">
        <f aca="false">D97/C97-1</f>
        <v>1.15499904075659</v>
      </c>
      <c r="E98" s="14" t="n">
        <f aca="false">E97/D97-1</f>
        <v>0.649053578999492</v>
      </c>
      <c r="F98" s="14" t="n">
        <f aca="false">F97/E97-1</f>
        <v>0.286417522750836</v>
      </c>
      <c r="G98" s="14" t="n">
        <f aca="false">G97/F97-1</f>
        <v>0.0669939729905125</v>
      </c>
    </row>
    <row r="101" customFormat="false" ht="17.15" hidden="false" customHeight="false" outlineLevel="0" collapsed="false">
      <c r="A101" s="1" t="s">
        <v>487</v>
      </c>
    </row>
    <row r="102" customFormat="false" ht="17.15" hidden="false" customHeight="false" outlineLevel="0" collapsed="false">
      <c r="A102" s="5" t="s">
        <v>21</v>
      </c>
      <c r="B102" s="5" t="s">
        <v>22</v>
      </c>
      <c r="C102" s="11" t="s">
        <v>350</v>
      </c>
      <c r="D102" s="11" t="s">
        <v>439</v>
      </c>
      <c r="E102" s="11" t="s">
        <v>440</v>
      </c>
      <c r="F102" s="11" t="s">
        <v>441</v>
      </c>
      <c r="G102" s="11" t="s">
        <v>442</v>
      </c>
      <c r="H102" s="5" t="s">
        <v>415</v>
      </c>
    </row>
    <row r="103" customFormat="false" ht="17.15" hidden="false" customHeight="false" outlineLevel="0" collapsed="false">
      <c r="A103" s="6" t="s">
        <v>458</v>
      </c>
    </row>
    <row r="104" customFormat="false" ht="17.15" hidden="false" customHeight="false" outlineLevel="0" collapsed="false">
      <c r="A104" s="0" t="s">
        <v>459</v>
      </c>
      <c r="B104" s="0" t="s">
        <v>32</v>
      </c>
      <c r="D104" s="20" t="n">
        <f aca="false">itc_26*1</f>
        <v>781.872916666666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460</v>
      </c>
      <c r="B105" s="0" t="s">
        <v>32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461</v>
      </c>
      <c r="B106" s="0" t="s">
        <v>417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462</v>
      </c>
      <c r="B107" s="0" t="s">
        <v>52</v>
      </c>
      <c r="D107" s="14" t="n">
        <f aca="false">lpenB_26</f>
        <v>0.55</v>
      </c>
      <c r="E107" s="14" t="n">
        <f aca="false">lpenB_27</f>
        <v>0.75</v>
      </c>
      <c r="F107" s="14" t="n">
        <f aca="false">lpenB_28</f>
        <v>0.85</v>
      </c>
      <c r="G107" s="14" t="n">
        <f aca="false">lpenB_29</f>
        <v>0.9</v>
      </c>
    </row>
    <row r="108" customFormat="false" ht="17.15" hidden="false" customHeight="false" outlineLevel="0" collapsed="false">
      <c r="A108" s="4" t="s">
        <v>463</v>
      </c>
      <c r="B108" s="0" t="s">
        <v>422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464</v>
      </c>
    </row>
    <row r="109" customFormat="false" ht="17.15" hidden="false" customHeight="false" outlineLevel="0" collapsed="false">
      <c r="A109" s="0" t="s">
        <v>465</v>
      </c>
      <c r="B109" s="0" t="s">
        <v>32</v>
      </c>
      <c r="D109" s="20" t="n">
        <f aca="false">D106*D107*D108/1000</f>
        <v>4.51368758595869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466</v>
      </c>
      <c r="B110" s="0" t="s">
        <v>192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467</v>
      </c>
      <c r="B111" s="0" t="s">
        <v>52</v>
      </c>
      <c r="D111" s="14" t="n">
        <f aca="false">a26_lc/D110</f>
        <v>0.498927641116677</v>
      </c>
      <c r="H111" s="8" t="s">
        <v>468</v>
      </c>
    </row>
    <row r="112" customFormat="false" ht="17.15" hidden="false" customHeight="false" outlineLevel="0" collapsed="false">
      <c r="A112" s="4" t="s">
        <v>469</v>
      </c>
      <c r="B112" s="0" t="s">
        <v>73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429</v>
      </c>
      <c r="B113" s="0" t="s">
        <v>52</v>
      </c>
      <c r="D113" s="14" t="n">
        <f aca="false">$D$111*D112</f>
        <v>0.498927641116677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0.424088494949176</v>
      </c>
    </row>
    <row r="114" customFormat="false" ht="15" hidden="false" customHeight="false" outlineLevel="0" collapsed="false">
      <c r="A114" s="4" t="s">
        <v>470</v>
      </c>
      <c r="B114" s="0" t="s">
        <v>192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154.724173474758</v>
      </c>
      <c r="F114" s="19" t="n">
        <f aca="false">F110*F113</f>
        <v>181.425103492404</v>
      </c>
      <c r="G114" s="19" t="n">
        <f aca="false">G110*G113</f>
        <v>219.588868080438</v>
      </c>
    </row>
    <row r="115" customFormat="false" ht="17.15" hidden="false" customHeight="false" outlineLevel="0" collapsed="false">
      <c r="A115" s="6" t="s">
        <v>471</v>
      </c>
    </row>
    <row r="116" customFormat="false" ht="17.15" hidden="false" customHeight="false" outlineLevel="0" collapsed="false">
      <c r="A116" s="0" t="s">
        <v>472</v>
      </c>
      <c r="B116" s="0" t="s">
        <v>473</v>
      </c>
      <c r="D116" s="22" t="n">
        <f aca="false">a26_air/D106</f>
        <v>2.0210686815691</v>
      </c>
    </row>
    <row r="117" customFormat="false" ht="17.15" hidden="false" customHeight="false" outlineLevel="0" collapsed="false">
      <c r="A117" s="0" t="s">
        <v>474</v>
      </c>
      <c r="B117" s="0" t="s">
        <v>73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475</v>
      </c>
      <c r="B118" s="0" t="s">
        <v>192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63.1282305747746</v>
      </c>
      <c r="F118" s="19" t="n">
        <f aca="false">F106*$D$116*F117</f>
        <v>55.4821993083276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476</v>
      </c>
      <c r="B119" s="0" t="s">
        <v>192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477</v>
      </c>
      <c r="B120" s="0" t="s">
        <v>192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356</v>
      </c>
      <c r="B121" s="0" t="s">
        <v>192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478</v>
      </c>
      <c r="B122" s="0" t="s">
        <v>52</v>
      </c>
      <c r="D122" s="14" t="n">
        <f aca="false">D121/C121-1</f>
        <v>0.612732474451979</v>
      </c>
      <c r="E122" s="14" t="n">
        <f aca="false">E121/D121-1</f>
        <v>0.468371516294412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479</v>
      </c>
      <c r="B123" s="0" t="s">
        <v>52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0.467900122456721</v>
      </c>
      <c r="F123" s="14" t="n">
        <f aca="false">F114/F121</f>
        <v>0.510030176087079</v>
      </c>
      <c r="G123" s="14" t="n">
        <f aca="false">G114/G121</f>
        <v>0.541530473979295</v>
      </c>
    </row>
    <row r="124" customFormat="false" ht="17.15" hidden="false" customHeight="false" outlineLevel="0" collapsed="false">
      <c r="A124" s="0" t="s">
        <v>480</v>
      </c>
      <c r="B124" s="0" t="s">
        <v>52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434</v>
      </c>
      <c r="B125" s="0" t="s">
        <v>422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481</v>
      </c>
    </row>
    <row r="127" customFormat="false" ht="17.15" hidden="false" customHeight="false" outlineLevel="0" collapsed="false">
      <c r="A127" s="4" t="s">
        <v>482</v>
      </c>
      <c r="B127" s="0" t="s">
        <v>52</v>
      </c>
      <c r="D127" s="14" t="n">
        <f aca="false">a26_gp/D121-d_lc*D123</f>
        <v>0.302821503074929</v>
      </c>
      <c r="H127" s="8" t="s">
        <v>483</v>
      </c>
    </row>
    <row r="128" customFormat="false" ht="15" hidden="false" customHeight="false" outlineLevel="0" collapsed="false">
      <c r="A128" s="4" t="s">
        <v>360</v>
      </c>
      <c r="B128" s="0" t="s">
        <v>192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135.96847907434</v>
      </c>
    </row>
    <row r="129" customFormat="false" ht="15" hidden="false" customHeight="false" outlineLevel="0" collapsed="false">
      <c r="A129" s="4" t="s">
        <v>363</v>
      </c>
      <c r="B129" s="0" t="s">
        <v>52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484</v>
      </c>
      <c r="B130" s="0" t="s">
        <v>192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15.5424159855637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365</v>
      </c>
      <c r="B131" s="0" t="s">
        <v>192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15.5424159855637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367</v>
      </c>
      <c r="B132" s="0" t="s">
        <v>192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93.8773766141678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370</v>
      </c>
      <c r="B133" s="0" t="s">
        <v>52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372</v>
      </c>
      <c r="B134" s="0" t="s">
        <v>192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235</v>
      </c>
      <c r="B135" s="0" t="s">
        <v>52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376</v>
      </c>
      <c r="B136" s="0" t="s">
        <v>192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64.0422292145633</v>
      </c>
      <c r="F136" s="19" t="n">
        <f aca="false">(F132+F134)*F135</f>
        <v>69.6852034444305</v>
      </c>
      <c r="G136" s="19" t="n">
        <f aca="false">(G132+G134)*G135</f>
        <v>80.3243341611878</v>
      </c>
    </row>
    <row r="137" customFormat="false" ht="15" hidden="false" customHeight="false" outlineLevel="0" collapsed="false">
      <c r="A137" s="4" t="s">
        <v>485</v>
      </c>
      <c r="B137" s="4" t="s">
        <v>218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381</v>
      </c>
      <c r="B138" s="0" t="s">
        <v>255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486</v>
      </c>
      <c r="B139" s="0" t="s">
        <v>52</v>
      </c>
      <c r="D139" s="14" t="n">
        <f aca="false">D138/C138-1</f>
        <v>1.15499904075659</v>
      </c>
      <c r="E139" s="14" t="n">
        <f aca="false">E138/D138-1</f>
        <v>0.539761322466888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488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1" t="s">
        <v>350</v>
      </c>
      <c r="D143" s="11" t="s">
        <v>439</v>
      </c>
      <c r="E143" s="11" t="s">
        <v>440</v>
      </c>
      <c r="F143" s="11" t="s">
        <v>441</v>
      </c>
      <c r="G143" s="11" t="s">
        <v>442</v>
      </c>
      <c r="H143" s="5" t="s">
        <v>415</v>
      </c>
    </row>
    <row r="144" customFormat="false" ht="17.15" hidden="false" customHeight="false" outlineLevel="0" collapsed="false">
      <c r="A144" s="6" t="s">
        <v>458</v>
      </c>
    </row>
    <row r="145" customFormat="false" ht="17.15" hidden="false" customHeight="false" outlineLevel="0" collapsed="false">
      <c r="A145" s="0" t="s">
        <v>459</v>
      </c>
      <c r="B145" s="0" t="s">
        <v>32</v>
      </c>
      <c r="D145" s="20" t="n">
        <f aca="false">itc_26*1</f>
        <v>781.872916666666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460</v>
      </c>
      <c r="B146" s="0" t="s">
        <v>32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461</v>
      </c>
      <c r="B147" s="0" t="s">
        <v>417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462</v>
      </c>
      <c r="B148" s="0" t="s">
        <v>52</v>
      </c>
      <c r="D148" s="14" t="n">
        <f aca="false">lpenC_26</f>
        <v>0.55</v>
      </c>
      <c r="E148" s="14" t="n">
        <f aca="false">lpenC_27</f>
        <v>0.6</v>
      </c>
      <c r="F148" s="14" t="n">
        <f aca="false">lpenC_28</f>
        <v>0.7</v>
      </c>
      <c r="G148" s="14" t="n">
        <f aca="false">lpenC_29</f>
        <v>0.75</v>
      </c>
    </row>
    <row r="149" customFormat="false" ht="17.15" hidden="false" customHeight="false" outlineLevel="0" collapsed="false">
      <c r="A149" s="4" t="s">
        <v>463</v>
      </c>
      <c r="B149" s="0" t="s">
        <v>422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464</v>
      </c>
    </row>
    <row r="150" customFormat="false" ht="17.15" hidden="false" customHeight="false" outlineLevel="0" collapsed="false">
      <c r="A150" s="0" t="s">
        <v>465</v>
      </c>
      <c r="B150" s="0" t="s">
        <v>32</v>
      </c>
      <c r="D150" s="20" t="n">
        <f aca="false">D147*D148*D149/1000</f>
        <v>4.51368758595869</v>
      </c>
      <c r="E150" s="20" t="n">
        <f aca="false">E147*E148*E149/1000</f>
        <v>8.16088033635188</v>
      </c>
      <c r="F150" s="20" t="n">
        <f aca="false">F147*F148*F149/1000</f>
        <v>7.79843944947535</v>
      </c>
      <c r="G150" s="20" t="n">
        <f aca="false">G147*G148*G149/1000</f>
        <v>9.51820226929712</v>
      </c>
    </row>
    <row r="151" customFormat="false" ht="17.15" hidden="false" customHeight="false" outlineLevel="0" collapsed="false">
      <c r="A151" s="0" t="s">
        <v>466</v>
      </c>
      <c r="B151" s="0" t="s">
        <v>192</v>
      </c>
      <c r="D151" s="19" t="n">
        <f aca="false">D150*fx</f>
        <v>144.438002750678</v>
      </c>
      <c r="E151" s="19" t="n">
        <f aca="false">E150*fx</f>
        <v>261.14817076326</v>
      </c>
      <c r="F151" s="19" t="n">
        <f aca="false">F150*fx</f>
        <v>249.550062383211</v>
      </c>
      <c r="G151" s="19" t="n">
        <f aca="false">G150*fx</f>
        <v>304.582472617508</v>
      </c>
    </row>
    <row r="152" customFormat="false" ht="17.15" hidden="false" customHeight="false" outlineLevel="0" collapsed="false">
      <c r="A152" s="4" t="s">
        <v>467</v>
      </c>
      <c r="B152" s="0" t="s">
        <v>52</v>
      </c>
      <c r="D152" s="14" t="n">
        <f aca="false">a26_lc/D151</f>
        <v>0.498927641116677</v>
      </c>
      <c r="H152" s="8" t="s">
        <v>468</v>
      </c>
    </row>
    <row r="153" customFormat="false" ht="17.15" hidden="false" customHeight="false" outlineLevel="0" collapsed="false">
      <c r="A153" s="4" t="s">
        <v>469</v>
      </c>
      <c r="B153" s="0" t="s">
        <v>73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429</v>
      </c>
      <c r="B154" s="0" t="s">
        <v>52</v>
      </c>
      <c r="D154" s="14" t="n">
        <f aca="false">$D$152*D153</f>
        <v>0.498927641116677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0.424088494949176</v>
      </c>
    </row>
    <row r="155" customFormat="false" ht="15" hidden="false" customHeight="false" outlineLevel="0" collapsed="false">
      <c r="A155" s="4" t="s">
        <v>470</v>
      </c>
      <c r="B155" s="0" t="s">
        <v>192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123.779338779806</v>
      </c>
      <c r="F155" s="19" t="n">
        <f aca="false">F151*F154</f>
        <v>112.056681568838</v>
      </c>
      <c r="G155" s="19" t="n">
        <f aca="false">G151*G154</f>
        <v>129.169922400257</v>
      </c>
    </row>
    <row r="156" customFormat="false" ht="17.15" hidden="false" customHeight="false" outlineLevel="0" collapsed="false">
      <c r="A156" s="6" t="s">
        <v>471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D157" s="22" t="n">
        <f aca="false">a26_air/D147</f>
        <v>2.0210686815691</v>
      </c>
    </row>
    <row r="158" customFormat="false" ht="17.15" hidden="false" customHeight="false" outlineLevel="0" collapsed="false">
      <c r="A158" s="0" t="s">
        <v>474</v>
      </c>
      <c r="B158" s="0" t="s">
        <v>73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475</v>
      </c>
      <c r="B159" s="0" t="s">
        <v>192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63.1282305747746</v>
      </c>
      <c r="F159" s="19" t="n">
        <f aca="false">F147*$D$157*F158</f>
        <v>41.6116494812457</v>
      </c>
      <c r="G159" s="19" t="n">
        <f aca="false">G147*$D$157*G158</f>
        <v>43.7559207521491</v>
      </c>
    </row>
    <row r="160" customFormat="false" ht="15" hidden="false" customHeight="false" outlineLevel="0" collapsed="false">
      <c r="A160" s="4" t="s">
        <v>476</v>
      </c>
      <c r="B160" s="0" t="s">
        <v>192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477</v>
      </c>
      <c r="B161" s="0" t="s">
        <v>192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356</v>
      </c>
      <c r="B162" s="0" t="s">
        <v>192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299.732944704581</v>
      </c>
      <c r="F162" s="19" t="n">
        <f aca="false">F155+F159+F160+F161</f>
        <v>272.475478096783</v>
      </c>
      <c r="G162" s="19" t="n">
        <f aca="false">G155+G159+G160+G161</f>
        <v>296.846209185926</v>
      </c>
    </row>
    <row r="163" customFormat="false" ht="15" hidden="false" customHeight="false" outlineLevel="0" collapsed="false">
      <c r="A163" s="4" t="s">
        <v>478</v>
      </c>
      <c r="B163" s="0" t="s">
        <v>52</v>
      </c>
      <c r="D163" s="14" t="n">
        <f aca="false">D162/C162-1</f>
        <v>0.612732474451979</v>
      </c>
      <c r="E163" s="14" t="n">
        <f aca="false">E162/D162-1</f>
        <v>0.330961273837189</v>
      </c>
      <c r="F163" s="14" t="n">
        <f aca="false">F162/E162-1</f>
        <v>-0.0909391746531648</v>
      </c>
      <c r="G163" s="14" t="n">
        <f aca="false">G162/F162-1</f>
        <v>0.0894419243132276</v>
      </c>
    </row>
    <row r="164" customFormat="false" ht="17.15" hidden="false" customHeight="false" outlineLevel="0" collapsed="false">
      <c r="A164" s="4" t="s">
        <v>479</v>
      </c>
      <c r="B164" s="0" t="s">
        <v>52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0.412965411265699</v>
      </c>
      <c r="F164" s="14" t="n">
        <f aca="false">F155/F162</f>
        <v>0.41125418827244</v>
      </c>
      <c r="G164" s="14" t="n">
        <f aca="false">G155/G162</f>
        <v>0.435140885762005</v>
      </c>
    </row>
    <row r="165" customFormat="false" ht="17.15" hidden="false" customHeight="false" outlineLevel="0" collapsed="false">
      <c r="A165" s="0" t="s">
        <v>480</v>
      </c>
      <c r="B165" s="0" t="s">
        <v>52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0.623580332615083</v>
      </c>
      <c r="F165" s="14" t="n">
        <f aca="false">(F155+F159)/F162</f>
        <v>0.563971231919448</v>
      </c>
      <c r="G165" s="14" t="n">
        <f aca="false">(G155+G159)/G162</f>
        <v>0.582543545449476</v>
      </c>
    </row>
    <row r="166" customFormat="false" ht="17.15" hidden="false" customHeight="false" outlineLevel="0" collapsed="false">
      <c r="A166" s="4" t="s">
        <v>434</v>
      </c>
      <c r="B166" s="0" t="s">
        <v>422</v>
      </c>
      <c r="D166" s="18" t="n">
        <f aca="false">(D155+D159)/fx/D147*1000</f>
        <v>159.399762088039</v>
      </c>
      <c r="E166" s="18" t="n">
        <f aca="false">(E155+E159)/fx/E147*1000</f>
        <v>140.247662128791</v>
      </c>
      <c r="F166" s="18" t="n">
        <f aca="false">(F155+F159)/fx/F147*1000</f>
        <v>151.605128776265</v>
      </c>
      <c r="G166" s="18" t="n">
        <f aca="false">(G155+G159)/fx/G147*1000</f>
        <v>149.763306237288</v>
      </c>
    </row>
    <row r="167" customFormat="false" ht="17.15" hidden="false" customHeight="false" outlineLevel="0" collapsed="false">
      <c r="A167" s="6" t="s">
        <v>481</v>
      </c>
    </row>
    <row r="168" customFormat="false" ht="17.15" hidden="false" customHeight="false" outlineLevel="0" collapsed="false">
      <c r="A168" s="4" t="s">
        <v>482</v>
      </c>
      <c r="B168" s="0" t="s">
        <v>52</v>
      </c>
      <c r="D168" s="14" t="n">
        <f aca="false">a26_gp/D162-d_lc*D164</f>
        <v>0.302821503074929</v>
      </c>
      <c r="H168" s="8" t="s">
        <v>483</v>
      </c>
    </row>
    <row r="169" customFormat="false" ht="15" hidden="false" customHeight="false" outlineLevel="0" collapsed="false">
      <c r="A169" s="4" t="s">
        <v>360</v>
      </c>
      <c r="B169" s="0" t="s">
        <v>192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98.192341163304</v>
      </c>
      <c r="F169" s="19" t="n">
        <f aca="false">$D$168*F162+d_lc*F155</f>
        <v>89.234834722458</v>
      </c>
      <c r="G169" s="19" t="n">
        <f aca="false">$D$168*G162+d_lc*G155</f>
        <v>97.6416105917924</v>
      </c>
    </row>
    <row r="170" customFormat="false" ht="15" hidden="false" customHeight="false" outlineLevel="0" collapsed="false">
      <c r="A170" s="4" t="s">
        <v>363</v>
      </c>
      <c r="B170" s="0" t="s">
        <v>52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0.327599427750871</v>
      </c>
      <c r="F170" s="14" t="n">
        <f aca="false">F169/F162</f>
        <v>0.327496754371275</v>
      </c>
      <c r="G170" s="14" t="n">
        <f aca="false">G169/G162</f>
        <v>0.328929956220649</v>
      </c>
    </row>
    <row r="171" customFormat="false" ht="15" hidden="false" customHeight="false" outlineLevel="0" collapsed="false">
      <c r="A171" s="4" t="s">
        <v>484</v>
      </c>
      <c r="B171" s="0" t="s">
        <v>192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14.4165586398129</v>
      </c>
      <c r="F171" s="19" t="n">
        <f aca="false">E171*(1+MAX(0,phi*F163))</f>
        <v>14.4165586398129</v>
      </c>
      <c r="G171" s="19" t="n">
        <f aca="false">F171*(1+MAX(0,phi*G163))</f>
        <v>15.3191699625164</v>
      </c>
    </row>
    <row r="172" customFormat="false" ht="15" hidden="false" customHeight="false" outlineLevel="0" collapsed="false">
      <c r="A172" s="4" t="s">
        <v>365</v>
      </c>
      <c r="B172" s="0" t="s">
        <v>192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14.4165586398129</v>
      </c>
      <c r="F172" s="19" t="n">
        <f aca="false">F171+0*F162</f>
        <v>14.4165586398129</v>
      </c>
      <c r="G172" s="19" t="n">
        <f aca="false">G171+0*G162</f>
        <v>15.3191699625164</v>
      </c>
    </row>
    <row r="173" customFormat="false" ht="15" hidden="false" customHeight="false" outlineLevel="0" collapsed="false">
      <c r="A173" s="4" t="s">
        <v>367</v>
      </c>
      <c r="B173" s="0" t="s">
        <v>192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83.7757825234911</v>
      </c>
      <c r="F173" s="19" t="n">
        <f aca="false">F169-F172</f>
        <v>74.8182760826452</v>
      </c>
      <c r="G173" s="19" t="n">
        <f aca="false">G169-G172</f>
        <v>82.322440629276</v>
      </c>
    </row>
    <row r="174" customFormat="false" ht="15" hidden="false" customHeight="false" outlineLevel="0" collapsed="false">
      <c r="A174" s="4" t="s">
        <v>370</v>
      </c>
      <c r="B174" s="0" t="s">
        <v>52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0.279501416189206</v>
      </c>
      <c r="F174" s="14" t="n">
        <f aca="false">F173/F162</f>
        <v>0.274587190763896</v>
      </c>
      <c r="G174" s="14" t="n">
        <f aca="false">G173/G162</f>
        <v>0.277323536840971</v>
      </c>
    </row>
    <row r="175" customFormat="false" ht="15" hidden="false" customHeight="false" outlineLevel="0" collapsed="false">
      <c r="A175" s="4" t="s">
        <v>372</v>
      </c>
      <c r="B175" s="0" t="s">
        <v>192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235</v>
      </c>
      <c r="B176" s="0" t="s">
        <v>52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376</v>
      </c>
      <c r="B177" s="0" t="s">
        <v>192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57.2236532033565</v>
      </c>
      <c r="F177" s="19" t="n">
        <f aca="false">(F173+F175)*F176</f>
        <v>51.1773363557855</v>
      </c>
      <c r="G177" s="19" t="n">
        <f aca="false">(G173+G175)*G176</f>
        <v>56.2426474247613</v>
      </c>
    </row>
    <row r="178" customFormat="false" ht="15" hidden="false" customHeight="false" outlineLevel="0" collapsed="false">
      <c r="A178" s="4" t="s">
        <v>485</v>
      </c>
      <c r="B178" s="4" t="s">
        <v>218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381</v>
      </c>
      <c r="B179" s="0" t="s">
        <v>255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145.783990944203</v>
      </c>
      <c r="F179" s="20" t="n">
        <f aca="false">F177/F178</f>
        <v>130.380287209671</v>
      </c>
      <c r="G179" s="20" t="n">
        <f aca="false">G177/G178</f>
        <v>143.284763272829</v>
      </c>
    </row>
    <row r="180" customFormat="false" ht="17.15" hidden="false" customHeight="false" outlineLevel="0" collapsed="false">
      <c r="A180" s="0" t="s">
        <v>486</v>
      </c>
      <c r="B180" s="0" t="s">
        <v>52</v>
      </c>
      <c r="D180" s="14" t="n">
        <f aca="false">D179/C179-1</f>
        <v>1.15499904075659</v>
      </c>
      <c r="E180" s="14" t="n">
        <f aca="false">E179/D179-1</f>
        <v>0.375822937667983</v>
      </c>
      <c r="F180" s="14" t="n">
        <f aca="false">F179/E179-1</f>
        <v>-0.105661147254687</v>
      </c>
      <c r="G180" s="14" t="n">
        <f aca="false">G179/F179-1</f>
        <v>0.0989756683263403</v>
      </c>
    </row>
    <row r="183" customFormat="false" ht="17.15" hidden="false" customHeight="false" outlineLevel="0" collapsed="false">
      <c r="A183" s="1" t="s">
        <v>489</v>
      </c>
    </row>
    <row r="184" customFormat="false" ht="17.15" hidden="false" customHeight="false" outlineLevel="0" collapsed="false">
      <c r="A184" s="1" t="s">
        <v>490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1" t="s">
        <v>350</v>
      </c>
      <c r="D185" s="11" t="s">
        <v>439</v>
      </c>
      <c r="E185" s="11" t="s">
        <v>440</v>
      </c>
      <c r="F185" s="11" t="s">
        <v>441</v>
      </c>
      <c r="G185" s="11" t="s">
        <v>442</v>
      </c>
      <c r="H185" s="11" t="s">
        <v>491</v>
      </c>
      <c r="I185" s="11" t="s">
        <v>492</v>
      </c>
      <c r="J185" s="11" t="s">
        <v>493</v>
      </c>
      <c r="K185" s="5" t="s">
        <v>415</v>
      </c>
    </row>
    <row r="186" customFormat="false" ht="17.15" hidden="false" customHeight="false" outlineLevel="0" collapsed="false">
      <c r="A186" s="4" t="s">
        <v>494</v>
      </c>
      <c r="B186" s="0" t="s">
        <v>192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351.307669196167</v>
      </c>
      <c r="F186" s="19" t="n">
        <f aca="false">F80</f>
        <v>441.621437825909</v>
      </c>
      <c r="G186" s="19" t="n">
        <f aca="false">G80</f>
        <v>469.538959020978</v>
      </c>
      <c r="H186" s="23" t="n">
        <f aca="false">G186*(1+H187)</f>
        <v>498.717974184553</v>
      </c>
      <c r="I186" s="23" t="n">
        <f aca="false">H186*(1+I187)</f>
        <v>529.175670918958</v>
      </c>
      <c r="J186" s="23" t="n">
        <f aca="false">I186*(1+J187)</f>
        <v>560.926211174095</v>
      </c>
      <c r="K186" s="8" t="s">
        <v>495</v>
      </c>
    </row>
    <row r="187" customFormat="false" ht="15" hidden="false" customHeight="false" outlineLevel="0" collapsed="false">
      <c r="A187" s="4" t="s">
        <v>444</v>
      </c>
      <c r="B187" s="0" t="s">
        <v>52</v>
      </c>
      <c r="C187" s="14"/>
      <c r="D187" s="14" t="n">
        <f aca="false">D186/C186-1</f>
        <v>0.612732474451979</v>
      </c>
      <c r="E187" s="14" t="n">
        <f aca="false">E186/D186-1</f>
        <v>0.559978344599227</v>
      </c>
      <c r="F187" s="14" t="n">
        <f aca="false">F186/E186-1</f>
        <v>0.257078841564692</v>
      </c>
      <c r="G187" s="14" t="n">
        <f aca="false">G186/F186-1</f>
        <v>0.06321595557613</v>
      </c>
      <c r="H187" s="24" t="n">
        <f aca="false">$G$187+($C$193-$G$187)*1/3</f>
        <v>0.0621439703840867</v>
      </c>
      <c r="I187" s="24" t="n">
        <f aca="false">$G$187+($C$193-$G$187)*2/3</f>
        <v>0.0610719851920433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496</v>
      </c>
      <c r="B188" s="0" t="s">
        <v>192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68.5879465553678</v>
      </c>
      <c r="F188" s="19" t="n">
        <f aca="false">F95</f>
        <v>88.232736298323</v>
      </c>
      <c r="G188" s="19" t="n">
        <f aca="false">G95</f>
        <v>94.1437978507719</v>
      </c>
      <c r="H188" s="23" t="n">
        <f aca="false">H186*H189</f>
        <v>99.9942672362557</v>
      </c>
      <c r="I188" s="23" t="n">
        <f aca="false">I186*I189</f>
        <v>106.101115644198</v>
      </c>
      <c r="J188" s="23" t="n">
        <f aca="false">J186*J189</f>
        <v>112.467182582849</v>
      </c>
    </row>
    <row r="189" customFormat="false" ht="15" hidden="false" customHeight="false" outlineLevel="0" collapsed="false">
      <c r="A189" s="4" t="s">
        <v>497</v>
      </c>
      <c r="B189" s="0" t="s">
        <v>52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0.195236120840473</v>
      </c>
      <c r="F189" s="14" t="n">
        <f aca="false">F188/F186</f>
        <v>0.199792692883503</v>
      </c>
      <c r="G189" s="14" t="n">
        <f aca="false">G188/G186</f>
        <v>0.200502633577133</v>
      </c>
      <c r="H189" s="24" t="n">
        <f aca="false">$G$189+($C$194-$G$189)*1/3</f>
        <v>0.200502633577133</v>
      </c>
      <c r="I189" s="24" t="n">
        <f aca="false">$G$189+($C$194-$G$189)*2/3</f>
        <v>0.200502633577133</v>
      </c>
      <c r="J189" s="24" t="n">
        <f aca="false">$G$189+($C$194-$G$189)*3/3</f>
        <v>0.200502633577133</v>
      </c>
    </row>
    <row r="190" customFormat="false" ht="17.15" hidden="false" customHeight="false" outlineLevel="0" collapsed="false">
      <c r="A190" s="4" t="s">
        <v>498</v>
      </c>
      <c r="B190" s="4" t="s">
        <v>218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499</v>
      </c>
    </row>
    <row r="191" customFormat="false" ht="17.15" hidden="false" customHeight="false" outlineLevel="0" collapsed="false">
      <c r="A191" s="0" t="s">
        <v>500</v>
      </c>
      <c r="B191" s="0" t="s">
        <v>255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174.735865673859</v>
      </c>
      <c r="F191" s="15" t="n">
        <f aca="false">F97</f>
        <v>224.783279455889</v>
      </c>
      <c r="G191" s="15" t="n">
        <f aca="false">G97</f>
        <v>239.842404408476</v>
      </c>
      <c r="H191" s="26" t="n">
        <f aca="false">H188/H190</f>
        <v>254.747163684884</v>
      </c>
      <c r="I191" s="26" t="n">
        <f aca="false">I188/I190</f>
        <v>270.305078693162</v>
      </c>
      <c r="J191" s="26" t="n">
        <f aca="false">J188/J190</f>
        <v>286.523383414752</v>
      </c>
    </row>
    <row r="192" customFormat="false" ht="17.15" hidden="false" customHeight="false" outlineLevel="0" collapsed="false">
      <c r="A192" s="0" t="s">
        <v>450</v>
      </c>
      <c r="B192" s="0" t="s">
        <v>52</v>
      </c>
      <c r="C192" s="14"/>
      <c r="D192" s="14" t="n">
        <f aca="false">D191/C191-1</f>
        <v>1.15499904075659</v>
      </c>
      <c r="E192" s="14" t="n">
        <f aca="false">E191/D191-1</f>
        <v>0.649053578999492</v>
      </c>
      <c r="F192" s="14" t="n">
        <f aca="false">F191/E191-1</f>
        <v>0.286417522750836</v>
      </c>
      <c r="G192" s="14" t="n">
        <f aca="false">G191/F191-1</f>
        <v>0.0669939729905125</v>
      </c>
      <c r="H192" s="24" t="n">
        <f aca="false">H191/G191-1</f>
        <v>0.0621439703840865</v>
      </c>
      <c r="I192" s="24" t="n">
        <f aca="false">I191/H191-1</f>
        <v>0.0610719851920434</v>
      </c>
      <c r="J192" s="24" t="n">
        <f aca="false">J191/I191-1</f>
        <v>0.0600000000000003</v>
      </c>
    </row>
    <row r="193" customFormat="false" ht="17.15" hidden="false" customHeight="false" outlineLevel="0" collapsed="false">
      <c r="A193" s="4" t="s">
        <v>501</v>
      </c>
      <c r="B193" s="0" t="s">
        <v>52</v>
      </c>
      <c r="C193" s="14" t="n">
        <f aca="false">fade_gA</f>
        <v>0.06</v>
      </c>
      <c r="K193" s="8" t="s">
        <v>502</v>
      </c>
    </row>
    <row r="194" customFormat="false" ht="17.15" hidden="false" customHeight="false" outlineLevel="0" collapsed="false">
      <c r="A194" s="4" t="s">
        <v>503</v>
      </c>
      <c r="B194" s="0" t="s">
        <v>52</v>
      </c>
      <c r="C194" s="14" t="n">
        <f aca="false">G189</f>
        <v>0.200502633577133</v>
      </c>
      <c r="K194" s="4" t="s">
        <v>504</v>
      </c>
    </row>
    <row r="196" customFormat="false" ht="17.15" hidden="false" customHeight="false" outlineLevel="0" collapsed="false">
      <c r="A196" s="1" t="s">
        <v>505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1" t="s">
        <v>350</v>
      </c>
      <c r="D197" s="11" t="s">
        <v>439</v>
      </c>
      <c r="E197" s="11" t="s">
        <v>440</v>
      </c>
      <c r="F197" s="11" t="s">
        <v>441</v>
      </c>
      <c r="G197" s="11" t="s">
        <v>442</v>
      </c>
      <c r="H197" s="11" t="s">
        <v>491</v>
      </c>
      <c r="I197" s="11" t="s">
        <v>492</v>
      </c>
      <c r="J197" s="11" t="s">
        <v>493</v>
      </c>
      <c r="K197" s="5" t="s">
        <v>415</v>
      </c>
    </row>
    <row r="198" customFormat="false" ht="17.15" hidden="false" customHeight="false" outlineLevel="0" collapsed="false">
      <c r="A198" s="4" t="s">
        <v>494</v>
      </c>
      <c r="B198" s="0" t="s">
        <v>192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500.901684487821</v>
      </c>
      <c r="K198" s="8" t="s">
        <v>495</v>
      </c>
    </row>
    <row r="199" customFormat="false" ht="15" hidden="false" customHeight="false" outlineLevel="0" collapsed="false">
      <c r="A199" s="4" t="s">
        <v>444</v>
      </c>
      <c r="B199" s="0" t="s">
        <v>52</v>
      </c>
      <c r="C199" s="14"/>
      <c r="D199" s="14" t="n">
        <f aca="false">D198/C198-1</f>
        <v>0.612732474451979</v>
      </c>
      <c r="E199" s="14" t="n">
        <f aca="false">E198/D198-1</f>
        <v>0.468371516294412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496</v>
      </c>
      <c r="B200" s="0" t="s">
        <v>192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64.0422292145633</v>
      </c>
      <c r="F200" s="19" t="n">
        <f aca="false">F136</f>
        <v>69.6852034444305</v>
      </c>
      <c r="G200" s="19" t="n">
        <f aca="false">G136</f>
        <v>80.3243341611878</v>
      </c>
      <c r="H200" s="23" t="n">
        <f aca="false">H198*H201</f>
        <v>85.9266142292511</v>
      </c>
      <c r="I200" s="23" t="n">
        <f aca="false">I198*I201</f>
        <v>89.0462520408157</v>
      </c>
      <c r="J200" s="23" t="n">
        <f aca="false">J198*J201</f>
        <v>89.3006699037894</v>
      </c>
    </row>
    <row r="201" customFormat="false" ht="15" hidden="false" customHeight="false" outlineLevel="0" collapsed="false">
      <c r="A201" s="4" t="s">
        <v>497</v>
      </c>
      <c r="B201" s="0" t="s">
        <v>52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498</v>
      </c>
      <c r="B202" s="4" t="s">
        <v>218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499</v>
      </c>
    </row>
    <row r="203" customFormat="false" ht="17.15" hidden="false" customHeight="false" outlineLevel="0" collapsed="false">
      <c r="A203" s="0" t="s">
        <v>500</v>
      </c>
      <c r="B203" s="0" t="s">
        <v>255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218.908162087219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450</v>
      </c>
      <c r="B204" s="0" t="s">
        <v>52</v>
      </c>
      <c r="C204" s="14"/>
      <c r="D204" s="14" t="n">
        <f aca="false">D203/C203-1</f>
        <v>1.15499904075659</v>
      </c>
      <c r="E204" s="14" t="n">
        <f aca="false">E203/D203-1</f>
        <v>0.539761322466888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0.0363058388782949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501</v>
      </c>
      <c r="B205" s="0" t="s">
        <v>52</v>
      </c>
      <c r="C205" s="14" t="n">
        <f aca="false">fade_gB</f>
        <v>0.04</v>
      </c>
      <c r="K205" s="8" t="s">
        <v>506</v>
      </c>
    </row>
    <row r="206" customFormat="false" ht="17.15" hidden="false" customHeight="false" outlineLevel="0" collapsed="false">
      <c r="A206" s="4" t="s">
        <v>503</v>
      </c>
      <c r="B206" s="0" t="s">
        <v>52</v>
      </c>
      <c r="C206" s="14" t="n">
        <f aca="false">G201*(1+nim10_f)/2</f>
        <v>0.178279835483286</v>
      </c>
      <c r="K206" s="4" t="s">
        <v>507</v>
      </c>
    </row>
    <row r="208" customFormat="false" ht="17.15" hidden="false" customHeight="false" outlineLevel="0" collapsed="false">
      <c r="A208" s="1" t="s">
        <v>508</v>
      </c>
    </row>
    <row r="209" customFormat="false" ht="17.15" hidden="false" customHeight="false" outlineLevel="0" collapsed="false">
      <c r="A209" s="5" t="s">
        <v>21</v>
      </c>
      <c r="B209" s="5" t="s">
        <v>22</v>
      </c>
      <c r="C209" s="11" t="s">
        <v>350</v>
      </c>
      <c r="D209" s="11" t="s">
        <v>439</v>
      </c>
      <c r="E209" s="11" t="s">
        <v>440</v>
      </c>
      <c r="F209" s="11" t="s">
        <v>441</v>
      </c>
      <c r="G209" s="11" t="s">
        <v>442</v>
      </c>
      <c r="H209" s="11" t="s">
        <v>491</v>
      </c>
      <c r="I209" s="11" t="s">
        <v>492</v>
      </c>
      <c r="J209" s="11" t="s">
        <v>493</v>
      </c>
      <c r="K209" s="5" t="s">
        <v>415</v>
      </c>
    </row>
    <row r="210" customFormat="false" ht="17.15" hidden="false" customHeight="false" outlineLevel="0" collapsed="false">
      <c r="A210" s="4" t="s">
        <v>494</v>
      </c>
      <c r="B210" s="0" t="s">
        <v>192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299.732944704581</v>
      </c>
      <c r="F210" s="19" t="n">
        <f aca="false">F162</f>
        <v>272.475478096783</v>
      </c>
      <c r="G210" s="19" t="n">
        <f aca="false">G162</f>
        <v>296.846209185926</v>
      </c>
      <c r="H210" s="23" t="n">
        <f aca="false">G210*(1+H211)</f>
        <v>316.52551469695</v>
      </c>
      <c r="I210" s="23" t="n">
        <f aca="false">H210*(1+I211)</f>
        <v>330.182738602486</v>
      </c>
      <c r="J210" s="23" t="n">
        <f aca="false">I210*(1+J211)</f>
        <v>336.786393374536</v>
      </c>
      <c r="K210" s="8" t="s">
        <v>495</v>
      </c>
    </row>
    <row r="211" customFormat="false" ht="15" hidden="false" customHeight="false" outlineLevel="0" collapsed="false">
      <c r="A211" s="4" t="s">
        <v>444</v>
      </c>
      <c r="B211" s="0" t="s">
        <v>52</v>
      </c>
      <c r="C211" s="14"/>
      <c r="D211" s="14" t="n">
        <f aca="false">D210/C210-1</f>
        <v>0.612732474451979</v>
      </c>
      <c r="E211" s="14" t="n">
        <f aca="false">E210/D210-1</f>
        <v>0.330961273837189</v>
      </c>
      <c r="F211" s="14" t="n">
        <f aca="false">F210/E210-1</f>
        <v>-0.0909391746531648</v>
      </c>
      <c r="G211" s="14" t="n">
        <f aca="false">G210/F210-1</f>
        <v>0.0894419243132276</v>
      </c>
      <c r="H211" s="24" t="n">
        <f aca="false">$G$211+($C$217-$G$211)*1/3</f>
        <v>0.0662946162088184</v>
      </c>
      <c r="I211" s="24" t="n">
        <f aca="false">$G$211+($C$217-$G$211)*2/3</f>
        <v>0.0431473081044092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496</v>
      </c>
      <c r="B212" s="0" t="s">
        <v>192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57.2236532033565</v>
      </c>
      <c r="F212" s="19" t="n">
        <f aca="false">F177</f>
        <v>51.1773363557855</v>
      </c>
      <c r="G212" s="19" t="n">
        <f aca="false">G177</f>
        <v>56.2426474247613</v>
      </c>
      <c r="H212" s="23" t="n">
        <f aca="false">H210*H213</f>
        <v>55.9731500069968</v>
      </c>
      <c r="I212" s="23" t="n">
        <f aca="false">I210*I213</f>
        <v>54.2176521304999</v>
      </c>
      <c r="J212" s="23" t="n">
        <f aca="false">J210*J213</f>
        <v>51.0480047751784</v>
      </c>
    </row>
    <row r="213" customFormat="false" ht="15" hidden="false" customHeight="false" outlineLevel="0" collapsed="false">
      <c r="A213" s="4" t="s">
        <v>497</v>
      </c>
      <c r="B213" s="0" t="s">
        <v>52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0.190915460626981</v>
      </c>
      <c r="F213" s="14" t="n">
        <f aca="false">F212/F210</f>
        <v>0.187823640913504</v>
      </c>
      <c r="G213" s="14" t="n">
        <f aca="false">G212/G210</f>
        <v>0.189467292100518</v>
      </c>
      <c r="H213" s="24" t="n">
        <f aca="false">$G$213+($C$218-$G$213)*1/3</f>
        <v>0.176836139293816</v>
      </c>
      <c r="I213" s="24" t="n">
        <f aca="false">$G$213+($C$218-$G$213)*2/3</f>
        <v>0.164204986487115</v>
      </c>
      <c r="J213" s="24" t="n">
        <f aca="false">$G$213+($C$218-$G$213)*3/3</f>
        <v>0.151573833680414</v>
      </c>
    </row>
    <row r="214" customFormat="false" ht="17.15" hidden="false" customHeight="false" outlineLevel="0" collapsed="false">
      <c r="A214" s="4" t="s">
        <v>498</v>
      </c>
      <c r="B214" s="4" t="s">
        <v>218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499</v>
      </c>
    </row>
    <row r="215" customFormat="false" ht="17.15" hidden="false" customHeight="false" outlineLevel="0" collapsed="false">
      <c r="A215" s="0" t="s">
        <v>500</v>
      </c>
      <c r="B215" s="0" t="s">
        <v>255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145.783990944203</v>
      </c>
      <c r="F215" s="15" t="n">
        <f aca="false">F179</f>
        <v>130.380287209671</v>
      </c>
      <c r="G215" s="15" t="n">
        <f aca="false">G179</f>
        <v>143.284763272829</v>
      </c>
      <c r="H215" s="26" t="n">
        <f aca="false">H212/H214</f>
        <v>142.598186885068</v>
      </c>
      <c r="I215" s="26" t="n">
        <f aca="false">I212/I214</f>
        <v>138.125849447604</v>
      </c>
      <c r="J215" s="26" t="n">
        <f aca="false">J212/J214</f>
        <v>130.050799787591</v>
      </c>
    </row>
    <row r="216" customFormat="false" ht="17.15" hidden="false" customHeight="false" outlineLevel="0" collapsed="false">
      <c r="A216" s="0" t="s">
        <v>450</v>
      </c>
      <c r="B216" s="0" t="s">
        <v>52</v>
      </c>
      <c r="C216" s="14"/>
      <c r="D216" s="14" t="n">
        <f aca="false">D215/C215-1</f>
        <v>1.15499904075659</v>
      </c>
      <c r="E216" s="14" t="n">
        <f aca="false">E215/D215-1</f>
        <v>0.375822937667983</v>
      </c>
      <c r="F216" s="14" t="n">
        <f aca="false">F215/E215-1</f>
        <v>-0.105661147254687</v>
      </c>
      <c r="G216" s="14" t="n">
        <f aca="false">G215/F215-1</f>
        <v>0.0989756683263403</v>
      </c>
      <c r="H216" s="24" t="n">
        <f aca="false">H215/G215-1</f>
        <v>-0.00479169153843606</v>
      </c>
      <c r="I216" s="24" t="n">
        <f aca="false">I215/H215-1</f>
        <v>-0.0313632139030483</v>
      </c>
      <c r="J216" s="24" t="n">
        <f aca="false">J215/I215-1</f>
        <v>-0.0584615384615387</v>
      </c>
    </row>
    <row r="217" customFormat="false" ht="17.15" hidden="false" customHeight="false" outlineLevel="0" collapsed="false">
      <c r="A217" s="4" t="s">
        <v>501</v>
      </c>
      <c r="B217" s="0" t="s">
        <v>52</v>
      </c>
      <c r="C217" s="14" t="n">
        <f aca="false">fade_gC</f>
        <v>0.02</v>
      </c>
      <c r="K217" s="8" t="s">
        <v>509</v>
      </c>
    </row>
    <row r="218" customFormat="false" ht="17.15" hidden="false" customHeight="false" outlineLevel="0" collapsed="false">
      <c r="A218" s="4" t="s">
        <v>503</v>
      </c>
      <c r="B218" s="0" t="s">
        <v>52</v>
      </c>
      <c r="C218" s="14" t="n">
        <f aca="false">G213*nim10_f</f>
        <v>0.151573833680414</v>
      </c>
      <c r="K218" s="4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511</v>
      </c>
    </row>
    <row r="2" customFormat="false" ht="17.15" hidden="false" customHeight="false" outlineLevel="0" collapsed="false">
      <c r="A2" s="4" t="s">
        <v>512</v>
      </c>
    </row>
    <row r="3" customFormat="false" ht="17.15" hidden="false" customHeight="false" outlineLevel="0" collapsed="false">
      <c r="A3" s="4" t="s">
        <v>513</v>
      </c>
    </row>
    <row r="4" customFormat="false" ht="17.15" hidden="false" customHeight="false" outlineLevel="0" collapsed="false">
      <c r="A4" s="6" t="s">
        <v>514</v>
      </c>
    </row>
    <row r="5" customFormat="false" ht="15" hidden="false" customHeight="false" outlineLevel="0" collapsed="false">
      <c r="A5" s="5" t="s">
        <v>21</v>
      </c>
      <c r="B5" s="11" t="s">
        <v>515</v>
      </c>
      <c r="C5" s="11" t="s">
        <v>516</v>
      </c>
      <c r="D5" s="11" t="s">
        <v>517</v>
      </c>
      <c r="E5" s="5" t="s">
        <v>415</v>
      </c>
    </row>
    <row r="6" customFormat="false" ht="17.15" hidden="false" customHeight="false" outlineLevel="0" collapsed="false">
      <c r="A6" s="4" t="s">
        <v>518</v>
      </c>
      <c r="B6" s="18" t="n">
        <f aca="false">px</f>
        <v>3145</v>
      </c>
    </row>
    <row r="7" customFormat="false" ht="17.15" hidden="false" customHeight="false" outlineLevel="0" collapsed="false">
      <c r="A7" s="4" t="s">
        <v>519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520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521</v>
      </c>
    </row>
    <row r="9" customFormat="false" ht="17.15" hidden="false" customHeight="false" outlineLevel="0" collapsed="false">
      <c r="A9" s="4" t="s">
        <v>522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24.1217446847801</v>
      </c>
    </row>
    <row r="10" customFormat="false" ht="17.15" hidden="false" customHeight="false" outlineLevel="0" collapsed="false">
      <c r="A10" s="4" t="s">
        <v>523</v>
      </c>
      <c r="B10" s="17" t="n">
        <f aca="false">px/PL!G15</f>
        <v>13.1127771494642</v>
      </c>
      <c r="C10" s="17" t="n">
        <f aca="false">px/PL!G29</f>
        <v>15.3687752797815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524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525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526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527</v>
      </c>
    </row>
    <row r="16" customFormat="false" ht="17.15" hidden="false" customHeight="false" outlineLevel="0" collapsed="false">
      <c r="A16" s="5" t="s">
        <v>528</v>
      </c>
      <c r="B16" s="5" t="s">
        <v>529</v>
      </c>
      <c r="C16" s="11" t="s">
        <v>530</v>
      </c>
      <c r="D16" s="5" t="s">
        <v>531</v>
      </c>
      <c r="E16" s="5" t="s">
        <v>532</v>
      </c>
      <c r="F16" s="5" t="s">
        <v>415</v>
      </c>
    </row>
    <row r="17" customFormat="false" ht="17.15" hidden="false" customHeight="false" outlineLevel="0" collapsed="false">
      <c r="A17" s="0" t="s">
        <v>515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533</v>
      </c>
    </row>
    <row r="18" customFormat="false" ht="15" hidden="false" customHeight="false" outlineLevel="0" collapsed="false">
      <c r="A18" s="0" t="s">
        <v>516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517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534</v>
      </c>
    </row>
    <row r="22" customFormat="false" ht="17.15" hidden="false" customHeight="false" outlineLevel="0" collapsed="false">
      <c r="A22" s="5" t="s">
        <v>528</v>
      </c>
      <c r="B22" s="11" t="s">
        <v>535</v>
      </c>
      <c r="C22" s="5" t="s">
        <v>536</v>
      </c>
      <c r="D22" s="5" t="s">
        <v>537</v>
      </c>
      <c r="E22" s="5" t="s">
        <v>538</v>
      </c>
      <c r="F22" s="5" t="s">
        <v>539</v>
      </c>
      <c r="G22" s="5" t="s">
        <v>540</v>
      </c>
    </row>
    <row r="23" customFormat="false" ht="15" hidden="false" customHeight="false" outlineLevel="0" collapsed="false">
      <c r="A23" s="10" t="s">
        <v>515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-0.292166954313206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516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-0.339079117627142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517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-0.485004725154183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541</v>
      </c>
    </row>
    <row r="27" customFormat="false" ht="17.15" hidden="false" customHeight="false" outlineLevel="0" collapsed="false">
      <c r="A27" s="11" t="s">
        <v>542</v>
      </c>
      <c r="B27" s="5" t="s">
        <v>543</v>
      </c>
      <c r="C27" s="5" t="s">
        <v>544</v>
      </c>
      <c r="D27" s="5" t="s">
        <v>545</v>
      </c>
      <c r="E27" s="5" t="s">
        <v>546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24.1217446847801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20.9868812814689</v>
      </c>
      <c r="C31" s="17" t="n">
        <f aca="false">px*A31/PL!F43</f>
        <v>36.1826170271702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27.9825083752919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547</v>
      </c>
    </row>
    <row r="40" customFormat="false" ht="17.15" hidden="false" customHeight="false" outlineLevel="0" collapsed="false">
      <c r="A40" s="6" t="s">
        <v>548</v>
      </c>
    </row>
    <row r="41" customFormat="false" ht="17.15" hidden="false" customHeight="false" outlineLevel="0" collapsed="false">
      <c r="A41" s="4" t="s">
        <v>549</v>
      </c>
    </row>
    <row r="43" customFormat="false" ht="17.15" hidden="false" customHeight="false" outlineLevel="0" collapsed="false">
      <c r="A43" s="6" t="s">
        <v>550</v>
      </c>
    </row>
    <row r="44" customFormat="false" ht="17.15" hidden="false" customHeight="false" outlineLevel="0" collapsed="false">
      <c r="A44" s="5" t="s">
        <v>551</v>
      </c>
      <c r="B44" s="11" t="s">
        <v>552</v>
      </c>
      <c r="C44" s="11" t="s">
        <v>553</v>
      </c>
      <c r="D44" s="5" t="s">
        <v>554</v>
      </c>
    </row>
    <row r="45" customFormat="false" ht="17.15" hidden="false" customHeight="false" outlineLevel="0" collapsed="false">
      <c r="A45" s="0" t="s">
        <v>555</v>
      </c>
      <c r="B45" s="15" t="n">
        <f aca="false">25.1/2.43</f>
        <v>10.3292181069959</v>
      </c>
      <c r="D45" s="8" t="s">
        <v>556</v>
      </c>
    </row>
    <row r="46" customFormat="false" ht="17.15" hidden="false" customHeight="false" outlineLevel="0" collapsed="false">
      <c r="A46" s="0" t="s">
        <v>557</v>
      </c>
      <c r="B46" s="15" t="n">
        <f aca="false">32.4/2.51</f>
        <v>12.9083665338645</v>
      </c>
      <c r="D46" s="8" t="s">
        <v>558</v>
      </c>
    </row>
    <row r="47" customFormat="false" ht="15" hidden="false" customHeight="false" outlineLevel="0" collapsed="false">
      <c r="A47" s="0" t="s">
        <v>559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560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561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562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563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564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565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566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567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568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569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570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571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572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573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574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575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576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577</v>
      </c>
    </row>
    <row r="67" customFormat="false" ht="17.15" hidden="false" customHeight="false" outlineLevel="0" collapsed="false">
      <c r="A67" s="5" t="s">
        <v>578</v>
      </c>
      <c r="B67" s="5" t="s">
        <v>579</v>
      </c>
      <c r="C67" s="5" t="s">
        <v>580</v>
      </c>
      <c r="D67" s="5" t="s">
        <v>24</v>
      </c>
      <c r="E67" s="5" t="s">
        <v>581</v>
      </c>
      <c r="F67" s="5" t="s">
        <v>538</v>
      </c>
      <c r="G67" s="5" t="s">
        <v>582</v>
      </c>
      <c r="H67" s="5" t="s">
        <v>583</v>
      </c>
    </row>
    <row r="68" customFormat="false" ht="17.15" hidden="false" customHeight="false" outlineLevel="0" collapsed="false">
      <c r="A68" s="4" t="s">
        <v>584</v>
      </c>
      <c r="B68" s="0" t="s">
        <v>585</v>
      </c>
      <c r="C68" s="15" t="n">
        <f aca="false">B60</f>
        <v>11.11</v>
      </c>
      <c r="D68" s="8" t="s">
        <v>586</v>
      </c>
      <c r="E68" s="20" t="n">
        <f aca="false">C23</f>
        <v>174.735865673859</v>
      </c>
      <c r="F68" s="19" t="n">
        <f aca="false">C68*E68</f>
        <v>1941.31546763658</v>
      </c>
      <c r="G68" s="14" t="n">
        <f aca="false">F68/px-1</f>
        <v>-0.382729581037654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587</v>
      </c>
      <c r="B69" s="4" t="s">
        <v>588</v>
      </c>
      <c r="C69" s="15" t="n">
        <f aca="false">B61</f>
        <v>12.74</v>
      </c>
      <c r="D69" s="8" t="s">
        <v>586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-0.292166954313206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589</v>
      </c>
      <c r="B70" s="0" t="s">
        <v>590</v>
      </c>
      <c r="C70" s="15" t="n">
        <f aca="false">B62</f>
        <v>21.73</v>
      </c>
      <c r="D70" s="8" t="s">
        <v>586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0.207316490013661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591</v>
      </c>
    </row>
    <row r="75" customFormat="false" ht="17.15" hidden="false" customHeight="false" outlineLevel="0" collapsed="false">
      <c r="A75" s="31" t="s">
        <v>592</v>
      </c>
      <c r="B75" s="29" t="n">
        <f aca="false">tp_wA*B77+tp_wB*B78+tp_wC*B79</f>
        <v>2031.07059401483</v>
      </c>
      <c r="C75" s="10"/>
      <c r="D75" s="10"/>
      <c r="E75" s="32" t="s">
        <v>593</v>
      </c>
    </row>
    <row r="76" customFormat="false" ht="17.15" hidden="false" customHeight="false" outlineLevel="0" collapsed="false">
      <c r="A76" s="32" t="s">
        <v>594</v>
      </c>
      <c r="B76" s="33" t="n">
        <f aca="false">B75/px-1</f>
        <v>-0.35419059013837</v>
      </c>
      <c r="C76" s="32"/>
      <c r="D76" s="32"/>
      <c r="E76" s="32" t="s">
        <v>595</v>
      </c>
    </row>
    <row r="77" customFormat="false" ht="17.15" hidden="false" customHeight="false" outlineLevel="0" collapsed="false">
      <c r="A77" s="4" t="s">
        <v>596</v>
      </c>
      <c r="B77" s="18" t="n">
        <f aca="false">E23</f>
        <v>2226.13492868497</v>
      </c>
      <c r="E77" s="4" t="s">
        <v>597</v>
      </c>
    </row>
    <row r="78" customFormat="false" ht="17.15" hidden="false" customHeight="false" outlineLevel="0" collapsed="false">
      <c r="A78" s="4" t="s">
        <v>598</v>
      </c>
      <c r="B78" s="18" t="n">
        <f aca="false">E24</f>
        <v>2078.59617506264</v>
      </c>
      <c r="E78" s="4" t="s">
        <v>599</v>
      </c>
    </row>
    <row r="79" customFormat="false" ht="17.15" hidden="false" customHeight="false" outlineLevel="0" collapsed="false">
      <c r="A79" s="4" t="s">
        <v>600</v>
      </c>
      <c r="B79" s="18" t="n">
        <f aca="false">E25</f>
        <v>1619.66013939009</v>
      </c>
      <c r="E79" s="4" t="s">
        <v>601</v>
      </c>
    </row>
    <row r="80" customFormat="false" ht="17.15" hidden="false" customHeight="false" outlineLevel="0" collapsed="false">
      <c r="A80" s="4" t="s">
        <v>602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603</v>
      </c>
    </row>
    <row r="81" customFormat="false" ht="17.15" hidden="false" customHeight="false" outlineLevel="0" collapsed="false">
      <c r="A81" s="4" t="s">
        <v>604</v>
      </c>
      <c r="B81" s="0" t="s">
        <v>605</v>
      </c>
    </row>
    <row r="85" customFormat="false" ht="17.15" hidden="false" customHeight="false" outlineLevel="0" collapsed="false">
      <c r="A85" s="6" t="s">
        <v>606</v>
      </c>
    </row>
    <row r="86" customFormat="false" ht="17.15" hidden="false" customHeight="false" outlineLevel="0" collapsed="false">
      <c r="A86" s="6" t="s">
        <v>607</v>
      </c>
    </row>
    <row r="87" customFormat="false" ht="17.15" hidden="false" customHeight="false" outlineLevel="0" collapsed="false">
      <c r="A87" s="5" t="s">
        <v>21</v>
      </c>
      <c r="B87" s="11" t="s">
        <v>608</v>
      </c>
      <c r="C87" s="11" t="s">
        <v>609</v>
      </c>
      <c r="D87" s="11" t="s">
        <v>610</v>
      </c>
      <c r="E87" s="5" t="s">
        <v>415</v>
      </c>
    </row>
    <row r="88" customFormat="false" ht="17.15" hidden="false" customHeight="false" outlineLevel="0" collapsed="false">
      <c r="A88" s="4" t="s">
        <v>611</v>
      </c>
      <c r="E88" s="0" t="s">
        <v>612</v>
      </c>
    </row>
    <row r="89" customFormat="false" ht="15" hidden="false" customHeight="false" outlineLevel="0" collapsed="false">
      <c r="A89" s="0" t="s">
        <v>613</v>
      </c>
      <c r="B89" s="15" t="n">
        <f aca="false">PL!E191</f>
        <v>174.735865673859</v>
      </c>
      <c r="C89" s="15" t="n">
        <f aca="false">PL!E203</f>
        <v>163.155115781997</v>
      </c>
      <c r="D89" s="15" t="n">
        <f aca="false">PL!E215</f>
        <v>145.783990944203</v>
      </c>
    </row>
    <row r="90" customFormat="false" ht="15" hidden="false" customHeight="false" outlineLevel="0" collapsed="false">
      <c r="A90" s="0" t="s">
        <v>614</v>
      </c>
      <c r="B90" s="15" t="n">
        <f aca="false">PL!F191</f>
        <v>224.783279455889</v>
      </c>
      <c r="C90" s="15" t="n">
        <f aca="false">PL!F203</f>
        <v>177.531256730248</v>
      </c>
      <c r="D90" s="15" t="n">
        <f aca="false">PL!F215</f>
        <v>130.380287209671</v>
      </c>
    </row>
    <row r="91" customFormat="false" ht="15" hidden="false" customHeight="false" outlineLevel="0" collapsed="false">
      <c r="A91" s="0" t="s">
        <v>615</v>
      </c>
      <c r="B91" s="15" t="n">
        <f aca="false">PL!G191</f>
        <v>239.842404408476</v>
      </c>
      <c r="C91" s="15" t="n">
        <f aca="false">PL!G203</f>
        <v>204.635694305285</v>
      </c>
      <c r="D91" s="15" t="n">
        <f aca="false">PL!G215</f>
        <v>143.284763272829</v>
      </c>
    </row>
    <row r="92" customFormat="false" ht="15" hidden="false" customHeight="false" outlineLevel="0" collapsed="false">
      <c r="A92" s="0" t="s">
        <v>616</v>
      </c>
      <c r="B92" s="15" t="n">
        <f aca="false">PL!H191</f>
        <v>254.747163684884</v>
      </c>
      <c r="C92" s="15" t="n">
        <f aca="false">PL!H203</f>
        <v>218.908162087219</v>
      </c>
      <c r="D92" s="15" t="n">
        <f aca="false">PL!H215</f>
        <v>142.598186885068</v>
      </c>
    </row>
    <row r="93" customFormat="false" ht="15" hidden="false" customHeight="false" outlineLevel="0" collapsed="false">
      <c r="A93" s="0" t="s">
        <v>617</v>
      </c>
      <c r="B93" s="15" t="n">
        <f aca="false">PL!I191</f>
        <v>270.305078693162</v>
      </c>
      <c r="C93" s="15" t="n">
        <f aca="false">PL!I203</f>
        <v>226.855806549101</v>
      </c>
      <c r="D93" s="15" t="n">
        <f aca="false">PL!I215</f>
        <v>138.125849447604</v>
      </c>
    </row>
    <row r="94" customFormat="false" ht="15" hidden="false" customHeight="false" outlineLevel="0" collapsed="false">
      <c r="A94" s="0" t="s">
        <v>618</v>
      </c>
      <c r="B94" s="15" t="n">
        <f aca="false">PL!J191</f>
        <v>286.523383414752</v>
      </c>
      <c r="C94" s="15" t="n">
        <f aca="false">PL!J203</f>
        <v>227.503965996384</v>
      </c>
      <c r="D94" s="15" t="n">
        <f aca="false">PL!J215</f>
        <v>130.050799787591</v>
      </c>
    </row>
    <row r="95" customFormat="false" ht="17.15" hidden="false" customHeight="false" outlineLevel="0" collapsed="false">
      <c r="A95" s="4" t="s">
        <v>619</v>
      </c>
    </row>
    <row r="96" customFormat="false" ht="17.15" hidden="false" customHeight="false" outlineLevel="0" collapsed="false">
      <c r="A96" s="4" t="s">
        <v>620</v>
      </c>
      <c r="B96" s="14" t="n">
        <f aca="false">MIN(tp_g/tp_roe,0.8)</f>
        <v>0.111389585073796</v>
      </c>
      <c r="E96" s="8" t="s">
        <v>621</v>
      </c>
    </row>
    <row r="97" customFormat="false" ht="15" hidden="false" customHeight="false" outlineLevel="0" collapsed="false">
      <c r="A97" s="0" t="s">
        <v>613</v>
      </c>
      <c r="B97" s="15" t="n">
        <f aca="false">B89*(1-$B$96)</f>
        <v>155.272110098938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614</v>
      </c>
      <c r="B98" s="15" t="n">
        <f aca="false">B90*(1-$B$96)</f>
        <v>199.74476322577</v>
      </c>
      <c r="C98" s="15" t="n">
        <f aca="false">C90*(1-$B$96)</f>
        <v>157.756123705437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615</v>
      </c>
      <c r="B99" s="15" t="n">
        <f aca="false">B91*(1-$B$96)</f>
        <v>213.126458498314</v>
      </c>
      <c r="C99" s="15" t="n">
        <f aca="false">C91*(1-$B$96)</f>
        <v>181.841409225332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616</v>
      </c>
      <c r="B100" s="15" t="n">
        <f aca="false">B92*(1-$B$96)</f>
        <v>226.370982823299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617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618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115.564495160736</v>
      </c>
    </row>
    <row r="103" customFormat="false" ht="17.15" hidden="false" customHeight="false" outlineLevel="0" collapsed="false">
      <c r="A103" s="0" t="s">
        <v>622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623</v>
      </c>
    </row>
    <row r="104" customFormat="false" ht="17.15" hidden="false" customHeight="false" outlineLevel="0" collapsed="false">
      <c r="A104" s="0" t="s">
        <v>624</v>
      </c>
      <c r="B104" s="18" t="n">
        <f aca="false">B103*(1+tp_r)</f>
        <v>3745.46972472931</v>
      </c>
      <c r="C104" s="18" t="n">
        <f aca="false">C103*(1+tp_r)</f>
        <v>3023.84046035699</v>
      </c>
      <c r="D104" s="18" t="n">
        <f aca="false">D103*(1+tp_r)</f>
        <v>1834.66717881609</v>
      </c>
    </row>
    <row r="105" customFormat="false" ht="17.15" hidden="false" customHeight="false" outlineLevel="0" collapsed="false">
      <c r="A105" s="0" t="s">
        <v>625</v>
      </c>
      <c r="B105" s="29" t="n">
        <f aca="false">tp_wA*B104+tp_wB*C104+tp_wC*D104</f>
        <v>3002.4945833605</v>
      </c>
      <c r="E105" s="8" t="s">
        <v>626</v>
      </c>
    </row>
    <row r="107" customFormat="false" ht="17.15" hidden="false" customHeight="false" outlineLevel="0" collapsed="false">
      <c r="A107" s="6" t="s">
        <v>627</v>
      </c>
    </row>
    <row r="108" customFormat="false" ht="17.15" hidden="false" customHeight="false" outlineLevel="0" collapsed="false">
      <c r="A108" s="5" t="s">
        <v>628</v>
      </c>
      <c r="B108" s="5" t="s">
        <v>629</v>
      </c>
      <c r="C108" s="5" t="s">
        <v>630</v>
      </c>
      <c r="D108" s="5" t="s">
        <v>631</v>
      </c>
      <c r="E108" s="5" t="s">
        <v>632</v>
      </c>
      <c r="F108" s="5" t="s">
        <v>26</v>
      </c>
    </row>
    <row r="109" customFormat="false" ht="17.15" hidden="false" customHeight="false" outlineLevel="0" collapsed="false">
      <c r="A109" s="4" t="s">
        <v>633</v>
      </c>
      <c r="B109" s="0" t="s">
        <v>634</v>
      </c>
      <c r="C109" s="35" t="n">
        <v>17.27</v>
      </c>
      <c r="D109" s="8" t="s">
        <v>635</v>
      </c>
      <c r="E109" s="8" t="s">
        <v>636</v>
      </c>
      <c r="F109" s="8" t="s">
        <v>637</v>
      </c>
    </row>
    <row r="110" customFormat="false" ht="17.15" hidden="false" customHeight="false" outlineLevel="0" collapsed="false">
      <c r="A110" s="4" t="s">
        <v>638</v>
      </c>
      <c r="B110" s="0" t="s">
        <v>639</v>
      </c>
      <c r="C110" s="35" t="n">
        <v>59.27</v>
      </c>
      <c r="D110" s="8" t="s">
        <v>640</v>
      </c>
      <c r="E110" s="8" t="s">
        <v>636</v>
      </c>
      <c r="F110" s="8" t="s">
        <v>637</v>
      </c>
    </row>
    <row r="111" customFormat="false" ht="17.15" hidden="false" customHeight="false" outlineLevel="0" collapsed="false">
      <c r="A111" s="0" t="s">
        <v>641</v>
      </c>
      <c r="B111" s="0" t="s">
        <v>642</v>
      </c>
      <c r="C111" s="35" t="n">
        <v>24.53</v>
      </c>
      <c r="D111" s="8" t="s">
        <v>643</v>
      </c>
      <c r="E111" s="8" t="s">
        <v>636</v>
      </c>
      <c r="F111" s="8" t="s">
        <v>637</v>
      </c>
    </row>
    <row r="112" customFormat="false" ht="17.15" hidden="false" customHeight="false" outlineLevel="0" collapsed="false">
      <c r="A112" s="4" t="s">
        <v>644</v>
      </c>
      <c r="B112" s="0" t="s">
        <v>645</v>
      </c>
      <c r="C112" s="35" t="n">
        <v>30.51</v>
      </c>
      <c r="D112" s="8" t="s">
        <v>646</v>
      </c>
      <c r="E112" s="8" t="s">
        <v>636</v>
      </c>
      <c r="F112" s="8" t="s">
        <v>637</v>
      </c>
    </row>
    <row r="113" customFormat="false" ht="17.15" hidden="false" customHeight="false" outlineLevel="0" collapsed="false">
      <c r="A113" s="4" t="s">
        <v>647</v>
      </c>
      <c r="B113" s="17" t="n">
        <f aca="false">MEDIAN(C109:C112)</f>
        <v>27.52</v>
      </c>
      <c r="E113" s="4" t="s">
        <v>648</v>
      </c>
    </row>
    <row r="114" customFormat="false" ht="17.15" hidden="false" customHeight="false" outlineLevel="0" collapsed="false">
      <c r="A114" s="0" t="s">
        <v>649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650</v>
      </c>
    </row>
    <row r="115" customFormat="false" ht="17.15" hidden="false" customHeight="false" outlineLevel="0" collapsed="false">
      <c r="A115" s="0" t="s">
        <v>651</v>
      </c>
      <c r="B115" s="29" t="n">
        <f aca="false">B113*B114</f>
        <v>4928.54975488515</v>
      </c>
      <c r="E115" s="4" t="s">
        <v>652</v>
      </c>
    </row>
    <row r="117" customFormat="false" ht="17.15" hidden="false" customHeight="false" outlineLevel="0" collapsed="false">
      <c r="A117" s="6" t="s">
        <v>653</v>
      </c>
    </row>
    <row r="118" customFormat="false" ht="15" hidden="false" customHeight="false" outlineLevel="0" collapsed="false">
      <c r="A118" s="5" t="s">
        <v>21</v>
      </c>
      <c r="B118" s="5" t="s">
        <v>654</v>
      </c>
      <c r="C118" s="5"/>
      <c r="D118" s="5"/>
      <c r="E118" s="5" t="s">
        <v>415</v>
      </c>
    </row>
    <row r="119" customFormat="false" ht="17.15" hidden="false" customHeight="false" outlineLevel="0" collapsed="false">
      <c r="A119" s="1" t="s">
        <v>655</v>
      </c>
      <c r="B119" s="29" t="n">
        <f aca="false">tp_w_dcf*B105+(1-tp_w_dcf)*B115</f>
        <v>3965.52216912283</v>
      </c>
      <c r="E119" s="8" t="s">
        <v>656</v>
      </c>
    </row>
    <row r="120" customFormat="false" ht="17.15" hidden="false" customHeight="false" outlineLevel="0" collapsed="false">
      <c r="A120" s="0" t="s">
        <v>657</v>
      </c>
      <c r="B120" s="18" t="n">
        <f aca="false">B115</f>
        <v>4928.54975488515</v>
      </c>
      <c r="E120" s="4" t="s">
        <v>658</v>
      </c>
    </row>
    <row r="121" customFormat="false" ht="17.15" hidden="false" customHeight="false" outlineLevel="0" collapsed="false">
      <c r="A121" s="4" t="s">
        <v>659</v>
      </c>
      <c r="B121" s="18" t="n">
        <f aca="false">cons_tp</f>
        <v>4130</v>
      </c>
      <c r="E121" s="8" t="s">
        <v>342</v>
      </c>
    </row>
    <row r="122" customFormat="false" ht="17.15" hidden="false" customHeight="false" outlineLevel="0" collapsed="false">
      <c r="A122" s="4" t="s">
        <v>660</v>
      </c>
      <c r="B122" s="14" t="n">
        <f aca="false">B119/px-1</f>
        <v>0.260897351072441</v>
      </c>
      <c r="E122" s="4" t="s">
        <v>661</v>
      </c>
    </row>
    <row r="123" customFormat="false" ht="17.15" hidden="false" customHeight="false" outlineLevel="0" collapsed="false">
      <c r="A123" s="4" t="s">
        <v>662</v>
      </c>
      <c r="B123" s="14" t="n">
        <f aca="false">B120/px-1</f>
        <v>0.56710644034504</v>
      </c>
    </row>
    <row r="124" customFormat="false" ht="17.15" hidden="false" customHeight="false" outlineLevel="0" collapsed="false">
      <c r="A124" s="4" t="s">
        <v>663</v>
      </c>
      <c r="B124" s="14" t="n">
        <f aca="false">B114/cons_feps-1</f>
        <v>0.350791262974912</v>
      </c>
      <c r="E124" s="4" t="s">
        <v>664</v>
      </c>
    </row>
    <row r="125" customFormat="false" ht="17.15" hidden="false" customHeight="false" outlineLevel="0" collapsed="false">
      <c r="A125" s="4" t="s">
        <v>665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666</v>
      </c>
      <c r="B126" s="36" t="str">
        <f aca="false">TEXT(D104,"#,##0")&amp;"～"&amp;TEXT(B104,"#,##0")</f>
        <v>1,835～3,745</v>
      </c>
      <c r="E126" s="8" t="s">
        <v>667</v>
      </c>
    </row>
    <row r="127" customFormat="false" ht="17.15" hidden="false" customHeight="false" outlineLevel="0" collapsed="false">
      <c r="A127" s="4" t="s">
        <v>668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669</v>
      </c>
    </row>
    <row r="128" customFormat="false" ht="17.15" hidden="false" customHeight="false" outlineLevel="0" collapsed="false">
      <c r="A128" s="4" t="s">
        <v>670</v>
      </c>
      <c r="B128" s="0" t="s">
        <v>671</v>
      </c>
    </row>
    <row r="130" customFormat="false" ht="17.15" hidden="false" customHeight="false" outlineLevel="0" collapsed="false">
      <c r="A130" s="1" t="s">
        <v>672</v>
      </c>
      <c r="B130" s="8" t="s">
        <v>555</v>
      </c>
      <c r="C130" s="8" t="s">
        <v>557</v>
      </c>
      <c r="D130" s="8" t="s">
        <v>559</v>
      </c>
      <c r="E130" s="8" t="s">
        <v>560</v>
      </c>
      <c r="F130" s="8" t="s">
        <v>561</v>
      </c>
      <c r="G130" s="8" t="s">
        <v>562</v>
      </c>
      <c r="H130" s="8" t="s">
        <v>563</v>
      </c>
      <c r="I130" s="8" t="s">
        <v>564</v>
      </c>
      <c r="J130" s="8" t="s">
        <v>565</v>
      </c>
      <c r="K130" s="8" t="s">
        <v>566</v>
      </c>
    </row>
    <row r="131" customFormat="false" ht="17.15" hidden="false" customHeight="false" outlineLevel="0" collapsed="false">
      <c r="A131" s="4" t="s">
        <v>673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674</v>
      </c>
    </row>
    <row r="134" customFormat="false" ht="17.15" hidden="false" customHeight="false" outlineLevel="0" collapsed="false">
      <c r="A134" s="4" t="s">
        <v>675</v>
      </c>
      <c r="B134" s="0" t="str">
        <f aca="false">IF(B122&gt;0.5,"大於 50%",IF(B122&gt;0.25,"25%–50%",IF(B122&gt;=0,"0%–25%",IF(B122&gt;=-0.25,"0%～−25%",IF(B122&gt;=-0.5,"−25%～−50%","小於 −50%")))))</f>
        <v>25%–50%</v>
      </c>
      <c r="E134" s="4" t="s">
        <v>676</v>
      </c>
    </row>
    <row r="135" customFormat="false" ht="17.15" hidden="false" customHeight="false" outlineLevel="0" collapsed="false">
      <c r="A135" s="4" t="s">
        <v>677</v>
      </c>
      <c r="B135" s="0" t="str">
        <f aca="false">IF(B122&gt;0.5,"強力買進",IF(B122&gt;0.25,"買進",IF(B122&gt;=-0.25,"中立",IF(B122&gt;=-0.5,"放空","強力放空"))))</f>
        <v>買進</v>
      </c>
      <c r="E135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679</v>
      </c>
    </row>
    <row r="3" customFormat="false" ht="17.15" hidden="false" customHeight="false" outlineLevel="0" collapsed="false">
      <c r="A3" s="5" t="s">
        <v>21</v>
      </c>
      <c r="B3" s="5" t="s">
        <v>680</v>
      </c>
      <c r="C3" s="5" t="s">
        <v>681</v>
      </c>
      <c r="D3" s="5" t="s">
        <v>682</v>
      </c>
      <c r="E3" s="5" t="s">
        <v>683</v>
      </c>
      <c r="F3" s="5" t="s">
        <v>684</v>
      </c>
      <c r="G3" s="5" t="s">
        <v>685</v>
      </c>
      <c r="H3" s="5" t="s">
        <v>686</v>
      </c>
      <c r="I3" s="5" t="s">
        <v>687</v>
      </c>
      <c r="J3" s="5" t="s">
        <v>415</v>
      </c>
    </row>
    <row r="4" customFormat="false" ht="17.15" hidden="false" customHeight="false" outlineLevel="0" collapsed="false">
      <c r="A4" s="6" t="s">
        <v>688</v>
      </c>
    </row>
    <row r="5" customFormat="false" ht="17.15" hidden="false" customHeight="false" outlineLevel="0" collapsed="false">
      <c r="A5" s="0" t="s">
        <v>689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690</v>
      </c>
      <c r="J5" s="4" t="s">
        <v>691</v>
      </c>
    </row>
    <row r="6" customFormat="false" ht="17.15" hidden="false" customHeight="false" outlineLevel="0" collapsed="false">
      <c r="A6" s="0" t="s">
        <v>692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693</v>
      </c>
    </row>
    <row r="7" customFormat="false" ht="17.15" hidden="false" customHeight="false" outlineLevel="0" collapsed="false">
      <c r="A7" s="0" t="s">
        <v>694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693</v>
      </c>
    </row>
    <row r="8" customFormat="false" ht="17.15" hidden="false" customHeight="false" outlineLevel="0" collapsed="false">
      <c r="A8" s="0" t="s">
        <v>695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690</v>
      </c>
      <c r="J8" s="4" t="s">
        <v>696</v>
      </c>
    </row>
    <row r="9" customFormat="false" ht="17.15" hidden="false" customHeight="false" outlineLevel="0" collapsed="false">
      <c r="A9" s="0" t="s">
        <v>697</v>
      </c>
      <c r="B9" s="19" t="n">
        <f aca="false">b_rev27</f>
        <v>311.893</v>
      </c>
      <c r="C9" s="19" t="n">
        <f aca="false">PL!E80</f>
        <v>351.307669196167</v>
      </c>
      <c r="D9" s="14" t="n">
        <f aca="false">C9/B9-1</f>
        <v>0.126372407191462</v>
      </c>
      <c r="E9" s="19" t="n">
        <f aca="false">PL!E121</f>
        <v>330.677779399532</v>
      </c>
      <c r="F9" s="14" t="n">
        <f aca="false">E9/B9-1</f>
        <v>0.0602282814924739</v>
      </c>
      <c r="G9" s="19" t="n">
        <f aca="false">PL!E162</f>
        <v>299.732944704581</v>
      </c>
      <c r="H9" s="14" t="n">
        <f aca="false">G9/B9-1</f>
        <v>-0.0389879070560075</v>
      </c>
      <c r="I9" s="4" t="s">
        <v>690</v>
      </c>
    </row>
    <row r="10" customFormat="false" ht="17.15" hidden="false" customHeight="false" outlineLevel="0" collapsed="false">
      <c r="A10" s="0" t="s">
        <v>698</v>
      </c>
      <c r="B10" s="20" t="n">
        <f aca="false">b_eps27gs</f>
        <v>154.78</v>
      </c>
      <c r="C10" s="20" t="n">
        <f aca="false">PL!E97</f>
        <v>174.735865673859</v>
      </c>
      <c r="D10" s="14" t="n">
        <f aca="false">C10/B10-1</f>
        <v>0.128930518631989</v>
      </c>
      <c r="E10" s="20" t="n">
        <f aca="false">PL!E138</f>
        <v>163.155115781997</v>
      </c>
      <c r="F10" s="14" t="n">
        <f aca="false">E10/B10-1</f>
        <v>0.0541098060601932</v>
      </c>
      <c r="G10" s="20" t="n">
        <f aca="false">PL!E179</f>
        <v>145.783990944203</v>
      </c>
      <c r="H10" s="14" t="n">
        <f aca="false">G10/B10-1</f>
        <v>-0.0581212627975006</v>
      </c>
      <c r="I10" s="4" t="s">
        <v>693</v>
      </c>
    </row>
    <row r="11" customFormat="false" ht="17.15" hidden="false" customHeight="false" outlineLevel="0" collapsed="false">
      <c r="A11" s="0" t="s">
        <v>699</v>
      </c>
      <c r="B11" s="20" t="n">
        <f aca="false">b_eps27kgi</f>
        <v>160.03</v>
      </c>
      <c r="C11" s="20" t="n">
        <f aca="false">PL!E97</f>
        <v>174.735865673859</v>
      </c>
      <c r="D11" s="14" t="n">
        <f aca="false">C11/B11-1</f>
        <v>0.0918944302559477</v>
      </c>
      <c r="E11" s="20" t="n">
        <f aca="false">PL!E138</f>
        <v>163.155115781997</v>
      </c>
      <c r="F11" s="14" t="n">
        <f aca="false">E11/B11-1</f>
        <v>0.0195283120789647</v>
      </c>
      <c r="G11" s="20" t="n">
        <f aca="false">PL!E179</f>
        <v>145.783990944203</v>
      </c>
      <c r="H11" s="14" t="n">
        <f aca="false">G11/B11-1</f>
        <v>-0.0890208651865097</v>
      </c>
      <c r="I11" s="4" t="s">
        <v>690</v>
      </c>
    </row>
    <row r="12" customFormat="false" ht="17.15" hidden="false" customHeight="false" outlineLevel="0" collapsed="false">
      <c r="A12" s="0" t="s">
        <v>700</v>
      </c>
      <c r="B12" s="20" t="n">
        <f aca="false">b_eps27bofa</f>
        <v>143.99</v>
      </c>
      <c r="C12" s="20" t="n">
        <f aca="false">PL!E97</f>
        <v>174.735865673859</v>
      </c>
      <c r="D12" s="14" t="n">
        <f aca="false">C12/B12-1</f>
        <v>0.213527784386828</v>
      </c>
      <c r="E12" s="20" t="n">
        <f aca="false">PL!E138</f>
        <v>163.155115781997</v>
      </c>
      <c r="F12" s="14" t="n">
        <f aca="false">E12/B12-1</f>
        <v>0.133100324897539</v>
      </c>
      <c r="G12" s="20" t="n">
        <f aca="false">PL!E179</f>
        <v>145.783990944203</v>
      </c>
      <c r="H12" s="14" t="n">
        <f aca="false">G12/B12-1</f>
        <v>0.0124591356636075</v>
      </c>
      <c r="I12" s="4" t="s">
        <v>701</v>
      </c>
    </row>
    <row r="13" customFormat="false" ht="17.15" hidden="false" customHeight="false" outlineLevel="0" collapsed="false">
      <c r="A13" s="0" t="s">
        <v>702</v>
      </c>
      <c r="B13" s="20" t="n">
        <f aca="false">b_eps27dw</f>
        <v>139.53</v>
      </c>
      <c r="C13" s="20" t="n">
        <f aca="false">PL!E97</f>
        <v>174.735865673859</v>
      </c>
      <c r="D13" s="14" t="n">
        <f aca="false">C13/B13-1</f>
        <v>0.25231753510972</v>
      </c>
      <c r="E13" s="20" t="n">
        <f aca="false">PL!E138</f>
        <v>163.155115781997</v>
      </c>
      <c r="F13" s="14" t="n">
        <f aca="false">E13/B13-1</f>
        <v>0.169319255944934</v>
      </c>
      <c r="G13" s="20" t="n">
        <f aca="false">PL!E179</f>
        <v>145.783990944203</v>
      </c>
      <c r="H13" s="14" t="n">
        <f aca="false">G13/B13-1</f>
        <v>0.0448218371977558</v>
      </c>
      <c r="I13" s="4" t="s">
        <v>701</v>
      </c>
    </row>
    <row r="14" customFormat="false" ht="17.15" hidden="false" customHeight="false" outlineLevel="0" collapsed="false">
      <c r="A14" s="0" t="s">
        <v>703</v>
      </c>
      <c r="B14" s="20" t="n">
        <f aca="false">b_eps27citi</f>
        <v>153.21</v>
      </c>
      <c r="C14" s="20" t="n">
        <f aca="false">PL!E97</f>
        <v>174.735865673859</v>
      </c>
      <c r="D14" s="14" t="n">
        <f aca="false">C14/B14-1</f>
        <v>0.140499090619798</v>
      </c>
      <c r="E14" s="20" t="n">
        <f aca="false">PL!E138</f>
        <v>163.155115781997</v>
      </c>
      <c r="F14" s="14" t="n">
        <f aca="false">E14/B14-1</f>
        <v>0.0649116623066164</v>
      </c>
      <c r="G14" s="20" t="n">
        <f aca="false">PL!E179</f>
        <v>145.783990944203</v>
      </c>
      <c r="H14" s="14" t="n">
        <f aca="false">G14/B14-1</f>
        <v>-0.0484694801631561</v>
      </c>
      <c r="I14" s="4" t="s">
        <v>701</v>
      </c>
      <c r="J14" s="4" t="s">
        <v>704</v>
      </c>
    </row>
    <row r="15" customFormat="false" ht="17.15" hidden="false" customHeight="false" outlineLevel="0" collapsed="false">
      <c r="A15" s="0" t="s">
        <v>705</v>
      </c>
      <c r="B15" s="20" t="n">
        <f aca="false">b_eps28gs</f>
        <v>195.18</v>
      </c>
      <c r="C15" s="20" t="n">
        <f aca="false">PL!F97</f>
        <v>224.783279455889</v>
      </c>
      <c r="D15" s="14" t="n">
        <f aca="false">C15/B15-1</f>
        <v>0.151671684885178</v>
      </c>
      <c r="E15" s="20" t="n">
        <f aca="false">PL!F138</f>
        <v>177.531256730248</v>
      </c>
      <c r="F15" s="14" t="n">
        <f aca="false">E15/B15-1</f>
        <v>-0.0904229084422151</v>
      </c>
      <c r="G15" s="20" t="n">
        <f aca="false">PL!F179</f>
        <v>130.380287209671</v>
      </c>
      <c r="H15" s="14" t="n">
        <f aca="false">G15/B15-1</f>
        <v>-0.331999758122393</v>
      </c>
      <c r="I15" s="4" t="s">
        <v>693</v>
      </c>
      <c r="J15" s="4" t="s">
        <v>706</v>
      </c>
    </row>
    <row r="16" customFormat="false" ht="17.15" hidden="false" customHeight="false" outlineLevel="0" collapsed="false">
      <c r="A16" s="0" t="s">
        <v>707</v>
      </c>
      <c r="B16" s="14" t="n">
        <f aca="false">b_gm27</f>
        <v>0.349</v>
      </c>
      <c r="C16" s="14" t="n">
        <f aca="false">PL!E88</f>
        <v>0.332770304990803</v>
      </c>
      <c r="D16" s="14" t="n">
        <f aca="false">C16-B16</f>
        <v>-0.0162296950091969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0.327599427750871</v>
      </c>
      <c r="H16" s="14" t="n">
        <f aca="false">G16-B16</f>
        <v>-0.0214005722491293</v>
      </c>
      <c r="I16" s="4" t="s">
        <v>708</v>
      </c>
      <c r="J16" s="4" t="s">
        <v>282</v>
      </c>
    </row>
    <row r="17" customFormat="false" ht="17.15" hidden="false" customHeight="false" outlineLevel="0" collapsed="false">
      <c r="A17" s="6" t="s">
        <v>709</v>
      </c>
    </row>
    <row r="18" customFormat="false" ht="17.15" hidden="false" customHeight="false" outlineLevel="0" collapsed="false">
      <c r="A18" s="0" t="s">
        <v>710</v>
      </c>
      <c r="B18" s="14" t="n">
        <f aca="false">b_lc27</f>
        <v>0.5</v>
      </c>
      <c r="C18" s="14" t="n">
        <f aca="false">PL!E82</f>
        <v>0.499146698597906</v>
      </c>
      <c r="D18" s="14" t="n">
        <f aca="false">C18-B18</f>
        <v>-0.000853301402093554</v>
      </c>
      <c r="E18" s="14" t="n">
        <f aca="false">PL!E123</f>
        <v>0.467900122456721</v>
      </c>
      <c r="F18" s="14" t="n">
        <f aca="false">E18-B18</f>
        <v>-0.0320998775432793</v>
      </c>
      <c r="G18" s="14" t="n">
        <f aca="false">PL!E164</f>
        <v>0.412965411265699</v>
      </c>
      <c r="H18" s="14" t="n">
        <f aca="false">G18-B18</f>
        <v>-0.0870345887343014</v>
      </c>
      <c r="I18" s="4" t="s">
        <v>690</v>
      </c>
    </row>
    <row r="19" customFormat="false" ht="17.15" hidden="false" customHeight="false" outlineLevel="0" collapsed="false">
      <c r="A19" s="0" t="s">
        <v>711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712</v>
      </c>
      <c r="J19" s="4" t="s">
        <v>713</v>
      </c>
    </row>
    <row r="20" customFormat="false" ht="17.15" hidden="false" customHeight="false" outlineLevel="0" collapsed="false">
      <c r="A20" s="0" t="s">
        <v>714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0.6</v>
      </c>
      <c r="H20" s="14" t="n">
        <f aca="false">G20-B20</f>
        <v>0</v>
      </c>
      <c r="I20" s="4" t="s">
        <v>38</v>
      </c>
    </row>
    <row r="21" customFormat="false" ht="17.15" hidden="false" customHeight="false" outlineLevel="0" collapsed="false">
      <c r="A21" s="0" t="s">
        <v>715</v>
      </c>
      <c r="C21" s="14" t="n">
        <f aca="false">PL!D70</f>
        <v>0.498927641116677</v>
      </c>
      <c r="E21" s="14" t="n">
        <f aca="false">PL!D111</f>
        <v>0.498927641116677</v>
      </c>
      <c r="G21" s="14" t="n">
        <f aca="false">PL!D152</f>
        <v>0.498927641116677</v>
      </c>
      <c r="I21" s="8" t="s">
        <v>118</v>
      </c>
      <c r="J21" s="4" t="s">
        <v>716</v>
      </c>
    </row>
    <row r="22" customFormat="false" ht="17.15" hidden="false" customHeight="false" outlineLevel="0" collapsed="false">
      <c r="A22" s="0" t="s">
        <v>717</v>
      </c>
      <c r="C22" s="14" t="n">
        <f aca="false">(dlc_27+PL!E73/fx)/PL!E68</f>
        <v>0.974346663222373</v>
      </c>
      <c r="E22" s="14" t="n">
        <f aca="false">(dlc_27+PL!E114/fx)/PL!E109</f>
        <v>1.04106205044391</v>
      </c>
      <c r="G22" s="14" t="n">
        <f aca="false">(dlc_27+PL!E155/fx)/PL!E150</f>
        <v>1.18283224828968</v>
      </c>
      <c r="I22" s="4" t="s">
        <v>718</v>
      </c>
      <c r="J22" s="4" t="s">
        <v>719</v>
      </c>
    </row>
    <row r="23" customFormat="false" ht="17.15" hidden="false" customHeight="false" outlineLevel="0" collapsed="false">
      <c r="A23" s="0" t="s">
        <v>720</v>
      </c>
      <c r="C23" s="14" t="n">
        <f aca="false">(dlc_26+PL!D73/fx)/PL!D68</f>
        <v>1.1535544408462</v>
      </c>
      <c r="E23" s="14" t="n">
        <f aca="false">(dlc_26+PL!D114/fx)/PL!D109</f>
        <v>1.1535544408462</v>
      </c>
      <c r="G23" s="14" t="n">
        <f aca="false">(dlc_26+PL!D155/fx)/PL!D150</f>
        <v>1.1535544408462</v>
      </c>
      <c r="I23" s="4" t="s">
        <v>38</v>
      </c>
    </row>
    <row r="24" customFormat="false" ht="17.15" hidden="false" customHeight="false" outlineLevel="0" collapsed="false">
      <c r="A24" s="0" t="s">
        <v>721</v>
      </c>
      <c r="C24" s="18" t="n">
        <f aca="false">PL!E84</f>
        <v>178.947189172339</v>
      </c>
      <c r="E24" s="18" t="n">
        <f aca="false">PL!E125</f>
        <v>163.467378354919</v>
      </c>
      <c r="G24" s="18" t="n">
        <f aca="false">PL!E166</f>
        <v>140.247662128791</v>
      </c>
      <c r="I24" s="8" t="s">
        <v>118</v>
      </c>
    </row>
    <row r="25" customFormat="false" ht="17.15" hidden="false" customHeight="false" outlineLevel="0" collapsed="false">
      <c r="A25" s="0" t="s">
        <v>722</v>
      </c>
      <c r="C25" s="14" t="n">
        <f aca="false">PL!E83</f>
        <v>0.678841695633466</v>
      </c>
      <c r="E25" s="14" t="n">
        <f aca="false">PL!E124</f>
        <v>0.658805694307987</v>
      </c>
      <c r="G25" s="14" t="n">
        <f aca="false">PL!E165</f>
        <v>0.623580332615083</v>
      </c>
      <c r="I25" s="8" t="s">
        <v>118</v>
      </c>
    </row>
    <row r="26" customFormat="false" ht="17.15" hidden="false" customHeight="false" outlineLevel="0" collapsed="false">
      <c r="A26" s="6" t="s">
        <v>723</v>
      </c>
    </row>
    <row r="27" customFormat="false" ht="17.15" hidden="false" customHeight="false" outlineLevel="0" collapsed="false">
      <c r="A27" s="4" t="s">
        <v>724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725</v>
      </c>
      <c r="J27" s="4" t="s">
        <v>726</v>
      </c>
    </row>
    <row r="28" customFormat="false" ht="17.15" hidden="false" customHeight="false" outlineLevel="0" collapsed="false">
      <c r="A28" s="0" t="s">
        <v>727</v>
      </c>
      <c r="B28" s="14" t="n">
        <f aca="false">a26_gp/a26_rev</f>
        <v>0.322021503074929</v>
      </c>
      <c r="C28" s="14" t="n">
        <f aca="false">PL!E88</f>
        <v>0.332770304990803</v>
      </c>
      <c r="D28" s="14" t="n">
        <f aca="false">C28-B28</f>
        <v>0.0107488019158744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0.327599427750871</v>
      </c>
      <c r="H28" s="14" t="n">
        <f aca="false">G28-B28</f>
        <v>0.00557792467594204</v>
      </c>
      <c r="I28" s="4" t="s">
        <v>728</v>
      </c>
      <c r="J28" s="4" t="s">
        <v>729</v>
      </c>
    </row>
    <row r="29" customFormat="false" ht="17.15" hidden="false" customHeight="false" outlineLevel="0" collapsed="false">
      <c r="A29" s="0" t="s">
        <v>730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118</v>
      </c>
      <c r="J29" s="4" t="s">
        <v>731</v>
      </c>
    </row>
    <row r="30" customFormat="false" ht="17.15" hidden="false" customHeight="false" outlineLevel="0" collapsed="false">
      <c r="A30" s="6" t="s">
        <v>732</v>
      </c>
    </row>
    <row r="31" customFormat="false" ht="17.15" hidden="false" customHeight="false" outlineLevel="0" collapsed="false">
      <c r="A31" s="0" t="s">
        <v>733</v>
      </c>
      <c r="J31" s="4" t="s">
        <v>734</v>
      </c>
    </row>
    <row r="33" customFormat="false" ht="17.15" hidden="false" customHeight="false" outlineLevel="0" collapsed="false">
      <c r="A33" s="6" t="s">
        <v>735</v>
      </c>
    </row>
    <row r="34" customFormat="false" ht="17.15" hidden="false" customHeight="false" outlineLevel="0" collapsed="false">
      <c r="A34" s="0" t="s">
        <v>736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0.350791262974912</v>
      </c>
      <c r="I34" s="8" t="s">
        <v>346</v>
      </c>
      <c r="J34" s="4" t="s">
        <v>737</v>
      </c>
    </row>
    <row r="35" customFormat="false" ht="17.15" hidden="false" customHeight="false" outlineLevel="0" collapsed="false">
      <c r="A35" s="4" t="s">
        <v>738</v>
      </c>
      <c r="B35" s="15" t="n">
        <f aca="false">cons_tp</f>
        <v>4130</v>
      </c>
      <c r="C35" s="15" t="n">
        <f aca="false">Val!B119</f>
        <v>3965.52216912283</v>
      </c>
      <c r="D35" s="14" t="n">
        <f aca="false">C35/B35-1</f>
        <v>-0.0398251406482256</v>
      </c>
      <c r="I35" s="8" t="s">
        <v>342</v>
      </c>
      <c r="J35" s="4" t="s">
        <v>737</v>
      </c>
    </row>
    <row r="36" customFormat="false" ht="17.15" hidden="false" customHeight="false" outlineLevel="0" collapsed="false">
      <c r="A36" s="0" t="s">
        <v>739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0.193353451546041</v>
      </c>
      <c r="I36" s="4" t="s">
        <v>38</v>
      </c>
      <c r="J36" s="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741</v>
      </c>
      <c r="B3" s="5" t="s">
        <v>742</v>
      </c>
      <c r="C3" s="11" t="s">
        <v>743</v>
      </c>
      <c r="D3" s="11" t="s">
        <v>744</v>
      </c>
      <c r="E3" s="11" t="s">
        <v>745</v>
      </c>
      <c r="F3" s="11" t="s">
        <v>535</v>
      </c>
      <c r="G3" s="11" t="s">
        <v>746</v>
      </c>
      <c r="H3" s="11" t="s">
        <v>747</v>
      </c>
      <c r="I3" s="11" t="s">
        <v>748</v>
      </c>
      <c r="J3" s="11" t="s">
        <v>749</v>
      </c>
      <c r="K3" s="11" t="s">
        <v>750</v>
      </c>
      <c r="L3" s="11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  <c r="C4" s="19" t="n">
        <f aca="false">PL!E80</f>
        <v>351.307669196167</v>
      </c>
      <c r="D4" s="19" t="n">
        <f aca="false">PL!E73</f>
        <v>175.354063271392</v>
      </c>
      <c r="E4" s="14" t="n">
        <f aca="false">PL!E88</f>
        <v>0.332770304990803</v>
      </c>
      <c r="F4" s="15" t="n">
        <f aca="false">PL!E97</f>
        <v>174.735865673859</v>
      </c>
      <c r="G4" s="14" t="n">
        <f aca="false">F4/F$4-1</f>
        <v>0</v>
      </c>
      <c r="H4" s="19" t="n">
        <f aca="false">PL!F80</f>
        <v>441.621437825909</v>
      </c>
      <c r="I4" s="19" t="n">
        <f aca="false">PL!F73</f>
        <v>253.4615416438</v>
      </c>
      <c r="J4" s="14" t="n">
        <f aca="false">PL!F88</f>
        <v>0.337257540812352</v>
      </c>
      <c r="K4" s="15" t="n">
        <f aca="false">PL!F97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754</v>
      </c>
      <c r="B5" s="4" t="s">
        <v>755</v>
      </c>
      <c r="C5" s="19" t="n">
        <f aca="false">E60</f>
        <v>332.849346746546</v>
      </c>
      <c r="D5" s="19" t="n">
        <f aca="false">E53</f>
        <v>156.895740821772</v>
      </c>
      <c r="E5" s="14" t="n">
        <f aca="false">E68</f>
        <v>0.331103801181629</v>
      </c>
      <c r="F5" s="15" t="n">
        <f aca="false">E77</f>
        <v>164.374142086403</v>
      </c>
      <c r="G5" s="14" t="n">
        <f aca="false">F5/F$4-1</f>
        <v>-0.0592993518960551</v>
      </c>
      <c r="H5" s="19" t="n">
        <f aca="false">F60</f>
        <v>399.377847551942</v>
      </c>
      <c r="I5" s="19" t="n">
        <f aca="false">F53</f>
        <v>211.217951369833</v>
      </c>
      <c r="J5" s="14" t="n">
        <f aca="false">F68</f>
        <v>0.334553551208975</v>
      </c>
      <c r="K5" s="15" t="n">
        <f aca="false">F77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756</v>
      </c>
      <c r="B6" s="4" t="s">
        <v>757</v>
      </c>
      <c r="C6" s="19" t="n">
        <f aca="false">E101</f>
        <v>369.765991645787</v>
      </c>
      <c r="D6" s="19" t="n">
        <f aca="false">E94</f>
        <v>193.812385721012</v>
      </c>
      <c r="E6" s="14" t="n">
        <f aca="false">E109</f>
        <v>0.334270428627824</v>
      </c>
      <c r="F6" s="15" t="n">
        <f aca="false">E118</f>
        <v>185.097589261315</v>
      </c>
      <c r="G6" s="14" t="n">
        <f aca="false">F6/F$4-1</f>
        <v>0.0592993518960554</v>
      </c>
      <c r="H6" s="19" t="n">
        <f aca="false">F101</f>
        <v>483.865028099876</v>
      </c>
      <c r="I6" s="19" t="n">
        <f aca="false">F94</f>
        <v>295.705131917766</v>
      </c>
      <c r="J6" s="14" t="n">
        <f aca="false">F109</f>
        <v>0.339489389540581</v>
      </c>
      <c r="K6" s="15" t="n">
        <f aca="false">F118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758</v>
      </c>
      <c r="B7" s="4" t="s">
        <v>759</v>
      </c>
      <c r="C7" s="19" t="n">
        <f aca="false">E142</f>
        <v>310.841346902768</v>
      </c>
      <c r="D7" s="19" t="n">
        <f aca="false">E135</f>
        <v>134.887740977994</v>
      </c>
      <c r="E7" s="14" t="n">
        <f aca="false">E150</f>
        <v>0.328858143757776</v>
      </c>
      <c r="F7" s="15" t="n">
        <f aca="false">E159</f>
        <v>152.019779347513</v>
      </c>
      <c r="G7" s="14" t="n">
        <f aca="false">F7/F$4-1</f>
        <v>-0.130002425310582</v>
      </c>
      <c r="H7" s="19" t="n">
        <f aca="false">F142</f>
        <v>369.203854499109</v>
      </c>
      <c r="I7" s="19" t="n">
        <f aca="false">F135</f>
        <v>181.043958317</v>
      </c>
      <c r="J7" s="14" t="n">
        <f aca="false">F150</f>
        <v>0.332243290975158</v>
      </c>
      <c r="K7" s="15" t="n">
        <f aca="false">F159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760</v>
      </c>
      <c r="B8" s="4" t="s">
        <v>761</v>
      </c>
      <c r="C8" s="19" t="n">
        <f aca="false">E183</f>
        <v>391.773991489565</v>
      </c>
      <c r="D8" s="19" t="n">
        <f aca="false">E176</f>
        <v>215.82038556479</v>
      </c>
      <c r="E8" s="14" t="n">
        <f aca="false">E191</f>
        <v>0.335874292221684</v>
      </c>
      <c r="F8" s="15" t="n">
        <f aca="false">E200</f>
        <v>197.451952000205</v>
      </c>
      <c r="G8" s="14" t="n">
        <f aca="false">F8/F$4-1</f>
        <v>0.130002425310582</v>
      </c>
      <c r="H8" s="19" t="n">
        <f aca="false">F183</f>
        <v>514.039021152709</v>
      </c>
      <c r="I8" s="19" t="n">
        <f aca="false">F176</f>
        <v>325.879124970599</v>
      </c>
      <c r="J8" s="14" t="n">
        <f aca="false">F191</f>
        <v>0.340858980180052</v>
      </c>
      <c r="K8" s="15" t="n">
        <f aca="false">F200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762</v>
      </c>
      <c r="B9" s="0" t="s">
        <v>763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161.22499080002</v>
      </c>
      <c r="G9" s="14" t="n">
        <f aca="false">F9/F$4-1</f>
        <v>-0.0773217039428955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-0.0633124928545402</v>
      </c>
    </row>
    <row r="10" customFormat="false" ht="17.15" hidden="false" customHeight="false" outlineLevel="0" collapsed="false">
      <c r="A10" s="4" t="s">
        <v>764</v>
      </c>
      <c r="B10" s="0" t="s">
        <v>765</v>
      </c>
      <c r="C10" s="19" t="n">
        <f aca="false">E265</f>
        <v>324.330121000568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-0.0866682835403883</v>
      </c>
      <c r="H10" s="19" t="n">
        <f aca="false">F265</f>
        <v>402.627354496094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766</v>
      </c>
      <c r="B11" s="4" t="s">
        <v>767</v>
      </c>
      <c r="C11" s="19" t="n">
        <f aca="false">E306</f>
        <v>338.682023081212</v>
      </c>
      <c r="D11" s="19" t="n">
        <f aca="false">E299</f>
        <v>175.354063271392</v>
      </c>
      <c r="E11" s="14" t="n">
        <f aca="false">E314</f>
        <v>0.333886759212721</v>
      </c>
      <c r="F11" s="15" t="n">
        <f aca="false">E323</f>
        <v>168.95105597139</v>
      </c>
      <c r="G11" s="14" t="n">
        <f aca="false">F11/F$4-1</f>
        <v>-0.0331060236555355</v>
      </c>
      <c r="H11" s="19" t="n">
        <f aca="false">F306</f>
        <v>420.282130399629</v>
      </c>
      <c r="I11" s="19" t="n">
        <f aca="false">F299</f>
        <v>253.4615416438</v>
      </c>
      <c r="J11" s="14" t="n">
        <f aca="false">F314</f>
        <v>0.33900598820678</v>
      </c>
      <c r="K11" s="15" t="n">
        <f aca="false">F323</f>
        <v>214.910740495061</v>
      </c>
      <c r="L11" s="14" t="n">
        <f aca="false">K11/K$4-1</f>
        <v>-0.0439202550328721</v>
      </c>
    </row>
    <row r="12" customFormat="false" ht="17.15" hidden="false" customHeight="false" outlineLevel="0" collapsed="false">
      <c r="A12" s="0" t="s">
        <v>768</v>
      </c>
      <c r="B12" s="4" t="s">
        <v>769</v>
      </c>
      <c r="C12" s="19" t="n">
        <f aca="false">E347</f>
        <v>363.933315311121</v>
      </c>
      <c r="D12" s="19" t="n">
        <f aca="false">E340</f>
        <v>175.354063271392</v>
      </c>
      <c r="E12" s="14" t="n">
        <f aca="false">E355</f>
        <v>0.331731315267553</v>
      </c>
      <c r="F12" s="15" t="n">
        <f aca="false">E364</f>
        <v>180.520675376329</v>
      </c>
      <c r="G12" s="14" t="n">
        <f aca="false">F12/F$4-1</f>
        <v>0.0331060236555356</v>
      </c>
      <c r="H12" s="19" t="n">
        <f aca="false">F347</f>
        <v>462.960745252189</v>
      </c>
      <c r="I12" s="19" t="n">
        <f aca="false">F340</f>
        <v>253.4615416438</v>
      </c>
      <c r="J12" s="14" t="n">
        <f aca="false">F355</f>
        <v>0.335670276225974</v>
      </c>
      <c r="K12" s="15" t="n">
        <f aca="false">F364</f>
        <v>234.660553327017</v>
      </c>
      <c r="L12" s="14" t="n">
        <f aca="false">K12/K$4-1</f>
        <v>0.0439413193678659</v>
      </c>
    </row>
    <row r="13" customFormat="false" ht="17.15" hidden="false" customHeight="false" outlineLevel="0" collapsed="false">
      <c r="A13" s="0" t="s">
        <v>770</v>
      </c>
      <c r="B13" s="0" t="s">
        <v>771</v>
      </c>
      <c r="C13" s="19" t="n">
        <f aca="false">E388</f>
        <v>303.611210426933</v>
      </c>
      <c r="D13" s="19" t="n">
        <f aca="false">E381</f>
        <v>140.283250617114</v>
      </c>
      <c r="E13" s="14" t="n">
        <f aca="false">E396</f>
        <v>0.330544441978242</v>
      </c>
      <c r="F13" s="15" t="n">
        <f aca="false">E405</f>
        <v>149.263781155224</v>
      </c>
      <c r="G13" s="14" t="n">
        <f aca="false">F13/F$4-1</f>
        <v>-0.14577479225804</v>
      </c>
      <c r="H13" s="19" t="n">
        <f aca="false">F388</f>
        <v>377.058579670067</v>
      </c>
      <c r="I13" s="19" t="n">
        <f aca="false">F381</f>
        <v>202.76923331504</v>
      </c>
      <c r="J13" s="14" t="n">
        <f aca="false">F396</f>
        <v>0.335087454984969</v>
      </c>
      <c r="K13" s="15" t="n">
        <f aca="false">F405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772</v>
      </c>
      <c r="B14" s="0" t="s">
        <v>773</v>
      </c>
      <c r="C14" s="19" t="n">
        <f aca="false">E429</f>
        <v>399.0041279654</v>
      </c>
      <c r="D14" s="19" t="n">
        <f aca="false">E422</f>
        <v>210.42487592567</v>
      </c>
      <c r="E14" s="14" t="n">
        <f aca="false">E437</f>
        <v>0.334464014193598</v>
      </c>
      <c r="F14" s="15" t="n">
        <f aca="false">E446</f>
        <v>200.207950192495</v>
      </c>
      <c r="G14" s="14" t="n">
        <f aca="false">F14/F$4-1</f>
        <v>0.14577479225804</v>
      </c>
      <c r="H14" s="19" t="n">
        <f aca="false">F429</f>
        <v>506.184295981751</v>
      </c>
      <c r="I14" s="19" t="n">
        <f aca="false">F422</f>
        <v>304.15384997256</v>
      </c>
      <c r="J14" s="14" t="n">
        <f aca="false">F437</f>
        <v>0.338874045880428</v>
      </c>
      <c r="K14" s="15" t="n">
        <f aca="false">F446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774</v>
      </c>
      <c r="B15" s="4" t="s">
        <v>775</v>
      </c>
      <c r="C15" s="19" t="n">
        <f aca="false">E470</f>
        <v>344.326458346167</v>
      </c>
      <c r="D15" s="19" t="n">
        <f aca="false">E463</f>
        <v>175.354063271392</v>
      </c>
      <c r="E15" s="14" t="n">
        <f aca="false">E478</f>
        <v>0.333377516245738</v>
      </c>
      <c r="F15" s="15" t="n">
        <f aca="false">E487</f>
        <v>171.537219371534</v>
      </c>
      <c r="G15" s="14" t="n">
        <f aca="false">F15/F$4-1</f>
        <v>-0.0183056082389813</v>
      </c>
      <c r="H15" s="19" t="n">
        <f aca="false">F470</f>
        <v>428.658455279209</v>
      </c>
      <c r="I15" s="19" t="n">
        <f aca="false">F463</f>
        <v>253.4615416438</v>
      </c>
      <c r="J15" s="14" t="n">
        <f aca="false">F478</f>
        <v>0.338298914779598</v>
      </c>
      <c r="K15" s="15" t="n">
        <f aca="false">F487</f>
        <v>218.783033644939</v>
      </c>
      <c r="L15" s="14" t="n">
        <f aca="false">K15/K$4-1</f>
        <v>-0.0266934703749937</v>
      </c>
    </row>
    <row r="16" customFormat="false" ht="17.15" hidden="false" customHeight="false" outlineLevel="0" collapsed="false">
      <c r="A16" s="4" t="s">
        <v>776</v>
      </c>
      <c r="B16" s="4" t="s">
        <v>777</v>
      </c>
      <c r="C16" s="19" t="n">
        <f aca="false">E511</f>
        <v>357.973599556166</v>
      </c>
      <c r="D16" s="19" t="n">
        <f aca="false">E504</f>
        <v>175.354063271392</v>
      </c>
      <c r="E16" s="14" t="n">
        <f aca="false">E519</f>
        <v>0.332212619652599</v>
      </c>
      <c r="F16" s="15" t="n">
        <f aca="false">E528</f>
        <v>177.790056981886</v>
      </c>
      <c r="G16" s="14" t="n">
        <f aca="false">F16/F$4-1</f>
        <v>0.017478903350769</v>
      </c>
      <c r="H16" s="19" t="n">
        <f aca="false">F511</f>
        <v>454.979872187209</v>
      </c>
      <c r="I16" s="19" t="n">
        <f aca="false">F504</f>
        <v>253.4615416438</v>
      </c>
      <c r="J16" s="14" t="n">
        <f aca="false">F519</f>
        <v>0.336246481691061</v>
      </c>
      <c r="K16" s="15" t="n">
        <f aca="false">F528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778</v>
      </c>
      <c r="B17" s="4" t="s">
        <v>779</v>
      </c>
      <c r="C17" s="19" t="n">
        <f aca="false">E552</f>
        <v>351.307669196167</v>
      </c>
      <c r="D17" s="19" t="n">
        <f aca="false">E545</f>
        <v>175.354063271392</v>
      </c>
      <c r="E17" s="14" t="n">
        <f aca="false">E560</f>
        <v>0.325604437046887</v>
      </c>
      <c r="F17" s="15" t="n">
        <f aca="false">E569</f>
        <v>170.406797160109</v>
      </c>
      <c r="G17" s="14" t="n">
        <f aca="false">F17/F$4-1</f>
        <v>-0.0247749281296965</v>
      </c>
      <c r="H17" s="19" t="n">
        <f aca="false">F552</f>
        <v>441.621437825909</v>
      </c>
      <c r="I17" s="19" t="n">
        <f aca="false">F545</f>
        <v>253.4615416438</v>
      </c>
      <c r="J17" s="14" t="n">
        <f aca="false">F560</f>
        <v>0.327100182320736</v>
      </c>
      <c r="K17" s="15" t="n">
        <f aca="false">F569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780</v>
      </c>
      <c r="B18" s="4" t="s">
        <v>781</v>
      </c>
      <c r="C18" s="19" t="n">
        <f aca="false">E593</f>
        <v>351.307669196167</v>
      </c>
      <c r="D18" s="19" t="n">
        <f aca="false">E586</f>
        <v>175.354063271392</v>
      </c>
      <c r="E18" s="14" t="n">
        <f aca="false">E601</f>
        <v>0.339936172934719</v>
      </c>
      <c r="F18" s="15" t="n">
        <f aca="false">E610</f>
        <v>179.064934187609</v>
      </c>
      <c r="G18" s="14" t="n">
        <f aca="false">F18/F$4-1</f>
        <v>0.0247749281296965</v>
      </c>
      <c r="H18" s="19" t="n">
        <f aca="false">F593</f>
        <v>441.621437825909</v>
      </c>
      <c r="I18" s="19" t="n">
        <f aca="false">F586</f>
        <v>253.4615416438</v>
      </c>
      <c r="J18" s="14" t="n">
        <f aca="false">F601</f>
        <v>0.347414899303967</v>
      </c>
      <c r="K18" s="15" t="n">
        <f aca="false">F610</f>
        <v>232.497089783967</v>
      </c>
      <c r="L18" s="14" t="n">
        <f aca="false">K18/K$4-1</f>
        <v>0.0343166553435366</v>
      </c>
    </row>
    <row r="19" customFormat="false" ht="17.15" hidden="false" customHeight="false" outlineLevel="0" collapsed="false">
      <c r="A19" s="4" t="s">
        <v>782</v>
      </c>
      <c r="B19" s="4" t="s">
        <v>783</v>
      </c>
      <c r="C19" s="19" t="n">
        <f aca="false">E634</f>
        <v>351.307669196167</v>
      </c>
      <c r="D19" s="19" t="n">
        <f aca="false">E627</f>
        <v>175.354063271392</v>
      </c>
      <c r="E19" s="14" t="n">
        <f aca="false">E642</f>
        <v>0.332770304990803</v>
      </c>
      <c r="F19" s="15" t="n">
        <f aca="false">E651</f>
        <v>162.65339765287</v>
      </c>
      <c r="G19" s="14" t="n">
        <f aca="false">F19/F$4-1</f>
        <v>-0.0691470407314168</v>
      </c>
      <c r="H19" s="19" t="n">
        <f aca="false">F634</f>
        <v>441.621437825909</v>
      </c>
      <c r="I19" s="19" t="n">
        <f aca="false">F627</f>
        <v>253.4615416438</v>
      </c>
      <c r="J19" s="14" t="n">
        <f aca="false">F642</f>
        <v>0.337257540812352</v>
      </c>
      <c r="K19" s="15" t="n">
        <f aca="false">F651</f>
        <v>209.594664552821</v>
      </c>
      <c r="L19" s="14" t="n">
        <f aca="false">K19/K$4-1</f>
        <v>-0.0675700387494737</v>
      </c>
    </row>
    <row r="20" customFormat="false" ht="17.15" hidden="false" customHeight="false" outlineLevel="0" collapsed="false">
      <c r="A20" s="0" t="s">
        <v>784</v>
      </c>
      <c r="B20" s="0" t="s">
        <v>785</v>
      </c>
      <c r="C20" s="19" t="n">
        <f aca="false">E675</f>
        <v>340.494528258074</v>
      </c>
      <c r="D20" s="19" t="n">
        <f aca="false">E668</f>
        <v>153.434805362468</v>
      </c>
      <c r="E20" s="14" t="n">
        <f aca="false">E683</f>
        <v>0.332258907666554</v>
      </c>
      <c r="F20" s="15" t="n">
        <f aca="false">E692</f>
        <v>168.925180625212</v>
      </c>
      <c r="G20" s="14" t="n">
        <f aca="false">F20/F$4-1</f>
        <v>-0.0332541062834411</v>
      </c>
      <c r="H20" s="19" t="n">
        <f aca="false">F675</f>
        <v>421.989723363932</v>
      </c>
      <c r="I20" s="19" t="n">
        <f aca="false">F668</f>
        <v>221.778848938325</v>
      </c>
      <c r="J20" s="14" t="n">
        <f aca="false">F683</f>
        <v>0.336754808744611</v>
      </c>
      <c r="K20" s="15" t="n">
        <f aca="false">F692</f>
        <v>214.170516336417</v>
      </c>
      <c r="L20" s="14" t="n">
        <f aca="false">K20/K$4-1</f>
        <v>-0.0472133120628953</v>
      </c>
    </row>
    <row r="21" customFormat="false" ht="17.15" hidden="false" customHeight="false" outlineLevel="0" collapsed="false">
      <c r="A21" s="0" t="s">
        <v>786</v>
      </c>
      <c r="B21" s="0" t="s">
        <v>787</v>
      </c>
      <c r="C21" s="19" t="n">
        <f aca="false">E716</f>
        <v>359.417524899736</v>
      </c>
      <c r="D21" s="19" t="n">
        <f aca="false">E709</f>
        <v>191.793506703085</v>
      </c>
      <c r="E21" s="14" t="n">
        <f aca="false">E724</f>
        <v>0.333038891223699</v>
      </c>
      <c r="F21" s="15" t="n">
        <f aca="false">E733</f>
        <v>179.035306058837</v>
      </c>
      <c r="G21" s="14" t="n">
        <f aca="false">F21/F$4-1</f>
        <v>0.0246053686139214</v>
      </c>
      <c r="H21" s="19" t="n">
        <f aca="false">F716</f>
        <v>456.345223672392</v>
      </c>
      <c r="I21" s="19" t="n">
        <f aca="false">F709</f>
        <v>277.223561172906</v>
      </c>
      <c r="J21" s="14" t="n">
        <f aca="false">F724</f>
        <v>0.337470692871457</v>
      </c>
      <c r="K21" s="15" t="n">
        <f aca="false">F733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788</v>
      </c>
      <c r="B22" s="4" t="s">
        <v>789</v>
      </c>
      <c r="C22" s="19" t="n">
        <f aca="false">E757</f>
        <v>347.290072131242</v>
      </c>
      <c r="D22" s="19" t="n">
        <f aca="false">E750</f>
        <v>175.354063271392</v>
      </c>
      <c r="E22" s="14" t="n">
        <f aca="false">E765</f>
        <v>0.333116765279566</v>
      </c>
      <c r="F22" s="15" t="n">
        <f aca="false">E774</f>
        <v>172.895085861865</v>
      </c>
      <c r="G22" s="14" t="n">
        <f aca="false">F22/F$4-1</f>
        <v>-0.0105346421291082</v>
      </c>
      <c r="H22" s="19" t="n">
        <f aca="false">F757</f>
        <v>436.550510028373</v>
      </c>
      <c r="I22" s="19" t="n">
        <f aca="false">F750</f>
        <v>253.4615416438</v>
      </c>
      <c r="J22" s="14" t="n">
        <f aca="false">F765</f>
        <v>0.33765754644054</v>
      </c>
      <c r="K22" s="15" t="n">
        <f aca="false">F774</f>
        <v>222.440364139026</v>
      </c>
      <c r="L22" s="14" t="n">
        <f aca="false">K22/K$4-1</f>
        <v>-0.0104229964191905</v>
      </c>
    </row>
    <row r="23" customFormat="false" ht="17.15" hidden="false" customHeight="false" outlineLevel="0" collapsed="false">
      <c r="A23" s="0" t="s">
        <v>790</v>
      </c>
      <c r="B23" s="0" t="s">
        <v>791</v>
      </c>
      <c r="C23" s="19" t="n">
        <f aca="false">E798</f>
        <v>355.325266261091</v>
      </c>
      <c r="D23" s="19" t="n">
        <f aca="false">E791</f>
        <v>175.354063271392</v>
      </c>
      <c r="E23" s="14" t="n">
        <f aca="false">E806</f>
        <v>0.332431679426848</v>
      </c>
      <c r="F23" s="15" t="n">
        <f aca="false">E815</f>
        <v>176.576645485853</v>
      </c>
      <c r="G23" s="14" t="n">
        <f aca="false">F23/F$4-1</f>
        <v>0.0105346421291079</v>
      </c>
      <c r="H23" s="19" t="n">
        <f aca="false">F798</f>
        <v>446.692365623445</v>
      </c>
      <c r="I23" s="19" t="n">
        <f aca="false">F791</f>
        <v>253.4615416438</v>
      </c>
      <c r="J23" s="14" t="n">
        <f aca="false">F806</f>
        <v>0.336866617048172</v>
      </c>
      <c r="K23" s="15" t="n">
        <f aca="false">F815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792</v>
      </c>
      <c r="B24" s="0" t="s">
        <v>793</v>
      </c>
      <c r="C24" s="19" t="n">
        <f aca="false">PL!E121</f>
        <v>330.677779399532</v>
      </c>
      <c r="D24" s="19" t="n">
        <f aca="false">PL!E114</f>
        <v>154.724173474758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-0.0662757462367676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794</v>
      </c>
      <c r="B25" s="0" t="s">
        <v>795</v>
      </c>
      <c r="C25" s="19" t="n">
        <f aca="false">PL!E162</f>
        <v>299.732944704581</v>
      </c>
      <c r="D25" s="19" t="n">
        <f aca="false">PL!E155</f>
        <v>123.779338779806</v>
      </c>
      <c r="E25" s="14" t="n">
        <f aca="false">PL!E170</f>
        <v>0.327599427750871</v>
      </c>
      <c r="F25" s="15" t="n">
        <f aca="false">PL!E179</f>
        <v>145.783990944203</v>
      </c>
      <c r="G25" s="14" t="n">
        <f aca="false">F25/F$4-1</f>
        <v>-0.165689365591919</v>
      </c>
      <c r="H25" s="19" t="n">
        <f aca="false">PL!F162</f>
        <v>272.475478096783</v>
      </c>
      <c r="I25" s="19" t="n">
        <f aca="false">PL!F155</f>
        <v>112.056681568838</v>
      </c>
      <c r="J25" s="14" t="n">
        <f aca="false">PL!F170</f>
        <v>0.327496754371275</v>
      </c>
      <c r="K25" s="15" t="n">
        <f aca="false">PL!F179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796</v>
      </c>
    </row>
    <row r="40" customFormat="false" ht="17.15" hidden="false" customHeight="false" outlineLevel="0" collapsed="false">
      <c r="A40" s="1" t="s">
        <v>797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350</v>
      </c>
      <c r="D41" s="11" t="s">
        <v>439</v>
      </c>
      <c r="E41" s="11" t="s">
        <v>440</v>
      </c>
      <c r="F41" s="11" t="s">
        <v>441</v>
      </c>
      <c r="G41" s="11" t="s">
        <v>442</v>
      </c>
      <c r="H41" s="5" t="s">
        <v>415</v>
      </c>
    </row>
    <row r="42" customFormat="false" ht="17.15" hidden="false" customHeight="false" outlineLevel="0" collapsed="false">
      <c r="A42" s="6" t="s">
        <v>458</v>
      </c>
    </row>
    <row r="43" customFormat="false" ht="17.15" hidden="false" customHeight="false" outlineLevel="0" collapsed="false">
      <c r="A43" s="0" t="s">
        <v>459</v>
      </c>
      <c r="B43" s="0" t="s">
        <v>32</v>
      </c>
      <c r="D43" s="20" t="n">
        <f aca="false">itc_26*1</f>
        <v>781.872916666666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460</v>
      </c>
      <c r="B44" s="0" t="s">
        <v>32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461</v>
      </c>
      <c r="B45" s="0" t="s">
        <v>417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462</v>
      </c>
      <c r="B46" s="0" t="s">
        <v>52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463</v>
      </c>
      <c r="B47" s="0" t="s">
        <v>422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464</v>
      </c>
    </row>
    <row r="48" customFormat="false" ht="17.15" hidden="false" customHeight="false" outlineLevel="0" collapsed="false">
      <c r="A48" s="0" t="s">
        <v>465</v>
      </c>
      <c r="B48" s="0" t="s">
        <v>32</v>
      </c>
      <c r="D48" s="20" t="n">
        <f aca="false">D45*D46*D47/1000</f>
        <v>4.51368758595869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466</v>
      </c>
      <c r="B49" s="0" t="s">
        <v>192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467</v>
      </c>
      <c r="B50" s="0" t="s">
        <v>52</v>
      </c>
      <c r="D50" s="14" t="n">
        <f aca="false">a26_lc/D49</f>
        <v>0.498927641116677</v>
      </c>
      <c r="H50" s="8" t="s">
        <v>468</v>
      </c>
    </row>
    <row r="51" customFormat="false" ht="17.15" hidden="false" customHeight="false" outlineLevel="0" collapsed="false">
      <c r="A51" s="4" t="s">
        <v>469</v>
      </c>
      <c r="B51" s="0" t="s">
        <v>73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429</v>
      </c>
      <c r="B52" s="0" t="s">
        <v>52</v>
      </c>
      <c r="D52" s="14" t="n">
        <f aca="false">$D$50*D51</f>
        <v>0.498927641116677</v>
      </c>
      <c r="E52" s="14" t="n">
        <f aca="false">$D$50*E51</f>
        <v>0.424088494949176</v>
      </c>
      <c r="F52" s="14" t="n">
        <f aca="false">$D$50*F51</f>
        <v>0.374195730837508</v>
      </c>
      <c r="G52" s="14" t="n">
        <f aca="false">$D$50*G51</f>
        <v>0.349249348781674</v>
      </c>
    </row>
    <row r="53" customFormat="false" ht="15" hidden="false" customHeight="false" outlineLevel="0" collapsed="false">
      <c r="A53" s="4" t="s">
        <v>470</v>
      </c>
      <c r="B53" s="0" t="s">
        <v>192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156.895740821772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471</v>
      </c>
    </row>
    <row r="55" customFormat="false" ht="17.15" hidden="false" customHeight="false" outlineLevel="0" collapsed="false">
      <c r="A55" s="0" t="s">
        <v>472</v>
      </c>
      <c r="B55" s="0" t="s">
        <v>473</v>
      </c>
      <c r="D55" s="22" t="n">
        <f aca="false">a26_air/D45</f>
        <v>2.0210686815691</v>
      </c>
    </row>
    <row r="56" customFormat="false" ht="17.15" hidden="false" customHeight="false" outlineLevel="0" collapsed="false">
      <c r="A56" s="0" t="s">
        <v>474</v>
      </c>
      <c r="B56" s="0" t="s">
        <v>73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475</v>
      </c>
      <c r="B57" s="0" t="s">
        <v>192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63.1282305747746</v>
      </c>
      <c r="F57" s="19" t="n">
        <f aca="false">F45*$D$55*F56</f>
        <v>69.3527491354095</v>
      </c>
      <c r="G57" s="19" t="n">
        <f aca="false">G45*$D$55*G56</f>
        <v>72.9265345869151</v>
      </c>
    </row>
    <row r="58" customFormat="false" ht="15" hidden="false" customHeight="false" outlineLevel="0" collapsed="false">
      <c r="A58" s="4" t="s">
        <v>476</v>
      </c>
      <c r="B58" s="0" t="s">
        <v>192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477</v>
      </c>
      <c r="B59" s="0" t="s">
        <v>192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356</v>
      </c>
      <c r="B60" s="0" t="s">
        <v>192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332.849346746546</v>
      </c>
      <c r="F60" s="19" t="n">
        <f aca="false">F53+F57+F58+F59</f>
        <v>399.377847551942</v>
      </c>
      <c r="G60" s="19" t="n">
        <f aca="false">G53+G57+G58+G59</f>
        <v>421.416831067941</v>
      </c>
    </row>
    <row r="61" customFormat="false" ht="15" hidden="false" customHeight="false" outlineLevel="0" collapsed="false">
      <c r="A61" s="4" t="s">
        <v>478</v>
      </c>
      <c r="B61" s="0" t="s">
        <v>52</v>
      </c>
      <c r="D61" s="14" t="n">
        <f aca="false">D60/C60-1</f>
        <v>0.612732474451979</v>
      </c>
      <c r="E61" s="14" t="n">
        <f aca="false">E60/D60-1</f>
        <v>0.478014340326498</v>
      </c>
      <c r="F61" s="14" t="n">
        <f aca="false">F60/E60-1</f>
        <v>0.199875713909859</v>
      </c>
      <c r="G61" s="14" t="n">
        <f aca="false">G60/F60-1</f>
        <v>0.0551832898371576</v>
      </c>
    </row>
    <row r="62" customFormat="false" ht="17.15" hidden="false" customHeight="false" outlineLevel="0" collapsed="false">
      <c r="A62" s="4" t="s">
        <v>479</v>
      </c>
      <c r="B62" s="0" t="s">
        <v>52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0.471371635111673</v>
      </c>
      <c r="F62" s="14" t="n">
        <f aca="false">F53/F60</f>
        <v>0.528867468900769</v>
      </c>
      <c r="G62" s="14" t="n">
        <f aca="false">G53/G60</f>
        <v>0.532892646642537</v>
      </c>
    </row>
    <row r="63" customFormat="false" ht="17.15" hidden="false" customHeight="false" outlineLevel="0" collapsed="false">
      <c r="A63" s="0" t="s">
        <v>480</v>
      </c>
      <c r="B63" s="0" t="s">
        <v>52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0.661031705626532</v>
      </c>
      <c r="F63" s="14" t="n">
        <f aca="false">(F53+F57)/F60</f>
        <v>0.702519436731532</v>
      </c>
      <c r="G63" s="14" t="n">
        <f aca="false">(G53+G57)/G60</f>
        <v>0.705943481850298</v>
      </c>
    </row>
    <row r="64" customFormat="false" ht="17.15" hidden="false" customHeight="false" outlineLevel="0" collapsed="false">
      <c r="A64" s="4" t="s">
        <v>434</v>
      </c>
      <c r="B64" s="0" t="s">
        <v>422</v>
      </c>
      <c r="D64" s="18" t="n">
        <f aca="false">(D53+D57)/fx/D45*1000</f>
        <v>159.399762088039</v>
      </c>
      <c r="E64" s="18" t="n">
        <f aca="false">(E53+E57)/fx/E45*1000</f>
        <v>165.096832125174</v>
      </c>
      <c r="F64" s="18" t="n">
        <f aca="false">(F53+F57)/fx/F45*1000</f>
        <v>166.082198811989</v>
      </c>
      <c r="G64" s="18" t="n">
        <f aca="false">(G53+G57)/fx/G45*1000</f>
        <v>154.588996249196</v>
      </c>
    </row>
    <row r="65" customFormat="false" ht="17.15" hidden="false" customHeight="false" outlineLevel="0" collapsed="false">
      <c r="A65" s="6" t="s">
        <v>481</v>
      </c>
    </row>
    <row r="66" customFormat="false" ht="17.15" hidden="false" customHeight="false" outlineLevel="0" collapsed="false">
      <c r="A66" s="4" t="s">
        <v>482</v>
      </c>
      <c r="B66" s="0" t="s">
        <v>52</v>
      </c>
      <c r="D66" s="14" t="n">
        <f aca="false">a26_gp/D60-d_lc*D62</f>
        <v>0.302821503074929</v>
      </c>
      <c r="H66" s="8" t="s">
        <v>483</v>
      </c>
    </row>
    <row r="67" customFormat="false" ht="15" hidden="false" customHeight="false" outlineLevel="0" collapsed="false">
      <c r="A67" s="4" t="s">
        <v>360</v>
      </c>
      <c r="B67" s="0" t="s">
        <v>192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110.207683928604</v>
      </c>
      <c r="F67" s="19" t="n">
        <f aca="false">$D$66*F60+d_lc*F53</f>
        <v>133.613277172699</v>
      </c>
      <c r="G67" s="19" t="n">
        <f aca="false">$D$66*G60+d_lc*G53</f>
        <v>141.088274031918</v>
      </c>
    </row>
    <row r="68" customFormat="false" ht="15" hidden="false" customHeight="false" outlineLevel="0" collapsed="false">
      <c r="A68" s="4" t="s">
        <v>363</v>
      </c>
      <c r="B68" s="0" t="s">
        <v>52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0.331103801181629</v>
      </c>
      <c r="F68" s="14" t="n">
        <f aca="false">F67/F60</f>
        <v>0.334553551208975</v>
      </c>
      <c r="G68" s="14" t="n">
        <f aca="false">G67/G60</f>
        <v>0.334795061873481</v>
      </c>
    </row>
    <row r="69" customFormat="false" ht="15" hidden="false" customHeight="false" outlineLevel="0" collapsed="false">
      <c r="A69" s="4" t="s">
        <v>484</v>
      </c>
      <c r="B69" s="0" t="s">
        <v>192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15.6214235185988</v>
      </c>
      <c r="F69" s="19" t="n">
        <f aca="false">E69*(1+MAX(0,phi*F61))</f>
        <v>17.8070637432465</v>
      </c>
      <c r="G69" s="19" t="n">
        <f aca="false">F69*(1+MAX(0,phi*G61))</f>
        <v>18.4949203950312</v>
      </c>
    </row>
    <row r="70" customFormat="false" ht="15" hidden="false" customHeight="false" outlineLevel="0" collapsed="false">
      <c r="A70" s="4" t="s">
        <v>365</v>
      </c>
      <c r="B70" s="0" t="s">
        <v>192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15.6214235185988</v>
      </c>
      <c r="F70" s="19" t="n">
        <f aca="false">F69+0*F60</f>
        <v>17.8070637432465</v>
      </c>
      <c r="G70" s="19" t="n">
        <f aca="false">G69+0*G60</f>
        <v>18.4949203950312</v>
      </c>
    </row>
    <row r="71" customFormat="false" ht="15" hidden="false" customHeight="false" outlineLevel="0" collapsed="false">
      <c r="A71" s="4" t="s">
        <v>367</v>
      </c>
      <c r="B71" s="0" t="s">
        <v>192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94.5862604100048</v>
      </c>
      <c r="F71" s="19" t="n">
        <f aca="false">F67-F70</f>
        <v>115.806213429452</v>
      </c>
      <c r="G71" s="19" t="n">
        <f aca="false">G67-G70</f>
        <v>122.593353636887</v>
      </c>
    </row>
    <row r="72" customFormat="false" ht="15" hidden="false" customHeight="false" outlineLevel="0" collapsed="false">
      <c r="A72" s="4" t="s">
        <v>370</v>
      </c>
      <c r="B72" s="0" t="s">
        <v>52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0.284171386648474</v>
      </c>
      <c r="F72" s="14" t="n">
        <f aca="false">F71/F60</f>
        <v>0.289966542058622</v>
      </c>
      <c r="G72" s="14" t="n">
        <f aca="false">G71/G60</f>
        <v>0.290907587450208</v>
      </c>
    </row>
    <row r="73" customFormat="false" ht="15" hidden="false" customHeight="false" outlineLevel="0" collapsed="false">
      <c r="A73" s="4" t="s">
        <v>372</v>
      </c>
      <c r="B73" s="0" t="s">
        <v>192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235</v>
      </c>
      <c r="B74" s="0" t="s">
        <v>52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376</v>
      </c>
      <c r="B75" s="0" t="s">
        <v>192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64.5207257767532</v>
      </c>
      <c r="F75" s="19" t="n">
        <f aca="false">(F71+F73)*F74</f>
        <v>78.8441940648803</v>
      </c>
      <c r="G75" s="19" t="n">
        <f aca="false">(G71+G73)*G74</f>
        <v>83.4255137048984</v>
      </c>
    </row>
    <row r="76" customFormat="false" ht="15" hidden="false" customHeight="false" outlineLevel="0" collapsed="false">
      <c r="A76" s="4" t="s">
        <v>485</v>
      </c>
      <c r="B76" s="4" t="s">
        <v>218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381</v>
      </c>
      <c r="B77" s="0" t="s">
        <v>255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164.374142086403</v>
      </c>
      <c r="F77" s="20" t="n">
        <f aca="false">F75/F76</f>
        <v>200.864863218542</v>
      </c>
      <c r="G77" s="20" t="n">
        <f aca="false">G75/G76</f>
        <v>212.536314157534</v>
      </c>
    </row>
    <row r="78" customFormat="false" ht="17.15" hidden="false" customHeight="false" outlineLevel="0" collapsed="false">
      <c r="A78" s="0" t="s">
        <v>486</v>
      </c>
      <c r="B78" s="0" t="s">
        <v>52</v>
      </c>
      <c r="D78" s="14" t="n">
        <f aca="false">D77/C77-1</f>
        <v>1.15499904075659</v>
      </c>
      <c r="E78" s="14" t="n">
        <f aca="false">E77/D77-1</f>
        <v>0.551265770522952</v>
      </c>
      <c r="F78" s="14" t="n">
        <f aca="false">F77/E77-1</f>
        <v>0.22199794121485</v>
      </c>
      <c r="G78" s="14" t="n">
        <f aca="false">G77/F77-1</f>
        <v>0.0581059860444273</v>
      </c>
    </row>
    <row r="81" customFormat="false" ht="17.15" hidden="false" customHeight="false" outlineLevel="0" collapsed="false">
      <c r="A81" s="1" t="s">
        <v>798</v>
      </c>
    </row>
    <row r="82" customFormat="false" ht="17.15" hidden="false" customHeight="false" outlineLevel="0" collapsed="false">
      <c r="A82" s="5" t="s">
        <v>21</v>
      </c>
      <c r="B82" s="5" t="s">
        <v>22</v>
      </c>
      <c r="C82" s="11" t="s">
        <v>350</v>
      </c>
      <c r="D82" s="11" t="s">
        <v>439</v>
      </c>
      <c r="E82" s="11" t="s">
        <v>440</v>
      </c>
      <c r="F82" s="11" t="s">
        <v>441</v>
      </c>
      <c r="G82" s="11" t="s">
        <v>442</v>
      </c>
      <c r="H82" s="5" t="s">
        <v>415</v>
      </c>
    </row>
    <row r="83" customFormat="false" ht="17.15" hidden="false" customHeight="false" outlineLevel="0" collapsed="false">
      <c r="A83" s="6" t="s">
        <v>458</v>
      </c>
    </row>
    <row r="84" customFormat="false" ht="17.15" hidden="false" customHeight="false" outlineLevel="0" collapsed="false">
      <c r="A84" s="0" t="s">
        <v>459</v>
      </c>
      <c r="B84" s="0" t="s">
        <v>32</v>
      </c>
      <c r="D84" s="20" t="n">
        <f aca="false">itc_26*1</f>
        <v>781.872916666666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460</v>
      </c>
      <c r="B85" s="0" t="s">
        <v>32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461</v>
      </c>
      <c r="B86" s="0" t="s">
        <v>417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462</v>
      </c>
      <c r="B87" s="0" t="s">
        <v>52</v>
      </c>
      <c r="D87" s="14" t="n">
        <f aca="false">lpenA_26</f>
        <v>0.55</v>
      </c>
      <c r="E87" s="14" t="n">
        <f aca="false">lpenA_27</f>
        <v>0.85</v>
      </c>
      <c r="F87" s="14" t="n">
        <f aca="false">lpenA_28</f>
        <v>0.95</v>
      </c>
      <c r="G87" s="14" t="n">
        <f aca="false">lpenA_29</f>
        <v>0.95</v>
      </c>
    </row>
    <row r="88" customFormat="false" ht="17.15" hidden="false" customHeight="false" outlineLevel="0" collapsed="false">
      <c r="A88" s="4" t="s">
        <v>463</v>
      </c>
      <c r="B88" s="0" t="s">
        <v>422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464</v>
      </c>
    </row>
    <row r="89" customFormat="false" ht="17.15" hidden="false" customHeight="false" outlineLevel="0" collapsed="false">
      <c r="A89" s="0" t="s">
        <v>465</v>
      </c>
      <c r="B89" s="0" t="s">
        <v>32</v>
      </c>
      <c r="D89" s="20" t="n">
        <f aca="false">D86*D87*D88/1000</f>
        <v>4.51368758595869</v>
      </c>
      <c r="E89" s="20" t="n">
        <f aca="false">E86*E87*E88/1000</f>
        <v>11.5612471431652</v>
      </c>
      <c r="F89" s="20" t="n">
        <f aca="false">F86*F87*F88/1000</f>
        <v>17.6393273261943</v>
      </c>
      <c r="G89" s="20" t="n">
        <f aca="false">G86*G87*G88/1000</f>
        <v>20.0939825685161</v>
      </c>
    </row>
    <row r="90" customFormat="false" ht="17.15" hidden="false" customHeight="false" outlineLevel="0" collapsed="false">
      <c r="A90" s="0" t="s">
        <v>466</v>
      </c>
      <c r="B90" s="0" t="s">
        <v>192</v>
      </c>
      <c r="D90" s="19" t="n">
        <f aca="false">D89*fx</f>
        <v>144.438002750678</v>
      </c>
      <c r="E90" s="19" t="n">
        <f aca="false">E89*fx</f>
        <v>369.959908581285</v>
      </c>
      <c r="F90" s="19" t="n">
        <f aca="false">F89*fx</f>
        <v>564.458474438216</v>
      </c>
      <c r="G90" s="19" t="n">
        <f aca="false">G89*fx</f>
        <v>643.007442192516</v>
      </c>
    </row>
    <row r="91" customFormat="false" ht="17.15" hidden="false" customHeight="false" outlineLevel="0" collapsed="false">
      <c r="A91" s="4" t="s">
        <v>467</v>
      </c>
      <c r="B91" s="0" t="s">
        <v>52</v>
      </c>
      <c r="D91" s="14" t="n">
        <f aca="false">a26_lc/D90</f>
        <v>0.498927641116677</v>
      </c>
      <c r="H91" s="8" t="s">
        <v>468</v>
      </c>
    </row>
    <row r="92" customFormat="false" ht="17.15" hidden="false" customHeight="false" outlineLevel="0" collapsed="false">
      <c r="A92" s="4" t="s">
        <v>469</v>
      </c>
      <c r="B92" s="0" t="s">
        <v>73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429</v>
      </c>
      <c r="B93" s="0" t="s">
        <v>52</v>
      </c>
      <c r="D93" s="14" t="n">
        <f aca="false">$D$91*D92</f>
        <v>0.498927641116677</v>
      </c>
      <c r="E93" s="14" t="n">
        <f aca="false">$D$91*E92</f>
        <v>0.523874023172511</v>
      </c>
      <c r="F93" s="14" t="n">
        <f aca="false">$D$91*F92</f>
        <v>0.523874023172511</v>
      </c>
      <c r="G93" s="14" t="n">
        <f aca="false">$D$91*G92</f>
        <v>0.523874023172511</v>
      </c>
    </row>
    <row r="94" customFormat="false" ht="15" hidden="false" customHeight="false" outlineLevel="0" collapsed="false">
      <c r="A94" s="4" t="s">
        <v>470</v>
      </c>
      <c r="B94" s="0" t="s">
        <v>192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193.812385721012</v>
      </c>
      <c r="F94" s="19" t="n">
        <f aca="false">F90*F93</f>
        <v>295.705131917766</v>
      </c>
      <c r="G94" s="19" t="n">
        <f aca="false">G90*G93</f>
        <v>336.854895671259</v>
      </c>
    </row>
    <row r="95" customFormat="false" ht="17.15" hidden="false" customHeight="false" outlineLevel="0" collapsed="false">
      <c r="A95" s="6" t="s">
        <v>471</v>
      </c>
    </row>
    <row r="96" customFormat="false" ht="17.15" hidden="false" customHeight="false" outlineLevel="0" collapsed="false">
      <c r="A96" s="0" t="s">
        <v>472</v>
      </c>
      <c r="B96" s="0" t="s">
        <v>473</v>
      </c>
      <c r="D96" s="22" t="n">
        <f aca="false">a26_air/D86</f>
        <v>2.0210686815691</v>
      </c>
    </row>
    <row r="97" customFormat="false" ht="17.15" hidden="false" customHeight="false" outlineLevel="0" collapsed="false">
      <c r="A97" s="0" t="s">
        <v>474</v>
      </c>
      <c r="B97" s="0" t="s">
        <v>73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475</v>
      </c>
      <c r="B98" s="0" t="s">
        <v>192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63.1282305747746</v>
      </c>
      <c r="F98" s="19" t="n">
        <f aca="false">F86*$D$96*F97</f>
        <v>69.3527491354095</v>
      </c>
      <c r="G98" s="19" t="n">
        <f aca="false">G86*$D$96*G97</f>
        <v>72.9265345869151</v>
      </c>
    </row>
    <row r="99" customFormat="false" ht="15" hidden="false" customHeight="false" outlineLevel="0" collapsed="false">
      <c r="A99" s="4" t="s">
        <v>476</v>
      </c>
      <c r="B99" s="0" t="s">
        <v>192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477</v>
      </c>
      <c r="B100" s="0" t="s">
        <v>192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356</v>
      </c>
      <c r="B101" s="0" t="s">
        <v>192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369.765991645787</v>
      </c>
      <c r="F101" s="19" t="n">
        <f aca="false">F94+F98+F99+F100</f>
        <v>483.865028099876</v>
      </c>
      <c r="G101" s="19" t="n">
        <f aca="false">G94+G98+G99+G100</f>
        <v>533.701796291694</v>
      </c>
    </row>
    <row r="102" customFormat="false" ht="15" hidden="false" customHeight="false" outlineLevel="0" collapsed="false">
      <c r="A102" s="4" t="s">
        <v>478</v>
      </c>
      <c r="B102" s="0" t="s">
        <v>52</v>
      </c>
      <c r="D102" s="14" t="n">
        <f aca="false">D101/C101-1</f>
        <v>0.612732474451979</v>
      </c>
      <c r="E102" s="14" t="n">
        <f aca="false">E101/D101-1</f>
        <v>0.641942348871957</v>
      </c>
      <c r="F102" s="14" t="n">
        <f aca="false">F101/E101-1</f>
        <v>0.308570931432193</v>
      </c>
      <c r="G102" s="14" t="n">
        <f aca="false">G101/F101-1</f>
        <v>0.102997251914499</v>
      </c>
    </row>
    <row r="103" customFormat="false" ht="17.15" hidden="false" customHeight="false" outlineLevel="0" collapsed="false">
      <c r="A103" s="4" t="s">
        <v>479</v>
      </c>
      <c r="B103" s="0" t="s">
        <v>52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0.524148759214916</v>
      </c>
      <c r="F103" s="14" t="n">
        <f aca="false">F94/F101</f>
        <v>0.611131441094208</v>
      </c>
      <c r="G103" s="14" t="n">
        <f aca="false">G94/G101</f>
        <v>0.631166876356458</v>
      </c>
    </row>
    <row r="104" customFormat="false" ht="17.15" hidden="false" customHeight="false" outlineLevel="0" collapsed="false">
      <c r="A104" s="0" t="s">
        <v>480</v>
      </c>
      <c r="B104" s="0" t="s">
        <v>52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0.694873574371112</v>
      </c>
      <c r="F104" s="14" t="n">
        <f aca="false">(F94+F98)/F101</f>
        <v>0.754462215396611</v>
      </c>
      <c r="G104" s="14" t="n">
        <f aca="false">(G94+G98)/G101</f>
        <v>0.767809726527899</v>
      </c>
    </row>
    <row r="105" customFormat="false" ht="17.15" hidden="false" customHeight="false" outlineLevel="0" collapsed="false">
      <c r="A105" s="4" t="s">
        <v>434</v>
      </c>
      <c r="B105" s="0" t="s">
        <v>422</v>
      </c>
      <c r="D105" s="18" t="n">
        <f aca="false">(D94+D98)/fx/D86*1000</f>
        <v>159.399762088039</v>
      </c>
      <c r="E105" s="18" t="n">
        <f aca="false">(E94+E98)/fx/E86*1000</f>
        <v>192.797546219503</v>
      </c>
      <c r="F105" s="18" t="n">
        <f aca="false">(F94+F98)/fx/F86*1000</f>
        <v>216.093895299035</v>
      </c>
      <c r="G105" s="18" t="n">
        <f aca="false">(G94+G98)/fx/G86*1000</f>
        <v>212.935975484083</v>
      </c>
    </row>
    <row r="106" customFormat="false" ht="17.15" hidden="false" customHeight="false" outlineLevel="0" collapsed="false">
      <c r="A106" s="6" t="s">
        <v>481</v>
      </c>
    </row>
    <row r="107" customFormat="false" ht="17.15" hidden="false" customHeight="false" outlineLevel="0" collapsed="false">
      <c r="A107" s="4" t="s">
        <v>482</v>
      </c>
      <c r="B107" s="0" t="s">
        <v>52</v>
      </c>
      <c r="D107" s="14" t="n">
        <f aca="false">a26_gp/D101-d_lc*D103</f>
        <v>0.302821503074929</v>
      </c>
      <c r="H107" s="8" t="s">
        <v>483</v>
      </c>
    </row>
    <row r="108" customFormat="false" ht="15" hidden="false" customHeight="false" outlineLevel="0" collapsed="false">
      <c r="A108" s="4" t="s">
        <v>360</v>
      </c>
      <c r="B108" s="0" t="s">
        <v>192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123.601836519429</v>
      </c>
      <c r="F108" s="19" t="n">
        <f aca="false">$D$107*F101+d_lc*F94</f>
        <v>164.267043009663</v>
      </c>
      <c r="G108" s="19" t="n">
        <f aca="false">$D$107*G101+d_lc*G94</f>
        <v>181.827673887116</v>
      </c>
    </row>
    <row r="109" customFormat="false" ht="15" hidden="false" customHeight="false" outlineLevel="0" collapsed="false">
      <c r="A109" s="4" t="s">
        <v>363</v>
      </c>
      <c r="B109" s="0" t="s">
        <v>52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0.334270428627824</v>
      </c>
      <c r="F109" s="14" t="n">
        <f aca="false">F108/F101</f>
        <v>0.339489389540581</v>
      </c>
      <c r="G109" s="14" t="n">
        <f aca="false">G108/G101</f>
        <v>0.340691515656316</v>
      </c>
    </row>
    <row r="110" customFormat="false" ht="15" hidden="false" customHeight="false" outlineLevel="0" collapsed="false">
      <c r="A110" s="4" t="s">
        <v>484</v>
      </c>
      <c r="B110" s="0" t="s">
        <v>192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16.9645515801962</v>
      </c>
      <c r="F110" s="19" t="n">
        <f aca="false">E110*(1+MAX(0,phi*F102))</f>
        <v>20.6288888178977</v>
      </c>
      <c r="G110" s="19" t="n">
        <f aca="false">F110*(1+MAX(0,phi*G102))</f>
        <v>22.1161920187029</v>
      </c>
    </row>
    <row r="111" customFormat="false" ht="15" hidden="false" customHeight="false" outlineLevel="0" collapsed="false">
      <c r="A111" s="4" t="s">
        <v>365</v>
      </c>
      <c r="B111" s="0" t="s">
        <v>192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16.9645515801962</v>
      </c>
      <c r="F111" s="19" t="n">
        <f aca="false">F110+0*F101</f>
        <v>20.6288888178977</v>
      </c>
      <c r="G111" s="19" t="n">
        <f aca="false">G110+0*G101</f>
        <v>22.1161920187029</v>
      </c>
    </row>
    <row r="112" customFormat="false" ht="15" hidden="false" customHeight="false" outlineLevel="0" collapsed="false">
      <c r="A112" s="4" t="s">
        <v>367</v>
      </c>
      <c r="B112" s="0" t="s">
        <v>192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106.637284939233</v>
      </c>
      <c r="F112" s="19" t="n">
        <f aca="false">F108-F111</f>
        <v>143.638154191765</v>
      </c>
      <c r="G112" s="19" t="n">
        <f aca="false">G108-G111</f>
        <v>159.711481868413</v>
      </c>
    </row>
    <row r="113" customFormat="false" ht="15" hidden="false" customHeight="false" outlineLevel="0" collapsed="false">
      <c r="A113" s="4" t="s">
        <v>370</v>
      </c>
      <c r="B113" s="0" t="s">
        <v>52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0.288391272719816</v>
      </c>
      <c r="F113" s="14" t="n">
        <f aca="false">F112/F101</f>
        <v>0.296855829312212</v>
      </c>
      <c r="G113" s="14" t="n">
        <f aca="false">G112/G101</f>
        <v>0.299252284661832</v>
      </c>
    </row>
    <row r="114" customFormat="false" ht="15" hidden="false" customHeight="false" outlineLevel="0" collapsed="false">
      <c r="A114" s="4" t="s">
        <v>372</v>
      </c>
      <c r="B114" s="0" t="s">
        <v>192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235</v>
      </c>
      <c r="B115" s="0" t="s">
        <v>52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376</v>
      </c>
      <c r="B116" s="0" t="s">
        <v>192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72.6551673339824</v>
      </c>
      <c r="F116" s="19" t="n">
        <f aca="false">(F112+F114)*F115</f>
        <v>97.6307540794415</v>
      </c>
      <c r="G116" s="19" t="n">
        <f aca="false">(G112+G114)*G115</f>
        <v>108.480250261179</v>
      </c>
    </row>
    <row r="117" customFormat="false" ht="15" hidden="false" customHeight="false" outlineLevel="0" collapsed="false">
      <c r="A117" s="4" t="s">
        <v>485</v>
      </c>
      <c r="B117" s="4" t="s">
        <v>218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381</v>
      </c>
      <c r="B118" s="0" t="s">
        <v>255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185.097589261315</v>
      </c>
      <c r="F118" s="20" t="n">
        <f aca="false">F116/F117</f>
        <v>248.725835766077</v>
      </c>
      <c r="G118" s="20" t="n">
        <f aca="false">G116/G117</f>
        <v>276.366204120168</v>
      </c>
    </row>
    <row r="119" customFormat="false" ht="17.15" hidden="false" customHeight="false" outlineLevel="0" collapsed="false">
      <c r="A119" s="0" t="s">
        <v>486</v>
      </c>
      <c r="B119" s="0" t="s">
        <v>52</v>
      </c>
      <c r="D119" s="14" t="n">
        <f aca="false">D118/C118-1</f>
        <v>1.15499904075659</v>
      </c>
      <c r="E119" s="14" t="n">
        <f aca="false">E118/D118-1</f>
        <v>0.746841387476032</v>
      </c>
      <c r="F119" s="14" t="n">
        <f aca="false">F118/E118-1</f>
        <v>0.343755133487629</v>
      </c>
      <c r="G119" s="14" t="n">
        <f aca="false">G118/F118-1</f>
        <v>0.111127853964019</v>
      </c>
    </row>
    <row r="122" customFormat="false" ht="17.15" hidden="false" customHeight="false" outlineLevel="0" collapsed="false">
      <c r="A122" s="1" t="s">
        <v>799</v>
      </c>
    </row>
    <row r="123" customFormat="false" ht="17.15" hidden="false" customHeight="false" outlineLevel="0" collapsed="false">
      <c r="A123" s="5" t="s">
        <v>21</v>
      </c>
      <c r="B123" s="5" t="s">
        <v>22</v>
      </c>
      <c r="C123" s="11" t="s">
        <v>350</v>
      </c>
      <c r="D123" s="11" t="s">
        <v>439</v>
      </c>
      <c r="E123" s="11" t="s">
        <v>440</v>
      </c>
      <c r="F123" s="11" t="s">
        <v>441</v>
      </c>
      <c r="G123" s="11" t="s">
        <v>442</v>
      </c>
      <c r="H123" s="5" t="s">
        <v>415</v>
      </c>
    </row>
    <row r="124" customFormat="false" ht="17.15" hidden="false" customHeight="false" outlineLevel="0" collapsed="false">
      <c r="A124" s="6" t="s">
        <v>458</v>
      </c>
    </row>
    <row r="125" customFormat="false" ht="17.15" hidden="false" customHeight="false" outlineLevel="0" collapsed="false">
      <c r="A125" s="0" t="s">
        <v>459</v>
      </c>
      <c r="B125" s="0" t="s">
        <v>32</v>
      </c>
      <c r="D125" s="20" t="n">
        <f aca="false">itc_26*1</f>
        <v>781.872916666666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460</v>
      </c>
      <c r="B126" s="0" t="s">
        <v>32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461</v>
      </c>
      <c r="B127" s="0" t="s">
        <v>417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462</v>
      </c>
      <c r="B128" s="0" t="s">
        <v>52</v>
      </c>
      <c r="D128" s="14" t="n">
        <f aca="false">lpenA_26</f>
        <v>0.55</v>
      </c>
      <c r="E128" s="14" t="n">
        <f aca="false">lpenA_27</f>
        <v>0.85</v>
      </c>
      <c r="F128" s="14" t="n">
        <f aca="false">lpenA_28</f>
        <v>0.95</v>
      </c>
      <c r="G128" s="14" t="n">
        <f aca="false">lpenA_29</f>
        <v>0.95</v>
      </c>
    </row>
    <row r="129" customFormat="false" ht="17.15" hidden="false" customHeight="false" outlineLevel="0" collapsed="false">
      <c r="A129" s="4" t="s">
        <v>463</v>
      </c>
      <c r="B129" s="0" t="s">
        <v>422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464</v>
      </c>
    </row>
    <row r="130" customFormat="false" ht="17.15" hidden="false" customHeight="false" outlineLevel="0" collapsed="false">
      <c r="A130" s="0" t="s">
        <v>465</v>
      </c>
      <c r="B130" s="0" t="s">
        <v>32</v>
      </c>
      <c r="D130" s="20" t="n">
        <f aca="false">D127*D128*D129/1000</f>
        <v>4.51368758595869</v>
      </c>
      <c r="E130" s="20" t="n">
        <f aca="false">E127*E128*E129/1000</f>
        <v>8.89326703320397</v>
      </c>
      <c r="F130" s="20" t="n">
        <f aca="false">F127*F128*F129/1000</f>
        <v>12.5995195187102</v>
      </c>
      <c r="G130" s="20" t="n">
        <f aca="false">G127*G128*G129/1000</f>
        <v>14.3528446917972</v>
      </c>
    </row>
    <row r="131" customFormat="false" ht="17.15" hidden="false" customHeight="false" outlineLevel="0" collapsed="false">
      <c r="A131" s="0" t="s">
        <v>466</v>
      </c>
      <c r="B131" s="0" t="s">
        <v>192</v>
      </c>
      <c r="D131" s="19" t="n">
        <f aca="false">D130*fx</f>
        <v>144.438002750678</v>
      </c>
      <c r="E131" s="19" t="n">
        <f aca="false">E130*fx</f>
        <v>284.584545062527</v>
      </c>
      <c r="F131" s="19" t="n">
        <f aca="false">F130*fx</f>
        <v>403.184624598726</v>
      </c>
      <c r="G131" s="19" t="n">
        <f aca="false">G130*fx</f>
        <v>459.291030137512</v>
      </c>
    </row>
    <row r="132" customFormat="false" ht="17.15" hidden="false" customHeight="false" outlineLevel="0" collapsed="false">
      <c r="A132" s="4" t="s">
        <v>467</v>
      </c>
      <c r="B132" s="0" t="s">
        <v>52</v>
      </c>
      <c r="D132" s="14" t="n">
        <f aca="false">a26_lc/D131</f>
        <v>0.498927641116677</v>
      </c>
      <c r="H132" s="8" t="s">
        <v>468</v>
      </c>
    </row>
    <row r="133" customFormat="false" ht="17.15" hidden="false" customHeight="false" outlineLevel="0" collapsed="false">
      <c r="A133" s="4" t="s">
        <v>469</v>
      </c>
      <c r="B133" s="0" t="s">
        <v>73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429</v>
      </c>
      <c r="B134" s="0" t="s">
        <v>52</v>
      </c>
      <c r="D134" s="14" t="n">
        <f aca="false">$D$132*D133</f>
        <v>0.498927641116677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0.424088494949176</v>
      </c>
    </row>
    <row r="135" customFormat="false" ht="15" hidden="false" customHeight="false" outlineLevel="0" collapsed="false">
      <c r="A135" s="4" t="s">
        <v>470</v>
      </c>
      <c r="B135" s="0" t="s">
        <v>192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134.887740977994</v>
      </c>
      <c r="F135" s="19" t="n">
        <f aca="false">F131*F134</f>
        <v>181.043958317</v>
      </c>
      <c r="G135" s="19" t="n">
        <f aca="false">G131*G134</f>
        <v>194.780041714674</v>
      </c>
    </row>
    <row r="136" customFormat="false" ht="17.15" hidden="false" customHeight="false" outlineLevel="0" collapsed="false">
      <c r="A136" s="6" t="s">
        <v>471</v>
      </c>
    </row>
    <row r="137" customFormat="false" ht="17.15" hidden="false" customHeight="false" outlineLevel="0" collapsed="false">
      <c r="A137" s="0" t="s">
        <v>472</v>
      </c>
      <c r="B137" s="0" t="s">
        <v>473</v>
      </c>
      <c r="D137" s="22" t="n">
        <f aca="false">a26_air/D127</f>
        <v>2.0210686815691</v>
      </c>
    </row>
    <row r="138" customFormat="false" ht="17.15" hidden="false" customHeight="false" outlineLevel="0" collapsed="false">
      <c r="A138" s="0" t="s">
        <v>474</v>
      </c>
      <c r="B138" s="0" t="s">
        <v>73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475</v>
      </c>
      <c r="B139" s="0" t="s">
        <v>192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63.1282305747746</v>
      </c>
      <c r="F139" s="19" t="n">
        <f aca="false">F127*$D$137*F138</f>
        <v>69.3527491354095</v>
      </c>
      <c r="G139" s="19" t="n">
        <f aca="false">G127*$D$137*G138</f>
        <v>72.9265345869151</v>
      </c>
    </row>
    <row r="140" customFormat="false" ht="15" hidden="false" customHeight="false" outlineLevel="0" collapsed="false">
      <c r="A140" s="4" t="s">
        <v>476</v>
      </c>
      <c r="B140" s="0" t="s">
        <v>192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477</v>
      </c>
      <c r="B141" s="0" t="s">
        <v>192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356</v>
      </c>
      <c r="B142" s="0" t="s">
        <v>192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310.841346902768</v>
      </c>
      <c r="F142" s="19" t="n">
        <f aca="false">F135+F139+F140+F141</f>
        <v>369.203854499109</v>
      </c>
      <c r="G142" s="19" t="n">
        <f aca="false">G135+G139+G140+G141</f>
        <v>391.626942335109</v>
      </c>
    </row>
    <row r="143" customFormat="false" ht="15" hidden="false" customHeight="false" outlineLevel="0" collapsed="false">
      <c r="A143" s="4" t="s">
        <v>478</v>
      </c>
      <c r="B143" s="0" t="s">
        <v>52</v>
      </c>
      <c r="D143" s="14" t="n">
        <f aca="false">D142/C142-1</f>
        <v>0.612732474451979</v>
      </c>
      <c r="E143" s="14" t="n">
        <f aca="false">E142/D142-1</f>
        <v>0.380288027539781</v>
      </c>
      <c r="F143" s="14" t="n">
        <f aca="false">F142/E142-1</f>
        <v>0.187756578003108</v>
      </c>
      <c r="G143" s="14" t="n">
        <f aca="false">G142/F142-1</f>
        <v>0.0607336233431817</v>
      </c>
    </row>
    <row r="144" customFormat="false" ht="17.15" hidden="false" customHeight="false" outlineLevel="0" collapsed="false">
      <c r="A144" s="4" t="s">
        <v>479</v>
      </c>
      <c r="B144" s="0" t="s">
        <v>52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0.433944011380786</v>
      </c>
      <c r="F144" s="14" t="n">
        <f aca="false">F135/F142</f>
        <v>0.490363131670492</v>
      </c>
      <c r="G144" s="14" t="n">
        <f aca="false">G135/G142</f>
        <v>0.497361189077751</v>
      </c>
    </row>
    <row r="145" customFormat="false" ht="17.15" hidden="false" customHeight="false" outlineLevel="0" collapsed="false">
      <c r="A145" s="0" t="s">
        <v>480</v>
      </c>
      <c r="B145" s="0" t="s">
        <v>52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0.637032278767947</v>
      </c>
      <c r="F145" s="14" t="n">
        <f aca="false">(F135+F139)/F142</f>
        <v>0.678207186628961</v>
      </c>
      <c r="G145" s="14" t="n">
        <f aca="false">(G135+G139)/G142</f>
        <v>0.683575483099722</v>
      </c>
    </row>
    <row r="146" customFormat="false" ht="17.15" hidden="false" customHeight="false" outlineLevel="0" collapsed="false">
      <c r="A146" s="4" t="s">
        <v>434</v>
      </c>
      <c r="B146" s="0" t="s">
        <v>422</v>
      </c>
      <c r="D146" s="18" t="n">
        <f aca="false">(D135+D139)/fx/D127*1000</f>
        <v>159.399762088039</v>
      </c>
      <c r="E146" s="18" t="n">
        <f aca="false">(E135+E139)/fx/E127*1000</f>
        <v>148.582944876632</v>
      </c>
      <c r="F146" s="18" t="n">
        <f aca="false">(F135+F139)/fx/F127*1000</f>
        <v>148.220878638043</v>
      </c>
      <c r="G146" s="18" t="n">
        <f aca="false">(G135+G139)/fx/G127*1000</f>
        <v>139.109185431777</v>
      </c>
    </row>
    <row r="147" customFormat="false" ht="17.15" hidden="false" customHeight="false" outlineLevel="0" collapsed="false">
      <c r="A147" s="6" t="s">
        <v>481</v>
      </c>
    </row>
    <row r="148" customFormat="false" ht="17.15" hidden="false" customHeight="false" outlineLevel="0" collapsed="false">
      <c r="A148" s="4" t="s">
        <v>482</v>
      </c>
      <c r="B148" s="0" t="s">
        <v>52</v>
      </c>
      <c r="D148" s="14" t="n">
        <f aca="false">a26_gp/D142-d_lc*D144</f>
        <v>0.302821503074929</v>
      </c>
      <c r="H148" s="8" t="s">
        <v>483</v>
      </c>
    </row>
    <row r="149" customFormat="false" ht="15" hidden="false" customHeight="false" outlineLevel="0" collapsed="false">
      <c r="A149" s="4" t="s">
        <v>360</v>
      </c>
      <c r="B149" s="0" t="s">
        <v>192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102.222708345611</v>
      </c>
      <c r="F149" s="19" t="n">
        <f aca="false">$D$148*F142+d_lc*F135</f>
        <v>122.665503659497</v>
      </c>
      <c r="G149" s="19" t="n">
        <f aca="false">$D$148*G142+d_lc*G135</f>
        <v>130.279861825437</v>
      </c>
    </row>
    <row r="150" customFormat="false" ht="15" hidden="false" customHeight="false" outlineLevel="0" collapsed="false">
      <c r="A150" s="4" t="s">
        <v>363</v>
      </c>
      <c r="B150" s="0" t="s">
        <v>52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0.328858143757776</v>
      </c>
      <c r="F150" s="14" t="n">
        <f aca="false">F149/F142</f>
        <v>0.332243290975158</v>
      </c>
      <c r="G150" s="14" t="n">
        <f aca="false">G149/G142</f>
        <v>0.332663174419594</v>
      </c>
    </row>
    <row r="151" customFormat="false" ht="15" hidden="false" customHeight="false" outlineLevel="0" collapsed="false">
      <c r="A151" s="4" t="s">
        <v>484</v>
      </c>
      <c r="B151" s="0" t="s">
        <v>192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14.8207125588003</v>
      </c>
      <c r="F151" s="19" t="n">
        <f aca="false">E151*(1+MAX(0,phi*F143))</f>
        <v>16.768592950326</v>
      </c>
      <c r="G151" s="19" t="n">
        <f aca="false">F151*(1+MAX(0,phi*G143))</f>
        <v>17.4814851360941</v>
      </c>
    </row>
    <row r="152" customFormat="false" ht="15" hidden="false" customHeight="false" outlineLevel="0" collapsed="false">
      <c r="A152" s="4" t="s">
        <v>365</v>
      </c>
      <c r="B152" s="0" t="s">
        <v>192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14.8207125588003</v>
      </c>
      <c r="F152" s="19" t="n">
        <f aca="false">F151+0*F142</f>
        <v>16.768592950326</v>
      </c>
      <c r="G152" s="19" t="n">
        <f aca="false">G151+0*G142</f>
        <v>17.4814851360941</v>
      </c>
    </row>
    <row r="153" customFormat="false" ht="15" hidden="false" customHeight="false" outlineLevel="0" collapsed="false">
      <c r="A153" s="4" t="s">
        <v>367</v>
      </c>
      <c r="B153" s="0" t="s">
        <v>192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87.4019957868109</v>
      </c>
      <c r="F153" s="19" t="n">
        <f aca="false">F149-F152</f>
        <v>105.896910709172</v>
      </c>
      <c r="G153" s="19" t="n">
        <f aca="false">G149-G152</f>
        <v>112.798376689342</v>
      </c>
    </row>
    <row r="154" customFormat="false" ht="15" hidden="false" customHeight="false" outlineLevel="0" collapsed="false">
      <c r="A154" s="4" t="s">
        <v>370</v>
      </c>
      <c r="B154" s="0" t="s">
        <v>52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0.28117879637856</v>
      </c>
      <c r="F154" s="14" t="n">
        <f aca="false">F153/F142</f>
        <v>0.286825041013831</v>
      </c>
      <c r="G154" s="14" t="n">
        <f aca="false">G153/G142</f>
        <v>0.288025067981208</v>
      </c>
    </row>
    <row r="155" customFormat="false" ht="15" hidden="false" customHeight="false" outlineLevel="0" collapsed="false">
      <c r="A155" s="4" t="s">
        <v>372</v>
      </c>
      <c r="B155" s="0" t="s">
        <v>192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235</v>
      </c>
      <c r="B156" s="0" t="s">
        <v>52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376</v>
      </c>
      <c r="B157" s="0" t="s">
        <v>192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59.6713471560974</v>
      </c>
      <c r="F157" s="19" t="n">
        <f aca="false">(F153+F155)*F156</f>
        <v>72.1554147286908</v>
      </c>
      <c r="G157" s="19" t="n">
        <f aca="false">(G153+G155)*G156</f>
        <v>76.8139042653061</v>
      </c>
    </row>
    <row r="158" customFormat="false" ht="15" hidden="false" customHeight="false" outlineLevel="0" collapsed="false">
      <c r="A158" s="4" t="s">
        <v>485</v>
      </c>
      <c r="B158" s="4" t="s">
        <v>218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381</v>
      </c>
      <c r="B159" s="0" t="s">
        <v>255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152.019779347513</v>
      </c>
      <c r="F159" s="20" t="n">
        <f aca="false">F157/F158</f>
        <v>183.824410685574</v>
      </c>
      <c r="G159" s="20" t="n">
        <f aca="false">G157/G158</f>
        <v>195.692461017945</v>
      </c>
    </row>
    <row r="160" customFormat="false" ht="17.15" hidden="false" customHeight="false" outlineLevel="0" collapsed="false">
      <c r="A160" s="0" t="s">
        <v>486</v>
      </c>
      <c r="B160" s="0" t="s">
        <v>52</v>
      </c>
      <c r="D160" s="14" t="n">
        <f aca="false">D159/C159-1</f>
        <v>1.15499904075659</v>
      </c>
      <c r="E160" s="14" t="n">
        <f aca="false">E159/D159-1</f>
        <v>0.434672614262462</v>
      </c>
      <c r="F160" s="14" t="n">
        <f aca="false">F159/E159-1</f>
        <v>0.209213771224834</v>
      </c>
      <c r="G160" s="14" t="n">
        <f aca="false">G159/F159-1</f>
        <v>0.0645618842900644</v>
      </c>
    </row>
    <row r="163" customFormat="false" ht="17.15" hidden="false" customHeight="false" outlineLevel="0" collapsed="false">
      <c r="A163" s="1" t="s">
        <v>800</v>
      </c>
    </row>
    <row r="164" customFormat="false" ht="17.15" hidden="false" customHeight="false" outlineLevel="0" collapsed="false">
      <c r="A164" s="5" t="s">
        <v>21</v>
      </c>
      <c r="B164" s="5" t="s">
        <v>22</v>
      </c>
      <c r="C164" s="11" t="s">
        <v>350</v>
      </c>
      <c r="D164" s="11" t="s">
        <v>439</v>
      </c>
      <c r="E164" s="11" t="s">
        <v>440</v>
      </c>
      <c r="F164" s="11" t="s">
        <v>441</v>
      </c>
      <c r="G164" s="11" t="s">
        <v>442</v>
      </c>
      <c r="H164" s="5" t="s">
        <v>415</v>
      </c>
    </row>
    <row r="165" customFormat="false" ht="17.15" hidden="false" customHeight="false" outlineLevel="0" collapsed="false">
      <c r="A165" s="6" t="s">
        <v>458</v>
      </c>
    </row>
    <row r="166" customFormat="false" ht="17.15" hidden="false" customHeight="false" outlineLevel="0" collapsed="false">
      <c r="A166" s="0" t="s">
        <v>459</v>
      </c>
      <c r="B166" s="0" t="s">
        <v>32</v>
      </c>
      <c r="D166" s="20" t="n">
        <f aca="false">itc_26*1</f>
        <v>781.872916666666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460</v>
      </c>
      <c r="B167" s="0" t="s">
        <v>32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461</v>
      </c>
      <c r="B168" s="0" t="s">
        <v>417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462</v>
      </c>
      <c r="B169" s="0" t="s">
        <v>52</v>
      </c>
      <c r="D169" s="14" t="n">
        <f aca="false">lpenA_26</f>
        <v>0.55</v>
      </c>
      <c r="E169" s="14" t="n">
        <f aca="false">lpenA_27</f>
        <v>0.85</v>
      </c>
      <c r="F169" s="14" t="n">
        <f aca="false">lpenA_28</f>
        <v>0.95</v>
      </c>
      <c r="G169" s="14" t="n">
        <f aca="false">lpenA_29</f>
        <v>0.95</v>
      </c>
    </row>
    <row r="170" customFormat="false" ht="17.15" hidden="false" customHeight="false" outlineLevel="0" collapsed="false">
      <c r="A170" s="4" t="s">
        <v>463</v>
      </c>
      <c r="B170" s="0" t="s">
        <v>422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464</v>
      </c>
    </row>
    <row r="171" customFormat="false" ht="17.15" hidden="false" customHeight="false" outlineLevel="0" collapsed="false">
      <c r="A171" s="0" t="s">
        <v>465</v>
      </c>
      <c r="B171" s="0" t="s">
        <v>32</v>
      </c>
      <c r="D171" s="20" t="n">
        <f aca="false">D168*D169*D170/1000</f>
        <v>4.51368758595869</v>
      </c>
      <c r="E171" s="20" t="n">
        <f aca="false">E168*E169*E170/1000</f>
        <v>14.2292272531263</v>
      </c>
      <c r="F171" s="20" t="n">
        <f aca="false">F168*F169*F170/1000</f>
        <v>22.6791351336783</v>
      </c>
      <c r="G171" s="20" t="n">
        <f aca="false">G168*G169*G170/1000</f>
        <v>25.835120445235</v>
      </c>
    </row>
    <row r="172" customFormat="false" ht="17.15" hidden="false" customHeight="false" outlineLevel="0" collapsed="false">
      <c r="A172" s="0" t="s">
        <v>466</v>
      </c>
      <c r="B172" s="0" t="s">
        <v>192</v>
      </c>
      <c r="D172" s="19" t="n">
        <f aca="false">D171*fx</f>
        <v>144.438002750678</v>
      </c>
      <c r="E172" s="19" t="n">
        <f aca="false">E171*fx</f>
        <v>455.335272100043</v>
      </c>
      <c r="F172" s="19" t="n">
        <f aca="false">F171*fx</f>
        <v>725.732324277706</v>
      </c>
      <c r="G172" s="19" t="n">
        <f aca="false">G171*fx</f>
        <v>826.723854247521</v>
      </c>
    </row>
    <row r="173" customFormat="false" ht="17.15" hidden="false" customHeight="false" outlineLevel="0" collapsed="false">
      <c r="A173" s="4" t="s">
        <v>467</v>
      </c>
      <c r="B173" s="0" t="s">
        <v>52</v>
      </c>
      <c r="D173" s="14" t="n">
        <f aca="false">a26_lc/D172</f>
        <v>0.498927641116677</v>
      </c>
      <c r="H173" s="8" t="s">
        <v>468</v>
      </c>
    </row>
    <row r="174" customFormat="false" ht="17.15" hidden="false" customHeight="false" outlineLevel="0" collapsed="false">
      <c r="A174" s="4" t="s">
        <v>469</v>
      </c>
      <c r="B174" s="0" t="s">
        <v>73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429</v>
      </c>
      <c r="B175" s="0" t="s">
        <v>52</v>
      </c>
      <c r="D175" s="14" t="n">
        <f aca="false">$D$173*D174</f>
        <v>0.498927641116677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0.424088494949176</v>
      </c>
    </row>
    <row r="176" customFormat="false" ht="15" hidden="false" customHeight="false" outlineLevel="0" collapsed="false">
      <c r="A176" s="4" t="s">
        <v>470</v>
      </c>
      <c r="B176" s="0" t="s">
        <v>192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215.82038556479</v>
      </c>
      <c r="F176" s="19" t="n">
        <f aca="false">F172*F175</f>
        <v>325.879124970599</v>
      </c>
      <c r="G176" s="19" t="n">
        <f aca="false">G172*G175</f>
        <v>350.604075086413</v>
      </c>
    </row>
    <row r="177" customFormat="false" ht="17.15" hidden="false" customHeight="false" outlineLevel="0" collapsed="false">
      <c r="A177" s="6" t="s">
        <v>471</v>
      </c>
    </row>
    <row r="178" customFormat="false" ht="17.15" hidden="false" customHeight="false" outlineLevel="0" collapsed="false">
      <c r="A178" s="0" t="s">
        <v>472</v>
      </c>
      <c r="B178" s="0" t="s">
        <v>473</v>
      </c>
      <c r="D178" s="22" t="n">
        <f aca="false">a26_air/D168</f>
        <v>2.0210686815691</v>
      </c>
    </row>
    <row r="179" customFormat="false" ht="17.15" hidden="false" customHeight="false" outlineLevel="0" collapsed="false">
      <c r="A179" s="0" t="s">
        <v>474</v>
      </c>
      <c r="B179" s="0" t="s">
        <v>73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475</v>
      </c>
      <c r="B180" s="0" t="s">
        <v>192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63.1282305747746</v>
      </c>
      <c r="F180" s="19" t="n">
        <f aca="false">F168*$D$178*F179</f>
        <v>69.3527491354095</v>
      </c>
      <c r="G180" s="19" t="n">
        <f aca="false">G168*$D$178*G179</f>
        <v>72.9265345869151</v>
      </c>
    </row>
    <row r="181" customFormat="false" ht="15" hidden="false" customHeight="false" outlineLevel="0" collapsed="false">
      <c r="A181" s="4" t="s">
        <v>476</v>
      </c>
      <c r="B181" s="0" t="s">
        <v>192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477</v>
      </c>
      <c r="B182" s="0" t="s">
        <v>192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356</v>
      </c>
      <c r="B183" s="0" t="s">
        <v>192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391.773991489565</v>
      </c>
      <c r="F183" s="19" t="n">
        <f aca="false">F176+F180+F181+F182</f>
        <v>514.039021152709</v>
      </c>
      <c r="G183" s="19" t="n">
        <f aca="false">G176+G180+G181+G182</f>
        <v>547.450975706848</v>
      </c>
    </row>
    <row r="184" customFormat="false" ht="15" hidden="false" customHeight="false" outlineLevel="0" collapsed="false">
      <c r="A184" s="4" t="s">
        <v>478</v>
      </c>
      <c r="B184" s="0" t="s">
        <v>52</v>
      </c>
      <c r="D184" s="14" t="n">
        <f aca="false">D183/C183-1</f>
        <v>0.612732474451979</v>
      </c>
      <c r="E184" s="14" t="n">
        <f aca="false">E183/D183-1</f>
        <v>0.739668661658673</v>
      </c>
      <c r="F184" s="14" t="n">
        <f aca="false">F183/E183-1</f>
        <v>0.312080516622046</v>
      </c>
      <c r="G184" s="14" t="n">
        <f aca="false">G183/F183-1</f>
        <v>0.0649988681388707</v>
      </c>
    </row>
    <row r="185" customFormat="false" ht="17.15" hidden="false" customHeight="false" outlineLevel="0" collapsed="false">
      <c r="A185" s="4" t="s">
        <v>479</v>
      </c>
      <c r="B185" s="0" t="s">
        <v>52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0.550879819112593</v>
      </c>
      <c r="F185" s="14" t="n">
        <f aca="false">F176/F183</f>
        <v>0.633957951752049</v>
      </c>
      <c r="G185" s="14" t="n">
        <f aca="false">G176/G183</f>
        <v>0.640430085330885</v>
      </c>
    </row>
    <row r="186" customFormat="false" ht="17.15" hidden="false" customHeight="false" outlineLevel="0" collapsed="false">
      <c r="A186" s="0" t="s">
        <v>480</v>
      </c>
      <c r="B186" s="0" t="s">
        <v>52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0.712014125998956</v>
      </c>
      <c r="F186" s="14" t="n">
        <f aca="false">(F176+F180)/F183</f>
        <v>0.768875236785954</v>
      </c>
      <c r="G186" s="14" t="n">
        <f aca="false">(G176+G180)/G183</f>
        <v>0.773641163259379</v>
      </c>
    </row>
    <row r="187" customFormat="false" ht="17.15" hidden="false" customHeight="false" outlineLevel="0" collapsed="false">
      <c r="A187" s="4" t="s">
        <v>434</v>
      </c>
      <c r="B187" s="0" t="s">
        <v>422</v>
      </c>
      <c r="D187" s="18" t="n">
        <f aca="false">(D176+D180)/fx/D168*1000</f>
        <v>159.399762088039</v>
      </c>
      <c r="E187" s="18" t="n">
        <f aca="false">(E176+E180)/fx/E168*1000</f>
        <v>209.311433468045</v>
      </c>
      <c r="F187" s="18" t="n">
        <f aca="false">(F176+F180)/fx/F168*1000</f>
        <v>233.95521547298</v>
      </c>
      <c r="G187" s="18" t="n">
        <f aca="false">(G176+G180)/fx/G168*1000</f>
        <v>220.080503553662</v>
      </c>
    </row>
    <row r="188" customFormat="false" ht="17.15" hidden="false" customHeight="false" outlineLevel="0" collapsed="false">
      <c r="A188" s="6" t="s">
        <v>481</v>
      </c>
    </row>
    <row r="189" customFormat="false" ht="17.15" hidden="false" customHeight="false" outlineLevel="0" collapsed="false">
      <c r="A189" s="4" t="s">
        <v>482</v>
      </c>
      <c r="B189" s="0" t="s">
        <v>52</v>
      </c>
      <c r="D189" s="14" t="n">
        <f aca="false">a26_gp/D183-d_lc*D185</f>
        <v>0.302821503074929</v>
      </c>
      <c r="H189" s="8" t="s">
        <v>483</v>
      </c>
    </row>
    <row r="190" customFormat="false" ht="15" hidden="false" customHeight="false" outlineLevel="0" collapsed="false">
      <c r="A190" s="4" t="s">
        <v>360</v>
      </c>
      <c r="B190" s="0" t="s">
        <v>192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131.586812102422</v>
      </c>
      <c r="F190" s="19" t="n">
        <f aca="false">$D$189*F183+d_lc*F176</f>
        <v>175.214816522864</v>
      </c>
      <c r="G190" s="19" t="n">
        <f aca="false">$D$189*G183+d_lc*G176</f>
        <v>186.816171828569</v>
      </c>
    </row>
    <row r="191" customFormat="false" ht="15" hidden="false" customHeight="false" outlineLevel="0" collapsed="false">
      <c r="A191" s="4" t="s">
        <v>363</v>
      </c>
      <c r="B191" s="0" t="s">
        <v>52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0.335874292221684</v>
      </c>
      <c r="F191" s="14" t="n">
        <f aca="false">F190/F183</f>
        <v>0.340858980180052</v>
      </c>
      <c r="G191" s="14" t="n">
        <f aca="false">G190/G183</f>
        <v>0.341247308194782</v>
      </c>
    </row>
    <row r="192" customFormat="false" ht="15" hidden="false" customHeight="false" outlineLevel="0" collapsed="false">
      <c r="A192" s="4" t="s">
        <v>484</v>
      </c>
      <c r="B192" s="0" t="s">
        <v>192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17.7652625399947</v>
      </c>
      <c r="F192" s="19" t="n">
        <f aca="false">E192*(1+MAX(0,phi*F184))</f>
        <v>21.6461971579802</v>
      </c>
      <c r="G192" s="19" t="n">
        <f aca="false">F192*(1+MAX(0,phi*G184))</f>
        <v>22.6310819783258</v>
      </c>
    </row>
    <row r="193" customFormat="false" ht="15" hidden="false" customHeight="false" outlineLevel="0" collapsed="false">
      <c r="A193" s="4" t="s">
        <v>365</v>
      </c>
      <c r="B193" s="0" t="s">
        <v>192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17.7652625399947</v>
      </c>
      <c r="F193" s="19" t="n">
        <f aca="false">F192+0*F183</f>
        <v>21.6461971579802</v>
      </c>
      <c r="G193" s="19" t="n">
        <f aca="false">G192+0*G183</f>
        <v>22.6310819783258</v>
      </c>
    </row>
    <row r="194" customFormat="false" ht="15" hidden="false" customHeight="false" outlineLevel="0" collapsed="false">
      <c r="A194" s="4" t="s">
        <v>367</v>
      </c>
      <c r="B194" s="0" t="s">
        <v>192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113.821549562427</v>
      </c>
      <c r="F194" s="19" t="n">
        <f aca="false">F190-F193</f>
        <v>153.568619364884</v>
      </c>
      <c r="G194" s="19" t="n">
        <f aca="false">G190-G193</f>
        <v>164.185089850243</v>
      </c>
    </row>
    <row r="195" customFormat="false" ht="15" hidden="false" customHeight="false" outlineLevel="0" collapsed="false">
      <c r="A195" s="4" t="s">
        <v>370</v>
      </c>
      <c r="B195" s="0" t="s">
        <v>52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0.290528600762051</v>
      </c>
      <c r="F195" s="14" t="n">
        <f aca="false">F194/F183</f>
        <v>0.298748952989043</v>
      </c>
      <c r="G195" s="14" t="n">
        <f aca="false">G194/G183</f>
        <v>0.299908297063958</v>
      </c>
    </row>
    <row r="196" customFormat="false" ht="15" hidden="false" customHeight="false" outlineLevel="0" collapsed="false">
      <c r="A196" s="4" t="s">
        <v>372</v>
      </c>
      <c r="B196" s="0" t="s">
        <v>192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235</v>
      </c>
      <c r="B197" s="0" t="s">
        <v>52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376</v>
      </c>
      <c r="B198" s="0" t="s">
        <v>192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77.5045459546382</v>
      </c>
      <c r="F198" s="19" t="n">
        <f aca="false">(F194+F196)*F197</f>
        <v>104.333818071297</v>
      </c>
      <c r="G198" s="19" t="n">
        <f aca="false">(G194+G196)*G197</f>
        <v>111.499935648914</v>
      </c>
    </row>
    <row r="199" customFormat="false" ht="15" hidden="false" customHeight="false" outlineLevel="0" collapsed="false">
      <c r="A199" s="4" t="s">
        <v>485</v>
      </c>
      <c r="B199" s="4" t="s">
        <v>218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381</v>
      </c>
      <c r="B200" s="0" t="s">
        <v>255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197.451952000205</v>
      </c>
      <c r="F200" s="20" t="n">
        <f aca="false">F198/F199</f>
        <v>265.802680140454</v>
      </c>
      <c r="G200" s="20" t="n">
        <f aca="false">G198/G199</f>
        <v>284.059208019369</v>
      </c>
    </row>
    <row r="201" customFormat="false" ht="17.15" hidden="false" customHeight="false" outlineLevel="0" collapsed="false">
      <c r="A201" s="0" t="s">
        <v>486</v>
      </c>
      <c r="B201" s="0" t="s">
        <v>52</v>
      </c>
      <c r="D201" s="14" t="n">
        <f aca="false">D200/C200-1</f>
        <v>1.15499904075659</v>
      </c>
      <c r="E201" s="14" t="n">
        <f aca="false">E200/D200-1</f>
        <v>0.863434543736522</v>
      </c>
      <c r="F201" s="14" t="n">
        <f aca="false">F200/E200-1</f>
        <v>0.346163851245077</v>
      </c>
      <c r="G201" s="14" t="n">
        <f aca="false">G200/F200-1</f>
        <v>0.0686845139005663</v>
      </c>
    </row>
    <row r="204" customFormat="false" ht="17.15" hidden="false" customHeight="false" outlineLevel="0" collapsed="false">
      <c r="A204" s="1" t="s">
        <v>801</v>
      </c>
    </row>
    <row r="205" customFormat="false" ht="17.15" hidden="false" customHeight="false" outlineLevel="0" collapsed="false">
      <c r="A205" s="5" t="s">
        <v>21</v>
      </c>
      <c r="B205" s="5" t="s">
        <v>22</v>
      </c>
      <c r="C205" s="11" t="s">
        <v>350</v>
      </c>
      <c r="D205" s="11" t="s">
        <v>439</v>
      </c>
      <c r="E205" s="11" t="s">
        <v>440</v>
      </c>
      <c r="F205" s="11" t="s">
        <v>441</v>
      </c>
      <c r="G205" s="11" t="s">
        <v>442</v>
      </c>
      <c r="H205" s="5" t="s">
        <v>415</v>
      </c>
    </row>
    <row r="206" customFormat="false" ht="17.15" hidden="false" customHeight="false" outlineLevel="0" collapsed="false">
      <c r="A206" s="6" t="s">
        <v>458</v>
      </c>
    </row>
    <row r="207" customFormat="false" ht="17.15" hidden="false" customHeight="false" outlineLevel="0" collapsed="false">
      <c r="A207" s="0" t="s">
        <v>459</v>
      </c>
      <c r="B207" s="0" t="s">
        <v>32</v>
      </c>
      <c r="D207" s="20" t="n">
        <f aca="false">itc_26*1</f>
        <v>781.872916666666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460</v>
      </c>
      <c r="B208" s="0" t="s">
        <v>32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461</v>
      </c>
      <c r="B209" s="0" t="s">
        <v>417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462</v>
      </c>
      <c r="B210" s="0" t="s">
        <v>52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463</v>
      </c>
      <c r="B211" s="0" t="s">
        <v>422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464</v>
      </c>
    </row>
    <row r="212" customFormat="false" ht="17.15" hidden="false" customHeight="false" outlineLevel="0" collapsed="false">
      <c r="A212" s="0" t="s">
        <v>465</v>
      </c>
      <c r="B212" s="0" t="s">
        <v>32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466</v>
      </c>
      <c r="B213" s="0" t="s">
        <v>192</v>
      </c>
      <c r="D213" s="19" t="n">
        <f aca="false">D212*fx</f>
        <v>118.1765477051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467</v>
      </c>
      <c r="B214" s="0" t="s">
        <v>52</v>
      </c>
      <c r="D214" s="14" t="n">
        <f aca="false">a26_lc/D213</f>
        <v>0.609800450253716</v>
      </c>
      <c r="H214" s="8" t="s">
        <v>468</v>
      </c>
    </row>
    <row r="215" customFormat="false" ht="17.15" hidden="false" customHeight="false" outlineLevel="0" collapsed="false">
      <c r="A215" s="4" t="s">
        <v>469</v>
      </c>
      <c r="B215" s="0" t="s">
        <v>73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429</v>
      </c>
      <c r="B216" s="0" t="s">
        <v>52</v>
      </c>
      <c r="D216" s="14" t="n">
        <f aca="false">$D$214*D215</f>
        <v>0.609800450253716</v>
      </c>
      <c r="E216" s="14" t="n">
        <f aca="false">$D$214*E215</f>
        <v>0.579310427741031</v>
      </c>
      <c r="F216" s="14" t="n">
        <f aca="false">$D$214*F215</f>
        <v>0.548820405228345</v>
      </c>
      <c r="G216" s="14" t="n">
        <f aca="false">$D$214*G215</f>
        <v>0.518330382715659</v>
      </c>
    </row>
    <row r="217" customFormat="false" ht="15" hidden="false" customHeight="false" outlineLevel="0" collapsed="false">
      <c r="A217" s="4" t="s">
        <v>470</v>
      </c>
      <c r="B217" s="0" t="s">
        <v>192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0" t="s">
        <v>472</v>
      </c>
      <c r="B219" s="0" t="s">
        <v>473</v>
      </c>
      <c r="D219" s="22" t="n">
        <f aca="false">a26_air/D209</f>
        <v>2.0210686815691</v>
      </c>
    </row>
    <row r="220" customFormat="false" ht="17.15" hidden="false" customHeight="false" outlineLevel="0" collapsed="false">
      <c r="A220" s="0" t="s">
        <v>474</v>
      </c>
      <c r="B220" s="0" t="s">
        <v>73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475</v>
      </c>
      <c r="B221" s="0" t="s">
        <v>192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63.1282305747746</v>
      </c>
      <c r="F221" s="19" t="n">
        <f aca="false">F209*$D$219*F220</f>
        <v>69.3527491354095</v>
      </c>
      <c r="G221" s="19" t="n">
        <f aca="false">G209*$D$219*G220</f>
        <v>72.9265345869151</v>
      </c>
    </row>
    <row r="222" customFormat="false" ht="15" hidden="false" customHeight="false" outlineLevel="0" collapsed="false">
      <c r="A222" s="4" t="s">
        <v>476</v>
      </c>
      <c r="B222" s="0" t="s">
        <v>192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477</v>
      </c>
      <c r="B223" s="0" t="s">
        <v>192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356</v>
      </c>
      <c r="B224" s="0" t="s">
        <v>192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478</v>
      </c>
      <c r="B225" s="0" t="s">
        <v>52</v>
      </c>
      <c r="D225" s="14" t="n">
        <f aca="false">D224/C224-1</f>
        <v>0.612732474451979</v>
      </c>
      <c r="E225" s="14" t="n">
        <f aca="false">E224/D224-1</f>
        <v>0.453103711576942</v>
      </c>
      <c r="F225" s="14" t="n">
        <f aca="false">F224/E224-1</f>
        <v>0.27253449551472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479</v>
      </c>
      <c r="B226" s="0" t="s">
        <v>52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0.572044804784545</v>
      </c>
    </row>
    <row r="227" customFormat="false" ht="17.15" hidden="false" customHeight="false" outlineLevel="0" collapsed="false">
      <c r="A227" s="0" t="s">
        <v>480</v>
      </c>
      <c r="B227" s="0" t="s">
        <v>52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434</v>
      </c>
      <c r="B228" s="0" t="s">
        <v>422</v>
      </c>
      <c r="D228" s="18" t="n">
        <f aca="false">(D217+D221)/fx/D209*1000</f>
        <v>159.399762088039</v>
      </c>
      <c r="E228" s="18" t="n">
        <f aca="false">(E217+E221)/fx/E209*1000</f>
        <v>160.88740988535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481</v>
      </c>
    </row>
    <row r="230" customFormat="false" ht="17.15" hidden="false" customHeight="false" outlineLevel="0" collapsed="false">
      <c r="A230" s="4" t="s">
        <v>482</v>
      </c>
      <c r="B230" s="0" t="s">
        <v>52</v>
      </c>
      <c r="D230" s="14" t="n">
        <f aca="false">a26_gp/D224-d_lc*D226</f>
        <v>0.302821503074929</v>
      </c>
      <c r="H230" s="8" t="s">
        <v>483</v>
      </c>
    </row>
    <row r="231" customFormat="false" ht="15" hidden="false" customHeight="false" outlineLevel="0" collapsed="false">
      <c r="A231" s="4" t="s">
        <v>360</v>
      </c>
      <c r="B231" s="0" t="s">
        <v>192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363</v>
      </c>
      <c r="B232" s="0" t="s">
        <v>52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484</v>
      </c>
      <c r="B233" s="0" t="s">
        <v>192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365</v>
      </c>
      <c r="B234" s="0" t="s">
        <v>192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367</v>
      </c>
      <c r="B235" s="0" t="s">
        <v>192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92.7549772707593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370</v>
      </c>
      <c r="B236" s="0" t="s">
        <v>52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372</v>
      </c>
      <c r="B237" s="0" t="s">
        <v>192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235</v>
      </c>
      <c r="B238" s="0" t="s">
        <v>52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376</v>
      </c>
      <c r="B239" s="0" t="s">
        <v>192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82.6465018118989</v>
      </c>
      <c r="G239" s="19" t="n">
        <f aca="false">(G235+G237)*G238</f>
        <v>92.0524878404321</v>
      </c>
    </row>
    <row r="240" customFormat="false" ht="15" hidden="false" customHeight="false" outlineLevel="0" collapsed="false">
      <c r="A240" s="4" t="s">
        <v>485</v>
      </c>
      <c r="B240" s="4" t="s">
        <v>218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381</v>
      </c>
      <c r="B241" s="0" t="s">
        <v>255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161.22499080002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486</v>
      </c>
      <c r="B242" s="0" t="s">
        <v>52</v>
      </c>
      <c r="D242" s="14" t="n">
        <f aca="false">D241/C241-1</f>
        <v>1.15499904075659</v>
      </c>
      <c r="E242" s="14" t="n">
        <f aca="false">E241/D241-1</f>
        <v>0.521545946378121</v>
      </c>
      <c r="F242" s="14" t="n">
        <f aca="false">F241/E241-1</f>
        <v>0.305949460047929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802</v>
      </c>
    </row>
    <row r="246" customFormat="false" ht="17.15" hidden="false" customHeight="false" outlineLevel="0" collapsed="false">
      <c r="A246" s="5" t="s">
        <v>21</v>
      </c>
      <c r="B246" s="5" t="s">
        <v>22</v>
      </c>
      <c r="C246" s="11" t="s">
        <v>350</v>
      </c>
      <c r="D246" s="11" t="s">
        <v>439</v>
      </c>
      <c r="E246" s="11" t="s">
        <v>440</v>
      </c>
      <c r="F246" s="11" t="s">
        <v>441</v>
      </c>
      <c r="G246" s="11" t="s">
        <v>442</v>
      </c>
      <c r="H246" s="5" t="s">
        <v>415</v>
      </c>
    </row>
    <row r="247" customFormat="false" ht="17.15" hidden="false" customHeight="false" outlineLevel="0" collapsed="false">
      <c r="A247" s="6" t="s">
        <v>458</v>
      </c>
    </row>
    <row r="248" customFormat="false" ht="17.15" hidden="false" customHeight="false" outlineLevel="0" collapsed="false">
      <c r="A248" s="0" t="s">
        <v>459</v>
      </c>
      <c r="B248" s="0" t="s">
        <v>32</v>
      </c>
      <c r="D248" s="20" t="n">
        <f aca="false">itc_26*1</f>
        <v>781.872916666666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460</v>
      </c>
      <c r="B249" s="0" t="s">
        <v>32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461</v>
      </c>
      <c r="B250" s="0" t="s">
        <v>417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462</v>
      </c>
      <c r="B251" s="0" t="s">
        <v>52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463</v>
      </c>
      <c r="B252" s="0" t="s">
        <v>422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464</v>
      </c>
    </row>
    <row r="253" customFormat="false" ht="17.15" hidden="false" customHeight="false" outlineLevel="0" collapsed="false">
      <c r="A253" s="0" t="s">
        <v>465</v>
      </c>
      <c r="B253" s="0" t="s">
        <v>32</v>
      </c>
      <c r="D253" s="20" t="n">
        <f aca="false">D250*D251*D252/1000</f>
        <v>5.334358056133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466</v>
      </c>
      <c r="B254" s="0" t="s">
        <v>192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467</v>
      </c>
      <c r="B255" s="0" t="s">
        <v>52</v>
      </c>
      <c r="D255" s="14" t="n">
        <f aca="false">a26_lc/D254</f>
        <v>0.422169542483342</v>
      </c>
      <c r="H255" s="8" t="s">
        <v>468</v>
      </c>
    </row>
    <row r="256" customFormat="false" ht="17.15" hidden="false" customHeight="false" outlineLevel="0" collapsed="false">
      <c r="A256" s="4" t="s">
        <v>469</v>
      </c>
      <c r="B256" s="0" t="s">
        <v>73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429</v>
      </c>
      <c r="B257" s="0" t="s">
        <v>52</v>
      </c>
      <c r="D257" s="14" t="n">
        <f aca="false">$D$255*D256</f>
        <v>0.422169542483342</v>
      </c>
      <c r="E257" s="14" t="n">
        <f aca="false">$D$255*E256</f>
        <v>0.401061065359175</v>
      </c>
      <c r="F257" s="14" t="n">
        <f aca="false">$D$255*F256</f>
        <v>0.379952588235008</v>
      </c>
      <c r="G257" s="14" t="n">
        <f aca="false">$D$255*G256</f>
        <v>0.358844111110841</v>
      </c>
    </row>
    <row r="258" customFormat="false" ht="15" hidden="false" customHeight="false" outlineLevel="0" collapsed="false">
      <c r="A258" s="4" t="s">
        <v>470</v>
      </c>
      <c r="B258" s="0" t="s">
        <v>192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471</v>
      </c>
    </row>
    <row r="260" customFormat="false" ht="17.15" hidden="false" customHeight="false" outlineLevel="0" collapsed="false">
      <c r="A260" s="0" t="s">
        <v>472</v>
      </c>
      <c r="B260" s="0" t="s">
        <v>473</v>
      </c>
      <c r="D260" s="22" t="n">
        <f aca="false">a26_air/D250</f>
        <v>2.0210686815691</v>
      </c>
    </row>
    <row r="261" customFormat="false" ht="17.15" hidden="false" customHeight="false" outlineLevel="0" collapsed="false">
      <c r="A261" s="0" t="s">
        <v>474</v>
      </c>
      <c r="B261" s="0" t="s">
        <v>73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475</v>
      </c>
      <c r="B262" s="0" t="s">
        <v>192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63.1282305747746</v>
      </c>
      <c r="F262" s="19" t="n">
        <f aca="false">F250*$D$260*F261</f>
        <v>69.3527491354095</v>
      </c>
      <c r="G262" s="19" t="n">
        <f aca="false">G250*$D$260*G261</f>
        <v>72.9265345869151</v>
      </c>
    </row>
    <row r="263" customFormat="false" ht="15" hidden="false" customHeight="false" outlineLevel="0" collapsed="false">
      <c r="A263" s="4" t="s">
        <v>476</v>
      </c>
      <c r="B263" s="0" t="s">
        <v>192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477</v>
      </c>
      <c r="B264" s="0" t="s">
        <v>192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356</v>
      </c>
      <c r="B265" s="0" t="s">
        <v>192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324.330121000568</v>
      </c>
      <c r="F265" s="19" t="n">
        <f aca="false">F258+F262+F263+F264</f>
        <v>402.627354496094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478</v>
      </c>
      <c r="B266" s="0" t="s">
        <v>52</v>
      </c>
      <c r="D266" s="14" t="n">
        <f aca="false">D265/C265-1</f>
        <v>0.612732474451979</v>
      </c>
      <c r="E266" s="14" t="n">
        <f aca="false">E265/D265-1</f>
        <v>0.44018479989293</v>
      </c>
      <c r="F266" s="14" t="n">
        <f aca="false">F265/E265-1</f>
        <v>0.241412155164549</v>
      </c>
      <c r="G266" s="14" t="n">
        <f aca="false">G265/F265-1</f>
        <v>0.0619902743240277</v>
      </c>
    </row>
    <row r="267" customFormat="false" ht="17.15" hidden="false" customHeight="false" outlineLevel="0" collapsed="false">
      <c r="A267" s="4" t="s">
        <v>479</v>
      </c>
      <c r="B267" s="0" t="s">
        <v>52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480</v>
      </c>
      <c r="B268" s="0" t="s">
        <v>52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434</v>
      </c>
      <c r="B269" s="0" t="s">
        <v>422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157.794874229135</v>
      </c>
    </row>
    <row r="270" customFormat="false" ht="17.15" hidden="false" customHeight="false" outlineLevel="0" collapsed="false">
      <c r="A270" s="6" t="s">
        <v>481</v>
      </c>
    </row>
    <row r="271" customFormat="false" ht="17.15" hidden="false" customHeight="false" outlineLevel="0" collapsed="false">
      <c r="A271" s="4" t="s">
        <v>482</v>
      </c>
      <c r="B271" s="0" t="s">
        <v>52</v>
      </c>
      <c r="D271" s="14" t="n">
        <f aca="false">a26_gp/D265-d_lc*D267</f>
        <v>0.302821503074929</v>
      </c>
      <c r="H271" s="8" t="s">
        <v>483</v>
      </c>
    </row>
    <row r="272" customFormat="false" ht="15" hidden="false" customHeight="false" outlineLevel="0" collapsed="false">
      <c r="A272" s="4" t="s">
        <v>360</v>
      </c>
      <c r="B272" s="0" t="s">
        <v>192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363</v>
      </c>
      <c r="B273" s="0" t="s">
        <v>52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484</v>
      </c>
      <c r="B274" s="0" t="s">
        <v>192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365</v>
      </c>
      <c r="B275" s="0" t="s">
        <v>192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367</v>
      </c>
      <c r="B276" s="0" t="s">
        <v>192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91.8052547494136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370</v>
      </c>
      <c r="B277" s="0" t="s">
        <v>52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372</v>
      </c>
      <c r="B278" s="0" t="s">
        <v>192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235</v>
      </c>
      <c r="B279" s="0" t="s">
        <v>52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376</v>
      </c>
      <c r="B280" s="0" t="s">
        <v>192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62.6435469558542</v>
      </c>
      <c r="F280" s="19" t="n">
        <f aca="false">(F276+F278)*F279</f>
        <v>79.5780008868547</v>
      </c>
      <c r="G280" s="19" t="n">
        <f aca="false">(G276+G278)*G279</f>
        <v>84.8144771213929</v>
      </c>
    </row>
    <row r="281" customFormat="false" ht="15" hidden="false" customHeight="false" outlineLevel="0" collapsed="false">
      <c r="A281" s="4" t="s">
        <v>485</v>
      </c>
      <c r="B281" s="4" t="s">
        <v>218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381</v>
      </c>
      <c r="B282" s="0" t="s">
        <v>255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486</v>
      </c>
      <c r="B283" s="0" t="s">
        <v>52</v>
      </c>
      <c r="D283" s="14" t="n">
        <f aca="false">D282/C282-1</f>
        <v>1.15499904075659</v>
      </c>
      <c r="E283" s="14" t="n">
        <f aca="false">E282/D282-1</f>
        <v>0.506132935841472</v>
      </c>
      <c r="F283" s="14" t="n">
        <f aca="false">F282/E282-1</f>
        <v>0.270330381243169</v>
      </c>
      <c r="G283" s="14" t="n">
        <f aca="false">G282/F282-1</f>
        <v>0.0658030633614883</v>
      </c>
    </row>
    <row r="286" customFormat="false" ht="17.15" hidden="false" customHeight="false" outlineLevel="0" collapsed="false">
      <c r="A286" s="1" t="s">
        <v>803</v>
      </c>
    </row>
    <row r="287" customFormat="false" ht="17.15" hidden="false" customHeight="false" outlineLevel="0" collapsed="false">
      <c r="A287" s="5" t="s">
        <v>21</v>
      </c>
      <c r="B287" s="5" t="s">
        <v>22</v>
      </c>
      <c r="C287" s="11" t="s">
        <v>350</v>
      </c>
      <c r="D287" s="11" t="s">
        <v>439</v>
      </c>
      <c r="E287" s="11" t="s">
        <v>440</v>
      </c>
      <c r="F287" s="11" t="s">
        <v>441</v>
      </c>
      <c r="G287" s="11" t="s">
        <v>442</v>
      </c>
      <c r="H287" s="5" t="s">
        <v>415</v>
      </c>
    </row>
    <row r="288" customFormat="false" ht="17.15" hidden="false" customHeight="false" outlineLevel="0" collapsed="false">
      <c r="A288" s="6" t="s">
        <v>458</v>
      </c>
    </row>
    <row r="289" customFormat="false" ht="17.15" hidden="false" customHeight="false" outlineLevel="0" collapsed="false">
      <c r="A289" s="0" t="s">
        <v>459</v>
      </c>
      <c r="B289" s="0" t="s">
        <v>32</v>
      </c>
      <c r="D289" s="20" t="n">
        <f aca="false">itc_26*1</f>
        <v>781.872916666666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460</v>
      </c>
      <c r="B290" s="0" t="s">
        <v>32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461</v>
      </c>
      <c r="B291" s="0" t="s">
        <v>417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462</v>
      </c>
      <c r="B292" s="0" t="s">
        <v>52</v>
      </c>
      <c r="D292" s="14" t="n">
        <f aca="false">lpenA_26</f>
        <v>0.55</v>
      </c>
      <c r="E292" s="14" t="n">
        <f aca="false">lpenA_27</f>
        <v>0.85</v>
      </c>
      <c r="F292" s="14" t="n">
        <f aca="false">lpenA_28</f>
        <v>0.95</v>
      </c>
      <c r="G292" s="14" t="n">
        <f aca="false">lpenA_29</f>
        <v>0.95</v>
      </c>
    </row>
    <row r="293" customFormat="false" ht="17.15" hidden="false" customHeight="false" outlineLevel="0" collapsed="false">
      <c r="A293" s="4" t="s">
        <v>463</v>
      </c>
      <c r="B293" s="0" t="s">
        <v>422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464</v>
      </c>
    </row>
    <row r="294" customFormat="false" ht="17.15" hidden="false" customHeight="false" outlineLevel="0" collapsed="false">
      <c r="A294" s="0" t="s">
        <v>465</v>
      </c>
      <c r="B294" s="0" t="s">
        <v>32</v>
      </c>
      <c r="D294" s="20" t="n">
        <f aca="false">D291*D292*D293/1000</f>
        <v>4.51368758595869</v>
      </c>
      <c r="E294" s="20" t="n">
        <f aca="false">E291*E292*E293/1000</f>
        <v>11.5612471431652</v>
      </c>
      <c r="F294" s="20" t="n">
        <f aca="false">F291*F292*F293/1000</f>
        <v>17.6393273261943</v>
      </c>
      <c r="G294" s="20" t="n">
        <f aca="false">G291*G292*G293/1000</f>
        <v>20.0939825685161</v>
      </c>
    </row>
    <row r="295" customFormat="false" ht="17.15" hidden="false" customHeight="false" outlineLevel="0" collapsed="false">
      <c r="A295" s="0" t="s">
        <v>466</v>
      </c>
      <c r="B295" s="0" t="s">
        <v>192</v>
      </c>
      <c r="D295" s="19" t="n">
        <f aca="false">D294*fx</f>
        <v>144.438002750678</v>
      </c>
      <c r="E295" s="19" t="n">
        <f aca="false">E294*fx</f>
        <v>369.959908581285</v>
      </c>
      <c r="F295" s="19" t="n">
        <f aca="false">F294*fx</f>
        <v>564.458474438216</v>
      </c>
      <c r="G295" s="19" t="n">
        <f aca="false">G294*fx</f>
        <v>643.007442192516</v>
      </c>
    </row>
    <row r="296" customFormat="false" ht="17.15" hidden="false" customHeight="false" outlineLevel="0" collapsed="false">
      <c r="A296" s="4" t="s">
        <v>467</v>
      </c>
      <c r="B296" s="0" t="s">
        <v>52</v>
      </c>
      <c r="D296" s="14" t="n">
        <f aca="false">a26_lc/D295</f>
        <v>0.498927641116677</v>
      </c>
      <c r="H296" s="8" t="s">
        <v>468</v>
      </c>
    </row>
    <row r="297" customFormat="false" ht="17.15" hidden="false" customHeight="false" outlineLevel="0" collapsed="false">
      <c r="A297" s="4" t="s">
        <v>469</v>
      </c>
      <c r="B297" s="0" t="s">
        <v>73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429</v>
      </c>
      <c r="B298" s="0" t="s">
        <v>52</v>
      </c>
      <c r="D298" s="14" t="n">
        <f aca="false">$D$296*D297</f>
        <v>0.498927641116677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0.424088494949176</v>
      </c>
    </row>
    <row r="299" customFormat="false" ht="15" hidden="false" customHeight="false" outlineLevel="0" collapsed="false">
      <c r="A299" s="4" t="s">
        <v>470</v>
      </c>
      <c r="B299" s="0" t="s">
        <v>192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175.354063271392</v>
      </c>
      <c r="F299" s="19" t="n">
        <f aca="false">F295*F298</f>
        <v>253.4615416438</v>
      </c>
      <c r="G299" s="19" t="n">
        <f aca="false">G295*G298</f>
        <v>272.692058400543</v>
      </c>
    </row>
    <row r="300" customFormat="false" ht="17.15" hidden="false" customHeight="false" outlineLevel="0" collapsed="false">
      <c r="A300" s="6" t="s">
        <v>471</v>
      </c>
    </row>
    <row r="301" customFormat="false" ht="17.15" hidden="false" customHeight="false" outlineLevel="0" collapsed="false">
      <c r="A301" s="0" t="s">
        <v>472</v>
      </c>
      <c r="B301" s="0" t="s">
        <v>473</v>
      </c>
      <c r="D301" s="22" t="n">
        <f aca="false">a26_air/D291</f>
        <v>2.0210686815691</v>
      </c>
    </row>
    <row r="302" customFormat="false" ht="17.15" hidden="false" customHeight="false" outlineLevel="0" collapsed="false">
      <c r="A302" s="0" t="s">
        <v>474</v>
      </c>
      <c r="B302" s="0" t="s">
        <v>73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475</v>
      </c>
      <c r="B303" s="0" t="s">
        <v>192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50.5025844598197</v>
      </c>
      <c r="F303" s="19" t="n">
        <f aca="false">F291*$D$301*F302</f>
        <v>48.0134417091296</v>
      </c>
      <c r="G303" s="19" t="n">
        <f aca="false">G291*$D$301*G302</f>
        <v>48.6176897246101</v>
      </c>
    </row>
    <row r="304" customFormat="false" ht="15" hidden="false" customHeight="false" outlineLevel="0" collapsed="false">
      <c r="A304" s="4" t="s">
        <v>476</v>
      </c>
      <c r="B304" s="0" t="s">
        <v>192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477</v>
      </c>
      <c r="B305" s="0" t="s">
        <v>192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356</v>
      </c>
      <c r="B306" s="0" t="s">
        <v>192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338.682023081212</v>
      </c>
      <c r="F306" s="19" t="n">
        <f aca="false">F299+F303+F304+F305</f>
        <v>420.282130399629</v>
      </c>
      <c r="G306" s="19" t="n">
        <f aca="false">G299+G303+G304+G305</f>
        <v>445.230114158673</v>
      </c>
    </row>
    <row r="307" customFormat="false" ht="15" hidden="false" customHeight="false" outlineLevel="0" collapsed="false">
      <c r="A307" s="4" t="s">
        <v>478</v>
      </c>
      <c r="B307" s="0" t="s">
        <v>52</v>
      </c>
      <c r="D307" s="14" t="n">
        <f aca="false">D306/C306-1</f>
        <v>0.612732474451979</v>
      </c>
      <c r="E307" s="14" t="n">
        <f aca="false">E306/D306-1</f>
        <v>0.503914283797568</v>
      </c>
      <c r="F307" s="14" t="n">
        <f aca="false">F306/E306-1</f>
        <v>0.240934273912882</v>
      </c>
      <c r="G307" s="14" t="n">
        <f aca="false">G306/F306-1</f>
        <v>0.0593600868429076</v>
      </c>
    </row>
    <row r="308" customFormat="false" ht="17.15" hidden="false" customHeight="false" outlineLevel="0" collapsed="false">
      <c r="A308" s="4" t="s">
        <v>479</v>
      </c>
      <c r="B308" s="0" t="s">
        <v>52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0.517754268963205</v>
      </c>
      <c r="F308" s="14" t="n">
        <f aca="false">F299/F306</f>
        <v>0.603074752197514</v>
      </c>
      <c r="G308" s="14" t="n">
        <f aca="false">G299/G306</f>
        <v>0.612474425535735</v>
      </c>
    </row>
    <row r="309" customFormat="false" ht="17.15" hidden="false" customHeight="false" outlineLevel="0" collapsed="false">
      <c r="A309" s="0" t="s">
        <v>480</v>
      </c>
      <c r="B309" s="0" t="s">
        <v>52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0.666869312036246</v>
      </c>
      <c r="F309" s="14" t="n">
        <f aca="false">(F299+F303)/F306</f>
        <v>0.71731573042677</v>
      </c>
      <c r="G309" s="14" t="n">
        <f aca="false">(G299+G303)/G306</f>
        <v>0.72167119407975</v>
      </c>
    </row>
    <row r="310" customFormat="false" ht="17.15" hidden="false" customHeight="false" outlineLevel="0" collapsed="false">
      <c r="A310" s="4" t="s">
        <v>434</v>
      </c>
      <c r="B310" s="0" t="s">
        <v>422</v>
      </c>
      <c r="D310" s="18" t="n">
        <f aca="false">(D299+D303)/fx/D291*1000</f>
        <v>159.399762088039</v>
      </c>
      <c r="E310" s="18" t="n">
        <f aca="false">(E299+E303)/fx/E291*1000</f>
        <v>169.473429727483</v>
      </c>
      <c r="F310" s="18" t="n">
        <f aca="false">(F299+F303)/fx/F291*1000</f>
        <v>178.456367795705</v>
      </c>
      <c r="G310" s="18" t="n">
        <f aca="false">(G299+G303)/fx/G291*1000</f>
        <v>166.963165232912</v>
      </c>
    </row>
    <row r="311" customFormat="false" ht="17.15" hidden="false" customHeight="false" outlineLevel="0" collapsed="false">
      <c r="A311" s="6" t="s">
        <v>481</v>
      </c>
    </row>
    <row r="312" customFormat="false" ht="17.15" hidden="false" customHeight="false" outlineLevel="0" collapsed="false">
      <c r="A312" s="4" t="s">
        <v>482</v>
      </c>
      <c r="B312" s="0" t="s">
        <v>52</v>
      </c>
      <c r="D312" s="14" t="n">
        <f aca="false">a26_gp/D306-d_lc*D308</f>
        <v>0.302821503074929</v>
      </c>
      <c r="H312" s="8" t="s">
        <v>483</v>
      </c>
    </row>
    <row r="313" customFormat="false" ht="15" hidden="false" customHeight="false" outlineLevel="0" collapsed="false">
      <c r="A313" s="4" t="s">
        <v>360</v>
      </c>
      <c r="B313" s="0" t="s">
        <v>192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113.081443090194</v>
      </c>
      <c r="F313" s="19" t="n">
        <f aca="false">$D$312*F306+d_lc*F299</f>
        <v>142.478158941777</v>
      </c>
      <c r="G313" s="19" t="n">
        <f aca="false">$D$312*G306+d_lc*G299</f>
        <v>151.186775887784</v>
      </c>
    </row>
    <row r="314" customFormat="false" ht="15" hidden="false" customHeight="false" outlineLevel="0" collapsed="false">
      <c r="A314" s="4" t="s">
        <v>363</v>
      </c>
      <c r="B314" s="0" t="s">
        <v>52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0.333886759212721</v>
      </c>
      <c r="F314" s="14" t="n">
        <f aca="false">F313/F306</f>
        <v>0.33900598820678</v>
      </c>
      <c r="G314" s="14" t="n">
        <f aca="false">G313/G306</f>
        <v>0.339569968607073</v>
      </c>
    </row>
    <row r="315" customFormat="false" ht="15" hidden="false" customHeight="false" outlineLevel="0" collapsed="false">
      <c r="A315" s="4" t="s">
        <v>484</v>
      </c>
      <c r="B315" s="0" t="s">
        <v>192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15.8336321654216</v>
      </c>
      <c r="F315" s="19" t="n">
        <f aca="false">E315*(1+MAX(0,phi*F307))</f>
        <v>18.5040374338472</v>
      </c>
      <c r="G315" s="19" t="n">
        <f aca="false">F315*(1+MAX(0,phi*G307))</f>
        <v>19.2729183221595</v>
      </c>
    </row>
    <row r="316" customFormat="false" ht="15" hidden="false" customHeight="false" outlineLevel="0" collapsed="false">
      <c r="A316" s="4" t="s">
        <v>365</v>
      </c>
      <c r="B316" s="0" t="s">
        <v>192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15.8336321654216</v>
      </c>
      <c r="F316" s="19" t="n">
        <f aca="false">F315+0*F306</f>
        <v>18.5040374338472</v>
      </c>
      <c r="G316" s="19" t="n">
        <f aca="false">G315+0*G306</f>
        <v>19.2729183221595</v>
      </c>
    </row>
    <row r="317" customFormat="false" ht="15" hidden="false" customHeight="false" outlineLevel="0" collapsed="false">
      <c r="A317" s="4" t="s">
        <v>367</v>
      </c>
      <c r="B317" s="0" t="s">
        <v>192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97.2478109247721</v>
      </c>
      <c r="F317" s="19" t="n">
        <f aca="false">F313-F316</f>
        <v>123.97412150793</v>
      </c>
      <c r="G317" s="19" t="n">
        <f aca="false">G313-G316</f>
        <v>131.913857565625</v>
      </c>
    </row>
    <row r="318" customFormat="false" ht="15" hidden="false" customHeight="false" outlineLevel="0" collapsed="false">
      <c r="A318" s="4" t="s">
        <v>370</v>
      </c>
      <c r="B318" s="0" t="s">
        <v>52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0.287136028183738</v>
      </c>
      <c r="F318" s="14" t="n">
        <f aca="false">F317/F306</f>
        <v>0.294978331317698</v>
      </c>
      <c r="G318" s="14" t="n">
        <f aca="false">G317/G306</f>
        <v>0.2962824242356</v>
      </c>
    </row>
    <row r="319" customFormat="false" ht="15" hidden="false" customHeight="false" outlineLevel="0" collapsed="false">
      <c r="A319" s="4" t="s">
        <v>372</v>
      </c>
      <c r="B319" s="0" t="s">
        <v>192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235</v>
      </c>
      <c r="B320" s="0" t="s">
        <v>52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376</v>
      </c>
      <c r="B321" s="0" t="s">
        <v>192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66.3172723742212</v>
      </c>
      <c r="F321" s="19" t="n">
        <f aca="false">(F317+F319)*F320</f>
        <v>84.3575320178525</v>
      </c>
      <c r="G321" s="19" t="n">
        <f aca="false">(G317+G319)*G320</f>
        <v>89.7168538567966</v>
      </c>
    </row>
    <row r="322" customFormat="false" ht="15" hidden="false" customHeight="false" outlineLevel="0" collapsed="false">
      <c r="A322" s="4" t="s">
        <v>485</v>
      </c>
      <c r="B322" s="4" t="s">
        <v>218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381</v>
      </c>
      <c r="B323" s="0" t="s">
        <v>255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168.95105597139</v>
      </c>
      <c r="F323" s="20" t="n">
        <f aca="false">F321/F322</f>
        <v>214.910740495061</v>
      </c>
      <c r="G323" s="20" t="n">
        <f aca="false">G321/G322</f>
        <v>228.564243595591</v>
      </c>
    </row>
    <row r="324" customFormat="false" ht="17.15" hidden="false" customHeight="false" outlineLevel="0" collapsed="false">
      <c r="A324" s="0" t="s">
        <v>486</v>
      </c>
      <c r="B324" s="0" t="s">
        <v>52</v>
      </c>
      <c r="D324" s="14" t="n">
        <f aca="false">D323/C323-1</f>
        <v>1.15499904075659</v>
      </c>
      <c r="E324" s="14" t="n">
        <f aca="false">E323/D323-1</f>
        <v>0.594459972203889</v>
      </c>
      <c r="F324" s="14" t="n">
        <f aca="false">F323/E323-1</f>
        <v>0.272029578385433</v>
      </c>
      <c r="G324" s="14" t="n">
        <f aca="false">G323/F323-1</f>
        <v>0.0635310411619192</v>
      </c>
    </row>
    <row r="327" customFormat="false" ht="17.15" hidden="false" customHeight="false" outlineLevel="0" collapsed="false">
      <c r="A327" s="1" t="s">
        <v>804</v>
      </c>
    </row>
    <row r="328" customFormat="false" ht="17.15" hidden="false" customHeight="false" outlineLevel="0" collapsed="false">
      <c r="A328" s="5" t="s">
        <v>21</v>
      </c>
      <c r="B328" s="5" t="s">
        <v>22</v>
      </c>
      <c r="C328" s="11" t="s">
        <v>350</v>
      </c>
      <c r="D328" s="11" t="s">
        <v>439</v>
      </c>
      <c r="E328" s="11" t="s">
        <v>440</v>
      </c>
      <c r="F328" s="11" t="s">
        <v>441</v>
      </c>
      <c r="G328" s="11" t="s">
        <v>442</v>
      </c>
      <c r="H328" s="5" t="s">
        <v>415</v>
      </c>
    </row>
    <row r="329" customFormat="false" ht="17.15" hidden="false" customHeight="false" outlineLevel="0" collapsed="false">
      <c r="A329" s="6" t="s">
        <v>458</v>
      </c>
    </row>
    <row r="330" customFormat="false" ht="17.15" hidden="false" customHeight="false" outlineLevel="0" collapsed="false">
      <c r="A330" s="0" t="s">
        <v>459</v>
      </c>
      <c r="B330" s="0" t="s">
        <v>32</v>
      </c>
      <c r="D330" s="20" t="n">
        <f aca="false">itc_26*1</f>
        <v>781.872916666666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460</v>
      </c>
      <c r="B331" s="0" t="s">
        <v>32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461</v>
      </c>
      <c r="B332" s="0" t="s">
        <v>417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462</v>
      </c>
      <c r="B333" s="0" t="s">
        <v>52</v>
      </c>
      <c r="D333" s="14" t="n">
        <f aca="false">lpenA_26</f>
        <v>0.55</v>
      </c>
      <c r="E333" s="14" t="n">
        <f aca="false">lpenA_27</f>
        <v>0.85</v>
      </c>
      <c r="F333" s="14" t="n">
        <f aca="false">lpenA_28</f>
        <v>0.95</v>
      </c>
      <c r="G333" s="14" t="n">
        <f aca="false">lpenA_29</f>
        <v>0.95</v>
      </c>
    </row>
    <row r="334" customFormat="false" ht="17.15" hidden="false" customHeight="false" outlineLevel="0" collapsed="false">
      <c r="A334" s="4" t="s">
        <v>463</v>
      </c>
      <c r="B334" s="0" t="s">
        <v>422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464</v>
      </c>
    </row>
    <row r="335" customFormat="false" ht="17.15" hidden="false" customHeight="false" outlineLevel="0" collapsed="false">
      <c r="A335" s="0" t="s">
        <v>465</v>
      </c>
      <c r="B335" s="0" t="s">
        <v>32</v>
      </c>
      <c r="D335" s="20" t="n">
        <f aca="false">D332*D333*D334/1000</f>
        <v>4.51368758595869</v>
      </c>
      <c r="E335" s="20" t="n">
        <f aca="false">E332*E333*E334/1000</f>
        <v>11.5612471431652</v>
      </c>
      <c r="F335" s="20" t="n">
        <f aca="false">F332*F333*F334/1000</f>
        <v>17.6393273261943</v>
      </c>
      <c r="G335" s="20" t="n">
        <f aca="false">G332*G333*G334/1000</f>
        <v>20.0939825685161</v>
      </c>
    </row>
    <row r="336" customFormat="false" ht="17.15" hidden="false" customHeight="false" outlineLevel="0" collapsed="false">
      <c r="A336" s="0" t="s">
        <v>466</v>
      </c>
      <c r="B336" s="0" t="s">
        <v>192</v>
      </c>
      <c r="D336" s="19" t="n">
        <f aca="false">D335*fx</f>
        <v>144.438002750678</v>
      </c>
      <c r="E336" s="19" t="n">
        <f aca="false">E335*fx</f>
        <v>369.959908581285</v>
      </c>
      <c r="F336" s="19" t="n">
        <f aca="false">F335*fx</f>
        <v>564.458474438216</v>
      </c>
      <c r="G336" s="19" t="n">
        <f aca="false">G335*fx</f>
        <v>643.007442192516</v>
      </c>
    </row>
    <row r="337" customFormat="false" ht="17.15" hidden="false" customHeight="false" outlineLevel="0" collapsed="false">
      <c r="A337" s="4" t="s">
        <v>467</v>
      </c>
      <c r="B337" s="0" t="s">
        <v>52</v>
      </c>
      <c r="D337" s="14" t="n">
        <f aca="false">a26_lc/D336</f>
        <v>0.498927641116677</v>
      </c>
      <c r="H337" s="8" t="s">
        <v>468</v>
      </c>
    </row>
    <row r="338" customFormat="false" ht="17.15" hidden="false" customHeight="false" outlineLevel="0" collapsed="false">
      <c r="A338" s="4" t="s">
        <v>469</v>
      </c>
      <c r="B338" s="0" t="s">
        <v>73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429</v>
      </c>
      <c r="B339" s="0" t="s">
        <v>52</v>
      </c>
      <c r="D339" s="14" t="n">
        <f aca="false">$D$337*D338</f>
        <v>0.498927641116677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0.424088494949176</v>
      </c>
    </row>
    <row r="340" customFormat="false" ht="15" hidden="false" customHeight="false" outlineLevel="0" collapsed="false">
      <c r="A340" s="4" t="s">
        <v>470</v>
      </c>
      <c r="B340" s="0" t="s">
        <v>192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175.354063271392</v>
      </c>
      <c r="F340" s="19" t="n">
        <f aca="false">F336*F339</f>
        <v>253.4615416438</v>
      </c>
      <c r="G340" s="19" t="n">
        <f aca="false">G336*G339</f>
        <v>272.692058400543</v>
      </c>
    </row>
    <row r="341" customFormat="false" ht="17.15" hidden="false" customHeight="false" outlineLevel="0" collapsed="false">
      <c r="A341" s="6" t="s">
        <v>471</v>
      </c>
    </row>
    <row r="342" customFormat="false" ht="17.15" hidden="false" customHeight="false" outlineLevel="0" collapsed="false">
      <c r="A342" s="0" t="s">
        <v>472</v>
      </c>
      <c r="B342" s="0" t="s">
        <v>473</v>
      </c>
      <c r="D342" s="22" t="n">
        <f aca="false">a26_air/D332</f>
        <v>2.0210686815691</v>
      </c>
    </row>
    <row r="343" customFormat="false" ht="17.15" hidden="false" customHeight="false" outlineLevel="0" collapsed="false">
      <c r="A343" s="0" t="s">
        <v>474</v>
      </c>
      <c r="B343" s="0" t="s">
        <v>73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475</v>
      </c>
      <c r="B344" s="0" t="s">
        <v>192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75.7538766897295</v>
      </c>
      <c r="F344" s="19" t="n">
        <f aca="false">F332*$D$342*F343</f>
        <v>90.6920565616893</v>
      </c>
      <c r="G344" s="19" t="n">
        <f aca="false">G332*$D$342*G343</f>
        <v>97.2353794492202</v>
      </c>
    </row>
    <row r="345" customFormat="false" ht="15" hidden="false" customHeight="false" outlineLevel="0" collapsed="false">
      <c r="A345" s="4" t="s">
        <v>476</v>
      </c>
      <c r="B345" s="0" t="s">
        <v>192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477</v>
      </c>
      <c r="B346" s="0" t="s">
        <v>192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356</v>
      </c>
      <c r="B347" s="0" t="s">
        <v>192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363.933315311121</v>
      </c>
      <c r="F347" s="19" t="n">
        <f aca="false">F340+F344+F345+F346</f>
        <v>462.960745252189</v>
      </c>
      <c r="G347" s="19" t="n">
        <f aca="false">G340+G344+G345+G346</f>
        <v>493.847803883283</v>
      </c>
    </row>
    <row r="348" customFormat="false" ht="15" hidden="false" customHeight="false" outlineLevel="0" collapsed="false">
      <c r="A348" s="4" t="s">
        <v>478</v>
      </c>
      <c r="B348" s="0" t="s">
        <v>52</v>
      </c>
      <c r="D348" s="14" t="n">
        <f aca="false">D347/C347-1</f>
        <v>0.612732474451979</v>
      </c>
      <c r="E348" s="14" t="n">
        <f aca="false">E347/D347-1</f>
        <v>0.616042405400886</v>
      </c>
      <c r="F348" s="14" t="n">
        <f aca="false">F347/E347-1</f>
        <v>0.272103228187313</v>
      </c>
      <c r="G348" s="14" t="n">
        <f aca="false">G347/F347-1</f>
        <v>0.0667163662315893</v>
      </c>
    </row>
    <row r="349" customFormat="false" ht="17.15" hidden="false" customHeight="false" outlineLevel="0" collapsed="false">
      <c r="A349" s="4" t="s">
        <v>479</v>
      </c>
      <c r="B349" s="0" t="s">
        <v>52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0.481830203210399</v>
      </c>
      <c r="F349" s="14" t="n">
        <f aca="false">F340/F347</f>
        <v>0.54747955251742</v>
      </c>
      <c r="G349" s="14" t="n">
        <f aca="false">G340/G347</f>
        <v>0.552178335625426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0.689983382660235</v>
      </c>
      <c r="F350" s="14" t="n">
        <f aca="false">(F340+F344)/F347</f>
        <v>0.743375333081464</v>
      </c>
      <c r="G350" s="14" t="n">
        <f aca="false">(G340+G344)/G347</f>
        <v>0.749071748301613</v>
      </c>
    </row>
    <row r="351" customFormat="false" ht="17.15" hidden="false" customHeight="false" outlineLevel="0" collapsed="false">
      <c r="A351" s="4" t="s">
        <v>434</v>
      </c>
      <c r="B351" s="0" t="s">
        <v>422</v>
      </c>
      <c r="D351" s="18" t="n">
        <f aca="false">(D340+D344)/fx/D332*1000</f>
        <v>159.399762088039</v>
      </c>
      <c r="E351" s="18" t="n">
        <f aca="false">(E340+E344)/fx/E332*1000</f>
        <v>188.420948617194</v>
      </c>
      <c r="F351" s="18" t="n">
        <f aca="false">(F340+F344)/fx/F332*1000</f>
        <v>203.719726315319</v>
      </c>
      <c r="G351" s="18" t="n">
        <f aca="false">(G340+G344)/fx/G332*1000</f>
        <v>192.226523752526</v>
      </c>
    </row>
    <row r="352" customFormat="false" ht="17.15" hidden="false" customHeight="false" outlineLevel="0" collapsed="false">
      <c r="A352" s="6" t="s">
        <v>481</v>
      </c>
    </row>
    <row r="353" customFormat="false" ht="17.15" hidden="false" customHeight="false" outlineLevel="0" collapsed="false">
      <c r="A353" s="4" t="s">
        <v>482</v>
      </c>
      <c r="B353" s="0" t="s">
        <v>52</v>
      </c>
      <c r="D353" s="14" t="n">
        <f aca="false">a26_gp/D347-d_lc*D349</f>
        <v>0.302821503074929</v>
      </c>
      <c r="H353" s="8" t="s">
        <v>483</v>
      </c>
    </row>
    <row r="354" customFormat="false" ht="15" hidden="false" customHeight="false" outlineLevel="0" collapsed="false">
      <c r="A354" s="4" t="s">
        <v>360</v>
      </c>
      <c r="B354" s="0" t="s">
        <v>192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120.728077357839</v>
      </c>
      <c r="F354" s="19" t="n">
        <f aca="false">$D$353*F347+d_lc*F340</f>
        <v>155.402161240585</v>
      </c>
      <c r="G354" s="19" t="n">
        <f aca="false">$D$353*G347+d_lc*G340</f>
        <v>165.909257766221</v>
      </c>
    </row>
    <row r="355" customFormat="false" ht="15" hidden="false" customHeight="false" outlineLevel="0" collapsed="false">
      <c r="A355" s="4" t="s">
        <v>363</v>
      </c>
      <c r="B355" s="0" t="s">
        <v>52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0.331731315267553</v>
      </c>
      <c r="F355" s="14" t="n">
        <f aca="false">F354/F347</f>
        <v>0.335670276225974</v>
      </c>
      <c r="G355" s="14" t="n">
        <f aca="false">G354/G347</f>
        <v>0.335952203212454</v>
      </c>
    </row>
    <row r="356" customFormat="false" ht="15" hidden="false" customHeight="false" outlineLevel="0" collapsed="false">
      <c r="A356" s="4" t="s">
        <v>484</v>
      </c>
      <c r="B356" s="0" t="s">
        <v>192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16.7523429333735</v>
      </c>
      <c r="F356" s="19" t="n">
        <f aca="false">E356*(1+MAX(0,phi*F348))</f>
        <v>19.9431995476838</v>
      </c>
      <c r="G356" s="19" t="n">
        <f aca="false">F356*(1+MAX(0,phi*G348))</f>
        <v>20.8745760110808</v>
      </c>
    </row>
    <row r="357" customFormat="false" ht="15" hidden="false" customHeight="false" outlineLevel="0" collapsed="false">
      <c r="A357" s="4" t="s">
        <v>365</v>
      </c>
      <c r="B357" s="0" t="s">
        <v>192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16.7523429333735</v>
      </c>
      <c r="F357" s="19" t="n">
        <f aca="false">F356+0*F347</f>
        <v>19.9431995476838</v>
      </c>
      <c r="G357" s="19" t="n">
        <f aca="false">G356+0*G347</f>
        <v>20.8745760110808</v>
      </c>
    </row>
    <row r="358" customFormat="false" ht="15" hidden="false" customHeight="false" outlineLevel="0" collapsed="false">
      <c r="A358" s="4" t="s">
        <v>367</v>
      </c>
      <c r="B358" s="0" t="s">
        <v>192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103.975734424466</v>
      </c>
      <c r="F358" s="19" t="n">
        <f aca="false">F354-F357</f>
        <v>135.458961692901</v>
      </c>
      <c r="G358" s="19" t="n">
        <f aca="false">G354-G357</f>
        <v>145.03468175514</v>
      </c>
    </row>
    <row r="359" customFormat="false" ht="15" hidden="false" customHeight="false" outlineLevel="0" collapsed="false">
      <c r="A359" s="4" t="s">
        <v>370</v>
      </c>
      <c r="B359" s="0" t="s">
        <v>52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0.285699962191091</v>
      </c>
      <c r="F359" s="14" t="n">
        <f aca="false">F358/F347</f>
        <v>0.292592758850672</v>
      </c>
      <c r="G359" s="14" t="n">
        <f aca="false">G358/G347</f>
        <v>0.293682953765687</v>
      </c>
    </row>
    <row r="360" customFormat="false" ht="15" hidden="false" customHeight="false" outlineLevel="0" collapsed="false">
      <c r="A360" s="4" t="s">
        <v>372</v>
      </c>
      <c r="B360" s="0" t="s">
        <v>192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235</v>
      </c>
      <c r="B361" s="0" t="s">
        <v>52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376</v>
      </c>
      <c r="B362" s="0" t="s">
        <v>192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70.8586207365144</v>
      </c>
      <c r="F362" s="19" t="n">
        <f aca="false">(F358+F360)*F361</f>
        <v>92.1097991427083</v>
      </c>
      <c r="G362" s="19" t="n">
        <f aca="false">(G358+G360)*G361</f>
        <v>98.5734101847197</v>
      </c>
    </row>
    <row r="363" customFormat="false" ht="15" hidden="false" customHeight="false" outlineLevel="0" collapsed="false">
      <c r="A363" s="4" t="s">
        <v>485</v>
      </c>
      <c r="B363" s="4" t="s">
        <v>218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381</v>
      </c>
      <c r="B364" s="0" t="s">
        <v>255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180.520675376329</v>
      </c>
      <c r="F364" s="20" t="n">
        <f aca="false">F362/F363</f>
        <v>234.660553327017</v>
      </c>
      <c r="G364" s="20" t="n">
        <f aca="false">G362/G363</f>
        <v>251.127363131466</v>
      </c>
    </row>
    <row r="365" customFormat="false" ht="17.15" hidden="false" customHeight="false" outlineLevel="0" collapsed="false">
      <c r="A365" s="0" t="s">
        <v>486</v>
      </c>
      <c r="B365" s="0" t="s">
        <v>52</v>
      </c>
      <c r="D365" s="14" t="n">
        <f aca="false">D364/C364-1</f>
        <v>1.15499904075659</v>
      </c>
      <c r="E365" s="14" t="n">
        <f aca="false">E364/D364-1</f>
        <v>0.703647185795095</v>
      </c>
      <c r="F365" s="14" t="n">
        <f aca="false">F364/E364-1</f>
        <v>0.299909569016532</v>
      </c>
      <c r="G365" s="14" t="n">
        <f aca="false">G364/F364-1</f>
        <v>0.0701728925930789</v>
      </c>
    </row>
    <row r="368" customFormat="false" ht="17.15" hidden="false" customHeight="false" outlineLevel="0" collapsed="false">
      <c r="A368" s="1" t="s">
        <v>805</v>
      </c>
    </row>
    <row r="369" customFormat="false" ht="17.15" hidden="false" customHeight="false" outlineLevel="0" collapsed="false">
      <c r="A369" s="5" t="s">
        <v>21</v>
      </c>
      <c r="B369" s="5" t="s">
        <v>22</v>
      </c>
      <c r="C369" s="11" t="s">
        <v>350</v>
      </c>
      <c r="D369" s="11" t="s">
        <v>439</v>
      </c>
      <c r="E369" s="11" t="s">
        <v>440</v>
      </c>
      <c r="F369" s="11" t="s">
        <v>441</v>
      </c>
      <c r="G369" s="11" t="s">
        <v>442</v>
      </c>
      <c r="H369" s="5" t="s">
        <v>415</v>
      </c>
    </row>
    <row r="370" customFormat="false" ht="17.15" hidden="false" customHeight="false" outlineLevel="0" collapsed="false">
      <c r="A370" s="6" t="s">
        <v>458</v>
      </c>
    </row>
    <row r="371" customFormat="false" ht="17.15" hidden="false" customHeight="false" outlineLevel="0" collapsed="false">
      <c r="A371" s="0" t="s">
        <v>459</v>
      </c>
      <c r="B371" s="0" t="s">
        <v>32</v>
      </c>
      <c r="D371" s="20" t="n">
        <f aca="false">itc_26*1</f>
        <v>781.872916666666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460</v>
      </c>
      <c r="B372" s="0" t="s">
        <v>32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461</v>
      </c>
      <c r="B373" s="0" t="s">
        <v>417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462</v>
      </c>
      <c r="B374" s="0" t="s">
        <v>52</v>
      </c>
      <c r="D374" s="14" t="n">
        <f aca="false">lpenA_26</f>
        <v>0.55</v>
      </c>
      <c r="E374" s="14" t="n">
        <f aca="false">lpenA_27</f>
        <v>0.85</v>
      </c>
      <c r="F374" s="14" t="n">
        <f aca="false">lpenA_28</f>
        <v>0.95</v>
      </c>
      <c r="G374" s="14" t="n">
        <f aca="false">lpenA_29</f>
        <v>0.95</v>
      </c>
    </row>
    <row r="375" customFormat="false" ht="17.15" hidden="false" customHeight="false" outlineLevel="0" collapsed="false">
      <c r="A375" s="4" t="s">
        <v>463</v>
      </c>
      <c r="B375" s="0" t="s">
        <v>422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464</v>
      </c>
    </row>
    <row r="376" customFormat="false" ht="17.15" hidden="false" customHeight="false" outlineLevel="0" collapsed="false">
      <c r="A376" s="0" t="s">
        <v>465</v>
      </c>
      <c r="B376" s="0" t="s">
        <v>32</v>
      </c>
      <c r="D376" s="20" t="n">
        <f aca="false">D373*D374*D375/1000</f>
        <v>4.51368758595869</v>
      </c>
      <c r="E376" s="20" t="n">
        <f aca="false">E373*E374*E375/1000</f>
        <v>9.24899771453213</v>
      </c>
      <c r="F376" s="20" t="n">
        <f aca="false">F373*F374*F375/1000</f>
        <v>14.1114618609554</v>
      </c>
      <c r="G376" s="20" t="n">
        <f aca="false">G373*G374*G375/1000</f>
        <v>16.0751860548129</v>
      </c>
    </row>
    <row r="377" customFormat="false" ht="17.15" hidden="false" customHeight="false" outlineLevel="0" collapsed="false">
      <c r="A377" s="0" t="s">
        <v>466</v>
      </c>
      <c r="B377" s="0" t="s">
        <v>192</v>
      </c>
      <c r="D377" s="19" t="n">
        <f aca="false">D376*fx</f>
        <v>144.438002750678</v>
      </c>
      <c r="E377" s="19" t="n">
        <f aca="false">E376*fx</f>
        <v>295.967926865028</v>
      </c>
      <c r="F377" s="19" t="n">
        <f aca="false">F376*fx</f>
        <v>451.566779550573</v>
      </c>
      <c r="G377" s="19" t="n">
        <f aca="false">G376*fx</f>
        <v>514.405953754013</v>
      </c>
    </row>
    <row r="378" customFormat="false" ht="17.15" hidden="false" customHeight="false" outlineLevel="0" collapsed="false">
      <c r="A378" s="4" t="s">
        <v>467</v>
      </c>
      <c r="B378" s="0" t="s">
        <v>52</v>
      </c>
      <c r="D378" s="14" t="n">
        <f aca="false">a26_lc/D377</f>
        <v>0.498927641116677</v>
      </c>
      <c r="H378" s="8" t="s">
        <v>468</v>
      </c>
    </row>
    <row r="379" customFormat="false" ht="17.15" hidden="false" customHeight="false" outlineLevel="0" collapsed="false">
      <c r="A379" s="4" t="s">
        <v>469</v>
      </c>
      <c r="B379" s="0" t="s">
        <v>73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429</v>
      </c>
      <c r="B380" s="0" t="s">
        <v>52</v>
      </c>
      <c r="D380" s="14" t="n">
        <f aca="false">$D$378*D379</f>
        <v>0.498927641116677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0.424088494949176</v>
      </c>
    </row>
    <row r="381" customFormat="false" ht="15" hidden="false" customHeight="false" outlineLevel="0" collapsed="false">
      <c r="A381" s="4" t="s">
        <v>470</v>
      </c>
      <c r="B381" s="0" t="s">
        <v>192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140.283250617114</v>
      </c>
      <c r="F381" s="19" t="n">
        <f aca="false">F377*F380</f>
        <v>202.76923331504</v>
      </c>
      <c r="G381" s="19" t="n">
        <f aca="false">G377*G380</f>
        <v>218.153646720435</v>
      </c>
    </row>
    <row r="382" customFormat="false" ht="17.15" hidden="false" customHeight="false" outlineLevel="0" collapsed="false">
      <c r="A382" s="6" t="s">
        <v>471</v>
      </c>
    </row>
    <row r="383" customFormat="false" ht="17.15" hidden="false" customHeight="false" outlineLevel="0" collapsed="false">
      <c r="A383" s="0" t="s">
        <v>472</v>
      </c>
      <c r="B383" s="0" t="s">
        <v>473</v>
      </c>
      <c r="D383" s="22" t="n">
        <f aca="false">a26_air/D373</f>
        <v>2.0210686815691</v>
      </c>
    </row>
    <row r="384" customFormat="false" ht="17.15" hidden="false" customHeight="false" outlineLevel="0" collapsed="false">
      <c r="A384" s="0" t="s">
        <v>474</v>
      </c>
      <c r="B384" s="0" t="s">
        <v>73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475</v>
      </c>
      <c r="B385" s="0" t="s">
        <v>192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50.5025844598197</v>
      </c>
      <c r="F385" s="19" t="n">
        <f aca="false">F373*$D$383*F384</f>
        <v>55.4821993083276</v>
      </c>
      <c r="G385" s="19" t="n">
        <f aca="false">G373*$D$383*G384</f>
        <v>58.3412276695321</v>
      </c>
    </row>
    <row r="386" customFormat="false" ht="15" hidden="false" customHeight="false" outlineLevel="0" collapsed="false">
      <c r="A386" s="4" t="s">
        <v>476</v>
      </c>
      <c r="B386" s="0" t="s">
        <v>192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477</v>
      </c>
      <c r="B387" s="0" t="s">
        <v>192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356</v>
      </c>
      <c r="B388" s="0" t="s">
        <v>192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303.611210426933</v>
      </c>
      <c r="F388" s="19" t="n">
        <f aca="false">F381+F385+F386+F387</f>
        <v>377.058579670067</v>
      </c>
      <c r="G388" s="19" t="n">
        <f aca="false">G381+G385+G386+G387</f>
        <v>400.415240423487</v>
      </c>
    </row>
    <row r="389" customFormat="false" ht="15" hidden="false" customHeight="false" outlineLevel="0" collapsed="false">
      <c r="A389" s="4" t="s">
        <v>478</v>
      </c>
      <c r="B389" s="0" t="s">
        <v>52</v>
      </c>
      <c r="D389" s="14" t="n">
        <f aca="false">D388/C388-1</f>
        <v>0.612732474451979</v>
      </c>
      <c r="E389" s="14" t="n">
        <f aca="false">E388/D388-1</f>
        <v>0.348182675679382</v>
      </c>
      <c r="F389" s="14" t="n">
        <f aca="false">F388/E388-1</f>
        <v>0.241912573451598</v>
      </c>
      <c r="G389" s="14" t="n">
        <f aca="false">G388/F388-1</f>
        <v>0.0619443821537147</v>
      </c>
    </row>
    <row r="390" customFormat="false" ht="17.15" hidden="false" customHeight="false" outlineLevel="0" collapsed="false">
      <c r="A390" s="4" t="s">
        <v>479</v>
      </c>
      <c r="B390" s="0" t="s">
        <v>52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0.462048981721885</v>
      </c>
      <c r="F390" s="14" t="n">
        <f aca="false">F381/F388</f>
        <v>0.537765865167334</v>
      </c>
      <c r="G390" s="14" t="n">
        <f aca="false">G381/G388</f>
        <v>0.544818540097803</v>
      </c>
    </row>
    <row r="391" customFormat="false" ht="17.15" hidden="false" customHeight="false" outlineLevel="0" collapsed="false">
      <c r="A391" s="0" t="s">
        <v>480</v>
      </c>
      <c r="B391" s="0" t="s">
        <v>52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0.628388638247755</v>
      </c>
      <c r="F391" s="14" t="n">
        <f aca="false">(F381+F385)/F388</f>
        <v>0.684910638684689</v>
      </c>
      <c r="G391" s="14" t="n">
        <f aca="false">(G381+G385)/G388</f>
        <v>0.690520356062223</v>
      </c>
    </row>
    <row r="392" customFormat="false" ht="17.15" hidden="false" customHeight="false" outlineLevel="0" collapsed="false">
      <c r="A392" s="4" t="s">
        <v>434</v>
      </c>
      <c r="B392" s="0" t="s">
        <v>422</v>
      </c>
      <c r="D392" s="18" t="n">
        <f aca="false">(D381+D385)/fx/D373*1000</f>
        <v>159.399762088039</v>
      </c>
      <c r="E392" s="18" t="n">
        <f aca="false">(E381+E385)/fx/E373*1000</f>
        <v>178.947189172339</v>
      </c>
      <c r="F392" s="18" t="n">
        <f aca="false">(F381+F385)/fx/F373*1000</f>
        <v>191.088047055512</v>
      </c>
      <c r="G392" s="18" t="n">
        <f aca="false">(G381+G385)/fx/G373*1000</f>
        <v>179.594844492719</v>
      </c>
    </row>
    <row r="393" customFormat="false" ht="17.15" hidden="false" customHeight="false" outlineLevel="0" collapsed="false">
      <c r="A393" s="6" t="s">
        <v>481</v>
      </c>
    </row>
    <row r="394" customFormat="false" ht="17.15" hidden="false" customHeight="false" outlineLevel="0" collapsed="false">
      <c r="A394" s="4" t="s">
        <v>482</v>
      </c>
      <c r="B394" s="0" t="s">
        <v>52</v>
      </c>
      <c r="D394" s="14" t="n">
        <f aca="false">a26_gp/D388-d_lc*D390</f>
        <v>0.302821503074929</v>
      </c>
      <c r="H394" s="8" t="s">
        <v>483</v>
      </c>
    </row>
    <row r="395" customFormat="false" ht="15" hidden="false" customHeight="false" outlineLevel="0" collapsed="false">
      <c r="A395" s="4" t="s">
        <v>360</v>
      </c>
      <c r="B395" s="0" t="s">
        <v>192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100.356998128909</v>
      </c>
      <c r="F395" s="19" t="n">
        <f aca="false">$D$394*F388+d_lc*F381</f>
        <v>126.34759984189</v>
      </c>
      <c r="G395" s="19" t="n">
        <f aca="false">$D$394*G388+d_lc*G381</f>
        <v>134.343563762375</v>
      </c>
    </row>
    <row r="396" customFormat="false" ht="15" hidden="false" customHeight="false" outlineLevel="0" collapsed="false">
      <c r="A396" s="4" t="s">
        <v>363</v>
      </c>
      <c r="B396" s="0" t="s">
        <v>52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0.330544441978242</v>
      </c>
      <c r="F396" s="14" t="n">
        <f aca="false">F395/F388</f>
        <v>0.335087454984969</v>
      </c>
      <c r="G396" s="14" t="n">
        <f aca="false">G395/G388</f>
        <v>0.335510615480797</v>
      </c>
    </row>
    <row r="397" customFormat="false" ht="15" hidden="false" customHeight="false" outlineLevel="0" collapsed="false">
      <c r="A397" s="4" t="s">
        <v>484</v>
      </c>
      <c r="B397" s="0" t="s">
        <v>192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14.557660506904</v>
      </c>
      <c r="F397" s="19" t="n">
        <f aca="false">E397*(1+MAX(0,phi*F389))</f>
        <v>17.0228372885659</v>
      </c>
      <c r="G397" s="19" t="n">
        <f aca="false">F397*(1+MAX(0,phi*G389))</f>
        <v>17.7609656854063</v>
      </c>
    </row>
    <row r="398" customFormat="false" ht="15" hidden="false" customHeight="false" outlineLevel="0" collapsed="false">
      <c r="A398" s="4" t="s">
        <v>365</v>
      </c>
      <c r="B398" s="0" t="s">
        <v>192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14.557660506904</v>
      </c>
      <c r="F398" s="19" t="n">
        <f aca="false">F397+0*F388</f>
        <v>17.0228372885659</v>
      </c>
      <c r="G398" s="19" t="n">
        <f aca="false">G397+0*G388</f>
        <v>17.7609656854063</v>
      </c>
    </row>
    <row r="399" customFormat="false" ht="15" hidden="false" customHeight="false" outlineLevel="0" collapsed="false">
      <c r="A399" s="4" t="s">
        <v>367</v>
      </c>
      <c r="B399" s="0" t="s">
        <v>192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85.7993376220052</v>
      </c>
      <c r="F399" s="19" t="n">
        <f aca="false">F395-F398</f>
        <v>109.324762553324</v>
      </c>
      <c r="G399" s="19" t="n">
        <f aca="false">G395-G398</f>
        <v>116.582598076969</v>
      </c>
    </row>
    <row r="400" customFormat="false" ht="15" hidden="false" customHeight="false" outlineLevel="0" collapsed="false">
      <c r="A400" s="4" t="s">
        <v>370</v>
      </c>
      <c r="B400" s="0" t="s">
        <v>52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0.282596079049109</v>
      </c>
      <c r="F400" s="14" t="n">
        <f aca="false">F399/F388</f>
        <v>0.289941055442857</v>
      </c>
      <c r="G400" s="14" t="n">
        <f aca="false">G399/G388</f>
        <v>0.291154247659677</v>
      </c>
    </row>
    <row r="401" customFormat="false" ht="15" hidden="false" customHeight="false" outlineLevel="0" collapsed="false">
      <c r="A401" s="4" t="s">
        <v>372</v>
      </c>
      <c r="B401" s="0" t="s">
        <v>192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235</v>
      </c>
      <c r="B402" s="0" t="s">
        <v>52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376</v>
      </c>
      <c r="B403" s="0" t="s">
        <v>192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58.5895528948535</v>
      </c>
      <c r="F403" s="19" t="n">
        <f aca="false">(F399+F401)*F402</f>
        <v>74.4692147234937</v>
      </c>
      <c r="G403" s="19" t="n">
        <f aca="false">(G399+G401)*G402</f>
        <v>79.3682537019541</v>
      </c>
    </row>
    <row r="404" customFormat="false" ht="15" hidden="false" customHeight="false" outlineLevel="0" collapsed="false">
      <c r="A404" s="4" t="s">
        <v>485</v>
      </c>
      <c r="B404" s="4" t="s">
        <v>218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381</v>
      </c>
      <c r="B405" s="0" t="s">
        <v>255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149.263781155224</v>
      </c>
      <c r="F405" s="20" t="n">
        <f aca="false">F403/F404</f>
        <v>189.719088473626</v>
      </c>
      <c r="G405" s="20" t="n">
        <f aca="false">G403/G404</f>
        <v>202.19996681834</v>
      </c>
    </row>
    <row r="406" customFormat="false" ht="17.15" hidden="false" customHeight="false" outlineLevel="0" collapsed="false">
      <c r="A406" s="0" t="s">
        <v>486</v>
      </c>
      <c r="B406" s="0" t="s">
        <v>52</v>
      </c>
      <c r="D406" s="14" t="n">
        <f aca="false">D405/C405-1</f>
        <v>1.15499904075659</v>
      </c>
      <c r="E406" s="14" t="n">
        <f aca="false">E405/D405-1</f>
        <v>0.408663136098463</v>
      </c>
      <c r="F406" s="14" t="n">
        <f aca="false">F405/E405-1</f>
        <v>0.271032309414245</v>
      </c>
      <c r="G406" s="14" t="n">
        <f aca="false">G405/F405-1</f>
        <v>0.0657860969348294</v>
      </c>
    </row>
    <row r="409" customFormat="false" ht="17.15" hidden="false" customHeight="false" outlineLevel="0" collapsed="false">
      <c r="A409" s="1" t="s">
        <v>806</v>
      </c>
    </row>
    <row r="410" customFormat="false" ht="17.15" hidden="false" customHeight="false" outlineLevel="0" collapsed="false">
      <c r="A410" s="5" t="s">
        <v>21</v>
      </c>
      <c r="B410" s="5" t="s">
        <v>22</v>
      </c>
      <c r="C410" s="11" t="s">
        <v>350</v>
      </c>
      <c r="D410" s="11" t="s">
        <v>439</v>
      </c>
      <c r="E410" s="11" t="s">
        <v>440</v>
      </c>
      <c r="F410" s="11" t="s">
        <v>441</v>
      </c>
      <c r="G410" s="11" t="s">
        <v>442</v>
      </c>
      <c r="H410" s="5" t="s">
        <v>415</v>
      </c>
    </row>
    <row r="411" customFormat="false" ht="17.15" hidden="false" customHeight="false" outlineLevel="0" collapsed="false">
      <c r="A411" s="6" t="s">
        <v>458</v>
      </c>
    </row>
    <row r="412" customFormat="false" ht="17.15" hidden="false" customHeight="false" outlineLevel="0" collapsed="false">
      <c r="A412" s="0" t="s">
        <v>459</v>
      </c>
      <c r="B412" s="0" t="s">
        <v>32</v>
      </c>
      <c r="D412" s="20" t="n">
        <f aca="false">itc_26*1</f>
        <v>781.872916666666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460</v>
      </c>
      <c r="B413" s="0" t="s">
        <v>32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461</v>
      </c>
      <c r="B414" s="0" t="s">
        <v>417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462</v>
      </c>
      <c r="B415" s="0" t="s">
        <v>52</v>
      </c>
      <c r="D415" s="14" t="n">
        <f aca="false">lpenA_26</f>
        <v>0.55</v>
      </c>
      <c r="E415" s="14" t="n">
        <f aca="false">lpenA_27</f>
        <v>0.85</v>
      </c>
      <c r="F415" s="14" t="n">
        <f aca="false">lpenA_28</f>
        <v>0.95</v>
      </c>
      <c r="G415" s="14" t="n">
        <f aca="false">lpenA_29</f>
        <v>0.95</v>
      </c>
    </row>
    <row r="416" customFormat="false" ht="17.15" hidden="false" customHeight="false" outlineLevel="0" collapsed="false">
      <c r="A416" s="4" t="s">
        <v>463</v>
      </c>
      <c r="B416" s="0" t="s">
        <v>422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464</v>
      </c>
    </row>
    <row r="417" customFormat="false" ht="17.15" hidden="false" customHeight="false" outlineLevel="0" collapsed="false">
      <c r="A417" s="0" t="s">
        <v>465</v>
      </c>
      <c r="B417" s="0" t="s">
        <v>32</v>
      </c>
      <c r="D417" s="20" t="n">
        <f aca="false">D414*D415*D416/1000</f>
        <v>4.51368758595869</v>
      </c>
      <c r="E417" s="20" t="n">
        <f aca="false">E414*E415*E416/1000</f>
        <v>13.8734965717982</v>
      </c>
      <c r="F417" s="20" t="n">
        <f aca="false">F414*F415*F416/1000</f>
        <v>21.1671927914331</v>
      </c>
      <c r="G417" s="20" t="n">
        <f aca="false">G414*G415*G416/1000</f>
        <v>24.1127790822194</v>
      </c>
    </row>
    <row r="418" customFormat="false" ht="17.15" hidden="false" customHeight="false" outlineLevel="0" collapsed="false">
      <c r="A418" s="0" t="s">
        <v>466</v>
      </c>
      <c r="B418" s="0" t="s">
        <v>192</v>
      </c>
      <c r="D418" s="19" t="n">
        <f aca="false">D417*fx</f>
        <v>144.438002750678</v>
      </c>
      <c r="E418" s="19" t="n">
        <f aca="false">E417*fx</f>
        <v>443.951890297542</v>
      </c>
      <c r="F418" s="19" t="n">
        <f aca="false">F417*fx</f>
        <v>677.350169325859</v>
      </c>
      <c r="G418" s="19" t="n">
        <f aca="false">G417*fx</f>
        <v>771.60893063102</v>
      </c>
    </row>
    <row r="419" customFormat="false" ht="17.15" hidden="false" customHeight="false" outlineLevel="0" collapsed="false">
      <c r="A419" s="4" t="s">
        <v>467</v>
      </c>
      <c r="B419" s="0" t="s">
        <v>52</v>
      </c>
      <c r="D419" s="14" t="n">
        <f aca="false">a26_lc/D418</f>
        <v>0.498927641116677</v>
      </c>
      <c r="H419" s="8" t="s">
        <v>468</v>
      </c>
    </row>
    <row r="420" customFormat="false" ht="17.15" hidden="false" customHeight="false" outlineLevel="0" collapsed="false">
      <c r="A420" s="4" t="s">
        <v>469</v>
      </c>
      <c r="B420" s="0" t="s">
        <v>73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429</v>
      </c>
      <c r="B421" s="0" t="s">
        <v>52</v>
      </c>
      <c r="D421" s="14" t="n">
        <f aca="false">$D$419*D420</f>
        <v>0.498927641116677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0.424088494949176</v>
      </c>
    </row>
    <row r="422" customFormat="false" ht="15" hidden="false" customHeight="false" outlineLevel="0" collapsed="false">
      <c r="A422" s="4" t="s">
        <v>470</v>
      </c>
      <c r="B422" s="0" t="s">
        <v>192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210.42487592567</v>
      </c>
      <c r="F422" s="19" t="n">
        <f aca="false">F418*F421</f>
        <v>304.15384997256</v>
      </c>
      <c r="G422" s="19" t="n">
        <f aca="false">G418*G421</f>
        <v>327.230470080652</v>
      </c>
    </row>
    <row r="423" customFormat="false" ht="17.15" hidden="false" customHeight="false" outlineLevel="0" collapsed="false">
      <c r="A423" s="6" t="s">
        <v>471</v>
      </c>
    </row>
    <row r="424" customFormat="false" ht="17.15" hidden="false" customHeight="false" outlineLevel="0" collapsed="false">
      <c r="A424" s="0" t="s">
        <v>472</v>
      </c>
      <c r="B424" s="0" t="s">
        <v>473</v>
      </c>
      <c r="D424" s="22" t="n">
        <f aca="false">a26_air/D414</f>
        <v>2.0210686815691</v>
      </c>
    </row>
    <row r="425" customFormat="false" ht="17.15" hidden="false" customHeight="false" outlineLevel="0" collapsed="false">
      <c r="A425" s="0" t="s">
        <v>474</v>
      </c>
      <c r="B425" s="0" t="s">
        <v>73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475</v>
      </c>
      <c r="B426" s="0" t="s">
        <v>192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75.7538766897295</v>
      </c>
      <c r="F426" s="19" t="n">
        <f aca="false">F414*$D$424*F425</f>
        <v>83.2232989624913</v>
      </c>
      <c r="G426" s="19" t="n">
        <f aca="false">G414*$D$424*G425</f>
        <v>87.5118415042981</v>
      </c>
    </row>
    <row r="427" customFormat="false" ht="15" hidden="false" customHeight="false" outlineLevel="0" collapsed="false">
      <c r="A427" s="4" t="s">
        <v>476</v>
      </c>
      <c r="B427" s="0" t="s">
        <v>192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477</v>
      </c>
      <c r="B428" s="0" t="s">
        <v>192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356</v>
      </c>
      <c r="B429" s="0" t="s">
        <v>192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399.0041279654</v>
      </c>
      <c r="F429" s="19" t="n">
        <f aca="false">F422+F426+F427+F428</f>
        <v>506.184295981751</v>
      </c>
      <c r="G429" s="19" t="n">
        <f aca="false">G422+G426+G427+G428</f>
        <v>538.66267761847</v>
      </c>
    </row>
    <row r="430" customFormat="false" ht="15" hidden="false" customHeight="false" outlineLevel="0" collapsed="false">
      <c r="A430" s="4" t="s">
        <v>478</v>
      </c>
      <c r="B430" s="0" t="s">
        <v>52</v>
      </c>
      <c r="D430" s="14" t="n">
        <f aca="false">D429/C429-1</f>
        <v>0.612732474451979</v>
      </c>
      <c r="E430" s="14" t="n">
        <f aca="false">E429/D429-1</f>
        <v>0.771774013519073</v>
      </c>
      <c r="F430" s="14" t="n">
        <f aca="false">F429/E429-1</f>
        <v>0.268619195903771</v>
      </c>
      <c r="G430" s="14" t="n">
        <f aca="false">G429/F429-1</f>
        <v>0.0641631553853859</v>
      </c>
    </row>
    <row r="431" customFormat="false" ht="17.15" hidden="false" customHeight="false" outlineLevel="0" collapsed="false">
      <c r="A431" s="4" t="s">
        <v>479</v>
      </c>
      <c r="B431" s="0" t="s">
        <v>52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0.52737518531116</v>
      </c>
      <c r="F431" s="14" t="n">
        <f aca="false">F422/F429</f>
        <v>0.600875713424987</v>
      </c>
      <c r="G431" s="14" t="n">
        <f aca="false">G422/G429</f>
        <v>0.60748680700768</v>
      </c>
    </row>
    <row r="432" customFormat="false" ht="17.15" hidden="false" customHeight="false" outlineLevel="0" collapsed="false">
      <c r="A432" s="0" t="s">
        <v>480</v>
      </c>
      <c r="B432" s="0" t="s">
        <v>52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0.717232561163418</v>
      </c>
      <c r="F432" s="14" t="n">
        <f aca="false">(F422+F426)/F429</f>
        <v>0.765288753543268</v>
      </c>
      <c r="G432" s="14" t="n">
        <f aca="false">(G422+G426)/G429</f>
        <v>0.76994811190299</v>
      </c>
    </row>
    <row r="433" customFormat="false" ht="17.15" hidden="false" customHeight="false" outlineLevel="0" collapsed="false">
      <c r="A433" s="4" t="s">
        <v>434</v>
      </c>
      <c r="B433" s="0" t="s">
        <v>422</v>
      </c>
      <c r="D433" s="18" t="n">
        <f aca="false">(D422+D426)/fx/D414*1000</f>
        <v>159.399762088039</v>
      </c>
      <c r="E433" s="18" t="n">
        <f aca="false">(E422+E426)/fx/E414*1000</f>
        <v>178.947189172339</v>
      </c>
      <c r="F433" s="18" t="n">
        <f aca="false">(F422+F426)/fx/F414*1000</f>
        <v>191.088047055512</v>
      </c>
      <c r="G433" s="18" t="n">
        <f aca="false">(G422+G426)/fx/G414*1000</f>
        <v>179.594844492719</v>
      </c>
    </row>
    <row r="434" customFormat="false" ht="17.15" hidden="false" customHeight="false" outlineLevel="0" collapsed="false">
      <c r="A434" s="6" t="s">
        <v>481</v>
      </c>
    </row>
    <row r="435" customFormat="false" ht="17.15" hidden="false" customHeight="false" outlineLevel="0" collapsed="false">
      <c r="A435" s="4" t="s">
        <v>482</v>
      </c>
      <c r="B435" s="0" t="s">
        <v>52</v>
      </c>
      <c r="D435" s="14" t="n">
        <f aca="false">a26_gp/D429-d_lc*D431</f>
        <v>0.302821503074929</v>
      </c>
      <c r="H435" s="8" t="s">
        <v>483</v>
      </c>
    </row>
    <row r="436" customFormat="false" ht="15" hidden="false" customHeight="false" outlineLevel="0" collapsed="false">
      <c r="A436" s="4" t="s">
        <v>360</v>
      </c>
      <c r="B436" s="0" t="s">
        <v>192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133.452522319124</v>
      </c>
      <c r="F436" s="19" t="n">
        <f aca="false">$D$435*F429+d_lc*F422</f>
        <v>171.532720340472</v>
      </c>
      <c r="G436" s="19" t="n">
        <f aca="false">$D$435*G429+d_lc*G422</f>
        <v>182.75246989163</v>
      </c>
    </row>
    <row r="437" customFormat="false" ht="15" hidden="false" customHeight="false" outlineLevel="0" collapsed="false">
      <c r="A437" s="4" t="s">
        <v>363</v>
      </c>
      <c r="B437" s="0" t="s">
        <v>52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0.334464014193598</v>
      </c>
      <c r="F437" s="14" t="n">
        <f aca="false">F436/F429</f>
        <v>0.338874045880428</v>
      </c>
      <c r="G437" s="14" t="n">
        <f aca="false">G436/G429</f>
        <v>0.33927071149539</v>
      </c>
    </row>
    <row r="438" customFormat="false" ht="15" hidden="false" customHeight="false" outlineLevel="0" collapsed="false">
      <c r="A438" s="4" t="s">
        <v>484</v>
      </c>
      <c r="B438" s="0" t="s">
        <v>192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18.028314591891</v>
      </c>
      <c r="F438" s="19" t="n">
        <f aca="false">E438*(1+MAX(0,phi*F430))</f>
        <v>21.4182405503128</v>
      </c>
      <c r="G438" s="19" t="n">
        <f aca="false">F438*(1+MAX(0,phi*G430))</f>
        <v>22.3802238778707</v>
      </c>
    </row>
    <row r="439" customFormat="false" ht="15" hidden="false" customHeight="false" outlineLevel="0" collapsed="false">
      <c r="A439" s="4" t="s">
        <v>365</v>
      </c>
      <c r="B439" s="0" t="s">
        <v>192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18.028314591891</v>
      </c>
      <c r="F439" s="19" t="n">
        <f aca="false">F438+0*F429</f>
        <v>21.4182405503128</v>
      </c>
      <c r="G439" s="19" t="n">
        <f aca="false">G438+0*G429</f>
        <v>22.3802238778707</v>
      </c>
    </row>
    <row r="440" customFormat="false" ht="15" hidden="false" customHeight="false" outlineLevel="0" collapsed="false">
      <c r="A440" s="4" t="s">
        <v>367</v>
      </c>
      <c r="B440" s="0" t="s">
        <v>192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115.424207727233</v>
      </c>
      <c r="F440" s="19" t="n">
        <f aca="false">F436-F439</f>
        <v>150.114479790159</v>
      </c>
      <c r="G440" s="19" t="n">
        <f aca="false">G436-G439</f>
        <v>160.372246013759</v>
      </c>
    </row>
    <row r="441" customFormat="false" ht="15" hidden="false" customHeight="false" outlineLevel="0" collapsed="false">
      <c r="A441" s="4" t="s">
        <v>370</v>
      </c>
      <c r="B441" s="0" t="s">
        <v>52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0.289280735805425</v>
      </c>
      <c r="F441" s="14" t="n">
        <f aca="false">F440/F429</f>
        <v>0.296560918586007</v>
      </c>
      <c r="G441" s="14" t="n">
        <f aca="false">G440/G429</f>
        <v>0.297722958499363</v>
      </c>
    </row>
    <row r="442" customFormat="false" ht="15" hidden="false" customHeight="false" outlineLevel="0" collapsed="false">
      <c r="A442" s="4" t="s">
        <v>372</v>
      </c>
      <c r="B442" s="0" t="s">
        <v>192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235</v>
      </c>
      <c r="B443" s="0" t="s">
        <v>52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376</v>
      </c>
      <c r="B444" s="0" t="s">
        <v>192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78.5863402158821</v>
      </c>
      <c r="F444" s="19" t="n">
        <f aca="false">(F440+F442)*F443</f>
        <v>102.002273858357</v>
      </c>
      <c r="G444" s="19" t="n">
        <f aca="false">(G440+G442)*G443</f>
        <v>108.926266059288</v>
      </c>
    </row>
    <row r="445" customFormat="false" ht="15" hidden="false" customHeight="false" outlineLevel="0" collapsed="false">
      <c r="A445" s="4" t="s">
        <v>485</v>
      </c>
      <c r="B445" s="4" t="s">
        <v>218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381</v>
      </c>
      <c r="B446" s="0" t="s">
        <v>255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200.207950192495</v>
      </c>
      <c r="F446" s="20" t="n">
        <f aca="false">F444/F445</f>
        <v>259.862796868457</v>
      </c>
      <c r="G446" s="20" t="n">
        <f aca="false">G444/G445</f>
        <v>277.502481855555</v>
      </c>
    </row>
    <row r="447" customFormat="false" ht="17.15" hidden="false" customHeight="false" outlineLevel="0" collapsed="false">
      <c r="A447" s="0" t="s">
        <v>486</v>
      </c>
      <c r="B447" s="0" t="s">
        <v>52</v>
      </c>
      <c r="D447" s="14" t="n">
        <f aca="false">D446/C446-1</f>
        <v>1.15499904075659</v>
      </c>
      <c r="E447" s="14" t="n">
        <f aca="false">E446/D446-1</f>
        <v>0.88944402190052</v>
      </c>
      <c r="F447" s="14" t="n">
        <f aca="false">F446/E446-1</f>
        <v>0.297964424582569</v>
      </c>
      <c r="G447" s="14" t="n">
        <f aca="false">G446/F446-1</f>
        <v>0.067880763232248</v>
      </c>
    </row>
    <row r="450" customFormat="false" ht="17.15" hidden="false" customHeight="false" outlineLevel="0" collapsed="false">
      <c r="A450" s="1" t="s">
        <v>807</v>
      </c>
    </row>
    <row r="451" customFormat="false" ht="17.15" hidden="false" customHeight="false" outlineLevel="0" collapsed="false">
      <c r="A451" s="5" t="s">
        <v>21</v>
      </c>
      <c r="B451" s="5" t="s">
        <v>22</v>
      </c>
      <c r="C451" s="11" t="s">
        <v>350</v>
      </c>
      <c r="D451" s="11" t="s">
        <v>439</v>
      </c>
      <c r="E451" s="11" t="s">
        <v>440</v>
      </c>
      <c r="F451" s="11" t="s">
        <v>441</v>
      </c>
      <c r="G451" s="11" t="s">
        <v>442</v>
      </c>
      <c r="H451" s="5" t="s">
        <v>415</v>
      </c>
    </row>
    <row r="452" customFormat="false" ht="17.15" hidden="false" customHeight="false" outlineLevel="0" collapsed="false">
      <c r="A452" s="6" t="s">
        <v>458</v>
      </c>
    </row>
    <row r="453" customFormat="false" ht="17.15" hidden="false" customHeight="false" outlineLevel="0" collapsed="false">
      <c r="A453" s="0" t="s">
        <v>459</v>
      </c>
      <c r="B453" s="0" t="s">
        <v>32</v>
      </c>
      <c r="D453" s="20" t="n">
        <f aca="false">itc_26*1</f>
        <v>781.872916666666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460</v>
      </c>
      <c r="B454" s="0" t="s">
        <v>32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461</v>
      </c>
      <c r="B455" s="0" t="s">
        <v>417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462</v>
      </c>
      <c r="B456" s="0" t="s">
        <v>52</v>
      </c>
      <c r="D456" s="14" t="n">
        <f aca="false">lpenA_26</f>
        <v>0.55</v>
      </c>
      <c r="E456" s="14" t="n">
        <f aca="false">lpenA_27</f>
        <v>0.85</v>
      </c>
      <c r="F456" s="14" t="n">
        <f aca="false">lpenA_28</f>
        <v>0.95</v>
      </c>
      <c r="G456" s="14" t="n">
        <f aca="false">lpenA_29</f>
        <v>0.95</v>
      </c>
    </row>
    <row r="457" customFormat="false" ht="17.15" hidden="false" customHeight="false" outlineLevel="0" collapsed="false">
      <c r="A457" s="4" t="s">
        <v>463</v>
      </c>
      <c r="B457" s="0" t="s">
        <v>422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464</v>
      </c>
    </row>
    <row r="458" customFormat="false" ht="17.15" hidden="false" customHeight="false" outlineLevel="0" collapsed="false">
      <c r="A458" s="0" t="s">
        <v>465</v>
      </c>
      <c r="B458" s="0" t="s">
        <v>32</v>
      </c>
      <c r="D458" s="20" t="n">
        <f aca="false">D455*D456*D457/1000</f>
        <v>4.51368758595869</v>
      </c>
      <c r="E458" s="20" t="n">
        <f aca="false">E455*E456*E457/1000</f>
        <v>11.5612471431652</v>
      </c>
      <c r="F458" s="20" t="n">
        <f aca="false">F455*F456*F457/1000</f>
        <v>17.6393273261943</v>
      </c>
      <c r="G458" s="20" t="n">
        <f aca="false">G455*G456*G457/1000</f>
        <v>20.0939825685161</v>
      </c>
    </row>
    <row r="459" customFormat="false" ht="17.15" hidden="false" customHeight="false" outlineLevel="0" collapsed="false">
      <c r="A459" s="0" t="s">
        <v>466</v>
      </c>
      <c r="B459" s="0" t="s">
        <v>192</v>
      </c>
      <c r="D459" s="19" t="n">
        <f aca="false">D458*fx</f>
        <v>144.438002750678</v>
      </c>
      <c r="E459" s="19" t="n">
        <f aca="false">E458*fx</f>
        <v>369.959908581285</v>
      </c>
      <c r="F459" s="19" t="n">
        <f aca="false">F458*fx</f>
        <v>564.458474438216</v>
      </c>
      <c r="G459" s="19" t="n">
        <f aca="false">G458*fx</f>
        <v>643.007442192516</v>
      </c>
    </row>
    <row r="460" customFormat="false" ht="17.15" hidden="false" customHeight="false" outlineLevel="0" collapsed="false">
      <c r="A460" s="4" t="s">
        <v>467</v>
      </c>
      <c r="B460" s="0" t="s">
        <v>52</v>
      </c>
      <c r="D460" s="14" t="n">
        <f aca="false">a26_lc/D459</f>
        <v>0.498927641116677</v>
      </c>
      <c r="H460" s="8" t="s">
        <v>468</v>
      </c>
    </row>
    <row r="461" customFormat="false" ht="17.15" hidden="false" customHeight="false" outlineLevel="0" collapsed="false">
      <c r="A461" s="4" t="s">
        <v>469</v>
      </c>
      <c r="B461" s="0" t="s">
        <v>73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429</v>
      </c>
      <c r="B462" s="0" t="s">
        <v>52</v>
      </c>
      <c r="D462" s="14" t="n">
        <f aca="false">$D$460*D461</f>
        <v>0.498927641116677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0.424088494949176</v>
      </c>
    </row>
    <row r="463" customFormat="false" ht="15" hidden="false" customHeight="false" outlineLevel="0" collapsed="false">
      <c r="A463" s="4" t="s">
        <v>470</v>
      </c>
      <c r="B463" s="0" t="s">
        <v>192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175.354063271392</v>
      </c>
      <c r="F463" s="19" t="n">
        <f aca="false">F459*F462</f>
        <v>253.4615416438</v>
      </c>
      <c r="G463" s="19" t="n">
        <f aca="false">G459*G462</f>
        <v>272.692058400543</v>
      </c>
    </row>
    <row r="464" customFormat="false" ht="17.15" hidden="false" customHeight="false" outlineLevel="0" collapsed="false">
      <c r="A464" s="6" t="s">
        <v>471</v>
      </c>
    </row>
    <row r="465" customFormat="false" ht="17.15" hidden="false" customHeight="false" outlineLevel="0" collapsed="false">
      <c r="A465" s="0" t="s">
        <v>472</v>
      </c>
      <c r="B465" s="0" t="s">
        <v>473</v>
      </c>
      <c r="D465" s="22" t="n">
        <f aca="false">a26_air/D455</f>
        <v>2.0210686815691</v>
      </c>
    </row>
    <row r="466" customFormat="false" ht="17.15" hidden="false" customHeight="false" outlineLevel="0" collapsed="false">
      <c r="A466" s="0" t="s">
        <v>474</v>
      </c>
      <c r="B466" s="0" t="s">
        <v>73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475</v>
      </c>
      <c r="B467" s="0" t="s">
        <v>192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63.1282305747746</v>
      </c>
      <c r="F467" s="19" t="n">
        <f aca="false">F455*$D$465*F466</f>
        <v>69.3527491354095</v>
      </c>
      <c r="G467" s="19" t="n">
        <f aca="false">G455*$D$465*G466</f>
        <v>72.9265345869151</v>
      </c>
    </row>
    <row r="468" customFormat="false" ht="15" hidden="false" customHeight="false" outlineLevel="0" collapsed="false">
      <c r="A468" s="4" t="s">
        <v>476</v>
      </c>
      <c r="B468" s="0" t="s">
        <v>192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477</v>
      </c>
      <c r="B469" s="0" t="s">
        <v>192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356</v>
      </c>
      <c r="B470" s="0" t="s">
        <v>192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344.326458346167</v>
      </c>
      <c r="F470" s="19" t="n">
        <f aca="false">F463+F467+F468+F469</f>
        <v>428.658455279209</v>
      </c>
      <c r="G470" s="19" t="n">
        <f aca="false">G463+G467+G468+G469</f>
        <v>451.462757487458</v>
      </c>
    </row>
    <row r="471" customFormat="false" ht="15" hidden="false" customHeight="false" outlineLevel="0" collapsed="false">
      <c r="A471" s="4" t="s">
        <v>478</v>
      </c>
      <c r="B471" s="0" t="s">
        <v>52</v>
      </c>
      <c r="D471" s="14" t="n">
        <f aca="false">D470/C470-1</f>
        <v>0.612732474451979</v>
      </c>
      <c r="E471" s="14" t="n">
        <f aca="false">E470/D470-1</f>
        <v>0.528978344599227</v>
      </c>
      <c r="F471" s="14" t="n">
        <f aca="false">F470/E470-1</f>
        <v>0.244918724335322</v>
      </c>
      <c r="G471" s="14" t="n">
        <f aca="false">G470/F470-1</f>
        <v>0.0531992357257847</v>
      </c>
    </row>
    <row r="472" customFormat="false" ht="17.15" hidden="false" customHeight="false" outlineLevel="0" collapsed="false">
      <c r="A472" s="4" t="s">
        <v>479</v>
      </c>
      <c r="B472" s="0" t="s">
        <v>52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0.509266886180152</v>
      </c>
      <c r="F472" s="14" t="n">
        <f aca="false">F463/F470</f>
        <v>0.591290195077818</v>
      </c>
      <c r="G472" s="14" t="n">
        <f aca="false">G463/G470</f>
        <v>0.604018944814332</v>
      </c>
    </row>
    <row r="473" customFormat="false" ht="17.15" hidden="false" customHeight="false" outlineLevel="0" collapsed="false">
      <c r="A473" s="0" t="s">
        <v>480</v>
      </c>
      <c r="B473" s="0" t="s">
        <v>52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0.692605195057098</v>
      </c>
      <c r="F473" s="14" t="n">
        <f aca="false">(F463+F467)/F470</f>
        <v>0.753080422895058</v>
      </c>
      <c r="G473" s="14" t="n">
        <f aca="false">(G463+G467)/G470</f>
        <v>0.765552832997658</v>
      </c>
    </row>
    <row r="474" customFormat="false" ht="17.15" hidden="false" customHeight="false" outlineLevel="0" collapsed="false">
      <c r="A474" s="4" t="s">
        <v>434</v>
      </c>
      <c r="B474" s="0" t="s">
        <v>422</v>
      </c>
      <c r="D474" s="18" t="n">
        <f aca="false">(D463+D467)/fx/D455*1000</f>
        <v>159.399762088039</v>
      </c>
      <c r="E474" s="18" t="n">
        <f aca="false">(E463+E467)/fx/E455*1000</f>
        <v>178.947189172339</v>
      </c>
      <c r="F474" s="18" t="n">
        <f aca="false">(F463+F467)/fx/F455*1000</f>
        <v>191.088047055512</v>
      </c>
      <c r="G474" s="18" t="n">
        <f aca="false">(G463+G467)/fx/G455*1000</f>
        <v>179.594844492719</v>
      </c>
    </row>
    <row r="475" customFormat="false" ht="17.15" hidden="false" customHeight="false" outlineLevel="0" collapsed="false">
      <c r="A475" s="6" t="s">
        <v>481</v>
      </c>
    </row>
    <row r="476" customFormat="false" ht="17.15" hidden="false" customHeight="false" outlineLevel="0" collapsed="false">
      <c r="A476" s="4" t="s">
        <v>482</v>
      </c>
      <c r="B476" s="0" t="s">
        <v>52</v>
      </c>
      <c r="D476" s="14" t="n">
        <f aca="false">a26_gp/D470-d_lc*D472</f>
        <v>0.302821503074929</v>
      </c>
      <c r="H476" s="8" t="s">
        <v>483</v>
      </c>
    </row>
    <row r="477" customFormat="false" ht="15" hidden="false" customHeight="false" outlineLevel="0" collapsed="false">
      <c r="A477" s="4" t="s">
        <v>360</v>
      </c>
      <c r="B477" s="0" t="s">
        <v>192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114.790699461136</v>
      </c>
      <c r="F477" s="19" t="n">
        <f aca="false">$D$476*F470+d_lc*F463</f>
        <v>145.014690232055</v>
      </c>
      <c r="G477" s="19" t="n">
        <f aca="false">$D$476*G470+d_lc*G463</f>
        <v>153.074154308737</v>
      </c>
    </row>
    <row r="478" customFormat="false" ht="15" hidden="false" customHeight="false" outlineLevel="0" collapsed="false">
      <c r="A478" s="4" t="s">
        <v>363</v>
      </c>
      <c r="B478" s="0" t="s">
        <v>52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0.333377516245738</v>
      </c>
      <c r="F478" s="14" t="n">
        <f aca="false">F477/F470</f>
        <v>0.338298914779598</v>
      </c>
      <c r="G478" s="14" t="n">
        <f aca="false">G477/G470</f>
        <v>0.339062639763789</v>
      </c>
    </row>
    <row r="479" customFormat="false" ht="15" hidden="false" customHeight="false" outlineLevel="0" collapsed="false">
      <c r="A479" s="4" t="s">
        <v>484</v>
      </c>
      <c r="B479" s="0" t="s">
        <v>192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16.0389920895675</v>
      </c>
      <c r="F479" s="19" t="n">
        <f aca="false">E479*(1+MAX(0,phi*F471))</f>
        <v>18.7887667271084</v>
      </c>
      <c r="G479" s="19" t="n">
        <f aca="false">F479*(1+MAX(0,phi*G471))</f>
        <v>19.4884503481869</v>
      </c>
    </row>
    <row r="480" customFormat="false" ht="15" hidden="false" customHeight="false" outlineLevel="0" collapsed="false">
      <c r="A480" s="4" t="s">
        <v>365</v>
      </c>
      <c r="B480" s="0" t="s">
        <v>192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16.0389920895675</v>
      </c>
      <c r="F480" s="19" t="n">
        <f aca="false">F479+0*F470</f>
        <v>18.7887667271084</v>
      </c>
      <c r="G480" s="19" t="n">
        <f aca="false">G479+0*G470</f>
        <v>19.4884503481869</v>
      </c>
    </row>
    <row r="481" customFormat="false" ht="15" hidden="false" customHeight="false" outlineLevel="0" collapsed="false">
      <c r="A481" s="4" t="s">
        <v>367</v>
      </c>
      <c r="B481" s="0" t="s">
        <v>192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98.751707371569</v>
      </c>
      <c r="F481" s="19" t="n">
        <f aca="false">F477-F480</f>
        <v>126.225923504947</v>
      </c>
      <c r="G481" s="19" t="n">
        <f aca="false">G477-G480</f>
        <v>133.58570396055</v>
      </c>
    </row>
    <row r="482" customFormat="false" ht="15" hidden="false" customHeight="false" outlineLevel="0" collapsed="false">
      <c r="A482" s="4" t="s">
        <v>370</v>
      </c>
      <c r="B482" s="0" t="s">
        <v>52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0.28679674471106</v>
      </c>
      <c r="F482" s="14" t="n">
        <f aca="false">F481/F470</f>
        <v>0.294467359620211</v>
      </c>
      <c r="G482" s="14" t="n">
        <f aca="false">G481/G470</f>
        <v>0.29589529090727</v>
      </c>
    </row>
    <row r="483" customFormat="false" ht="15" hidden="false" customHeight="false" outlineLevel="0" collapsed="false">
      <c r="A483" s="4" t="s">
        <v>372</v>
      </c>
      <c r="B483" s="0" t="s">
        <v>192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235</v>
      </c>
      <c r="B484" s="0" t="s">
        <v>52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376</v>
      </c>
      <c r="B485" s="0" t="s">
        <v>192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67.3324024758091</v>
      </c>
      <c r="F485" s="19" t="n">
        <f aca="false">(F481+F483)*F484</f>
        <v>85.8774983658391</v>
      </c>
      <c r="G485" s="19" t="n">
        <f aca="false">(G481+G483)*G484</f>
        <v>90.8453501733712</v>
      </c>
    </row>
    <row r="486" customFormat="false" ht="15" hidden="false" customHeight="false" outlineLevel="0" collapsed="false">
      <c r="A486" s="4" t="s">
        <v>485</v>
      </c>
      <c r="B486" s="4" t="s">
        <v>218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381</v>
      </c>
      <c r="B487" s="0" t="s">
        <v>255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171.537219371534</v>
      </c>
      <c r="F487" s="20" t="n">
        <f aca="false">F485/F486</f>
        <v>218.783033644939</v>
      </c>
      <c r="G487" s="20" t="n">
        <f aca="false">G485/G486</f>
        <v>231.439220770002</v>
      </c>
    </row>
    <row r="488" customFormat="false" ht="17.15" hidden="false" customHeight="false" outlineLevel="0" collapsed="false">
      <c r="A488" s="0" t="s">
        <v>486</v>
      </c>
      <c r="B488" s="0" t="s">
        <v>52</v>
      </c>
      <c r="D488" s="14" t="n">
        <f aca="false">D487/C487-1</f>
        <v>1.15499904075659</v>
      </c>
      <c r="E488" s="14" t="n">
        <f aca="false">E487/D487-1</f>
        <v>0.618866650217237</v>
      </c>
      <c r="F488" s="14" t="n">
        <f aca="false">F487/E487-1</f>
        <v>0.275426023847773</v>
      </c>
      <c r="G488" s="14" t="n">
        <f aca="false">G487/F487-1</f>
        <v>0.0578481197294425</v>
      </c>
    </row>
    <row r="491" customFormat="false" ht="17.15" hidden="false" customHeight="false" outlineLevel="0" collapsed="false">
      <c r="A491" s="1" t="s">
        <v>808</v>
      </c>
    </row>
    <row r="492" customFormat="false" ht="17.15" hidden="false" customHeight="false" outlineLevel="0" collapsed="false">
      <c r="A492" s="5" t="s">
        <v>21</v>
      </c>
      <c r="B492" s="5" t="s">
        <v>22</v>
      </c>
      <c r="C492" s="11" t="s">
        <v>350</v>
      </c>
      <c r="D492" s="11" t="s">
        <v>439</v>
      </c>
      <c r="E492" s="11" t="s">
        <v>440</v>
      </c>
      <c r="F492" s="11" t="s">
        <v>441</v>
      </c>
      <c r="G492" s="11" t="s">
        <v>442</v>
      </c>
      <c r="H492" s="5" t="s">
        <v>415</v>
      </c>
    </row>
    <row r="493" customFormat="false" ht="17.15" hidden="false" customHeight="false" outlineLevel="0" collapsed="false">
      <c r="A493" s="6" t="s">
        <v>458</v>
      </c>
    </row>
    <row r="494" customFormat="false" ht="17.15" hidden="false" customHeight="false" outlineLevel="0" collapsed="false">
      <c r="A494" s="0" t="s">
        <v>459</v>
      </c>
      <c r="B494" s="0" t="s">
        <v>32</v>
      </c>
      <c r="D494" s="20" t="n">
        <f aca="false">itc_26*1</f>
        <v>781.872916666666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460</v>
      </c>
      <c r="B495" s="0" t="s">
        <v>32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461</v>
      </c>
      <c r="B496" s="0" t="s">
        <v>417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462</v>
      </c>
      <c r="B497" s="0" t="s">
        <v>52</v>
      </c>
      <c r="D497" s="14" t="n">
        <f aca="false">lpenA_26</f>
        <v>0.55</v>
      </c>
      <c r="E497" s="14" t="n">
        <f aca="false">lpenA_27</f>
        <v>0.85</v>
      </c>
      <c r="F497" s="14" t="n">
        <f aca="false">lpenA_28</f>
        <v>0.95</v>
      </c>
      <c r="G497" s="14" t="n">
        <f aca="false">lpenA_29</f>
        <v>0.95</v>
      </c>
    </row>
    <row r="498" customFormat="false" ht="17.15" hidden="false" customHeight="false" outlineLevel="0" collapsed="false">
      <c r="A498" s="4" t="s">
        <v>463</v>
      </c>
      <c r="B498" s="0" t="s">
        <v>422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464</v>
      </c>
    </row>
    <row r="499" customFormat="false" ht="17.15" hidden="false" customHeight="false" outlineLevel="0" collapsed="false">
      <c r="A499" s="0" t="s">
        <v>465</v>
      </c>
      <c r="B499" s="0" t="s">
        <v>32</v>
      </c>
      <c r="D499" s="20" t="n">
        <f aca="false">D496*D497*D498/1000</f>
        <v>4.51368758595869</v>
      </c>
      <c r="E499" s="20" t="n">
        <f aca="false">E496*E497*E498/1000</f>
        <v>11.5612471431652</v>
      </c>
      <c r="F499" s="20" t="n">
        <f aca="false">F496*F497*F498/1000</f>
        <v>17.6393273261943</v>
      </c>
      <c r="G499" s="20" t="n">
        <f aca="false">G496*G497*G498/1000</f>
        <v>20.0939825685161</v>
      </c>
    </row>
    <row r="500" customFormat="false" ht="17.15" hidden="false" customHeight="false" outlineLevel="0" collapsed="false">
      <c r="A500" s="0" t="s">
        <v>466</v>
      </c>
      <c r="B500" s="0" t="s">
        <v>192</v>
      </c>
      <c r="D500" s="19" t="n">
        <f aca="false">D499*fx</f>
        <v>144.438002750678</v>
      </c>
      <c r="E500" s="19" t="n">
        <f aca="false">E499*fx</f>
        <v>369.959908581285</v>
      </c>
      <c r="F500" s="19" t="n">
        <f aca="false">F499*fx</f>
        <v>564.458474438216</v>
      </c>
      <c r="G500" s="19" t="n">
        <f aca="false">G499*fx</f>
        <v>643.007442192516</v>
      </c>
    </row>
    <row r="501" customFormat="false" ht="17.15" hidden="false" customHeight="false" outlineLevel="0" collapsed="false">
      <c r="A501" s="4" t="s">
        <v>467</v>
      </c>
      <c r="B501" s="0" t="s">
        <v>52</v>
      </c>
      <c r="D501" s="14" t="n">
        <f aca="false">a26_lc/D500</f>
        <v>0.498927641116677</v>
      </c>
      <c r="H501" s="8" t="s">
        <v>468</v>
      </c>
    </row>
    <row r="502" customFormat="false" ht="17.15" hidden="false" customHeight="false" outlineLevel="0" collapsed="false">
      <c r="A502" s="4" t="s">
        <v>469</v>
      </c>
      <c r="B502" s="0" t="s">
        <v>73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429</v>
      </c>
      <c r="B503" s="0" t="s">
        <v>52</v>
      </c>
      <c r="D503" s="14" t="n">
        <f aca="false">$D$501*D502</f>
        <v>0.498927641116677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0.424088494949176</v>
      </c>
    </row>
    <row r="504" customFormat="false" ht="15" hidden="false" customHeight="false" outlineLevel="0" collapsed="false">
      <c r="A504" s="4" t="s">
        <v>470</v>
      </c>
      <c r="B504" s="0" t="s">
        <v>192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175.354063271392</v>
      </c>
      <c r="F504" s="19" t="n">
        <f aca="false">F500*F503</f>
        <v>253.4615416438</v>
      </c>
      <c r="G504" s="19" t="n">
        <f aca="false">G500*G503</f>
        <v>272.692058400543</v>
      </c>
    </row>
    <row r="505" customFormat="false" ht="17.15" hidden="false" customHeight="false" outlineLevel="0" collapsed="false">
      <c r="A505" s="6" t="s">
        <v>471</v>
      </c>
    </row>
    <row r="506" customFormat="false" ht="17.15" hidden="false" customHeight="false" outlineLevel="0" collapsed="false">
      <c r="A506" s="0" t="s">
        <v>472</v>
      </c>
      <c r="B506" s="0" t="s">
        <v>473</v>
      </c>
      <c r="D506" s="22" t="n">
        <f aca="false">a26_air/D496</f>
        <v>2.0210686815691</v>
      </c>
    </row>
    <row r="507" customFormat="false" ht="17.15" hidden="false" customHeight="false" outlineLevel="0" collapsed="false">
      <c r="A507" s="0" t="s">
        <v>474</v>
      </c>
      <c r="B507" s="0" t="s">
        <v>73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475</v>
      </c>
      <c r="B508" s="0" t="s">
        <v>192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63.1282305747746</v>
      </c>
      <c r="F508" s="19" t="n">
        <f aca="false">F496*$D$506*F507</f>
        <v>69.3527491354095</v>
      </c>
      <c r="G508" s="19" t="n">
        <f aca="false">G496*$D$506*G507</f>
        <v>72.9265345869151</v>
      </c>
    </row>
    <row r="509" customFormat="false" ht="15" hidden="false" customHeight="false" outlineLevel="0" collapsed="false">
      <c r="A509" s="4" t="s">
        <v>476</v>
      </c>
      <c r="B509" s="0" t="s">
        <v>192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477</v>
      </c>
      <c r="B510" s="0" t="s">
        <v>192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356</v>
      </c>
      <c r="B511" s="0" t="s">
        <v>192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357.973599556166</v>
      </c>
      <c r="F511" s="19" t="n">
        <f aca="false">F504+F508+F509+F510</f>
        <v>454.979872187209</v>
      </c>
      <c r="G511" s="19" t="n">
        <f aca="false">G504+G508+G509+G510</f>
        <v>489.169583450338</v>
      </c>
    </row>
    <row r="512" customFormat="false" ht="15" hidden="false" customHeight="false" outlineLevel="0" collapsed="false">
      <c r="A512" s="4" t="s">
        <v>478</v>
      </c>
      <c r="B512" s="0" t="s">
        <v>52</v>
      </c>
      <c r="D512" s="14" t="n">
        <f aca="false">D511/C511-1</f>
        <v>0.612732474451979</v>
      </c>
      <c r="E512" s="14" t="n">
        <f aca="false">E511/D511-1</f>
        <v>0.589578344599227</v>
      </c>
      <c r="F512" s="14" t="n">
        <f aca="false">F511/E511-1</f>
        <v>0.27098722573764</v>
      </c>
      <c r="G512" s="14" t="n">
        <f aca="false">G511/F511-1</f>
        <v>0.0751455467662126</v>
      </c>
    </row>
    <row r="513" customFormat="false" ht="17.15" hidden="false" customHeight="false" outlineLevel="0" collapsed="false">
      <c r="A513" s="4" t="s">
        <v>479</v>
      </c>
      <c r="B513" s="0" t="s">
        <v>52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0.48985194296117</v>
      </c>
      <c r="F513" s="14" t="n">
        <f aca="false">F504/F511</f>
        <v>0.557082976935535</v>
      </c>
      <c r="G513" s="14" t="n">
        <f aca="false">G504/G511</f>
        <v>0.557459146329419</v>
      </c>
    </row>
    <row r="514" customFormat="false" ht="17.15" hidden="false" customHeight="false" outlineLevel="0" collapsed="false">
      <c r="A514" s="0" t="s">
        <v>480</v>
      </c>
      <c r="B514" s="0" t="s">
        <v>52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0.666200787269924</v>
      </c>
      <c r="F514" s="14" t="n">
        <f aca="false">(F504+F508)/F511</f>
        <v>0.70951334446369</v>
      </c>
      <c r="G514" s="14" t="n">
        <f aca="false">(G504+G508)/G511</f>
        <v>0.706541462675687</v>
      </c>
    </row>
    <row r="515" customFormat="false" ht="17.15" hidden="false" customHeight="false" outlineLevel="0" collapsed="false">
      <c r="A515" s="4" t="s">
        <v>434</v>
      </c>
      <c r="B515" s="0" t="s">
        <v>422</v>
      </c>
      <c r="D515" s="18" t="n">
        <f aca="false">(D504+D508)/fx/D496*1000</f>
        <v>159.399762088039</v>
      </c>
      <c r="E515" s="18" t="n">
        <f aca="false">(E504+E508)/fx/E496*1000</f>
        <v>178.947189172339</v>
      </c>
      <c r="F515" s="18" t="n">
        <f aca="false">(F504+F508)/fx/F496*1000</f>
        <v>191.088047055512</v>
      </c>
      <c r="G515" s="18" t="n">
        <f aca="false">(G504+G508)/fx/G496*1000</f>
        <v>179.594844492719</v>
      </c>
    </row>
    <row r="516" customFormat="false" ht="17.15" hidden="false" customHeight="false" outlineLevel="0" collapsed="false">
      <c r="A516" s="6" t="s">
        <v>481</v>
      </c>
    </row>
    <row r="517" customFormat="false" ht="17.15" hidden="false" customHeight="false" outlineLevel="0" collapsed="false">
      <c r="A517" s="4" t="s">
        <v>482</v>
      </c>
      <c r="B517" s="0" t="s">
        <v>52</v>
      </c>
      <c r="D517" s="14" t="n">
        <f aca="false">a26_gp/D511-d_lc*D513</f>
        <v>0.302821503074929</v>
      </c>
      <c r="H517" s="8" t="s">
        <v>483</v>
      </c>
    </row>
    <row r="518" customFormat="false" ht="15" hidden="false" customHeight="false" outlineLevel="0" collapsed="false">
      <c r="A518" s="4" t="s">
        <v>360</v>
      </c>
      <c r="B518" s="0" t="s">
        <v>192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118.923347275024</v>
      </c>
      <c r="F518" s="19" t="n">
        <f aca="false">$D$517*F511+d_lc*F504</f>
        <v>152.985381263198</v>
      </c>
      <c r="G518" s="19" t="n">
        <f aca="false">$D$517*G511+d_lc*G504</f>
        <v>164.492592023001</v>
      </c>
    </row>
    <row r="519" customFormat="false" ht="15" hidden="false" customHeight="false" outlineLevel="0" collapsed="false">
      <c r="A519" s="4" t="s">
        <v>363</v>
      </c>
      <c r="B519" s="0" t="s">
        <v>52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0.332212619652599</v>
      </c>
      <c r="F519" s="14" t="n">
        <f aca="false">F518/F511</f>
        <v>0.336246481691061</v>
      </c>
      <c r="G519" s="14" t="n">
        <f aca="false">G518/G511</f>
        <v>0.336269051854694</v>
      </c>
    </row>
    <row r="520" customFormat="false" ht="15" hidden="false" customHeight="false" outlineLevel="0" collapsed="false">
      <c r="A520" s="4" t="s">
        <v>484</v>
      </c>
      <c r="B520" s="0" t="s">
        <v>192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16.5355122465255</v>
      </c>
      <c r="F520" s="19" t="n">
        <f aca="false">E520*(1+MAX(0,phi*F512))</f>
        <v>19.6721510594112</v>
      </c>
      <c r="G520" s="19" t="n">
        <f aca="false">F520*(1+MAX(0,phi*G512))</f>
        <v>20.7069432426101</v>
      </c>
    </row>
    <row r="521" customFormat="false" ht="15" hidden="false" customHeight="false" outlineLevel="0" collapsed="false">
      <c r="A521" s="4" t="s">
        <v>365</v>
      </c>
      <c r="B521" s="0" t="s">
        <v>192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16.5355122465255</v>
      </c>
      <c r="F521" s="19" t="n">
        <f aca="false">F520+0*F511</f>
        <v>19.6721510594112</v>
      </c>
      <c r="G521" s="19" t="n">
        <f aca="false">G520+0*G511</f>
        <v>20.7069432426101</v>
      </c>
    </row>
    <row r="522" customFormat="false" ht="15" hidden="false" customHeight="false" outlineLevel="0" collapsed="false">
      <c r="A522" s="4" t="s">
        <v>367</v>
      </c>
      <c r="B522" s="0" t="s">
        <v>192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102.387835028499</v>
      </c>
      <c r="F522" s="19" t="n">
        <f aca="false">F518-F521</f>
        <v>133.313230203786</v>
      </c>
      <c r="G522" s="19" t="n">
        <f aca="false">G518-G521</f>
        <v>143.785648780391</v>
      </c>
    </row>
    <row r="523" customFormat="false" ht="15" hidden="false" customHeight="false" outlineLevel="0" collapsed="false">
      <c r="A523" s="4" t="s">
        <v>370</v>
      </c>
      <c r="B523" s="0" t="s">
        <v>52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0.286020631564575</v>
      </c>
      <c r="F523" s="14" t="n">
        <f aca="false">F522/F511</f>
        <v>0.293009072166015</v>
      </c>
      <c r="G523" s="14" t="n">
        <f aca="false">G522/G511</f>
        <v>0.293938244823409</v>
      </c>
    </row>
    <row r="524" customFormat="false" ht="15" hidden="false" customHeight="false" outlineLevel="0" collapsed="false">
      <c r="A524" s="4" t="s">
        <v>372</v>
      </c>
      <c r="B524" s="0" t="s">
        <v>192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235</v>
      </c>
      <c r="B525" s="0" t="s">
        <v>52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376</v>
      </c>
      <c r="B526" s="0" t="s">
        <v>192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69.7867886442368</v>
      </c>
      <c r="F526" s="19" t="n">
        <f aca="false">(F522+F524)*F525</f>
        <v>90.6614303875558</v>
      </c>
      <c r="G526" s="19" t="n">
        <f aca="false">(G522+G524)*G525</f>
        <v>97.7303129267637</v>
      </c>
    </row>
    <row r="527" customFormat="false" ht="15" hidden="false" customHeight="false" outlineLevel="0" collapsed="false">
      <c r="A527" s="4" t="s">
        <v>485</v>
      </c>
      <c r="B527" s="4" t="s">
        <v>218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381</v>
      </c>
      <c r="B528" s="0" t="s">
        <v>255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177.790056981886</v>
      </c>
      <c r="F528" s="20" t="n">
        <f aca="false">F526/F527</f>
        <v>230.970663470899</v>
      </c>
      <c r="G528" s="20" t="n">
        <f aca="false">G526/G527</f>
        <v>248.979473646288</v>
      </c>
    </row>
    <row r="529" customFormat="false" ht="17.15" hidden="false" customHeight="false" outlineLevel="0" collapsed="false">
      <c r="A529" s="0" t="s">
        <v>486</v>
      </c>
      <c r="B529" s="0" t="s">
        <v>52</v>
      </c>
      <c r="D529" s="14" t="n">
        <f aca="false">D528/C528-1</f>
        <v>1.15499904075659</v>
      </c>
      <c r="E529" s="14" t="n">
        <f aca="false">E528/D528-1</f>
        <v>0.677877227127063</v>
      </c>
      <c r="F529" s="14" t="n">
        <f aca="false">F528/E528-1</f>
        <v>0.299120251108487</v>
      </c>
      <c r="G529" s="14" t="n">
        <f aca="false">G528/F528-1</f>
        <v>0.0779701192556768</v>
      </c>
    </row>
    <row r="532" customFormat="false" ht="17.15" hidden="false" customHeight="false" outlineLevel="0" collapsed="false">
      <c r="A532" s="1" t="s">
        <v>809</v>
      </c>
    </row>
    <row r="533" customFormat="false" ht="17.15" hidden="false" customHeight="false" outlineLevel="0" collapsed="false">
      <c r="A533" s="5" t="s">
        <v>21</v>
      </c>
      <c r="B533" s="5" t="s">
        <v>22</v>
      </c>
      <c r="C533" s="11" t="s">
        <v>350</v>
      </c>
      <c r="D533" s="11" t="s">
        <v>439</v>
      </c>
      <c r="E533" s="11" t="s">
        <v>440</v>
      </c>
      <c r="F533" s="11" t="s">
        <v>441</v>
      </c>
      <c r="G533" s="11" t="s">
        <v>442</v>
      </c>
      <c r="H533" s="5" t="s">
        <v>415</v>
      </c>
    </row>
    <row r="534" customFormat="false" ht="17.15" hidden="false" customHeight="false" outlineLevel="0" collapsed="false">
      <c r="A534" s="6" t="s">
        <v>458</v>
      </c>
    </row>
    <row r="535" customFormat="false" ht="17.15" hidden="false" customHeight="false" outlineLevel="0" collapsed="false">
      <c r="A535" s="0" t="s">
        <v>459</v>
      </c>
      <c r="B535" s="0" t="s">
        <v>32</v>
      </c>
      <c r="D535" s="20" t="n">
        <f aca="false">itc_26*1</f>
        <v>781.872916666666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460</v>
      </c>
      <c r="B536" s="0" t="s">
        <v>32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461</v>
      </c>
      <c r="B537" s="0" t="s">
        <v>417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462</v>
      </c>
      <c r="B538" s="0" t="s">
        <v>52</v>
      </c>
      <c r="D538" s="14" t="n">
        <f aca="false">lpenA_26</f>
        <v>0.55</v>
      </c>
      <c r="E538" s="14" t="n">
        <f aca="false">lpenA_27</f>
        <v>0.85</v>
      </c>
      <c r="F538" s="14" t="n">
        <f aca="false">lpenA_28</f>
        <v>0.95</v>
      </c>
      <c r="G538" s="14" t="n">
        <f aca="false">lpenA_29</f>
        <v>0.95</v>
      </c>
    </row>
    <row r="539" customFormat="false" ht="17.15" hidden="false" customHeight="false" outlineLevel="0" collapsed="false">
      <c r="A539" s="4" t="s">
        <v>463</v>
      </c>
      <c r="B539" s="0" t="s">
        <v>422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464</v>
      </c>
    </row>
    <row r="540" customFormat="false" ht="17.15" hidden="false" customHeight="false" outlineLevel="0" collapsed="false">
      <c r="A540" s="0" t="s">
        <v>465</v>
      </c>
      <c r="B540" s="0" t="s">
        <v>32</v>
      </c>
      <c r="D540" s="20" t="n">
        <f aca="false">D537*D538*D539/1000</f>
        <v>4.51368758595869</v>
      </c>
      <c r="E540" s="20" t="n">
        <f aca="false">E537*E538*E539/1000</f>
        <v>11.5612471431652</v>
      </c>
      <c r="F540" s="20" t="n">
        <f aca="false">F537*F538*F539/1000</f>
        <v>17.6393273261943</v>
      </c>
      <c r="G540" s="20" t="n">
        <f aca="false">G537*G538*G539/1000</f>
        <v>20.0939825685161</v>
      </c>
    </row>
    <row r="541" customFormat="false" ht="17.15" hidden="false" customHeight="false" outlineLevel="0" collapsed="false">
      <c r="A541" s="0" t="s">
        <v>466</v>
      </c>
      <c r="B541" s="0" t="s">
        <v>192</v>
      </c>
      <c r="D541" s="19" t="n">
        <f aca="false">D540*fx</f>
        <v>144.438002750678</v>
      </c>
      <c r="E541" s="19" t="n">
        <f aca="false">E540*fx</f>
        <v>369.959908581285</v>
      </c>
      <c r="F541" s="19" t="n">
        <f aca="false">F540*fx</f>
        <v>564.458474438216</v>
      </c>
      <c r="G541" s="19" t="n">
        <f aca="false">G540*fx</f>
        <v>643.007442192516</v>
      </c>
    </row>
    <row r="542" customFormat="false" ht="17.15" hidden="false" customHeight="false" outlineLevel="0" collapsed="false">
      <c r="A542" s="4" t="s">
        <v>467</v>
      </c>
      <c r="B542" s="0" t="s">
        <v>52</v>
      </c>
      <c r="D542" s="14" t="n">
        <f aca="false">a26_lc/D541</f>
        <v>0.498927641116677</v>
      </c>
      <c r="H542" s="8" t="s">
        <v>468</v>
      </c>
    </row>
    <row r="543" customFormat="false" ht="17.15" hidden="false" customHeight="false" outlineLevel="0" collapsed="false">
      <c r="A543" s="4" t="s">
        <v>469</v>
      </c>
      <c r="B543" s="0" t="s">
        <v>73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429</v>
      </c>
      <c r="B544" s="0" t="s">
        <v>52</v>
      </c>
      <c r="D544" s="14" t="n">
        <f aca="false">$D$542*D543</f>
        <v>0.498927641116677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0.424088494949176</v>
      </c>
    </row>
    <row r="545" customFormat="false" ht="15" hidden="false" customHeight="false" outlineLevel="0" collapsed="false">
      <c r="A545" s="4" t="s">
        <v>470</v>
      </c>
      <c r="B545" s="0" t="s">
        <v>192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175.354063271392</v>
      </c>
      <c r="F545" s="19" t="n">
        <f aca="false">F541*F544</f>
        <v>253.4615416438</v>
      </c>
      <c r="G545" s="19" t="n">
        <f aca="false">G541*G544</f>
        <v>272.692058400543</v>
      </c>
    </row>
    <row r="546" customFormat="false" ht="17.15" hidden="false" customHeight="false" outlineLevel="0" collapsed="false">
      <c r="A546" s="6" t="s">
        <v>471</v>
      </c>
    </row>
    <row r="547" customFormat="false" ht="17.15" hidden="false" customHeight="false" outlineLevel="0" collapsed="false">
      <c r="A547" s="0" t="s">
        <v>472</v>
      </c>
      <c r="B547" s="0" t="s">
        <v>473</v>
      </c>
      <c r="D547" s="22" t="n">
        <f aca="false">a26_air/D537</f>
        <v>2.0210686815691</v>
      </c>
    </row>
    <row r="548" customFormat="false" ht="17.15" hidden="false" customHeight="false" outlineLevel="0" collapsed="false">
      <c r="A548" s="0" t="s">
        <v>474</v>
      </c>
      <c r="B548" s="0" t="s">
        <v>73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475</v>
      </c>
      <c r="B549" s="0" t="s">
        <v>192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63.1282305747746</v>
      </c>
      <c r="F549" s="19" t="n">
        <f aca="false">F537*$D$547*F548</f>
        <v>69.3527491354095</v>
      </c>
      <c r="G549" s="19" t="n">
        <f aca="false">G537*$D$547*G548</f>
        <v>72.9265345869151</v>
      </c>
    </row>
    <row r="550" customFormat="false" ht="15" hidden="false" customHeight="false" outlineLevel="0" collapsed="false">
      <c r="A550" s="4" t="s">
        <v>476</v>
      </c>
      <c r="B550" s="0" t="s">
        <v>192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477</v>
      </c>
      <c r="B551" s="0" t="s">
        <v>192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356</v>
      </c>
      <c r="B552" s="0" t="s">
        <v>192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351.307669196167</v>
      </c>
      <c r="F552" s="19" t="n">
        <f aca="false">F545+F549+F550+F551</f>
        <v>441.621437825909</v>
      </c>
      <c r="G552" s="19" t="n">
        <f aca="false">G545+G549+G550+G551</f>
        <v>469.538959020978</v>
      </c>
    </row>
    <row r="553" customFormat="false" ht="15" hidden="false" customHeight="false" outlineLevel="0" collapsed="false">
      <c r="A553" s="4" t="s">
        <v>478</v>
      </c>
      <c r="B553" s="0" t="s">
        <v>52</v>
      </c>
      <c r="D553" s="14" t="n">
        <f aca="false">D552/C552-1</f>
        <v>0.612732474451979</v>
      </c>
      <c r="E553" s="14" t="n">
        <f aca="false">E552/D552-1</f>
        <v>0.559978344599227</v>
      </c>
      <c r="F553" s="14" t="n">
        <f aca="false">F552/E552-1</f>
        <v>0.257078841564692</v>
      </c>
      <c r="G553" s="14" t="n">
        <f aca="false">G552/F552-1</f>
        <v>0.06321595557613</v>
      </c>
    </row>
    <row r="554" customFormat="false" ht="17.15" hidden="false" customHeight="false" outlineLevel="0" collapsed="false">
      <c r="A554" s="4" t="s">
        <v>479</v>
      </c>
      <c r="B554" s="0" t="s">
        <v>52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0.499146698597906</v>
      </c>
      <c r="F554" s="14" t="n">
        <f aca="false">F545/F552</f>
        <v>0.573933962290382</v>
      </c>
      <c r="G554" s="14" t="n">
        <f aca="false">G545/G552</f>
        <v>0.58076556409531</v>
      </c>
    </row>
    <row r="555" customFormat="false" ht="17.15" hidden="false" customHeight="false" outlineLevel="0" collapsed="false">
      <c r="A555" s="0" t="s">
        <v>480</v>
      </c>
      <c r="B555" s="0" t="s">
        <v>52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0.678841695633466</v>
      </c>
      <c r="F555" s="14" t="n">
        <f aca="false">(F545+F549)/F552</f>
        <v>0.730975136461707</v>
      </c>
      <c r="G555" s="14" t="n">
        <f aca="false">(G545+G549)/G552</f>
        <v>0.736080758257201</v>
      </c>
    </row>
    <row r="556" customFormat="false" ht="17.15" hidden="false" customHeight="false" outlineLevel="0" collapsed="false">
      <c r="A556" s="4" t="s">
        <v>434</v>
      </c>
      <c r="B556" s="0" t="s">
        <v>422</v>
      </c>
      <c r="D556" s="18" t="n">
        <f aca="false">(D545+D549)/fx/D537*1000</f>
        <v>159.399762088039</v>
      </c>
      <c r="E556" s="18" t="n">
        <f aca="false">(E545+E549)/fx/E537*1000</f>
        <v>178.947189172339</v>
      </c>
      <c r="F556" s="18" t="n">
        <f aca="false">(F545+F549)/fx/F537*1000</f>
        <v>191.088047055512</v>
      </c>
      <c r="G556" s="18" t="n">
        <f aca="false">(G545+G549)/fx/G537*1000</f>
        <v>179.594844492719</v>
      </c>
    </row>
    <row r="557" customFormat="false" ht="17.15" hidden="false" customHeight="false" outlineLevel="0" collapsed="false">
      <c r="A557" s="6" t="s">
        <v>481</v>
      </c>
    </row>
    <row r="558" customFormat="false" ht="17.15" hidden="false" customHeight="false" outlineLevel="0" collapsed="false">
      <c r="A558" s="4" t="s">
        <v>482</v>
      </c>
      <c r="B558" s="0" t="s">
        <v>52</v>
      </c>
      <c r="D558" s="14" t="n">
        <f aca="false">a26_gp/D552-d_lc_lo*D554</f>
        <v>0.315621503074929</v>
      </c>
      <c r="H558" s="8" t="s">
        <v>483</v>
      </c>
    </row>
    <row r="559" customFormat="false" ht="15" hidden="false" customHeight="false" outlineLevel="0" collapsed="false">
      <c r="A559" s="4" t="s">
        <v>360</v>
      </c>
      <c r="B559" s="0" t="s">
        <v>192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114.387335858872</v>
      </c>
      <c r="F559" s="19" t="n">
        <f aca="false">$D$558*F552+d_lc_lo*F545</f>
        <v>144.454452829601</v>
      </c>
      <c r="G559" s="19" t="n">
        <f aca="false">$D$558*G552+d_lc_lo*G545</f>
        <v>153.650433166449</v>
      </c>
    </row>
    <row r="560" customFormat="false" ht="15" hidden="false" customHeight="false" outlineLevel="0" collapsed="false">
      <c r="A560" s="4" t="s">
        <v>363</v>
      </c>
      <c r="B560" s="0" t="s">
        <v>52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0.325604437046887</v>
      </c>
      <c r="F560" s="14" t="n">
        <f aca="false">F559/F552</f>
        <v>0.327100182320736</v>
      </c>
      <c r="G560" s="14" t="n">
        <f aca="false">G559/G552</f>
        <v>0.327236814356835</v>
      </c>
    </row>
    <row r="561" customFormat="false" ht="15" hidden="false" customHeight="false" outlineLevel="0" collapsed="false">
      <c r="A561" s="4" t="s">
        <v>484</v>
      </c>
      <c r="B561" s="0" t="s">
        <v>192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16.2929875493975</v>
      </c>
      <c r="F561" s="19" t="n">
        <f aca="false">E561*(1+MAX(0,phi*F553))</f>
        <v>19.2249952047765</v>
      </c>
      <c r="G561" s="19" t="n">
        <f aca="false">F561*(1+MAX(0,phi*G553))</f>
        <v>20.075723714748</v>
      </c>
    </row>
    <row r="562" customFormat="false" ht="15" hidden="false" customHeight="false" outlineLevel="0" collapsed="false">
      <c r="A562" s="4" t="s">
        <v>365</v>
      </c>
      <c r="B562" s="0" t="s">
        <v>192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16.2929875493975</v>
      </c>
      <c r="F562" s="19" t="n">
        <f aca="false">F561+0*F552</f>
        <v>19.2249952047765</v>
      </c>
      <c r="G562" s="19" t="n">
        <f aca="false">G561+0*G552</f>
        <v>20.075723714748</v>
      </c>
    </row>
    <row r="563" customFormat="false" ht="15" hidden="false" customHeight="false" outlineLevel="0" collapsed="false">
      <c r="A563" s="4" t="s">
        <v>367</v>
      </c>
      <c r="B563" s="0" t="s">
        <v>192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98.0943483094742</v>
      </c>
      <c r="F563" s="19" t="n">
        <f aca="false">F559-F562</f>
        <v>125.229457624824</v>
      </c>
      <c r="G563" s="19" t="n">
        <f aca="false">G559-G562</f>
        <v>133.574709451701</v>
      </c>
    </row>
    <row r="564" customFormat="false" ht="15" hidden="false" customHeight="false" outlineLevel="0" collapsed="false">
      <c r="A564" s="4" t="s">
        <v>370</v>
      </c>
      <c r="B564" s="0" t="s">
        <v>52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0.279226321856069</v>
      </c>
      <c r="F564" s="14" t="n">
        <f aca="false">F563/F552</f>
        <v>0.283567433323268</v>
      </c>
      <c r="G564" s="14" t="n">
        <f aca="false">G563/G552</f>
        <v>0.284480567342514</v>
      </c>
    </row>
    <row r="565" customFormat="false" ht="15" hidden="false" customHeight="false" outlineLevel="0" collapsed="false">
      <c r="A565" s="4" t="s">
        <v>372</v>
      </c>
      <c r="B565" s="0" t="s">
        <v>192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235</v>
      </c>
      <c r="B566" s="0" t="s">
        <v>52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376</v>
      </c>
      <c r="B567" s="0" t="s">
        <v>192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66.8886851088951</v>
      </c>
      <c r="F567" s="19" t="n">
        <f aca="false">(F563+F565)*F566</f>
        <v>85.2048838967563</v>
      </c>
      <c r="G567" s="19" t="n">
        <f aca="false">(G563+G565)*G566</f>
        <v>90.8379288798984</v>
      </c>
    </row>
    <row r="568" customFormat="false" ht="15" hidden="false" customHeight="false" outlineLevel="0" collapsed="false">
      <c r="A568" s="4" t="s">
        <v>485</v>
      </c>
      <c r="B568" s="4" t="s">
        <v>218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381</v>
      </c>
      <c r="B569" s="0" t="s">
        <v>255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170.406797160109</v>
      </c>
      <c r="F569" s="20" t="n">
        <f aca="false">F567/F568</f>
        <v>217.069469127811</v>
      </c>
      <c r="G569" s="20" t="n">
        <f aca="false">G567/G568</f>
        <v>231.4203141515</v>
      </c>
    </row>
    <row r="570" customFormat="false" ht="17.15" hidden="false" customHeight="false" outlineLevel="0" collapsed="false">
      <c r="A570" s="0" t="s">
        <v>486</v>
      </c>
      <c r="B570" s="0" t="s">
        <v>52</v>
      </c>
      <c r="D570" s="14" t="n">
        <f aca="false">D569/C569-1</f>
        <v>1.15499904075659</v>
      </c>
      <c r="E570" s="14" t="n">
        <f aca="false">E569/D569-1</f>
        <v>0.608198395097761</v>
      </c>
      <c r="F570" s="14" t="n">
        <f aca="false">F569/E569-1</f>
        <v>0.273831048675008</v>
      </c>
      <c r="G570" s="14" t="n">
        <f aca="false">G569/F569-1</f>
        <v>0.0661117617385383</v>
      </c>
    </row>
    <row r="573" customFormat="false" ht="17.15" hidden="false" customHeight="false" outlineLevel="0" collapsed="false">
      <c r="A573" s="1" t="s">
        <v>810</v>
      </c>
    </row>
    <row r="574" customFormat="false" ht="17.15" hidden="false" customHeight="false" outlineLevel="0" collapsed="false">
      <c r="A574" s="5" t="s">
        <v>21</v>
      </c>
      <c r="B574" s="5" t="s">
        <v>22</v>
      </c>
      <c r="C574" s="11" t="s">
        <v>350</v>
      </c>
      <c r="D574" s="11" t="s">
        <v>439</v>
      </c>
      <c r="E574" s="11" t="s">
        <v>440</v>
      </c>
      <c r="F574" s="11" t="s">
        <v>441</v>
      </c>
      <c r="G574" s="11" t="s">
        <v>442</v>
      </c>
      <c r="H574" s="5" t="s">
        <v>415</v>
      </c>
    </row>
    <row r="575" customFormat="false" ht="17.15" hidden="false" customHeight="false" outlineLevel="0" collapsed="false">
      <c r="A575" s="6" t="s">
        <v>458</v>
      </c>
    </row>
    <row r="576" customFormat="false" ht="17.15" hidden="false" customHeight="false" outlineLevel="0" collapsed="false">
      <c r="A576" s="0" t="s">
        <v>459</v>
      </c>
      <c r="B576" s="0" t="s">
        <v>32</v>
      </c>
      <c r="D576" s="20" t="n">
        <f aca="false">itc_26*1</f>
        <v>781.872916666666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460</v>
      </c>
      <c r="B577" s="0" t="s">
        <v>32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461</v>
      </c>
      <c r="B578" s="0" t="s">
        <v>417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462</v>
      </c>
      <c r="B579" s="0" t="s">
        <v>52</v>
      </c>
      <c r="D579" s="14" t="n">
        <f aca="false">lpenA_26</f>
        <v>0.55</v>
      </c>
      <c r="E579" s="14" t="n">
        <f aca="false">lpenA_27</f>
        <v>0.85</v>
      </c>
      <c r="F579" s="14" t="n">
        <f aca="false">lpenA_28</f>
        <v>0.95</v>
      </c>
      <c r="G579" s="14" t="n">
        <f aca="false">lpenA_29</f>
        <v>0.95</v>
      </c>
    </row>
    <row r="580" customFormat="false" ht="17.15" hidden="false" customHeight="false" outlineLevel="0" collapsed="false">
      <c r="A580" s="4" t="s">
        <v>463</v>
      </c>
      <c r="B580" s="0" t="s">
        <v>422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464</v>
      </c>
    </row>
    <row r="581" customFormat="false" ht="17.15" hidden="false" customHeight="false" outlineLevel="0" collapsed="false">
      <c r="A581" s="0" t="s">
        <v>465</v>
      </c>
      <c r="B581" s="0" t="s">
        <v>32</v>
      </c>
      <c r="D581" s="20" t="n">
        <f aca="false">D578*D579*D580/1000</f>
        <v>4.51368758595869</v>
      </c>
      <c r="E581" s="20" t="n">
        <f aca="false">E578*E579*E580/1000</f>
        <v>11.5612471431652</v>
      </c>
      <c r="F581" s="20" t="n">
        <f aca="false">F578*F579*F580/1000</f>
        <v>17.6393273261943</v>
      </c>
      <c r="G581" s="20" t="n">
        <f aca="false">G578*G579*G580/1000</f>
        <v>20.0939825685161</v>
      </c>
    </row>
    <row r="582" customFormat="false" ht="17.15" hidden="false" customHeight="false" outlineLevel="0" collapsed="false">
      <c r="A582" s="0" t="s">
        <v>466</v>
      </c>
      <c r="B582" s="0" t="s">
        <v>192</v>
      </c>
      <c r="D582" s="19" t="n">
        <f aca="false">D581*fx</f>
        <v>144.438002750678</v>
      </c>
      <c r="E582" s="19" t="n">
        <f aca="false">E581*fx</f>
        <v>369.959908581285</v>
      </c>
      <c r="F582" s="19" t="n">
        <f aca="false">F581*fx</f>
        <v>564.458474438216</v>
      </c>
      <c r="G582" s="19" t="n">
        <f aca="false">G581*fx</f>
        <v>643.007442192516</v>
      </c>
    </row>
    <row r="583" customFormat="false" ht="17.15" hidden="false" customHeight="false" outlineLevel="0" collapsed="false">
      <c r="A583" s="4" t="s">
        <v>467</v>
      </c>
      <c r="B583" s="0" t="s">
        <v>52</v>
      </c>
      <c r="D583" s="14" t="n">
        <f aca="false">a26_lc/D582</f>
        <v>0.498927641116677</v>
      </c>
      <c r="H583" s="8" t="s">
        <v>468</v>
      </c>
    </row>
    <row r="584" customFormat="false" ht="17.15" hidden="false" customHeight="false" outlineLevel="0" collapsed="false">
      <c r="A584" s="4" t="s">
        <v>469</v>
      </c>
      <c r="B584" s="0" t="s">
        <v>73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429</v>
      </c>
      <c r="B585" s="0" t="s">
        <v>52</v>
      </c>
      <c r="D585" s="14" t="n">
        <f aca="false">$D$583*D584</f>
        <v>0.498927641116677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0.424088494949176</v>
      </c>
    </row>
    <row r="586" customFormat="false" ht="15" hidden="false" customHeight="false" outlineLevel="0" collapsed="false">
      <c r="A586" s="4" t="s">
        <v>470</v>
      </c>
      <c r="B586" s="0" t="s">
        <v>192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175.354063271392</v>
      </c>
      <c r="F586" s="19" t="n">
        <f aca="false">F582*F585</f>
        <v>253.4615416438</v>
      </c>
      <c r="G586" s="19" t="n">
        <f aca="false">G582*G585</f>
        <v>272.692058400543</v>
      </c>
    </row>
    <row r="587" customFormat="false" ht="17.15" hidden="false" customHeight="false" outlineLevel="0" collapsed="false">
      <c r="A587" s="6" t="s">
        <v>471</v>
      </c>
    </row>
    <row r="588" customFormat="false" ht="17.15" hidden="false" customHeight="false" outlineLevel="0" collapsed="false">
      <c r="A588" s="0" t="s">
        <v>472</v>
      </c>
      <c r="B588" s="0" t="s">
        <v>473</v>
      </c>
      <c r="D588" s="22" t="n">
        <f aca="false">a26_air/D578</f>
        <v>2.0210686815691</v>
      </c>
    </row>
    <row r="589" customFormat="false" ht="17.15" hidden="false" customHeight="false" outlineLevel="0" collapsed="false">
      <c r="A589" s="0" t="s">
        <v>474</v>
      </c>
      <c r="B589" s="0" t="s">
        <v>73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475</v>
      </c>
      <c r="B590" s="0" t="s">
        <v>192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63.1282305747746</v>
      </c>
      <c r="F590" s="19" t="n">
        <f aca="false">F578*$D$588*F589</f>
        <v>69.3527491354095</v>
      </c>
      <c r="G590" s="19" t="n">
        <f aca="false">G578*$D$588*G589</f>
        <v>72.9265345869151</v>
      </c>
    </row>
    <row r="591" customFormat="false" ht="15" hidden="false" customHeight="false" outlineLevel="0" collapsed="false">
      <c r="A591" s="4" t="s">
        <v>476</v>
      </c>
      <c r="B591" s="0" t="s">
        <v>192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477</v>
      </c>
      <c r="B592" s="0" t="s">
        <v>192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356</v>
      </c>
      <c r="B593" s="0" t="s">
        <v>192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351.307669196167</v>
      </c>
      <c r="F593" s="19" t="n">
        <f aca="false">F586+F590+F591+F592</f>
        <v>441.621437825909</v>
      </c>
      <c r="G593" s="19" t="n">
        <f aca="false">G586+G590+G591+G592</f>
        <v>469.538959020978</v>
      </c>
    </row>
    <row r="594" customFormat="false" ht="15" hidden="false" customHeight="false" outlineLevel="0" collapsed="false">
      <c r="A594" s="4" t="s">
        <v>478</v>
      </c>
      <c r="B594" s="0" t="s">
        <v>52</v>
      </c>
      <c r="D594" s="14" t="n">
        <f aca="false">D593/C593-1</f>
        <v>0.612732474451979</v>
      </c>
      <c r="E594" s="14" t="n">
        <f aca="false">E593/D593-1</f>
        <v>0.559978344599227</v>
      </c>
      <c r="F594" s="14" t="n">
        <f aca="false">F593/E593-1</f>
        <v>0.257078841564692</v>
      </c>
      <c r="G594" s="14" t="n">
        <f aca="false">G593/F593-1</f>
        <v>0.06321595557613</v>
      </c>
    </row>
    <row r="595" customFormat="false" ht="17.15" hidden="false" customHeight="false" outlineLevel="0" collapsed="false">
      <c r="A595" s="4" t="s">
        <v>479</v>
      </c>
      <c r="B595" s="0" t="s">
        <v>52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0.499146698597906</v>
      </c>
      <c r="F595" s="14" t="n">
        <f aca="false">F586/F593</f>
        <v>0.573933962290382</v>
      </c>
      <c r="G595" s="14" t="n">
        <f aca="false">G586/G593</f>
        <v>0.58076556409531</v>
      </c>
    </row>
    <row r="596" customFormat="false" ht="17.15" hidden="false" customHeight="false" outlineLevel="0" collapsed="false">
      <c r="A596" s="0" t="s">
        <v>480</v>
      </c>
      <c r="B596" s="0" t="s">
        <v>52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0.678841695633466</v>
      </c>
      <c r="F596" s="14" t="n">
        <f aca="false">(F586+F590)/F593</f>
        <v>0.730975136461707</v>
      </c>
      <c r="G596" s="14" t="n">
        <f aca="false">(G586+G590)/G593</f>
        <v>0.736080758257201</v>
      </c>
    </row>
    <row r="597" customFormat="false" ht="17.15" hidden="false" customHeight="false" outlineLevel="0" collapsed="false">
      <c r="A597" s="4" t="s">
        <v>434</v>
      </c>
      <c r="B597" s="0" t="s">
        <v>422</v>
      </c>
      <c r="D597" s="18" t="n">
        <f aca="false">(D586+D590)/fx/D578*1000</f>
        <v>159.399762088039</v>
      </c>
      <c r="E597" s="18" t="n">
        <f aca="false">(E586+E590)/fx/E578*1000</f>
        <v>178.947189172339</v>
      </c>
      <c r="F597" s="18" t="n">
        <f aca="false">(F586+F590)/fx/F578*1000</f>
        <v>191.088047055512</v>
      </c>
      <c r="G597" s="18" t="n">
        <f aca="false">(G586+G590)/fx/G578*1000</f>
        <v>179.594844492719</v>
      </c>
    </row>
    <row r="598" customFormat="false" ht="17.15" hidden="false" customHeight="false" outlineLevel="0" collapsed="false">
      <c r="A598" s="6" t="s">
        <v>481</v>
      </c>
    </row>
    <row r="599" customFormat="false" ht="17.15" hidden="false" customHeight="false" outlineLevel="0" collapsed="false">
      <c r="A599" s="4" t="s">
        <v>482</v>
      </c>
      <c r="B599" s="0" t="s">
        <v>52</v>
      </c>
      <c r="D599" s="14" t="n">
        <f aca="false">a26_gp/D593-d_lc_hi*D595</f>
        <v>0.290021503074929</v>
      </c>
      <c r="H599" s="8" t="s">
        <v>483</v>
      </c>
    </row>
    <row r="600" customFormat="false" ht="15" hidden="false" customHeight="false" outlineLevel="0" collapsed="false">
      <c r="A600" s="4" t="s">
        <v>360</v>
      </c>
      <c r="B600" s="0" t="s">
        <v>192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119.422184589161</v>
      </c>
      <c r="F600" s="19" t="n">
        <f aca="false">$D$599*F593+d_lc_hi*F586</f>
        <v>153.425867352761</v>
      </c>
      <c r="G600" s="19" t="n">
        <f aca="false">$D$599*G593+d_lc_hi*G586</f>
        <v>163.445600487556</v>
      </c>
    </row>
    <row r="601" customFormat="false" ht="15" hidden="false" customHeight="false" outlineLevel="0" collapsed="false">
      <c r="A601" s="4" t="s">
        <v>363</v>
      </c>
      <c r="B601" s="0" t="s">
        <v>52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0.339936172934719</v>
      </c>
      <c r="F601" s="14" t="n">
        <f aca="false">F600/F593</f>
        <v>0.347414899303967</v>
      </c>
      <c r="G601" s="14" t="n">
        <f aca="false">G600/G593</f>
        <v>0.34809805948446</v>
      </c>
    </row>
    <row r="602" customFormat="false" ht="15" hidden="false" customHeight="false" outlineLevel="0" collapsed="false">
      <c r="A602" s="4" t="s">
        <v>484</v>
      </c>
      <c r="B602" s="0" t="s">
        <v>192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16.2929875493975</v>
      </c>
      <c r="F602" s="19" t="n">
        <f aca="false">E602*(1+MAX(0,phi*F594))</f>
        <v>19.2249952047765</v>
      </c>
      <c r="G602" s="19" t="n">
        <f aca="false">F602*(1+MAX(0,phi*G594))</f>
        <v>20.075723714748</v>
      </c>
    </row>
    <row r="603" customFormat="false" ht="15" hidden="false" customHeight="false" outlineLevel="0" collapsed="false">
      <c r="A603" s="4" t="s">
        <v>365</v>
      </c>
      <c r="B603" s="0" t="s">
        <v>192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16.2929875493975</v>
      </c>
      <c r="F603" s="19" t="n">
        <f aca="false">F602+0*F593</f>
        <v>19.2249952047765</v>
      </c>
      <c r="G603" s="19" t="n">
        <f aca="false">G602+0*G593</f>
        <v>20.075723714748</v>
      </c>
    </row>
    <row r="604" customFormat="false" ht="15" hidden="false" customHeight="false" outlineLevel="0" collapsed="false">
      <c r="A604" s="4" t="s">
        <v>367</v>
      </c>
      <c r="B604" s="0" t="s">
        <v>192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103.129197039764</v>
      </c>
      <c r="F604" s="19" t="n">
        <f aca="false">F600-F603</f>
        <v>134.200872147985</v>
      </c>
      <c r="G604" s="19" t="n">
        <f aca="false">G600-G603</f>
        <v>143.369876772808</v>
      </c>
    </row>
    <row r="605" customFormat="false" ht="15" hidden="false" customHeight="false" outlineLevel="0" collapsed="false">
      <c r="A605" s="4" t="s">
        <v>370</v>
      </c>
      <c r="B605" s="0" t="s">
        <v>52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0.293558057743902</v>
      </c>
      <c r="F605" s="14" t="n">
        <f aca="false">F604/F593</f>
        <v>0.303882150306498</v>
      </c>
      <c r="G605" s="14" t="n">
        <f aca="false">G604/G593</f>
        <v>0.305341812470139</v>
      </c>
    </row>
    <row r="606" customFormat="false" ht="15" hidden="false" customHeight="false" outlineLevel="0" collapsed="false">
      <c r="A606" s="4" t="s">
        <v>372</v>
      </c>
      <c r="B606" s="0" t="s">
        <v>192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235</v>
      </c>
      <c r="B607" s="0" t="s">
        <v>52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376</v>
      </c>
      <c r="B608" s="0" t="s">
        <v>192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70.2872080018405</v>
      </c>
      <c r="F608" s="19" t="n">
        <f aca="false">(F604+F606)*F607</f>
        <v>91.2605886998897</v>
      </c>
      <c r="G608" s="19" t="n">
        <f aca="false">(G604+G606)*G607</f>
        <v>97.4496668216453</v>
      </c>
    </row>
    <row r="609" customFormat="false" ht="15" hidden="false" customHeight="false" outlineLevel="0" collapsed="false">
      <c r="A609" s="4" t="s">
        <v>485</v>
      </c>
      <c r="B609" s="4" t="s">
        <v>218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381</v>
      </c>
      <c r="B610" s="0" t="s">
        <v>255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179.064934187609</v>
      </c>
      <c r="F610" s="20" t="n">
        <f aca="false">F608/F609</f>
        <v>232.497089783967</v>
      </c>
      <c r="G610" s="20" t="n">
        <f aca="false">G608/G609</f>
        <v>248.264494665451</v>
      </c>
    </row>
    <row r="611" customFormat="false" ht="17.15" hidden="false" customHeight="false" outlineLevel="0" collapsed="false">
      <c r="A611" s="0" t="s">
        <v>486</v>
      </c>
      <c r="B611" s="0" t="s">
        <v>52</v>
      </c>
      <c r="D611" s="14" t="n">
        <f aca="false">D610/C610-1</f>
        <v>1.15499904075659</v>
      </c>
      <c r="E611" s="14" t="n">
        <f aca="false">E610/D610-1</f>
        <v>0.689908762901223</v>
      </c>
      <c r="F611" s="14" t="n">
        <f aca="false">F610/E610-1</f>
        <v>0.298395416382167</v>
      </c>
      <c r="G611" s="14" t="n">
        <f aca="false">G610/F610-1</f>
        <v>0.0678176440665785</v>
      </c>
    </row>
    <row r="614" customFormat="false" ht="17.15" hidden="false" customHeight="false" outlineLevel="0" collapsed="false">
      <c r="A614" s="1" t="s">
        <v>811</v>
      </c>
    </row>
    <row r="615" customFormat="false" ht="17.15" hidden="false" customHeight="false" outlineLevel="0" collapsed="false">
      <c r="A615" s="5" t="s">
        <v>21</v>
      </c>
      <c r="B615" s="5" t="s">
        <v>22</v>
      </c>
      <c r="C615" s="11" t="s">
        <v>350</v>
      </c>
      <c r="D615" s="11" t="s">
        <v>439</v>
      </c>
      <c r="E615" s="11" t="s">
        <v>440</v>
      </c>
      <c r="F615" s="11" t="s">
        <v>441</v>
      </c>
      <c r="G615" s="11" t="s">
        <v>442</v>
      </c>
      <c r="H615" s="5" t="s">
        <v>415</v>
      </c>
    </row>
    <row r="616" customFormat="false" ht="17.15" hidden="false" customHeight="false" outlineLevel="0" collapsed="false">
      <c r="A616" s="6" t="s">
        <v>458</v>
      </c>
    </row>
    <row r="617" customFormat="false" ht="17.15" hidden="false" customHeight="false" outlineLevel="0" collapsed="false">
      <c r="A617" s="0" t="s">
        <v>459</v>
      </c>
      <c r="B617" s="0" t="s">
        <v>32</v>
      </c>
      <c r="D617" s="20" t="n">
        <f aca="false">itc_26*1</f>
        <v>781.872916666666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460</v>
      </c>
      <c r="B618" s="0" t="s">
        <v>32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461</v>
      </c>
      <c r="B619" s="0" t="s">
        <v>417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462</v>
      </c>
      <c r="B620" s="0" t="s">
        <v>52</v>
      </c>
      <c r="D620" s="14" t="n">
        <f aca="false">lpenA_26</f>
        <v>0.55</v>
      </c>
      <c r="E620" s="14" t="n">
        <f aca="false">lpenA_27</f>
        <v>0.85</v>
      </c>
      <c r="F620" s="14" t="n">
        <f aca="false">lpenA_28</f>
        <v>0.95</v>
      </c>
      <c r="G620" s="14" t="n">
        <f aca="false">lpenA_29</f>
        <v>0.95</v>
      </c>
    </row>
    <row r="621" customFormat="false" ht="17.15" hidden="false" customHeight="false" outlineLevel="0" collapsed="false">
      <c r="A621" s="4" t="s">
        <v>463</v>
      </c>
      <c r="B621" s="0" t="s">
        <v>422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464</v>
      </c>
    </row>
    <row r="622" customFormat="false" ht="17.15" hidden="false" customHeight="false" outlineLevel="0" collapsed="false">
      <c r="A622" s="0" t="s">
        <v>465</v>
      </c>
      <c r="B622" s="0" t="s">
        <v>32</v>
      </c>
      <c r="D622" s="20" t="n">
        <f aca="false">D619*D620*D621/1000</f>
        <v>4.51368758595869</v>
      </c>
      <c r="E622" s="20" t="n">
        <f aca="false">E619*E620*E621/1000</f>
        <v>11.5612471431652</v>
      </c>
      <c r="F622" s="20" t="n">
        <f aca="false">F619*F620*F621/1000</f>
        <v>17.6393273261943</v>
      </c>
      <c r="G622" s="20" t="n">
        <f aca="false">G619*G620*G621/1000</f>
        <v>20.0939825685161</v>
      </c>
    </row>
    <row r="623" customFormat="false" ht="17.15" hidden="false" customHeight="false" outlineLevel="0" collapsed="false">
      <c r="A623" s="0" t="s">
        <v>466</v>
      </c>
      <c r="B623" s="0" t="s">
        <v>192</v>
      </c>
      <c r="D623" s="19" t="n">
        <f aca="false">D622*fx</f>
        <v>144.438002750678</v>
      </c>
      <c r="E623" s="19" t="n">
        <f aca="false">E622*fx</f>
        <v>369.959908581285</v>
      </c>
      <c r="F623" s="19" t="n">
        <f aca="false">F622*fx</f>
        <v>564.458474438216</v>
      </c>
      <c r="G623" s="19" t="n">
        <f aca="false">G622*fx</f>
        <v>643.007442192516</v>
      </c>
    </row>
    <row r="624" customFormat="false" ht="17.15" hidden="false" customHeight="false" outlineLevel="0" collapsed="false">
      <c r="A624" s="4" t="s">
        <v>467</v>
      </c>
      <c r="B624" s="0" t="s">
        <v>52</v>
      </c>
      <c r="D624" s="14" t="n">
        <f aca="false">a26_lc/D623</f>
        <v>0.498927641116677</v>
      </c>
      <c r="H624" s="8" t="s">
        <v>468</v>
      </c>
    </row>
    <row r="625" customFormat="false" ht="17.15" hidden="false" customHeight="false" outlineLevel="0" collapsed="false">
      <c r="A625" s="4" t="s">
        <v>469</v>
      </c>
      <c r="B625" s="0" t="s">
        <v>73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429</v>
      </c>
      <c r="B626" s="0" t="s">
        <v>52</v>
      </c>
      <c r="D626" s="14" t="n">
        <f aca="false">$D$624*D625</f>
        <v>0.498927641116677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0.424088494949176</v>
      </c>
    </row>
    <row r="627" customFormat="false" ht="15" hidden="false" customHeight="false" outlineLevel="0" collapsed="false">
      <c r="A627" s="4" t="s">
        <v>470</v>
      </c>
      <c r="B627" s="0" t="s">
        <v>192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175.354063271392</v>
      </c>
      <c r="F627" s="19" t="n">
        <f aca="false">F623*F626</f>
        <v>253.4615416438</v>
      </c>
      <c r="G627" s="19" t="n">
        <f aca="false">G623*G626</f>
        <v>272.692058400543</v>
      </c>
    </row>
    <row r="628" customFormat="false" ht="17.15" hidden="false" customHeight="false" outlineLevel="0" collapsed="false">
      <c r="A628" s="6" t="s">
        <v>471</v>
      </c>
    </row>
    <row r="629" customFormat="false" ht="17.15" hidden="false" customHeight="false" outlineLevel="0" collapsed="false">
      <c r="A629" s="0" t="s">
        <v>472</v>
      </c>
      <c r="B629" s="0" t="s">
        <v>473</v>
      </c>
      <c r="D629" s="22" t="n">
        <f aca="false">a26_air/D619</f>
        <v>2.0210686815691</v>
      </c>
    </row>
    <row r="630" customFormat="false" ht="17.15" hidden="false" customHeight="false" outlineLevel="0" collapsed="false">
      <c r="A630" s="0" t="s">
        <v>474</v>
      </c>
      <c r="B630" s="0" t="s">
        <v>73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475</v>
      </c>
      <c r="B631" s="0" t="s">
        <v>192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63.1282305747746</v>
      </c>
      <c r="F631" s="19" t="n">
        <f aca="false">F619*$D$629*F630</f>
        <v>69.3527491354095</v>
      </c>
      <c r="G631" s="19" t="n">
        <f aca="false">G619*$D$629*G630</f>
        <v>72.9265345869151</v>
      </c>
    </row>
    <row r="632" customFormat="false" ht="15" hidden="false" customHeight="false" outlineLevel="0" collapsed="false">
      <c r="A632" s="4" t="s">
        <v>476</v>
      </c>
      <c r="B632" s="0" t="s">
        <v>192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477</v>
      </c>
      <c r="B633" s="0" t="s">
        <v>192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356</v>
      </c>
      <c r="B634" s="0" t="s">
        <v>192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351.307669196167</v>
      </c>
      <c r="F634" s="19" t="n">
        <f aca="false">F627+F631+F632+F633</f>
        <v>441.621437825909</v>
      </c>
      <c r="G634" s="19" t="n">
        <f aca="false">G627+G631+G632+G633</f>
        <v>469.538959020978</v>
      </c>
    </row>
    <row r="635" customFormat="false" ht="15" hidden="false" customHeight="false" outlineLevel="0" collapsed="false">
      <c r="A635" s="4" t="s">
        <v>478</v>
      </c>
      <c r="B635" s="0" t="s">
        <v>52</v>
      </c>
      <c r="D635" s="14" t="n">
        <f aca="false">D634/C634-1</f>
        <v>0.612732474451979</v>
      </c>
      <c r="E635" s="14" t="n">
        <f aca="false">E634/D634-1</f>
        <v>0.559978344599227</v>
      </c>
      <c r="F635" s="14" t="n">
        <f aca="false">F634/E634-1</f>
        <v>0.257078841564692</v>
      </c>
      <c r="G635" s="14" t="n">
        <f aca="false">G634/F634-1</f>
        <v>0.06321595557613</v>
      </c>
    </row>
    <row r="636" customFormat="false" ht="17.15" hidden="false" customHeight="false" outlineLevel="0" collapsed="false">
      <c r="A636" s="4" t="s">
        <v>479</v>
      </c>
      <c r="B636" s="0" t="s">
        <v>52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0.499146698597906</v>
      </c>
      <c r="F636" s="14" t="n">
        <f aca="false">F627/F634</f>
        <v>0.573933962290382</v>
      </c>
      <c r="G636" s="14" t="n">
        <f aca="false">G627/G634</f>
        <v>0.58076556409531</v>
      </c>
    </row>
    <row r="637" customFormat="false" ht="17.15" hidden="false" customHeight="false" outlineLevel="0" collapsed="false">
      <c r="A637" s="0" t="s">
        <v>480</v>
      </c>
      <c r="B637" s="0" t="s">
        <v>52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0.678841695633466</v>
      </c>
      <c r="F637" s="14" t="n">
        <f aca="false">(F627+F631)/F634</f>
        <v>0.730975136461707</v>
      </c>
      <c r="G637" s="14" t="n">
        <f aca="false">(G627+G631)/G634</f>
        <v>0.736080758257201</v>
      </c>
    </row>
    <row r="638" customFormat="false" ht="17.15" hidden="false" customHeight="false" outlineLevel="0" collapsed="false">
      <c r="A638" s="4" t="s">
        <v>434</v>
      </c>
      <c r="B638" s="0" t="s">
        <v>422</v>
      </c>
      <c r="D638" s="18" t="n">
        <f aca="false">(D627+D631)/fx/D619*1000</f>
        <v>159.399762088039</v>
      </c>
      <c r="E638" s="18" t="n">
        <f aca="false">(E627+E631)/fx/E619*1000</f>
        <v>178.947189172339</v>
      </c>
      <c r="F638" s="18" t="n">
        <f aca="false">(F627+F631)/fx/F619*1000</f>
        <v>191.088047055512</v>
      </c>
      <c r="G638" s="18" t="n">
        <f aca="false">(G627+G631)/fx/G619*1000</f>
        <v>179.594844492719</v>
      </c>
    </row>
    <row r="639" customFormat="false" ht="17.15" hidden="false" customHeight="false" outlineLevel="0" collapsed="false">
      <c r="A639" s="6" t="s">
        <v>481</v>
      </c>
    </row>
    <row r="640" customFormat="false" ht="17.15" hidden="false" customHeight="false" outlineLevel="0" collapsed="false">
      <c r="A640" s="4" t="s">
        <v>482</v>
      </c>
      <c r="B640" s="0" t="s">
        <v>52</v>
      </c>
      <c r="D640" s="14" t="n">
        <f aca="false">a26_gp/D634-d_lc*D636</f>
        <v>0.302821503074929</v>
      </c>
      <c r="H640" s="8" t="s">
        <v>483</v>
      </c>
    </row>
    <row r="641" customFormat="false" ht="15" hidden="false" customHeight="false" outlineLevel="0" collapsed="false">
      <c r="A641" s="4" t="s">
        <v>360</v>
      </c>
      <c r="B641" s="0" t="s">
        <v>192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116.904760224016</v>
      </c>
      <c r="F641" s="19" t="n">
        <f aca="false">$D$640*F634+d_lc*F627</f>
        <v>148.940160091181</v>
      </c>
      <c r="G641" s="19" t="n">
        <f aca="false">$D$640*G634+d_lc*G627</f>
        <v>158.548016827003</v>
      </c>
    </row>
    <row r="642" customFormat="false" ht="15" hidden="false" customHeight="false" outlineLevel="0" collapsed="false">
      <c r="A642" s="4" t="s">
        <v>363</v>
      </c>
      <c r="B642" s="0" t="s">
        <v>52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0.332770304990803</v>
      </c>
      <c r="F642" s="14" t="n">
        <f aca="false">F641/F634</f>
        <v>0.337257540812352</v>
      </c>
      <c r="G642" s="14" t="n">
        <f aca="false">G641/G634</f>
        <v>0.337667436920647</v>
      </c>
    </row>
    <row r="643" customFormat="false" ht="15" hidden="false" customHeight="false" outlineLevel="0" collapsed="false">
      <c r="A643" s="4" t="s">
        <v>484</v>
      </c>
      <c r="B643" s="0" t="s">
        <v>192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16.2929875493975</v>
      </c>
      <c r="F643" s="19" t="n">
        <f aca="false">E643*(1+MAX(0,phi*F635))</f>
        <v>19.2249952047765</v>
      </c>
      <c r="G643" s="19" t="n">
        <f aca="false">F643*(1+MAX(0,phi*G635))</f>
        <v>20.075723714748</v>
      </c>
    </row>
    <row r="644" customFormat="false" ht="15" hidden="false" customHeight="false" outlineLevel="0" collapsed="false">
      <c r="A644" s="4" t="s">
        <v>365</v>
      </c>
      <c r="B644" s="0" t="s">
        <v>192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23.3191409333208</v>
      </c>
      <c r="F644" s="19" t="n">
        <f aca="false">F643+opx_adj_hi*F634</f>
        <v>28.0574239612946</v>
      </c>
      <c r="G644" s="19" t="n">
        <f aca="false">G643+opx_adj_hi*G634</f>
        <v>29.4665028951676</v>
      </c>
    </row>
    <row r="645" customFormat="false" ht="15" hidden="false" customHeight="false" outlineLevel="0" collapsed="false">
      <c r="A645" s="4" t="s">
        <v>367</v>
      </c>
      <c r="B645" s="0" t="s">
        <v>192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93.5856192906956</v>
      </c>
      <c r="F645" s="19" t="n">
        <f aca="false">F641-F644</f>
        <v>120.882736129886</v>
      </c>
      <c r="G645" s="19" t="n">
        <f aca="false">G641-G644</f>
        <v>129.081513931835</v>
      </c>
    </row>
    <row r="646" customFormat="false" ht="15" hidden="false" customHeight="false" outlineLevel="0" collapsed="false">
      <c r="A646" s="4" t="s">
        <v>370</v>
      </c>
      <c r="B646" s="0" t="s">
        <v>52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0.266392189799985</v>
      </c>
      <c r="F646" s="14" t="n">
        <f aca="false">F645/F634</f>
        <v>0.273724791814883</v>
      </c>
      <c r="G646" s="14" t="n">
        <f aca="false">G645/G634</f>
        <v>0.274911189906327</v>
      </c>
    </row>
    <row r="647" customFormat="false" ht="15" hidden="false" customHeight="false" outlineLevel="0" collapsed="false">
      <c r="A647" s="4" t="s">
        <v>372</v>
      </c>
      <c r="B647" s="0" t="s">
        <v>192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235</v>
      </c>
      <c r="B648" s="0" t="s">
        <v>52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376</v>
      </c>
      <c r="B649" s="0" t="s">
        <v>192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63.8452930212196</v>
      </c>
      <c r="F649" s="19" t="n">
        <f aca="false">(F645+F647)*F648</f>
        <v>82.2708468876732</v>
      </c>
      <c r="G649" s="19" t="n">
        <f aca="false">(G645+G647)*G648</f>
        <v>87.8050219039887</v>
      </c>
    </row>
    <row r="650" customFormat="false" ht="15" hidden="false" customHeight="false" outlineLevel="0" collapsed="false">
      <c r="A650" s="4" t="s">
        <v>485</v>
      </c>
      <c r="B650" s="4" t="s">
        <v>218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381</v>
      </c>
      <c r="B651" s="0" t="s">
        <v>255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162.65339765287</v>
      </c>
      <c r="F651" s="20" t="n">
        <f aca="false">F649/F650</f>
        <v>209.594664552821</v>
      </c>
      <c r="G651" s="20" t="n">
        <f aca="false">G649/G650</f>
        <v>223.693626700432</v>
      </c>
    </row>
    <row r="652" customFormat="false" ht="17.15" hidden="false" customHeight="false" outlineLevel="0" collapsed="false">
      <c r="A652" s="0" t="s">
        <v>486</v>
      </c>
      <c r="B652" s="0" t="s">
        <v>52</v>
      </c>
      <c r="D652" s="14" t="n">
        <f aca="false">D651/C651-1</f>
        <v>1.15499904075659</v>
      </c>
      <c r="E652" s="14" t="n">
        <f aca="false">E651/D651-1</f>
        <v>0.535026404004125</v>
      </c>
      <c r="F652" s="14" t="n">
        <f aca="false">F651/E651-1</f>
        <v>0.288596903460523</v>
      </c>
      <c r="G652" s="14" t="n">
        <f aca="false">G651/F651-1</f>
        <v>0.067267753106655</v>
      </c>
    </row>
    <row r="655" customFormat="false" ht="17.15" hidden="false" customHeight="false" outlineLevel="0" collapsed="false">
      <c r="A655" s="1" t="s">
        <v>812</v>
      </c>
    </row>
    <row r="656" customFormat="false" ht="17.15" hidden="false" customHeight="false" outlineLevel="0" collapsed="false">
      <c r="A656" s="5" t="s">
        <v>21</v>
      </c>
      <c r="B656" s="5" t="s">
        <v>22</v>
      </c>
      <c r="C656" s="11" t="s">
        <v>350</v>
      </c>
      <c r="D656" s="11" t="s">
        <v>439</v>
      </c>
      <c r="E656" s="11" t="s">
        <v>440</v>
      </c>
      <c r="F656" s="11" t="s">
        <v>441</v>
      </c>
      <c r="G656" s="11" t="s">
        <v>442</v>
      </c>
      <c r="H656" s="5" t="s">
        <v>415</v>
      </c>
    </row>
    <row r="657" customFormat="false" ht="17.15" hidden="false" customHeight="false" outlineLevel="0" collapsed="false">
      <c r="A657" s="6" t="s">
        <v>458</v>
      </c>
    </row>
    <row r="658" customFormat="false" ht="17.15" hidden="false" customHeight="false" outlineLevel="0" collapsed="false">
      <c r="A658" s="0" t="s">
        <v>459</v>
      </c>
      <c r="B658" s="0" t="s">
        <v>32</v>
      </c>
      <c r="D658" s="20" t="n">
        <f aca="false">itc_26*1</f>
        <v>781.872916666666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460</v>
      </c>
      <c r="B659" s="0" t="s">
        <v>32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461</v>
      </c>
      <c r="B660" s="0" t="s">
        <v>417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462</v>
      </c>
      <c r="B661" s="0" t="s">
        <v>52</v>
      </c>
      <c r="D661" s="14" t="n">
        <f aca="false">lpenA_26</f>
        <v>0.55</v>
      </c>
      <c r="E661" s="14" t="n">
        <f aca="false">lpenA_27</f>
        <v>0.85</v>
      </c>
      <c r="F661" s="14" t="n">
        <f aca="false">lpenA_28</f>
        <v>0.95</v>
      </c>
      <c r="G661" s="14" t="n">
        <f aca="false">lpenA_29</f>
        <v>0.95</v>
      </c>
    </row>
    <row r="662" customFormat="false" ht="17.15" hidden="false" customHeight="false" outlineLevel="0" collapsed="false">
      <c r="A662" s="4" t="s">
        <v>463</v>
      </c>
      <c r="B662" s="0" t="s">
        <v>422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464</v>
      </c>
    </row>
    <row r="663" customFormat="false" ht="17.15" hidden="false" customHeight="false" outlineLevel="0" collapsed="false">
      <c r="A663" s="0" t="s">
        <v>465</v>
      </c>
      <c r="B663" s="0" t="s">
        <v>32</v>
      </c>
      <c r="D663" s="20" t="n">
        <f aca="false">D660*D661*D662/1000</f>
        <v>4.51368758595869</v>
      </c>
      <c r="E663" s="20" t="n">
        <f aca="false">E660*E661*E662/1000</f>
        <v>11.5612471431652</v>
      </c>
      <c r="F663" s="20" t="n">
        <f aca="false">F660*F661*F662/1000</f>
        <v>17.6393273261943</v>
      </c>
      <c r="G663" s="20" t="n">
        <f aca="false">G660*G661*G662/1000</f>
        <v>20.0939825685161</v>
      </c>
    </row>
    <row r="664" customFormat="false" ht="17.15" hidden="false" customHeight="false" outlineLevel="0" collapsed="false">
      <c r="A664" s="0" t="s">
        <v>466</v>
      </c>
      <c r="B664" s="0" t="s">
        <v>192</v>
      </c>
      <c r="D664" s="19" t="n">
        <f aca="false">D663*fx</f>
        <v>144.438002750678</v>
      </c>
      <c r="E664" s="19" t="n">
        <f aca="false">E663*fx</f>
        <v>369.959908581285</v>
      </c>
      <c r="F664" s="19" t="n">
        <f aca="false">F663*fx</f>
        <v>564.458474438216</v>
      </c>
      <c r="G664" s="19" t="n">
        <f aca="false">G663*fx</f>
        <v>643.007442192516</v>
      </c>
    </row>
    <row r="665" customFormat="false" ht="17.15" hidden="false" customHeight="false" outlineLevel="0" collapsed="false">
      <c r="A665" s="4" t="s">
        <v>467</v>
      </c>
      <c r="B665" s="0" t="s">
        <v>52</v>
      </c>
      <c r="D665" s="14" t="n">
        <f aca="false">a26_lcLL/D664</f>
        <v>0.436561685977093</v>
      </c>
      <c r="H665" s="8" t="s">
        <v>468</v>
      </c>
    </row>
    <row r="666" customFormat="false" ht="17.15" hidden="false" customHeight="false" outlineLevel="0" collapsed="false">
      <c r="A666" s="4" t="s">
        <v>469</v>
      </c>
      <c r="B666" s="0" t="s">
        <v>73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429</v>
      </c>
      <c r="B667" s="0" t="s">
        <v>52</v>
      </c>
      <c r="D667" s="14" t="n">
        <f aca="false">$D$665*D666</f>
        <v>0.436561685977093</v>
      </c>
      <c r="E667" s="14" t="n">
        <f aca="false">$D$665*E666</f>
        <v>0.414733601678238</v>
      </c>
      <c r="F667" s="14" t="n">
        <f aca="false">$D$665*F666</f>
        <v>0.392905517379383</v>
      </c>
      <c r="G667" s="14" t="n">
        <f aca="false">$D$665*G666</f>
        <v>0.371077433080529</v>
      </c>
    </row>
    <row r="668" customFormat="false" ht="15" hidden="false" customHeight="false" outlineLevel="0" collapsed="false">
      <c r="A668" s="4" t="s">
        <v>470</v>
      </c>
      <c r="B668" s="0" t="s">
        <v>192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153.434805362468</v>
      </c>
      <c r="F668" s="19" t="n">
        <f aca="false">F664*F667</f>
        <v>221.778848938325</v>
      </c>
      <c r="G668" s="19" t="n">
        <f aca="false">G664*G667</f>
        <v>238.605551100475</v>
      </c>
    </row>
    <row r="669" customFormat="false" ht="17.15" hidden="false" customHeight="false" outlineLevel="0" collapsed="false">
      <c r="A669" s="6" t="s">
        <v>471</v>
      </c>
    </row>
    <row r="670" customFormat="false" ht="17.15" hidden="false" customHeight="false" outlineLevel="0" collapsed="false">
      <c r="A670" s="0" t="s">
        <v>472</v>
      </c>
      <c r="B670" s="0" t="s">
        <v>473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474</v>
      </c>
      <c r="B671" s="0" t="s">
        <v>73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475</v>
      </c>
      <c r="B672" s="0" t="s">
        <v>192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70.342885497606</v>
      </c>
      <c r="F672" s="19" t="n">
        <f aca="false">F660*$D$670*F671</f>
        <v>77.2787776080277</v>
      </c>
      <c r="G672" s="19" t="n">
        <f aca="false">G660*$D$670*G671</f>
        <v>81.2609956825626</v>
      </c>
    </row>
    <row r="673" customFormat="false" ht="15" hidden="false" customHeight="false" outlineLevel="0" collapsed="false">
      <c r="A673" s="4" t="s">
        <v>476</v>
      </c>
      <c r="B673" s="0" t="s">
        <v>192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477</v>
      </c>
      <c r="B674" s="0" t="s">
        <v>192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356</v>
      </c>
      <c r="B675" s="0" t="s">
        <v>192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340.494528258074</v>
      </c>
      <c r="F675" s="19" t="n">
        <f aca="false">F668+F672+F673+F674</f>
        <v>421.989723363932</v>
      </c>
      <c r="G675" s="19" t="n">
        <f aca="false">G668+G672+G673+G674</f>
        <v>448.118110075982</v>
      </c>
    </row>
    <row r="676" customFormat="false" ht="15" hidden="false" customHeight="false" outlineLevel="0" collapsed="false">
      <c r="A676" s="4" t="s">
        <v>478</v>
      </c>
      <c r="B676" s="0" t="s">
        <v>52</v>
      </c>
      <c r="D676" s="14" t="n">
        <f aca="false">D675/C675-1</f>
        <v>0.612732474451979</v>
      </c>
      <c r="E676" s="14" t="n">
        <f aca="false">E675/D675-1</f>
        <v>0.511962695697738</v>
      </c>
      <c r="F676" s="14" t="n">
        <f aca="false">F675/E675-1</f>
        <v>0.239343626233224</v>
      </c>
      <c r="G676" s="14" t="n">
        <f aca="false">G675/F675-1</f>
        <v>0.0619171161415133</v>
      </c>
    </row>
    <row r="677" customFormat="false" ht="17.15" hidden="false" customHeight="false" outlineLevel="0" collapsed="false">
      <c r="A677" s="4" t="s">
        <v>479</v>
      </c>
      <c r="B677" s="0" t="s">
        <v>52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0.450623409860419</v>
      </c>
      <c r="F677" s="14" t="n">
        <f aca="false">F668/F675</f>
        <v>0.525555094494702</v>
      </c>
      <c r="G677" s="14" t="n">
        <f aca="false">G668/G675</f>
        <v>0.532461299232066</v>
      </c>
    </row>
    <row r="678" customFormat="false" ht="17.15" hidden="false" customHeight="false" outlineLevel="0" collapsed="false">
      <c r="A678" s="0" t="s">
        <v>480</v>
      </c>
      <c r="B678" s="0" t="s">
        <v>52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0.657213764946214</v>
      </c>
      <c r="F678" s="14" t="n">
        <f aca="false">(F668+F672)/F675</f>
        <v>0.708684619526716</v>
      </c>
      <c r="G678" s="14" t="n">
        <f aca="false">(G668+G672)/G675</f>
        <v>0.713799642529069</v>
      </c>
    </row>
    <row r="679" customFormat="false" ht="17.15" hidden="false" customHeight="false" outlineLevel="0" collapsed="false">
      <c r="A679" s="4" t="s">
        <v>434</v>
      </c>
      <c r="B679" s="0" t="s">
        <v>422</v>
      </c>
      <c r="D679" s="18" t="n">
        <f aca="false">(D668+D672)/fx/D660*1000</f>
        <v>154.587693798589</v>
      </c>
      <c r="E679" s="18" t="n">
        <f aca="false">(E668+E672)/fx/E660*1000</f>
        <v>167.913467004462</v>
      </c>
      <c r="F679" s="18" t="n">
        <f aca="false">(F668+F672)/fx/F660*1000</f>
        <v>177.025427455083</v>
      </c>
      <c r="G679" s="18" t="n">
        <f aca="false">(G668+G672)/fx/G660*1000</f>
        <v>166.213230114062</v>
      </c>
    </row>
    <row r="680" customFormat="false" ht="17.15" hidden="false" customHeight="false" outlineLevel="0" collapsed="false">
      <c r="A680" s="6" t="s">
        <v>481</v>
      </c>
    </row>
    <row r="681" customFormat="false" ht="17.15" hidden="false" customHeight="false" outlineLevel="0" collapsed="false">
      <c r="A681" s="4" t="s">
        <v>482</v>
      </c>
      <c r="B681" s="0" t="s">
        <v>52</v>
      </c>
      <c r="D681" s="14" t="n">
        <f aca="false">a26_gp/D675-d_lc*D677</f>
        <v>0.305221503074929</v>
      </c>
      <c r="H681" s="8" t="s">
        <v>483</v>
      </c>
    </row>
    <row r="682" customFormat="false" ht="15" hidden="false" customHeight="false" outlineLevel="0" collapsed="false">
      <c r="A682" s="4" t="s">
        <v>360</v>
      </c>
      <c r="B682" s="0" t="s">
        <v>192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113.132340025466</v>
      </c>
      <c r="F682" s="19" t="n">
        <f aca="false">$D$681*F675+d_lc*F668</f>
        <v>142.107068583612</v>
      </c>
      <c r="G682" s="19" t="n">
        <f aca="false">$D$681*G675+d_lc*G668</f>
        <v>151.091616178516</v>
      </c>
    </row>
    <row r="683" customFormat="false" ht="15" hidden="false" customHeight="false" outlineLevel="0" collapsed="false">
      <c r="A683" s="4" t="s">
        <v>363</v>
      </c>
      <c r="B683" s="0" t="s">
        <v>52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0.332258907666554</v>
      </c>
      <c r="F683" s="14" t="n">
        <f aca="false">F682/F675</f>
        <v>0.336754808744611</v>
      </c>
      <c r="G683" s="14" t="n">
        <f aca="false">G682/G675</f>
        <v>0.337169181028853</v>
      </c>
    </row>
    <row r="684" customFormat="false" ht="15" hidden="false" customHeight="false" outlineLevel="0" collapsed="false">
      <c r="A684" s="4" t="s">
        <v>484</v>
      </c>
      <c r="B684" s="0" t="s">
        <v>192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15.8995760390178</v>
      </c>
      <c r="F684" s="19" t="n">
        <f aca="false">E684*(1+MAX(0,phi*F676))</f>
        <v>18.5633995683424</v>
      </c>
      <c r="G684" s="19" t="n">
        <f aca="false">F684*(1+MAX(0,phi*G676))</f>
        <v>19.3679740852805</v>
      </c>
    </row>
    <row r="685" customFormat="false" ht="15" hidden="false" customHeight="false" outlineLevel="0" collapsed="false">
      <c r="A685" s="4" t="s">
        <v>365</v>
      </c>
      <c r="B685" s="0" t="s">
        <v>192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15.8995760390178</v>
      </c>
      <c r="F685" s="19" t="n">
        <f aca="false">F684+0*F675</f>
        <v>18.5633995683424</v>
      </c>
      <c r="G685" s="19" t="n">
        <f aca="false">G684+0*G675</f>
        <v>19.3679740852805</v>
      </c>
    </row>
    <row r="686" customFormat="false" ht="15" hidden="false" customHeight="false" outlineLevel="0" collapsed="false">
      <c r="A686" s="4" t="s">
        <v>367</v>
      </c>
      <c r="B686" s="0" t="s">
        <v>192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97.2327639864484</v>
      </c>
      <c r="F686" s="19" t="n">
        <f aca="false">F682-F685</f>
        <v>123.54366901527</v>
      </c>
      <c r="G686" s="19" t="n">
        <f aca="false">G682-G685</f>
        <v>131.723642093236</v>
      </c>
    </row>
    <row r="687" customFormat="false" ht="15" hidden="false" customHeight="false" outlineLevel="0" collapsed="false">
      <c r="A687" s="4" t="s">
        <v>370</v>
      </c>
      <c r="B687" s="0" t="s">
        <v>52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0.285563367152708</v>
      </c>
      <c r="F687" s="14" t="n">
        <f aca="false">F686/F675</f>
        <v>0.292764638983218</v>
      </c>
      <c r="G687" s="14" t="n">
        <f aca="false">G686/G675</f>
        <v>0.293948490657744</v>
      </c>
    </row>
    <row r="688" customFormat="false" ht="15" hidden="false" customHeight="false" outlineLevel="0" collapsed="false">
      <c r="A688" s="4" t="s">
        <v>372</v>
      </c>
      <c r="B688" s="0" t="s">
        <v>192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235</v>
      </c>
      <c r="B689" s="0" t="s">
        <v>52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376</v>
      </c>
      <c r="B690" s="0" t="s">
        <v>192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66.3071156908526</v>
      </c>
      <c r="F690" s="19" t="n">
        <f aca="false">(F686+F688)*F689</f>
        <v>84.0669765853072</v>
      </c>
      <c r="G690" s="19" t="n">
        <f aca="false">(G686+G688)*G689</f>
        <v>89.588458412934</v>
      </c>
    </row>
    <row r="691" customFormat="false" ht="15" hidden="false" customHeight="false" outlineLevel="0" collapsed="false">
      <c r="A691" s="4" t="s">
        <v>485</v>
      </c>
      <c r="B691" s="4" t="s">
        <v>218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381</v>
      </c>
      <c r="B692" s="0" t="s">
        <v>255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168.925180625212</v>
      </c>
      <c r="F692" s="20" t="n">
        <f aca="false">F690/F691</f>
        <v>214.170516336417</v>
      </c>
      <c r="G692" s="20" t="n">
        <f aca="false">G690/G691</f>
        <v>228.237141092037</v>
      </c>
    </row>
    <row r="693" customFormat="false" ht="17.15" hidden="false" customHeight="false" outlineLevel="0" collapsed="false">
      <c r="A693" s="0" t="s">
        <v>486</v>
      </c>
      <c r="B693" s="0" t="s">
        <v>52</v>
      </c>
      <c r="D693" s="14" t="n">
        <f aca="false">D692/C692-1</f>
        <v>1.15499904075659</v>
      </c>
      <c r="E693" s="14" t="n">
        <f aca="false">E692/D692-1</f>
        <v>0.594215776016354</v>
      </c>
      <c r="F693" s="14" t="n">
        <f aca="false">F692/E692-1</f>
        <v>0.267842458677547</v>
      </c>
      <c r="G693" s="14" t="n">
        <f aca="false">G692/F692-1</f>
        <v>0.0656795575611542</v>
      </c>
    </row>
    <row r="696" customFormat="false" ht="17.15" hidden="false" customHeight="false" outlineLevel="0" collapsed="false">
      <c r="A696" s="1" t="s">
        <v>813</v>
      </c>
    </row>
    <row r="697" customFormat="false" ht="17.15" hidden="false" customHeight="false" outlineLevel="0" collapsed="false">
      <c r="A697" s="5" t="s">
        <v>21</v>
      </c>
      <c r="B697" s="5" t="s">
        <v>22</v>
      </c>
      <c r="C697" s="11" t="s">
        <v>350</v>
      </c>
      <c r="D697" s="11" t="s">
        <v>439</v>
      </c>
      <c r="E697" s="11" t="s">
        <v>440</v>
      </c>
      <c r="F697" s="11" t="s">
        <v>441</v>
      </c>
      <c r="G697" s="11" t="s">
        <v>442</v>
      </c>
      <c r="H697" s="5" t="s">
        <v>415</v>
      </c>
    </row>
    <row r="698" customFormat="false" ht="17.15" hidden="false" customHeight="false" outlineLevel="0" collapsed="false">
      <c r="A698" s="6" t="s">
        <v>458</v>
      </c>
    </row>
    <row r="699" customFormat="false" ht="17.15" hidden="false" customHeight="false" outlineLevel="0" collapsed="false">
      <c r="A699" s="0" t="s">
        <v>459</v>
      </c>
      <c r="B699" s="0" t="s">
        <v>32</v>
      </c>
      <c r="D699" s="20" t="n">
        <f aca="false">itc_26*1</f>
        <v>781.872916666666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460</v>
      </c>
      <c r="B700" s="0" t="s">
        <v>32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461</v>
      </c>
      <c r="B701" s="0" t="s">
        <v>417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462</v>
      </c>
      <c r="B702" s="0" t="s">
        <v>52</v>
      </c>
      <c r="D702" s="14" t="n">
        <f aca="false">lpenA_26</f>
        <v>0.55</v>
      </c>
      <c r="E702" s="14" t="n">
        <f aca="false">lpenA_27</f>
        <v>0.85</v>
      </c>
      <c r="F702" s="14" t="n">
        <f aca="false">lpenA_28</f>
        <v>0.95</v>
      </c>
      <c r="G702" s="14" t="n">
        <f aca="false">lpenA_29</f>
        <v>0.95</v>
      </c>
    </row>
    <row r="703" customFormat="false" ht="17.15" hidden="false" customHeight="false" outlineLevel="0" collapsed="false">
      <c r="A703" s="4" t="s">
        <v>463</v>
      </c>
      <c r="B703" s="0" t="s">
        <v>422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464</v>
      </c>
    </row>
    <row r="704" customFormat="false" ht="17.15" hidden="false" customHeight="false" outlineLevel="0" collapsed="false">
      <c r="A704" s="0" t="s">
        <v>465</v>
      </c>
      <c r="B704" s="0" t="s">
        <v>32</v>
      </c>
      <c r="D704" s="20" t="n">
        <f aca="false">D701*D702*D703/1000</f>
        <v>4.51368758595869</v>
      </c>
      <c r="E704" s="20" t="n">
        <f aca="false">E701*E702*E703/1000</f>
        <v>11.5612471431652</v>
      </c>
      <c r="F704" s="20" t="n">
        <f aca="false">F701*F702*F703/1000</f>
        <v>17.6393273261943</v>
      </c>
      <c r="G704" s="20" t="n">
        <f aca="false">G701*G702*G703/1000</f>
        <v>20.0939825685161</v>
      </c>
    </row>
    <row r="705" customFormat="false" ht="17.15" hidden="false" customHeight="false" outlineLevel="0" collapsed="false">
      <c r="A705" s="0" t="s">
        <v>466</v>
      </c>
      <c r="B705" s="0" t="s">
        <v>192</v>
      </c>
      <c r="D705" s="19" t="n">
        <f aca="false">D704*fx</f>
        <v>144.438002750678</v>
      </c>
      <c r="E705" s="19" t="n">
        <f aca="false">E704*fx</f>
        <v>369.959908581285</v>
      </c>
      <c r="F705" s="19" t="n">
        <f aca="false">F704*fx</f>
        <v>564.458474438216</v>
      </c>
      <c r="G705" s="19" t="n">
        <f aca="false">G704*fx</f>
        <v>643.007442192516</v>
      </c>
    </row>
    <row r="706" customFormat="false" ht="17.15" hidden="false" customHeight="false" outlineLevel="0" collapsed="false">
      <c r="A706" s="4" t="s">
        <v>467</v>
      </c>
      <c r="B706" s="0" t="s">
        <v>52</v>
      </c>
      <c r="D706" s="14" t="n">
        <f aca="false">a26_lcLH/D705</f>
        <v>0.545702107471366</v>
      </c>
      <c r="H706" s="8" t="s">
        <v>468</v>
      </c>
    </row>
    <row r="707" customFormat="false" ht="17.15" hidden="false" customHeight="false" outlineLevel="0" collapsed="false">
      <c r="A707" s="4" t="s">
        <v>469</v>
      </c>
      <c r="B707" s="0" t="s">
        <v>73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429</v>
      </c>
      <c r="B708" s="0" t="s">
        <v>52</v>
      </c>
      <c r="D708" s="14" t="n">
        <f aca="false">$D$706*D707</f>
        <v>0.545702107471366</v>
      </c>
      <c r="E708" s="14" t="n">
        <f aca="false">$D$706*E707</f>
        <v>0.518417002097797</v>
      </c>
      <c r="F708" s="14" t="n">
        <f aca="false">$D$706*F707</f>
        <v>0.491131896724229</v>
      </c>
      <c r="G708" s="14" t="n">
        <f aca="false">$D$706*G707</f>
        <v>0.463846791350661</v>
      </c>
    </row>
    <row r="709" customFormat="false" ht="15" hidden="false" customHeight="false" outlineLevel="0" collapsed="false">
      <c r="A709" s="4" t="s">
        <v>470</v>
      </c>
      <c r="B709" s="0" t="s">
        <v>192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191.793506703085</v>
      </c>
      <c r="F709" s="19" t="n">
        <f aca="false">F705*F708</f>
        <v>277.223561172906</v>
      </c>
      <c r="G709" s="19" t="n">
        <f aca="false">G705*G708</f>
        <v>298.256938875594</v>
      </c>
    </row>
    <row r="710" customFormat="false" ht="17.15" hidden="false" customHeight="false" outlineLevel="0" collapsed="false">
      <c r="A710" s="6" t="s">
        <v>471</v>
      </c>
    </row>
    <row r="711" customFormat="false" ht="17.15" hidden="false" customHeight="false" outlineLevel="0" collapsed="false">
      <c r="A711" s="0" t="s">
        <v>472</v>
      </c>
      <c r="B711" s="0" t="s">
        <v>473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474</v>
      </c>
      <c r="B712" s="0" t="s">
        <v>73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475</v>
      </c>
      <c r="B713" s="0" t="s">
        <v>192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57.7172393826511</v>
      </c>
      <c r="F713" s="19" t="n">
        <f aca="false">F701*$D$711*F712</f>
        <v>63.4082277809458</v>
      </c>
      <c r="G713" s="19" t="n">
        <f aca="false">G701*$D$711*G712</f>
        <v>66.6756887651795</v>
      </c>
    </row>
    <row r="714" customFormat="false" ht="15" hidden="false" customHeight="false" outlineLevel="0" collapsed="false">
      <c r="A714" s="4" t="s">
        <v>476</v>
      </c>
      <c r="B714" s="0" t="s">
        <v>192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477</v>
      </c>
      <c r="B715" s="0" t="s">
        <v>192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356</v>
      </c>
      <c r="B716" s="0" t="s">
        <v>192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359.417524899736</v>
      </c>
      <c r="F716" s="19" t="n">
        <f aca="false">F709+F713+F714+F715</f>
        <v>456.345223672392</v>
      </c>
      <c r="G716" s="19" t="n">
        <f aca="false">G709+G713+G714+G715</f>
        <v>485.604595729726</v>
      </c>
    </row>
    <row r="717" customFormat="false" ht="15" hidden="false" customHeight="false" outlineLevel="0" collapsed="false">
      <c r="A717" s="4" t="s">
        <v>478</v>
      </c>
      <c r="B717" s="0" t="s">
        <v>52</v>
      </c>
      <c r="D717" s="14" t="n">
        <f aca="false">D716/C716-1</f>
        <v>0.612732474451979</v>
      </c>
      <c r="E717" s="14" t="n">
        <f aca="false">E716/D716-1</f>
        <v>0.595990081275345</v>
      </c>
      <c r="F717" s="14" t="n">
        <f aca="false">F716/E716-1</f>
        <v>0.269679946184301</v>
      </c>
      <c r="G717" s="14" t="n">
        <f aca="false">G716/F716-1</f>
        <v>0.0641167487672432</v>
      </c>
    </row>
    <row r="718" customFormat="false" ht="17.15" hidden="false" customHeight="false" outlineLevel="0" collapsed="false">
      <c r="A718" s="4" t="s">
        <v>479</v>
      </c>
      <c r="B718" s="0" t="s">
        <v>52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0.533623135812835</v>
      </c>
      <c r="F718" s="14" t="n">
        <f aca="false">F709/F716</f>
        <v>0.607486496608812</v>
      </c>
      <c r="G718" s="14" t="n">
        <f aca="false">G709/G716</f>
        <v>0.614197109126199</v>
      </c>
    </row>
    <row r="719" customFormat="false" ht="17.15" hidden="false" customHeight="false" outlineLevel="0" collapsed="false">
      <c r="A719" s="0" t="s">
        <v>480</v>
      </c>
      <c r="B719" s="0" t="s">
        <v>52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0.694208625901979</v>
      </c>
      <c r="F719" s="14" t="n">
        <f aca="false">(F709+F713)/F716</f>
        <v>0.746434434467511</v>
      </c>
      <c r="G719" s="14" t="n">
        <f aca="false">(G709+G713)/G716</f>
        <v>0.751501593786162</v>
      </c>
    </row>
    <row r="720" customFormat="false" ht="17.15" hidden="false" customHeight="false" outlineLevel="0" collapsed="false">
      <c r="A720" s="4" t="s">
        <v>434</v>
      </c>
      <c r="B720" s="0" t="s">
        <v>422</v>
      </c>
      <c r="D720" s="18" t="n">
        <f aca="false">(D709+D713)/fx/D701*1000</f>
        <v>163.008813305127</v>
      </c>
      <c r="E720" s="18" t="n">
        <f aca="false">(E709+E713)/fx/E701*1000</f>
        <v>187.222480798246</v>
      </c>
      <c r="F720" s="18" t="n">
        <f aca="false">(F709+F713)/fx/F701*1000</f>
        <v>201.635011755833</v>
      </c>
      <c r="G720" s="18" t="n">
        <f aca="false">(G709+G713)/fx/G701*1000</f>
        <v>189.631055276712</v>
      </c>
    </row>
    <row r="721" customFormat="false" ht="17.15" hidden="false" customHeight="false" outlineLevel="0" collapsed="false">
      <c r="A721" s="6" t="s">
        <v>481</v>
      </c>
    </row>
    <row r="722" customFormat="false" ht="17.15" hidden="false" customHeight="false" outlineLevel="0" collapsed="false">
      <c r="A722" s="4" t="s">
        <v>482</v>
      </c>
      <c r="B722" s="0" t="s">
        <v>52</v>
      </c>
      <c r="D722" s="14" t="n">
        <f aca="false">a26_gp/D716-d_lc*D718</f>
        <v>0.301021503074929</v>
      </c>
      <c r="H722" s="8" t="s">
        <v>483</v>
      </c>
    </row>
    <row r="723" customFormat="false" ht="15" hidden="false" customHeight="false" outlineLevel="0" collapsed="false">
      <c r="A723" s="4" t="s">
        <v>360</v>
      </c>
      <c r="B723" s="0" t="s">
        <v>192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119.700013978974</v>
      </c>
      <c r="F723" s="19" t="n">
        <f aca="false">$D$722*F716+d_lc*F709</f>
        <v>154.003138821302</v>
      </c>
      <c r="G723" s="19" t="n">
        <f aca="false">$D$722*G716+d_lc*G709</f>
        <v>164.072841639191</v>
      </c>
    </row>
    <row r="724" customFormat="false" ht="15" hidden="false" customHeight="false" outlineLevel="0" collapsed="false">
      <c r="A724" s="4" t="s">
        <v>363</v>
      </c>
      <c r="B724" s="0" t="s">
        <v>52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0.333038891223699</v>
      </c>
      <c r="F724" s="14" t="n">
        <f aca="false">F723/F716</f>
        <v>0.337470692871457</v>
      </c>
      <c r="G724" s="14" t="n">
        <f aca="false">G723/G716</f>
        <v>0.337873329622501</v>
      </c>
    </row>
    <row r="725" customFormat="false" ht="15" hidden="false" customHeight="false" outlineLevel="0" collapsed="false">
      <c r="A725" s="4" t="s">
        <v>484</v>
      </c>
      <c r="B725" s="0" t="s">
        <v>192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16.5880461821823</v>
      </c>
      <c r="F725" s="19" t="n">
        <f aca="false">E725*(1+MAX(0,phi*F717))</f>
        <v>19.7194705633818</v>
      </c>
      <c r="G725" s="19" t="n">
        <f aca="false">F725*(1+MAX(0,phi*G717))</f>
        <v>20.6045144013366</v>
      </c>
    </row>
    <row r="726" customFormat="false" ht="15" hidden="false" customHeight="false" outlineLevel="0" collapsed="false">
      <c r="A726" s="4" t="s">
        <v>365</v>
      </c>
      <c r="B726" s="0" t="s">
        <v>192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16.5880461821823</v>
      </c>
      <c r="F726" s="19" t="n">
        <f aca="false">F725+0*F716</f>
        <v>19.7194705633818</v>
      </c>
      <c r="G726" s="19" t="n">
        <f aca="false">G725+0*G716</f>
        <v>20.6045144013366</v>
      </c>
    </row>
    <row r="727" customFormat="false" ht="15" hidden="false" customHeight="false" outlineLevel="0" collapsed="false">
      <c r="A727" s="4" t="s">
        <v>367</v>
      </c>
      <c r="B727" s="0" t="s">
        <v>192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103.111967796792</v>
      </c>
      <c r="F727" s="19" t="n">
        <f aca="false">F723-F726</f>
        <v>134.28366825792</v>
      </c>
      <c r="G727" s="19" t="n">
        <f aca="false">G723-G726</f>
        <v>143.468327237854</v>
      </c>
    </row>
    <row r="728" customFormat="false" ht="15" hidden="false" customHeight="false" outlineLevel="0" collapsed="false">
      <c r="A728" s="4" t="s">
        <v>370</v>
      </c>
      <c r="B728" s="0" t="s">
        <v>52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0.286886310915297</v>
      </c>
      <c r="F728" s="14" t="n">
        <f aca="false">F727/F716</f>
        <v>0.29425895416914</v>
      </c>
      <c r="G728" s="14" t="n">
        <f aca="false">G727/G716</f>
        <v>0.295442688350719</v>
      </c>
    </row>
    <row r="729" customFormat="false" ht="15" hidden="false" customHeight="false" outlineLevel="0" collapsed="false">
      <c r="A729" s="4" t="s">
        <v>372</v>
      </c>
      <c r="B729" s="0" t="s">
        <v>192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235</v>
      </c>
      <c r="B730" s="0" t="s">
        <v>52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376</v>
      </c>
      <c r="B731" s="0" t="s">
        <v>192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70.2755782628346</v>
      </c>
      <c r="F731" s="19" t="n">
        <f aca="false">(F727+F729)*F730</f>
        <v>91.3164760740963</v>
      </c>
      <c r="G731" s="19" t="n">
        <f aca="false">(G727+G729)*G730</f>
        <v>97.5161208855516</v>
      </c>
    </row>
    <row r="732" customFormat="false" ht="15" hidden="false" customHeight="false" outlineLevel="0" collapsed="false">
      <c r="A732" s="4" t="s">
        <v>485</v>
      </c>
      <c r="B732" s="4" t="s">
        <v>218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381</v>
      </c>
      <c r="B733" s="0" t="s">
        <v>255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179.035306058837</v>
      </c>
      <c r="F733" s="20" t="n">
        <f aca="false">F731/F732</f>
        <v>232.639469446905</v>
      </c>
      <c r="G733" s="20" t="n">
        <f aca="false">G731/G732</f>
        <v>248.433794213949</v>
      </c>
    </row>
    <row r="734" customFormat="false" ht="17.15" hidden="false" customHeight="false" outlineLevel="0" collapsed="false">
      <c r="A734" s="0" t="s">
        <v>486</v>
      </c>
      <c r="B734" s="0" t="s">
        <v>52</v>
      </c>
      <c r="D734" s="14" t="n">
        <f aca="false">D733/C733-1</f>
        <v>1.15499904075659</v>
      </c>
      <c r="E734" s="14" t="n">
        <f aca="false">E733/D733-1</f>
        <v>0.689629150174881</v>
      </c>
      <c r="F734" s="14" t="n">
        <f aca="false">F733/E733-1</f>
        <v>0.299405545018322</v>
      </c>
      <c r="G734" s="14" t="n">
        <f aca="false">G733/F733-1</f>
        <v>0.0678918534528727</v>
      </c>
    </row>
    <row r="737" customFormat="false" ht="17.15" hidden="false" customHeight="false" outlineLevel="0" collapsed="false">
      <c r="A737" s="1" t="s">
        <v>814</v>
      </c>
    </row>
    <row r="738" customFormat="false" ht="17.15" hidden="false" customHeight="false" outlineLevel="0" collapsed="false">
      <c r="A738" s="5" t="s">
        <v>21</v>
      </c>
      <c r="B738" s="5" t="s">
        <v>22</v>
      </c>
      <c r="C738" s="11" t="s">
        <v>350</v>
      </c>
      <c r="D738" s="11" t="s">
        <v>439</v>
      </c>
      <c r="E738" s="11" t="s">
        <v>440</v>
      </c>
      <c r="F738" s="11" t="s">
        <v>441</v>
      </c>
      <c r="G738" s="11" t="s">
        <v>442</v>
      </c>
      <c r="H738" s="5" t="s">
        <v>415</v>
      </c>
    </row>
    <row r="739" customFormat="false" ht="17.15" hidden="false" customHeight="false" outlineLevel="0" collapsed="false">
      <c r="A739" s="6" t="s">
        <v>458</v>
      </c>
    </row>
    <row r="740" customFormat="false" ht="17.15" hidden="false" customHeight="false" outlineLevel="0" collapsed="false">
      <c r="A740" s="0" t="s">
        <v>459</v>
      </c>
      <c r="B740" s="0" t="s">
        <v>32</v>
      </c>
      <c r="D740" s="20" t="n">
        <f aca="false">itc_26*1</f>
        <v>781.872916666666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460</v>
      </c>
      <c r="B741" s="0" t="s">
        <v>32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461</v>
      </c>
      <c r="B742" s="0" t="s">
        <v>417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4" t="n">
        <f aca="false">lpenA_26</f>
        <v>0.55</v>
      </c>
      <c r="E743" s="14" t="n">
        <f aca="false">lpenA_27</f>
        <v>0.85</v>
      </c>
      <c r="F743" s="14" t="n">
        <f aca="false">lpenA_28</f>
        <v>0.95</v>
      </c>
      <c r="G743" s="14" t="n">
        <f aca="false">lpenA_29</f>
        <v>0.95</v>
      </c>
    </row>
    <row r="744" customFormat="false" ht="17.15" hidden="false" customHeight="false" outlineLevel="0" collapsed="false">
      <c r="A744" s="4" t="s">
        <v>463</v>
      </c>
      <c r="B744" s="0" t="s">
        <v>422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464</v>
      </c>
    </row>
    <row r="745" customFormat="false" ht="17.15" hidden="false" customHeight="false" outlineLevel="0" collapsed="false">
      <c r="A745" s="0" t="s">
        <v>465</v>
      </c>
      <c r="B745" s="0" t="s">
        <v>32</v>
      </c>
      <c r="D745" s="20" t="n">
        <f aca="false">D742*D743*D744/1000</f>
        <v>4.51368758595869</v>
      </c>
      <c r="E745" s="20" t="n">
        <f aca="false">E742*E743*E744/1000</f>
        <v>11.5612471431652</v>
      </c>
      <c r="F745" s="20" t="n">
        <f aca="false">F742*F743*F744/1000</f>
        <v>17.6393273261943</v>
      </c>
      <c r="G745" s="20" t="n">
        <f aca="false">G742*G743*G744/1000</f>
        <v>20.0939825685161</v>
      </c>
    </row>
    <row r="746" customFormat="false" ht="17.15" hidden="false" customHeight="false" outlineLevel="0" collapsed="false">
      <c r="A746" s="0" t="s">
        <v>466</v>
      </c>
      <c r="B746" s="0" t="s">
        <v>192</v>
      </c>
      <c r="D746" s="19" t="n">
        <f aca="false">D745*fx</f>
        <v>144.438002750678</v>
      </c>
      <c r="E746" s="19" t="n">
        <f aca="false">E745*fx</f>
        <v>369.959908581285</v>
      </c>
      <c r="F746" s="19" t="n">
        <f aca="false">F745*fx</f>
        <v>564.458474438216</v>
      </c>
      <c r="G746" s="19" t="n">
        <f aca="false">G745*fx</f>
        <v>643.007442192516</v>
      </c>
    </row>
    <row r="747" customFormat="false" ht="17.15" hidden="false" customHeight="false" outlineLevel="0" collapsed="false">
      <c r="A747" s="4" t="s">
        <v>467</v>
      </c>
      <c r="B747" s="0" t="s">
        <v>52</v>
      </c>
      <c r="D747" s="14" t="n">
        <f aca="false">a26_lc/D746</f>
        <v>0.498927641116677</v>
      </c>
      <c r="H747" s="8" t="s">
        <v>468</v>
      </c>
    </row>
    <row r="748" customFormat="false" ht="17.15" hidden="false" customHeight="false" outlineLevel="0" collapsed="false">
      <c r="A748" s="4" t="s">
        <v>469</v>
      </c>
      <c r="B748" s="0" t="s">
        <v>73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429</v>
      </c>
      <c r="B749" s="0" t="s">
        <v>52</v>
      </c>
      <c r="D749" s="14" t="n">
        <f aca="false">$D$747*D748</f>
        <v>0.498927641116677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0.424088494949176</v>
      </c>
    </row>
    <row r="750" customFormat="false" ht="15" hidden="false" customHeight="false" outlineLevel="0" collapsed="false">
      <c r="A750" s="4" t="s">
        <v>470</v>
      </c>
      <c r="B750" s="0" t="s">
        <v>192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175.354063271392</v>
      </c>
      <c r="F750" s="19" t="n">
        <f aca="false">F746*F749</f>
        <v>253.4615416438</v>
      </c>
      <c r="G750" s="19" t="n">
        <f aca="false">G746*G749</f>
        <v>272.692058400543</v>
      </c>
    </row>
    <row r="751" customFormat="false" ht="17.15" hidden="false" customHeight="false" outlineLevel="0" collapsed="false">
      <c r="A751" s="6" t="s">
        <v>471</v>
      </c>
    </row>
    <row r="752" customFormat="false" ht="17.15" hidden="false" customHeight="false" outlineLevel="0" collapsed="false">
      <c r="A752" s="0" t="s">
        <v>472</v>
      </c>
      <c r="B752" s="0" t="s">
        <v>473</v>
      </c>
      <c r="D752" s="22" t="n">
        <f aca="false">a26_airL/D742</f>
        <v>1.34737912104607</v>
      </c>
    </row>
    <row r="753" customFormat="false" ht="17.15" hidden="false" customHeight="false" outlineLevel="0" collapsed="false">
      <c r="A753" s="0" t="s">
        <v>474</v>
      </c>
      <c r="B753" s="0" t="s">
        <v>73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475</v>
      </c>
      <c r="B754" s="0" t="s">
        <v>192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46.235166090273</v>
      </c>
      <c r="G754" s="19" t="n">
        <f aca="false">G742*$D$752*G753</f>
        <v>48.6176897246101</v>
      </c>
    </row>
    <row r="755" customFormat="false" ht="15" hidden="false" customHeight="false" outlineLevel="0" collapsed="false">
      <c r="A755" s="4" t="s">
        <v>476</v>
      </c>
      <c r="B755" s="0" t="s">
        <v>192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477</v>
      </c>
      <c r="B756" s="0" t="s">
        <v>192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356</v>
      </c>
      <c r="B757" s="0" t="s">
        <v>192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347.290072131242</v>
      </c>
      <c r="F757" s="19" t="n">
        <f aca="false">F750+F754+F755+F756</f>
        <v>436.550510028373</v>
      </c>
      <c r="G757" s="19" t="n">
        <f aca="false">G750+G754+G755+G756</f>
        <v>464.179102168653</v>
      </c>
    </row>
    <row r="758" customFormat="false" ht="15" hidden="false" customHeight="false" outlineLevel="0" collapsed="false">
      <c r="A758" s="4" t="s">
        <v>478</v>
      </c>
      <c r="B758" s="0" t="s">
        <v>52</v>
      </c>
      <c r="D758" s="14" t="n">
        <f aca="false">D757/C757-1</f>
        <v>0.612732474451979</v>
      </c>
      <c r="E758" s="14" t="n">
        <f aca="false">E757/D757-1</f>
        <v>0.542138243263129</v>
      </c>
      <c r="F758" s="14" t="n">
        <f aca="false">F757/E757-1</f>
        <v>0.25701983747868</v>
      </c>
      <c r="G758" s="14" t="n">
        <f aca="false">G757/F757-1</f>
        <v>0.063288420252871</v>
      </c>
    </row>
    <row r="759" customFormat="false" ht="17.15" hidden="false" customHeight="false" outlineLevel="0" collapsed="false">
      <c r="A759" s="4" t="s">
        <v>479</v>
      </c>
      <c r="B759" s="0" t="s">
        <v>52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0.504921036743962</v>
      </c>
      <c r="F759" s="14" t="n">
        <f aca="false">F750/F757</f>
        <v>0.580600722760183</v>
      </c>
      <c r="G759" s="14" t="n">
        <f aca="false">G750/G757</f>
        <v>0.587471639990945</v>
      </c>
    </row>
    <row r="760" customFormat="false" ht="17.15" hidden="false" customHeight="false" outlineLevel="0" collapsed="false">
      <c r="A760" s="0" t="s">
        <v>480</v>
      </c>
      <c r="B760" s="0" t="s">
        <v>52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0.626103559444886</v>
      </c>
      <c r="F760" s="14" t="n">
        <f aca="false">(F750+F754)/F757</f>
        <v>0.686510955432384</v>
      </c>
      <c r="G760" s="14" t="n">
        <f aca="false">(G750+G754)/G757</f>
        <v>0.692210714838278</v>
      </c>
    </row>
    <row r="761" customFormat="false" ht="17.15" hidden="false" customHeight="false" outlineLevel="0" collapsed="false">
      <c r="A761" s="4" t="s">
        <v>434</v>
      </c>
      <c r="B761" s="0" t="s">
        <v>422</v>
      </c>
      <c r="D761" s="18" t="n">
        <f aca="false">(D750+D754)/fx/D742*1000</f>
        <v>138.346963321694</v>
      </c>
      <c r="E761" s="18" t="n">
        <f aca="false">(E750+E754)/fx/E742*1000</f>
        <v>163.15759009758</v>
      </c>
      <c r="F761" s="18" t="n">
        <f aca="false">(F750+F754)/fx/F742*1000</f>
        <v>177.403727857388</v>
      </c>
      <c r="G761" s="18" t="n">
        <f aca="false">(G750+G754)/fx/G742*1000</f>
        <v>166.963165232912</v>
      </c>
    </row>
    <row r="762" customFormat="false" ht="17.15" hidden="false" customHeight="false" outlineLevel="0" collapsed="false">
      <c r="A762" s="6" t="s">
        <v>481</v>
      </c>
    </row>
    <row r="763" customFormat="false" ht="17.15" hidden="false" customHeight="false" outlineLevel="0" collapsed="false">
      <c r="A763" s="4" t="s">
        <v>482</v>
      </c>
      <c r="B763" s="0" t="s">
        <v>52</v>
      </c>
      <c r="D763" s="14" t="n">
        <f aca="false">a26_gp/D757-d_lc*D759</f>
        <v>0.302821503074929</v>
      </c>
      <c r="H763" s="8" t="s">
        <v>483</v>
      </c>
    </row>
    <row r="764" customFormat="false" ht="15" hidden="false" customHeight="false" outlineLevel="0" collapsed="false">
      <c r="A764" s="4" t="s">
        <v>360</v>
      </c>
      <c r="B764" s="0" t="s">
        <v>192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115.688145442067</v>
      </c>
      <c r="F764" s="19" t="n">
        <f aca="false">$D$763*F757+d_lc*F750</f>
        <v>147.404574113547</v>
      </c>
      <c r="G764" s="19" t="n">
        <f aca="false">$D$763*G757+d_lc*G750</f>
        <v>156.924936918715</v>
      </c>
    </row>
    <row r="765" customFormat="false" ht="15" hidden="false" customHeight="false" outlineLevel="0" collapsed="false">
      <c r="A765" s="4" t="s">
        <v>363</v>
      </c>
      <c r="B765" s="0" t="s">
        <v>52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0.333116765279566</v>
      </c>
      <c r="F765" s="14" t="n">
        <f aca="false">F764/F757</f>
        <v>0.33765754644054</v>
      </c>
      <c r="G765" s="14" t="n">
        <f aca="false">G764/G757</f>
        <v>0.338069801474385</v>
      </c>
    </row>
    <row r="766" customFormat="false" ht="15" hidden="false" customHeight="false" outlineLevel="0" collapsed="false">
      <c r="A766" s="4" t="s">
        <v>484</v>
      </c>
      <c r="B766" s="0" t="s">
        <v>192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16.1468164286789</v>
      </c>
      <c r="F766" s="19" t="n">
        <f aca="false">E766*(1+MAX(0,phi*F758))</f>
        <v>19.0518529226869</v>
      </c>
      <c r="G766" s="19" t="n">
        <f aca="false">F766*(1+MAX(0,phi*G758))</f>
        <v>19.8958860947438</v>
      </c>
    </row>
    <row r="767" customFormat="false" ht="15" hidden="false" customHeight="false" outlineLevel="0" collapsed="false">
      <c r="A767" s="4" t="s">
        <v>365</v>
      </c>
      <c r="B767" s="0" t="s">
        <v>192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16.1468164286789</v>
      </c>
      <c r="F767" s="19" t="n">
        <f aca="false">F766+0*F757</f>
        <v>19.0518529226869</v>
      </c>
      <c r="G767" s="19" t="n">
        <f aca="false">G766+0*G757</f>
        <v>19.8958860947438</v>
      </c>
    </row>
    <row r="768" customFormat="false" ht="15" hidden="false" customHeight="false" outlineLevel="0" collapsed="false">
      <c r="A768" s="4" t="s">
        <v>367</v>
      </c>
      <c r="B768" s="0" t="s">
        <v>192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99.5413290133876</v>
      </c>
      <c r="F768" s="19" t="n">
        <f aca="false">F764-F767</f>
        <v>128.35272119086</v>
      </c>
      <c r="G768" s="19" t="n">
        <f aca="false">G764-G767</f>
        <v>137.029050823971</v>
      </c>
    </row>
    <row r="769" customFormat="false" ht="15" hidden="false" customHeight="false" outlineLevel="0" collapsed="false">
      <c r="A769" s="4" t="s">
        <v>370</v>
      </c>
      <c r="B769" s="0" t="s">
        <v>52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0.286623019202722</v>
      </c>
      <c r="F769" s="14" t="n">
        <f aca="false">F768/F757</f>
        <v>0.29401573985681</v>
      </c>
      <c r="G769" s="14" t="n">
        <f aca="false">G768/G757</f>
        <v>0.295207281378608</v>
      </c>
    </row>
    <row r="770" customFormat="false" ht="15" hidden="false" customHeight="false" outlineLevel="0" collapsed="false">
      <c r="A770" s="4" t="s">
        <v>372</v>
      </c>
      <c r="B770" s="0" t="s">
        <v>192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235</v>
      </c>
      <c r="B771" s="0" t="s">
        <v>52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376</v>
      </c>
      <c r="B772" s="0" t="s">
        <v>192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67.8653970840366</v>
      </c>
      <c r="F772" s="19" t="n">
        <f aca="false">(F768+F770)*F771</f>
        <v>87.3130868038302</v>
      </c>
      <c r="G772" s="19" t="n">
        <f aca="false">(G768+G770)*G771</f>
        <v>93.1696093061807</v>
      </c>
    </row>
    <row r="773" customFormat="false" ht="15" hidden="false" customHeight="false" outlineLevel="0" collapsed="false">
      <c r="A773" s="4" t="s">
        <v>485</v>
      </c>
      <c r="B773" s="4" t="s">
        <v>218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381</v>
      </c>
      <c r="B774" s="0" t="s">
        <v>255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172.895085861865</v>
      </c>
      <c r="F774" s="20" t="n">
        <f aca="false">F772/F773</f>
        <v>222.440364139026</v>
      </c>
      <c r="G774" s="20" t="n">
        <f aca="false">G772/G773</f>
        <v>237.360544443018</v>
      </c>
    </row>
    <row r="775" customFormat="false" ht="17.15" hidden="false" customHeight="false" outlineLevel="0" collapsed="false">
      <c r="A775" s="0" t="s">
        <v>486</v>
      </c>
      <c r="B775" s="0" t="s">
        <v>52</v>
      </c>
      <c r="D775" s="14" t="n">
        <f aca="false">D774/C774-1</f>
        <v>1.15499904075659</v>
      </c>
      <c r="E775" s="14" t="n">
        <f aca="false">E774/D774-1</f>
        <v>0.631681389693007</v>
      </c>
      <c r="F775" s="14" t="n">
        <f aca="false">F774/E774-1</f>
        <v>0.286562674874087</v>
      </c>
      <c r="G775" s="14" t="n">
        <f aca="false">G774/F774-1</f>
        <v>0.0670749679885732</v>
      </c>
    </row>
    <row r="778" customFormat="false" ht="17.15" hidden="false" customHeight="false" outlineLevel="0" collapsed="false">
      <c r="A778" s="1" t="s">
        <v>815</v>
      </c>
    </row>
    <row r="779" customFormat="false" ht="17.15" hidden="false" customHeight="false" outlineLevel="0" collapsed="false">
      <c r="A779" s="5" t="s">
        <v>21</v>
      </c>
      <c r="B779" s="5" t="s">
        <v>22</v>
      </c>
      <c r="C779" s="11" t="s">
        <v>350</v>
      </c>
      <c r="D779" s="11" t="s">
        <v>439</v>
      </c>
      <c r="E779" s="11" t="s">
        <v>440</v>
      </c>
      <c r="F779" s="11" t="s">
        <v>441</v>
      </c>
      <c r="G779" s="11" t="s">
        <v>442</v>
      </c>
      <c r="H779" s="5" t="s">
        <v>415</v>
      </c>
    </row>
    <row r="780" customFormat="false" ht="17.15" hidden="false" customHeight="false" outlineLevel="0" collapsed="false">
      <c r="A780" s="6" t="s">
        <v>458</v>
      </c>
    </row>
    <row r="781" customFormat="false" ht="17.15" hidden="false" customHeight="false" outlineLevel="0" collapsed="false">
      <c r="A781" s="0" t="s">
        <v>459</v>
      </c>
      <c r="B781" s="0" t="s">
        <v>32</v>
      </c>
      <c r="D781" s="20" t="n">
        <f aca="false">itc_26*1</f>
        <v>781.872916666666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460</v>
      </c>
      <c r="B782" s="0" t="s">
        <v>32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461</v>
      </c>
      <c r="B783" s="0" t="s">
        <v>417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462</v>
      </c>
      <c r="B784" s="0" t="s">
        <v>52</v>
      </c>
      <c r="D784" s="14" t="n">
        <f aca="false">lpenA_26</f>
        <v>0.55</v>
      </c>
      <c r="E784" s="14" t="n">
        <f aca="false">lpenA_27</f>
        <v>0.85</v>
      </c>
      <c r="F784" s="14" t="n">
        <f aca="false">lpenA_28</f>
        <v>0.95</v>
      </c>
      <c r="G784" s="14" t="n">
        <f aca="false">lpenA_29</f>
        <v>0.95</v>
      </c>
    </row>
    <row r="785" customFormat="false" ht="17.15" hidden="false" customHeight="false" outlineLevel="0" collapsed="false">
      <c r="A785" s="4" t="s">
        <v>463</v>
      </c>
      <c r="B785" s="0" t="s">
        <v>422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464</v>
      </c>
    </row>
    <row r="786" customFormat="false" ht="17.15" hidden="false" customHeight="false" outlineLevel="0" collapsed="false">
      <c r="A786" s="0" t="s">
        <v>465</v>
      </c>
      <c r="B786" s="0" t="s">
        <v>32</v>
      </c>
      <c r="D786" s="20" t="n">
        <f aca="false">D783*D784*D785/1000</f>
        <v>4.51368758595869</v>
      </c>
      <c r="E786" s="20" t="n">
        <f aca="false">E783*E784*E785/1000</f>
        <v>11.5612471431652</v>
      </c>
      <c r="F786" s="20" t="n">
        <f aca="false">F783*F784*F785/1000</f>
        <v>17.6393273261943</v>
      </c>
      <c r="G786" s="20" t="n">
        <f aca="false">G783*G784*G785/1000</f>
        <v>20.0939825685161</v>
      </c>
    </row>
    <row r="787" customFormat="false" ht="17.15" hidden="false" customHeight="false" outlineLevel="0" collapsed="false">
      <c r="A787" s="0" t="s">
        <v>466</v>
      </c>
      <c r="B787" s="0" t="s">
        <v>192</v>
      </c>
      <c r="D787" s="19" t="n">
        <f aca="false">D786*fx</f>
        <v>144.438002750678</v>
      </c>
      <c r="E787" s="19" t="n">
        <f aca="false">E786*fx</f>
        <v>369.959908581285</v>
      </c>
      <c r="F787" s="19" t="n">
        <f aca="false">F786*fx</f>
        <v>564.458474438216</v>
      </c>
      <c r="G787" s="19" t="n">
        <f aca="false">G786*fx</f>
        <v>643.007442192516</v>
      </c>
    </row>
    <row r="788" customFormat="false" ht="17.15" hidden="false" customHeight="false" outlineLevel="0" collapsed="false">
      <c r="A788" s="4" t="s">
        <v>467</v>
      </c>
      <c r="B788" s="0" t="s">
        <v>52</v>
      </c>
      <c r="D788" s="14" t="n">
        <f aca="false">a26_lc/D787</f>
        <v>0.498927641116677</v>
      </c>
      <c r="H788" s="8" t="s">
        <v>468</v>
      </c>
    </row>
    <row r="789" customFormat="false" ht="17.15" hidden="false" customHeight="false" outlineLevel="0" collapsed="false">
      <c r="A789" s="4" t="s">
        <v>469</v>
      </c>
      <c r="B789" s="0" t="s">
        <v>73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429</v>
      </c>
      <c r="B790" s="0" t="s">
        <v>52</v>
      </c>
      <c r="D790" s="14" t="n">
        <f aca="false">$D$788*D789</f>
        <v>0.498927641116677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0.424088494949176</v>
      </c>
    </row>
    <row r="791" customFormat="false" ht="15" hidden="false" customHeight="false" outlineLevel="0" collapsed="false">
      <c r="A791" s="4" t="s">
        <v>470</v>
      </c>
      <c r="B791" s="0" t="s">
        <v>192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175.354063271392</v>
      </c>
      <c r="F791" s="19" t="n">
        <f aca="false">F787*F790</f>
        <v>253.4615416438</v>
      </c>
      <c r="G791" s="19" t="n">
        <f aca="false">G787*G790</f>
        <v>272.692058400543</v>
      </c>
    </row>
    <row r="792" customFormat="false" ht="17.15" hidden="false" customHeight="false" outlineLevel="0" collapsed="false">
      <c r="A792" s="6" t="s">
        <v>471</v>
      </c>
    </row>
    <row r="793" customFormat="false" ht="17.15" hidden="false" customHeight="false" outlineLevel="0" collapsed="false">
      <c r="A793" s="0" t="s">
        <v>472</v>
      </c>
      <c r="B793" s="0" t="s">
        <v>473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474</v>
      </c>
      <c r="B794" s="0" t="s">
        <v>73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475</v>
      </c>
      <c r="B795" s="0" t="s">
        <v>192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84.1709740996995</v>
      </c>
      <c r="F795" s="19" t="n">
        <f aca="false">F783*$D$793*F794</f>
        <v>92.4703321805459</v>
      </c>
      <c r="G795" s="19" t="n">
        <f aca="false">G783*$D$793*G794</f>
        <v>97.2353794492202</v>
      </c>
    </row>
    <row r="796" customFormat="false" ht="15" hidden="false" customHeight="false" outlineLevel="0" collapsed="false">
      <c r="A796" s="4" t="s">
        <v>476</v>
      </c>
      <c r="B796" s="0" t="s">
        <v>192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477</v>
      </c>
      <c r="B797" s="0" t="s">
        <v>192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356</v>
      </c>
      <c r="B798" s="0" t="s">
        <v>192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355.325266261091</v>
      </c>
      <c r="F798" s="19" t="n">
        <f aca="false">F791+F795+F796+F797</f>
        <v>446.692365623445</v>
      </c>
      <c r="G798" s="19" t="n">
        <f aca="false">G791+G795+G796+G797</f>
        <v>474.898815873303</v>
      </c>
    </row>
    <row r="799" customFormat="false" ht="15" hidden="false" customHeight="false" outlineLevel="0" collapsed="false">
      <c r="A799" s="4" t="s">
        <v>478</v>
      </c>
      <c r="B799" s="0" t="s">
        <v>52</v>
      </c>
      <c r="D799" s="14" t="n">
        <f aca="false">D798/C798-1</f>
        <v>0.612732474451979</v>
      </c>
      <c r="E799" s="14" t="n">
        <f aca="false">E798/D798-1</f>
        <v>0.577818445935326</v>
      </c>
      <c r="F799" s="14" t="n">
        <f aca="false">F798/E798-1</f>
        <v>0.257136511354129</v>
      </c>
      <c r="G799" s="14" t="n">
        <f aca="false">G798/F798-1</f>
        <v>0.0631451361620885</v>
      </c>
    </row>
    <row r="800" customFormat="false" ht="17.15" hidden="false" customHeight="false" outlineLevel="0" collapsed="false">
      <c r="A800" s="4" t="s">
        <v>479</v>
      </c>
      <c r="B800" s="0" t="s">
        <v>52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0.493502939198651</v>
      </c>
      <c r="F800" s="14" t="n">
        <f aca="false">F791/F798</f>
        <v>0.567418566220726</v>
      </c>
      <c r="G800" s="14" t="n">
        <f aca="false">G791/G798</f>
        <v>0.574210861947682</v>
      </c>
    </row>
    <row r="801" customFormat="false" ht="17.15" hidden="false" customHeight="false" outlineLevel="0" collapsed="false">
      <c r="A801" s="0" t="s">
        <v>480</v>
      </c>
      <c r="B801" s="0" t="s">
        <v>52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0.730387231119089</v>
      </c>
      <c r="F801" s="14" t="n">
        <f aca="false">(F791+F795)/F798</f>
        <v>0.774429787582178</v>
      </c>
      <c r="G801" s="14" t="n">
        <f aca="false">(G791+G795)/G798</f>
        <v>0.778960539561453</v>
      </c>
    </row>
    <row r="802" customFormat="false" ht="17.15" hidden="false" customHeight="false" outlineLevel="0" collapsed="false">
      <c r="A802" s="4" t="s">
        <v>434</v>
      </c>
      <c r="B802" s="0" t="s">
        <v>422</v>
      </c>
      <c r="D802" s="18" t="n">
        <f aca="false">(D791+D795)/fx/D783*1000</f>
        <v>180.452560854384</v>
      </c>
      <c r="E802" s="18" t="n">
        <f aca="false">(E791+E795)/fx/E783*1000</f>
        <v>194.736788247097</v>
      </c>
      <c r="F802" s="18" t="n">
        <f aca="false">(F791+F795)/fx/F783*1000</f>
        <v>204.772366253636</v>
      </c>
      <c r="G802" s="18" t="n">
        <f aca="false">(G791+G795)/fx/G783*1000</f>
        <v>192.226523752526</v>
      </c>
    </row>
    <row r="803" customFormat="false" ht="17.15" hidden="false" customHeight="false" outlineLevel="0" collapsed="false">
      <c r="A803" s="6" t="s">
        <v>481</v>
      </c>
    </row>
    <row r="804" customFormat="false" ht="17.15" hidden="false" customHeight="false" outlineLevel="0" collapsed="false">
      <c r="A804" s="4" t="s">
        <v>482</v>
      </c>
      <c r="B804" s="0" t="s">
        <v>52</v>
      </c>
      <c r="D804" s="14" t="n">
        <f aca="false">a26_gp/D798-d_lc*D800</f>
        <v>0.302821503074929</v>
      </c>
      <c r="H804" s="8" t="s">
        <v>483</v>
      </c>
    </row>
    <row r="805" customFormat="false" ht="15" hidden="false" customHeight="false" outlineLevel="0" collapsed="false">
      <c r="A805" s="4" t="s">
        <v>360</v>
      </c>
      <c r="B805" s="0" t="s">
        <v>192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118.121375005966</v>
      </c>
      <c r="F805" s="19" t="n">
        <f aca="false">$D$804*F798+d_lc*F791</f>
        <v>150.475746068815</v>
      </c>
      <c r="G805" s="19" t="n">
        <f aca="false">$D$804*G798+d_lc*G791</f>
        <v>160.17109673529</v>
      </c>
    </row>
    <row r="806" customFormat="false" ht="15" hidden="false" customHeight="false" outlineLevel="0" collapsed="false">
      <c r="A806" s="4" t="s">
        <v>363</v>
      </c>
      <c r="B806" s="0" t="s">
        <v>52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0.332431679426848</v>
      </c>
      <c r="F806" s="14" t="n">
        <f aca="false">F805/F798</f>
        <v>0.336866617048172</v>
      </c>
      <c r="G806" s="14" t="n">
        <f aca="false">G805/G798</f>
        <v>0.33727415479179</v>
      </c>
    </row>
    <row r="807" customFormat="false" ht="15" hidden="false" customHeight="false" outlineLevel="0" collapsed="false">
      <c r="A807" s="4" t="s">
        <v>484</v>
      </c>
      <c r="B807" s="0" t="s">
        <v>192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16.4391586701161</v>
      </c>
      <c r="F807" s="19" t="n">
        <f aca="false">E807*(1+MAX(0,phi*F799))</f>
        <v>19.3981342071375</v>
      </c>
      <c r="G807" s="19" t="n">
        <f aca="false">F807*(1+MAX(0,phi*G799))</f>
        <v>20.2555626851977</v>
      </c>
    </row>
    <row r="808" customFormat="false" ht="15" hidden="false" customHeight="false" outlineLevel="0" collapsed="false">
      <c r="A808" s="4" t="s">
        <v>365</v>
      </c>
      <c r="B808" s="0" t="s">
        <v>192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16.4391586701161</v>
      </c>
      <c r="F808" s="19" t="n">
        <f aca="false">F807+0*F798</f>
        <v>19.3981342071375</v>
      </c>
      <c r="G808" s="19" t="n">
        <f aca="false">G807+0*G798</f>
        <v>20.2555626851977</v>
      </c>
    </row>
    <row r="809" customFormat="false" ht="15" hidden="false" customHeight="false" outlineLevel="0" collapsed="false">
      <c r="A809" s="4" t="s">
        <v>367</v>
      </c>
      <c r="B809" s="0" t="s">
        <v>192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101.68221633585</v>
      </c>
      <c r="F809" s="19" t="n">
        <f aca="false">F805-F808</f>
        <v>131.077611861678</v>
      </c>
      <c r="G809" s="19" t="n">
        <f aca="false">G805-G808</f>
        <v>139.915534050092</v>
      </c>
    </row>
    <row r="810" customFormat="false" ht="15" hidden="false" customHeight="false" outlineLevel="0" collapsed="false">
      <c r="A810" s="4" t="s">
        <v>370</v>
      </c>
      <c r="B810" s="0" t="s">
        <v>52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0.286166580287974</v>
      </c>
      <c r="F810" s="14" t="n">
        <f aca="false">F809/F798</f>
        <v>0.293440456898639</v>
      </c>
      <c r="G810" s="14" t="n">
        <f aca="false">G809/G798</f>
        <v>0.294621779152678</v>
      </c>
    </row>
    <row r="811" customFormat="false" ht="15" hidden="false" customHeight="false" outlineLevel="0" collapsed="false">
      <c r="A811" s="4" t="s">
        <v>372</v>
      </c>
      <c r="B811" s="0" t="s">
        <v>192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235</v>
      </c>
      <c r="B812" s="0" t="s">
        <v>52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376</v>
      </c>
      <c r="B813" s="0" t="s">
        <v>192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69.310496026699</v>
      </c>
      <c r="F813" s="19" t="n">
        <f aca="false">(F809+F811)*F812</f>
        <v>89.1523880066325</v>
      </c>
      <c r="G813" s="19" t="n">
        <f aca="false">(G809+G811)*G812</f>
        <v>95.1179854838124</v>
      </c>
    </row>
    <row r="814" customFormat="false" ht="15" hidden="false" customHeight="false" outlineLevel="0" collapsed="false">
      <c r="A814" s="4" t="s">
        <v>485</v>
      </c>
      <c r="B814" s="4" t="s">
        <v>218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381</v>
      </c>
      <c r="B815" s="0" t="s">
        <v>255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176.576645485853</v>
      </c>
      <c r="F815" s="20" t="n">
        <f aca="false">F813/F814</f>
        <v>227.12620041271</v>
      </c>
      <c r="G815" s="20" t="n">
        <f aca="false">G813/G814</f>
        <v>242.32426205165</v>
      </c>
    </row>
    <row r="816" customFormat="false" ht="17.15" hidden="false" customHeight="false" outlineLevel="0" collapsed="false">
      <c r="A816" s="0" t="s">
        <v>486</v>
      </c>
      <c r="B816" s="0" t="s">
        <v>52</v>
      </c>
      <c r="D816" s="14" t="n">
        <f aca="false">D815/C815-1</f>
        <v>1.15499904075659</v>
      </c>
      <c r="E816" s="14" t="n">
        <f aca="false">E815/D815-1</f>
        <v>0.666425768305976</v>
      </c>
      <c r="F816" s="14" t="n">
        <f aca="false">F815/E815-1</f>
        <v>0.286275428937779</v>
      </c>
      <c r="G816" s="14" t="n">
        <f aca="false">G815/F815-1</f>
        <v>0.0669146122786535</v>
      </c>
    </row>
    <row r="819" customFormat="false" ht="17.15" hidden="false" customHeight="false" outlineLevel="0" collapsed="false">
      <c r="A819" s="1" t="s">
        <v>816</v>
      </c>
    </row>
    <row r="820" customFormat="false" ht="17.15" hidden="false" customHeight="false" outlineLevel="0" collapsed="false">
      <c r="A820" s="5" t="s">
        <v>741</v>
      </c>
      <c r="B820" s="5" t="s">
        <v>742</v>
      </c>
      <c r="C820" s="11" t="s">
        <v>817</v>
      </c>
      <c r="D820" s="11" t="s">
        <v>818</v>
      </c>
      <c r="E820" s="5" t="s">
        <v>819</v>
      </c>
      <c r="F820" s="5" t="s">
        <v>820</v>
      </c>
    </row>
    <row r="821" customFormat="false" ht="17.15" hidden="false" customHeight="false" outlineLevel="0" collapsed="false">
      <c r="A821" s="4" t="s">
        <v>24</v>
      </c>
      <c r="B821" s="0" t="s">
        <v>821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1" s="18" t="n">
        <f aca="false">Val!B115</f>
        <v>4928.54975488515</v>
      </c>
      <c r="E821" s="18" t="n">
        <f aca="false">tp_w_dcf*C821+(1-tp_w_dcf)*D821</f>
        <v>3965.52216912283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822</v>
      </c>
      <c r="B822" s="0" t="s">
        <v>823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22" s="18" t="n">
        <f aca="false">Val!B115</f>
        <v>4928.54975488515</v>
      </c>
      <c r="E822" s="18" t="n">
        <f aca="false">tp_w_dcf*C822+(1-tp_w_dcf)*D822</f>
        <v>3761.32858906466</v>
      </c>
      <c r="F822" s="14" t="n">
        <f aca="false">E822/E$821-1</f>
        <v>-0.0514922301148894</v>
      </c>
    </row>
    <row r="823" customFormat="false" ht="17.15" hidden="false" customHeight="false" outlineLevel="0" collapsed="false">
      <c r="A823" s="4" t="s">
        <v>824</v>
      </c>
      <c r="B823" s="0" t="s">
        <v>825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23" s="18" t="n">
        <f aca="false">Val!B115</f>
        <v>4928.54975488515</v>
      </c>
      <c r="E823" s="18" t="n">
        <f aca="false">tp_w_dcf*C823+(1-tp_w_dcf)*D823</f>
        <v>4251.36444564521</v>
      </c>
      <c r="F823" s="14" t="n">
        <f aca="false">E823/E$821-1</f>
        <v>0.072081875811479</v>
      </c>
    </row>
    <row r="824" customFormat="false" ht="17.15" hidden="false" customHeight="false" outlineLevel="0" collapsed="false">
      <c r="A824" s="4" t="s">
        <v>826</v>
      </c>
      <c r="B824" s="0" t="s">
        <v>827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24" s="18" t="n">
        <f aca="false">Val!B115</f>
        <v>4928.54975488515</v>
      </c>
      <c r="E824" s="18" t="n">
        <f aca="false">tp_w_dcf*C824+(1-tp_w_dcf)*D824</f>
        <v>4139.64781512185</v>
      </c>
      <c r="F824" s="14" t="n">
        <f aca="false">E824/E$821-1</f>
        <v>0.0439098909482432</v>
      </c>
    </row>
    <row r="825" customFormat="false" ht="17.15" hidden="false" customHeight="false" outlineLevel="0" collapsed="false">
      <c r="A825" s="4" t="s">
        <v>828</v>
      </c>
      <c r="B825" s="0" t="s">
        <v>829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25" s="18" t="n">
        <f aca="false">Val!B115</f>
        <v>4928.54975488515</v>
      </c>
      <c r="E825" s="18" t="n">
        <f aca="false">tp_w_dcf*C825+(1-tp_w_dcf)*D825</f>
        <v>3844.36657448108</v>
      </c>
      <c r="F825" s="14" t="n">
        <f aca="false">E825/E$821-1</f>
        <v>-0.0305522424222243</v>
      </c>
    </row>
    <row r="826" customFormat="false" ht="17.15" hidden="false" customHeight="false" outlineLevel="0" collapsed="false">
      <c r="A826" s="0" t="s">
        <v>830</v>
      </c>
      <c r="B826" s="0" t="s">
        <v>831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6" s="18" t="n">
        <f aca="false">Val!B115</f>
        <v>4928.54975488515</v>
      </c>
      <c r="E826" s="18" t="n">
        <f aca="false">0.4*C826+(1-0.4)*D826</f>
        <v>4158.12768627529</v>
      </c>
      <c r="F826" s="14" t="n">
        <f aca="false">E826/E$821-1</f>
        <v>0.0485700265786355</v>
      </c>
    </row>
    <row r="827" customFormat="false" ht="17.15" hidden="false" customHeight="false" outlineLevel="0" collapsed="false">
      <c r="A827" s="0" t="s">
        <v>832</v>
      </c>
      <c r="B827" s="0" t="s">
        <v>833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7" s="18" t="n">
        <f aca="false">Val!B115</f>
        <v>4928.54975488515</v>
      </c>
      <c r="E827" s="18" t="n">
        <f aca="false">0.8*C827+(1-0.8)*D827</f>
        <v>3387.70561766543</v>
      </c>
      <c r="F827" s="14" t="n">
        <f aca="false">E827/E$821-1</f>
        <v>-0.145710079735907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211</v>
      </c>
    </row>
    <row r="8" customFormat="false" ht="17.15" hidden="false" customHeight="false" outlineLevel="0" collapsed="false">
      <c r="A8" s="4" t="s">
        <v>846</v>
      </c>
      <c r="B8" s="0" t="s">
        <v>249</v>
      </c>
    </row>
    <row r="9" customFormat="false" ht="17.15" hidden="false" customHeight="false" outlineLevel="0" collapsed="false">
      <c r="A9" s="4" t="s">
        <v>847</v>
      </c>
      <c r="B9" s="0" t="s">
        <v>848</v>
      </c>
    </row>
    <row r="10" customFormat="false" ht="17.15" hidden="false" customHeight="false" outlineLevel="0" collapsed="false">
      <c r="A10" s="4" t="s">
        <v>849</v>
      </c>
      <c r="B10" s="0" t="s">
        <v>252</v>
      </c>
    </row>
    <row r="11" customFormat="false" ht="17.15" hidden="false" customHeight="false" outlineLevel="0" collapsed="false">
      <c r="A11" s="4" t="s">
        <v>850</v>
      </c>
      <c r="B11" s="0" t="s">
        <v>851</v>
      </c>
    </row>
    <row r="12" customFormat="false" ht="17.15" hidden="false" customHeight="false" outlineLevel="0" collapsed="false">
      <c r="A12" s="4" t="s">
        <v>852</v>
      </c>
      <c r="B12" s="0" t="s">
        <v>853</v>
      </c>
    </row>
    <row r="13" customFormat="false" ht="17.15" hidden="false" customHeight="false" outlineLevel="0" collapsed="false">
      <c r="A13" s="4" t="s">
        <v>854</v>
      </c>
      <c r="B13" s="0" t="s">
        <v>288</v>
      </c>
    </row>
    <row r="14" customFormat="false" ht="17.15" hidden="false" customHeight="false" outlineLevel="0" collapsed="false">
      <c r="A14" s="4" t="s">
        <v>855</v>
      </c>
      <c r="B14" s="0" t="s">
        <v>856</v>
      </c>
    </row>
    <row r="15" customFormat="false" ht="17.15" hidden="false" customHeight="false" outlineLevel="0" collapsed="false">
      <c r="A15" s="4" t="s">
        <v>857</v>
      </c>
      <c r="B15" s="0" t="s">
        <v>858</v>
      </c>
    </row>
    <row r="16" customFormat="false" ht="17.15" hidden="false" customHeight="false" outlineLevel="0" collapsed="false">
      <c r="A16" s="4" t="s">
        <v>859</v>
      </c>
      <c r="B16" s="0" t="s">
        <v>860</v>
      </c>
    </row>
    <row r="17" customFormat="false" ht="17.15" hidden="false" customHeight="false" outlineLevel="0" collapsed="false">
      <c r="A17" s="4" t="s">
        <v>861</v>
      </c>
      <c r="B17" s="0" t="s">
        <v>862</v>
      </c>
    </row>
    <row r="18" customFormat="false" ht="17.15" hidden="false" customHeight="false" outlineLevel="0" collapsed="false">
      <c r="A18" s="4" t="s">
        <v>863</v>
      </c>
    </row>
    <row r="19" customFormat="false" ht="17.15" hidden="false" customHeight="false" outlineLevel="0" collapsed="false">
      <c r="A19" s="4" t="s">
        <v>864</v>
      </c>
      <c r="B19" s="4" t="s">
        <v>865</v>
      </c>
    </row>
    <row r="20" customFormat="false" ht="15" hidden="false" customHeight="false" outlineLevel="0" collapsed="false">
      <c r="A20" s="0" t="s">
        <v>866</v>
      </c>
      <c r="B20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2026-10-27T23:57:21Z</dcterms:created>
  <dc:creator>openpyxl</dc:creator>
  <dc:description/>
  <dc:language>en-US</dc:language>
  <cp:lastModifiedBy/>
  <dcterms:modified xsi:type="dcterms:W3CDTF">2026-10-27T23:57:22Z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