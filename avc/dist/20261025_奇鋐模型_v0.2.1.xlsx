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<sst xmlns="http://schemas.openxmlformats.org/spreadsheetml/2006/main" count="3177" uniqueCount="868">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</sst>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5.78484809940115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7.66628721680113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9.11281373771718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4.5136875859587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0.498927641116676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0.424088494949175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5.47981447723099</v>
      </c>
      <c r="E10" s="20" t="n">
        <f aca="false">PL!F73/fx</f>
        <v>7.92067317636872</v>
      </c>
      <c r="F10" s="20" t="n">
        <f aca="false">PL!G73/fx</f>
        <v>8.52162682501696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</v>
      </c>
      <c r="E11" s="20" t="n">
        <f aca="false">PL!F77/fx</f>
        <v>2.16727341048154</v>
      </c>
      <c r="F11" s="20" t="n">
        <f aca="false">PL!G77/fx</f>
        <v>2.27895420584109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178.947189172338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2.2616840859587</v>
      </c>
      <c r="D13" s="19" t="n">
        <f aca="false">PL!E68-PL!E73/fx</f>
        <v>6.08143266593417</v>
      </c>
      <c r="E13" s="19" t="n">
        <f aca="false">PL!F68-PL!F73/fx</f>
        <v>9.71865414982553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351.307669196166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0.559978344599226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253.461541643799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63.1282305747745</v>
      </c>
      <c r="F8" s="19" t="n">
        <f aca="false">F77</f>
        <v>69.3527491354094</v>
      </c>
      <c r="G8" s="19" t="n">
        <f aca="false">G77</f>
        <v>72.926534586915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68.5879465553677</v>
      </c>
      <c r="F14" s="19" t="n">
        <f aca="false">F95</f>
        <v>88.2327362983229</v>
      </c>
      <c r="G14" s="19" t="n">
        <f aca="false">G95</f>
        <v>94.1437978507718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239.842404408475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</v>
      </c>
      <c r="F16" s="14" t="n">
        <f aca="false">F98</f>
        <v>0.286417522750836</v>
      </c>
      <c r="G16" s="14" t="n">
        <f aca="false">G98</f>
        <v>0.0669939729905122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154.724173474757</v>
      </c>
      <c r="F21" s="19" t="n">
        <f aca="false">F114</f>
        <v>181.425103492404</v>
      </c>
      <c r="G21" s="19" t="n">
        <f aca="false">G114</f>
        <v>219.588868080437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63.1282305747745</v>
      </c>
      <c r="F22" s="19" t="n">
        <f aca="false">F118</f>
        <v>55.4821993083275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</v>
      </c>
      <c r="F25" s="14" t="n">
        <f aca="false">F123</f>
        <v>0.510030176087079</v>
      </c>
      <c r="G25" s="14" t="n">
        <f aca="false">G123</f>
        <v>0.541530473979294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64.0422292145632</v>
      </c>
      <c r="F28" s="19" t="n">
        <f aca="false">F136</f>
        <v>69.6852034444304</v>
      </c>
      <c r="G28" s="19" t="n">
        <f aca="false">G136</f>
        <v>80.3243341611877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0.539761322466887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0.330961273837187</v>
      </c>
      <c r="F34" s="14" t="n">
        <f aca="false">F163</f>
        <v>-0.0909391746531647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63.1282305747745</v>
      </c>
      <c r="F36" s="19" t="n">
        <f aca="false">F159</f>
        <v>41.6116494812456</v>
      </c>
      <c r="G36" s="19" t="n">
        <f aca="false">G159</f>
        <v>43.755920752149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0.412965411265698</v>
      </c>
      <c r="F39" s="14" t="n">
        <f aca="false">F164</f>
        <v>0.41125418827244</v>
      </c>
      <c r="G39" s="14" t="n">
        <f aca="false">G164</f>
        <v>0.435140885762004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0.279501416189205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57.2236532033564</v>
      </c>
      <c r="F42" s="19" t="n">
        <f aca="false">F177</f>
        <v>51.1773363557854</v>
      </c>
      <c r="G42" s="19" t="n">
        <f aca="false">G177</f>
        <v>56.2426474247612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0.375822937667982</v>
      </c>
      <c r="F44" s="14" t="n">
        <f aca="false">F180</f>
        <v>-0.105661147254688</v>
      </c>
      <c r="G44" s="14" t="n">
        <f aca="false">G180</f>
        <v>0.0989756683263405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781.872916666667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4.5136875859587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0.498927641116676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0.498927641116676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0.424088494949175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253.461541643799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2.02106868156909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63.1282305747745</v>
      </c>
      <c r="F77" s="19" t="n">
        <f aca="false">F65*$D$75*F76</f>
        <v>69.3527491354094</v>
      </c>
      <c r="G77" s="19" t="n">
        <f aca="false">G65*$D$75*G76</f>
        <v>72.926534586915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351.307669196166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0.559978344599226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178.947189172338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158.548016827002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19.2249952047764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19.2249952047764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138.472293112254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68.5879465553677</v>
      </c>
      <c r="F95" s="19" t="n">
        <f aca="false">(F91+F93)*F94</f>
        <v>88.2327362983229</v>
      </c>
      <c r="G95" s="19" t="n">
        <f aca="false">(G91+G93)*G94</f>
        <v>94.1437978507718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239.842404408475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</v>
      </c>
      <c r="F98" s="14" t="n">
        <f aca="false">F97/E97-1</f>
        <v>0.286417522750836</v>
      </c>
      <c r="G98" s="14" t="n">
        <f aca="false">G97/F97-1</f>
        <v>0.0669939729905122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781.872916666667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4.5136875859587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0.498927641116676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0.498927641116676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0.424088494949175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154.724173474757</v>
      </c>
      <c r="F114" s="19" t="n">
        <f aca="false">F110*F113</f>
        <v>181.425103492404</v>
      </c>
      <c r="G114" s="19" t="n">
        <f aca="false">G110*G113</f>
        <v>219.588868080437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2.02106868156909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63.1282305747745</v>
      </c>
      <c r="F118" s="19" t="n">
        <f aca="false">F106*$D$116*F117</f>
        <v>55.4821993083275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</v>
      </c>
      <c r="F123" s="14" t="n">
        <f aca="false">F114/F121</f>
        <v>0.510030176087079</v>
      </c>
      <c r="G123" s="14" t="n">
        <f aca="false">G114/G121</f>
        <v>0.541530473979294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135.968479074339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15.5424159855636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15.5424159855636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93.8773766141677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64.0422292145632</v>
      </c>
      <c r="F136" s="19" t="n">
        <f aca="false">(F132+F134)*F135</f>
        <v>69.6852034444304</v>
      </c>
      <c r="G136" s="19" t="n">
        <f aca="false">(G132+G134)*G135</f>
        <v>80.3243341611877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0.539761322466887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781.872916666667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4.5136875859587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0.498927641116676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0.498927641116676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0.424088494949175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2.02106868156909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63.1282305747745</v>
      </c>
      <c r="F159" s="19" t="n">
        <f aca="false">F147*$D$157*F158</f>
        <v>41.6116494812456</v>
      </c>
      <c r="G159" s="19" t="n">
        <f aca="false">G147*$D$157*G158</f>
        <v>43.755920752149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0.330961273837187</v>
      </c>
      <c r="F163" s="14" t="n">
        <f aca="false">F162/E162-1</f>
        <v>-0.0909391746531647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0.412965411265698</v>
      </c>
      <c r="F164" s="14" t="n">
        <f aca="false">F155/F162</f>
        <v>0.41125418827244</v>
      </c>
      <c r="G164" s="14" t="n">
        <f aca="false">G155/G162</f>
        <v>0.435140885762004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0.563971231919447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151.605128776264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98.1923411633039</v>
      </c>
      <c r="F169" s="19" t="n">
        <f aca="false">$D$168*F162+d_lc*F155</f>
        <v>89.234834722458</v>
      </c>
      <c r="G169" s="19" t="n">
        <f aca="false">$D$168*G162+d_lc*G155</f>
        <v>97.6416105917923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</v>
      </c>
      <c r="F173" s="19" t="n">
        <f aca="false">F169-F172</f>
        <v>74.8182760826451</v>
      </c>
      <c r="G173" s="19" t="n">
        <f aca="false">G169-G172</f>
        <v>82.3224406292759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0.279501416189205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57.2236532033564</v>
      </c>
      <c r="F177" s="19" t="n">
        <f aca="false">(F173+F175)*F176</f>
        <v>51.1773363557854</v>
      </c>
      <c r="G177" s="19" t="n">
        <f aca="false">(G173+G175)*G176</f>
        <v>56.2426474247612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0.375822937667982</v>
      </c>
      <c r="F180" s="14" t="n">
        <f aca="false">F179/E179-1</f>
        <v>-0.105661147254688</v>
      </c>
      <c r="G180" s="14" t="n">
        <f aca="false">G179/F179-1</f>
        <v>0.0989756683263405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351.307669196166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498.717974184552</v>
      </c>
      <c r="I186" s="23" t="n">
        <f aca="false">H186*(1+I187)</f>
        <v>529.175670918957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0.559978344599226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68.5879465553677</v>
      </c>
      <c r="F188" s="19" t="n">
        <f aca="false">F95</f>
        <v>88.2327362983229</v>
      </c>
      <c r="G188" s="19" t="n">
        <f aca="false">G95</f>
        <v>94.1437978507718</v>
      </c>
      <c r="H188" s="23" t="n">
        <f aca="false">H186*H189</f>
        <v>99.9942672362556</v>
      </c>
      <c r="I188" s="23" t="n">
        <f aca="false">I186*I189</f>
        <v>106.101115644197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239.842404408475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</v>
      </c>
      <c r="F192" s="14" t="n">
        <f aca="false">F191/E191-1</f>
        <v>0.286417522750836</v>
      </c>
      <c r="G192" s="14" t="n">
        <f aca="false">G191/F191-1</f>
        <v>0.0669939729905122</v>
      </c>
      <c r="H192" s="24" t="n">
        <f aca="false">H191/G191-1</f>
        <v>0.0621439703840867</v>
      </c>
      <c r="I192" s="24" t="n">
        <f aca="false">I191/H191-1</f>
        <v>0.0610719851920434</v>
      </c>
      <c r="J192" s="24" t="n">
        <f aca="false">J191/I191-1</f>
        <v>0.0599999999999998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64.0422292145632</v>
      </c>
      <c r="F200" s="19" t="n">
        <f aca="false">F136</f>
        <v>69.6852034444304</v>
      </c>
      <c r="G200" s="19" t="n">
        <f aca="false">G136</f>
        <v>80.3243341611877</v>
      </c>
      <c r="H200" s="23" t="n">
        <f aca="false">H198*H201</f>
        <v>85.926614229251</v>
      </c>
      <c r="I200" s="23" t="n">
        <f aca="false">I198*I201</f>
        <v>89.0462520408156</v>
      </c>
      <c r="J200" s="23" t="n">
        <f aca="false">J198*J201</f>
        <v>89.3006699037893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218.908162087218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0.539761322466887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0.0363058388782946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336.786393374535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0.330961273837187</v>
      </c>
      <c r="F211" s="14" t="n">
        <f aca="false">F210/E210-1</f>
        <v>-0.0909391746531647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57.2236532033564</v>
      </c>
      <c r="F212" s="19" t="n">
        <f aca="false">F177</f>
        <v>51.1773363557854</v>
      </c>
      <c r="G212" s="19" t="n">
        <f aca="false">G177</f>
        <v>56.2426474247612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0.375822937667982</v>
      </c>
      <c r="F216" s="14" t="n">
        <f aca="false">F215/E215-1</f>
        <v>-0.105661147254688</v>
      </c>
      <c r="G216" s="14" t="n">
        <f aca="false">G215/F215-1</f>
        <v>0.0989756683263405</v>
      </c>
      <c r="H216" s="24" t="n">
        <f aca="false">H215/G215-1</f>
        <v>-0.00479169153843584</v>
      </c>
      <c r="I216" s="24" t="n">
        <f aca="false">I215/H215-1</f>
        <v>-0.0313632139030488</v>
      </c>
      <c r="J216" s="24" t="n">
        <f aca="false">J215/I215-1</f>
        <v>-0.0584615384615383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24.1217446847802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15.3687752797816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-0.292166954313207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-0.339079117627143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-0.485004725154184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24.1217446847802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20.986881281469</v>
      </c>
      <c r="C31" s="17" t="n">
        <f aca="false">px*A31/PL!F43</f>
        <v>36.1826170271703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27.982508375292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1941.31546763657</v>
      </c>
      <c r="G68" s="14" t="n">
        <f aca="false">F68/px-1</f>
        <v>-0.382729581037655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-0.292166954313207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0.207316490013659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239.842404408475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218.908162087218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155.272110098937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157.756123705436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181.841409225331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226.370982823298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115.564495160735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</v>
      </c>
      <c r="C104" s="18" t="n">
        <f aca="false">C103*(1+tp_r)</f>
        <v>3023.84046035699</v>
      </c>
      <c r="D104" s="18" t="n">
        <f aca="false">D103*(1+tp_r)</f>
        <v>1834.66717881608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3965.52216912282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0.567106440345038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0.350791262974911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351.307669196166</v>
      </c>
      <c r="D9" s="14" t="n">
        <f aca="false">C9/B9-1</f>
        <v>0.12637240719146</v>
      </c>
      <c r="E9" s="19" t="n">
        <f aca="false">PL!E121</f>
        <v>330.677779399532</v>
      </c>
      <c r="F9" s="14" t="n">
        <f aca="false">E9/B9-1</f>
        <v>0.0602282814924731</v>
      </c>
      <c r="G9" s="19" t="n">
        <f aca="false">PL!E162</f>
        <v>299.73294470458</v>
      </c>
      <c r="H9" s="14" t="n">
        <f aca="false">G9/B9-1</f>
        <v>-0.0389879070560084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0.128930518631988</v>
      </c>
      <c r="E10" s="20" t="n">
        <f aca="false">PL!E138</f>
        <v>163.155115781997</v>
      </c>
      <c r="F10" s="14" t="n">
        <f aca="false">E10/B10-1</f>
        <v>0.0541098060601923</v>
      </c>
      <c r="G10" s="20" t="n">
        <f aca="false">PL!E179</f>
        <v>145.783990944203</v>
      </c>
      <c r="H10" s="14" t="n">
        <f aca="false">G10/B10-1</f>
        <v>-0.0581212627975015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0.0918944302559464</v>
      </c>
      <c r="E11" s="20" t="n">
        <f aca="false">PL!E138</f>
        <v>163.155115781997</v>
      </c>
      <c r="F11" s="14" t="n">
        <f aca="false">E11/B11-1</f>
        <v>0.0195283120789638</v>
      </c>
      <c r="G11" s="20" t="n">
        <f aca="false">PL!E179</f>
        <v>145.783990944203</v>
      </c>
      <c r="H11" s="14" t="n">
        <f aca="false">G11/B11-1</f>
        <v>-0.0890208651865105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0.213527784386826</v>
      </c>
      <c r="E12" s="20" t="n">
        <f aca="false">PL!E138</f>
        <v>163.155115781997</v>
      </c>
      <c r="F12" s="14" t="n">
        <f aca="false">E12/B12-1</f>
        <v>0.133100324897538</v>
      </c>
      <c r="G12" s="20" t="n">
        <f aca="false">PL!E179</f>
        <v>145.783990944203</v>
      </c>
      <c r="H12" s="14" t="n">
        <f aca="false">G12/B12-1</f>
        <v>0.0124591356636066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0.252317535109719</v>
      </c>
      <c r="E13" s="20" t="n">
        <f aca="false">PL!E138</f>
        <v>163.155115781997</v>
      </c>
      <c r="F13" s="14" t="n">
        <f aca="false">E13/B13-1</f>
        <v>0.169319255944933</v>
      </c>
      <c r="G13" s="20" t="n">
        <f aca="false">PL!E179</f>
        <v>145.783990944203</v>
      </c>
      <c r="H13" s="14" t="n">
        <f aca="false">G13/B13-1</f>
        <v>0.0448218371977547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0.140499090619797</v>
      </c>
      <c r="E14" s="20" t="n">
        <f aca="false">PL!E138</f>
        <v>163.155115781997</v>
      </c>
      <c r="F14" s="14" t="n">
        <f aca="false">E14/B14-1</f>
        <v>0.0649116623066155</v>
      </c>
      <c r="G14" s="20" t="n">
        <f aca="false">PL!E179</f>
        <v>145.783990944203</v>
      </c>
      <c r="H14" s="14" t="n">
        <f aca="false">G14/B14-1</f>
        <v>-0.0484694801631571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0.151671684885176</v>
      </c>
      <c r="E15" s="20" t="n">
        <f aca="false">PL!F138</f>
        <v>177.531256730248</v>
      </c>
      <c r="F15" s="14" t="n">
        <f aca="false">E15/B15-1</f>
        <v>-0.0904229084422159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-0.000853301402093831</v>
      </c>
      <c r="E18" s="14" t="n">
        <f aca="false">PL!E123</f>
        <v>0.46790012245672</v>
      </c>
      <c r="F18" s="14" t="n">
        <f aca="false">E18-B18</f>
        <v>-0.0320998775432795</v>
      </c>
      <c r="G18" s="14" t="n">
        <f aca="false">PL!E164</f>
        <v>0.412965411265698</v>
      </c>
      <c r="H18" s="14" t="n">
        <f aca="false">G18-B18</f>
        <v>-0.0870345887343016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0.498927641116676</v>
      </c>
      <c r="E21" s="14" t="n">
        <f aca="false">PL!D111</f>
        <v>0.498927641116676</v>
      </c>
      <c r="G21" s="14" t="n">
        <f aca="false">PL!D152</f>
        <v>0.498927641116676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0.974346663222371</v>
      </c>
      <c r="E22" s="14" t="n">
        <f aca="false">(dlc_27+PL!E114/fx)/PL!E109</f>
        <v>1.04106205044391</v>
      </c>
      <c r="G22" s="14" t="n">
        <f aca="false">(dlc_27+PL!E155/fx)/PL!E150</f>
        <v>1.18283224828967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1.15355444084619</v>
      </c>
      <c r="E23" s="14" t="n">
        <f aca="false">(dlc_26+PL!D114/fx)/PL!D109</f>
        <v>1.15355444084619</v>
      </c>
      <c r="G23" s="14" t="n">
        <f aca="false">(dlc_26+PL!D155/fx)/PL!D150</f>
        <v>1.15355444084619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178.947189172338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0.00557792467594198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0.350791262974911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3965.52216912282</v>
      </c>
      <c r="D35" s="14" t="n">
        <f aca="false">C35/B35-1</f>
        <v>-0.0398251406482268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351.307669196166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253.461541643799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156.895740821771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369.765991645786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483.865028099875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181.043958316999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391.773991489564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514.039021152708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161.224990800019</v>
      </c>
      <c r="G9" s="14" t="n">
        <f aca="false">F9/F$4-1</f>
        <v>-0.0773217039428952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-0.0633124928545404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324.330121000567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</v>
      </c>
      <c r="H10" s="19" t="n">
        <f aca="false">F265</f>
        <v>402.627354496093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338.682023081211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-0.0331060236555354</v>
      </c>
      <c r="H11" s="19" t="n">
        <f aca="false">F306</f>
        <v>420.282130399629</v>
      </c>
      <c r="I11" s="19" t="n">
        <f aca="false">F299</f>
        <v>253.461541643799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180.520675376328</v>
      </c>
      <c r="G12" s="14" t="n">
        <f aca="false">F12/F$4-1</f>
        <v>0.0331060236555356</v>
      </c>
      <c r="H12" s="19" t="n">
        <f aca="false">F347</f>
        <v>462.960745252188</v>
      </c>
      <c r="I12" s="19" t="n">
        <f aca="false">F340</f>
        <v>253.461541643799</v>
      </c>
      <c r="J12" s="14" t="n">
        <f aca="false">F355</f>
        <v>0.335670276225974</v>
      </c>
      <c r="K12" s="15" t="n">
        <f aca="false">F364</f>
        <v>234.660553327016</v>
      </c>
      <c r="L12" s="14" t="n">
        <f aca="false">K12/K$4-1</f>
        <v>0.0439413193678657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140.283250617113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202.769233315039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399.004127965399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</v>
      </c>
      <c r="I14" s="19" t="n">
        <f aca="false">F422</f>
        <v>304.153849972559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344.326458346166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-0.0183056082389812</v>
      </c>
      <c r="H15" s="19" t="n">
        <f aca="false">F470</f>
        <v>428.658455279209</v>
      </c>
      <c r="I15" s="19" t="n">
        <f aca="false">F463</f>
        <v>253.461541643799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-0.0266934703749939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0.0174789033507694</v>
      </c>
      <c r="H16" s="19" t="n">
        <f aca="false">F511</f>
        <v>454.979872187209</v>
      </c>
      <c r="I16" s="19" t="n">
        <f aca="false">F504</f>
        <v>253.461541643799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351.307669196166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-0.0247749281296963</v>
      </c>
      <c r="H17" s="19" t="n">
        <f aca="false">F552</f>
        <v>441.621437825909</v>
      </c>
      <c r="I17" s="19" t="n">
        <f aca="false">F545</f>
        <v>253.461541643799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351.307669196166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253.461541643799</v>
      </c>
      <c r="J18" s="14" t="n">
        <f aca="false">F601</f>
        <v>0.347414899303967</v>
      </c>
      <c r="K18" s="15" t="n">
        <f aca="false">F610</f>
        <v>232.497089783966</v>
      </c>
      <c r="L18" s="14" t="n">
        <f aca="false">K18/K$4-1</f>
        <v>0.034316655343537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351.307669196166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162.653397652869</v>
      </c>
      <c r="G19" s="14" t="n">
        <f aca="false">F19/F$4-1</f>
        <v>-0.0691470407314165</v>
      </c>
      <c r="H19" s="19" t="n">
        <f aca="false">F634</f>
        <v>441.621437825909</v>
      </c>
      <c r="I19" s="19" t="n">
        <f aca="false">F627</f>
        <v>253.461541643799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-0.0675700387494738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-0.0332541062834409</v>
      </c>
      <c r="H20" s="19" t="n">
        <f aca="false">F675</f>
        <v>421.989723363932</v>
      </c>
      <c r="I20" s="19" t="n">
        <f aca="false">F668</f>
        <v>221.778848938324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-0.0472133120628954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0.0246053686139216</v>
      </c>
      <c r="H21" s="19" t="n">
        <f aca="false">F716</f>
        <v>456.345223672391</v>
      </c>
      <c r="I21" s="19" t="n">
        <f aca="false">F709</f>
        <v>277.223561172905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347.290072131241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-0.0105346421291078</v>
      </c>
      <c r="H22" s="19" t="n">
        <f aca="false">F757</f>
        <v>436.550510028372</v>
      </c>
      <c r="I22" s="19" t="n">
        <f aca="false">F750</f>
        <v>253.461541643799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-0.0104229964191908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253.461541643799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154.724173474757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-0.0662757462367674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781.872916666667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4.5136875859587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0.498927641116676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0.498927641116676</v>
      </c>
      <c r="E52" s="14" t="n">
        <f aca="false">$D$50*E51</f>
        <v>0.424088494949175</v>
      </c>
      <c r="F52" s="14" t="n">
        <f aca="false">$D$50*F51</f>
        <v>0.374195730837507</v>
      </c>
      <c r="G52" s="14" t="n">
        <f aca="false">$D$50*G51</f>
        <v>0.349249348781673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156.895740821771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2.02106868156909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63.1282305747745</v>
      </c>
      <c r="F57" s="19" t="n">
        <f aca="false">F45*$D$55*F56</f>
        <v>69.3527491354094</v>
      </c>
      <c r="G57" s="19" t="n">
        <f aca="false">G45*$D$55*G56</f>
        <v>72.926534586915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0.478014340326496</v>
      </c>
      <c r="F61" s="14" t="n">
        <f aca="false">F60/E60-1</f>
        <v>0.199875713909859</v>
      </c>
      <c r="G61" s="14" t="n">
        <f aca="false">G60/F60-1</f>
        <v>0.0551832898371574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0.661031705626531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166.082198811988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110.207683928603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18.4949203950311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18.4949203950311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94.5862604100047</v>
      </c>
      <c r="F71" s="19" t="n">
        <f aca="false">F67-F70</f>
        <v>115.806213429452</v>
      </c>
      <c r="G71" s="19" t="n">
        <f aca="false">G67-G70</f>
        <v>122.593353636886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83.4255137048983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</v>
      </c>
      <c r="F78" s="14" t="n">
        <f aca="false">F77/E77-1</f>
        <v>0.22199794121485</v>
      </c>
      <c r="G78" s="14" t="n">
        <f aca="false">G77/F77-1</f>
        <v>0.0581059860444275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781.872916666667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4.5136875859587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0.498927641116676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0.498927641116676</v>
      </c>
      <c r="E93" s="14" t="n">
        <f aca="false">$D$91*E92</f>
        <v>0.52387402317251</v>
      </c>
      <c r="F93" s="14" t="n">
        <f aca="false">$D$91*F92</f>
        <v>0.52387402317251</v>
      </c>
      <c r="G93" s="14" t="n">
        <f aca="false">$D$91*G92</f>
        <v>0.52387402317251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2.02106868156909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63.1282305747745</v>
      </c>
      <c r="F98" s="19" t="n">
        <f aca="false">F86*$D$96*F97</f>
        <v>69.3527491354094</v>
      </c>
      <c r="G98" s="19" t="n">
        <f aca="false">G86*$D$96*G97</f>
        <v>72.926534586915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369.765991645786</v>
      </c>
      <c r="F101" s="19" t="n">
        <f aca="false">F94+F98+F99+F100</f>
        <v>483.865028099875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0.641942348871955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0.611131441094207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20.6288888178976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20.6288888178976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72.6551673339823</v>
      </c>
      <c r="F116" s="19" t="n">
        <f aca="false">(F112+F114)*F115</f>
        <v>97.6307540794414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781.872916666667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4.5136875859587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0.498927641116676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0.498927641116676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0.424088494949175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181.043958316999</v>
      </c>
      <c r="G135" s="19" t="n">
        <f aca="false">G131*G134</f>
        <v>194.780041714673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2.02106868156909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63.1282305747745</v>
      </c>
      <c r="F139" s="19" t="n">
        <f aca="false">F127*$D$137*F138</f>
        <v>69.3527491354094</v>
      </c>
      <c r="G139" s="19" t="n">
        <f aca="false">G127*$D$137*G138</f>
        <v>72.926534586915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0.490363131670491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0.637032278767946</v>
      </c>
      <c r="F145" s="14" t="n">
        <f aca="false">(F135+F139)/F142</f>
        <v>0.678207186628961</v>
      </c>
      <c r="G145" s="14" t="n">
        <f aca="false">(G135+G139)/G142</f>
        <v>0.683575483099721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139.109185431776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130.279861825436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105.896910709171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59.6713471560973</v>
      </c>
      <c r="F157" s="19" t="n">
        <f aca="false">(F153+F155)*F156</f>
        <v>72.1554147286907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0.434672614262461</v>
      </c>
      <c r="F160" s="14" t="n">
        <f aca="false">F159/E159-1</f>
        <v>0.209213771224833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781.872916666667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4.5136875859587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0.498927641116676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0.498927641116676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0.424088494949175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350.604075086412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2.02106868156909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63.1282305747745</v>
      </c>
      <c r="F180" s="19" t="n">
        <f aca="false">F168*$D$178*F179</f>
        <v>69.3527491354094</v>
      </c>
      <c r="G180" s="19" t="n">
        <f aca="false">G168*$D$178*G179</f>
        <v>72.926534586915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391.773991489564</v>
      </c>
      <c r="F183" s="19" t="n">
        <f aca="false">F176+F180+F181+F182</f>
        <v>514.039021152708</v>
      </c>
      <c r="G183" s="19" t="n">
        <f aca="false">G176+G180+G181+G182</f>
        <v>547.450975706847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0.739668661658671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0.712014125998955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220.080503553661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21.6461971579801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21.6461971579801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</v>
      </c>
      <c r="F201" s="14" t="n">
        <f aca="false">F200/E200-1</f>
        <v>0.346163851245077</v>
      </c>
      <c r="G201" s="14" t="n">
        <f aca="false">G200/F200-1</f>
        <v>0.0686845139005661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781.872916666667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118.176547705101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</v>
      </c>
      <c r="F216" s="14" t="n">
        <f aca="false">$D$214*F215</f>
        <v>0.548820405228344</v>
      </c>
      <c r="G216" s="14" t="n">
        <f aca="false">$D$214*G215</f>
        <v>0.518330382715658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2.02106868156909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63.1282305747745</v>
      </c>
      <c r="F221" s="19" t="n">
        <f aca="false">F209*$D$219*F220</f>
        <v>69.3527491354094</v>
      </c>
      <c r="G221" s="19" t="n">
        <f aca="false">G209*$D$219*G220</f>
        <v>72.926534586915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0.453103711576941</v>
      </c>
      <c r="F225" s="14" t="n">
        <f aca="false">F224/E224-1</f>
        <v>0.272534495514719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0.572044804784544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160.887409885349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92.7549772707592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82.6465018118988</v>
      </c>
      <c r="G239" s="19" t="n">
        <f aca="false">(G235+G237)*G238</f>
        <v>92.052487840432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161.224990800019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</v>
      </c>
      <c r="F242" s="14" t="n">
        <f aca="false">F241/E241-1</f>
        <v>0.305949460047928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781.872916666667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5.33435805613301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0.401061065359174</v>
      </c>
      <c r="F257" s="14" t="n">
        <f aca="false">$D$255*F256</f>
        <v>0.379952588235007</v>
      </c>
      <c r="G257" s="14" t="n">
        <f aca="false">$D$255*G256</f>
        <v>0.35884411111084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2.02106868156909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63.1282305747745</v>
      </c>
      <c r="F262" s="19" t="n">
        <f aca="false">F250*$D$260*F261</f>
        <v>69.3527491354094</v>
      </c>
      <c r="G262" s="19" t="n">
        <f aca="false">G250*$D$260*G261</f>
        <v>72.926534586915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324.330121000567</v>
      </c>
      <c r="F265" s="19" t="n">
        <f aca="false">F258+F262+F263+F264</f>
        <v>402.627354496093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0.440184799892929</v>
      </c>
      <c r="F266" s="14" t="n">
        <f aca="false">F265/E265-1</f>
        <v>0.241412155164549</v>
      </c>
      <c r="G266" s="14" t="n">
        <f aca="false">G265/F265-1</f>
        <v>0.0619902743240275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157.794874229134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91.8052547494135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62.6435469558541</v>
      </c>
      <c r="F280" s="19" t="n">
        <f aca="false">(F276+F278)*F279</f>
        <v>79.5780008868546</v>
      </c>
      <c r="G280" s="19" t="n">
        <f aca="false">(G276+G278)*G279</f>
        <v>84.8144771213928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0.506132935841471</v>
      </c>
      <c r="F283" s="14" t="n">
        <f aca="false">F282/E282-1</f>
        <v>0.270330381243169</v>
      </c>
      <c r="G283" s="14" t="n">
        <f aca="false">G282/F282-1</f>
        <v>0.0658030633614881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781.872916666667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4.5136875859587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0.498927641116676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0.498927641116676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0.424088494949175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253.461541643799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2.02106868156909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50.5025844598196</v>
      </c>
      <c r="F303" s="19" t="n">
        <f aca="false">F291*$D$301*F302</f>
        <v>48.0134417091296</v>
      </c>
      <c r="G303" s="19" t="n">
        <f aca="false">G291*$D$301*G302</f>
        <v>48.61768972461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338.682023081211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0.503914283797567</v>
      </c>
      <c r="F307" s="14" t="n">
        <f aca="false">F306/E306-1</f>
        <v>0.240934273912882</v>
      </c>
      <c r="G307" s="14" t="n">
        <f aca="false">G306/F306-1</f>
        <v>0.0593600868429074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</v>
      </c>
      <c r="F317" s="19" t="n">
        <f aca="false">F313-F316</f>
        <v>123.97412150793</v>
      </c>
      <c r="G317" s="19" t="n">
        <f aca="false">G313-G316</f>
        <v>131.913857565624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66.3172723742211</v>
      </c>
      <c r="F321" s="19" t="n">
        <f aca="false">(F317+F319)*F320</f>
        <v>84.3575320178524</v>
      </c>
      <c r="G321" s="19" t="n">
        <f aca="false">(G317+G319)*G320</f>
        <v>89.7168538567965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0.594459972203888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781.872916666667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4.5136875859587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0.498927641116676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0.498927641116676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0.424088494949175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253.461541643799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2.02106868156909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75.7538766897294</v>
      </c>
      <c r="F344" s="19" t="n">
        <f aca="false">F332*$D$342*F343</f>
        <v>90.6920565616892</v>
      </c>
      <c r="G344" s="19" t="n">
        <f aca="false">G332*$D$342*G343</f>
        <v>97.23537944922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462.960745252188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0.616042405400885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203.719726315318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19.9431995476837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19.9431995476837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92.1097991427082</v>
      </c>
      <c r="G362" s="19" t="n">
        <f aca="false">(G358+G360)*G361</f>
        <v>98.5734101847196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180.520675376328</v>
      </c>
      <c r="F364" s="20" t="n">
        <f aca="false">F362/F363</f>
        <v>234.660553327016</v>
      </c>
      <c r="G364" s="20" t="n">
        <f aca="false">G362/G363</f>
        <v>251.127363131465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0.703647185795093</v>
      </c>
      <c r="F365" s="14" t="n">
        <f aca="false">F364/E364-1</f>
        <v>0.299909569016531</v>
      </c>
      <c r="G365" s="14" t="n">
        <f aca="false">G364/F364-1</f>
        <v>0.0701728925930794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781.872916666667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4.5136875859587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0.498927641116676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0.498927641116676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0.424088494949175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140.283250617113</v>
      </c>
      <c r="F381" s="19" t="n">
        <f aca="false">F377*F380</f>
        <v>202.769233315039</v>
      </c>
      <c r="G381" s="19" t="n">
        <f aca="false">G377*G380</f>
        <v>218.153646720434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2.02106868156909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50.5025844598196</v>
      </c>
      <c r="F385" s="19" t="n">
        <f aca="false">F373*$D$383*F384</f>
        <v>55.4821993083275</v>
      </c>
      <c r="G385" s="19" t="n">
        <f aca="false">G373*$D$383*G384</f>
        <v>58.341227669532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400.415240423486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</v>
      </c>
      <c r="F389" s="14" t="n">
        <f aca="false">F388/E388-1</f>
        <v>0.241912573451598</v>
      </c>
      <c r="G389" s="14" t="n">
        <f aca="false">G388/F388-1</f>
        <v>0.0619443821537145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0.537765865167333</v>
      </c>
      <c r="G390" s="14" t="n">
        <f aca="false">G381/G388</f>
        <v>0.544818540097802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0.684910638684688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178.947189172338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85.7993376220051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74.4692147234936</v>
      </c>
      <c r="G403" s="19" t="n">
        <f aca="false">(G399+G401)*G402</f>
        <v>79.368253701954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0.408663136098462</v>
      </c>
      <c r="F406" s="14" t="n">
        <f aca="false">F405/E405-1</f>
        <v>0.271032309414245</v>
      </c>
      <c r="G406" s="14" t="n">
        <f aca="false">G405/F405-1</f>
        <v>0.065786096934829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781.872916666667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4.5136875859587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0.498927641116676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0.498927641116676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0.424088494949175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304.153849972559</v>
      </c>
      <c r="G422" s="19" t="n">
        <f aca="false">G418*G421</f>
        <v>327.230470080651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2.02106868156909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75.7538766897294</v>
      </c>
      <c r="F426" s="19" t="n">
        <f aca="false">F414*$D$424*F425</f>
        <v>83.2232989624913</v>
      </c>
      <c r="G426" s="19" t="n">
        <f aca="false">G414*$D$424*G425</f>
        <v>87.511841504298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399.004127965399</v>
      </c>
      <c r="F429" s="19" t="n">
        <f aca="false">F422+F426+F427+F428</f>
        <v>506.18429598175</v>
      </c>
      <c r="G429" s="19" t="n">
        <f aca="false">G422+G426+G427+G428</f>
        <v>538.662677618469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0.771774013519071</v>
      </c>
      <c r="F430" s="14" t="n">
        <f aca="false">F429/E429-1</f>
        <v>0.268619195903771</v>
      </c>
      <c r="G430" s="14" t="n">
        <f aca="false">G429/F429-1</f>
        <v>0.0641631553853856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0.527375185311159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178.947189172338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</v>
      </c>
      <c r="F444" s="19" t="n">
        <f aca="false">(F440+F442)*F443</f>
        <v>102.002273858357</v>
      </c>
      <c r="G444" s="19" t="n">
        <f aca="false">(G440+G442)*G443</f>
        <v>108.926266059287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0.889444021900518</v>
      </c>
      <c r="F447" s="14" t="n">
        <f aca="false">F446/E446-1</f>
        <v>0.297964424582569</v>
      </c>
      <c r="G447" s="14" t="n">
        <f aca="false">G446/F446-1</f>
        <v>0.0678807632322478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781.872916666667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4.5136875859587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0.498927641116676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0.498927641116676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0.424088494949175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253.461541643799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2.02106868156909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63.1282305747745</v>
      </c>
      <c r="F467" s="19" t="n">
        <f aca="false">F455*$D$465*F466</f>
        <v>69.3527491354094</v>
      </c>
      <c r="G467" s="19" t="n">
        <f aca="false">G455*$D$465*G466</f>
        <v>72.926534586915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344.326458346166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0.528978344599226</v>
      </c>
      <c r="F471" s="14" t="n">
        <f aca="false">F470/E470-1</f>
        <v>0.244918724335322</v>
      </c>
      <c r="G471" s="14" t="n">
        <f aca="false">G470/F470-1</f>
        <v>0.0531992357257844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178.947189172338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18.7887667271083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18.7887667271083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98.7517073715689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</v>
      </c>
      <c r="F485" s="19" t="n">
        <f aca="false">(F481+F483)*F484</f>
        <v>85.877498365839</v>
      </c>
      <c r="G485" s="19" t="n">
        <f aca="false">(G481+G483)*G484</f>
        <v>90.845350173371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0.618866650217236</v>
      </c>
      <c r="F488" s="14" t="n">
        <f aca="false">F487/E487-1</f>
        <v>0.275426023847773</v>
      </c>
      <c r="G488" s="14" t="n">
        <f aca="false">G487/F487-1</f>
        <v>0.0578481197294423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781.872916666667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4.5136875859587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0.498927641116676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0.498927641116676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0.424088494949175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253.461541643799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2.02106868156909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63.1282305747745</v>
      </c>
      <c r="F508" s="19" t="n">
        <f aca="false">F496*$D$506*F507</f>
        <v>69.3527491354094</v>
      </c>
      <c r="G508" s="19" t="n">
        <f aca="false">G496*$D$506*G507</f>
        <v>72.926534586915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0.589578344599225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0.666200787269923</v>
      </c>
      <c r="F514" s="14" t="n">
        <f aca="false">(F504+F508)/F511</f>
        <v>0.70951334446369</v>
      </c>
      <c r="G514" s="14" t="n">
        <f aca="false">(G504+G508)/G511</f>
        <v>0.706541462675686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178.947189172338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152.985381263197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69.7867886442367</v>
      </c>
      <c r="F526" s="19" t="n">
        <f aca="false">(F522+F524)*F525</f>
        <v>90.6614303875557</v>
      </c>
      <c r="G526" s="19" t="n">
        <f aca="false">(G522+G524)*G525</f>
        <v>97.7303129267636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0.677877227127062</v>
      </c>
      <c r="F529" s="14" t="n">
        <f aca="false">F528/E528-1</f>
        <v>0.299120251108486</v>
      </c>
      <c r="G529" s="14" t="n">
        <f aca="false">G528/F528-1</f>
        <v>0.0779701192556763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781.872916666667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4.5136875859587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0.498927641116676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0.498927641116676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0.424088494949175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253.461541643799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2.02106868156909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63.1282305747745</v>
      </c>
      <c r="F549" s="19" t="n">
        <f aca="false">F537*$D$547*F548</f>
        <v>69.3527491354094</v>
      </c>
      <c r="G549" s="19" t="n">
        <f aca="false">G537*$D$547*G548</f>
        <v>72.926534586915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351.307669196166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0.559978344599226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178.947189172338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19.2249952047764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19.2249952047764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98.0943483094741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85.2048838967562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0.608198395097759</v>
      </c>
      <c r="F570" s="14" t="n">
        <f aca="false">F569/E569-1</f>
        <v>0.273831048675008</v>
      </c>
      <c r="G570" s="14" t="n">
        <f aca="false">G569/F569-1</f>
        <v>0.0661117617385385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781.872916666667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4.5136875859587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0.498927641116676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0.498927641116676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0.424088494949175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253.461541643799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2.02106868156909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63.1282305747745</v>
      </c>
      <c r="F590" s="19" t="n">
        <f aca="false">F578*$D$588*F589</f>
        <v>69.3527491354094</v>
      </c>
      <c r="G590" s="19" t="n">
        <f aca="false">G578*$D$588*G589</f>
        <v>72.926534586915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351.307669196166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0.559978344599226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178.947189172338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19.2249952047764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19.2249952047764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70.2872080018404</v>
      </c>
      <c r="F608" s="19" t="n">
        <f aca="false">(F604+F606)*F607</f>
        <v>91.2605886998897</v>
      </c>
      <c r="G608" s="19" t="n">
        <f aca="false">(G604+G606)*G607</f>
        <v>97.4496668216452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232.497089783966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0.689908762901221</v>
      </c>
      <c r="F611" s="14" t="n">
        <f aca="false">F610/E610-1</f>
        <v>0.298395416382168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781.872916666667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4.5136875859587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0.498927641116676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0.498927641116676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0.424088494949175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253.461541643799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2.02106868156909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63.1282305747745</v>
      </c>
      <c r="F631" s="19" t="n">
        <f aca="false">F619*$D$629*F630</f>
        <v>69.3527491354094</v>
      </c>
      <c r="G631" s="19" t="n">
        <f aca="false">G619*$D$629*G630</f>
        <v>72.926534586915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351.307669196166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0.559978344599226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178.947189172338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158.548016827002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19.2249952047764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29.4665028951675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0.274911189906326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63.8452930212195</v>
      </c>
      <c r="F649" s="19" t="n">
        <f aca="false">(F645+F647)*F648</f>
        <v>82.2708468876731</v>
      </c>
      <c r="G649" s="19" t="n">
        <f aca="false">(G645+G647)*G648</f>
        <v>87.8050219039886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162.653397652869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0.535026404004124</v>
      </c>
      <c r="F652" s="14" t="n">
        <f aca="false">F651/E651-1</f>
        <v>0.288596903460522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781.872916666667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4.5136875859587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0.436561685977092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0.436561685977092</v>
      </c>
      <c r="E667" s="14" t="n">
        <f aca="false">$D$665*E666</f>
        <v>0.414733601678237</v>
      </c>
      <c r="F667" s="14" t="n">
        <f aca="false">$D$665*F666</f>
        <v>0.392905517379383</v>
      </c>
      <c r="G667" s="14" t="n">
        <f aca="false">$D$665*G666</f>
        <v>0.371077433080528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221.778848938324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70.3428854976059</v>
      </c>
      <c r="F672" s="19" t="n">
        <f aca="false">F660*$D$670*F671</f>
        <v>77.2787776080276</v>
      </c>
      <c r="G672" s="19" t="n">
        <f aca="false">G660*$D$670*G671</f>
        <v>81.2609956825625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448.118110075981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0.511962695697736</v>
      </c>
      <c r="F676" s="14" t="n">
        <f aca="false">F675/E675-1</f>
        <v>0.239343626233224</v>
      </c>
      <c r="G676" s="14" t="n">
        <f aca="false">G675/F675-1</f>
        <v>0.0619171161415131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0.450623409860418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0.708684619526715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97.2327639864483</v>
      </c>
      <c r="F686" s="19" t="n">
        <f aca="false">F682-F685</f>
        <v>123.54366901527</v>
      </c>
      <c r="G686" s="19" t="n">
        <f aca="false">G682-G685</f>
        <v>131.723642093235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84.0669765853071</v>
      </c>
      <c r="G690" s="19" t="n">
        <f aca="false">(G686+G688)*G689</f>
        <v>89.5884584129339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0.594215776016352</v>
      </c>
      <c r="F693" s="14" t="n">
        <f aca="false">F692/E692-1</f>
        <v>0.267842458677547</v>
      </c>
      <c r="G693" s="14" t="n">
        <f aca="false">G692/F692-1</f>
        <v>0.065679557561154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781.872916666667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4.5136875859587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0.545702107471365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0.545702107471365</v>
      </c>
      <c r="E708" s="14" t="n">
        <f aca="false">$D$706*E707</f>
        <v>0.518417002097797</v>
      </c>
      <c r="F708" s="14" t="n">
        <f aca="false">$D$706*F707</f>
        <v>0.491131896724228</v>
      </c>
      <c r="G708" s="14" t="n">
        <f aca="false">$D$706*G707</f>
        <v>0.46384679135066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277.223561172905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</v>
      </c>
      <c r="F713" s="19" t="n">
        <f aca="false">F701*$D$711*F712</f>
        <v>63.4082277809457</v>
      </c>
      <c r="G713" s="19" t="n">
        <f aca="false">G701*$D$711*G712</f>
        <v>66.6756887651794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456.345223672391</v>
      </c>
      <c r="G716" s="19" t="n">
        <f aca="false">G709+G713+G714+G715</f>
        <v>485.604595729725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0.595990081275343</v>
      </c>
      <c r="F717" s="14" t="n">
        <f aca="false">F716/E716-1</f>
        <v>0.269679946184301</v>
      </c>
      <c r="G717" s="14" t="n">
        <f aca="false">G716/F716-1</f>
        <v>0.0641167487672434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163.008813305126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70.2755782628345</v>
      </c>
      <c r="F731" s="19" t="n">
        <f aca="false">(F727+F729)*F730</f>
        <v>91.3164760740962</v>
      </c>
      <c r="G731" s="19" t="n">
        <f aca="false">(G727+G729)*G730</f>
        <v>97.5161208855515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0.689629150174879</v>
      </c>
      <c r="F734" s="14" t="n">
        <f aca="false">F733/E733-1</f>
        <v>0.299405545018321</v>
      </c>
      <c r="G734" s="14" t="n">
        <f aca="false">G733/F733-1</f>
        <v>0.067891853452873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781.872916666667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4.5136875859587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0.498927641116676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0.498927641116676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0.424088494949175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253.461541643799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1.34737912104606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46.2351660902729</v>
      </c>
      <c r="G754" s="19" t="n">
        <f aca="false">G742*$D$752*G753</f>
        <v>48.61768972461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347.290072131241</v>
      </c>
      <c r="F757" s="19" t="n">
        <f aca="false">F750+F754+F755+F756</f>
        <v>436.550510028372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0.542138243263127</v>
      </c>
      <c r="F758" s="14" t="n">
        <f aca="false">F757/E757-1</f>
        <v>0.25701983747868</v>
      </c>
      <c r="G758" s="14" t="n">
        <f aca="false">G757/F757-1</f>
        <v>0.0632884202528707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0.692210714838277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115.688145442066</v>
      </c>
      <c r="F764" s="19" t="n">
        <f aca="false">$D$763*F757+d_lc*F750</f>
        <v>147.404574113546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19.8958860947437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19.8958860947437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99.5413290133875</v>
      </c>
      <c r="F768" s="19" t="n">
        <f aca="false">F764-F767</f>
        <v>128.352721190859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87.3130868038301</v>
      </c>
      <c r="G772" s="19" t="n">
        <f aca="false">(G768+G770)*G771</f>
        <v>93.1696093061806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0.631681389693006</v>
      </c>
      <c r="F775" s="14" t="n">
        <f aca="false">F774/E774-1</f>
        <v>0.286562674874086</v>
      </c>
      <c r="G775" s="14" t="n">
        <f aca="false">G774/F774-1</f>
        <v>0.0670749679885736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781.872916666667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4.5136875859587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0.498927641116676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0.498927641116676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0.424088494949175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253.461541643799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84.1709740996993</v>
      </c>
      <c r="F795" s="19" t="n">
        <f aca="false">F783*$D$793*F794</f>
        <v>92.4703321805458</v>
      </c>
      <c r="G795" s="19" t="n">
        <f aca="false">G783*$D$793*G794</f>
        <v>97.23537944922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0.577818445935324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0.567418566220725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0.730387231119088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180.452560854383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69.3104960266989</v>
      </c>
      <c r="F813" s="19" t="n">
        <f aca="false">(F809+F811)*F812</f>
        <v>89.1523880066324</v>
      </c>
      <c r="G813" s="19" t="n">
        <f aca="false">(G809+G811)*G812</f>
        <v>95.1179854838123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0.666425768305974</v>
      </c>
      <c r="F816" s="14" t="n">
        <f aca="false">F815/E815-1</f>
        <v>0.28627542893778</v>
      </c>
      <c r="G816" s="14" t="n">
        <f aca="false">G815/F815-1</f>
        <v>0.0669146122786533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3965.52216912282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</v>
      </c>
      <c r="F823" s="14" t="n">
        <f aca="false">E823/E$821-1</f>
        <v>0.0720818758114792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0.0439098909482429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-0.0305522424222244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2026-10-26T13:48:22Z</dcterms:created>
  <dc:creator>openpyxl</dc:creator>
  <dc:description/>
  <dc:language>en-US</dc:language>
  <cp:lastModifiedBy/>
  <dcterms:modified xsi:type="dcterms:W3CDTF">2026-10-26T13:48:22Z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