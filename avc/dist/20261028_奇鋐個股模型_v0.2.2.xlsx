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r" vbProcedure="false">Q!$B$18</definedName>
    <definedName function="false" hidden="false" name="a25_eps" vbProcedure="false">Q!$B$15</definedName>
    <definedName function="false" hidden="false" name="a25_gen" vbProcedure="false">Q!$B$19</definedName>
    <definedName function="false" hidden="false" name="a25_gp" vbProcedure="false">Q!$B$5</definedName>
    <definedName function="false" hidden="false" name="a25_lc" vbProcedure="false">Q!$B$17</definedName>
    <definedName function="false" hidden="false" name="a25_nai" vbProcedure="false">Q!$B$20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r" vbProcedure="false">Q!$F$18</definedName>
    <definedName function="false" hidden="false" name="a26_airH" vbProcedure="false">Q!$F$23</definedName>
    <definedName function="false" hidden="false" name="a26_airL" vbProcedure="false">Q!$F$21</definedName>
    <definedName function="false" hidden="false" name="a26_airLH" vbProcedure="false">Q!$F$29</definedName>
    <definedName function="false" hidden="false" name="a26_airLL" vbProcedure="false">Q!$F$26</definedName>
    <definedName function="false" hidden="false" name="a26_eps" vbProcedure="false">Q!$F$15</definedName>
    <definedName function="false" hidden="false" name="a26_gen" vbProcedure="false">Q!$F$19</definedName>
    <definedName function="false" hidden="false" name="a26_genH" vbProcedure="false">Q!$F$24</definedName>
    <definedName function="false" hidden="false" name="a26_genL" vbProcedure="false">Q!$F$22</definedName>
    <definedName function="false" hidden="false" name="a26_genLH" vbProcedure="false">Q!$F$30</definedName>
    <definedName function="false" hidden="false" name="a26_genLL" vbProcedure="false">Q!$F$27</definedName>
    <definedName function="false" hidden="false" name="a26_gp" vbProcedure="false">Q!$F$5</definedName>
    <definedName function="false" hidden="false" name="a26_lc" vbProcedure="false">Q!$F$17</definedName>
    <definedName function="false" hidden="false" name="a26_lcLH" vbProcedure="false">Q!$F$28</definedName>
    <definedName function="false" hidden="false" name="a26_lcLL" vbProcedure="false">Q!$F$25</definedName>
    <definedName function="false" hidden="false" name="a26_nai" vbProcedure="false">Q!$F$20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CHI_27" vbProcedure="false">In!$F$39</definedName>
    <definedName function="false" hidden="false" name="ACHI_28" vbProcedure="false">In!$F$40</definedName>
    <definedName function="false" hidden="false" name="ACHI_29" vbProcedure="false">In!$F$41</definedName>
    <definedName function="false" hidden="false" name="ACLO_27" vbProcedure="false">In!$D$39</definedName>
    <definedName function="false" hidden="false" name="ACLO_28" vbProcedure="false">In!$D$40</definedName>
    <definedName function="false" hidden="false" name="ACLO_29" vbProcedure="false">In!$D$41</definedName>
    <definedName function="false" hidden="false" name="acr_27" vbProcedure="false">In!$E$39</definedName>
    <definedName function="false" hidden="false" name="acr_27_hi" vbProcedure="false">In!$F$39</definedName>
    <definedName function="false" hidden="false" name="acr_27_lo" vbProcedure="false">In!$D$39</definedName>
    <definedName function="false" hidden="false" name="acr_28" vbProcedure="false">In!$E$40</definedName>
    <definedName function="false" hidden="false" name="acr_28_hi" vbProcedure="false">In!$F$40</definedName>
    <definedName function="false" hidden="false" name="acr_28_lo" vbProcedure="false">In!$D$40</definedName>
    <definedName function="false" hidden="false" name="acr_29" vbProcedure="false">In!$E$41</definedName>
    <definedName function="false" hidden="false" name="acr_29_hi" vbProcedure="false">In!$F$41</definedName>
    <definedName function="false" hidden="false" name="acr_29_lo" vbProcedure="false">In!$D$41</definedName>
    <definedName function="false" hidden="false" name="aiair" vbProcedure="false">In!$E$47</definedName>
    <definedName function="false" hidden="false" name="aiair_hi" vbProcedure="false">In!$F$47</definedName>
    <definedName function="false" hidden="false" name="aiair_lo" vbProcedure="false">In!$D$47</definedName>
    <definedName function="false" hidden="false" name="b_eps26gs" vbProcedure="false">In!$E$74</definedName>
    <definedName function="false" hidden="false" name="b_eps26kgi" vbProcedure="false">In!$E$75</definedName>
    <definedName function="false" hidden="false" name="b_eps27bofa" vbProcedure="false">In!$E$79</definedName>
    <definedName function="false" hidden="false" name="b_eps27citi" vbProcedure="false">In!$E$81</definedName>
    <definedName function="false" hidden="false" name="b_eps27dw" vbProcedure="false">In!$E$80</definedName>
    <definedName function="false" hidden="false" name="b_eps27gs" vbProcedure="false">In!$E$77</definedName>
    <definedName function="false" hidden="false" name="b_eps27kgi" vbProcedure="false">In!$E$78</definedName>
    <definedName function="false" hidden="false" name="b_eps28gs" vbProcedure="false">In!$E$82</definedName>
    <definedName function="false" hidden="false" name="b_gm27" vbProcedure="false">In!$E$83</definedName>
    <definedName function="false" hidden="false" name="b_lc27" vbProcedure="false">In!$E$84</definedName>
    <definedName function="false" hidden="false" name="b_q4" vbProcedure="false">In!$E$73</definedName>
    <definedName function="false" hidden="false" name="b_rev26" vbProcedure="false">In!$E$72</definedName>
    <definedName function="false" hidden="false" name="b_rev27" vbProcedure="false">In!$E$76</definedName>
    <definedName function="false" hidden="false" name="CAHI_27" vbProcedure="false">In!$F$29</definedName>
    <definedName function="false" hidden="false" name="CAHI_28" vbProcedure="false">In!$F$30</definedName>
    <definedName function="false" hidden="false" name="CAHI_29" vbProcedure="false">In!$F$31</definedName>
    <definedName function="false" hidden="false" name="CALO_27" vbProcedure="false">In!$D$29</definedName>
    <definedName function="false" hidden="false" name="CALO_28" vbProcedure="false">In!$D$30</definedName>
    <definedName function="false" hidden="false" name="CALO_29" vbProcedure="false">In!$D$31</definedName>
    <definedName function="false" hidden="false" name="cons_feps" vbProcedure="false">In!$E$104</definedName>
    <definedName function="false" hidden="false" name="cons_tp" vbProcedure="false">In!$E$103</definedName>
    <definedName function="false" hidden="false" name="cool_gb" vbProcedure="false">In!$E$14</definedName>
    <definedName function="false" hidden="false" name="cool_vr" vbProcedure="false">In!$E$15</definedName>
    <definedName function="false" hidden="false" name="dlc_26" vbProcedure="false">In!$E$23</definedName>
    <definedName function="false" hidden="false" name="dlc_27" vbProcedure="false">In!$E$24</definedName>
    <definedName function="false" hidden="false" name="dlc_28" vbProcedure="false">In!$E$25</definedName>
    <definedName function="false" hidden="false" name="dlc_29" vbProcedure="false">In!$E$26</definedName>
    <definedName function="false" hidden="false" name="d_lc" vbProcedure="false">In!$E$55</definedName>
    <definedName function="false" hidden="false" name="d_lc_hi" vbProcedure="false">In!$F$55</definedName>
    <definedName function="false" hidden="false" name="d_lc_lo" vbProcedure="false">In!$D$55</definedName>
    <definedName function="false" hidden="false" name="fade_gA" vbProcedure="false">In!$E$99</definedName>
    <definedName function="false" hidden="false" name="fade_gB" vbProcedure="false">In!$E$100</definedName>
    <definedName function="false" hidden="false" name="fade_gC" vbProcedure="false">In!$E$101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GHI_27" vbProcedure="false">In!$F$48</definedName>
    <definedName function="false" hidden="false" name="GGHI_28" vbProcedure="false">In!$F$49</definedName>
    <definedName function="false" hidden="false" name="GGHI_29" vbProcedure="false">In!$F$50</definedName>
    <definedName function="false" hidden="false" name="GGLO_27" vbProcedure="false">In!$D$48</definedName>
    <definedName function="false" hidden="false" name="GGLO_28" vbProcedure="false">In!$D$49</definedName>
    <definedName function="false" hidden="false" name="GGLO_29" vbProcedure="false">In!$D$50</definedName>
    <definedName function="false" hidden="false" name="GNHI_27" vbProcedure="false">In!$F$51</definedName>
    <definedName function="false" hidden="false" name="GNHI_28" vbProcedure="false">In!$F$52</definedName>
    <definedName function="false" hidden="false" name="GNHI_29" vbProcedure="false">In!$F$53</definedName>
    <definedName function="false" hidden="false" name="GNLO_27" vbProcedure="false">In!$D$51</definedName>
    <definedName function="false" hidden="false" name="GNLO_28" vbProcedure="false">In!$D$52</definedName>
    <definedName function="false" hidden="false" name="GNLO_29" vbProcedure="false">In!$D$53</definedName>
    <definedName function="false" hidden="false" name="g_gen_27" vbProcedure="false">In!$E$48</definedName>
    <definedName function="false" hidden="false" name="g_gen_27_hi" vbProcedure="false">In!$F$48</definedName>
    <definedName function="false" hidden="false" name="g_gen_27_lo" vbProcedure="false">In!$D$48</definedName>
    <definedName function="false" hidden="false" name="g_gen_28" vbProcedure="false">In!$E$49</definedName>
    <definedName function="false" hidden="false" name="g_gen_28_hi" vbProcedure="false">In!$F$49</definedName>
    <definedName function="false" hidden="false" name="g_gen_28_lo" vbProcedure="false">In!$D$49</definedName>
    <definedName function="false" hidden="false" name="g_gen_29" vbProcedure="false">In!$E$50</definedName>
    <definedName function="false" hidden="false" name="g_gen_29_hi" vbProcedure="false">In!$F$50</definedName>
    <definedName function="false" hidden="false" name="g_gen_29_lo" vbProcedure="false">In!$D$50</definedName>
    <definedName function="false" hidden="false" name="g_nai_27" vbProcedure="false">In!$E$51</definedName>
    <definedName function="false" hidden="false" name="g_nai_27_hi" vbProcedure="false">In!$F$51</definedName>
    <definedName function="false" hidden="false" name="g_nai_27_lo" vbProcedure="false">In!$D$51</definedName>
    <definedName function="false" hidden="false" name="g_nai_28" vbProcedure="false">In!$E$52</definedName>
    <definedName function="false" hidden="false" name="g_nai_28_hi" vbProcedure="false">In!$F$52</definedName>
    <definedName function="false" hidden="false" name="g_nai_28_lo" vbProcedure="false">In!$D$52</definedName>
    <definedName function="false" hidden="false" name="g_nai_29" vbProcedure="false">In!$E$53</definedName>
    <definedName function="false" hidden="false" name="g_nai_29_hi" vbProcedure="false">In!$F$53</definedName>
    <definedName function="false" hidden="false" name="g_nai_29_lo" vbProcedure="false">In!$D$53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lcadj_27" vbProcedure="false">In!$E$29</definedName>
    <definedName function="false" hidden="false" name="lcadj_27_hi" vbProcedure="false">In!$F$29</definedName>
    <definedName function="false" hidden="false" name="lcadj_27_lo" vbProcedure="false">In!$D$29</definedName>
    <definedName function="false" hidden="false" name="lcadj_28" vbProcedure="false">In!$E$30</definedName>
    <definedName function="false" hidden="false" name="lcadj_28_hi" vbProcedure="false">In!$F$30</definedName>
    <definedName function="false" hidden="false" name="lcadj_28_lo" vbProcedure="false">In!$D$30</definedName>
    <definedName function="false" hidden="false" name="lcadj_29" vbProcedure="false">In!$E$31</definedName>
    <definedName function="false" hidden="false" name="lcadj_29_hi" vbProcedure="false">In!$F$31</definedName>
    <definedName function="false" hidden="false" name="lcadj_29_lo" vbProcedure="false">In!$D$31</definedName>
    <definedName function="false" hidden="false" name="lc_25" vbProcedure="false">In!$E$45</definedName>
    <definedName function="false" hidden="false" name="lc_25_hi" vbProcedure="false">In!$F$45</definedName>
    <definedName function="false" hidden="false" name="lc_25_lo" vbProcedure="false">In!$D$45</definedName>
    <definedName function="false" hidden="false" name="lc_26" vbProcedure="false">In!$E$46</definedName>
    <definedName function="false" hidden="false" name="lc_26_hi" vbProcedure="false">In!$F$46</definedName>
    <definedName function="false" hidden="false" name="lc_26_lo" vbProcedure="false">In!$D$46</definedName>
    <definedName function="false" hidden="false" name="lpenA_26" vbProcedure="false">In!$E$32</definedName>
    <definedName function="false" hidden="false" name="lpenA_27" vbProcedure="false">In!$F$33</definedName>
    <definedName function="false" hidden="false" name="lpenA_28" vbProcedure="false">In!$F$34</definedName>
    <definedName function="false" hidden="false" name="lpenA_29" vbProcedure="false">In!$F$35</definedName>
    <definedName function="false" hidden="false" name="lpenB_26" vbProcedure="false">In!$E$32</definedName>
    <definedName function="false" hidden="false" name="lpenB_27" vbProcedure="false">In!$E$33</definedName>
    <definedName function="false" hidden="false" name="lpenB_28" vbProcedure="false">In!$E$34</definedName>
    <definedName function="false" hidden="false" name="lpenB_29" vbProcedure="false">In!$E$35</definedName>
    <definedName function="false" hidden="false" name="lpenC_26" vbProcedure="false">In!$E$32</definedName>
    <definedName function="false" hidden="false" name="lpenC_27" vbProcedure="false">In!$D$33</definedName>
    <definedName function="false" hidden="false" name="lpenC_28" vbProcedure="false">In!$D$34</definedName>
    <definedName function="false" hidden="false" name="lpenC_29" vbProcedure="false">In!$D$35</definedName>
    <definedName function="false" hidden="false" name="lpen_26" vbProcedure="false">In!$E$32</definedName>
    <definedName function="false" hidden="false" name="lpen_26_hi" vbProcedure="false">In!$F$32</definedName>
    <definedName function="false" hidden="false" name="lpen_26_lo" vbProcedure="false">In!$D$32</definedName>
    <definedName function="false" hidden="false" name="lpen_27" vbProcedure="false">In!$E$33</definedName>
    <definedName function="false" hidden="false" name="lpen_27_hi" vbProcedure="false">In!$F$33</definedName>
    <definedName function="false" hidden="false" name="lpen_27_lo" vbProcedure="false">In!$D$33</definedName>
    <definedName function="false" hidden="false" name="lpen_28" vbProcedure="false">In!$E$34</definedName>
    <definedName function="false" hidden="false" name="lpen_28_hi" vbProcedure="false">In!$F$34</definedName>
    <definedName function="false" hidden="false" name="lpen_28_lo" vbProcedure="false">In!$D$34</definedName>
    <definedName function="false" hidden="false" name="lpen_29" vbProcedure="false">In!$E$35</definedName>
    <definedName function="false" hidden="false" name="lpen_29_hi" vbProcedure="false">In!$F$35</definedName>
    <definedName function="false" hidden="false" name="lpen_29_lo" vbProcedure="false">In!$D$35</definedName>
    <definedName function="false" hidden="false" name="LPHI_26" vbProcedure="false">In!$F$32</definedName>
    <definedName function="false" hidden="false" name="LPHI_27" vbProcedure="false">In!$F$33</definedName>
    <definedName function="false" hidden="false" name="LPHI_28" vbProcedure="false">In!$F$34</definedName>
    <definedName function="false" hidden="false" name="LPHI_29" vbProcedure="false">In!$F$35</definedName>
    <definedName function="false" hidden="false" name="LPLO_26" vbProcedure="false">In!$D$32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mani" vbProcedure="false">In!$E$28</definedName>
    <definedName function="false" hidden="false" name="mani_hi" vbProcedure="false">In!$F$28</definedName>
    <definedName function="false" hidden="false" name="mani_lo" vbProcedure="false">In!$D$28</definedName>
    <definedName function="false" hidden="false" name="mf" vbProcedure="false">In!$E$70</definedName>
    <definedName function="false" hidden="false" name="mf_hi" vbProcedure="false">In!$F$70</definedName>
    <definedName function="false" hidden="false" name="mf_lo" vbProcedure="false">In!$D$70</definedName>
    <definedName function="false" hidden="false" name="nim10_f" vbProcedure="false">In!$E$102</definedName>
    <definedName function="false" hidden="false" name="nir_f" vbProcedure="false">In!$E$68</definedName>
    <definedName function="false" hidden="false" name="nir_f_hi" vbProcedure="false">In!$F$68</definedName>
    <definedName function="false" hidden="false" name="nir_f_lo" vbProcedure="false">In!$D$68</definedName>
    <definedName function="false" hidden="false" name="nop_f" vbProcedure="false">In!$E$67</definedName>
    <definedName function="false" hidden="false" name="nop_f_hi" vbProcedure="false">In!$F$67</definedName>
    <definedName function="false" hidden="false" name="nop_f_lo" vbProcedure="false">In!$D$67</definedName>
    <definedName function="false" hidden="false" name="old_rule_px" vbProcedure="false">Val!$B$75</definedName>
    <definedName function="false" hidden="false" name="old_rule_up" vbProcedure="false">Val!$B$76</definedName>
    <definedName function="false" hidden="false" name="opx_adj" vbProcedure="false">In!$E$66</definedName>
    <definedName function="false" hidden="false" name="opx_adj_hi" vbProcedure="false">In!$F$66</definedName>
    <definedName function="false" hidden="false" name="opx_adj_lo" vbProcedure="false">In!$D$66</definedName>
    <definedName function="false" hidden="false" name="pe_mid" vbProcedure="false">Val!$C$69</definedName>
    <definedName function="false" hidden="false" name="pe_peak" vbProcedure="false">Val!$C$68</definedName>
    <definedName function="false" hidden="false" name="pe_trough" vbProcedure="false">Val!$C$70</definedName>
    <definedName function="false" hidden="false" name="pe_ttm" vbProcedure="false">In!$E$89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In!$E$88</definedName>
    <definedName function="false" hidden="false" name="q3_rev" vbProcedure="false">In!$E$57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_gm" vbProcedure="false">In!$E$59</definedName>
    <definedName function="false" hidden="false" name="q_gm_hi" vbProcedure="false">In!$F$59</definedName>
    <definedName function="false" hidden="false" name="q_gm_lo" vbProcedure="false">In!$D$59</definedName>
    <definedName function="false" hidden="false" name="q_nir" vbProcedure="false">In!$E$62</definedName>
    <definedName function="false" hidden="false" name="q_nir_hi" vbProcedure="false">In!$F$62</definedName>
    <definedName function="false" hidden="false" name="q_nir_lo" vbProcedure="false">In!$D$62</definedName>
    <definedName function="false" hidden="false" name="q_nop" vbProcedure="false">In!$E$61</definedName>
    <definedName function="false" hidden="false" name="q_nop_hi" vbProcedure="false">In!$F$61</definedName>
    <definedName function="false" hidden="false" name="q_nop_lo" vbProcedure="false">In!$D$61</definedName>
    <definedName function="false" hidden="false" name="q_opx" vbProcedure="false">In!$E$60</definedName>
    <definedName function="false" hidden="false" name="q_opx_hi" vbProcedure="false">In!$F$60</definedName>
    <definedName function="false" hidden="false" name="q_opx_lo" vbProcedure="false">In!$D$60</definedName>
    <definedName function="false" hidden="false" name="q_sh" vbProcedure="false">In!$E$63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sh_g" vbProcedure="false">In!$E$69</definedName>
    <definedName function="false" hidden="false" name="sh_g_hi" vbProcedure="false">In!$F$69</definedName>
    <definedName function="false" hidden="false" name="sh_g_lo" vbProcedure="false">In!$D$69</definedName>
    <definedName function="false" hidden="false" name="srv_25" vbProcedure="false">In!$E$43</definedName>
    <definedName function="false" hidden="false" name="srv_26" vbProcedure="false">In!$E$44</definedName>
    <definedName function="false" hidden="false" name="srv_26_hi" vbProcedure="false">In!$F$44</definedName>
    <definedName function="false" hidden="false" name="srv_26_lo" vbProcedure="false">In!$D$44</definedName>
    <definedName function="false" hidden="false" name="tf_pen26" vbProcedure="false">In!$E$85</definedName>
    <definedName function="false" hidden="false" name="tf_pen27" vbProcedure="false">In!$E$86</definedName>
    <definedName function="false" hidden="false" name="tp_comp" vbProcedure="false">Val!$B$115</definedName>
    <definedName function="false" hidden="false" name="tp_dcf" vbProcedure="false">Val!$B$105</definedName>
    <definedName function="false" hidden="false" name="tp_final" vbProcedure="false">Val!$B$119</definedName>
    <definedName function="false" hidden="false" name="tp_g" vbProcedure="false">In!$E$96</definedName>
    <definedName function="false" hidden="false" name="tp_r" vbProcedure="false">In!$E$95</definedName>
    <definedName function="false" hidden="false" name="tp_roe" vbProcedure="false">In!$E$97</definedName>
    <definedName function="false" hidden="false" name="tp_wA" vbProcedure="false">In!$E$91</definedName>
    <definedName function="false" hidden="false" name="tp_wB" vbProcedure="false">In!$E$92</definedName>
    <definedName function="false" hidden="false" name="tp_wC" vbProcedure="false">In!$E$93</definedName>
    <definedName function="false" hidden="false" name="tp_w_dcf" vbProcedure="false">In!$E$98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<sst xmlns="http://schemas.openxmlformats.org/spreadsheetml/2006/main" count="3266" uniqueCount="871">
  <si>
    <r>
      <rPr>
        <b val="true"/>
        <sz val="11"/>
        <rFont val="Noto Sans CJK SC"/>
        <family val="2"/>
      </rPr>
      <t xml:space="preserve">奇鋐（</t>
    </r>
    <r>
      <rPr>
        <b val="true"/>
        <sz val="11"/>
        <rFont val="Cambria"/>
        <family val="0"/>
        <charset val="1"/>
      </rPr>
      <t xml:space="preserve">3017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：電源與散熱次產業；樣板＝台達電）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</si>
  <si>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：液冷滲透率改依情境字母（奇鋐），數值變動：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＝高值、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＝基準、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＝低值（與雙鴻模型同值，</t>
    </r>
    <r>
      <rPr>
        <sz val="11"/>
        <rFont val="Cambria"/>
        <family val="0"/>
        <charset val="1"/>
      </rPr>
      <t xml:space="preserve">Andy 2026-10-25 13:13</t>
    </r>
    <r>
      <rPr>
        <sz val="11"/>
        <rFont val="Noto Sans CJK SC"/>
        <family val="2"/>
      </rPr>
      <t xml:space="preserve">）；補上檔空間級距、投資建議、重點觀察）。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（初版）：每架液冷內容取自橋接表（</t>
    </r>
    <r>
      <rPr>
        <sz val="11"/>
        <rFont val="Cambria"/>
        <family val="0"/>
        <charset val="1"/>
      </rPr>
      <t xml:space="preserve">Morgan Stanley BOM</t>
    </r>
    <r>
      <rPr>
        <sz val="11"/>
        <rFont val="Noto Sans CJK SC"/>
        <family val="2"/>
      </rPr>
      <t xml:space="preserve">）；液冷滲透率、每架內容調整、奇鋐份額為本模型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頁建立。台達電液冷線只在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對帳。</t>
    </r>
  </si>
  <si>
    <r>
      <rPr>
        <sz val="11"/>
        <rFont val="Noto Sans CJK SC"/>
        <family val="2"/>
      </rPr>
      <t xml:space="preserve">模型命題：奇鋐的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奇鋐份額＋每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氣冷與機構）。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機架數較少，橋接表的每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液冷內容下降；成長要靠液冷滲透率、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全液冷與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液冷提高每架內容，同時守住冷板份額。</t>
    </r>
  </si>
  <si>
    <r>
      <rPr>
        <sz val="11"/>
        <rFont val="Noto Sans CJK SC"/>
        <family val="2"/>
      </rPr>
      <t xml:space="preserve">核心問題：液冷滲透率與每架液冷內容的上升，能不能抵銷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機架數下降與份額流失，讓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維持券商預期的高成長；現價約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</si>
  <si>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</si>
  <si>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</si>
  <si>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液冷內容（橋接表每架機架內液冷＋分歧管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內容調整）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以券商液冷占比校準）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</si>
  <si>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氣冷與機構：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以伺服器與網通比重（公司）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相對值（氣冷轉液冷，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）。一般伺服器與網通、非伺服器（</t>
    </r>
    <r>
      <rPr>
        <sz val="11"/>
        <rFont val="Cambria"/>
        <family val="0"/>
        <charset val="1"/>
      </rPr>
      <t xml:space="preserve">3C</t>
    </r>
    <r>
      <rPr>
        <sz val="11"/>
        <rFont val="Noto Sans CJK SC"/>
        <family val="2"/>
      </rPr>
      <t xml:space="preserve">、系統、富世達）：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拆分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）。毛利率：液冷比其他營收高 </t>
    </r>
    <r>
      <rPr>
        <sz val="11"/>
        <rFont val="Cambria"/>
        <family val="0"/>
        <charset val="1"/>
      </rPr>
      <t xml:space="preserve">d_lc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</si>
  <si>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</si>
  <si>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目標價（雙鴻、健策、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Goodinfo </t>
    </r>
    <r>
      <rPr>
        <sz val="11"/>
        <rFont val="Noto Sans CJK SC"/>
        <family val="2"/>
      </rPr>
      <t xml:space="preserve">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stockanalysis </t>
    </r>
    <r>
      <rPr>
        <sz val="11"/>
        <rFont val="Noto Sans CJK SC"/>
        <family val="2"/>
      </rPr>
      <t xml:space="preserve">核對）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；循環位置以本模型營收最高年判定（奇鋐不套設備股見頂年）。本版未做先驗，無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</si>
  <si>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未使用。公司原文經媒體轉述；券商多經媒體轉述。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</si>
  <si>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2026 </t>
    </r>
    <r>
      <rPr>
        <sz val="11"/>
        <rFont val="Noto Sans CJK SC"/>
        <family val="2"/>
      </rPr>
      <t xml:space="preserve">液冷占比只有券商說法（</t>
    </r>
    <r>
      <rPr>
        <sz val="11"/>
        <rFont val="Cambria"/>
        <family val="0"/>
        <charset val="1"/>
      </rPr>
      <t xml:space="preserve">30–35%</t>
    </r>
    <r>
      <rPr>
        <sz val="11"/>
        <rFont val="Noto Sans CJK SC"/>
        <family val="2"/>
      </rPr>
      <t xml:space="preserve">），公司未揭露；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液冷滲透率、每架內容調整、份額相對值為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前的低倍數（約 </t>
    </r>
    <r>
      <rPr>
        <sz val="11"/>
        <rFont val="Cambria"/>
        <family val="0"/>
        <charset val="1"/>
      </rPr>
      <t xml:space="preserve">10–15x</t>
    </r>
    <r>
      <rPr>
        <sz val="11"/>
        <rFont val="Noto Sans CJK SC"/>
        <family val="2"/>
      </rPr>
      <t xml:space="preserve">），規則值可能低估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期的合理倍數；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稅前利益與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各季營收為推導；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財報（預計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</si>
  <si>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、鉅亨於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。上游台達電模型改為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，本模型讀取的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液冷線數值不變。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</si>
  <si>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起液冷滲透率高值）、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，滲透率基準）、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、滲透率低值）。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起液冷滲透率依情境字母（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，與雙鴻模型同值），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三情境只差滲透率，顆數差異從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</si>
  <si>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</si>
  <si>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NT$3,966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3,002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4,929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25%–50%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56.7%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179.1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132.6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35.1%</t>
    </r>
    <r>
      <rPr>
        <sz val="11"/>
        <color theme="1"/>
        <rFont val="Noto Sans CJK SC"/>
        <family val="2"/>
      </rPr>
      <t xml:space="preserve">（兩者期間差約一年；</t>
    </r>
    <r>
      <rPr>
        <sz val="11"/>
        <color theme="1"/>
        <rFont val="Calibri"/>
        <family val="2"/>
        <charset val="1"/>
      </rPr>
      <t xml:space="preserve">FY2027 B 163.2 </t>
    </r>
    <r>
      <rPr>
        <sz val="11"/>
        <color theme="1"/>
        <rFont val="Noto Sans CJK SC"/>
        <family val="2"/>
      </rPr>
      <t xml:space="preserve">比高盛 </t>
    </r>
    <r>
      <rPr>
        <sz val="11"/>
        <color theme="1"/>
        <rFont val="Calibri"/>
        <family val="2"/>
        <charset val="1"/>
      </rPr>
      <t xml:space="preserve">154.8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5.4%</t>
    </r>
    <r>
      <rPr>
        <sz val="11"/>
        <color theme="1"/>
        <rFont val="Noto Sans CJK SC"/>
        <family val="2"/>
      </rPr>
      <t xml:space="preserve">），同業（雙鴻、健策、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27.5 </t>
    </r>
    <r>
      <rPr>
        <sz val="11"/>
        <color theme="1"/>
        <rFont val="Noto Sans CJK SC"/>
        <family val="2"/>
      </rPr>
      <t xml:space="preserve">倍略高於現價隱含 </t>
    </r>
    <r>
      <rPr>
        <sz val="11"/>
        <color theme="1"/>
        <rFont val="Calibri"/>
        <family val="2"/>
        <charset val="1"/>
      </rPr>
      <t xml:space="preserve">23.7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只有前瞻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16.8 </t>
    </r>
    <r>
      <rPr>
        <sz val="11"/>
        <color theme="1"/>
        <rFont val="Noto Sans CJK SC"/>
        <family val="2"/>
      </rPr>
      <t xml:space="preserve">倍、比現價低 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，上檔空間全由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拉動。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</si>
  <si>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起液冷滲透率依情境字母（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低）：</t>
    </r>
    <r>
      <rPr>
        <sz val="11"/>
        <color theme="1"/>
        <rFont val="Calibri"/>
        <family val="2"/>
        <charset val="1"/>
      </rPr>
      <t xml:space="preserve">FY2027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174.7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145.8</t>
    </r>
    <r>
      <rPr>
        <sz val="11"/>
        <color theme="1"/>
        <rFont val="Noto Sans CJK SC"/>
        <family val="2"/>
      </rPr>
      <t xml:space="preserve">（原三情境同為 </t>
    </r>
    <r>
      <rPr>
        <sz val="11"/>
        <color theme="1"/>
        <rFont val="Calibri"/>
        <family val="2"/>
        <charset val="1"/>
      </rPr>
      <t xml:space="preserve">163.2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224.8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177.5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130.4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209.7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177.5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143.4</t>
    </r>
    <r>
      <rPr>
        <sz val="11"/>
        <color theme="1"/>
        <rFont val="Noto Sans CJK SC"/>
        <family val="2"/>
      </rPr>
      <t xml:space="preserve">）；加權目標價由 </t>
    </r>
    <r>
      <rPr>
        <sz val="11"/>
        <color theme="1"/>
        <rFont val="Calibri"/>
        <family val="2"/>
        <charset val="1"/>
      </rPr>
      <t xml:space="preserve">3,956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3,966</t>
    </r>
    <r>
      <rPr>
        <sz val="11"/>
        <color theme="1"/>
        <rFont val="Noto Sans CJK SC"/>
        <family val="2"/>
      </rPr>
      <t xml:space="preserve">，上檔空間由 </t>
    </r>
    <r>
      <rPr>
        <sz val="11"/>
        <color theme="1"/>
        <rFont val="Calibri"/>
        <family val="2"/>
        <charset val="1"/>
      </rPr>
      <t xml:space="preserve">25.8%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，離買進與中立的界線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很近。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</si>
  <si>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：每架液冷內容調整是最敏感的變數：調整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（只有橋接表的機架內液冷）時 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2028 1.8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+18.3%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月中）可檢驗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年液冷占比（本模型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，券商 </t>
    </r>
    <r>
      <rPr>
        <sz val="11"/>
        <color theme="1"/>
        <rFont val="Calibri"/>
        <family val="2"/>
        <charset val="1"/>
      </rPr>
      <t xml:space="preserve">30–35%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</si>
  <si>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推導區塊新增「伺服器與網通營收」母列（液冷、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氣冷與機構、一般伺服器與網通為子列；公司揭露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年伺服器與網通約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，凱基轉述）與核對列「分部合計 − 合併營收」；非伺服器（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、系統、富世達）為另一母列。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</si>
  <si>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），市場與每架內容為美元；比例：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</si>
  <si>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未使用。公司原文＝奇鋐法說（經鉅亨、優分析、時報轉述）與月營收公告；公司的產品比重說法為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</si>
  <si>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</si>
  <si>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</si>
  <si>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</si>
  <si>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</si>
  <si>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</si>
  <si>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</si>
  <si>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</si>
  <si>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</si>
  <si>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</si>
  <si>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</si>
  <si>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</si>
  <si>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</si>
  <si>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</si>
  <si>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</si>
  <si>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</si>
  <si>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</si>
  <si>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</si>
  <si>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</si>
  <si>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</si>
  <si>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</si>
  <si>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</si>
  <si>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</si>
  <si>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</si>
  <si>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</si>
  <si>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</si>
  <si>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</si>
  <si>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</si>
  <si>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</si>
  <si>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</si>
  <si>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</si>
  <si>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</si>
  <si>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數值用）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</si>
  <si>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</si>
  <si>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</si>
  <si>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</si>
  <si>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量在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末放大，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下半年推出（時報 </t>
    </r>
    <r>
      <rPr>
        <sz val="11"/>
        <color theme="1"/>
        <rFont val="Calibri"/>
        <family val="2"/>
        <charset val="1"/>
      </rPr>
      <t xml:space="preserve">2026-06-02 </t>
    </r>
    <r>
      <rPr>
        <sz val="11"/>
        <color theme="1"/>
        <rFont val="Noto Sans CJK SC"/>
        <family val="2"/>
      </rPr>
      <t xml:space="preserve">股東會）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</si>
  <si>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</si>
  <si>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</si>
  <si>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</si>
  <si>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</si>
  <si>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</si>
  <si>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</si>
  <si>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</si>
  <si>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</si>
  <si>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</si>
  <si>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</si>
  <si>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</si>
  <si>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 US$49.9K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</si>
  <si>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</si>
  <si>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每架機架內液冷（橋接表）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</si>
  <si>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（運算匣每匣 </t>
    </r>
    <r>
      <rPr>
        <sz val="11"/>
        <color theme="1"/>
        <rFont val="Calibri"/>
        <family val="2"/>
        <charset val="1"/>
      </rPr>
      <t xml:space="preserve">2,660</t>
    </r>
    <r>
      <rPr>
        <sz val="11"/>
        <color theme="1"/>
        <rFont val="Noto Sans CJK SC"/>
        <family val="2"/>
      </rPr>
      <t xml:space="preserve">、交換匣每匣 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</si>
  <si>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</si>
  <si>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</si>
  <si>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</si>
  <si>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</si>
  <si>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</si>
  <si>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</si>
  <si>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</si>
  <si>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</si>
  <si>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</si>
  <si>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</si>
  <si>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</si>
  <si>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</si>
  <si>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</si>
  <si>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</si>
  <si>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</si>
  <si>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</si>
  <si>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</si>
  <si>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</si>
  <si>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</si>
  <si>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</si>
  <si>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</si>
  <si>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</si>
  <si>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</si>
  <si>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</si>
  <si>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模型相同（公司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</si>
  <si>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：市值 </t>
    </r>
    <r>
      <rPr>
        <sz val="11"/>
        <color theme="1"/>
        <rFont val="Calibri"/>
        <family val="2"/>
        <charset val="1"/>
      </rPr>
      <t xml:space="preserve">NT$1,148bn ≈ US$33.6bn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34.2</t>
    </r>
    <r>
      <rPr>
        <sz val="11"/>
        <color theme="1"/>
        <rFont val="Noto Sans CJK SC"/>
        <family val="2"/>
      </rPr>
      <t xml:space="preserve">，口徑待查）</t>
    </r>
  </si>
  <si>
    <t xml:space="preserve">dlc_26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</si>
  <si>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</si>
  <si>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delta/dist/20261028_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Units!C10:F10</t>
    </r>
  </si>
  <si>
    <r>
      <rPr>
        <sz val="11"/>
        <color theme="1"/>
        <rFont val="Noto Sans CJK SC"/>
        <family val="2"/>
      </rPr>
      <t xml:space="preserve">只作對帳（台達電液冷多在機架外：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），不進本模型計算</t>
    </r>
  </si>
  <si>
    <t xml:space="preserve">dlc_27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</si>
  <si>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</si>
  <si>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dlc_28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</si>
  <si>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</si>
  <si>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dlc_29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</si>
  <si>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</si>
  <si>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液冷內容、滲透率與奇鋐份額（每架液冷內容取自橋接表；分歧管、內容調整、滲透率、份額為本模型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</si>
  <si>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</si>
  <si>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</si>
  <si>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</si>
  <si>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分歧管單價：未找到</t>
  </si>
  <si>
    <t xml:space="preserve">lcadj_27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</si>
  <si>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</si>
  <si>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</si>
  <si>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</si>
  <si>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</si>
  <si>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</si>
  <si>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</si>
  <si>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lcadj_29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</si>
  <si>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</si>
  <si>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lpen_26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</si>
  <si>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</si>
  <si>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</si>
  <si>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</si>
  <si>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</si>
  <si>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</si>
  <si>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</si>
  <si>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</si>
  <si>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</si>
  <si>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</si>
  <si>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</si>
  <si>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</si>
  <si>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</si>
  <si>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</si>
  <si>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</si>
  <si>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</si>
  <si>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</si>
  <si>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</si>
  <si>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acr_27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</si>
  <si>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</si>
  <si>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氣冷轉液冷：液冷滲透率上升，每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氣冷金額下降（本模型推論）</t>
    </r>
  </si>
  <si>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機櫃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以氣冷為主，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起（凱基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</si>
  <si>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acr_28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</si>
  <si>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</si>
  <si>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acr_29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</si>
  <si>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</si>
  <si>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</si>
  <si>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</si>
  <si>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</si>
  <si>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）：伺服器與網通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1H25 48%</t>
    </r>
  </si>
  <si>
    <r>
      <rPr>
        <sz val="11"/>
        <color theme="1"/>
        <rFont val="Noto Sans CJK SC"/>
        <family val="2"/>
      </rPr>
      <t xml:space="preserve">第二來源：未找到（凱基 </t>
    </r>
    <r>
      <rPr>
        <sz val="11"/>
        <color theme="1"/>
        <rFont val="Calibri"/>
        <family val="2"/>
        <charset val="1"/>
      </rPr>
      <t xml:space="preserve">2026-08-05 </t>
    </r>
    <r>
      <rPr>
        <sz val="11"/>
        <color theme="1"/>
        <rFont val="Noto Sans CJK SC"/>
        <family val="2"/>
      </rPr>
      <t xml:space="preserve">另列伺服器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＋網通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，口徑不一）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</si>
  <si>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</si>
  <si>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</si>
  <si>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https://uanalyze.com.tw/articles/5815653290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伺服器應用 </t>
    </r>
    <r>
      <rPr>
        <sz val="11"/>
        <color theme="1"/>
        <rFont val="Calibri"/>
        <family val="2"/>
        <charset val="1"/>
      </rPr>
      <t xml:space="preserve">649.19 </t>
    </r>
    <r>
      <rPr>
        <sz val="11"/>
        <color theme="1"/>
        <rFont val="Noto Sans CJK SC"/>
        <family val="2"/>
      </rPr>
      <t xml:space="preserve">億元、占 </t>
    </r>
    <r>
      <rPr>
        <sz val="11"/>
        <color theme="1"/>
        <rFont val="Calibri"/>
        <family val="2"/>
        <charset val="1"/>
      </rPr>
      <t xml:space="preserve">66.1%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</si>
  <si>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https://wantrich.chinatimes.com/news/20260514900569-420101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伺服器與網通約 </t>
    </r>
    <r>
      <rPr>
        <sz val="11"/>
        <color theme="1"/>
        <rFont val="Calibri"/>
        <family val="2"/>
        <charset val="1"/>
      </rPr>
      <t xml:space="preserve">66.4%</t>
    </r>
    <r>
      <rPr>
        <sz val="11"/>
        <color theme="1"/>
        <rFont val="Noto Sans CJK SC"/>
        <family val="2"/>
      </rPr>
      <t xml:space="preserve">；凱基估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69%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</si>
  <si>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</si>
  <si>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</si>
  <si>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未找到（公司稱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年為液冷元年，未揭露比重）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</si>
  <si>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拆分的顯示，不影響預測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</si>
  <si>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</si>
  <si>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</si>
  <si>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https://finance.technews.tw/2026/04/29/avc-ai-server/</t>
    </r>
    <r>
      <rPr>
        <sz val="11"/>
        <color theme="1"/>
        <rFont val="Noto Sans CJK SC"/>
        <family val="2"/>
      </rPr>
      <t xml:space="preserve">：澳系券商估今年液冷占營收 </t>
    </r>
    <r>
      <rPr>
        <sz val="11"/>
        <color theme="1"/>
        <rFont val="Calibri"/>
        <family val="2"/>
        <charset val="1"/>
      </rPr>
      <t xml:space="preserve">30–35%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</si>
  <si>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年液冷超過營收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年未給）；公司：液冷占比持續提升（未給數字）</t>
    </r>
  </si>
  <si>
    <t xml:space="preserve">aiair</t>
  </si>
  <si>
    <r>
      <rPr>
        <sz val="11"/>
        <color theme="1"/>
        <rFont val="Noto Sans CJK SC"/>
        <family val="2"/>
      </rPr>
      <t xml:space="preserve">伺服器與網通中非液冷部分屬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的比例（其餘為一般伺服器、網通）</t>
    </r>
  </si>
  <si>
    <r>
      <rPr>
        <sz val="11"/>
        <color theme="1"/>
        <rFont val="Noto Sans CJK SC"/>
        <family val="2"/>
      </rPr>
      <t xml:space="preserve">未找到（公司未拆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</si>
  <si>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伺服器氣冷模組、</t>
    </r>
    <r>
      <rPr>
        <sz val="11"/>
        <color theme="1"/>
        <rFont val="Calibri"/>
        <family val="2"/>
        <charset val="1"/>
      </rPr>
      <t xml:space="preserve">3D 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機殼與機櫃、交換器散熱</t>
    </r>
  </si>
  <si>
    <t xml:space="preserve">g_gen_27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</si>
  <si>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</si>
  <si>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一般伺服器換機（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新平台）與交換器</t>
    </r>
  </si>
  <si>
    <t xml:space="preserve">g_gen_28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</si>
  <si>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</si>
  <si>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g_gen_29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</si>
  <si>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</si>
  <si>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g_nai_27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</si>
  <si>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</si>
  <si>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錨點非伺服器約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頁）；手機與平板 </t>
    </r>
    <r>
      <rPr>
        <sz val="11"/>
        <color theme="1"/>
        <rFont val="Calibri"/>
        <family val="2"/>
        <charset val="1"/>
      </rPr>
      <t xml:space="preserve">VC </t>
    </r>
    <r>
      <rPr>
        <sz val="11"/>
        <color theme="1"/>
        <rFont val="Noto Sans CJK SC"/>
        <family val="2"/>
      </rPr>
      <t xml:space="preserve">目標營收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法說，優分析）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</si>
  <si>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機殼 </t>
    </r>
    <r>
      <rPr>
        <sz val="11"/>
        <color theme="1"/>
        <rFont val="Calibri"/>
        <family val="2"/>
        <charset val="1"/>
      </rPr>
      <t xml:space="preserve">+134%</t>
    </r>
    <r>
      <rPr>
        <sz val="11"/>
        <color theme="1"/>
        <rFont val="Noto Sans CJK SC"/>
        <family val="2"/>
      </rPr>
      <t xml:space="preserve">、散熱 </t>
    </r>
    <r>
      <rPr>
        <sz val="11"/>
        <color theme="1"/>
        <rFont val="Calibri"/>
        <family val="2"/>
        <charset val="1"/>
      </rPr>
      <t xml:space="preserve">+96%</t>
    </r>
    <r>
      <rPr>
        <sz val="11"/>
        <color theme="1"/>
        <rFont val="Noto Sans CJK SC"/>
        <family val="2"/>
      </rPr>
      <t xml:space="preserve">（凱基轉述公司）</t>
    </r>
  </si>
  <si>
    <t xml:space="preserve">g_nai_28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</si>
  <si>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</si>
  <si>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t xml:space="preserve">g_nai_29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</si>
  <si>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</si>
  <si>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</si>
  <si>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d_lc</t>
  </si>
  <si>
    <t xml:space="preserve">液冷毛利率高於其他營收的幅度</t>
  </si>
  <si>
    <t xml:space="preserve">pt</t>
  </si>
  <si>
    <r>
      <rPr>
        <sz val="11"/>
        <color theme="1"/>
        <rFont val="Noto Sans CJK SC"/>
        <family val="2"/>
      </rPr>
      <t xml:space="preserve">公司：氣冷轉液冷顯著提升產品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與獲利（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</si>
  <si>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產品別毛利率：未找到；毛利率 </t>
    </r>
    <r>
      <rPr>
        <sz val="11"/>
        <color theme="1"/>
        <rFont val="Calibri"/>
        <family val="2"/>
        <charset val="1"/>
      </rPr>
      <t xml:space="preserve">FY2025 25.8% → 2Q26 32.6%</t>
    </r>
    <r>
      <rPr>
        <sz val="11"/>
        <color theme="1"/>
        <rFont val="Noto Sans CJK SC"/>
        <family val="2"/>
      </rPr>
      <t xml:space="preserve">，同期伺服器比重 </t>
    </r>
    <r>
      <rPr>
        <sz val="11"/>
        <color theme="1"/>
        <rFont val="Calibri"/>
        <family val="2"/>
        <charset val="1"/>
      </rPr>
      <t xml:space="preserve">52% → 66%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</si>
  <si>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</si>
  <si>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</si>
  <si>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</si>
  <si>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</si>
  <si>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</si>
  <si>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https://finance.technews.tw/2026/10/07/avc-3017-202609-financial-report/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210.18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1,572.48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1,572.48 − 1H26 981.59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590.89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</si>
  <si>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185.9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194.81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winvest 2026-09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</si>
  <si>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</si>
  <si>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</si>
  <si>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：高盛估 </t>
    </r>
    <r>
      <rPr>
        <sz val="11"/>
        <color theme="1"/>
        <rFont val="Calibri"/>
        <family val="2"/>
        <charset val="1"/>
      </rPr>
      <t xml:space="preserve">4Q26 680.57 </t>
    </r>
    <r>
      <rPr>
        <sz val="11"/>
        <color theme="1"/>
        <rFont val="Noto Sans CJK SC"/>
        <family val="2"/>
      </rPr>
      <t xml:space="preserve">億元（季增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216.5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238.9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</si>
  <si>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4Q26 626 </t>
    </r>
    <r>
      <rPr>
        <sz val="11"/>
        <color theme="1"/>
        <rFont val="Noto Sans CJK SC"/>
        <family val="2"/>
      </rPr>
      <t xml:space="preserve">億元（以 </t>
    </r>
    <r>
      <rPr>
        <sz val="11"/>
        <color theme="1"/>
        <rFont val="Calibri"/>
        <family val="2"/>
        <charset val="1"/>
      </rPr>
      <t xml:space="preserve">3Q 530.5 </t>
    </r>
    <r>
      <rPr>
        <sz val="11"/>
        <color theme="1"/>
        <rFont val="Noto Sans CJK SC"/>
        <family val="2"/>
      </rPr>
      <t xml:space="preserve">億為基礎，季增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</si>
  <si>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</si>
  <si>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</si>
  <si>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2Q26 32.57%</t>
    </r>
    <r>
      <rPr>
        <sz val="11"/>
        <color theme="1"/>
        <rFont val="Noto Sans CJK SC"/>
        <family val="2"/>
      </rPr>
      <t xml:space="preserve">（公司）；工商時報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：法人估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毛利率朝 </t>
    </r>
    <r>
      <rPr>
        <sz val="11"/>
        <color theme="1"/>
        <rFont val="Calibri"/>
        <family val="2"/>
        <charset val="1"/>
      </rPr>
      <t xml:space="preserve">33% </t>
    </r>
    <r>
      <rPr>
        <sz val="11"/>
        <color theme="1"/>
        <rFont val="Noto Sans CJK SC"/>
        <family val="2"/>
      </rPr>
      <t xml:space="preserve">靠攏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</si>
  <si>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33.4%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33.5%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31.7%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</si>
  <si>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</si>
  <si>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</si>
  <si>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5.26%</t>
    </r>
    <r>
      <rPr>
        <sz val="11"/>
        <color theme="1"/>
        <rFont val="Noto Sans CJK SC"/>
        <family val="2"/>
      </rPr>
      <t xml:space="preserve">（毛利 </t>
    </r>
    <r>
      <rPr>
        <sz val="11"/>
        <color theme="1"/>
        <rFont val="Calibri"/>
        <family val="2"/>
        <charset val="1"/>
      </rPr>
      <t xml:space="preserve">145.97 −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120.19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5.13%</t>
    </r>
    <r>
      <rPr>
        <sz val="11"/>
        <color theme="1"/>
        <rFont val="Noto Sans CJK SC"/>
        <family val="2"/>
      </rPr>
      <t xml:space="preserve">（公司）</t>
    </r>
  </si>
  <si>
    <t xml:space="preserve">FY2025 6.1%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</si>
  <si>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</si>
  <si>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</si>
  <si>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1Q26 −0.04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+0.46</t>
    </r>
    <r>
      <rPr>
        <sz val="11"/>
        <color theme="1"/>
        <rFont val="Noto Sans CJK SC"/>
        <family val="2"/>
      </rPr>
      <t xml:space="preserve">（稅前 − 營業利益；稅前以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稅前淨利率推導）</t>
    </r>
  </si>
  <si>
    <t xml:space="preserve">https://histock.tw/stock/3017/%E5%88%A9%E6%BD%A4%E6%AF%94%E7%8E%87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</si>
  <si>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</si>
  <si>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</si>
  <si>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1H26 174.83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259.2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0.661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0.687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</si>
  <si>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23% </t>
    </r>
    <r>
      <rPr>
        <sz val="11"/>
        <color theme="1"/>
        <rFont val="Noto Sans CJK SC"/>
        <family val="2"/>
      </rPr>
      <t xml:space="preserve">與非控制權益（富世達等）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</si>
  <si>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</si>
  <si>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</si>
  <si>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</si>
  <si>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174.83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44.54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</si>
  <si>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392,543,007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</si>
  <si>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</si>
  <si>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</si>
  <si>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</si>
  <si>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</si>
  <si>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營業費用：未找到（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彈性無法計算）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</si>
  <si>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</si>
  <si>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</si>
  <si>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</si>
  <si>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</si>
  <si>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</si>
  <si>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</si>
  <si>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（推導）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</si>
  <si>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</si>
  <si>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</si>
  <si>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</si>
  <si>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</si>
  <si>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富世達持股比例變動會影響非控制權益：未建模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</si>
  <si>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</si>
  <si>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</si>
  <si>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0.390 → 1H26 0.393 </t>
    </r>
    <r>
      <rPr>
        <sz val="11"/>
        <color theme="1"/>
        <rFont val="Noto Sans CJK SC"/>
        <family val="2"/>
      </rPr>
      <t xml:space="preserve">十億股（公司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</si>
  <si>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可轉債、員工認股：未找到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</si>
  <si>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</si>
  <si>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</si>
  <si>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</si>
  <si>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</si>
  <si>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</si>
  <si>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</si>
  <si>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</si>
  <si>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https://www.kgi.com.hk/zh-cn/-/media/files/kgishk/research-reports/tw-reports/asia-vital-components-3017-tt20260812en.pdf</t>
  </si>
  <si>
    <t xml:space="preserve">b_q4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</si>
  <si>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</si>
  <si>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https://finance.technews.tw/2026/10/19/avc-target-price/</t>
  </si>
  <si>
    <t xml:space="preserve">b_eps26gs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</si>
  <si>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</si>
  <si>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</si>
  <si>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2027 154.78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2028 195.18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4,736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30.6x 2027</t>
    </r>
    <r>
      <rPr>
        <sz val="11"/>
        <color theme="1"/>
        <rFont val="Noto Sans CJK SC"/>
        <family val="2"/>
      </rPr>
      <t xml:space="preserve">）</t>
    </r>
  </si>
  <si>
    <t xml:space="preserve">b_eps26kgi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</si>
  <si>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</si>
  <si>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104.95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102.99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102.7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</si>
  <si>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</si>
  <si>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</si>
  <si>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花旗：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</si>
  <si>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t xml:space="preserve">b_eps27gs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</si>
  <si>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</si>
  <si>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b_eps27kgi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</si>
  <si>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</si>
  <si>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t xml:space="preserve">b_eps27bofa</t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</si>
  <si>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</si>
  <si>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：美銀 </t>
    </r>
    <r>
      <rPr>
        <sz val="11"/>
        <color theme="1"/>
        <rFont val="Calibri"/>
        <family val="2"/>
        <charset val="1"/>
      </rPr>
      <t xml:space="preserve">2026 104.95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2027 143.99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2028 178.74</t>
    </r>
  </si>
  <si>
    <t xml:space="preserve">b_eps27dw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</si>
  <si>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</si>
  <si>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：大和 </t>
    </r>
    <r>
      <rPr>
        <sz val="11"/>
        <color theme="1"/>
        <rFont val="Calibri"/>
        <family val="2"/>
        <charset val="1"/>
      </rPr>
      <t xml:space="preserve">2026 102.99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2027 139.53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2028 183.06</t>
    </r>
  </si>
  <si>
    <t xml:space="preserve">b_eps27citi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</si>
  <si>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</si>
  <si>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）：花旗 </t>
    </r>
    <r>
      <rPr>
        <sz val="11"/>
        <color theme="1"/>
        <rFont val="Calibri"/>
        <family val="2"/>
        <charset val="1"/>
      </rPr>
      <t xml:space="preserve">2027 153.21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2028 185.53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</si>
  <si>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2026-09-19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獲利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（經濟日報；絕對值未找到）</t>
    </r>
  </si>
  <si>
    <t xml:space="preserve">b_eps28gs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</si>
  <si>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</si>
  <si>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b_gm27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</si>
  <si>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</si>
  <si>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（花旗）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</si>
  <si>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33.8%</t>
    </r>
  </si>
  <si>
    <t xml:space="preserve">b_lc27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</si>
  <si>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營收（超過）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</si>
  <si>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液冷滲透率超過 </t>
    </r>
    <r>
      <rPr>
        <sz val="11"/>
        <color theme="1"/>
        <rFont val="Calibri"/>
        <family val="2"/>
        <charset val="1"/>
      </rPr>
      <t xml:space="preserve">50%</t>
    </r>
  </si>
  <si>
    <t xml:space="preserve">tf_pen26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</si>
  <si>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</si>
  <si>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</si>
  <si>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tf_pen27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</si>
  <si>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</si>
  <si>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</si>
  <si>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</si>
  <si>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</si>
  <si>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</si>
  <si>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2.78%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</si>
  <si>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FinLab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更新）仍為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</si>
  <si>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</si>
  <si>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</si>
  <si>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</si>
  <si>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41.98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</si>
  <si>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</si>
  <si>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</si>
  <si>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</si>
  <si>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</si>
  <si>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</si>
  <si>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</si>
  <si>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</si>
  <si>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</si>
  <si>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</si>
  <si>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</si>
  <si>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</si>
  <si>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</si>
  <si>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</si>
  <si>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</si>
  <si>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</si>
  <si>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</si>
  <si>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</si>
  <si>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</si>
  <si>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</si>
  <si>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</si>
  <si>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</si>
  <si>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26.88%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49.86%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</si>
  <si>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66.78%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</si>
  <si>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</si>
  <si>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</si>
  <si>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</si>
  <si>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</si>
  <si>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</si>
  <si>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</si>
  <si>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</si>
  <si>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</si>
  <si>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</si>
  <si>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</si>
  <si>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</si>
  <si>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</si>
  <si>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</si>
  <si>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</si>
  <si>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</si>
  <si>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</si>
  <si>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</si>
  <si>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</si>
  <si>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4,130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4,250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2026-10-01</t>
    </r>
  </si>
  <si>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4,200.35</t>
    </r>
    <r>
      <rPr>
        <sz val="11"/>
        <color theme="1"/>
        <rFont val="Noto Sans CJK SC"/>
        <family val="2"/>
      </rPr>
      <t xml:space="preserve">；第二來源：未找到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</si>
  <si>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</si>
  <si>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</si>
  <si>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3,585 ÷ Forward PE 27.04</t>
    </r>
  </si>
  <si>
    <t xml:space="preserve">賣方共識，只作對帳與差距拆解，不作校準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</si>
  <si>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為新台幣；股數為十億股）。藍字＝輸入；黑字＝公式。實績取自奇鋐法說（經媒體轉述）、凱基報告與月營收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</si>
  <si>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月中）尚未公布。稅前利益以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營收推導（公司稅前金額原文：未找到）；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各季營收以年增率回推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</si>
  <si>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</si>
  <si>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</si>
  <si>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</si>
  <si>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</si>
  <si>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</si>
  <si>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</si>
  <si>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</si>
  <si>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</si>
  <si>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https://uanalyze.com.tw/articles/1131748834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https://uanalyze.com.tw/articles/5815653290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</si>
  <si>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</si>
  <si>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</si>
  <si>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</si>
  <si>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25.81%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145.97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</si>
  <si>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</si>
  <si>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25.8%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31.17%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</si>
  <si>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</si>
  <si>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</si>
  <si>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</si>
  <si>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19.73%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</si>
  <si>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1Q26 120.19 </t>
    </r>
    <r>
      <rPr>
        <sz val="11"/>
        <color theme="1"/>
        <rFont val="Noto Sans CJK SC"/>
        <family val="2"/>
      </rPr>
      <t xml:space="preserve">億（時報）；</t>
    </r>
    <r>
      <rPr>
        <sz val="11"/>
        <color theme="1"/>
        <rFont val="Calibri"/>
        <family val="2"/>
        <charset val="1"/>
      </rPr>
      <t xml:space="preserve">2Q26 134.78 </t>
    </r>
    <r>
      <rPr>
        <sz val="11"/>
        <color theme="1"/>
        <rFont val="Noto Sans CJK SC"/>
        <family val="2"/>
      </rPr>
      <t xml:space="preserve">億（凱基）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</si>
  <si>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</si>
  <si>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19.7%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25.97%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</si>
  <si>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</si>
  <si>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</si>
  <si>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</si>
  <si>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各季稅前淨利率：</t>
    </r>
    <r>
      <rPr>
        <sz val="11"/>
        <color theme="1"/>
        <rFont val="Calibri"/>
        <family val="2"/>
        <charset val="1"/>
      </rPr>
      <t xml:space="preserve">1Q25 19.80%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19.92%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21.10%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21.04%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24.43%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28.37%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</si>
  <si>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</si>
  <si>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</si>
  <si>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</si>
  <si>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</si>
  <si>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</si>
  <si>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</si>
  <si>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</si>
  <si>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</si>
  <si>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20.17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 16.92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</si>
  <si>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</si>
  <si>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</si>
  <si>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</si>
  <si>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與一般伺服器的季度金額未揭露：未找到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</si>
  <si>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</si>
  <si>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一般伺服器與網通（＝營收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AI </t>
    </r>
    <r>
      <rPr>
        <sz val="11"/>
        <color theme="1"/>
        <rFont val="Noto Sans CJK SC"/>
        <family val="2"/>
      </rPr>
      <t xml:space="preserve">比例））</t>
    </r>
  </si>
  <si>
    <r>
      <rPr>
        <sz val="11"/>
        <color theme="1"/>
        <rFont val="Noto Sans CJK SC"/>
        <family val="2"/>
      </rPr>
      <t xml:space="preserve">非伺服器（＝營收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伺服器與網通）；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</si>
  <si>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</si>
  <si>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</si>
  <si>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</si>
  <si>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</si>
  <si>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</si>
  <si>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</si>
  <si>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</si>
  <si>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</si>
  <si>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高）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</si>
  <si>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</si>
  <si>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</si>
  <si>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</si>
  <si>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</si>
  <si>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</si>
  <si>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</si>
  <si>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</si>
  <si>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</si>
  <si>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</si>
  <si>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液冷市場（奇鋐可做部分：冷板、分歧管、快接頭）、奇鋐份額與每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，經橋接表）；每架液冷取自橋接表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</si>
  <si>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</si>
  <si>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</si>
  <si>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</si>
  <si>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</si>
  <si>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</si>
  <si>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</si>
  <si>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</si>
  <si>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</si>
  <si>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</si>
  <si>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</si>
  <si>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</t>
    </r>
  </si>
  <si>
    <t xml:space="preserve">US$M/GW</t>
  </si>
  <si>
    <r>
      <rPr>
        <sz val="11"/>
        <color theme="1"/>
        <rFont val="Noto Sans CJK SC"/>
        <family val="2"/>
      </rPr>
      <t xml:space="preserve">橋接表機架內液冷＋分歧管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</t>
    </r>
  </si>
  <si>
    <r>
      <rPr>
        <sz val="11"/>
        <color theme="1"/>
        <rFont val="Noto Sans CJK SC"/>
        <family val="2"/>
      </rPr>
      <t xml:space="preserve">每架液冷內容（以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</si>
  <si>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</si>
  <si>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對照：橋接表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機架內液冷 </t>
    </r>
    <r>
      <rPr>
        <sz val="11"/>
        <color theme="1"/>
        <rFont val="Calibri"/>
        <family val="2"/>
        <charset val="1"/>
      </rPr>
      <t xml:space="preserve">US$56K</t>
    </r>
    <r>
      <rPr>
        <sz val="11"/>
        <color theme="1"/>
        <rFont val="Noto Sans CJK SC"/>
        <family val="2"/>
      </rPr>
      <t xml:space="preserve">＋分歧管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</si>
  <si>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</si>
  <si>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、機架外冷卻與液對氣</t>
    </r>
  </si>
  <si>
    <t xml:space="preserve">奇鋐有效份額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</si>
  <si>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以券商液冷占比校準</t>
    </r>
  </si>
  <si>
    <t xml:space="preserve">奇鋐液冷營收</t>
  </si>
  <si>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</si>
  <si>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以伺服器比重與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比例校準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</si>
  <si>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營收（液冷＋氣冷與機構）</t>
    </r>
  </si>
  <si>
    <r>
      <rPr>
        <sz val="11"/>
        <color theme="1"/>
        <rFont val="Noto Sans CJK SC"/>
        <family val="2"/>
      </rPr>
      <t xml:space="preserve">其他廠商液冷（雙鴻、酷碼、台達電、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等）＝ 市場 − 奇鋐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</si>
  <si>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機架數較少（</t>
    </r>
    <r>
      <rPr>
        <b val="true"/>
        <sz val="11"/>
        <rFont val="Cambria"/>
        <family val="0"/>
        <charset val="1"/>
      </rPr>
      <t xml:space="preserve">6,764 → 4,052 </t>
    </r>
    <r>
      <rPr>
        <b val="true"/>
        <sz val="11"/>
        <rFont val="Noto Sans CJK SC"/>
        <family val="2"/>
      </rPr>
      <t xml:space="preserve">架），橋接表的每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液冷內容下降；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起的成長來自液冷滲透率與每架內容調整（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全液冷、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液冷），兩者與份額相對值都是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</si>
  <si>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奇鋐損益（十億新台幣；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起液冷滲透率依情境字母（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</si>
  <si>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</si>
  <si>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</si>
  <si>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</si>
  <si>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</si>
  <si>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</si>
  <si>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</si>
  <si>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</si>
  <si>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液冷營收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</si>
  <si>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氣冷與機構營收</t>
    </r>
  </si>
  <si>
    <t xml:space="preserve">  一般伺服器與網通營收</t>
  </si>
  <si>
    <t xml:space="preserve">  非伺服器營收</t>
  </si>
  <si>
    <r>
      <rPr>
        <sz val="11"/>
        <color theme="1"/>
        <rFont val="Noto Sans CJK SC"/>
        <family val="2"/>
      </rPr>
      <t xml:space="preserve">  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</si>
  <si>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</si>
  <si>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</si>
  <si>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</si>
  <si>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模型液冷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</si>
  <si>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</si>
  <si>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</si>
  <si>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</si>
  <si>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）＋液冷滲透率高值（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</si>
  <si>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部署與液冷市場（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</si>
  <si>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</si>
  <si>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</si>
  <si>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</si>
  <si>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</si>
  <si>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液冷內容（機架內液冷＋分歧管）</t>
    </r>
  </si>
  <si>
    <r>
      <rPr>
        <sz val="11"/>
        <color theme="1"/>
        <rFont val="Noto Sans CJK SC"/>
        <family val="2"/>
      </rPr>
      <t xml:space="preserve">橋接表每架機架內液冷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</si>
  <si>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液冷市場（奇鋐可做部分；美元）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</si>
  <si>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液冷市場（新台幣）</t>
    </r>
  </si>
  <si>
    <r>
      <rPr>
        <sz val="11"/>
        <color theme="1"/>
        <rFont val="Noto Sans CJK SC"/>
        <family val="2"/>
      </rPr>
      <t xml:space="preserve">奇鋐有效份額（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</si>
  <si>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：分子為公司液冷占比（券商說法）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營收；分母為本模型的液冷市場（不含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</si>
  <si>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</si>
  <si>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</si>
  <si>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氣冷、一般伺服器、非伺服器與合計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</si>
  <si>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</si>
  <si>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</si>
  <si>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</si>
  <si>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</si>
  <si>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t xml:space="preserve">一般伺服器與網通營收</t>
  </si>
  <si>
    <r>
      <rPr>
        <sz val="11"/>
        <color theme="1"/>
        <rFont val="Noto Sans CJK SC"/>
        <family val="2"/>
      </rPr>
      <t xml:space="preserve">非伺服器營收（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</si>
  <si>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r>
      <rPr>
        <sz val="11"/>
        <color theme="1"/>
        <rFont val="Noto Sans CJK SC"/>
        <family val="2"/>
      </rPr>
      <t xml:space="preserve">伺服器與網通營收（液冷＋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氣冷與機構＋一般伺服器與網通）</t>
    </r>
  </si>
  <si>
    <t xml:space="preserve">檢查：分部合計 − 合併營收</t>
  </si>
  <si>
    <t xml:space="preserve">營收年增</t>
  </si>
  <si>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</si>
  <si>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（液冷＋氣冷與機構）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</si>
  <si>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</si>
  <si>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</si>
  <si>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毛利率等於錨點；液冷毛利率＝其他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起毛利率隨液冷占比變動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</si>
  <si>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</si>
  <si>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</si>
  <si>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</si>
  <si>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＋液冷滲透率基準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</si>
  <si>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＋液冷滲透率低值（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</si>
  <si>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</si>
  <si>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）＋液冷滲透率高值（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</si>
  <si>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</si>
  <si>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</si>
  <si>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</si>
  <si>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</si>
  <si>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</si>
  <si>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</si>
  <si>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</si>
  <si>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</si>
  <si>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</si>
  <si>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</si>
  <si>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</si>
  <si>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</si>
  <si>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</si>
  <si>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</si>
  <si>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＋液冷滲透率基準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</si>
  <si>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</si>
  <si>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</si>
  <si>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＋液冷滲透率低值（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</si>
  <si>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</si>
  <si>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</si>
  <si>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</si>
  <si>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循環位置：奇鋐不是設備股，不套設備市場見頂年；以本模型營收最高的會計年度為見頂年（比照台達電、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</si>
  <si>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</si>
  <si>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</si>
  <si>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</si>
  <si>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</si>
  <si>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</si>
  <si>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</si>
  <si>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</si>
  <si>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</si>
  <si>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三情境只差液冷滲透率（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）；顆數係數從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</si>
  <si>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</si>
  <si>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</si>
  <si>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</si>
  <si>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</si>
  <si>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</si>
  <si>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</si>
  <si>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</si>
  <si>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</si>
  <si>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</si>
  <si>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</si>
  <si>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</si>
  <si>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</si>
  <si>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</si>
  <si>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</si>
  <si>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</si>
  <si>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</si>
  <si>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</si>
  <si>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</si>
  <si>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</si>
  <si>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</si>
  <si>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</si>
  <si>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</si>
  <si>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</si>
  <si>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</si>
  <si>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</si>
  <si>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</si>
  <si>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</si>
  <si>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且全為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前後高倍數期，只作核對。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年奇鋐為筆電、伺服器氣冷散熱廠（約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</si>
  <si>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</si>
  <si>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</si>
  <si>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</si>
  <si>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</si>
  <si>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</si>
  <si>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</si>
  <si>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</si>
  <si>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</si>
  <si>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0.5x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年：未找到第二來源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</si>
  <si>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</si>
  <si>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</si>
  <si>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</si>
  <si>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</si>
  <si>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</si>
  <si>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</si>
  <si>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</si>
  <si>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</si>
  <si>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</si>
  <si>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</si>
  <si>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</si>
  <si>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</si>
  <si>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</si>
  <si>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</si>
  <si>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</si>
  <si>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</si>
  <si>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</si>
  <si>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</si>
  <si>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</si>
  <si>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</si>
  <si>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</si>
  <si>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</si>
  <si>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</si>
  <si>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</si>
  <si>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</si>
  <si>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</si>
  <si>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</si>
  <si>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</si>
  <si>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</si>
  <si>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</si>
  <si>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</si>
  <si>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</si>
  <si>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</si>
  <si>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</si>
  <si>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</si>
  <si>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</si>
  <si>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</si>
  <si>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</si>
  <si>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：基準顆數（係數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）＋液冷滲透率高值（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</si>
  <si>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</si>
  <si>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＋液冷滲透率基準）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</si>
  <si>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</si>
  <si>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＋液冷滲透率低值（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</si>
  <si>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</si>
  <si>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</si>
  <si>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</si>
  <si>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核對）。隱含價約為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年氣冷散熱期低倍數（約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</si>
  <si>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</si>
  <si>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</si>
  <si>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</si>
  <si>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</si>
  <si>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</si>
  <si>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</si>
  <si>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</si>
  <si>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</si>
  <si>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</si>
  <si>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</si>
  <si>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</si>
  <si>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</si>
  <si>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</si>
  <si>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</si>
  <si>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</si>
  <si>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</si>
  <si>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</si>
  <si>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</si>
  <si>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</si>
  <si>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</si>
  <si>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</si>
  <si>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</si>
  <si>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</si>
  <si>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</si>
  <si>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</si>
  <si>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</si>
  <si>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</si>
  <si>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雙鴻（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）</t>
    </r>
  </si>
  <si>
    <t xml:space="preserve">3324.TWO</t>
  </si>
  <si>
    <t xml:space="preserve">2026-08-28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</si>
  <si>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</si>
  <si>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</si>
  <si>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</t>
    </r>
  </si>
  <si>
    <t xml:space="preserve">3653.TW</t>
  </si>
  <si>
    <t xml:space="preserve">2026-08-27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</si>
  <si>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</si>
  <si>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</si>
  <si>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</si>
  <si>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</si>
  <si>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</si>
  <si>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</si>
  <si>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</si>
  <si>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散熱與液冷同業：雙鴻、健策、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、台達電（券商常用比較組）。英維克（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</si>
  <si>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</si>
  <si>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</si>
  <si>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</si>
  <si>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</si>
  <si>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</si>
  <si>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</si>
  <si>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</si>
  <si>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</si>
  <si>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</si>
  <si>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</si>
  <si>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</si>
  <si>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</si>
  <si>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</si>
  <si>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</si>
  <si>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</si>
  <si>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</si>
  <si>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</si>
  <si>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</si>
  <si>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</si>
  <si>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</si>
  <si>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</si>
  <si>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</si>
  <si>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36%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高使再投資率低，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：雙鴻、健策、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中位數；同業倍數分散（約 </t>
    </r>
    <r>
      <rPr>
        <sz val="11"/>
        <color theme="1"/>
        <rFont val="Calibri"/>
        <family val="2"/>
        <charset val="1"/>
      </rPr>
      <t xml:space="preserve">17–59x</t>
    </r>
    <r>
      <rPr>
        <sz val="11"/>
        <color theme="1"/>
        <rFont val="Noto Sans CJK SC"/>
        <family val="2"/>
      </rPr>
      <t xml:space="preserve">），雙鴻、健策價格為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＝順利（顆數基準＋液冷滲透率高值）、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＋基準）、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＋滲透率低值）。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</si>
  <si>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</si>
  <si>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</si>
  <si>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</si>
  <si>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</si>
  <si>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</si>
  <si>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</si>
  <si>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</si>
  <si>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券商估計、研調滲透率與台達電液冷。只作事後對照，不為對上數字而調參數。券商數字多經媒體轉述；付費共識未找到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</si>
  <si>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</si>
  <si>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</si>
  <si>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</si>
  <si>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</si>
  <si>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</si>
  <si>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</si>
  <si>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</si>
  <si>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</si>
  <si>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</si>
  <si>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</si>
  <si>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</si>
  <si>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530.5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</si>
  <si>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</si>
  <si>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</si>
  <si>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</si>
  <si>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</si>
  <si>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美銀、大和、花旗 </t>
    </r>
    <r>
      <rPr>
        <sz val="11"/>
        <color theme="1"/>
        <rFont val="Calibri"/>
        <family val="2"/>
        <charset val="1"/>
      </rPr>
      <t xml:space="preserve">102.7–105.0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</si>
  <si>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</si>
  <si>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</si>
  <si>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</si>
  <si>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美銀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</si>
  <si>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</si>
  <si>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大和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</si>
  <si>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花旗（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</si>
  <si>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（絕對值未找到）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</si>
  <si>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</si>
  <si>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178.74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183.06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185.53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</si>
  <si>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花旗（百分點）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</si>
  <si>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</si>
  <si>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液冷結構（機制檢查）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</si>
  <si>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</si>
  <si>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</si>
  <si>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</si>
  <si>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</si>
  <si>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</si>
  <si>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奇鋐有效份額（本模型市場口徑）</t>
    </r>
  </si>
  <si>
    <t xml:space="preserve">份額第二來源：未找到</t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</si>
  <si>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</si>
  <si>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</si>
  <si>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：台達電液冷多在機架外（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、液對氣），不在本市場口徑內；但也提示本模型的液冷市場口徑可能偏窄、奇鋐份額可能偏高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</si>
  <si>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</si>
  <si>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</si>
  <si>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</si>
  <si>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</si>
  <si>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</si>
  <si>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</si>
  <si>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液冷毛利率＝此值＋</t>
    </r>
    <r>
      <rPr>
        <sz val="11"/>
        <color theme="1"/>
        <rFont val="Calibri"/>
        <family val="2"/>
        <charset val="1"/>
      </rPr>
      <t xml:space="preserve">d_lc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</si>
  <si>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</si>
  <si>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</si>
  <si>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液冷占比上升使毛利率上升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</si>
  <si>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</si>
  <si>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08-05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32.82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626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</si>
  <si>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</si>
  <si>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</si>
  <si>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</si>
  <si>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</si>
  <si>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</si>
  <si>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</si>
  <si>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</si>
  <si>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</si>
  <si>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起液冷滲透率高值；有效份額、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的營收、液冷營收、毛利率與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</si>
  <si>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</si>
  <si>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</si>
  <si>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</si>
  <si>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</si>
  <si>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</si>
  <si>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</si>
  <si>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</si>
  <si>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</si>
  <si>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</si>
  <si>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</si>
  <si>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</si>
  <si>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</si>
  <si>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</si>
  <si>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</si>
  <si>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（雙鴻、酷碼、台達電追趕）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</si>
  <si>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</si>
  <si>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</si>
  <si>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每架液冷內容 低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</si>
  <si>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</t>
    </r>
  </si>
  <si>
    <t xml:space="preserve">每架液冷內容 高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</si>
  <si>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1.8</t>
    </r>
  </si>
  <si>
    <t xml:space="preserve">液冷滲透率 低</t>
  </si>
  <si>
    <r>
      <rPr>
        <sz val="11"/>
        <color theme="1"/>
        <rFont val="Calibri"/>
        <family val="2"/>
        <charset val="1"/>
      </rPr>
      <t xml:space="preserve">2026 45%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  <r>
      <rPr>
        <sz val="11"/>
        <color theme="1"/>
        <rFont val="Noto Sans CJK SC"/>
        <family val="2"/>
      </rPr>
      <t xml:space="preserve">（相對情境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的高值）</t>
    </r>
  </si>
  <si>
    <t xml:space="preserve">液冷滲透率 高</t>
  </si>
  <si>
    <r>
      <rPr>
        <sz val="11"/>
        <color theme="1"/>
        <rFont val="Calibri"/>
        <family val="2"/>
        <charset val="1"/>
      </rPr>
      <t xml:space="preserve">2026 65%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起與情境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相同，只差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份額校準）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</si>
  <si>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</si>
  <si>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</si>
  <si>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</si>
  <si>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</si>
  <si>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</si>
  <si>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</si>
  <si>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</si>
  <si>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</si>
  <si>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</si>
  <si>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Noto Sans CJK SC"/>
        <family val="2"/>
      </rPr>
      <t xml:space="preserve">一般伺服器與非伺服器 </t>
    </r>
    <r>
      <rPr>
        <sz val="11"/>
        <color theme="1"/>
        <rFont val="Calibri"/>
        <family val="2"/>
        <charset val="1"/>
      </rPr>
      <t xml:space="preserve">2027–29 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</si>
  <si>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</si>
  <si>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Noto Sans CJK SC"/>
        <family val="2"/>
      </rPr>
      <t xml:space="preserve">一般伺服器 </t>
    </r>
    <r>
      <rPr>
        <sz val="11"/>
        <color theme="1"/>
        <rFont val="Calibri"/>
        <family val="2"/>
        <charset val="1"/>
      </rPr>
      <t xml:space="preserve">+15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、非伺服器 </t>
    </r>
    <r>
      <rPr>
        <sz val="11"/>
        <color theme="1"/>
        <rFont val="Calibri"/>
        <family val="2"/>
        <charset val="1"/>
      </rPr>
      <t xml:space="preserve">+12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</si>
  <si>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</si>
  <si>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液冷毛利率只高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</si>
  <si>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</si>
  <si>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</si>
  <si>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</si>
  <si>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</si>
  <si>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</si>
  <si>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28%</t>
    </r>
    <r>
      <rPr>
        <sz val="11"/>
        <color theme="1"/>
        <rFont val="Noto Sans CJK SC"/>
        <family val="2"/>
      </rPr>
      <t xml:space="preserve">；份額分子變小、氣冷變大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</si>
  <si>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</si>
  <si>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</si>
  <si>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</si>
  <si>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Noto Sans CJK SC"/>
        <family val="2"/>
      </rPr>
      <t xml:space="preserve">伺服器非液冷中屬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</si>
  <si>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（讀法）</t>
    </r>
  </si>
  <si>
    <t xml:space="preserve">80%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</si>
  <si>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</si>
  <si>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＋液冷滲透率基準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</si>
  <si>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</si>
  <si>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＋液冷滲透率低值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</si>
  <si>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三情境只差液冷滲透率（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恆等於錨點。「液冷滲透率」案例的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份額會反向調整（滲透率低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</si>
  <si>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</si>
  <si>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</si>
  <si>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</si>
  <si>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</si>
  <si>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</si>
  <si>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</si>
  <si>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</si>
  <si>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</si>
  <si>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</si>
  <si>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</si>
  <si>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</si>
  <si>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</si>
  <si>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</si>
  <si>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</si>
  <si>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</si>
  <si>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</si>
  <si>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</si>
  <si>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</si>
  <si>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80%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</si>
  <si>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</si>
  <si>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</si>
  <si>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</si>
  <si>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</si>
  <si>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</si>
  <si>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</si>
  <si>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</si>
  <si>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</si>
  <si>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</si>
  <si>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</si>
  <si>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</si>
  <si>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</si>
  <si>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</si>
  <si>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</si>
  <si>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</si>
  <si>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</si>
  <si>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</si>
  <si>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</si>
  <si>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來源（公司原文經媒體轉述：法說簡報原檔未逐份抓取；券商與研調皆為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</si>
  <si>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損益、資本支出、產能、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組合）</t>
    </r>
  </si>
  <si>
    <t xml:space="preserve">https://uanalyze.com.tw/articles/1131748834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</si>
  <si>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損益、產品與應用比重）</t>
    </r>
  </si>
  <si>
    <t xml:space="preserve">https://wantrich.chinatimes.com/news/20260514900569-420101</t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</si>
  <si>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損益、伺服器應用比重、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展望、液冷產能）</t>
    </r>
  </si>
  <si>
    <t xml:space="preserve">https://uanalyze.com.tw/articles/5815653290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</si>
  <si>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法說與外資 </t>
    </r>
    <r>
      <rPr>
        <sz val="11"/>
        <color theme="1"/>
        <rFont val="Calibri"/>
        <family val="2"/>
        <charset val="1"/>
      </rPr>
      <t xml:space="preserve">EPS 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月營收、美銀、大和、花旗、中信、群益）</t>
    </r>
  </si>
  <si>
    <t xml:space="preserve">https://wantrich.chinatimes.com/news/20260813900226-420101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</si>
  <si>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2026-10-07</t>
    </r>
  </si>
  <si>
    <t xml:space="preserve">https://finance.technews.tw/2026/10/07/avc-3017-202609-financial-report/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</si>
  <si>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各季利潤比率（稅前淨利率）、股價、股數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</si>
  <si>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實績、估計、產品比重）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</si>
  <si>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產品比重、伺服器比重展望）</t>
    </r>
  </si>
  <si>
    <t xml:space="preserve">https://www.kgi.com.hk/zh-cn/-/media/files/kgishk/research-reports/tw-reports/asia-vital-components_20260805_en.pdf</t>
  </si>
  <si>
    <r>
      <rPr>
        <sz val="11"/>
        <color theme="1"/>
        <rFont val="Noto Sans CJK SC"/>
        <family val="2"/>
      </rPr>
      <t xml:space="preserve">券商：高盛（經 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月營收）</t>
    </r>
  </si>
  <si>
    <r>
      <rPr>
        <sz val="11"/>
        <color theme="1"/>
        <rFont val="Noto Sans CJK SC"/>
        <family val="2"/>
      </rPr>
      <t xml:space="preserve">券商：澳系（經 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；液冷占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30–35%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</si>
  <si>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https://finance.technews.tw/2026/04/29/avc-ai-server/</t>
  </si>
  <si>
    <r>
      <rPr>
        <sz val="11"/>
        <color theme="1"/>
        <rFont val="Noto Sans CJK SC"/>
        <family val="2"/>
      </rPr>
      <t xml:space="preserve">券商：花旗（經濟日報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</si>
  <si>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https://money.udn.com/money/amp/story/5607/9764013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</si>
  <si>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晶片液冷滲透率（經 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</si>
  <si>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NVL144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；橋接表引用）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</si>
  <si>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</si>
  <si>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歷年年底收盤與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</si>
  <si>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https://goodinfo.tw/tw/StockBzPerformance.asp?STOCK_ID=3017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</si>
  <si>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</si>
  <si>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https://stockanalysis.com/quote/tpe/3017/financials/ratios/</t>
  </si>
  <si>
    <r>
      <rPr>
        <sz val="11"/>
        <color theme="1"/>
        <rFont val="Noto Sans CJK SC"/>
        <family val="2"/>
      </rPr>
      <t xml:space="preserve">資料商：鉅亨（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收盤）、財報狗（近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</si>
  <si>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https://www.cnyes.com/twstock/3017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</si>
  <si>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</si>
  <si>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月中）；法說簡報原檔；液冷與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的季度金額；奇鋐液冷份額；分歧管單價；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</si>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</sst>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0%"/>
    <numFmt numFmtId="176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"投資建議："&amp;Val!B135&amp;"（依上檔空間固定規則）"</f>
        <v>投資建議：買進（依上檔空間固定規則）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  <row r="23" customFormat="false" ht="17.15" hidden="false" customHeight="false" outlineLevel="0" collapsed="false">
      <c r="A23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781.872916666666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1565.35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1984.26388888889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2260.39027777778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4" t="s">
        <v>45</v>
      </c>
      <c r="C9" s="0" t="s">
        <v>33</v>
      </c>
      <c r="E9" s="7" t="n">
        <v>32.237224</v>
      </c>
      <c r="G9" s="8" t="s">
        <v>34</v>
      </c>
      <c r="H9" s="8" t="s">
        <v>46</v>
      </c>
      <c r="I9" s="8" t="s">
        <v>47</v>
      </c>
    </row>
    <row r="10" customFormat="false" ht="17.15" hidden="false" customHeight="false" outlineLevel="0" collapsed="false">
      <c r="A10" s="0" t="s">
        <v>48</v>
      </c>
      <c r="B10" s="4" t="s">
        <v>49</v>
      </c>
      <c r="C10" s="0" t="s">
        <v>33</v>
      </c>
      <c r="E10" s="7" t="n">
        <v>37.586352</v>
      </c>
      <c r="G10" s="8" t="s">
        <v>34</v>
      </c>
      <c r="H10" s="8" t="s">
        <v>46</v>
      </c>
      <c r="I10" s="4" t="s">
        <v>50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53</v>
      </c>
      <c r="D11" s="7" t="n">
        <v>0.15</v>
      </c>
      <c r="E11" s="7" t="n">
        <v>0.22</v>
      </c>
      <c r="F11" s="7" t="n">
        <v>0.3</v>
      </c>
      <c r="G11" s="8" t="s">
        <v>54</v>
      </c>
      <c r="H11" s="8" t="s">
        <v>55</v>
      </c>
      <c r="I11" s="4" t="s">
        <v>56</v>
      </c>
    </row>
    <row r="12" customFormat="false" ht="17.15" hidden="false" customHeight="false" outlineLevel="0" collapsed="false">
      <c r="A12" s="0" t="s">
        <v>57</v>
      </c>
      <c r="B12" s="4" t="s">
        <v>58</v>
      </c>
      <c r="C12" s="4" t="s">
        <v>59</v>
      </c>
      <c r="E12" s="7" t="n">
        <v>6764</v>
      </c>
      <c r="G12" s="8" t="s">
        <v>34</v>
      </c>
      <c r="H12" s="8" t="s">
        <v>60</v>
      </c>
      <c r="I12" s="8" t="s">
        <v>61</v>
      </c>
    </row>
    <row r="13" customFormat="false" ht="17.15" hidden="false" customHeight="false" outlineLevel="0" collapsed="false">
      <c r="A13" s="0" t="s">
        <v>62</v>
      </c>
      <c r="B13" s="4" t="s">
        <v>63</v>
      </c>
      <c r="C13" s="4" t="s">
        <v>59</v>
      </c>
      <c r="E13" s="7" t="n">
        <v>4052</v>
      </c>
      <c r="G13" s="8" t="s">
        <v>34</v>
      </c>
      <c r="H13" s="8" t="s">
        <v>60</v>
      </c>
      <c r="I13" s="4" t="s">
        <v>39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0" t="s">
        <v>66</v>
      </c>
      <c r="E14" s="7" t="n">
        <v>50</v>
      </c>
      <c r="G14" s="8" t="s">
        <v>54</v>
      </c>
      <c r="H14" s="8" t="s">
        <v>67</v>
      </c>
      <c r="I14" s="8" t="s">
        <v>68</v>
      </c>
    </row>
    <row r="15" customFormat="false" ht="17.15" hidden="false" customHeight="false" outlineLevel="0" collapsed="false">
      <c r="A15" s="0" t="s">
        <v>69</v>
      </c>
      <c r="B15" s="0" t="s">
        <v>70</v>
      </c>
      <c r="C15" s="0" t="s">
        <v>66</v>
      </c>
      <c r="E15" s="7" t="n">
        <v>56</v>
      </c>
      <c r="G15" s="8" t="s">
        <v>54</v>
      </c>
      <c r="H15" s="8" t="s">
        <v>67</v>
      </c>
      <c r="I15" s="4" t="s">
        <v>71</v>
      </c>
    </row>
    <row r="16" customFormat="false" ht="17.15" hidden="false" customHeight="false" outlineLevel="0" collapsed="false">
      <c r="A16" s="0" t="s">
        <v>72</v>
      </c>
      <c r="B16" s="4" t="s">
        <v>73</v>
      </c>
      <c r="C16" s="0" t="s">
        <v>74</v>
      </c>
      <c r="E16" s="7" t="n">
        <v>1</v>
      </c>
      <c r="G16" s="8" t="s">
        <v>75</v>
      </c>
      <c r="H16" s="8" t="s">
        <v>76</v>
      </c>
      <c r="I16" s="8" t="s">
        <v>77</v>
      </c>
    </row>
    <row r="17" customFormat="false" ht="17.15" hidden="false" customHeight="false" outlineLevel="0" collapsed="false">
      <c r="A17" s="0" t="s">
        <v>78</v>
      </c>
      <c r="B17" s="4" t="s">
        <v>79</v>
      </c>
      <c r="C17" s="0" t="s">
        <v>74</v>
      </c>
      <c r="E17" s="7" t="n">
        <v>1</v>
      </c>
      <c r="G17" s="8" t="s">
        <v>75</v>
      </c>
      <c r="H17" s="8" t="s">
        <v>80</v>
      </c>
      <c r="I17" s="4" t="s">
        <v>39</v>
      </c>
    </row>
    <row r="18" customFormat="false" ht="17.15" hidden="false" customHeight="false" outlineLevel="0" collapsed="false">
      <c r="A18" s="0" t="s">
        <v>81</v>
      </c>
      <c r="B18" s="4" t="s">
        <v>82</v>
      </c>
      <c r="C18" s="0" t="s">
        <v>74</v>
      </c>
      <c r="E18" s="7" t="n">
        <v>0.8</v>
      </c>
      <c r="G18" s="8" t="s">
        <v>75</v>
      </c>
      <c r="H18" s="8" t="s">
        <v>83</v>
      </c>
      <c r="I18" s="8" t="s">
        <v>77</v>
      </c>
    </row>
    <row r="19" customFormat="false" ht="17.15" hidden="false" customHeight="false" outlineLevel="0" collapsed="false">
      <c r="A19" s="0" t="s">
        <v>84</v>
      </c>
      <c r="B19" s="4" t="s">
        <v>85</v>
      </c>
      <c r="C19" s="0" t="s">
        <v>74</v>
      </c>
      <c r="E19" s="7" t="n">
        <v>0.85</v>
      </c>
      <c r="G19" s="8" t="s">
        <v>75</v>
      </c>
      <c r="H19" s="8" t="s">
        <v>86</v>
      </c>
      <c r="I19" s="4" t="s">
        <v>39</v>
      </c>
    </row>
    <row r="20" customFormat="false" ht="17.15" hidden="false" customHeight="false" outlineLevel="0" collapsed="false">
      <c r="A20" s="0" t="s">
        <v>87</v>
      </c>
      <c r="B20" s="4" t="s">
        <v>88</v>
      </c>
      <c r="C20" s="0" t="s">
        <v>74</v>
      </c>
      <c r="E20" s="7" t="n">
        <v>0.6</v>
      </c>
      <c r="G20" s="8" t="s">
        <v>75</v>
      </c>
      <c r="H20" s="8" t="s">
        <v>89</v>
      </c>
      <c r="I20" s="8" t="s">
        <v>77</v>
      </c>
    </row>
    <row r="21" customFormat="false" ht="17.15" hidden="false" customHeight="false" outlineLevel="0" collapsed="false">
      <c r="A21" s="0" t="s">
        <v>90</v>
      </c>
      <c r="B21" s="4" t="s">
        <v>91</v>
      </c>
      <c r="C21" s="0" t="s">
        <v>74</v>
      </c>
      <c r="E21" s="7" t="n">
        <v>0.6</v>
      </c>
      <c r="G21" s="8" t="s">
        <v>75</v>
      </c>
      <c r="H21" s="8" t="s">
        <v>92</v>
      </c>
      <c r="I21" s="4" t="s">
        <v>39</v>
      </c>
    </row>
    <row r="22" customFormat="false" ht="17.15" hidden="false" customHeight="false" outlineLevel="0" collapsed="false">
      <c r="A22" s="0" t="s">
        <v>93</v>
      </c>
      <c r="B22" s="4" t="s">
        <v>94</v>
      </c>
      <c r="C22" s="0" t="s">
        <v>95</v>
      </c>
      <c r="D22" s="7" t="n">
        <v>30.5</v>
      </c>
      <c r="E22" s="7" t="n">
        <v>32</v>
      </c>
      <c r="F22" s="7" t="n">
        <v>33</v>
      </c>
      <c r="G22" s="8" t="s">
        <v>34</v>
      </c>
      <c r="H22" s="4" t="s">
        <v>96</v>
      </c>
      <c r="I22" s="4" t="s">
        <v>97</v>
      </c>
    </row>
    <row r="23" customFormat="false" ht="17.15" hidden="false" customHeight="false" outlineLevel="0" collapsed="false">
      <c r="A23" s="0" t="s">
        <v>98</v>
      </c>
      <c r="B23" s="4" t="s">
        <v>99</v>
      </c>
      <c r="C23" s="0" t="s">
        <v>33</v>
      </c>
      <c r="E23" s="7" t="n">
        <v>2.954780859375</v>
      </c>
      <c r="G23" s="8" t="s">
        <v>34</v>
      </c>
      <c r="H23" s="8" t="s">
        <v>100</v>
      </c>
      <c r="I23" s="4" t="s">
        <v>101</v>
      </c>
    </row>
    <row r="24" customFormat="false" ht="17.15" hidden="false" customHeight="false" outlineLevel="0" collapsed="false">
      <c r="A24" s="0" t="s">
        <v>102</v>
      </c>
      <c r="B24" s="4" t="s">
        <v>103</v>
      </c>
      <c r="C24" s="0" t="s">
        <v>33</v>
      </c>
      <c r="E24" s="7" t="n">
        <v>5.78484809940116</v>
      </c>
      <c r="G24" s="8" t="s">
        <v>34</v>
      </c>
      <c r="H24" s="8" t="s">
        <v>100</v>
      </c>
      <c r="I24" s="4" t="s">
        <v>39</v>
      </c>
    </row>
    <row r="25" customFormat="false" ht="17.15" hidden="false" customHeight="false" outlineLevel="0" collapsed="false">
      <c r="A25" s="0" t="s">
        <v>104</v>
      </c>
      <c r="B25" s="4" t="s">
        <v>105</v>
      </c>
      <c r="C25" s="0" t="s">
        <v>33</v>
      </c>
      <c r="E25" s="7" t="n">
        <v>7.66628721680114</v>
      </c>
      <c r="G25" s="8" t="s">
        <v>34</v>
      </c>
      <c r="H25" s="8" t="s">
        <v>100</v>
      </c>
      <c r="I25" s="4" t="s">
        <v>39</v>
      </c>
    </row>
    <row r="26" customFormat="false" ht="17.15" hidden="false" customHeight="false" outlineLevel="0" collapsed="false">
      <c r="A26" s="0" t="s">
        <v>106</v>
      </c>
      <c r="B26" s="4" t="s">
        <v>107</v>
      </c>
      <c r="C26" s="0" t="s">
        <v>33</v>
      </c>
      <c r="E26" s="7" t="n">
        <v>9.1128137377172</v>
      </c>
      <c r="G26" s="8" t="s">
        <v>34</v>
      </c>
      <c r="H26" s="8" t="s">
        <v>100</v>
      </c>
      <c r="I26" s="4" t="s">
        <v>39</v>
      </c>
    </row>
    <row r="27" customFormat="false" ht="17.15" hidden="false" customHeight="false" outlineLevel="0" collapsed="false">
      <c r="A27" s="6" t="s">
        <v>108</v>
      </c>
    </row>
    <row r="28" customFormat="false" ht="17.15" hidden="false" customHeight="false" outlineLevel="0" collapsed="false">
      <c r="A28" s="0" t="s">
        <v>109</v>
      </c>
      <c r="B28" s="4" t="s">
        <v>110</v>
      </c>
      <c r="C28" s="0" t="s">
        <v>66</v>
      </c>
      <c r="D28" s="7" t="n">
        <v>3</v>
      </c>
      <c r="E28" s="7" t="n">
        <v>6</v>
      </c>
      <c r="F28" s="7" t="n">
        <v>10</v>
      </c>
      <c r="G28" s="8" t="s">
        <v>75</v>
      </c>
      <c r="H28" s="4" t="s">
        <v>111</v>
      </c>
      <c r="I28" s="4" t="s">
        <v>112</v>
      </c>
    </row>
    <row r="29" customFormat="false" ht="17.15" hidden="false" customHeight="false" outlineLevel="0" collapsed="false">
      <c r="A29" s="0" t="s">
        <v>113</v>
      </c>
      <c r="B29" s="4" t="s">
        <v>114</v>
      </c>
      <c r="C29" s="0" t="s">
        <v>74</v>
      </c>
      <c r="D29" s="7" t="n">
        <v>1</v>
      </c>
      <c r="E29" s="7" t="n">
        <v>1.3</v>
      </c>
      <c r="F29" s="7" t="n">
        <v>1.6</v>
      </c>
      <c r="G29" s="8" t="s">
        <v>75</v>
      </c>
      <c r="H29" s="8" t="s">
        <v>115</v>
      </c>
      <c r="I29" s="8" t="s">
        <v>116</v>
      </c>
    </row>
    <row r="30" customFormat="false" ht="17.15" hidden="false" customHeight="false" outlineLevel="0" collapsed="false">
      <c r="A30" s="0" t="s">
        <v>117</v>
      </c>
      <c r="B30" s="4" t="s">
        <v>118</v>
      </c>
      <c r="C30" s="0" t="s">
        <v>74</v>
      </c>
      <c r="D30" s="7" t="n">
        <v>1</v>
      </c>
      <c r="E30" s="7" t="n">
        <v>1.4</v>
      </c>
      <c r="F30" s="7" t="n">
        <v>1.8</v>
      </c>
      <c r="G30" s="8" t="s">
        <v>75</v>
      </c>
      <c r="H30" s="4" t="s">
        <v>39</v>
      </c>
      <c r="I30" s="8" t="s">
        <v>119</v>
      </c>
    </row>
    <row r="31" customFormat="false" ht="17.15" hidden="false" customHeight="false" outlineLevel="0" collapsed="false">
      <c r="A31" s="0" t="s">
        <v>120</v>
      </c>
      <c r="B31" s="4" t="s">
        <v>121</v>
      </c>
      <c r="C31" s="0" t="s">
        <v>74</v>
      </c>
      <c r="D31" s="7" t="n">
        <v>1</v>
      </c>
      <c r="E31" s="7" t="n">
        <v>1.4</v>
      </c>
      <c r="F31" s="7" t="n">
        <v>1.8</v>
      </c>
      <c r="G31" s="8" t="s">
        <v>75</v>
      </c>
      <c r="H31" s="4" t="s">
        <v>39</v>
      </c>
      <c r="I31" s="8" t="s">
        <v>119</v>
      </c>
    </row>
    <row r="32" customFormat="false" ht="17.15" hidden="false" customHeight="false" outlineLevel="0" collapsed="false">
      <c r="A32" s="0" t="s">
        <v>122</v>
      </c>
      <c r="B32" s="4" t="s">
        <v>123</v>
      </c>
      <c r="C32" s="0" t="s">
        <v>53</v>
      </c>
      <c r="D32" s="7" t="n">
        <v>0.45</v>
      </c>
      <c r="E32" s="7" t="n">
        <v>0.55</v>
      </c>
      <c r="F32" s="7" t="n">
        <v>0.65</v>
      </c>
      <c r="G32" s="8" t="s">
        <v>75</v>
      </c>
      <c r="H32" s="8" t="s">
        <v>124</v>
      </c>
      <c r="I32" s="4" t="s">
        <v>125</v>
      </c>
    </row>
    <row r="33" customFormat="false" ht="17.15" hidden="false" customHeight="false" outlineLevel="0" collapsed="false">
      <c r="A33" s="0" t="s">
        <v>126</v>
      </c>
      <c r="B33" s="4" t="s">
        <v>127</v>
      </c>
      <c r="C33" s="0" t="s">
        <v>53</v>
      </c>
      <c r="D33" s="7" t="n">
        <v>0.6</v>
      </c>
      <c r="E33" s="7" t="n">
        <v>0.75</v>
      </c>
      <c r="F33" s="7" t="n">
        <v>0.85</v>
      </c>
      <c r="G33" s="8" t="s">
        <v>75</v>
      </c>
      <c r="H33" s="4" t="s">
        <v>39</v>
      </c>
      <c r="I33" s="8" t="s">
        <v>119</v>
      </c>
    </row>
    <row r="34" customFormat="false" ht="17.15" hidden="false" customHeight="false" outlineLevel="0" collapsed="false">
      <c r="A34" s="0" t="s">
        <v>128</v>
      </c>
      <c r="B34" s="4" t="s">
        <v>129</v>
      </c>
      <c r="C34" s="0" t="s">
        <v>53</v>
      </c>
      <c r="D34" s="7" t="n">
        <v>0.7</v>
      </c>
      <c r="E34" s="7" t="n">
        <v>0.85</v>
      </c>
      <c r="F34" s="7" t="n">
        <v>0.95</v>
      </c>
      <c r="G34" s="8" t="s">
        <v>75</v>
      </c>
      <c r="H34" s="4" t="s">
        <v>39</v>
      </c>
      <c r="I34" s="8" t="s">
        <v>119</v>
      </c>
    </row>
    <row r="35" customFormat="false" ht="17.15" hidden="false" customHeight="false" outlineLevel="0" collapsed="false">
      <c r="A35" s="0" t="s">
        <v>130</v>
      </c>
      <c r="B35" s="4" t="s">
        <v>131</v>
      </c>
      <c r="C35" s="0" t="s">
        <v>53</v>
      </c>
      <c r="D35" s="7" t="n">
        <v>0.75</v>
      </c>
      <c r="E35" s="7" t="n">
        <v>0.9</v>
      </c>
      <c r="F35" s="7" t="n">
        <v>0.95</v>
      </c>
      <c r="G35" s="8" t="s">
        <v>75</v>
      </c>
      <c r="H35" s="4" t="s">
        <v>39</v>
      </c>
      <c r="I35" s="8" t="s">
        <v>119</v>
      </c>
    </row>
    <row r="36" customFormat="false" ht="17.15" hidden="false" customHeight="false" outlineLevel="0" collapsed="false">
      <c r="A36" s="0" t="s">
        <v>132</v>
      </c>
      <c r="B36" s="4" t="s">
        <v>133</v>
      </c>
      <c r="C36" s="0" t="s">
        <v>74</v>
      </c>
      <c r="D36" s="7" t="n">
        <v>0.85</v>
      </c>
      <c r="E36" s="7" t="n">
        <v>0.95</v>
      </c>
      <c r="F36" s="7" t="n">
        <v>1.05</v>
      </c>
      <c r="G36" s="8" t="s">
        <v>75</v>
      </c>
      <c r="H36" s="4" t="s">
        <v>134</v>
      </c>
      <c r="I36" s="4" t="s">
        <v>135</v>
      </c>
    </row>
    <row r="37" customFormat="false" ht="17.15" hidden="false" customHeight="false" outlineLevel="0" collapsed="false">
      <c r="A37" s="0" t="s">
        <v>136</v>
      </c>
      <c r="B37" s="4" t="s">
        <v>137</v>
      </c>
      <c r="C37" s="0" t="s">
        <v>74</v>
      </c>
      <c r="D37" s="7" t="n">
        <v>0.75</v>
      </c>
      <c r="E37" s="7" t="n">
        <v>0.9</v>
      </c>
      <c r="F37" s="7" t="n">
        <v>1.05</v>
      </c>
      <c r="G37" s="8" t="s">
        <v>75</v>
      </c>
      <c r="H37" s="4" t="s">
        <v>39</v>
      </c>
      <c r="I37" s="8" t="s">
        <v>119</v>
      </c>
    </row>
    <row r="38" customFormat="false" ht="17.15" hidden="false" customHeight="false" outlineLevel="0" collapsed="false">
      <c r="A38" s="0" t="s">
        <v>138</v>
      </c>
      <c r="B38" s="4" t="s">
        <v>139</v>
      </c>
      <c r="C38" s="0" t="s">
        <v>74</v>
      </c>
      <c r="D38" s="7" t="n">
        <v>0.7</v>
      </c>
      <c r="E38" s="7" t="n">
        <v>0.85</v>
      </c>
      <c r="F38" s="7" t="n">
        <v>1.05</v>
      </c>
      <c r="G38" s="8" t="s">
        <v>75</v>
      </c>
      <c r="H38" s="4" t="s">
        <v>39</v>
      </c>
      <c r="I38" s="8" t="s">
        <v>119</v>
      </c>
    </row>
    <row r="39" customFormat="false" ht="17.15" hidden="false" customHeight="false" outlineLevel="0" collapsed="false">
      <c r="A39" s="0" t="s">
        <v>140</v>
      </c>
      <c r="B39" s="0" t="s">
        <v>141</v>
      </c>
      <c r="C39" s="0" t="s">
        <v>74</v>
      </c>
      <c r="D39" s="7" t="n">
        <v>0.6</v>
      </c>
      <c r="E39" s="7" t="n">
        <v>0.75</v>
      </c>
      <c r="F39" s="7" t="n">
        <v>0.9</v>
      </c>
      <c r="G39" s="8" t="s">
        <v>75</v>
      </c>
      <c r="H39" s="4" t="s">
        <v>142</v>
      </c>
      <c r="I39" s="8" t="s">
        <v>143</v>
      </c>
    </row>
    <row r="40" customFormat="false" ht="17.15" hidden="false" customHeight="false" outlineLevel="0" collapsed="false">
      <c r="A40" s="0" t="s">
        <v>144</v>
      </c>
      <c r="B40" s="0" t="s">
        <v>145</v>
      </c>
      <c r="C40" s="0" t="s">
        <v>74</v>
      </c>
      <c r="D40" s="7" t="n">
        <v>0.45</v>
      </c>
      <c r="E40" s="7" t="n">
        <v>0.65</v>
      </c>
      <c r="F40" s="7" t="n">
        <v>0.85</v>
      </c>
      <c r="G40" s="8" t="s">
        <v>75</v>
      </c>
      <c r="H40" s="4" t="s">
        <v>39</v>
      </c>
      <c r="I40" s="8" t="s">
        <v>119</v>
      </c>
    </row>
    <row r="41" customFormat="false" ht="17.15" hidden="false" customHeight="false" outlineLevel="0" collapsed="false">
      <c r="A41" s="0" t="s">
        <v>146</v>
      </c>
      <c r="B41" s="0" t="s">
        <v>147</v>
      </c>
      <c r="C41" s="0" t="s">
        <v>74</v>
      </c>
      <c r="D41" s="7" t="n">
        <v>0.4</v>
      </c>
      <c r="E41" s="7" t="n">
        <v>0.6</v>
      </c>
      <c r="F41" s="7" t="n">
        <v>0.8</v>
      </c>
      <c r="G41" s="8" t="s">
        <v>75</v>
      </c>
      <c r="H41" s="4" t="s">
        <v>39</v>
      </c>
      <c r="I41" s="8" t="s">
        <v>119</v>
      </c>
    </row>
    <row r="42" customFormat="false" ht="17.15" hidden="false" customHeight="false" outlineLevel="0" collapsed="false">
      <c r="A42" s="6" t="s">
        <v>148</v>
      </c>
    </row>
    <row r="43" customFormat="false" ht="17.15" hidden="false" customHeight="false" outlineLevel="0" collapsed="false">
      <c r="A43" s="0" t="s">
        <v>149</v>
      </c>
      <c r="B43" s="0" t="s">
        <v>150</v>
      </c>
      <c r="C43" s="0" t="s">
        <v>53</v>
      </c>
      <c r="E43" s="7" t="n">
        <v>0.52</v>
      </c>
      <c r="G43" s="8" t="s">
        <v>54</v>
      </c>
      <c r="H43" s="4" t="s">
        <v>151</v>
      </c>
      <c r="I43" s="4" t="s">
        <v>152</v>
      </c>
    </row>
    <row r="44" customFormat="false" ht="17.15" hidden="false" customHeight="false" outlineLevel="0" collapsed="false">
      <c r="A44" s="0" t="s">
        <v>153</v>
      </c>
      <c r="B44" s="0" t="s">
        <v>154</v>
      </c>
      <c r="C44" s="0" t="s">
        <v>53</v>
      </c>
      <c r="D44" s="7" t="n">
        <v>0.66</v>
      </c>
      <c r="E44" s="7" t="n">
        <v>0.67</v>
      </c>
      <c r="F44" s="7" t="n">
        <v>0.69</v>
      </c>
      <c r="G44" s="8" t="s">
        <v>54</v>
      </c>
      <c r="H44" s="8" t="s">
        <v>155</v>
      </c>
      <c r="I44" s="8" t="s">
        <v>156</v>
      </c>
    </row>
    <row r="45" customFormat="false" ht="17.15" hidden="false" customHeight="false" outlineLevel="0" collapsed="false">
      <c r="A45" s="0" t="s">
        <v>157</v>
      </c>
      <c r="B45" s="0" t="s">
        <v>158</v>
      </c>
      <c r="C45" s="0" t="s">
        <v>53</v>
      </c>
      <c r="D45" s="7" t="n">
        <v>0.1</v>
      </c>
      <c r="E45" s="7" t="n">
        <v>0.15</v>
      </c>
      <c r="F45" s="7" t="n">
        <v>0.2</v>
      </c>
      <c r="G45" s="8" t="s">
        <v>75</v>
      </c>
      <c r="H45" s="4" t="s">
        <v>159</v>
      </c>
      <c r="I45" s="4" t="s">
        <v>160</v>
      </c>
    </row>
    <row r="46" customFormat="false" ht="17.15" hidden="false" customHeight="false" outlineLevel="0" collapsed="false">
      <c r="A46" s="0" t="s">
        <v>161</v>
      </c>
      <c r="B46" s="0" t="s">
        <v>162</v>
      </c>
      <c r="C46" s="0" t="s">
        <v>53</v>
      </c>
      <c r="D46" s="7" t="n">
        <v>0.28</v>
      </c>
      <c r="E46" s="7" t="n">
        <v>0.32</v>
      </c>
      <c r="F46" s="7" t="n">
        <v>0.35</v>
      </c>
      <c r="G46" s="8" t="s">
        <v>54</v>
      </c>
      <c r="H46" s="8" t="s">
        <v>163</v>
      </c>
      <c r="I46" s="4" t="s">
        <v>164</v>
      </c>
    </row>
    <row r="47" customFormat="false" ht="17.15" hidden="false" customHeight="false" outlineLevel="0" collapsed="false">
      <c r="A47" s="0" t="s">
        <v>165</v>
      </c>
      <c r="B47" s="4" t="s">
        <v>166</v>
      </c>
      <c r="C47" s="0" t="s">
        <v>53</v>
      </c>
      <c r="D47" s="7" t="n">
        <v>0.4</v>
      </c>
      <c r="E47" s="7" t="n">
        <v>0.6</v>
      </c>
      <c r="F47" s="7" t="n">
        <v>0.8</v>
      </c>
      <c r="G47" s="8" t="s">
        <v>75</v>
      </c>
      <c r="H47" s="4" t="s">
        <v>167</v>
      </c>
      <c r="I47" s="4" t="s">
        <v>168</v>
      </c>
    </row>
    <row r="48" customFormat="false" ht="17.15" hidden="false" customHeight="false" outlineLevel="0" collapsed="false">
      <c r="A48" s="0" t="s">
        <v>169</v>
      </c>
      <c r="B48" s="4" t="s">
        <v>170</v>
      </c>
      <c r="C48" s="0" t="s">
        <v>53</v>
      </c>
      <c r="D48" s="7" t="n">
        <v>0</v>
      </c>
      <c r="E48" s="7" t="n">
        <v>0.08</v>
      </c>
      <c r="F48" s="7" t="n">
        <v>0.15</v>
      </c>
      <c r="G48" s="8" t="s">
        <v>75</v>
      </c>
      <c r="H48" s="4" t="s">
        <v>171</v>
      </c>
      <c r="I48" s="8" t="s">
        <v>119</v>
      </c>
    </row>
    <row r="49" customFormat="false" ht="17.15" hidden="false" customHeight="false" outlineLevel="0" collapsed="false">
      <c r="A49" s="0" t="s">
        <v>172</v>
      </c>
      <c r="B49" s="4" t="s">
        <v>173</v>
      </c>
      <c r="C49" s="0" t="s">
        <v>53</v>
      </c>
      <c r="D49" s="7" t="n">
        <v>0</v>
      </c>
      <c r="E49" s="7" t="n">
        <v>0.06</v>
      </c>
      <c r="F49" s="7" t="n">
        <v>0.12</v>
      </c>
      <c r="G49" s="8" t="s">
        <v>75</v>
      </c>
      <c r="H49" s="4" t="s">
        <v>39</v>
      </c>
      <c r="I49" s="8" t="s">
        <v>119</v>
      </c>
    </row>
    <row r="50" customFormat="false" ht="17.15" hidden="false" customHeight="false" outlineLevel="0" collapsed="false">
      <c r="A50" s="0" t="s">
        <v>174</v>
      </c>
      <c r="B50" s="4" t="s">
        <v>175</v>
      </c>
      <c r="C50" s="0" t="s">
        <v>53</v>
      </c>
      <c r="D50" s="7" t="n">
        <v>0</v>
      </c>
      <c r="E50" s="7" t="n">
        <v>0.05</v>
      </c>
      <c r="F50" s="7" t="n">
        <v>0.1</v>
      </c>
      <c r="G50" s="8" t="s">
        <v>75</v>
      </c>
      <c r="H50" s="4" t="s">
        <v>39</v>
      </c>
      <c r="I50" s="8" t="s">
        <v>119</v>
      </c>
    </row>
    <row r="51" customFormat="false" ht="17.15" hidden="false" customHeight="false" outlineLevel="0" collapsed="false">
      <c r="A51" s="0" t="s">
        <v>176</v>
      </c>
      <c r="B51" s="4" t="s">
        <v>177</v>
      </c>
      <c r="C51" s="0" t="s">
        <v>53</v>
      </c>
      <c r="D51" s="7" t="n">
        <v>0</v>
      </c>
      <c r="E51" s="7" t="n">
        <v>0.06</v>
      </c>
      <c r="F51" s="7" t="n">
        <v>0.12</v>
      </c>
      <c r="G51" s="8" t="s">
        <v>75</v>
      </c>
      <c r="H51" s="8" t="s">
        <v>178</v>
      </c>
      <c r="I51" s="8" t="s">
        <v>179</v>
      </c>
    </row>
    <row r="52" customFormat="false" ht="17.15" hidden="false" customHeight="false" outlineLevel="0" collapsed="false">
      <c r="A52" s="0" t="s">
        <v>180</v>
      </c>
      <c r="B52" s="4" t="s">
        <v>181</v>
      </c>
      <c r="C52" s="0" t="s">
        <v>53</v>
      </c>
      <c r="D52" s="7" t="n">
        <v>0</v>
      </c>
      <c r="E52" s="7" t="n">
        <v>0.05</v>
      </c>
      <c r="F52" s="7" t="n">
        <v>0.1</v>
      </c>
      <c r="G52" s="8" t="s">
        <v>75</v>
      </c>
      <c r="H52" s="4" t="s">
        <v>39</v>
      </c>
      <c r="I52" s="8" t="s">
        <v>119</v>
      </c>
    </row>
    <row r="53" customFormat="false" ht="17.15" hidden="false" customHeight="false" outlineLevel="0" collapsed="false">
      <c r="A53" s="0" t="s">
        <v>182</v>
      </c>
      <c r="B53" s="4" t="s">
        <v>183</v>
      </c>
      <c r="C53" s="0" t="s">
        <v>53</v>
      </c>
      <c r="D53" s="7" t="n">
        <v>0</v>
      </c>
      <c r="E53" s="7" t="n">
        <v>0.04</v>
      </c>
      <c r="F53" s="7" t="n">
        <v>0.08</v>
      </c>
      <c r="G53" s="8" t="s">
        <v>75</v>
      </c>
      <c r="H53" s="4" t="s">
        <v>39</v>
      </c>
      <c r="I53" s="8" t="s">
        <v>119</v>
      </c>
    </row>
    <row r="54" customFormat="false" ht="17.15" hidden="false" customHeight="false" outlineLevel="0" collapsed="false">
      <c r="A54" s="6" t="s">
        <v>184</v>
      </c>
    </row>
    <row r="55" customFormat="false" ht="17.15" hidden="false" customHeight="false" outlineLevel="0" collapsed="false">
      <c r="A55" s="0" t="s">
        <v>185</v>
      </c>
      <c r="B55" s="4" t="s">
        <v>186</v>
      </c>
      <c r="C55" s="0" t="s">
        <v>187</v>
      </c>
      <c r="D55" s="7" t="n">
        <v>0.02</v>
      </c>
      <c r="E55" s="7" t="n">
        <v>0.06</v>
      </c>
      <c r="F55" s="7" t="n">
        <v>0.1</v>
      </c>
      <c r="G55" s="8" t="s">
        <v>75</v>
      </c>
      <c r="H55" s="4" t="s">
        <v>188</v>
      </c>
      <c r="I55" s="4" t="s">
        <v>189</v>
      </c>
    </row>
    <row r="56" customFormat="false" ht="17.15" hidden="false" customHeight="false" outlineLevel="0" collapsed="false">
      <c r="A56" s="6" t="s">
        <v>190</v>
      </c>
    </row>
    <row r="57" customFormat="false" ht="17.15" hidden="false" customHeight="false" outlineLevel="0" collapsed="false">
      <c r="A57" s="0" t="s">
        <v>191</v>
      </c>
      <c r="B57" s="0" t="s">
        <v>192</v>
      </c>
      <c r="C57" s="0" t="s">
        <v>193</v>
      </c>
      <c r="E57" s="0" t="n">
        <f aca="false">18.59+19.481+21.018</f>
        <v>59.089</v>
      </c>
      <c r="G57" s="0" t="s">
        <v>194</v>
      </c>
      <c r="H57" s="0" t="s">
        <v>195</v>
      </c>
      <c r="I57" s="0" t="s">
        <v>196</v>
      </c>
    </row>
    <row r="58" customFormat="false" ht="17.15" hidden="false" customHeight="false" outlineLevel="0" collapsed="false">
      <c r="A58" s="0" t="s">
        <v>197</v>
      </c>
      <c r="B58" s="0" t="s">
        <v>198</v>
      </c>
      <c r="C58" s="0" t="s">
        <v>53</v>
      </c>
      <c r="D58" s="7" t="n">
        <v>0.08</v>
      </c>
      <c r="E58" s="7" t="n">
        <v>0.15</v>
      </c>
      <c r="F58" s="7" t="n">
        <v>0.2</v>
      </c>
      <c r="G58" s="8" t="s">
        <v>54</v>
      </c>
      <c r="H58" s="8" t="s">
        <v>199</v>
      </c>
      <c r="I58" s="8" t="s">
        <v>200</v>
      </c>
    </row>
    <row r="59" customFormat="false" ht="17.15" hidden="false" customHeight="false" outlineLevel="0" collapsed="false">
      <c r="A59" s="0" t="s">
        <v>201</v>
      </c>
      <c r="B59" s="0" t="s">
        <v>202</v>
      </c>
      <c r="C59" s="0" t="s">
        <v>53</v>
      </c>
      <c r="D59" s="7" t="n">
        <v>0.32</v>
      </c>
      <c r="E59" s="7" t="n">
        <v>0.33</v>
      </c>
      <c r="F59" s="7" t="n">
        <v>0.345</v>
      </c>
      <c r="G59" s="8" t="s">
        <v>54</v>
      </c>
      <c r="H59" s="8" t="s">
        <v>203</v>
      </c>
      <c r="I59" s="8" t="s">
        <v>204</v>
      </c>
    </row>
    <row r="60" customFormat="false" ht="17.15" hidden="false" customHeight="false" outlineLevel="0" collapsed="false">
      <c r="A60" s="0" t="s">
        <v>205</v>
      </c>
      <c r="B60" s="0" t="s">
        <v>206</v>
      </c>
      <c r="C60" s="0" t="s">
        <v>53</v>
      </c>
      <c r="D60" s="7" t="n">
        <v>0.048</v>
      </c>
      <c r="E60" s="7" t="n">
        <v>0.052</v>
      </c>
      <c r="F60" s="7" t="n">
        <v>0.056</v>
      </c>
      <c r="G60" s="8" t="s">
        <v>34</v>
      </c>
      <c r="H60" s="8" t="s">
        <v>207</v>
      </c>
      <c r="I60" s="8" t="s">
        <v>208</v>
      </c>
    </row>
    <row r="61" customFormat="false" ht="17.15" hidden="false" customHeight="false" outlineLevel="0" collapsed="false">
      <c r="A61" s="0" t="s">
        <v>209</v>
      </c>
      <c r="B61" s="0" t="s">
        <v>210</v>
      </c>
      <c r="C61" s="0" t="s">
        <v>193</v>
      </c>
      <c r="D61" s="7" t="n">
        <v>-0.3</v>
      </c>
      <c r="E61" s="7" t="n">
        <v>0.2</v>
      </c>
      <c r="F61" s="7" t="n">
        <v>0.6</v>
      </c>
      <c r="G61" s="8" t="s">
        <v>34</v>
      </c>
      <c r="H61" s="8" t="s">
        <v>211</v>
      </c>
      <c r="I61" s="8" t="s">
        <v>212</v>
      </c>
    </row>
    <row r="62" customFormat="false" ht="17.15" hidden="false" customHeight="false" outlineLevel="0" collapsed="false">
      <c r="A62" s="0" t="s">
        <v>213</v>
      </c>
      <c r="B62" s="0" t="s">
        <v>214</v>
      </c>
      <c r="C62" s="0" t="s">
        <v>53</v>
      </c>
      <c r="D62" s="7" t="n">
        <v>0.66</v>
      </c>
      <c r="E62" s="7" t="n">
        <v>0.675</v>
      </c>
      <c r="F62" s="7" t="n">
        <v>0.69</v>
      </c>
      <c r="G62" s="8" t="s">
        <v>34</v>
      </c>
      <c r="H62" s="8" t="s">
        <v>215</v>
      </c>
      <c r="I62" s="4" t="s">
        <v>216</v>
      </c>
    </row>
    <row r="63" customFormat="false" ht="17.15" hidden="false" customHeight="false" outlineLevel="0" collapsed="false">
      <c r="A63" s="0" t="s">
        <v>217</v>
      </c>
      <c r="B63" s="4" t="s">
        <v>218</v>
      </c>
      <c r="C63" s="4" t="s">
        <v>219</v>
      </c>
      <c r="E63" s="0" t="n">
        <f aca="false">17.483/44.54</f>
        <v>0.392523574315222</v>
      </c>
      <c r="G63" s="0" t="s">
        <v>34</v>
      </c>
      <c r="H63" s="0" t="s">
        <v>220</v>
      </c>
      <c r="I63" s="4" t="s">
        <v>221</v>
      </c>
    </row>
    <row r="64" customFormat="false" ht="17.15" hidden="false" customHeight="false" outlineLevel="0" collapsed="false">
      <c r="A64" s="6" t="s">
        <v>222</v>
      </c>
    </row>
    <row r="65" customFormat="false" ht="17.15" hidden="false" customHeight="false" outlineLevel="0" collapsed="false">
      <c r="A65" s="0" t="s">
        <v>223</v>
      </c>
      <c r="B65" s="4" t="s">
        <v>224</v>
      </c>
      <c r="C65" s="0" t="s">
        <v>74</v>
      </c>
      <c r="D65" s="7" t="n">
        <v>0.5</v>
      </c>
      <c r="E65" s="7" t="n">
        <v>0.7</v>
      </c>
      <c r="F65" s="7" t="n">
        <v>0.9</v>
      </c>
      <c r="G65" s="8" t="s">
        <v>34</v>
      </c>
      <c r="H65" s="8" t="s">
        <v>225</v>
      </c>
      <c r="I65" s="8" t="s">
        <v>226</v>
      </c>
    </row>
    <row r="66" customFormat="false" ht="17.15" hidden="false" customHeight="false" outlineLevel="0" collapsed="false">
      <c r="A66" s="0" t="s">
        <v>227</v>
      </c>
      <c r="B66" s="4" t="s">
        <v>228</v>
      </c>
      <c r="C66" s="0" t="s">
        <v>187</v>
      </c>
      <c r="D66" s="7" t="n">
        <v>-0.02</v>
      </c>
      <c r="E66" s="7" t="n">
        <v>0</v>
      </c>
      <c r="F66" s="7" t="n">
        <v>0.02</v>
      </c>
      <c r="G66" s="8" t="s">
        <v>75</v>
      </c>
      <c r="H66" s="4" t="s">
        <v>229</v>
      </c>
      <c r="I66" s="8" t="s">
        <v>230</v>
      </c>
    </row>
    <row r="67" customFormat="false" ht="17.15" hidden="false" customHeight="false" outlineLevel="0" collapsed="false">
      <c r="A67" s="0" t="s">
        <v>231</v>
      </c>
      <c r="B67" s="4" t="s">
        <v>232</v>
      </c>
      <c r="C67" s="0" t="s">
        <v>193</v>
      </c>
      <c r="D67" s="7" t="n">
        <v>-1</v>
      </c>
      <c r="E67" s="7" t="n">
        <v>1</v>
      </c>
      <c r="F67" s="7" t="n">
        <v>3</v>
      </c>
      <c r="G67" s="8" t="s">
        <v>75</v>
      </c>
      <c r="H67" s="8" t="s">
        <v>233</v>
      </c>
      <c r="I67" s="4" t="s">
        <v>234</v>
      </c>
    </row>
    <row r="68" customFormat="false" ht="17.15" hidden="false" customHeight="false" outlineLevel="0" collapsed="false">
      <c r="A68" s="0" t="s">
        <v>235</v>
      </c>
      <c r="B68" s="4" t="s">
        <v>236</v>
      </c>
      <c r="C68" s="0" t="s">
        <v>53</v>
      </c>
      <c r="D68" s="7" t="n">
        <v>0.66</v>
      </c>
      <c r="E68" s="7" t="n">
        <v>0.675</v>
      </c>
      <c r="F68" s="7" t="n">
        <v>0.69</v>
      </c>
      <c r="G68" s="8" t="s">
        <v>34</v>
      </c>
      <c r="H68" s="4" t="s">
        <v>237</v>
      </c>
      <c r="I68" s="4" t="s">
        <v>238</v>
      </c>
    </row>
    <row r="69" customFormat="false" ht="17.15" hidden="false" customHeight="false" outlineLevel="0" collapsed="false">
      <c r="A69" s="0" t="s">
        <v>239</v>
      </c>
      <c r="B69" s="4" t="s">
        <v>240</v>
      </c>
      <c r="C69" s="0" t="s">
        <v>53</v>
      </c>
      <c r="D69" s="7" t="n">
        <v>0</v>
      </c>
      <c r="E69" s="7" t="n">
        <v>0</v>
      </c>
      <c r="F69" s="7" t="n">
        <v>0.01</v>
      </c>
      <c r="G69" s="8" t="s">
        <v>75</v>
      </c>
      <c r="H69" s="8" t="s">
        <v>241</v>
      </c>
      <c r="I69" s="4" t="s">
        <v>242</v>
      </c>
    </row>
    <row r="70" customFormat="false" ht="17.15" hidden="false" customHeight="false" outlineLevel="0" collapsed="false">
      <c r="A70" s="0" t="s">
        <v>243</v>
      </c>
      <c r="B70" s="0" t="s">
        <v>244</v>
      </c>
      <c r="C70" s="0" t="s">
        <v>74</v>
      </c>
      <c r="D70" s="7" t="n">
        <v>0.8</v>
      </c>
      <c r="E70" s="7" t="n">
        <v>1</v>
      </c>
      <c r="F70" s="7" t="n">
        <v>1.2</v>
      </c>
      <c r="G70" s="8" t="s">
        <v>75</v>
      </c>
      <c r="H70" s="4" t="s">
        <v>245</v>
      </c>
      <c r="I70" s="8" t="s">
        <v>246</v>
      </c>
    </row>
    <row r="71" customFormat="false" ht="17.15" hidden="false" customHeight="false" outlineLevel="0" collapsed="false">
      <c r="A71" s="6" t="s">
        <v>247</v>
      </c>
    </row>
    <row r="72" customFormat="false" ht="17.15" hidden="false" customHeight="false" outlineLevel="0" collapsed="false">
      <c r="A72" s="0" t="s">
        <v>248</v>
      </c>
      <c r="B72" s="4" t="s">
        <v>249</v>
      </c>
      <c r="C72" s="0" t="s">
        <v>193</v>
      </c>
      <c r="E72" s="7" t="n">
        <v>213.809</v>
      </c>
      <c r="G72" s="8" t="s">
        <v>54</v>
      </c>
      <c r="H72" s="8" t="s">
        <v>250</v>
      </c>
      <c r="I72" s="8" t="s">
        <v>119</v>
      </c>
    </row>
    <row r="73" customFormat="false" ht="17.15" hidden="false" customHeight="false" outlineLevel="0" collapsed="false">
      <c r="A73" s="0" t="s">
        <v>251</v>
      </c>
      <c r="B73" s="4" t="s">
        <v>252</v>
      </c>
      <c r="C73" s="0" t="s">
        <v>193</v>
      </c>
      <c r="E73" s="7" t="n">
        <v>68.057</v>
      </c>
      <c r="G73" s="8" t="s">
        <v>54</v>
      </c>
      <c r="H73" s="8" t="s">
        <v>253</v>
      </c>
      <c r="I73" s="8" t="s">
        <v>119</v>
      </c>
    </row>
    <row r="74" customFormat="false" ht="17.15" hidden="false" customHeight="false" outlineLevel="0" collapsed="false">
      <c r="A74" s="0" t="s">
        <v>254</v>
      </c>
      <c r="B74" s="4" t="s">
        <v>255</v>
      </c>
      <c r="C74" s="0" t="s">
        <v>256</v>
      </c>
      <c r="E74" s="7" t="n">
        <v>101.06</v>
      </c>
      <c r="G74" s="8" t="s">
        <v>54</v>
      </c>
      <c r="H74" s="8" t="s">
        <v>257</v>
      </c>
      <c r="I74" s="8" t="s">
        <v>119</v>
      </c>
    </row>
    <row r="75" customFormat="false" ht="17.15" hidden="false" customHeight="false" outlineLevel="0" collapsed="false">
      <c r="A75" s="0" t="s">
        <v>258</v>
      </c>
      <c r="B75" s="4" t="s">
        <v>259</v>
      </c>
      <c r="C75" s="0" t="s">
        <v>256</v>
      </c>
      <c r="E75" s="7" t="n">
        <v>103.17</v>
      </c>
      <c r="G75" s="8" t="s">
        <v>54</v>
      </c>
      <c r="H75" s="8" t="s">
        <v>250</v>
      </c>
      <c r="I75" s="4" t="s">
        <v>260</v>
      </c>
    </row>
    <row r="76" customFormat="false" ht="17.15" hidden="false" customHeight="false" outlineLevel="0" collapsed="false">
      <c r="A76" s="0" t="s">
        <v>261</v>
      </c>
      <c r="B76" s="4" t="s">
        <v>262</v>
      </c>
      <c r="C76" s="0" t="s">
        <v>193</v>
      </c>
      <c r="E76" s="7" t="n">
        <v>311.893</v>
      </c>
      <c r="G76" s="8" t="s">
        <v>54</v>
      </c>
      <c r="H76" s="8" t="s">
        <v>250</v>
      </c>
      <c r="I76" s="4" t="s">
        <v>263</v>
      </c>
    </row>
    <row r="77" customFormat="false" ht="17.15" hidden="false" customHeight="false" outlineLevel="0" collapsed="false">
      <c r="A77" s="0" t="s">
        <v>264</v>
      </c>
      <c r="B77" s="4" t="s">
        <v>265</v>
      </c>
      <c r="C77" s="0" t="s">
        <v>256</v>
      </c>
      <c r="E77" s="7" t="n">
        <v>154.78</v>
      </c>
      <c r="G77" s="8" t="s">
        <v>54</v>
      </c>
      <c r="H77" s="8" t="s">
        <v>253</v>
      </c>
      <c r="I77" s="8" t="s">
        <v>119</v>
      </c>
    </row>
    <row r="78" customFormat="false" ht="17.15" hidden="false" customHeight="false" outlineLevel="0" collapsed="false">
      <c r="A78" s="0" t="s">
        <v>266</v>
      </c>
      <c r="B78" s="4" t="s">
        <v>267</v>
      </c>
      <c r="C78" s="0" t="s">
        <v>256</v>
      </c>
      <c r="E78" s="7" t="n">
        <v>160.03</v>
      </c>
      <c r="G78" s="8" t="s">
        <v>54</v>
      </c>
      <c r="H78" s="8" t="s">
        <v>250</v>
      </c>
      <c r="I78" s="8" t="s">
        <v>119</v>
      </c>
    </row>
    <row r="79" customFormat="false" ht="17.15" hidden="false" customHeight="false" outlineLevel="0" collapsed="false">
      <c r="A79" s="0" t="s">
        <v>268</v>
      </c>
      <c r="B79" s="4" t="s">
        <v>269</v>
      </c>
      <c r="C79" s="0" t="s">
        <v>256</v>
      </c>
      <c r="E79" s="7" t="n">
        <v>143.99</v>
      </c>
      <c r="G79" s="8" t="s">
        <v>54</v>
      </c>
      <c r="H79" s="8" t="s">
        <v>270</v>
      </c>
      <c r="I79" s="8" t="s">
        <v>119</v>
      </c>
    </row>
    <row r="80" customFormat="false" ht="17.15" hidden="false" customHeight="false" outlineLevel="0" collapsed="false">
      <c r="A80" s="0" t="s">
        <v>271</v>
      </c>
      <c r="B80" s="4" t="s">
        <v>272</v>
      </c>
      <c r="C80" s="0" t="s">
        <v>256</v>
      </c>
      <c r="E80" s="7" t="n">
        <v>139.53</v>
      </c>
      <c r="G80" s="8" t="s">
        <v>54</v>
      </c>
      <c r="H80" s="8" t="s">
        <v>273</v>
      </c>
      <c r="I80" s="8" t="s">
        <v>119</v>
      </c>
    </row>
    <row r="81" customFormat="false" ht="17.15" hidden="false" customHeight="false" outlineLevel="0" collapsed="false">
      <c r="A81" s="0" t="s">
        <v>274</v>
      </c>
      <c r="B81" s="4" t="s">
        <v>275</v>
      </c>
      <c r="C81" s="0" t="s">
        <v>256</v>
      </c>
      <c r="E81" s="7" t="n">
        <v>153.21</v>
      </c>
      <c r="G81" s="8" t="s">
        <v>54</v>
      </c>
      <c r="H81" s="4" t="s">
        <v>276</v>
      </c>
      <c r="I81" s="4" t="s">
        <v>277</v>
      </c>
    </row>
    <row r="82" customFormat="false" ht="17.15" hidden="false" customHeight="false" outlineLevel="0" collapsed="false">
      <c r="A82" s="0" t="s">
        <v>278</v>
      </c>
      <c r="B82" s="4" t="s">
        <v>279</v>
      </c>
      <c r="C82" s="0" t="s">
        <v>256</v>
      </c>
      <c r="E82" s="7" t="n">
        <v>195.18</v>
      </c>
      <c r="G82" s="8" t="s">
        <v>54</v>
      </c>
      <c r="H82" s="8" t="s">
        <v>253</v>
      </c>
      <c r="I82" s="8" t="s">
        <v>119</v>
      </c>
    </row>
    <row r="83" customFormat="false" ht="17.15" hidden="false" customHeight="false" outlineLevel="0" collapsed="false">
      <c r="A83" s="0" t="s">
        <v>280</v>
      </c>
      <c r="B83" s="4" t="s">
        <v>281</v>
      </c>
      <c r="C83" s="0" t="s">
        <v>53</v>
      </c>
      <c r="E83" s="7" t="n">
        <v>0.349</v>
      </c>
      <c r="G83" s="8" t="s">
        <v>54</v>
      </c>
      <c r="H83" s="4" t="s">
        <v>282</v>
      </c>
      <c r="I83" s="4" t="s">
        <v>283</v>
      </c>
    </row>
    <row r="84" customFormat="false" ht="17.15" hidden="false" customHeight="false" outlineLevel="0" collapsed="false">
      <c r="A84" s="0" t="s">
        <v>284</v>
      </c>
      <c r="B84" s="4" t="s">
        <v>285</v>
      </c>
      <c r="C84" s="0" t="s">
        <v>53</v>
      </c>
      <c r="E84" s="7" t="n">
        <v>0.5</v>
      </c>
      <c r="G84" s="8" t="s">
        <v>54</v>
      </c>
      <c r="H84" s="8" t="s">
        <v>250</v>
      </c>
      <c r="I84" s="4" t="s">
        <v>286</v>
      </c>
    </row>
    <row r="85" customFormat="false" ht="17.15" hidden="false" customHeight="false" outlineLevel="0" collapsed="false">
      <c r="A85" s="0" t="s">
        <v>287</v>
      </c>
      <c r="B85" s="0" t="s">
        <v>288</v>
      </c>
      <c r="C85" s="0" t="s">
        <v>53</v>
      </c>
      <c r="E85" s="7" t="n">
        <v>0.53</v>
      </c>
      <c r="G85" s="8" t="s">
        <v>54</v>
      </c>
      <c r="H85" s="8" t="s">
        <v>289</v>
      </c>
      <c r="I85" s="8" t="s">
        <v>119</v>
      </c>
    </row>
    <row r="86" customFormat="false" ht="17.15" hidden="false" customHeight="false" outlineLevel="0" collapsed="false">
      <c r="A86" s="0" t="s">
        <v>290</v>
      </c>
      <c r="B86" s="0" t="s">
        <v>291</v>
      </c>
      <c r="C86" s="0" t="s">
        <v>53</v>
      </c>
      <c r="E86" s="7" t="n">
        <v>0.6</v>
      </c>
      <c r="G86" s="8" t="s">
        <v>54</v>
      </c>
      <c r="H86" s="8" t="s">
        <v>289</v>
      </c>
      <c r="I86" s="4" t="s">
        <v>292</v>
      </c>
    </row>
    <row r="87" customFormat="false" ht="17.15" hidden="false" customHeight="false" outlineLevel="0" collapsed="false">
      <c r="A87" s="6" t="s">
        <v>293</v>
      </c>
    </row>
    <row r="88" customFormat="false" ht="17.15" hidden="false" customHeight="false" outlineLevel="0" collapsed="false">
      <c r="A88" s="0" t="s">
        <v>294</v>
      </c>
      <c r="B88" s="4" t="s">
        <v>295</v>
      </c>
      <c r="C88" s="0" t="s">
        <v>256</v>
      </c>
      <c r="E88" s="7" t="n">
        <v>3145</v>
      </c>
      <c r="G88" s="8" t="s">
        <v>54</v>
      </c>
      <c r="H88" s="8" t="s">
        <v>296</v>
      </c>
      <c r="I88" s="8" t="s">
        <v>297</v>
      </c>
    </row>
    <row r="89" customFormat="false" ht="17.15" hidden="false" customHeight="false" outlineLevel="0" collapsed="false">
      <c r="A89" s="0" t="s">
        <v>298</v>
      </c>
      <c r="B89" s="4" t="s">
        <v>299</v>
      </c>
      <c r="C89" s="0" t="s">
        <v>74</v>
      </c>
      <c r="E89" s="7" t="n">
        <v>41.92</v>
      </c>
      <c r="G89" s="8" t="s">
        <v>54</v>
      </c>
      <c r="H89" s="8" t="s">
        <v>300</v>
      </c>
      <c r="I89" s="4" t="s">
        <v>301</v>
      </c>
    </row>
    <row r="90" customFormat="false" ht="17.15" hidden="false" customHeight="false" outlineLevel="0" collapsed="false">
      <c r="A90" s="6" t="s">
        <v>302</v>
      </c>
    </row>
    <row r="91" customFormat="false" ht="17.15" hidden="false" customHeight="false" outlineLevel="0" collapsed="false">
      <c r="A91" s="0" t="s">
        <v>303</v>
      </c>
      <c r="B91" s="4" t="s">
        <v>304</v>
      </c>
      <c r="C91" s="4" t="s">
        <v>305</v>
      </c>
      <c r="E91" s="9" t="n">
        <v>0.3</v>
      </c>
      <c r="G91" s="8" t="s">
        <v>75</v>
      </c>
      <c r="H91" s="8" t="s">
        <v>306</v>
      </c>
      <c r="I91" s="4" t="s">
        <v>307</v>
      </c>
    </row>
    <row r="92" customFormat="false" ht="17.15" hidden="false" customHeight="false" outlineLevel="0" collapsed="false">
      <c r="A92" s="0" t="s">
        <v>308</v>
      </c>
      <c r="B92" s="4" t="s">
        <v>309</v>
      </c>
      <c r="C92" s="4" t="s">
        <v>305</v>
      </c>
      <c r="E92" s="9" t="n">
        <v>0.5</v>
      </c>
      <c r="G92" s="8" t="s">
        <v>75</v>
      </c>
      <c r="H92" s="8" t="s">
        <v>306</v>
      </c>
      <c r="I92" s="4" t="s">
        <v>307</v>
      </c>
    </row>
    <row r="93" customFormat="false" ht="17.15" hidden="false" customHeight="false" outlineLevel="0" collapsed="false">
      <c r="A93" s="0" t="s">
        <v>310</v>
      </c>
      <c r="B93" s="4" t="s">
        <v>311</v>
      </c>
      <c r="C93" s="4" t="s">
        <v>305</v>
      </c>
      <c r="E93" s="9" t="n">
        <v>0.2</v>
      </c>
      <c r="G93" s="8" t="s">
        <v>75</v>
      </c>
      <c r="H93" s="8" t="s">
        <v>306</v>
      </c>
      <c r="I93" s="4" t="s">
        <v>307</v>
      </c>
    </row>
    <row r="94" customFormat="false" ht="17.15" hidden="false" customHeight="false" outlineLevel="0" collapsed="false">
      <c r="A94" s="6" t="s">
        <v>312</v>
      </c>
    </row>
    <row r="95" customFormat="false" ht="17.15" hidden="false" customHeight="false" outlineLevel="0" collapsed="false">
      <c r="A95" s="0" t="s">
        <v>313</v>
      </c>
      <c r="B95" s="4" t="s">
        <v>314</v>
      </c>
      <c r="C95" s="0" t="s">
        <v>53</v>
      </c>
      <c r="E95" s="9" t="n">
        <v>0.1</v>
      </c>
      <c r="G95" s="8" t="s">
        <v>75</v>
      </c>
      <c r="H95" s="8" t="s">
        <v>315</v>
      </c>
      <c r="I95" s="8" t="s">
        <v>316</v>
      </c>
    </row>
    <row r="96" customFormat="false" ht="17.15" hidden="false" customHeight="false" outlineLevel="0" collapsed="false">
      <c r="A96" s="0" t="s">
        <v>317</v>
      </c>
      <c r="B96" s="4" t="s">
        <v>318</v>
      </c>
      <c r="C96" s="0" t="s">
        <v>53</v>
      </c>
      <c r="E96" s="9" t="n">
        <v>0.04</v>
      </c>
      <c r="G96" s="8" t="s">
        <v>75</v>
      </c>
      <c r="H96" s="8" t="s">
        <v>319</v>
      </c>
      <c r="I96" s="8" t="s">
        <v>320</v>
      </c>
    </row>
    <row r="97" customFormat="false" ht="17.15" hidden="false" customHeight="false" outlineLevel="0" collapsed="false">
      <c r="A97" s="0" t="s">
        <v>321</v>
      </c>
      <c r="B97" s="0" t="s">
        <v>322</v>
      </c>
      <c r="C97" s="0" t="s">
        <v>53</v>
      </c>
      <c r="E97" s="10" t="n">
        <f aca="false">AVERAGE(0.2688,0.3099,0.4986)</f>
        <v>0.3591</v>
      </c>
      <c r="G97" s="8" t="s">
        <v>34</v>
      </c>
      <c r="H97" s="8" t="s">
        <v>323</v>
      </c>
      <c r="I97" s="4" t="s">
        <v>324</v>
      </c>
    </row>
    <row r="98" customFormat="false" ht="17.15" hidden="false" customHeight="false" outlineLevel="0" collapsed="false">
      <c r="A98" s="0" t="s">
        <v>325</v>
      </c>
      <c r="B98" s="4" t="s">
        <v>326</v>
      </c>
      <c r="C98" s="0" t="s">
        <v>53</v>
      </c>
      <c r="E98" s="9" t="n">
        <v>0.5</v>
      </c>
      <c r="G98" s="8" t="s">
        <v>75</v>
      </c>
      <c r="H98" s="8" t="s">
        <v>327</v>
      </c>
      <c r="I98" s="8" t="s">
        <v>328</v>
      </c>
    </row>
    <row r="99" customFormat="false" ht="17.15" hidden="false" customHeight="false" outlineLevel="0" collapsed="false">
      <c r="A99" s="0" t="s">
        <v>329</v>
      </c>
      <c r="B99" s="4" t="s">
        <v>330</v>
      </c>
      <c r="C99" s="0" t="s">
        <v>53</v>
      </c>
      <c r="E99" s="10" t="n">
        <f aca="false">tp_g+0.02</f>
        <v>0.06</v>
      </c>
      <c r="G99" s="8" t="s">
        <v>75</v>
      </c>
      <c r="H99" s="4" t="s">
        <v>331</v>
      </c>
      <c r="I99" s="8" t="s">
        <v>332</v>
      </c>
    </row>
    <row r="100" customFormat="false" ht="17.15" hidden="false" customHeight="false" outlineLevel="0" collapsed="false">
      <c r="A100" s="0" t="s">
        <v>333</v>
      </c>
      <c r="B100" s="4" t="s">
        <v>334</v>
      </c>
      <c r="C100" s="0" t="s">
        <v>53</v>
      </c>
      <c r="E100" s="10" t="n">
        <f aca="false">tp_g</f>
        <v>0.04</v>
      </c>
      <c r="G100" s="8" t="s">
        <v>75</v>
      </c>
      <c r="H100" s="4" t="s">
        <v>39</v>
      </c>
      <c r="I100" s="8" t="s">
        <v>119</v>
      </c>
    </row>
    <row r="101" customFormat="false" ht="17.15" hidden="false" customHeight="false" outlineLevel="0" collapsed="false">
      <c r="A101" s="0" t="s">
        <v>335</v>
      </c>
      <c r="B101" s="4" t="s">
        <v>336</v>
      </c>
      <c r="C101" s="0" t="s">
        <v>53</v>
      </c>
      <c r="E101" s="10" t="n">
        <f aca="false">tp_g-0.02</f>
        <v>0.02</v>
      </c>
      <c r="G101" s="8" t="s">
        <v>75</v>
      </c>
      <c r="H101" s="4" t="s">
        <v>39</v>
      </c>
      <c r="I101" s="8" t="s">
        <v>119</v>
      </c>
    </row>
    <row r="102" customFormat="false" ht="17.15" hidden="false" customHeight="false" outlineLevel="0" collapsed="false">
      <c r="A102" s="0" t="s">
        <v>337</v>
      </c>
      <c r="B102" s="4" t="s">
        <v>338</v>
      </c>
      <c r="C102" s="0" t="s">
        <v>74</v>
      </c>
      <c r="E102" s="9" t="n">
        <v>0.8</v>
      </c>
      <c r="G102" s="8" t="s">
        <v>75</v>
      </c>
      <c r="H102" s="4" t="s">
        <v>339</v>
      </c>
      <c r="I102" s="4" t="s">
        <v>340</v>
      </c>
    </row>
    <row r="103" customFormat="false" ht="17.15" hidden="false" customHeight="false" outlineLevel="0" collapsed="false">
      <c r="A103" s="0" t="s">
        <v>341</v>
      </c>
      <c r="B103" s="4" t="s">
        <v>342</v>
      </c>
      <c r="C103" s="0" t="s">
        <v>256</v>
      </c>
      <c r="E103" s="7" t="n">
        <v>4130</v>
      </c>
      <c r="G103" s="8" t="s">
        <v>54</v>
      </c>
      <c r="H103" s="8" t="s">
        <v>343</v>
      </c>
      <c r="I103" s="4" t="s">
        <v>344</v>
      </c>
    </row>
    <row r="104" customFormat="false" ht="17.15" hidden="false" customHeight="false" outlineLevel="0" collapsed="false">
      <c r="A104" s="0" t="s">
        <v>345</v>
      </c>
      <c r="B104" s="4" t="s">
        <v>346</v>
      </c>
      <c r="C104" s="0" t="s">
        <v>256</v>
      </c>
      <c r="E104" s="0" t="n">
        <f aca="false">3585/27.04</f>
        <v>132.581360946746</v>
      </c>
      <c r="G104" s="0" t="s">
        <v>54</v>
      </c>
      <c r="H104" s="0" t="s">
        <v>347</v>
      </c>
      <c r="I104" s="4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349</v>
      </c>
    </row>
    <row r="2" customFormat="false" ht="17.15" hidden="false" customHeight="false" outlineLevel="0" collapsed="false">
      <c r="A2" s="0" t="s">
        <v>350</v>
      </c>
    </row>
    <row r="3" customFormat="false" ht="17.15" hidden="false" customHeight="false" outlineLevel="0" collapsed="false">
      <c r="A3" s="5" t="s">
        <v>22</v>
      </c>
      <c r="B3" s="11" t="s">
        <v>351</v>
      </c>
      <c r="C3" s="11" t="s">
        <v>352</v>
      </c>
      <c r="D3" s="11" t="s">
        <v>353</v>
      </c>
      <c r="E3" s="11" t="s">
        <v>354</v>
      </c>
      <c r="F3" s="11" t="s">
        <v>355</v>
      </c>
      <c r="G3" s="5" t="s">
        <v>27</v>
      </c>
      <c r="H3" s="5" t="s">
        <v>356</v>
      </c>
      <c r="I3" s="5" t="s">
        <v>29</v>
      </c>
    </row>
    <row r="4" customFormat="false" ht="17.15" hidden="false" customHeight="false" outlineLevel="0" collapsed="false">
      <c r="A4" s="4" t="s">
        <v>357</v>
      </c>
      <c r="B4" s="12" t="n">
        <v>139.639</v>
      </c>
      <c r="C4" s="12" t="n">
        <v>98.159</v>
      </c>
      <c r="D4" s="13" t="n">
        <f aca="false">q3_rev</f>
        <v>59.089</v>
      </c>
      <c r="E4" s="13" t="n">
        <f aca="false">D4*(1+q4g)</f>
        <v>67.95235</v>
      </c>
      <c r="F4" s="13" t="n">
        <f aca="false">SUM(C4:E4)</f>
        <v>225.20035</v>
      </c>
      <c r="G4" s="8" t="s">
        <v>358</v>
      </c>
      <c r="H4" s="8" t="s">
        <v>359</v>
      </c>
      <c r="I4" s="4" t="s">
        <v>360</v>
      </c>
    </row>
    <row r="5" customFormat="false" ht="17.15" hidden="false" customHeight="false" outlineLevel="0" collapsed="false">
      <c r="A5" s="4" t="s">
        <v>361</v>
      </c>
      <c r="B5" s="12" t="n">
        <v>36.034</v>
      </c>
      <c r="C5" s="13" t="n">
        <f aca="false">14.597+49.121*0.3257</f>
        <v>30.5957097</v>
      </c>
      <c r="D5" s="13" t="n">
        <f aca="false">D4*q_gm</f>
        <v>19.49937</v>
      </c>
      <c r="E5" s="13" t="n">
        <f aca="false">E4*q_gm</f>
        <v>22.4242755</v>
      </c>
      <c r="F5" s="13" t="n">
        <f aca="false">SUM(C5:E5)</f>
        <v>72.5193552</v>
      </c>
      <c r="G5" s="8" t="s">
        <v>362</v>
      </c>
      <c r="H5" s="8" t="s">
        <v>359</v>
      </c>
      <c r="I5" s="8" t="s">
        <v>363</v>
      </c>
    </row>
    <row r="6" customFormat="false" ht="17.15" hidden="false" customHeight="false" outlineLevel="0" collapsed="false">
      <c r="A6" s="4" t="s">
        <v>364</v>
      </c>
      <c r="B6" s="14" t="n">
        <f aca="false">B5/B4</f>
        <v>0.258051117524474</v>
      </c>
      <c r="C6" s="14" t="n">
        <f aca="false">C5/C4</f>
        <v>0.311695409488687</v>
      </c>
      <c r="D6" s="14" t="n">
        <f aca="false">D5/D4</f>
        <v>0.33</v>
      </c>
      <c r="E6" s="14" t="n">
        <f aca="false">E5/E4</f>
        <v>0.33</v>
      </c>
      <c r="F6" s="14" t="n">
        <f aca="false">F5/F4</f>
        <v>0.322021503074929</v>
      </c>
      <c r="G6" s="8" t="s">
        <v>34</v>
      </c>
      <c r="H6" s="8" t="s">
        <v>119</v>
      </c>
      <c r="I6" s="8" t="s">
        <v>365</v>
      </c>
    </row>
    <row r="7" customFormat="false" ht="17.15" hidden="false" customHeight="false" outlineLevel="0" collapsed="false">
      <c r="A7" s="4" t="s">
        <v>366</v>
      </c>
      <c r="B7" s="13" t="n">
        <f aca="false">B5-B8</f>
        <v>8.4832253</v>
      </c>
      <c r="C7" s="13" t="n">
        <f aca="false">C5-C8</f>
        <v>5.0987097</v>
      </c>
      <c r="D7" s="13" t="n">
        <f aca="false">D4*q_opx</f>
        <v>3.072628</v>
      </c>
      <c r="E7" s="13" t="n">
        <f aca="false">E4*q_opx</f>
        <v>3.5335222</v>
      </c>
      <c r="F7" s="13" t="n">
        <f aca="false">SUM(C7:E7)</f>
        <v>11.7048599</v>
      </c>
      <c r="G7" s="8" t="s">
        <v>367</v>
      </c>
      <c r="H7" s="8" t="s">
        <v>359</v>
      </c>
      <c r="I7" s="4" t="s">
        <v>360</v>
      </c>
    </row>
    <row r="8" customFormat="false" ht="17.15" hidden="false" customHeight="false" outlineLevel="0" collapsed="false">
      <c r="A8" s="4" t="s">
        <v>368</v>
      </c>
      <c r="B8" s="13" t="n">
        <f aca="false">139.639*0.1973</f>
        <v>27.5507747</v>
      </c>
      <c r="C8" s="13" t="n">
        <f aca="false">12.019+13.478</f>
        <v>25.497</v>
      </c>
      <c r="D8" s="13" t="n">
        <f aca="false">D5-D7</f>
        <v>16.426742</v>
      </c>
      <c r="E8" s="13" t="n">
        <f aca="false">E5-E7</f>
        <v>18.8907533</v>
      </c>
      <c r="F8" s="13" t="n">
        <f aca="false">SUM(C8:E8)</f>
        <v>60.8144953</v>
      </c>
      <c r="G8" s="8" t="s">
        <v>369</v>
      </c>
      <c r="H8" s="8" t="s">
        <v>359</v>
      </c>
      <c r="I8" s="8" t="s">
        <v>370</v>
      </c>
    </row>
    <row r="9" customFormat="false" ht="17.15" hidden="false" customHeight="false" outlineLevel="0" collapsed="false">
      <c r="A9" s="4" t="s">
        <v>371</v>
      </c>
      <c r="B9" s="14" t="n">
        <f aca="false">B8/B4</f>
        <v>0.1973</v>
      </c>
      <c r="C9" s="14" t="n">
        <f aca="false">C8/C4</f>
        <v>0.259752034963681</v>
      </c>
      <c r="D9" s="14" t="n">
        <f aca="false">D8/D4</f>
        <v>0.278</v>
      </c>
      <c r="E9" s="14" t="n">
        <f aca="false">E8/E4</f>
        <v>0.278</v>
      </c>
      <c r="F9" s="14" t="n">
        <f aca="false">F8/F4</f>
        <v>0.27004618465291</v>
      </c>
      <c r="G9" s="8" t="s">
        <v>34</v>
      </c>
      <c r="H9" s="8" t="s">
        <v>119</v>
      </c>
      <c r="I9" s="8" t="s">
        <v>372</v>
      </c>
    </row>
    <row r="10" customFormat="false" ht="17.15" hidden="false" customHeight="false" outlineLevel="0" collapsed="false">
      <c r="A10" s="4" t="s">
        <v>373</v>
      </c>
      <c r="B10" s="13" t="n">
        <f aca="false">B11-B8</f>
        <v>1.23179436863779</v>
      </c>
      <c r="C10" s="13" t="n">
        <f aca="false">C11-C8</f>
        <v>0.4186111</v>
      </c>
      <c r="D10" s="13" t="n">
        <f aca="false">q_nop</f>
        <v>0.2</v>
      </c>
      <c r="E10" s="13" t="n">
        <f aca="false">q_nop</f>
        <v>0.2</v>
      </c>
      <c r="F10" s="13" t="n">
        <f aca="false">SUM(C10:E10)</f>
        <v>0.8186111</v>
      </c>
      <c r="G10" s="8" t="s">
        <v>34</v>
      </c>
      <c r="H10" s="8" t="s">
        <v>359</v>
      </c>
      <c r="I10" s="4" t="s">
        <v>360</v>
      </c>
    </row>
    <row r="11" customFormat="false" ht="17.15" hidden="false" customHeight="false" outlineLevel="0" collapsed="false">
      <c r="A11" s="4" t="s">
        <v>374</v>
      </c>
      <c r="B11" s="13" t="n">
        <f aca="false">(49.038/2.1017)*0.198+(98.159/1.8546-49.038/2.1017)*0.1992+(47.775/1.227)*0.211+47.775*0.2104</f>
        <v>28.7825690686378</v>
      </c>
      <c r="C11" s="13" t="n">
        <f aca="false">49.038*0.2443+49.121*0.2837</f>
        <v>25.9156111</v>
      </c>
      <c r="D11" s="13" t="n">
        <f aca="false">D8+D10</f>
        <v>16.626742</v>
      </c>
      <c r="E11" s="13" t="n">
        <f aca="false">E8+E10</f>
        <v>19.0907533</v>
      </c>
      <c r="F11" s="13" t="n">
        <f aca="false">SUM(C11:E11)</f>
        <v>61.6331064</v>
      </c>
      <c r="G11" s="8" t="s">
        <v>375</v>
      </c>
      <c r="H11" s="8" t="s">
        <v>212</v>
      </c>
      <c r="I11" s="4" t="s">
        <v>376</v>
      </c>
    </row>
    <row r="12" customFormat="false" ht="17.15" hidden="false" customHeight="false" outlineLevel="0" collapsed="false">
      <c r="A12" s="4" t="s">
        <v>377</v>
      </c>
      <c r="B12" s="12" t="n">
        <v>19.186</v>
      </c>
      <c r="C12" s="12" t="n">
        <v>17.483</v>
      </c>
      <c r="D12" s="13" t="n">
        <f aca="false">D11*q_nir</f>
        <v>11.22305085</v>
      </c>
      <c r="E12" s="13" t="n">
        <f aca="false">E11*q_nir</f>
        <v>12.8862584775</v>
      </c>
      <c r="F12" s="13" t="n">
        <f aca="false">SUM(C12:E12)</f>
        <v>41.5923093275</v>
      </c>
      <c r="G12" s="8" t="s">
        <v>378</v>
      </c>
      <c r="H12" s="8" t="s">
        <v>359</v>
      </c>
      <c r="I12" s="4" t="s">
        <v>360</v>
      </c>
    </row>
    <row r="13" customFormat="false" ht="17.15" hidden="false" customHeight="false" outlineLevel="0" collapsed="false">
      <c r="A13" s="4" t="s">
        <v>379</v>
      </c>
      <c r="B13" s="14" t="n">
        <f aca="false">B12/B11</f>
        <v>0.666583999303438</v>
      </c>
      <c r="C13" s="14" t="n">
        <f aca="false">C12/C11</f>
        <v>0.674612685478985</v>
      </c>
      <c r="D13" s="14" t="n">
        <f aca="false">D12/D11</f>
        <v>0.675</v>
      </c>
      <c r="E13" s="14" t="n">
        <f aca="false">E12/E11</f>
        <v>0.675</v>
      </c>
      <c r="F13" s="14" t="n">
        <f aca="false">F12/F11</f>
        <v>0.674837141220258</v>
      </c>
      <c r="G13" s="8" t="s">
        <v>34</v>
      </c>
      <c r="H13" s="8" t="s">
        <v>119</v>
      </c>
      <c r="I13" s="8" t="s">
        <v>119</v>
      </c>
    </row>
    <row r="14" customFormat="false" ht="17.15" hidden="false" customHeight="false" outlineLevel="0" collapsed="false">
      <c r="A14" s="4" t="s">
        <v>380</v>
      </c>
      <c r="B14" s="13" t="n">
        <f aca="false">19.186/49.17</f>
        <v>0.390197274761033</v>
      </c>
      <c r="C14" s="13" t="n">
        <f aca="false">q_sh</f>
        <v>0.392523574315222</v>
      </c>
      <c r="D14" s="13" t="n">
        <f aca="false">q_sh</f>
        <v>0.392523574315222</v>
      </c>
      <c r="E14" s="13" t="n">
        <f aca="false">q_sh</f>
        <v>0.392523574315222</v>
      </c>
      <c r="F14" s="13" t="n">
        <f aca="false">q_sh</f>
        <v>0.392523574315222</v>
      </c>
      <c r="G14" s="8" t="s">
        <v>34</v>
      </c>
      <c r="H14" s="8" t="s">
        <v>359</v>
      </c>
      <c r="I14" s="4" t="s">
        <v>381</v>
      </c>
    </row>
    <row r="15" customFormat="false" ht="17.15" hidden="false" customHeight="false" outlineLevel="0" collapsed="false">
      <c r="A15" s="0" t="s">
        <v>382</v>
      </c>
      <c r="B15" s="15" t="n">
        <f aca="false">B12/B14</f>
        <v>49.17</v>
      </c>
      <c r="C15" s="15" t="n">
        <f aca="false">C12/C14</f>
        <v>44.54</v>
      </c>
      <c r="D15" s="15" t="n">
        <f aca="false">D12/D14</f>
        <v>28.5920428335526</v>
      </c>
      <c r="E15" s="15" t="n">
        <f aca="false">E12/E14</f>
        <v>32.829260000449</v>
      </c>
      <c r="F15" s="15" t="n">
        <f aca="false">F12/F14</f>
        <v>105.961302834002</v>
      </c>
      <c r="G15" s="8" t="s">
        <v>34</v>
      </c>
      <c r="H15" s="4" t="s">
        <v>383</v>
      </c>
      <c r="I15" s="8" t="s">
        <v>119</v>
      </c>
    </row>
    <row r="16" customFormat="false" ht="17.15" hidden="false" customHeight="false" outlineLevel="0" collapsed="false">
      <c r="A16" s="4" t="s">
        <v>384</v>
      </c>
      <c r="B16" s="16" t="n">
        <v>49.17</v>
      </c>
      <c r="C16" s="16" t="n">
        <v>44.54</v>
      </c>
      <c r="G16" s="8" t="s">
        <v>194</v>
      </c>
      <c r="H16" s="8" t="s">
        <v>359</v>
      </c>
      <c r="I16" s="8" t="s">
        <v>385</v>
      </c>
    </row>
    <row r="17" customFormat="false" ht="17.15" hidden="false" customHeight="false" outlineLevel="0" collapsed="false">
      <c r="A17" s="4" t="s">
        <v>386</v>
      </c>
      <c r="B17" s="13" t="n">
        <f aca="false">B4*lc_25</f>
        <v>20.94585</v>
      </c>
      <c r="F17" s="13" t="n">
        <f aca="false">F4*lc_26</f>
        <v>72.064112</v>
      </c>
      <c r="G17" s="8" t="s">
        <v>387</v>
      </c>
      <c r="H17" s="4" t="s">
        <v>388</v>
      </c>
      <c r="I17" s="4" t="s">
        <v>389</v>
      </c>
    </row>
    <row r="18" customFormat="false" ht="17.15" hidden="false" customHeight="false" outlineLevel="0" collapsed="false">
      <c r="A18" s="0" t="s">
        <v>390</v>
      </c>
      <c r="B18" s="13" t="n">
        <f aca="false">B4*(srv_25-lc_25)*aiair</f>
        <v>30.999858</v>
      </c>
      <c r="F18" s="13" t="n">
        <f aca="false">F4*(srv_26-lc_26)*aiair</f>
        <v>47.2920735</v>
      </c>
      <c r="G18" s="8" t="s">
        <v>387</v>
      </c>
      <c r="H18" s="4" t="s">
        <v>388</v>
      </c>
      <c r="I18" s="8" t="s">
        <v>119</v>
      </c>
    </row>
    <row r="19" customFormat="false" ht="17.15" hidden="false" customHeight="false" outlineLevel="0" collapsed="false">
      <c r="A19" s="4" t="s">
        <v>391</v>
      </c>
      <c r="B19" s="13" t="n">
        <f aca="false">B4*(srv_25-lc_25)*(1-aiair)</f>
        <v>20.666572</v>
      </c>
      <c r="F19" s="13" t="n">
        <f aca="false">F4*(srv_26-lc_26)*(1-aiair)</f>
        <v>31.528049</v>
      </c>
      <c r="G19" s="8" t="s">
        <v>387</v>
      </c>
      <c r="H19" s="4" t="s">
        <v>388</v>
      </c>
      <c r="I19" s="8" t="s">
        <v>119</v>
      </c>
    </row>
    <row r="20" customFormat="false" ht="17.15" hidden="false" customHeight="false" outlineLevel="0" collapsed="false">
      <c r="A20" s="4" t="s">
        <v>392</v>
      </c>
      <c r="B20" s="13" t="n">
        <f aca="false">B4*(1-srv_25)</f>
        <v>67.02672</v>
      </c>
      <c r="F20" s="13" t="n">
        <f aca="false">F4*(1-srv_26)</f>
        <v>74.3161155</v>
      </c>
      <c r="G20" s="8" t="s">
        <v>387</v>
      </c>
      <c r="H20" s="4" t="s">
        <v>388</v>
      </c>
      <c r="I20" s="8" t="s">
        <v>119</v>
      </c>
    </row>
    <row r="21" customFormat="false" ht="17.15" hidden="false" customHeight="false" outlineLevel="0" collapsed="false">
      <c r="A21" s="0" t="s">
        <v>393</v>
      </c>
      <c r="F21" s="13" t="n">
        <f aca="false">F4*(srv_26-lc_26)*aiair_lo</f>
        <v>31.528049</v>
      </c>
      <c r="G21" s="8" t="s">
        <v>34</v>
      </c>
      <c r="H21" s="8" t="s">
        <v>394</v>
      </c>
      <c r="I21" s="8" t="s">
        <v>119</v>
      </c>
    </row>
    <row r="22" customFormat="false" ht="17.15" hidden="false" customHeight="false" outlineLevel="0" collapsed="false">
      <c r="A22" s="4" t="s">
        <v>395</v>
      </c>
      <c r="F22" s="13" t="n">
        <f aca="false">F4*(srv_26-lc_26)*(1-aiair_lo)</f>
        <v>47.2920735</v>
      </c>
      <c r="G22" s="8" t="s">
        <v>34</v>
      </c>
      <c r="H22" s="8" t="s">
        <v>394</v>
      </c>
      <c r="I22" s="8" t="s">
        <v>119</v>
      </c>
    </row>
    <row r="23" customFormat="false" ht="17.15" hidden="false" customHeight="false" outlineLevel="0" collapsed="false">
      <c r="A23" s="0" t="s">
        <v>396</v>
      </c>
      <c r="F23" s="13" t="n">
        <f aca="false">F4*(srv_26-lc_26)*aiair_hi</f>
        <v>63.056098</v>
      </c>
      <c r="G23" s="8" t="s">
        <v>34</v>
      </c>
      <c r="H23" s="8" t="s">
        <v>394</v>
      </c>
      <c r="I23" s="8" t="s">
        <v>119</v>
      </c>
    </row>
    <row r="24" customFormat="false" ht="17.15" hidden="false" customHeight="false" outlineLevel="0" collapsed="false">
      <c r="A24" s="4" t="s">
        <v>397</v>
      </c>
      <c r="F24" s="13" t="n">
        <f aca="false">F4*(srv_26-lc_26)*(1-aiair_hi)</f>
        <v>15.7640245</v>
      </c>
      <c r="G24" s="8" t="s">
        <v>34</v>
      </c>
      <c r="H24" s="8" t="s">
        <v>394</v>
      </c>
      <c r="I24" s="8" t="s">
        <v>119</v>
      </c>
    </row>
    <row r="25" customFormat="false" ht="17.15" hidden="false" customHeight="false" outlineLevel="0" collapsed="false">
      <c r="A25" s="4" t="s">
        <v>398</v>
      </c>
      <c r="F25" s="13" t="n">
        <f aca="false">F4*lc_26_lo</f>
        <v>63.056098</v>
      </c>
      <c r="G25" s="8" t="s">
        <v>34</v>
      </c>
      <c r="H25" s="8" t="s">
        <v>394</v>
      </c>
      <c r="I25" s="8" t="s">
        <v>119</v>
      </c>
    </row>
    <row r="26" customFormat="false" ht="17.15" hidden="false" customHeight="false" outlineLevel="0" collapsed="false">
      <c r="A26" s="0" t="s">
        <v>399</v>
      </c>
      <c r="F26" s="13" t="n">
        <f aca="false">F4*(srv_26-lc_26_lo)*aiair</f>
        <v>52.6968819</v>
      </c>
      <c r="G26" s="8" t="s">
        <v>34</v>
      </c>
      <c r="H26" s="8" t="s">
        <v>394</v>
      </c>
      <c r="I26" s="8" t="s">
        <v>119</v>
      </c>
    </row>
    <row r="27" customFormat="false" ht="17.15" hidden="false" customHeight="false" outlineLevel="0" collapsed="false">
      <c r="A27" s="4" t="s">
        <v>400</v>
      </c>
      <c r="F27" s="13" t="n">
        <f aca="false">F4*(srv_26-lc_26_lo)*(1-aiair)</f>
        <v>35.1312546</v>
      </c>
      <c r="G27" s="8" t="s">
        <v>34</v>
      </c>
      <c r="H27" s="8" t="s">
        <v>394</v>
      </c>
      <c r="I27" s="8" t="s">
        <v>119</v>
      </c>
    </row>
    <row r="28" customFormat="false" ht="17.15" hidden="false" customHeight="false" outlineLevel="0" collapsed="false">
      <c r="A28" s="4" t="s">
        <v>401</v>
      </c>
      <c r="F28" s="13" t="n">
        <f aca="false">F4*lc_26_hi</f>
        <v>78.8201225</v>
      </c>
      <c r="G28" s="8" t="s">
        <v>34</v>
      </c>
      <c r="H28" s="8" t="s">
        <v>394</v>
      </c>
      <c r="I28" s="8" t="s">
        <v>119</v>
      </c>
    </row>
    <row r="29" customFormat="false" ht="17.15" hidden="false" customHeight="false" outlineLevel="0" collapsed="false">
      <c r="A29" s="0" t="s">
        <v>402</v>
      </c>
      <c r="F29" s="13" t="n">
        <f aca="false">F4*(srv_26-lc_26_hi)*aiair</f>
        <v>43.2384672</v>
      </c>
      <c r="G29" s="8" t="s">
        <v>34</v>
      </c>
      <c r="H29" s="8" t="s">
        <v>394</v>
      </c>
      <c r="I29" s="8" t="s">
        <v>119</v>
      </c>
    </row>
    <row r="30" customFormat="false" ht="17.15" hidden="false" customHeight="false" outlineLevel="0" collapsed="false">
      <c r="A30" s="4" t="s">
        <v>403</v>
      </c>
      <c r="F30" s="13" t="n">
        <f aca="false">F4*(srv_26-lc_26_hi)*(1-aiair)</f>
        <v>28.8256448</v>
      </c>
      <c r="G30" s="8" t="s">
        <v>34</v>
      </c>
      <c r="H30" s="8" t="s">
        <v>394</v>
      </c>
      <c r="I30" s="8" t="s">
        <v>119</v>
      </c>
    </row>
    <row r="32" customFormat="false" ht="17.15" hidden="false" customHeight="false" outlineLevel="0" collapsed="false">
      <c r="A32" s="6" t="s">
        <v>404</v>
      </c>
    </row>
    <row r="33" customFormat="false" ht="17.15" hidden="false" customHeight="false" outlineLevel="0" collapsed="false">
      <c r="A33" s="0" t="s">
        <v>405</v>
      </c>
      <c r="B33" s="14" t="n">
        <f aca="false">F4/B4-1</f>
        <v>0.61273247445198</v>
      </c>
    </row>
    <row r="34" customFormat="false" ht="17.15" hidden="false" customHeight="false" outlineLevel="0" collapsed="false">
      <c r="A34" s="0" t="s">
        <v>406</v>
      </c>
      <c r="B34" s="14" t="n">
        <f aca="false">F7/B7-1</f>
        <v>0.379765299879517</v>
      </c>
    </row>
    <row r="35" customFormat="false" ht="17.15" hidden="false" customHeight="false" outlineLevel="0" collapsed="false">
      <c r="A35" s="4" t="s">
        <v>407</v>
      </c>
      <c r="B35" s="15" t="n">
        <f aca="false">B34/B33</f>
        <v>0.61978973812213</v>
      </c>
    </row>
    <row r="36" customFormat="false" ht="17.15" hidden="false" customHeight="false" outlineLevel="0" collapsed="false">
      <c r="A36" s="0" t="s">
        <v>408</v>
      </c>
      <c r="B36" s="14" t="n">
        <f aca="false">F4/b_rev26-1</f>
        <v>0.053278159478787</v>
      </c>
    </row>
    <row r="37" customFormat="false" ht="17.15" hidden="false" customHeight="false" outlineLevel="0" collapsed="false">
      <c r="A37" s="0" t="s">
        <v>409</v>
      </c>
      <c r="B37" s="14" t="n">
        <f aca="false">F15/b_eps26gs-1</f>
        <v>0.0484989395804629</v>
      </c>
    </row>
    <row r="38" customFormat="false" ht="17.15" hidden="false" customHeight="false" outlineLevel="0" collapsed="false">
      <c r="A38" s="4" t="s">
        <v>410</v>
      </c>
      <c r="B38" s="14" t="n">
        <f aca="false">F20/B20-1</f>
        <v>0.108753576185736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411</v>
      </c>
    </row>
    <row r="3" customFormat="false" ht="15" hidden="false" customHeight="false" outlineLevel="0" collapsed="false">
      <c r="A3" s="5" t="s">
        <v>22</v>
      </c>
      <c r="B3" s="5" t="s">
        <v>23</v>
      </c>
      <c r="C3" s="11" t="s">
        <v>412</v>
      </c>
      <c r="D3" s="11" t="s">
        <v>413</v>
      </c>
      <c r="E3" s="11" t="s">
        <v>414</v>
      </c>
      <c r="F3" s="11" t="s">
        <v>415</v>
      </c>
      <c r="G3" s="5" t="s">
        <v>416</v>
      </c>
    </row>
    <row r="4" customFormat="false" ht="17.15" hidden="false" customHeight="false" outlineLevel="0" collapsed="false">
      <c r="A4" s="4" t="s">
        <v>417</v>
      </c>
      <c r="B4" s="0" t="s">
        <v>418</v>
      </c>
      <c r="C4" s="17" t="n">
        <f aca="false">PL!D65</f>
        <v>23.3995380420639</v>
      </c>
      <c r="D4" s="17" t="n">
        <f aca="false">PL!E65</f>
        <v>41.6467658260637</v>
      </c>
      <c r="E4" s="17" t="n">
        <f aca="false">PL!F65</f>
        <v>52.792138191248</v>
      </c>
      <c r="F4" s="17" t="n">
        <f aca="false">PL!G65</f>
        <v>60.1385917361116</v>
      </c>
      <c r="G4" s="8" t="s">
        <v>419</v>
      </c>
    </row>
    <row r="5" customFormat="false" ht="17.15" hidden="false" customHeight="false" outlineLevel="0" collapsed="false">
      <c r="A5" s="4" t="s">
        <v>420</v>
      </c>
      <c r="B5" s="0" t="s">
        <v>53</v>
      </c>
      <c r="C5" s="14" t="n">
        <f aca="false">PL!D66</f>
        <v>0.55</v>
      </c>
      <c r="D5" s="14" t="n">
        <f aca="false">PL!E66</f>
        <v>0.85</v>
      </c>
      <c r="E5" s="14" t="n">
        <f aca="false">PL!F66</f>
        <v>0.95</v>
      </c>
      <c r="F5" s="14" t="n">
        <f aca="false">PL!G66</f>
        <v>0.95</v>
      </c>
      <c r="G5" s="8" t="s">
        <v>421</v>
      </c>
    </row>
    <row r="6" customFormat="false" ht="17.15" hidden="false" customHeight="false" outlineLevel="0" collapsed="false">
      <c r="A6" s="4" t="s">
        <v>422</v>
      </c>
      <c r="B6" s="0" t="s">
        <v>423</v>
      </c>
      <c r="C6" s="18" t="n">
        <f aca="false">PL!D67</f>
        <v>350.7208</v>
      </c>
      <c r="D6" s="18" t="n">
        <f aca="false">PL!E67</f>
        <v>326.5912</v>
      </c>
      <c r="E6" s="18" t="n">
        <f aca="false">PL!F67</f>
        <v>351.7136</v>
      </c>
      <c r="F6" s="18" t="n">
        <f aca="false">PL!G67</f>
        <v>351.7136</v>
      </c>
      <c r="G6" s="4" t="s">
        <v>424</v>
      </c>
    </row>
    <row r="7" customFormat="false" ht="17.15" hidden="false" customHeight="false" outlineLevel="0" collapsed="false">
      <c r="A7" s="4" t="s">
        <v>425</v>
      </c>
      <c r="B7" s="0" t="s">
        <v>426</v>
      </c>
      <c r="C7" s="18" t="n">
        <f aca="false">PL!D67*1000/racks_vr</f>
        <v>86.5549851924975</v>
      </c>
      <c r="D7" s="18" t="n">
        <f aca="false">PL!E67*1000/racks_vr</f>
        <v>80.6</v>
      </c>
      <c r="E7" s="18" t="n">
        <f aca="false">PL!F67*1000/racks_vr</f>
        <v>86.8</v>
      </c>
      <c r="F7" s="18" t="n">
        <f aca="false">PL!G67*1000/racks_vr</f>
        <v>86.8</v>
      </c>
      <c r="G7" s="4" t="s">
        <v>427</v>
      </c>
    </row>
    <row r="8" customFormat="false" ht="17.15" hidden="false" customHeight="false" outlineLevel="0" collapsed="false">
      <c r="A8" s="0" t="s">
        <v>428</v>
      </c>
      <c r="B8" s="0" t="s">
        <v>33</v>
      </c>
      <c r="C8" s="19" t="n">
        <f aca="false">PL!D68</f>
        <v>4.51368758595869</v>
      </c>
      <c r="D8" s="19" t="n">
        <f aca="false">PL!E68</f>
        <v>11.5612471431652</v>
      </c>
      <c r="E8" s="19" t="n">
        <f aca="false">PL!F68</f>
        <v>17.6393273261943</v>
      </c>
      <c r="F8" s="19" t="n">
        <f aca="false">PL!G68</f>
        <v>20.0939825685161</v>
      </c>
      <c r="G8" s="4" t="s">
        <v>429</v>
      </c>
    </row>
    <row r="9" customFormat="false" ht="17.15" hidden="false" customHeight="false" outlineLevel="0" collapsed="false">
      <c r="A9" s="4" t="s">
        <v>430</v>
      </c>
      <c r="B9" s="0" t="s">
        <v>53</v>
      </c>
      <c r="C9" s="14" t="n">
        <f aca="false">PL!D72</f>
        <v>0.498927641116677</v>
      </c>
      <c r="D9" s="14" t="n">
        <f aca="false">PL!E72</f>
        <v>0.473981259060843</v>
      </c>
      <c r="E9" s="14" t="n">
        <f aca="false">PL!F72</f>
        <v>0.449034877005009</v>
      </c>
      <c r="F9" s="14" t="n">
        <f aca="false">PL!G72</f>
        <v>0.424088494949176</v>
      </c>
      <c r="G9" s="8" t="s">
        <v>431</v>
      </c>
    </row>
    <row r="10" customFormat="false" ht="15" hidden="false" customHeight="false" outlineLevel="0" collapsed="false">
      <c r="A10" s="4" t="s">
        <v>432</v>
      </c>
      <c r="B10" s="0" t="s">
        <v>33</v>
      </c>
      <c r="C10" s="20" t="n">
        <f aca="false">PL!D73/fx</f>
        <v>2.2520035</v>
      </c>
      <c r="D10" s="20" t="n">
        <f aca="false">PL!E73/fx</f>
        <v>5.479814477231</v>
      </c>
      <c r="E10" s="20" t="n">
        <f aca="false">PL!F73/fx</f>
        <v>7.92067317636874</v>
      </c>
      <c r="F10" s="20" t="n">
        <f aca="false">PL!G73/fx</f>
        <v>8.52162682501698</v>
      </c>
    </row>
    <row r="11" customFormat="false" ht="17.15" hidden="false" customHeight="false" outlineLevel="0" collapsed="false">
      <c r="A11" s="4" t="s">
        <v>433</v>
      </c>
      <c r="B11" s="0" t="s">
        <v>33</v>
      </c>
      <c r="C11" s="20" t="n">
        <f aca="false">PL!D77/fx</f>
        <v>1.477877296875</v>
      </c>
      <c r="D11" s="20" t="n">
        <f aca="false">PL!E77/fx</f>
        <v>1.97275720546171</v>
      </c>
      <c r="E11" s="20" t="n">
        <f aca="false">PL!F77/fx</f>
        <v>2.16727341048155</v>
      </c>
      <c r="F11" s="20" t="n">
        <f aca="false">PL!G77/fx</f>
        <v>2.2789542058411</v>
      </c>
      <c r="G11" s="8" t="s">
        <v>434</v>
      </c>
    </row>
    <row r="12" customFormat="false" ht="17.15" hidden="false" customHeight="false" outlineLevel="0" collapsed="false">
      <c r="A12" s="4" t="s">
        <v>435</v>
      </c>
      <c r="B12" s="0" t="s">
        <v>423</v>
      </c>
      <c r="C12" s="18" t="n">
        <f aca="false">PL!D86</f>
        <v>159.399762088039</v>
      </c>
      <c r="D12" s="18" t="n">
        <f aca="false">PL!E86</f>
        <v>178.947189172339</v>
      </c>
      <c r="E12" s="18" t="n">
        <f aca="false">PL!F86</f>
        <v>191.088047055512</v>
      </c>
      <c r="F12" s="18" t="n">
        <f aca="false">PL!G86</f>
        <v>179.594844492719</v>
      </c>
    </row>
    <row r="13" customFormat="false" ht="17.15" hidden="false" customHeight="false" outlineLevel="0" collapsed="false">
      <c r="A13" s="4" t="s">
        <v>436</v>
      </c>
      <c r="B13" s="0" t="s">
        <v>33</v>
      </c>
      <c r="C13" s="19" t="n">
        <f aca="false">PL!D68-PL!D73/fx</f>
        <v>2.26168408595869</v>
      </c>
      <c r="D13" s="19" t="n">
        <f aca="false">PL!E68-PL!E73/fx</f>
        <v>6.08143266593416</v>
      </c>
      <c r="E13" s="19" t="n">
        <f aca="false">PL!F68-PL!F73/fx</f>
        <v>9.71865414982551</v>
      </c>
      <c r="F13" s="19" t="n">
        <f aca="false">PL!G68-PL!G73/fx</f>
        <v>11.5723557434992</v>
      </c>
    </row>
    <row r="15" customFormat="false" ht="17.15" hidden="false" customHeight="false" outlineLevel="0" collapsed="false">
      <c r="A15" s="1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438</v>
      </c>
    </row>
    <row r="3" customFormat="false" ht="17.15" hidden="false" customHeight="false" outlineLevel="0" collapsed="false">
      <c r="A3" s="5" t="s">
        <v>439</v>
      </c>
      <c r="B3" s="5" t="s">
        <v>23</v>
      </c>
      <c r="C3" s="11" t="s">
        <v>351</v>
      </c>
      <c r="D3" s="11" t="s">
        <v>440</v>
      </c>
      <c r="E3" s="11" t="s">
        <v>441</v>
      </c>
      <c r="F3" s="11" t="s">
        <v>442</v>
      </c>
      <c r="G3" s="11" t="s">
        <v>443</v>
      </c>
      <c r="H3" s="5" t="s">
        <v>416</v>
      </c>
    </row>
    <row r="4" customFormat="false" ht="17.15" hidden="false" customHeight="false" outlineLevel="0" collapsed="false">
      <c r="A4" s="1" t="s">
        <v>444</v>
      </c>
    </row>
    <row r="5" customFormat="false" ht="15" hidden="false" customHeight="false" outlineLevel="0" collapsed="false">
      <c r="A5" s="4" t="s">
        <v>357</v>
      </c>
      <c r="B5" s="0" t="s">
        <v>193</v>
      </c>
      <c r="C5" s="19" t="n">
        <f aca="false">C81</f>
        <v>139.639</v>
      </c>
      <c r="D5" s="19" t="n">
        <f aca="false">D81</f>
        <v>225.20035</v>
      </c>
      <c r="E5" s="19" t="n">
        <f aca="false">E81</f>
        <v>351.307669196167</v>
      </c>
      <c r="F5" s="19" t="n">
        <f aca="false">F81</f>
        <v>441.621437825909</v>
      </c>
      <c r="G5" s="19" t="n">
        <f aca="false">G81</f>
        <v>469.538959020978</v>
      </c>
    </row>
    <row r="6" customFormat="false" ht="15" hidden="false" customHeight="false" outlineLevel="0" collapsed="false">
      <c r="A6" s="4" t="s">
        <v>445</v>
      </c>
      <c r="B6" s="0" t="s">
        <v>53</v>
      </c>
      <c r="D6" s="14" t="n">
        <f aca="false">D83</f>
        <v>0.612732474451979</v>
      </c>
      <c r="E6" s="14" t="n">
        <f aca="false">E83</f>
        <v>0.559978344599227</v>
      </c>
      <c r="F6" s="14" t="n">
        <f aca="false">F83</f>
        <v>0.257078841564692</v>
      </c>
      <c r="G6" s="14" t="n">
        <f aca="false">G83</f>
        <v>0.06321595557613</v>
      </c>
    </row>
    <row r="7" customFormat="false" ht="15" hidden="false" customHeight="false" outlineLevel="0" collapsed="false">
      <c r="A7" s="4" t="s">
        <v>446</v>
      </c>
      <c r="B7" s="0" t="s">
        <v>193</v>
      </c>
      <c r="C7" s="19" t="n">
        <f aca="false">C73</f>
        <v>20.94585</v>
      </c>
      <c r="D7" s="19" t="n">
        <f aca="false">D73</f>
        <v>72.064112</v>
      </c>
      <c r="E7" s="19" t="n">
        <f aca="false">E73</f>
        <v>175.354063271392</v>
      </c>
      <c r="F7" s="19" t="n">
        <f aca="false">F73</f>
        <v>253.4615416438</v>
      </c>
      <c r="G7" s="19" t="n">
        <f aca="false">G73</f>
        <v>272.692058400543</v>
      </c>
    </row>
    <row r="8" customFormat="false" ht="17.15" hidden="false" customHeight="false" outlineLevel="0" collapsed="false">
      <c r="A8" s="0" t="s">
        <v>447</v>
      </c>
      <c r="B8" s="0" t="s">
        <v>193</v>
      </c>
      <c r="C8" s="19" t="n">
        <f aca="false">C77</f>
        <v>30.999858</v>
      </c>
      <c r="D8" s="19" t="n">
        <f aca="false">D77</f>
        <v>47.2920735</v>
      </c>
      <c r="E8" s="19" t="n">
        <f aca="false">E77</f>
        <v>63.1282305747746</v>
      </c>
      <c r="F8" s="19" t="n">
        <f aca="false">F77</f>
        <v>69.3527491354095</v>
      </c>
      <c r="G8" s="19" t="n">
        <f aca="false">G77</f>
        <v>72.9265345869151</v>
      </c>
    </row>
    <row r="9" customFormat="false" ht="15" hidden="false" customHeight="false" outlineLevel="0" collapsed="false">
      <c r="A9" s="4" t="s">
        <v>448</v>
      </c>
      <c r="B9" s="0" t="s">
        <v>193</v>
      </c>
      <c r="C9" s="19" t="n">
        <f aca="false">C78</f>
        <v>20.666572</v>
      </c>
      <c r="D9" s="19" t="n">
        <f aca="false">D78</f>
        <v>31.528049</v>
      </c>
      <c r="E9" s="19" t="n">
        <f aca="false">E78</f>
        <v>34.05029292</v>
      </c>
      <c r="F9" s="19" t="n">
        <f aca="false">F78</f>
        <v>36.0933104952</v>
      </c>
      <c r="G9" s="19" t="n">
        <f aca="false">G78</f>
        <v>37.89797601996</v>
      </c>
    </row>
    <row r="10" customFormat="false" ht="15" hidden="false" customHeight="false" outlineLevel="0" collapsed="false">
      <c r="A10" s="4" t="s">
        <v>449</v>
      </c>
      <c r="B10" s="0" t="s">
        <v>193</v>
      </c>
      <c r="C10" s="19" t="n">
        <f aca="false">C79</f>
        <v>67.02672</v>
      </c>
      <c r="D10" s="19" t="n">
        <f aca="false">D79</f>
        <v>74.3161155</v>
      </c>
      <c r="E10" s="19" t="n">
        <f aca="false">E79</f>
        <v>78.77508243</v>
      </c>
      <c r="F10" s="19" t="n">
        <f aca="false">F79</f>
        <v>82.7138365515</v>
      </c>
      <c r="G10" s="19" t="n">
        <f aca="false">G79</f>
        <v>86.02239001356</v>
      </c>
    </row>
    <row r="11" customFormat="false" ht="17.15" hidden="false" customHeight="false" outlineLevel="0" collapsed="false">
      <c r="A11" s="4" t="s">
        <v>450</v>
      </c>
      <c r="B11" s="0" t="s">
        <v>53</v>
      </c>
      <c r="C11" s="14" t="n">
        <f aca="false">C84</f>
        <v>0.15</v>
      </c>
      <c r="D11" s="14" t="n">
        <f aca="false">D84</f>
        <v>0.32</v>
      </c>
      <c r="E11" s="14" t="n">
        <f aca="false">E84</f>
        <v>0.499146698597906</v>
      </c>
      <c r="F11" s="14" t="n">
        <f aca="false">F84</f>
        <v>0.573933962290382</v>
      </c>
      <c r="G11" s="14" t="n">
        <f aca="false">G84</f>
        <v>0.58076556409531</v>
      </c>
    </row>
    <row r="12" customFormat="false" ht="15" hidden="false" customHeight="false" outlineLevel="0" collapsed="false">
      <c r="A12" s="4" t="s">
        <v>364</v>
      </c>
      <c r="B12" s="0" t="s">
        <v>53</v>
      </c>
      <c r="C12" s="14" t="n">
        <f aca="false">C90</f>
        <v>0.258051117524474</v>
      </c>
      <c r="D12" s="14" t="n">
        <f aca="false">D90</f>
        <v>0.322021503074929</v>
      </c>
      <c r="E12" s="14" t="n">
        <f aca="false">E90</f>
        <v>0.332770304990803</v>
      </c>
      <c r="F12" s="14" t="n">
        <f aca="false">F90</f>
        <v>0.337257540812352</v>
      </c>
      <c r="G12" s="14" t="n">
        <f aca="false">G90</f>
        <v>0.337667436920647</v>
      </c>
    </row>
    <row r="13" customFormat="false" ht="15" hidden="false" customHeight="false" outlineLevel="0" collapsed="false">
      <c r="A13" s="4" t="s">
        <v>371</v>
      </c>
      <c r="B13" s="0" t="s">
        <v>53</v>
      </c>
      <c r="C13" s="14" t="n">
        <f aca="false">C94</f>
        <v>0.1973</v>
      </c>
      <c r="D13" s="14" t="n">
        <f aca="false">D94</f>
        <v>0.27004618465291</v>
      </c>
      <c r="E13" s="14" t="n">
        <f aca="false">E94</f>
        <v>0.286392189799985</v>
      </c>
      <c r="F13" s="14" t="n">
        <f aca="false">F94</f>
        <v>0.293724791814883</v>
      </c>
      <c r="G13" s="14" t="n">
        <f aca="false">G94</f>
        <v>0.294911189906327</v>
      </c>
    </row>
    <row r="14" customFormat="false" ht="15" hidden="false" customHeight="false" outlineLevel="0" collapsed="false">
      <c r="A14" s="4" t="s">
        <v>377</v>
      </c>
      <c r="B14" s="0" t="s">
        <v>193</v>
      </c>
      <c r="C14" s="19" t="n">
        <f aca="false">C97</f>
        <v>19.186</v>
      </c>
      <c r="D14" s="19" t="n">
        <f aca="false">D97</f>
        <v>41.5923093275</v>
      </c>
      <c r="E14" s="19" t="n">
        <f aca="false">E97</f>
        <v>68.5879465553678</v>
      </c>
      <c r="F14" s="19" t="n">
        <f aca="false">F97</f>
        <v>88.232736298323</v>
      </c>
      <c r="G14" s="19" t="n">
        <f aca="false">G97</f>
        <v>94.1437978507719</v>
      </c>
    </row>
    <row r="15" customFormat="false" ht="15" hidden="false" customHeight="false" outlineLevel="0" collapsed="false">
      <c r="A15" s="0" t="s">
        <v>382</v>
      </c>
      <c r="B15" s="0" t="s">
        <v>256</v>
      </c>
      <c r="C15" s="15" t="n">
        <f aca="false">C99</f>
        <v>49.17</v>
      </c>
      <c r="D15" s="15" t="n">
        <f aca="false">D99</f>
        <v>105.961302834002</v>
      </c>
      <c r="E15" s="15" t="n">
        <f aca="false">E99</f>
        <v>174.735865673859</v>
      </c>
      <c r="F15" s="15" t="n">
        <f aca="false">F99</f>
        <v>224.783279455889</v>
      </c>
      <c r="G15" s="15" t="n">
        <f aca="false">G99</f>
        <v>239.842404408476</v>
      </c>
    </row>
    <row r="16" customFormat="false" ht="17.15" hidden="false" customHeight="false" outlineLevel="0" collapsed="false">
      <c r="A16" s="0" t="s">
        <v>451</v>
      </c>
      <c r="B16" s="0" t="s">
        <v>53</v>
      </c>
      <c r="D16" s="14" t="n">
        <f aca="false">D100</f>
        <v>1.15499904075659</v>
      </c>
      <c r="E16" s="14" t="n">
        <f aca="false">E100</f>
        <v>0.649053578999492</v>
      </c>
      <c r="F16" s="14" t="n">
        <f aca="false">F100</f>
        <v>0.286417522750836</v>
      </c>
      <c r="G16" s="14" t="n">
        <f aca="false">G100</f>
        <v>0.0669939729905125</v>
      </c>
    </row>
    <row r="18" customFormat="false" ht="17.15" hidden="false" customHeight="false" outlineLevel="0" collapsed="false">
      <c r="A18" s="1" t="s">
        <v>452</v>
      </c>
    </row>
    <row r="19" customFormat="false" ht="15" hidden="false" customHeight="false" outlineLevel="0" collapsed="false">
      <c r="A19" s="4" t="s">
        <v>357</v>
      </c>
      <c r="B19" s="0" t="s">
        <v>193</v>
      </c>
      <c r="C19" s="19" t="n">
        <f aca="false">C124</f>
        <v>139.639</v>
      </c>
      <c r="D19" s="19" t="n">
        <f aca="false">D124</f>
        <v>225.20035</v>
      </c>
      <c r="E19" s="19" t="n">
        <f aca="false">E124</f>
        <v>330.677779399532</v>
      </c>
      <c r="F19" s="19" t="n">
        <f aca="false">F124</f>
        <v>355.714449847431</v>
      </c>
      <c r="G19" s="19" t="n">
        <f aca="false">G124</f>
        <v>405.496788512835</v>
      </c>
    </row>
    <row r="20" customFormat="false" ht="15" hidden="false" customHeight="false" outlineLevel="0" collapsed="false">
      <c r="A20" s="4" t="s">
        <v>445</v>
      </c>
      <c r="B20" s="0" t="s">
        <v>53</v>
      </c>
      <c r="D20" s="14" t="n">
        <f aca="false">D126</f>
        <v>0.612732474451979</v>
      </c>
      <c r="E20" s="14" t="n">
        <f aca="false">E126</f>
        <v>0.468371516294412</v>
      </c>
      <c r="F20" s="14" t="n">
        <f aca="false">F126</f>
        <v>0.0757131927441954</v>
      </c>
      <c r="G20" s="14" t="n">
        <f aca="false">G126</f>
        <v>0.13995028508613</v>
      </c>
    </row>
    <row r="21" customFormat="false" ht="15" hidden="false" customHeight="false" outlineLevel="0" collapsed="false">
      <c r="A21" s="4" t="s">
        <v>446</v>
      </c>
      <c r="B21" s="0" t="s">
        <v>193</v>
      </c>
      <c r="C21" s="19" t="n">
        <f aca="false">C116</f>
        <v>20.94585</v>
      </c>
      <c r="D21" s="19" t="n">
        <f aca="false">D116</f>
        <v>72.064112</v>
      </c>
      <c r="E21" s="19" t="n">
        <f aca="false">E116</f>
        <v>154.724173474758</v>
      </c>
      <c r="F21" s="19" t="n">
        <f aca="false">F116</f>
        <v>181.425103492404</v>
      </c>
      <c r="G21" s="19" t="n">
        <f aca="false">G116</f>
        <v>219.588868080438</v>
      </c>
    </row>
    <row r="22" customFormat="false" ht="17.15" hidden="false" customHeight="false" outlineLevel="0" collapsed="false">
      <c r="A22" s="0" t="s">
        <v>447</v>
      </c>
      <c r="B22" s="0" t="s">
        <v>193</v>
      </c>
      <c r="C22" s="19" t="n">
        <f aca="false">C120</f>
        <v>30.999858</v>
      </c>
      <c r="D22" s="19" t="n">
        <f aca="false">D120</f>
        <v>47.2920735</v>
      </c>
      <c r="E22" s="19" t="n">
        <f aca="false">E120</f>
        <v>63.1282305747746</v>
      </c>
      <c r="F22" s="19" t="n">
        <f aca="false">F120</f>
        <v>55.4821993083276</v>
      </c>
      <c r="G22" s="19" t="n">
        <f aca="false">G120</f>
        <v>61.9875543988778</v>
      </c>
    </row>
    <row r="23" customFormat="false" ht="15" hidden="false" customHeight="false" outlineLevel="0" collapsed="false">
      <c r="A23" s="4" t="s">
        <v>448</v>
      </c>
      <c r="B23" s="0" t="s">
        <v>193</v>
      </c>
      <c r="C23" s="19" t="n">
        <f aca="false">C121</f>
        <v>20.666572</v>
      </c>
      <c r="D23" s="19" t="n">
        <f aca="false">D121</f>
        <v>31.528049</v>
      </c>
      <c r="E23" s="19" t="n">
        <f aca="false">E121</f>
        <v>34.05029292</v>
      </c>
      <c r="F23" s="19" t="n">
        <f aca="false">F121</f>
        <v>36.0933104952</v>
      </c>
      <c r="G23" s="19" t="n">
        <f aca="false">G121</f>
        <v>37.89797601996</v>
      </c>
    </row>
    <row r="24" customFormat="false" ht="15" hidden="false" customHeight="false" outlineLevel="0" collapsed="false">
      <c r="A24" s="4" t="s">
        <v>449</v>
      </c>
      <c r="B24" s="0" t="s">
        <v>193</v>
      </c>
      <c r="C24" s="19" t="n">
        <f aca="false">C122</f>
        <v>67.02672</v>
      </c>
      <c r="D24" s="19" t="n">
        <f aca="false">D122</f>
        <v>74.3161155</v>
      </c>
      <c r="E24" s="19" t="n">
        <f aca="false">E122</f>
        <v>78.77508243</v>
      </c>
      <c r="F24" s="19" t="n">
        <f aca="false">F122</f>
        <v>82.7138365515</v>
      </c>
      <c r="G24" s="19" t="n">
        <f aca="false">G122</f>
        <v>86.02239001356</v>
      </c>
    </row>
    <row r="25" customFormat="false" ht="17.15" hidden="false" customHeight="false" outlineLevel="0" collapsed="false">
      <c r="A25" s="4" t="s">
        <v>450</v>
      </c>
      <c r="B25" s="0" t="s">
        <v>53</v>
      </c>
      <c r="C25" s="14" t="n">
        <f aca="false">C127</f>
        <v>0.15</v>
      </c>
      <c r="D25" s="14" t="n">
        <f aca="false">D127</f>
        <v>0.32</v>
      </c>
      <c r="E25" s="14" t="n">
        <f aca="false">E127</f>
        <v>0.467900122456721</v>
      </c>
      <c r="F25" s="14" t="n">
        <f aca="false">F127</f>
        <v>0.510030176087079</v>
      </c>
      <c r="G25" s="14" t="n">
        <f aca="false">G127</f>
        <v>0.541530473979295</v>
      </c>
    </row>
    <row r="26" customFormat="false" ht="15" hidden="false" customHeight="false" outlineLevel="0" collapsed="false">
      <c r="A26" s="4" t="s">
        <v>364</v>
      </c>
      <c r="B26" s="0" t="s">
        <v>53</v>
      </c>
      <c r="C26" s="14" t="n">
        <f aca="false">C133</f>
        <v>0.258051117524474</v>
      </c>
      <c r="D26" s="14" t="n">
        <f aca="false">D133</f>
        <v>0.322021503074929</v>
      </c>
      <c r="E26" s="14" t="n">
        <f aca="false">E133</f>
        <v>0.330895510422332</v>
      </c>
      <c r="F26" s="14" t="n">
        <f aca="false">F133</f>
        <v>0.333423313640154</v>
      </c>
      <c r="G26" s="14" t="n">
        <f aca="false">G133</f>
        <v>0.335313331513686</v>
      </c>
    </row>
    <row r="27" customFormat="false" ht="15" hidden="false" customHeight="false" outlineLevel="0" collapsed="false">
      <c r="A27" s="4" t="s">
        <v>371</v>
      </c>
      <c r="B27" s="0" t="s">
        <v>53</v>
      </c>
      <c r="C27" s="14" t="n">
        <f aca="false">C137</f>
        <v>0.1973</v>
      </c>
      <c r="D27" s="14" t="n">
        <f aca="false">D137</f>
        <v>0.27004618465291</v>
      </c>
      <c r="E27" s="14" t="n">
        <f aca="false">E137</f>
        <v>0.283893815860978</v>
      </c>
      <c r="F27" s="14" t="n">
        <f aca="false">F137</f>
        <v>0.287414071820933</v>
      </c>
      <c r="G27" s="14" t="n">
        <f aca="false">G137</f>
        <v>0.290998638990195</v>
      </c>
    </row>
    <row r="28" customFormat="false" ht="15" hidden="false" customHeight="false" outlineLevel="0" collapsed="false">
      <c r="A28" s="4" t="s">
        <v>377</v>
      </c>
      <c r="B28" s="0" t="s">
        <v>193</v>
      </c>
      <c r="C28" s="19" t="n">
        <f aca="false">C140</f>
        <v>19.186</v>
      </c>
      <c r="D28" s="19" t="n">
        <f aca="false">D140</f>
        <v>41.5923093275</v>
      </c>
      <c r="E28" s="19" t="n">
        <f aca="false">E140</f>
        <v>64.0422292145633</v>
      </c>
      <c r="F28" s="19" t="n">
        <f aca="false">F140</f>
        <v>69.6852034444305</v>
      </c>
      <c r="G28" s="19" t="n">
        <f aca="false">G140</f>
        <v>80.3243341611878</v>
      </c>
    </row>
    <row r="29" customFormat="false" ht="15" hidden="false" customHeight="false" outlineLevel="0" collapsed="false">
      <c r="A29" s="0" t="s">
        <v>382</v>
      </c>
      <c r="B29" s="0" t="s">
        <v>256</v>
      </c>
      <c r="C29" s="15" t="n">
        <f aca="false">C142</f>
        <v>49.17</v>
      </c>
      <c r="D29" s="15" t="n">
        <f aca="false">D142</f>
        <v>105.961302834002</v>
      </c>
      <c r="E29" s="15" t="n">
        <f aca="false">E142</f>
        <v>163.155115781997</v>
      </c>
      <c r="F29" s="15" t="n">
        <f aca="false">F142</f>
        <v>177.531256730248</v>
      </c>
      <c r="G29" s="15" t="n">
        <f aca="false">G142</f>
        <v>204.635694305285</v>
      </c>
    </row>
    <row r="30" customFormat="false" ht="17.15" hidden="false" customHeight="false" outlineLevel="0" collapsed="false">
      <c r="A30" s="0" t="s">
        <v>451</v>
      </c>
      <c r="B30" s="0" t="s">
        <v>53</v>
      </c>
      <c r="D30" s="14" t="n">
        <f aca="false">D143</f>
        <v>1.15499904075659</v>
      </c>
      <c r="E30" s="14" t="n">
        <f aca="false">E143</f>
        <v>0.539761322466888</v>
      </c>
      <c r="F30" s="14" t="n">
        <f aca="false">F143</f>
        <v>0.0881133323913714</v>
      </c>
      <c r="G30" s="14" t="n">
        <f aca="false">G143</f>
        <v>0.152674171716257</v>
      </c>
    </row>
    <row r="32" customFormat="false" ht="17.15" hidden="false" customHeight="false" outlineLevel="0" collapsed="false">
      <c r="A32" s="1" t="s">
        <v>453</v>
      </c>
    </row>
    <row r="33" customFormat="false" ht="15" hidden="false" customHeight="false" outlineLevel="0" collapsed="false">
      <c r="A33" s="4" t="s">
        <v>357</v>
      </c>
      <c r="B33" s="0" t="s">
        <v>193</v>
      </c>
      <c r="C33" s="19" t="n">
        <f aca="false">C167</f>
        <v>139.639</v>
      </c>
      <c r="D33" s="19" t="n">
        <f aca="false">D167</f>
        <v>225.20035</v>
      </c>
      <c r="E33" s="19" t="n">
        <f aca="false">E167</f>
        <v>299.732944704581</v>
      </c>
      <c r="F33" s="19" t="n">
        <f aca="false">F167</f>
        <v>272.475478096783</v>
      </c>
      <c r="G33" s="19" t="n">
        <f aca="false">G167</f>
        <v>296.846209185926</v>
      </c>
    </row>
    <row r="34" customFormat="false" ht="15" hidden="false" customHeight="false" outlineLevel="0" collapsed="false">
      <c r="A34" s="4" t="s">
        <v>445</v>
      </c>
      <c r="B34" s="0" t="s">
        <v>53</v>
      </c>
      <c r="D34" s="14" t="n">
        <f aca="false">D169</f>
        <v>0.612732474451979</v>
      </c>
      <c r="E34" s="14" t="n">
        <f aca="false">E169</f>
        <v>0.330961273837189</v>
      </c>
      <c r="F34" s="14" t="n">
        <f aca="false">F169</f>
        <v>-0.0909391746531648</v>
      </c>
      <c r="G34" s="14" t="n">
        <f aca="false">G169</f>
        <v>0.0894419243132276</v>
      </c>
    </row>
    <row r="35" customFormat="false" ht="15" hidden="false" customHeight="false" outlineLevel="0" collapsed="false">
      <c r="A35" s="4" t="s">
        <v>446</v>
      </c>
      <c r="B35" s="0" t="s">
        <v>193</v>
      </c>
      <c r="C35" s="19" t="n">
        <f aca="false">C159</f>
        <v>20.94585</v>
      </c>
      <c r="D35" s="19" t="n">
        <f aca="false">D159</f>
        <v>72.064112</v>
      </c>
      <c r="E35" s="19" t="n">
        <f aca="false">E159</f>
        <v>123.779338779806</v>
      </c>
      <c r="F35" s="19" t="n">
        <f aca="false">F159</f>
        <v>112.056681568838</v>
      </c>
      <c r="G35" s="19" t="n">
        <f aca="false">G159</f>
        <v>129.169922400257</v>
      </c>
    </row>
    <row r="36" customFormat="false" ht="17.15" hidden="false" customHeight="false" outlineLevel="0" collapsed="false">
      <c r="A36" s="0" t="s">
        <v>447</v>
      </c>
      <c r="B36" s="0" t="s">
        <v>193</v>
      </c>
      <c r="C36" s="19" t="n">
        <f aca="false">C163</f>
        <v>30.999858</v>
      </c>
      <c r="D36" s="19" t="n">
        <f aca="false">D163</f>
        <v>47.2920735</v>
      </c>
      <c r="E36" s="19" t="n">
        <f aca="false">E163</f>
        <v>63.1282305747746</v>
      </c>
      <c r="F36" s="19" t="n">
        <f aca="false">F163</f>
        <v>41.6116494812457</v>
      </c>
      <c r="G36" s="19" t="n">
        <f aca="false">G163</f>
        <v>43.7559207521491</v>
      </c>
    </row>
    <row r="37" customFormat="false" ht="15" hidden="false" customHeight="false" outlineLevel="0" collapsed="false">
      <c r="A37" s="4" t="s">
        <v>448</v>
      </c>
      <c r="B37" s="0" t="s">
        <v>193</v>
      </c>
      <c r="C37" s="19" t="n">
        <f aca="false">C164</f>
        <v>20.666572</v>
      </c>
      <c r="D37" s="19" t="n">
        <f aca="false">D164</f>
        <v>31.528049</v>
      </c>
      <c r="E37" s="19" t="n">
        <f aca="false">E164</f>
        <v>34.05029292</v>
      </c>
      <c r="F37" s="19" t="n">
        <f aca="false">F164</f>
        <v>36.0933104952</v>
      </c>
      <c r="G37" s="19" t="n">
        <f aca="false">G164</f>
        <v>37.89797601996</v>
      </c>
    </row>
    <row r="38" customFormat="false" ht="15" hidden="false" customHeight="false" outlineLevel="0" collapsed="false">
      <c r="A38" s="4" t="s">
        <v>449</v>
      </c>
      <c r="B38" s="0" t="s">
        <v>193</v>
      </c>
      <c r="C38" s="19" t="n">
        <f aca="false">C165</f>
        <v>67.02672</v>
      </c>
      <c r="D38" s="19" t="n">
        <f aca="false">D165</f>
        <v>74.3161155</v>
      </c>
      <c r="E38" s="19" t="n">
        <f aca="false">E165</f>
        <v>78.77508243</v>
      </c>
      <c r="F38" s="19" t="n">
        <f aca="false">F165</f>
        <v>82.7138365515</v>
      </c>
      <c r="G38" s="19" t="n">
        <f aca="false">G165</f>
        <v>86.02239001356</v>
      </c>
    </row>
    <row r="39" customFormat="false" ht="17.15" hidden="false" customHeight="false" outlineLevel="0" collapsed="false">
      <c r="A39" s="4" t="s">
        <v>450</v>
      </c>
      <c r="B39" s="0" t="s">
        <v>53</v>
      </c>
      <c r="C39" s="14" t="n">
        <f aca="false">C170</f>
        <v>0.15</v>
      </c>
      <c r="D39" s="14" t="n">
        <f aca="false">D170</f>
        <v>0.32</v>
      </c>
      <c r="E39" s="14" t="n">
        <f aca="false">E170</f>
        <v>0.412965411265699</v>
      </c>
      <c r="F39" s="14" t="n">
        <f aca="false">F170</f>
        <v>0.41125418827244</v>
      </c>
      <c r="G39" s="14" t="n">
        <f aca="false">G170</f>
        <v>0.435140885762005</v>
      </c>
    </row>
    <row r="40" customFormat="false" ht="15" hidden="false" customHeight="false" outlineLevel="0" collapsed="false">
      <c r="A40" s="4" t="s">
        <v>364</v>
      </c>
      <c r="B40" s="0" t="s">
        <v>53</v>
      </c>
      <c r="C40" s="14" t="n">
        <f aca="false">C176</f>
        <v>0.258051117524474</v>
      </c>
      <c r="D40" s="14" t="n">
        <f aca="false">D176</f>
        <v>0.322021503074929</v>
      </c>
      <c r="E40" s="14" t="n">
        <f aca="false">E176</f>
        <v>0.327599427750871</v>
      </c>
      <c r="F40" s="14" t="n">
        <f aca="false">F176</f>
        <v>0.327496754371275</v>
      </c>
      <c r="G40" s="14" t="n">
        <f aca="false">G176</f>
        <v>0.328929956220649</v>
      </c>
    </row>
    <row r="41" customFormat="false" ht="15" hidden="false" customHeight="false" outlineLevel="0" collapsed="false">
      <c r="A41" s="4" t="s">
        <v>371</v>
      </c>
      <c r="B41" s="0" t="s">
        <v>53</v>
      </c>
      <c r="C41" s="14" t="n">
        <f aca="false">C180</f>
        <v>0.1973</v>
      </c>
      <c r="D41" s="14" t="n">
        <f aca="false">D180</f>
        <v>0.27004618465291</v>
      </c>
      <c r="E41" s="14" t="n">
        <f aca="false">E180</f>
        <v>0.279501416189206</v>
      </c>
      <c r="F41" s="14" t="n">
        <f aca="false">F180</f>
        <v>0.274587190763896</v>
      </c>
      <c r="G41" s="14" t="n">
        <f aca="false">G180</f>
        <v>0.277323536840971</v>
      </c>
    </row>
    <row r="42" customFormat="false" ht="15" hidden="false" customHeight="false" outlineLevel="0" collapsed="false">
      <c r="A42" s="4" t="s">
        <v>377</v>
      </c>
      <c r="B42" s="0" t="s">
        <v>193</v>
      </c>
      <c r="C42" s="19" t="n">
        <f aca="false">C183</f>
        <v>19.186</v>
      </c>
      <c r="D42" s="19" t="n">
        <f aca="false">D183</f>
        <v>41.5923093275</v>
      </c>
      <c r="E42" s="19" t="n">
        <f aca="false">E183</f>
        <v>57.2236532033565</v>
      </c>
      <c r="F42" s="19" t="n">
        <f aca="false">F183</f>
        <v>51.1773363557855</v>
      </c>
      <c r="G42" s="19" t="n">
        <f aca="false">G183</f>
        <v>56.2426474247613</v>
      </c>
    </row>
    <row r="43" customFormat="false" ht="15" hidden="false" customHeight="false" outlineLevel="0" collapsed="false">
      <c r="A43" s="0" t="s">
        <v>382</v>
      </c>
      <c r="B43" s="0" t="s">
        <v>256</v>
      </c>
      <c r="C43" s="15" t="n">
        <f aca="false">C185</f>
        <v>49.17</v>
      </c>
      <c r="D43" s="15" t="n">
        <f aca="false">D185</f>
        <v>105.961302834002</v>
      </c>
      <c r="E43" s="15" t="n">
        <f aca="false">E185</f>
        <v>145.783990944203</v>
      </c>
      <c r="F43" s="15" t="n">
        <f aca="false">F185</f>
        <v>130.380287209671</v>
      </c>
      <c r="G43" s="15" t="n">
        <f aca="false">G185</f>
        <v>143.284763272829</v>
      </c>
    </row>
    <row r="44" customFormat="false" ht="17.15" hidden="false" customHeight="false" outlineLevel="0" collapsed="false">
      <c r="A44" s="0" t="s">
        <v>451</v>
      </c>
      <c r="B44" s="0" t="s">
        <v>53</v>
      </c>
      <c r="D44" s="14" t="n">
        <f aca="false">D186</f>
        <v>1.15499904075659</v>
      </c>
      <c r="E44" s="14" t="n">
        <f aca="false">E186</f>
        <v>0.375822937667983</v>
      </c>
      <c r="F44" s="14" t="n">
        <f aca="false">F186</f>
        <v>-0.105661147254687</v>
      </c>
      <c r="G44" s="14" t="n">
        <f aca="false">G186</f>
        <v>0.0989756683263403</v>
      </c>
    </row>
    <row r="46" customFormat="false" ht="17.15" hidden="false" customHeight="false" outlineLevel="0" collapsed="false">
      <c r="A46" s="1" t="s">
        <v>454</v>
      </c>
    </row>
    <row r="47" customFormat="false" ht="17.15" hidden="false" customHeight="false" outlineLevel="0" collapsed="false">
      <c r="A47" s="4" t="s">
        <v>455</v>
      </c>
      <c r="D47" s="21" t="n">
        <f aca="false">D81-a26_rev</f>
        <v>0</v>
      </c>
    </row>
    <row r="48" customFormat="false" ht="17.15" hidden="false" customHeight="false" outlineLevel="0" collapsed="false">
      <c r="A48" s="4" t="s">
        <v>456</v>
      </c>
      <c r="D48" s="21" t="n">
        <f aca="false">D73-a26_lc</f>
        <v>0</v>
      </c>
    </row>
    <row r="49" customFormat="false" ht="17.15" hidden="false" customHeight="false" outlineLevel="0" collapsed="false">
      <c r="A49" s="4" t="s">
        <v>457</v>
      </c>
      <c r="D49" s="21" t="n">
        <f aca="false">D88*D81+d_lc*D73-a26_gp</f>
        <v>0</v>
      </c>
    </row>
    <row r="60" customFormat="false" ht="17.15" hidden="false" customHeight="false" outlineLevel="0" collapsed="false">
      <c r="A60" s="1" t="s">
        <v>458</v>
      </c>
    </row>
    <row r="61" customFormat="false" ht="17.15" hidden="false" customHeight="false" outlineLevel="0" collapsed="false">
      <c r="A61" s="5" t="s">
        <v>22</v>
      </c>
      <c r="B61" s="5" t="s">
        <v>23</v>
      </c>
      <c r="C61" s="11" t="s">
        <v>351</v>
      </c>
      <c r="D61" s="11" t="s">
        <v>440</v>
      </c>
      <c r="E61" s="11" t="s">
        <v>441</v>
      </c>
      <c r="F61" s="11" t="s">
        <v>442</v>
      </c>
      <c r="G61" s="11" t="s">
        <v>443</v>
      </c>
      <c r="H61" s="5" t="s">
        <v>416</v>
      </c>
    </row>
    <row r="62" customFormat="false" ht="17.15" hidden="false" customHeight="false" outlineLevel="0" collapsed="false">
      <c r="A62" s="6" t="s">
        <v>459</v>
      </c>
    </row>
    <row r="63" customFormat="false" ht="17.15" hidden="false" customHeight="false" outlineLevel="0" collapsed="false">
      <c r="A63" s="0" t="s">
        <v>460</v>
      </c>
      <c r="B63" s="0" t="s">
        <v>33</v>
      </c>
      <c r="D63" s="20" t="n">
        <f aca="false">itc_26*1</f>
        <v>781.872916666666</v>
      </c>
      <c r="E63" s="20" t="n">
        <f aca="false">itc_27*1*1</f>
        <v>1565.35</v>
      </c>
      <c r="F63" s="20" t="n">
        <f aca="false">itc_28*um28_A*1</f>
        <v>1984.26388888889</v>
      </c>
      <c r="G63" s="20" t="n">
        <f aca="false">itc_29*um29_A*1</f>
        <v>2260.39027777778</v>
      </c>
    </row>
    <row r="64" customFormat="false" ht="17.15" hidden="false" customHeight="false" outlineLevel="0" collapsed="false">
      <c r="A64" s="4" t="s">
        <v>461</v>
      </c>
      <c r="B64" s="0" t="s">
        <v>33</v>
      </c>
      <c r="D64" s="20" t="n">
        <f aca="false">itpg_gb*(1-vr26)+itpg_vr*vr26</f>
        <v>33.41403216</v>
      </c>
      <c r="E64" s="20" t="n">
        <f aca="false">itpg_vr</f>
        <v>37.586352</v>
      </c>
      <c r="F64" s="20" t="n">
        <f aca="false">itpg_vr</f>
        <v>37.586352</v>
      </c>
      <c r="G64" s="20" t="n">
        <f aca="false">itpg_vr</f>
        <v>37.586352</v>
      </c>
    </row>
    <row r="65" customFormat="false" ht="17.15" hidden="false" customHeight="false" outlineLevel="0" collapsed="false">
      <c r="A65" s="4" t="s">
        <v>462</v>
      </c>
      <c r="B65" s="0" t="s">
        <v>418</v>
      </c>
      <c r="D65" s="17" t="n">
        <f aca="false">D63/D64</f>
        <v>23.3995380420639</v>
      </c>
      <c r="E65" s="17" t="n">
        <f aca="false">E63/E64</f>
        <v>41.6467658260637</v>
      </c>
      <c r="F65" s="17" t="n">
        <f aca="false">F63/F64</f>
        <v>52.792138191248</v>
      </c>
      <c r="G65" s="17" t="n">
        <f aca="false">G63/G64</f>
        <v>60.1385917361116</v>
      </c>
    </row>
    <row r="66" customFormat="false" ht="17.15" hidden="false" customHeight="false" outlineLevel="0" collapsed="false">
      <c r="A66" s="4" t="s">
        <v>463</v>
      </c>
      <c r="B66" s="0" t="s">
        <v>53</v>
      </c>
      <c r="D66" s="14" t="n">
        <f aca="false">lpenA_26</f>
        <v>0.55</v>
      </c>
      <c r="E66" s="14" t="n">
        <f aca="false">lpenA_27</f>
        <v>0.85</v>
      </c>
      <c r="F66" s="14" t="n">
        <f aca="false">lpenA_28</f>
        <v>0.95</v>
      </c>
      <c r="G66" s="14" t="n">
        <f aca="false">lpenA_29</f>
        <v>0.95</v>
      </c>
    </row>
    <row r="67" customFormat="false" ht="17.15" hidden="false" customHeight="false" outlineLevel="0" collapsed="false">
      <c r="A67" s="4" t="s">
        <v>464</v>
      </c>
      <c r="B67" s="0" t="s">
        <v>423</v>
      </c>
      <c r="D67" s="18" t="n">
        <f aca="false">((1-vr26)*racks_gb*(cool_gb+mani)+vr26*racks_vr*(cool_vr+mani))/1000</f>
        <v>350.7208</v>
      </c>
      <c r="E67" s="18" t="n">
        <f aca="false">racks_vr*(cool_vr+mani)*lcadj_27/1000</f>
        <v>326.5912</v>
      </c>
      <c r="F67" s="18" t="n">
        <f aca="false">racks_vr*(cool_vr+mani)*lcadj_28/1000</f>
        <v>351.7136</v>
      </c>
      <c r="G67" s="18" t="n">
        <f aca="false">racks_vr*(cool_vr+mani)*lcadj_29/1000</f>
        <v>351.7136</v>
      </c>
      <c r="H67" s="4" t="s">
        <v>465</v>
      </c>
    </row>
    <row r="68" customFormat="false" ht="17.15" hidden="false" customHeight="false" outlineLevel="0" collapsed="false">
      <c r="A68" s="0" t="s">
        <v>466</v>
      </c>
      <c r="B68" s="0" t="s">
        <v>33</v>
      </c>
      <c r="D68" s="20" t="n">
        <f aca="false">D65*D66*D67/1000</f>
        <v>4.51368758595869</v>
      </c>
      <c r="E68" s="20" t="n">
        <f aca="false">E65*E66*E67/1000</f>
        <v>11.5612471431652</v>
      </c>
      <c r="F68" s="20" t="n">
        <f aca="false">F65*F66*F67/1000</f>
        <v>17.6393273261943</v>
      </c>
      <c r="G68" s="20" t="n">
        <f aca="false">G65*G66*G67/1000</f>
        <v>20.0939825685161</v>
      </c>
    </row>
    <row r="69" customFormat="false" ht="17.15" hidden="false" customHeight="false" outlineLevel="0" collapsed="false">
      <c r="A69" s="0" t="s">
        <v>467</v>
      </c>
      <c r="B69" s="0" t="s">
        <v>193</v>
      </c>
      <c r="D69" s="19" t="n">
        <f aca="false">D68*fx</f>
        <v>144.438002750678</v>
      </c>
      <c r="E69" s="19" t="n">
        <f aca="false">E68*fx</f>
        <v>369.959908581285</v>
      </c>
      <c r="F69" s="19" t="n">
        <f aca="false">F68*fx</f>
        <v>564.458474438216</v>
      </c>
      <c r="G69" s="19" t="n">
        <f aca="false">G68*fx</f>
        <v>643.007442192516</v>
      </c>
    </row>
    <row r="70" customFormat="false" ht="17.15" hidden="false" customHeight="false" outlineLevel="0" collapsed="false">
      <c r="A70" s="4" t="s">
        <v>468</v>
      </c>
      <c r="B70" s="0" t="s">
        <v>53</v>
      </c>
      <c r="D70" s="14" t="n">
        <f aca="false">a26_lc/D69</f>
        <v>0.498927641116677</v>
      </c>
      <c r="H70" s="8" t="s">
        <v>469</v>
      </c>
    </row>
    <row r="71" customFormat="false" ht="17.15" hidden="false" customHeight="false" outlineLevel="0" collapsed="false">
      <c r="A71" s="4" t="s">
        <v>470</v>
      </c>
      <c r="B71" s="0" t="s">
        <v>74</v>
      </c>
      <c r="D71" s="15" t="n">
        <f aca="false">1</f>
        <v>1</v>
      </c>
      <c r="E71" s="15" t="n">
        <f aca="false">rel_27</f>
        <v>0.95</v>
      </c>
      <c r="F71" s="15" t="n">
        <f aca="false">rel_28</f>
        <v>0.9</v>
      </c>
      <c r="G71" s="15" t="n">
        <f aca="false">rel_29</f>
        <v>0.85</v>
      </c>
    </row>
    <row r="72" customFormat="false" ht="15" hidden="false" customHeight="false" outlineLevel="0" collapsed="false">
      <c r="A72" s="4" t="s">
        <v>430</v>
      </c>
      <c r="B72" s="0" t="s">
        <v>53</v>
      </c>
      <c r="D72" s="14" t="n">
        <f aca="false">$D$70*D71</f>
        <v>0.498927641116677</v>
      </c>
      <c r="E72" s="14" t="n">
        <f aca="false">$D$70*E71</f>
        <v>0.473981259060843</v>
      </c>
      <c r="F72" s="14" t="n">
        <f aca="false">$D$70*F71</f>
        <v>0.449034877005009</v>
      </c>
      <c r="G72" s="14" t="n">
        <f aca="false">$D$70*G71</f>
        <v>0.424088494949176</v>
      </c>
    </row>
    <row r="73" customFormat="false" ht="15" hidden="false" customHeight="false" outlineLevel="0" collapsed="false">
      <c r="A73" s="4" t="s">
        <v>471</v>
      </c>
      <c r="B73" s="0" t="s">
        <v>193</v>
      </c>
      <c r="C73" s="19" t="n">
        <f aca="false">a25_lc</f>
        <v>20.94585</v>
      </c>
      <c r="D73" s="19" t="n">
        <f aca="false">D69*D72</f>
        <v>72.064112</v>
      </c>
      <c r="E73" s="19" t="n">
        <f aca="false">E69*E72</f>
        <v>175.354063271392</v>
      </c>
      <c r="F73" s="19" t="n">
        <f aca="false">F69*F72</f>
        <v>253.4615416438</v>
      </c>
      <c r="G73" s="19" t="n">
        <f aca="false">G69*G72</f>
        <v>272.692058400543</v>
      </c>
    </row>
    <row r="74" customFormat="false" ht="17.15" hidden="false" customHeight="false" outlineLevel="0" collapsed="false">
      <c r="A74" s="6" t="s">
        <v>472</v>
      </c>
    </row>
    <row r="75" customFormat="false" ht="17.15" hidden="false" customHeight="false" outlineLevel="0" collapsed="false">
      <c r="A75" s="0" t="s">
        <v>473</v>
      </c>
      <c r="B75" s="0" t="s">
        <v>474</v>
      </c>
      <c r="D75" s="22" t="n">
        <f aca="false">a26_air/D65</f>
        <v>2.0210686815691</v>
      </c>
    </row>
    <row r="76" customFormat="false" ht="17.15" hidden="false" customHeight="false" outlineLevel="0" collapsed="false">
      <c r="A76" s="0" t="s">
        <v>475</v>
      </c>
      <c r="B76" s="0" t="s">
        <v>74</v>
      </c>
      <c r="D76" s="15" t="n">
        <f aca="false">1</f>
        <v>1</v>
      </c>
      <c r="E76" s="15" t="n">
        <f aca="false">acr_27</f>
        <v>0.75</v>
      </c>
      <c r="F76" s="15" t="n">
        <f aca="false">acr_28</f>
        <v>0.65</v>
      </c>
      <c r="G76" s="15" t="n">
        <f aca="false">acr_29</f>
        <v>0.6</v>
      </c>
    </row>
    <row r="77" customFormat="false" ht="17.15" hidden="false" customHeight="false" outlineLevel="0" collapsed="false">
      <c r="A77" s="0" t="s">
        <v>476</v>
      </c>
      <c r="B77" s="0" t="s">
        <v>193</v>
      </c>
      <c r="C77" s="19" t="n">
        <f aca="false">a25_air</f>
        <v>30.999858</v>
      </c>
      <c r="D77" s="19" t="n">
        <f aca="false">D65*$D$75*D76</f>
        <v>47.2920735</v>
      </c>
      <c r="E77" s="19" t="n">
        <f aca="false">E65*$D$75*E76</f>
        <v>63.1282305747746</v>
      </c>
      <c r="F77" s="19" t="n">
        <f aca="false">F65*$D$75*F76</f>
        <v>69.3527491354095</v>
      </c>
      <c r="G77" s="19" t="n">
        <f aca="false">G65*$D$75*G76</f>
        <v>72.9265345869151</v>
      </c>
    </row>
    <row r="78" customFormat="false" ht="15" hidden="false" customHeight="false" outlineLevel="0" collapsed="false">
      <c r="A78" s="4" t="s">
        <v>477</v>
      </c>
      <c r="B78" s="0" t="s">
        <v>193</v>
      </c>
      <c r="C78" s="19" t="n">
        <f aca="false">a25_gen</f>
        <v>20.666572</v>
      </c>
      <c r="D78" s="19" t="n">
        <f aca="false">a26_gen</f>
        <v>31.528049</v>
      </c>
      <c r="E78" s="19" t="n">
        <f aca="false">D78*(1+g_gen_27)</f>
        <v>34.05029292</v>
      </c>
      <c r="F78" s="19" t="n">
        <f aca="false">E78*(1+g_gen_28)</f>
        <v>36.0933104952</v>
      </c>
      <c r="G78" s="19" t="n">
        <f aca="false">F78*(1+g_gen_29)</f>
        <v>37.89797601996</v>
      </c>
    </row>
    <row r="79" customFormat="false" ht="17.15" hidden="false" customHeight="false" outlineLevel="0" collapsed="false">
      <c r="A79" s="4" t="s">
        <v>478</v>
      </c>
      <c r="B79" s="0" t="s">
        <v>193</v>
      </c>
      <c r="C79" s="19" t="n">
        <f aca="false">a25_nai</f>
        <v>67.02672</v>
      </c>
      <c r="D79" s="19" t="n">
        <f aca="false">a26_nai</f>
        <v>74.3161155</v>
      </c>
      <c r="E79" s="19" t="n">
        <f aca="false">D79*(1+g_nai_27)</f>
        <v>78.77508243</v>
      </c>
      <c r="F79" s="19" t="n">
        <f aca="false">E79*(1+g_nai_28)</f>
        <v>82.7138365515</v>
      </c>
      <c r="G79" s="19" t="n">
        <f aca="false">F79*(1+g_nai_29)</f>
        <v>86.02239001356</v>
      </c>
    </row>
    <row r="80" customFormat="false" ht="17.15" hidden="false" customHeight="false" outlineLevel="0" collapsed="false">
      <c r="A80" s="4" t="s">
        <v>479</v>
      </c>
      <c r="B80" s="0" t="s">
        <v>193</v>
      </c>
      <c r="C80" s="19" t="n">
        <f aca="false">C73+C77+C78</f>
        <v>72.61228</v>
      </c>
      <c r="D80" s="19" t="n">
        <f aca="false">D73+D77+D78</f>
        <v>150.8842345</v>
      </c>
      <c r="E80" s="19" t="n">
        <f aca="false">E73+E77+E78</f>
        <v>272.532586766167</v>
      </c>
      <c r="F80" s="19" t="n">
        <f aca="false">F73+F77+F78</f>
        <v>358.907601274409</v>
      </c>
      <c r="G80" s="19" t="n">
        <f aca="false">G73+G77+G78</f>
        <v>383.516569007418</v>
      </c>
    </row>
    <row r="81" customFormat="false" ht="15" hidden="false" customHeight="false" outlineLevel="0" collapsed="false">
      <c r="A81" s="4" t="s">
        <v>357</v>
      </c>
      <c r="B81" s="0" t="s">
        <v>193</v>
      </c>
      <c r="C81" s="19" t="n">
        <f aca="false">C73+C77+C78+C79</f>
        <v>139.639</v>
      </c>
      <c r="D81" s="19" t="n">
        <f aca="false">D73+D77+D78+D79</f>
        <v>225.20035</v>
      </c>
      <c r="E81" s="19" t="n">
        <f aca="false">E73+E77+E78+E79</f>
        <v>351.307669196167</v>
      </c>
      <c r="F81" s="19" t="n">
        <f aca="false">F73+F77+F78+F79</f>
        <v>441.621437825909</v>
      </c>
      <c r="G81" s="19" t="n">
        <f aca="false">G73+G77+G78+G79</f>
        <v>469.538959020978</v>
      </c>
    </row>
    <row r="82" customFormat="false" ht="15" hidden="false" customHeight="false" outlineLevel="0" collapsed="false">
      <c r="A82" s="4" t="s">
        <v>480</v>
      </c>
      <c r="B82" s="0" t="s">
        <v>193</v>
      </c>
      <c r="C82" s="22" t="n">
        <f aca="false">ROUND(C80+C79-C81,6)</f>
        <v>0</v>
      </c>
      <c r="D82" s="22" t="n">
        <f aca="false">ROUND(D80+D79-D81,6)</f>
        <v>0</v>
      </c>
      <c r="E82" s="22" t="n">
        <f aca="false">ROUND(E80+E79-E81,6)</f>
        <v>0</v>
      </c>
      <c r="F82" s="22" t="n">
        <f aca="false">ROUND(F80+F79-F81,6)</f>
        <v>0</v>
      </c>
      <c r="G82" s="22" t="n">
        <f aca="false">ROUND(G80+G79-G81,6)</f>
        <v>0</v>
      </c>
    </row>
    <row r="83" customFormat="false" ht="15" hidden="false" customHeight="false" outlineLevel="0" collapsed="false">
      <c r="A83" s="4" t="s">
        <v>481</v>
      </c>
      <c r="B83" s="0" t="s">
        <v>53</v>
      </c>
      <c r="D83" s="14" t="n">
        <f aca="false">D81/C81-1</f>
        <v>0.612732474451979</v>
      </c>
      <c r="E83" s="14" t="n">
        <f aca="false">E81/D81-1</f>
        <v>0.559978344599227</v>
      </c>
      <c r="F83" s="14" t="n">
        <f aca="false">F81/E81-1</f>
        <v>0.257078841564692</v>
      </c>
      <c r="G83" s="14" t="n">
        <f aca="false">G81/F81-1</f>
        <v>0.06321595557613</v>
      </c>
    </row>
    <row r="84" customFormat="false" ht="17.15" hidden="false" customHeight="false" outlineLevel="0" collapsed="false">
      <c r="A84" s="4" t="s">
        <v>482</v>
      </c>
      <c r="B84" s="0" t="s">
        <v>53</v>
      </c>
      <c r="C84" s="14" t="n">
        <f aca="false">C73/C81</f>
        <v>0.15</v>
      </c>
      <c r="D84" s="14" t="n">
        <f aca="false">D73/D81</f>
        <v>0.32</v>
      </c>
      <c r="E84" s="14" t="n">
        <f aca="false">E73/E81</f>
        <v>0.499146698597906</v>
      </c>
      <c r="F84" s="14" t="n">
        <f aca="false">F73/F81</f>
        <v>0.573933962290382</v>
      </c>
      <c r="G84" s="14" t="n">
        <f aca="false">G73/G81</f>
        <v>0.58076556409531</v>
      </c>
    </row>
    <row r="85" customFormat="false" ht="17.15" hidden="false" customHeight="false" outlineLevel="0" collapsed="false">
      <c r="A85" s="0" t="s">
        <v>483</v>
      </c>
      <c r="B85" s="0" t="s">
        <v>53</v>
      </c>
      <c r="C85" s="14" t="n">
        <f aca="false">(C73+C77)/C81</f>
        <v>0.372</v>
      </c>
      <c r="D85" s="14" t="n">
        <f aca="false">(D73+D77)/D81</f>
        <v>0.53</v>
      </c>
      <c r="E85" s="14" t="n">
        <f aca="false">(E73+E77)/E81</f>
        <v>0.678841695633466</v>
      </c>
      <c r="F85" s="14" t="n">
        <f aca="false">(F73+F77)/F81</f>
        <v>0.730975136461707</v>
      </c>
      <c r="G85" s="14" t="n">
        <f aca="false">(G73+G77)/G81</f>
        <v>0.736080758257201</v>
      </c>
    </row>
    <row r="86" customFormat="false" ht="17.15" hidden="false" customHeight="false" outlineLevel="0" collapsed="false">
      <c r="A86" s="4" t="s">
        <v>435</v>
      </c>
      <c r="B86" s="0" t="s">
        <v>423</v>
      </c>
      <c r="D86" s="18" t="n">
        <f aca="false">(D73+D77)/fx/D65*1000</f>
        <v>159.399762088039</v>
      </c>
      <c r="E86" s="18" t="n">
        <f aca="false">(E73+E77)/fx/E65*1000</f>
        <v>178.947189172339</v>
      </c>
      <c r="F86" s="18" t="n">
        <f aca="false">(F73+F77)/fx/F65*1000</f>
        <v>191.088047055512</v>
      </c>
      <c r="G86" s="18" t="n">
        <f aca="false">(G73+G77)/fx/G65*1000</f>
        <v>179.594844492719</v>
      </c>
    </row>
    <row r="87" customFormat="false" ht="17.15" hidden="false" customHeight="false" outlineLevel="0" collapsed="false">
      <c r="A87" s="6" t="s">
        <v>484</v>
      </c>
    </row>
    <row r="88" customFormat="false" ht="17.15" hidden="false" customHeight="false" outlineLevel="0" collapsed="false">
      <c r="A88" s="4" t="s">
        <v>485</v>
      </c>
      <c r="B88" s="0" t="s">
        <v>53</v>
      </c>
      <c r="D88" s="14" t="n">
        <f aca="false">a26_gp/D81-d_lc*D84</f>
        <v>0.302821503074929</v>
      </c>
      <c r="H88" s="8" t="s">
        <v>486</v>
      </c>
    </row>
    <row r="89" customFormat="false" ht="15" hidden="false" customHeight="false" outlineLevel="0" collapsed="false">
      <c r="A89" s="4" t="s">
        <v>361</v>
      </c>
      <c r="B89" s="0" t="s">
        <v>193</v>
      </c>
      <c r="C89" s="19" t="n">
        <f aca="false">a25_gp</f>
        <v>36.034</v>
      </c>
      <c r="D89" s="19" t="n">
        <f aca="false">a26_gp</f>
        <v>72.5193552</v>
      </c>
      <c r="E89" s="19" t="n">
        <f aca="false">$D$88*E81+d_lc*E73</f>
        <v>116.904760224016</v>
      </c>
      <c r="F89" s="19" t="n">
        <f aca="false">$D$88*F81+d_lc*F73</f>
        <v>148.940160091181</v>
      </c>
      <c r="G89" s="19" t="n">
        <f aca="false">$D$88*G81+d_lc*G73</f>
        <v>158.548016827003</v>
      </c>
    </row>
    <row r="90" customFormat="false" ht="15" hidden="false" customHeight="false" outlineLevel="0" collapsed="false">
      <c r="A90" s="4" t="s">
        <v>364</v>
      </c>
      <c r="B90" s="0" t="s">
        <v>53</v>
      </c>
      <c r="C90" s="14" t="n">
        <f aca="false">C89/C81</f>
        <v>0.258051117524474</v>
      </c>
      <c r="D90" s="14" t="n">
        <f aca="false">D89/D81</f>
        <v>0.322021503074929</v>
      </c>
      <c r="E90" s="14" t="n">
        <f aca="false">E89/E81</f>
        <v>0.332770304990803</v>
      </c>
      <c r="F90" s="14" t="n">
        <f aca="false">F89/F81</f>
        <v>0.337257540812352</v>
      </c>
      <c r="G90" s="14" t="n">
        <f aca="false">G89/G81</f>
        <v>0.337667436920647</v>
      </c>
    </row>
    <row r="91" customFormat="false" ht="15" hidden="false" customHeight="false" outlineLevel="0" collapsed="false">
      <c r="A91" s="4" t="s">
        <v>487</v>
      </c>
      <c r="B91" s="0" t="s">
        <v>193</v>
      </c>
      <c r="C91" s="19" t="n">
        <f aca="false">a25_opx</f>
        <v>8.4832253</v>
      </c>
      <c r="D91" s="19" t="n">
        <f aca="false">a26_opx</f>
        <v>11.7048599</v>
      </c>
      <c r="E91" s="19" t="n">
        <f aca="false">D91*(1+MAX(0,phi*E83))</f>
        <v>16.2929875493975</v>
      </c>
      <c r="F91" s="19" t="n">
        <f aca="false">E91*(1+MAX(0,phi*F83))</f>
        <v>19.2249952047765</v>
      </c>
      <c r="G91" s="19" t="n">
        <f aca="false">F91*(1+MAX(0,phi*G83))</f>
        <v>20.075723714748</v>
      </c>
    </row>
    <row r="92" customFormat="false" ht="15" hidden="false" customHeight="false" outlineLevel="0" collapsed="false">
      <c r="A92" s="4" t="s">
        <v>366</v>
      </c>
      <c r="B92" s="0" t="s">
        <v>193</v>
      </c>
      <c r="C92" s="19" t="n">
        <f aca="false">C91</f>
        <v>8.4832253</v>
      </c>
      <c r="D92" s="19" t="n">
        <f aca="false">D91</f>
        <v>11.7048599</v>
      </c>
      <c r="E92" s="19" t="n">
        <f aca="false">E91+0*E81</f>
        <v>16.2929875493975</v>
      </c>
      <c r="F92" s="19" t="n">
        <f aca="false">F91+0*F81</f>
        <v>19.2249952047765</v>
      </c>
      <c r="G92" s="19" t="n">
        <f aca="false">G91+0*G81</f>
        <v>20.075723714748</v>
      </c>
    </row>
    <row r="93" customFormat="false" ht="15" hidden="false" customHeight="false" outlineLevel="0" collapsed="false">
      <c r="A93" s="4" t="s">
        <v>368</v>
      </c>
      <c r="B93" s="0" t="s">
        <v>193</v>
      </c>
      <c r="C93" s="19" t="n">
        <f aca="false">C89-C92</f>
        <v>27.5507747</v>
      </c>
      <c r="D93" s="19" t="n">
        <f aca="false">D89-D92</f>
        <v>60.8144953</v>
      </c>
      <c r="E93" s="19" t="n">
        <f aca="false">E89-E92</f>
        <v>100.611772674619</v>
      </c>
      <c r="F93" s="19" t="n">
        <f aca="false">F89-F92</f>
        <v>129.715164886404</v>
      </c>
      <c r="G93" s="19" t="n">
        <f aca="false">G89-G92</f>
        <v>138.472293112255</v>
      </c>
    </row>
    <row r="94" customFormat="false" ht="15" hidden="false" customHeight="false" outlineLevel="0" collapsed="false">
      <c r="A94" s="4" t="s">
        <v>371</v>
      </c>
      <c r="B94" s="0" t="s">
        <v>53</v>
      </c>
      <c r="C94" s="14" t="n">
        <f aca="false">C93/C81</f>
        <v>0.1973</v>
      </c>
      <c r="D94" s="14" t="n">
        <f aca="false">D93/D81</f>
        <v>0.27004618465291</v>
      </c>
      <c r="E94" s="14" t="n">
        <f aca="false">E93/E81</f>
        <v>0.286392189799985</v>
      </c>
      <c r="F94" s="14" t="n">
        <f aca="false">F93/F81</f>
        <v>0.293724791814883</v>
      </c>
      <c r="G94" s="14" t="n">
        <f aca="false">G93/G81</f>
        <v>0.294911189906327</v>
      </c>
    </row>
    <row r="95" customFormat="false" ht="15" hidden="false" customHeight="false" outlineLevel="0" collapsed="false">
      <c r="A95" s="4" t="s">
        <v>373</v>
      </c>
      <c r="B95" s="0" t="s">
        <v>193</v>
      </c>
      <c r="C95" s="19" t="n">
        <f aca="false">a25_nop</f>
        <v>1.23179436863779</v>
      </c>
      <c r="D95" s="19" t="n">
        <f aca="false">a26_nop</f>
        <v>0.8186111</v>
      </c>
      <c r="E95" s="19" t="n">
        <f aca="false">nop_f</f>
        <v>1</v>
      </c>
      <c r="F95" s="19" t="n">
        <f aca="false">nop_f</f>
        <v>1</v>
      </c>
      <c r="G95" s="19" t="n">
        <f aca="false">nop_f</f>
        <v>1</v>
      </c>
    </row>
    <row r="96" customFormat="false" ht="17.15" hidden="false" customHeight="false" outlineLevel="0" collapsed="false">
      <c r="A96" s="4" t="s">
        <v>236</v>
      </c>
      <c r="B96" s="0" t="s">
        <v>53</v>
      </c>
      <c r="C96" s="14" t="n">
        <f aca="false">a25_ni/(a25_oi+a25_nop)</f>
        <v>0.666583999303438</v>
      </c>
      <c r="D96" s="14" t="n">
        <f aca="false">a26_ni/(a26_oi+a26_nop)</f>
        <v>0.674837141220258</v>
      </c>
      <c r="E96" s="14" t="n">
        <f aca="false">nir_f</f>
        <v>0.675</v>
      </c>
      <c r="F96" s="14" t="n">
        <f aca="false">nir_f</f>
        <v>0.675</v>
      </c>
      <c r="G96" s="14" t="n">
        <f aca="false">nir_f</f>
        <v>0.675</v>
      </c>
    </row>
    <row r="97" customFormat="false" ht="15" hidden="false" customHeight="false" outlineLevel="0" collapsed="false">
      <c r="A97" s="4" t="s">
        <v>377</v>
      </c>
      <c r="B97" s="0" t="s">
        <v>193</v>
      </c>
      <c r="C97" s="19" t="n">
        <f aca="false">a25_ni</f>
        <v>19.186</v>
      </c>
      <c r="D97" s="19" t="n">
        <f aca="false">a26_ni</f>
        <v>41.5923093275</v>
      </c>
      <c r="E97" s="19" t="n">
        <f aca="false">(E93+E95)*E96</f>
        <v>68.5879465553678</v>
      </c>
      <c r="F97" s="19" t="n">
        <f aca="false">(F93+F95)*F96</f>
        <v>88.232736298323</v>
      </c>
      <c r="G97" s="19" t="n">
        <f aca="false">(G93+G95)*G96</f>
        <v>94.1437978507719</v>
      </c>
    </row>
    <row r="98" customFormat="false" ht="15" hidden="false" customHeight="false" outlineLevel="0" collapsed="false">
      <c r="A98" s="4" t="s">
        <v>488</v>
      </c>
      <c r="B98" s="4" t="s">
        <v>219</v>
      </c>
      <c r="C98" s="22" t="n">
        <f aca="false">a25_sh</f>
        <v>0.390197274761033</v>
      </c>
      <c r="D98" s="22" t="n">
        <f aca="false">a26_sh</f>
        <v>0.392523574315222</v>
      </c>
      <c r="E98" s="22" t="n">
        <f aca="false">D98*(1+sh_g)</f>
        <v>0.392523574315222</v>
      </c>
      <c r="F98" s="22" t="n">
        <f aca="false">E98*(1+sh_g)</f>
        <v>0.392523574315222</v>
      </c>
      <c r="G98" s="22" t="n">
        <f aca="false">F98*(1+sh_g)</f>
        <v>0.392523574315222</v>
      </c>
    </row>
    <row r="99" customFormat="false" ht="15" hidden="false" customHeight="false" outlineLevel="0" collapsed="false">
      <c r="A99" s="0" t="s">
        <v>382</v>
      </c>
      <c r="B99" s="0" t="s">
        <v>256</v>
      </c>
      <c r="C99" s="20" t="n">
        <f aca="false">C97/C98</f>
        <v>49.17</v>
      </c>
      <c r="D99" s="20" t="n">
        <f aca="false">D97/D98</f>
        <v>105.961302834002</v>
      </c>
      <c r="E99" s="20" t="n">
        <f aca="false">E97/E98</f>
        <v>174.735865673859</v>
      </c>
      <c r="F99" s="20" t="n">
        <f aca="false">F97/F98</f>
        <v>224.783279455889</v>
      </c>
      <c r="G99" s="20" t="n">
        <f aca="false">G97/G98</f>
        <v>239.842404408476</v>
      </c>
    </row>
    <row r="100" customFormat="false" ht="17.15" hidden="false" customHeight="false" outlineLevel="0" collapsed="false">
      <c r="A100" s="0" t="s">
        <v>489</v>
      </c>
      <c r="B100" s="0" t="s">
        <v>53</v>
      </c>
      <c r="D100" s="14" t="n">
        <f aca="false">D99/C99-1</f>
        <v>1.15499904075659</v>
      </c>
      <c r="E100" s="14" t="n">
        <f aca="false">E99/D99-1</f>
        <v>0.649053578999492</v>
      </c>
      <c r="F100" s="14" t="n">
        <f aca="false">F99/E99-1</f>
        <v>0.286417522750836</v>
      </c>
      <c r="G100" s="14" t="n">
        <f aca="false">G99/F99-1</f>
        <v>0.0669939729905125</v>
      </c>
    </row>
    <row r="103" customFormat="false" ht="17.15" hidden="false" customHeight="false" outlineLevel="0" collapsed="false">
      <c r="A103" s="1" t="s">
        <v>490</v>
      </c>
    </row>
    <row r="104" customFormat="false" ht="17.15" hidden="false" customHeight="false" outlineLevel="0" collapsed="false">
      <c r="A104" s="5" t="s">
        <v>22</v>
      </c>
      <c r="B104" s="5" t="s">
        <v>23</v>
      </c>
      <c r="C104" s="11" t="s">
        <v>351</v>
      </c>
      <c r="D104" s="11" t="s">
        <v>440</v>
      </c>
      <c r="E104" s="11" t="s">
        <v>441</v>
      </c>
      <c r="F104" s="11" t="s">
        <v>442</v>
      </c>
      <c r="G104" s="11" t="s">
        <v>443</v>
      </c>
      <c r="H104" s="5" t="s">
        <v>416</v>
      </c>
    </row>
    <row r="105" customFormat="false" ht="17.15" hidden="false" customHeight="false" outlineLevel="0" collapsed="false">
      <c r="A105" s="6" t="s">
        <v>459</v>
      </c>
    </row>
    <row r="106" customFormat="false" ht="17.15" hidden="false" customHeight="false" outlineLevel="0" collapsed="false">
      <c r="A106" s="0" t="s">
        <v>460</v>
      </c>
      <c r="B106" s="0" t="s">
        <v>33</v>
      </c>
      <c r="D106" s="20" t="n">
        <f aca="false">itc_26*1</f>
        <v>781.872916666666</v>
      </c>
      <c r="E106" s="20" t="n">
        <f aca="false">itc_27*1*1</f>
        <v>1565.35</v>
      </c>
      <c r="F106" s="20" t="n">
        <f aca="false">itc_28*um28_B*1</f>
        <v>1587.41111111111</v>
      </c>
      <c r="G106" s="20" t="n">
        <f aca="false">itc_29*um29_B*1</f>
        <v>1921.33173611111</v>
      </c>
    </row>
    <row r="107" customFormat="false" ht="17.15" hidden="false" customHeight="false" outlineLevel="0" collapsed="false">
      <c r="A107" s="4" t="s">
        <v>461</v>
      </c>
      <c r="B107" s="0" t="s">
        <v>33</v>
      </c>
      <c r="D107" s="20" t="n">
        <f aca="false">itpg_gb*(1-vr26)+itpg_vr*vr26</f>
        <v>33.41403216</v>
      </c>
      <c r="E107" s="20" t="n">
        <f aca="false">itpg_vr</f>
        <v>37.586352</v>
      </c>
      <c r="F107" s="20" t="n">
        <f aca="false">itpg_vr</f>
        <v>37.586352</v>
      </c>
      <c r="G107" s="20" t="n">
        <f aca="false">itpg_vr</f>
        <v>37.586352</v>
      </c>
    </row>
    <row r="108" customFormat="false" ht="17.15" hidden="false" customHeight="false" outlineLevel="0" collapsed="false">
      <c r="A108" s="4" t="s">
        <v>462</v>
      </c>
      <c r="B108" s="0" t="s">
        <v>418</v>
      </c>
      <c r="D108" s="17" t="n">
        <f aca="false">D106/D107</f>
        <v>23.3995380420639</v>
      </c>
      <c r="E108" s="17" t="n">
        <f aca="false">E106/E107</f>
        <v>41.6467658260637</v>
      </c>
      <c r="F108" s="17" t="n">
        <f aca="false">F106/F107</f>
        <v>42.2337105529984</v>
      </c>
      <c r="G108" s="17" t="n">
        <f aca="false">G106/G107</f>
        <v>51.1178029756948</v>
      </c>
    </row>
    <row r="109" customFormat="false" ht="17.15" hidden="false" customHeight="false" outlineLevel="0" collapsed="false">
      <c r="A109" s="4" t="s">
        <v>463</v>
      </c>
      <c r="B109" s="0" t="s">
        <v>53</v>
      </c>
      <c r="D109" s="14" t="n">
        <f aca="false">lpenB_26</f>
        <v>0.55</v>
      </c>
      <c r="E109" s="14" t="n">
        <f aca="false">lpenB_27</f>
        <v>0.75</v>
      </c>
      <c r="F109" s="14" t="n">
        <f aca="false">lpenB_28</f>
        <v>0.85</v>
      </c>
      <c r="G109" s="14" t="n">
        <f aca="false">lpenB_29</f>
        <v>0.9</v>
      </c>
    </row>
    <row r="110" customFormat="false" ht="17.15" hidden="false" customHeight="false" outlineLevel="0" collapsed="false">
      <c r="A110" s="4" t="s">
        <v>464</v>
      </c>
      <c r="B110" s="0" t="s">
        <v>423</v>
      </c>
      <c r="D110" s="18" t="n">
        <f aca="false">((1-vr26)*racks_gb*(cool_gb+mani)+vr26*racks_vr*(cool_vr+mani))/1000</f>
        <v>350.7208</v>
      </c>
      <c r="E110" s="18" t="n">
        <f aca="false">racks_vr*(cool_vr+mani)*lcadj_27/1000</f>
        <v>326.5912</v>
      </c>
      <c r="F110" s="18" t="n">
        <f aca="false">racks_vr*(cool_vr+mani)*lcadj_28/1000</f>
        <v>351.7136</v>
      </c>
      <c r="G110" s="18" t="n">
        <f aca="false">racks_vr*(cool_vr+mani)*lcadj_29/1000</f>
        <v>351.7136</v>
      </c>
      <c r="H110" s="4" t="s">
        <v>465</v>
      </c>
    </row>
    <row r="111" customFormat="false" ht="17.15" hidden="false" customHeight="false" outlineLevel="0" collapsed="false">
      <c r="A111" s="0" t="s">
        <v>466</v>
      </c>
      <c r="B111" s="0" t="s">
        <v>33</v>
      </c>
      <c r="D111" s="20" t="n">
        <f aca="false">D108*D109*D110/1000</f>
        <v>4.51368758595869</v>
      </c>
      <c r="E111" s="20" t="n">
        <f aca="false">E108*E109*E110/1000</f>
        <v>10.2011004204398</v>
      </c>
      <c r="F111" s="20" t="n">
        <f aca="false">F108*F109*F110/1000</f>
        <v>12.6260448229601</v>
      </c>
      <c r="G111" s="20" t="n">
        <f aca="false">G108*G109*G110/1000</f>
        <v>16.1809438578051</v>
      </c>
    </row>
    <row r="112" customFormat="false" ht="17.15" hidden="false" customHeight="false" outlineLevel="0" collapsed="false">
      <c r="A112" s="0" t="s">
        <v>467</v>
      </c>
      <c r="B112" s="0" t="s">
        <v>193</v>
      </c>
      <c r="D112" s="19" t="n">
        <f aca="false">D111*fx</f>
        <v>144.438002750678</v>
      </c>
      <c r="E112" s="19" t="n">
        <f aca="false">E111*fx</f>
        <v>326.435213454075</v>
      </c>
      <c r="F112" s="19" t="n">
        <f aca="false">F111*fx</f>
        <v>404.033434334723</v>
      </c>
      <c r="G112" s="19" t="n">
        <f aca="false">G111*fx</f>
        <v>517.790203449763</v>
      </c>
    </row>
    <row r="113" customFormat="false" ht="17.15" hidden="false" customHeight="false" outlineLevel="0" collapsed="false">
      <c r="A113" s="4" t="s">
        <v>468</v>
      </c>
      <c r="B113" s="0" t="s">
        <v>53</v>
      </c>
      <c r="D113" s="14" t="n">
        <f aca="false">a26_lc/D112</f>
        <v>0.498927641116677</v>
      </c>
      <c r="H113" s="8" t="s">
        <v>469</v>
      </c>
    </row>
    <row r="114" customFormat="false" ht="17.15" hidden="false" customHeight="false" outlineLevel="0" collapsed="false">
      <c r="A114" s="4" t="s">
        <v>470</v>
      </c>
      <c r="B114" s="0" t="s">
        <v>74</v>
      </c>
      <c r="D114" s="15" t="n">
        <f aca="false">1</f>
        <v>1</v>
      </c>
      <c r="E114" s="15" t="n">
        <f aca="false">rel_27</f>
        <v>0.95</v>
      </c>
      <c r="F114" s="15" t="n">
        <f aca="false">rel_28</f>
        <v>0.9</v>
      </c>
      <c r="G114" s="15" t="n">
        <f aca="false">rel_29</f>
        <v>0.85</v>
      </c>
    </row>
    <row r="115" customFormat="false" ht="15" hidden="false" customHeight="false" outlineLevel="0" collapsed="false">
      <c r="A115" s="4" t="s">
        <v>430</v>
      </c>
      <c r="B115" s="0" t="s">
        <v>53</v>
      </c>
      <c r="D115" s="14" t="n">
        <f aca="false">$D$113*D114</f>
        <v>0.498927641116677</v>
      </c>
      <c r="E115" s="14" t="n">
        <f aca="false">$D$113*E114</f>
        <v>0.473981259060843</v>
      </c>
      <c r="F115" s="14" t="n">
        <f aca="false">$D$113*F114</f>
        <v>0.449034877005009</v>
      </c>
      <c r="G115" s="14" t="n">
        <f aca="false">$D$113*G114</f>
        <v>0.424088494949176</v>
      </c>
    </row>
    <row r="116" customFormat="false" ht="15" hidden="false" customHeight="false" outlineLevel="0" collapsed="false">
      <c r="A116" s="4" t="s">
        <v>471</v>
      </c>
      <c r="B116" s="0" t="s">
        <v>193</v>
      </c>
      <c r="C116" s="19" t="n">
        <f aca="false">a25_lc</f>
        <v>20.94585</v>
      </c>
      <c r="D116" s="19" t="n">
        <f aca="false">D112*D115</f>
        <v>72.064112</v>
      </c>
      <c r="E116" s="19" t="n">
        <f aca="false">E112*E115</f>
        <v>154.724173474758</v>
      </c>
      <c r="F116" s="19" t="n">
        <f aca="false">F112*F115</f>
        <v>181.425103492404</v>
      </c>
      <c r="G116" s="19" t="n">
        <f aca="false">G112*G115</f>
        <v>219.588868080438</v>
      </c>
    </row>
    <row r="117" customFormat="false" ht="17.15" hidden="false" customHeight="false" outlineLevel="0" collapsed="false">
      <c r="A117" s="6" t="s">
        <v>472</v>
      </c>
    </row>
    <row r="118" customFormat="false" ht="17.15" hidden="false" customHeight="false" outlineLevel="0" collapsed="false">
      <c r="A118" s="0" t="s">
        <v>473</v>
      </c>
      <c r="B118" s="0" t="s">
        <v>474</v>
      </c>
      <c r="D118" s="22" t="n">
        <f aca="false">a26_air/D108</f>
        <v>2.0210686815691</v>
      </c>
    </row>
    <row r="119" customFormat="false" ht="17.15" hidden="false" customHeight="false" outlineLevel="0" collapsed="false">
      <c r="A119" s="0" t="s">
        <v>475</v>
      </c>
      <c r="B119" s="0" t="s">
        <v>74</v>
      </c>
      <c r="D119" s="15" t="n">
        <f aca="false">1</f>
        <v>1</v>
      </c>
      <c r="E119" s="15" t="n">
        <f aca="false">acr_27</f>
        <v>0.75</v>
      </c>
      <c r="F119" s="15" t="n">
        <f aca="false">acr_28</f>
        <v>0.65</v>
      </c>
      <c r="G119" s="15" t="n">
        <f aca="false">acr_29</f>
        <v>0.6</v>
      </c>
    </row>
    <row r="120" customFormat="false" ht="17.15" hidden="false" customHeight="false" outlineLevel="0" collapsed="false">
      <c r="A120" s="0" t="s">
        <v>476</v>
      </c>
      <c r="B120" s="0" t="s">
        <v>193</v>
      </c>
      <c r="C120" s="19" t="n">
        <f aca="false">a25_air</f>
        <v>30.999858</v>
      </c>
      <c r="D120" s="19" t="n">
        <f aca="false">D108*$D$118*D119</f>
        <v>47.2920735</v>
      </c>
      <c r="E120" s="19" t="n">
        <f aca="false">E108*$D$118*E119</f>
        <v>63.1282305747746</v>
      </c>
      <c r="F120" s="19" t="n">
        <f aca="false">F108*$D$118*F119</f>
        <v>55.4821993083276</v>
      </c>
      <c r="G120" s="19" t="n">
        <f aca="false">G108*$D$118*G119</f>
        <v>61.9875543988778</v>
      </c>
    </row>
    <row r="121" customFormat="false" ht="15" hidden="false" customHeight="false" outlineLevel="0" collapsed="false">
      <c r="A121" s="4" t="s">
        <v>477</v>
      </c>
      <c r="B121" s="0" t="s">
        <v>193</v>
      </c>
      <c r="C121" s="19" t="n">
        <f aca="false">a25_gen</f>
        <v>20.666572</v>
      </c>
      <c r="D121" s="19" t="n">
        <f aca="false">a26_gen</f>
        <v>31.528049</v>
      </c>
      <c r="E121" s="19" t="n">
        <f aca="false">D121*(1+g_gen_27)</f>
        <v>34.05029292</v>
      </c>
      <c r="F121" s="19" t="n">
        <f aca="false">E121*(1+g_gen_28)</f>
        <v>36.0933104952</v>
      </c>
      <c r="G121" s="19" t="n">
        <f aca="false">F121*(1+g_gen_29)</f>
        <v>37.89797601996</v>
      </c>
    </row>
    <row r="122" customFormat="false" ht="17.15" hidden="false" customHeight="false" outlineLevel="0" collapsed="false">
      <c r="A122" s="4" t="s">
        <v>478</v>
      </c>
      <c r="B122" s="0" t="s">
        <v>193</v>
      </c>
      <c r="C122" s="19" t="n">
        <f aca="false">a25_nai</f>
        <v>67.02672</v>
      </c>
      <c r="D122" s="19" t="n">
        <f aca="false">a26_nai</f>
        <v>74.3161155</v>
      </c>
      <c r="E122" s="19" t="n">
        <f aca="false">D122*(1+g_nai_27)</f>
        <v>78.77508243</v>
      </c>
      <c r="F122" s="19" t="n">
        <f aca="false">E122*(1+g_nai_28)</f>
        <v>82.7138365515</v>
      </c>
      <c r="G122" s="19" t="n">
        <f aca="false">F122*(1+g_nai_29)</f>
        <v>86.02239001356</v>
      </c>
    </row>
    <row r="123" customFormat="false" ht="17.15" hidden="false" customHeight="false" outlineLevel="0" collapsed="false">
      <c r="A123" s="4" t="s">
        <v>479</v>
      </c>
      <c r="B123" s="0" t="s">
        <v>193</v>
      </c>
      <c r="C123" s="19" t="n">
        <f aca="false">C116+C120+C121</f>
        <v>72.61228</v>
      </c>
      <c r="D123" s="19" t="n">
        <f aca="false">D116+D120+D121</f>
        <v>150.8842345</v>
      </c>
      <c r="E123" s="19" t="n">
        <f aca="false">E116+E120+E121</f>
        <v>251.902696969532</v>
      </c>
      <c r="F123" s="19" t="n">
        <f aca="false">F116+F120+F121</f>
        <v>273.000613295932</v>
      </c>
      <c r="G123" s="19" t="n">
        <f aca="false">G116+G120+G121</f>
        <v>319.474398499275</v>
      </c>
    </row>
    <row r="124" customFormat="false" ht="15" hidden="false" customHeight="false" outlineLevel="0" collapsed="false">
      <c r="A124" s="4" t="s">
        <v>357</v>
      </c>
      <c r="B124" s="0" t="s">
        <v>193</v>
      </c>
      <c r="C124" s="19" t="n">
        <f aca="false">C116+C120+C121+C122</f>
        <v>139.639</v>
      </c>
      <c r="D124" s="19" t="n">
        <f aca="false">D116+D120+D121+D122</f>
        <v>225.20035</v>
      </c>
      <c r="E124" s="19" t="n">
        <f aca="false">E116+E120+E121+E122</f>
        <v>330.677779399532</v>
      </c>
      <c r="F124" s="19" t="n">
        <f aca="false">F116+F120+F121+F122</f>
        <v>355.714449847431</v>
      </c>
      <c r="G124" s="19" t="n">
        <f aca="false">G116+G120+G121+G122</f>
        <v>405.496788512835</v>
      </c>
    </row>
    <row r="125" customFormat="false" ht="15" hidden="false" customHeight="false" outlineLevel="0" collapsed="false">
      <c r="A125" s="4" t="s">
        <v>480</v>
      </c>
      <c r="B125" s="0" t="s">
        <v>193</v>
      </c>
      <c r="C125" s="22" t="n">
        <f aca="false">ROUND(C123+C122-C124,6)</f>
        <v>0</v>
      </c>
      <c r="D125" s="22" t="n">
        <f aca="false">ROUND(D123+D122-D124,6)</f>
        <v>0</v>
      </c>
      <c r="E125" s="22" t="n">
        <f aca="false">ROUND(E123+E122-E124,6)</f>
        <v>0</v>
      </c>
      <c r="F125" s="22" t="n">
        <f aca="false">ROUND(F123+F122-F124,6)</f>
        <v>0</v>
      </c>
      <c r="G125" s="22" t="n">
        <f aca="false">ROUND(G123+G122-G124,6)</f>
        <v>0</v>
      </c>
    </row>
    <row r="126" customFormat="false" ht="15" hidden="false" customHeight="false" outlineLevel="0" collapsed="false">
      <c r="A126" s="4" t="s">
        <v>481</v>
      </c>
      <c r="B126" s="0" t="s">
        <v>53</v>
      </c>
      <c r="D126" s="14" t="n">
        <f aca="false">D124/C124-1</f>
        <v>0.612732474451979</v>
      </c>
      <c r="E126" s="14" t="n">
        <f aca="false">E124/D124-1</f>
        <v>0.468371516294412</v>
      </c>
      <c r="F126" s="14" t="n">
        <f aca="false">F124/E124-1</f>
        <v>0.0757131927441954</v>
      </c>
      <c r="G126" s="14" t="n">
        <f aca="false">G124/F124-1</f>
        <v>0.13995028508613</v>
      </c>
    </row>
    <row r="127" customFormat="false" ht="17.15" hidden="false" customHeight="false" outlineLevel="0" collapsed="false">
      <c r="A127" s="4" t="s">
        <v>482</v>
      </c>
      <c r="B127" s="0" t="s">
        <v>53</v>
      </c>
      <c r="C127" s="14" t="n">
        <f aca="false">C116/C124</f>
        <v>0.15</v>
      </c>
      <c r="D127" s="14" t="n">
        <f aca="false">D116/D124</f>
        <v>0.32</v>
      </c>
      <c r="E127" s="14" t="n">
        <f aca="false">E116/E124</f>
        <v>0.467900122456721</v>
      </c>
      <c r="F127" s="14" t="n">
        <f aca="false">F116/F124</f>
        <v>0.510030176087079</v>
      </c>
      <c r="G127" s="14" t="n">
        <f aca="false">G116/G124</f>
        <v>0.541530473979295</v>
      </c>
    </row>
    <row r="128" customFormat="false" ht="17.15" hidden="false" customHeight="false" outlineLevel="0" collapsed="false">
      <c r="A128" s="0" t="s">
        <v>483</v>
      </c>
      <c r="B128" s="0" t="s">
        <v>53</v>
      </c>
      <c r="C128" s="14" t="n">
        <f aca="false">(C116+C120)/C124</f>
        <v>0.372</v>
      </c>
      <c r="D128" s="14" t="n">
        <f aca="false">(D116+D120)/D124</f>
        <v>0.53</v>
      </c>
      <c r="E128" s="14" t="n">
        <f aca="false">(E116+E120)/E124</f>
        <v>0.658805694307987</v>
      </c>
      <c r="F128" s="14" t="n">
        <f aca="false">(F116+F120)/F124</f>
        <v>0.66600415839824</v>
      </c>
      <c r="G128" s="14" t="n">
        <f aca="false">(G116+G120)/G124</f>
        <v>0.694398649893136</v>
      </c>
    </row>
    <row r="129" customFormat="false" ht="17.15" hidden="false" customHeight="false" outlineLevel="0" collapsed="false">
      <c r="A129" s="4" t="s">
        <v>435</v>
      </c>
      <c r="B129" s="0" t="s">
        <v>423</v>
      </c>
      <c r="D129" s="18" t="n">
        <f aca="false">(D116+D120)/fx/D108*1000</f>
        <v>159.399762088039</v>
      </c>
      <c r="E129" s="18" t="n">
        <f aca="false">(E116+E120)/fx/E108*1000</f>
        <v>163.467378354919</v>
      </c>
      <c r="F129" s="18" t="n">
        <f aca="false">(F116+F120)/fx/F108*1000</f>
        <v>175.294879743813</v>
      </c>
      <c r="G129" s="18" t="n">
        <f aca="false">(G116+G120)/fx/G108*1000</f>
        <v>172.136959928861</v>
      </c>
    </row>
    <row r="130" customFormat="false" ht="17.15" hidden="false" customHeight="false" outlineLevel="0" collapsed="false">
      <c r="A130" s="6" t="s">
        <v>484</v>
      </c>
    </row>
    <row r="131" customFormat="false" ht="17.15" hidden="false" customHeight="false" outlineLevel="0" collapsed="false">
      <c r="A131" s="4" t="s">
        <v>485</v>
      </c>
      <c r="B131" s="0" t="s">
        <v>53</v>
      </c>
      <c r="D131" s="14" t="n">
        <f aca="false">a26_gp/D124-d_lc*D127</f>
        <v>0.302821503074929</v>
      </c>
      <c r="H131" s="8" t="s">
        <v>486</v>
      </c>
    </row>
    <row r="132" customFormat="false" ht="15" hidden="false" customHeight="false" outlineLevel="0" collapsed="false">
      <c r="A132" s="4" t="s">
        <v>361</v>
      </c>
      <c r="B132" s="0" t="s">
        <v>193</v>
      </c>
      <c r="C132" s="19" t="n">
        <f aca="false">a25_gp</f>
        <v>36.034</v>
      </c>
      <c r="D132" s="19" t="n">
        <f aca="false">a26_gp</f>
        <v>72.5193552</v>
      </c>
      <c r="E132" s="19" t="n">
        <f aca="false">$D$131*E124+d_lc*E116</f>
        <v>109.419792599731</v>
      </c>
      <c r="F132" s="19" t="n">
        <f aca="false">$D$131*F124+d_lc*F116</f>
        <v>118.603490577815</v>
      </c>
      <c r="G132" s="19" t="n">
        <f aca="false">$D$131*G124+d_lc*G116</f>
        <v>135.96847907434</v>
      </c>
    </row>
    <row r="133" customFormat="false" ht="15" hidden="false" customHeight="false" outlineLevel="0" collapsed="false">
      <c r="A133" s="4" t="s">
        <v>364</v>
      </c>
      <c r="B133" s="0" t="s">
        <v>53</v>
      </c>
      <c r="C133" s="14" t="n">
        <f aca="false">C132/C124</f>
        <v>0.258051117524474</v>
      </c>
      <c r="D133" s="14" t="n">
        <f aca="false">D132/D124</f>
        <v>0.322021503074929</v>
      </c>
      <c r="E133" s="14" t="n">
        <f aca="false">E132/E124</f>
        <v>0.330895510422332</v>
      </c>
      <c r="F133" s="14" t="n">
        <f aca="false">F132/F124</f>
        <v>0.333423313640154</v>
      </c>
      <c r="G133" s="14" t="n">
        <f aca="false">G132/G124</f>
        <v>0.335313331513686</v>
      </c>
    </row>
    <row r="134" customFormat="false" ht="15" hidden="false" customHeight="false" outlineLevel="0" collapsed="false">
      <c r="A134" s="4" t="s">
        <v>487</v>
      </c>
      <c r="B134" s="0" t="s">
        <v>193</v>
      </c>
      <c r="C134" s="19" t="n">
        <f aca="false">a25_opx</f>
        <v>8.4832253</v>
      </c>
      <c r="D134" s="19" t="n">
        <f aca="false">a26_opx</f>
        <v>11.7048599</v>
      </c>
      <c r="E134" s="19" t="n">
        <f aca="false">D134*(1+MAX(0,phi*E126))</f>
        <v>15.5424159855637</v>
      </c>
      <c r="F134" s="19" t="n">
        <f aca="false">E134*(1+MAX(0,phi*F126))</f>
        <v>16.3661521416215</v>
      </c>
      <c r="G134" s="19" t="n">
        <f aca="false">F134*(1+MAX(0,phi*G126))</f>
        <v>17.9694655022095</v>
      </c>
    </row>
    <row r="135" customFormat="false" ht="15" hidden="false" customHeight="false" outlineLevel="0" collapsed="false">
      <c r="A135" s="4" t="s">
        <v>366</v>
      </c>
      <c r="B135" s="0" t="s">
        <v>193</v>
      </c>
      <c r="C135" s="19" t="n">
        <f aca="false">C134</f>
        <v>8.4832253</v>
      </c>
      <c r="D135" s="19" t="n">
        <f aca="false">D134</f>
        <v>11.7048599</v>
      </c>
      <c r="E135" s="19" t="n">
        <f aca="false">E134+0*E124</f>
        <v>15.5424159855637</v>
      </c>
      <c r="F135" s="19" t="n">
        <f aca="false">F134+0*F124</f>
        <v>16.3661521416215</v>
      </c>
      <c r="G135" s="19" t="n">
        <f aca="false">G134+0*G124</f>
        <v>17.9694655022095</v>
      </c>
    </row>
    <row r="136" customFormat="false" ht="15" hidden="false" customHeight="false" outlineLevel="0" collapsed="false">
      <c r="A136" s="4" t="s">
        <v>368</v>
      </c>
      <c r="B136" s="0" t="s">
        <v>193</v>
      </c>
      <c r="C136" s="19" t="n">
        <f aca="false">C132-C135</f>
        <v>27.5507747</v>
      </c>
      <c r="D136" s="19" t="n">
        <f aca="false">D132-D135</f>
        <v>60.8144953</v>
      </c>
      <c r="E136" s="19" t="n">
        <f aca="false">E132-E135</f>
        <v>93.8773766141678</v>
      </c>
      <c r="F136" s="19" t="n">
        <f aca="false">F132-F135</f>
        <v>102.237338436193</v>
      </c>
      <c r="G136" s="19" t="n">
        <f aca="false">G132-G135</f>
        <v>117.99901357213</v>
      </c>
    </row>
    <row r="137" customFormat="false" ht="15" hidden="false" customHeight="false" outlineLevel="0" collapsed="false">
      <c r="A137" s="4" t="s">
        <v>371</v>
      </c>
      <c r="B137" s="0" t="s">
        <v>53</v>
      </c>
      <c r="C137" s="14" t="n">
        <f aca="false">C136/C124</f>
        <v>0.1973</v>
      </c>
      <c r="D137" s="14" t="n">
        <f aca="false">D136/D124</f>
        <v>0.27004618465291</v>
      </c>
      <c r="E137" s="14" t="n">
        <f aca="false">E136/E124</f>
        <v>0.283893815860978</v>
      </c>
      <c r="F137" s="14" t="n">
        <f aca="false">F136/F124</f>
        <v>0.287414071820933</v>
      </c>
      <c r="G137" s="14" t="n">
        <f aca="false">G136/G124</f>
        <v>0.290998638990195</v>
      </c>
    </row>
    <row r="138" customFormat="false" ht="15" hidden="false" customHeight="false" outlineLevel="0" collapsed="false">
      <c r="A138" s="4" t="s">
        <v>373</v>
      </c>
      <c r="B138" s="0" t="s">
        <v>193</v>
      </c>
      <c r="C138" s="19" t="n">
        <f aca="false">a25_nop</f>
        <v>1.23179436863779</v>
      </c>
      <c r="D138" s="19" t="n">
        <f aca="false">a26_nop</f>
        <v>0.8186111</v>
      </c>
      <c r="E138" s="19" t="n">
        <f aca="false">nop_f</f>
        <v>1</v>
      </c>
      <c r="F138" s="19" t="n">
        <f aca="false">nop_f</f>
        <v>1</v>
      </c>
      <c r="G138" s="19" t="n">
        <f aca="false">nop_f</f>
        <v>1</v>
      </c>
    </row>
    <row r="139" customFormat="false" ht="17.15" hidden="false" customHeight="false" outlineLevel="0" collapsed="false">
      <c r="A139" s="4" t="s">
        <v>236</v>
      </c>
      <c r="B139" s="0" t="s">
        <v>53</v>
      </c>
      <c r="C139" s="14" t="n">
        <f aca="false">a25_ni/(a25_oi+a25_nop)</f>
        <v>0.666583999303438</v>
      </c>
      <c r="D139" s="14" t="n">
        <f aca="false">a26_ni/(a26_oi+a26_nop)</f>
        <v>0.674837141220258</v>
      </c>
      <c r="E139" s="14" t="n">
        <f aca="false">nir_f</f>
        <v>0.675</v>
      </c>
      <c r="F139" s="14" t="n">
        <f aca="false">nir_f</f>
        <v>0.675</v>
      </c>
      <c r="G139" s="14" t="n">
        <f aca="false">nir_f</f>
        <v>0.675</v>
      </c>
    </row>
    <row r="140" customFormat="false" ht="15" hidden="false" customHeight="false" outlineLevel="0" collapsed="false">
      <c r="A140" s="4" t="s">
        <v>377</v>
      </c>
      <c r="B140" s="0" t="s">
        <v>193</v>
      </c>
      <c r="C140" s="19" t="n">
        <f aca="false">a25_ni</f>
        <v>19.186</v>
      </c>
      <c r="D140" s="19" t="n">
        <f aca="false">a26_ni</f>
        <v>41.5923093275</v>
      </c>
      <c r="E140" s="19" t="n">
        <f aca="false">(E136+E138)*E139</f>
        <v>64.0422292145633</v>
      </c>
      <c r="F140" s="19" t="n">
        <f aca="false">(F136+F138)*F139</f>
        <v>69.6852034444305</v>
      </c>
      <c r="G140" s="19" t="n">
        <f aca="false">(G136+G138)*G139</f>
        <v>80.3243341611878</v>
      </c>
    </row>
    <row r="141" customFormat="false" ht="15" hidden="false" customHeight="false" outlineLevel="0" collapsed="false">
      <c r="A141" s="4" t="s">
        <v>488</v>
      </c>
      <c r="B141" s="4" t="s">
        <v>219</v>
      </c>
      <c r="C141" s="22" t="n">
        <f aca="false">a25_sh</f>
        <v>0.390197274761033</v>
      </c>
      <c r="D141" s="22" t="n">
        <f aca="false">a26_sh</f>
        <v>0.392523574315222</v>
      </c>
      <c r="E141" s="22" t="n">
        <f aca="false">D141*(1+sh_g)</f>
        <v>0.392523574315222</v>
      </c>
      <c r="F141" s="22" t="n">
        <f aca="false">E141*(1+sh_g)</f>
        <v>0.392523574315222</v>
      </c>
      <c r="G141" s="22" t="n">
        <f aca="false">F141*(1+sh_g)</f>
        <v>0.392523574315222</v>
      </c>
    </row>
    <row r="142" customFormat="false" ht="15" hidden="false" customHeight="false" outlineLevel="0" collapsed="false">
      <c r="A142" s="0" t="s">
        <v>382</v>
      </c>
      <c r="B142" s="0" t="s">
        <v>256</v>
      </c>
      <c r="C142" s="20" t="n">
        <f aca="false">C140/C141</f>
        <v>49.17</v>
      </c>
      <c r="D142" s="20" t="n">
        <f aca="false">D140/D141</f>
        <v>105.961302834002</v>
      </c>
      <c r="E142" s="20" t="n">
        <f aca="false">E140/E141</f>
        <v>163.155115781997</v>
      </c>
      <c r="F142" s="20" t="n">
        <f aca="false">F140/F141</f>
        <v>177.531256730248</v>
      </c>
      <c r="G142" s="20" t="n">
        <f aca="false">G140/G141</f>
        <v>204.635694305285</v>
      </c>
    </row>
    <row r="143" customFormat="false" ht="17.15" hidden="false" customHeight="false" outlineLevel="0" collapsed="false">
      <c r="A143" s="0" t="s">
        <v>489</v>
      </c>
      <c r="B143" s="0" t="s">
        <v>53</v>
      </c>
      <c r="D143" s="14" t="n">
        <f aca="false">D142/C142-1</f>
        <v>1.15499904075659</v>
      </c>
      <c r="E143" s="14" t="n">
        <f aca="false">E142/D142-1</f>
        <v>0.539761322466888</v>
      </c>
      <c r="F143" s="14" t="n">
        <f aca="false">F142/E142-1</f>
        <v>0.0881133323913714</v>
      </c>
      <c r="G143" s="14" t="n">
        <f aca="false">G142/F142-1</f>
        <v>0.152674171716257</v>
      </c>
    </row>
    <row r="146" customFormat="false" ht="17.15" hidden="false" customHeight="false" outlineLevel="0" collapsed="false">
      <c r="A146" s="1" t="s">
        <v>491</v>
      </c>
    </row>
    <row r="147" customFormat="false" ht="17.15" hidden="false" customHeight="false" outlineLevel="0" collapsed="false">
      <c r="A147" s="5" t="s">
        <v>22</v>
      </c>
      <c r="B147" s="5" t="s">
        <v>23</v>
      </c>
      <c r="C147" s="11" t="s">
        <v>351</v>
      </c>
      <c r="D147" s="11" t="s">
        <v>440</v>
      </c>
      <c r="E147" s="11" t="s">
        <v>441</v>
      </c>
      <c r="F147" s="11" t="s">
        <v>442</v>
      </c>
      <c r="G147" s="11" t="s">
        <v>443</v>
      </c>
      <c r="H147" s="5" t="s">
        <v>416</v>
      </c>
    </row>
    <row r="148" customFormat="false" ht="17.15" hidden="false" customHeight="false" outlineLevel="0" collapsed="false">
      <c r="A148" s="6" t="s">
        <v>459</v>
      </c>
    </row>
    <row r="149" customFormat="false" ht="17.15" hidden="false" customHeight="false" outlineLevel="0" collapsed="false">
      <c r="A149" s="0" t="s">
        <v>460</v>
      </c>
      <c r="B149" s="0" t="s">
        <v>33</v>
      </c>
      <c r="D149" s="20" t="n">
        <f aca="false">itc_26*1</f>
        <v>781.872916666666</v>
      </c>
      <c r="E149" s="20" t="n">
        <f aca="false">itc_27*1*1</f>
        <v>1565.35</v>
      </c>
      <c r="F149" s="20" t="n">
        <f aca="false">itc_28*um28_C*1</f>
        <v>1190.55833333333</v>
      </c>
      <c r="G149" s="20" t="n">
        <f aca="false">itc_29*um29_C*1</f>
        <v>1356.23416666667</v>
      </c>
    </row>
    <row r="150" customFormat="false" ht="17.15" hidden="false" customHeight="false" outlineLevel="0" collapsed="false">
      <c r="A150" s="4" t="s">
        <v>461</v>
      </c>
      <c r="B150" s="0" t="s">
        <v>33</v>
      </c>
      <c r="D150" s="20" t="n">
        <f aca="false">itpg_gb*(1-vr26)+itpg_vr*vr26</f>
        <v>33.41403216</v>
      </c>
      <c r="E150" s="20" t="n">
        <f aca="false">itpg_vr</f>
        <v>37.586352</v>
      </c>
      <c r="F150" s="20" t="n">
        <f aca="false">itpg_vr</f>
        <v>37.586352</v>
      </c>
      <c r="G150" s="20" t="n">
        <f aca="false">itpg_vr</f>
        <v>37.586352</v>
      </c>
    </row>
    <row r="151" customFormat="false" ht="17.15" hidden="false" customHeight="false" outlineLevel="0" collapsed="false">
      <c r="A151" s="4" t="s">
        <v>462</v>
      </c>
      <c r="B151" s="0" t="s">
        <v>418</v>
      </c>
      <c r="D151" s="17" t="n">
        <f aca="false">D149/D150</f>
        <v>23.3995380420639</v>
      </c>
      <c r="E151" s="17" t="n">
        <f aca="false">E149/E150</f>
        <v>41.6467658260637</v>
      </c>
      <c r="F151" s="17" t="n">
        <f aca="false">F149/F150</f>
        <v>31.6752829147488</v>
      </c>
      <c r="G151" s="17" t="n">
        <f aca="false">G149/G150</f>
        <v>36.0831550416669</v>
      </c>
    </row>
    <row r="152" customFormat="false" ht="17.15" hidden="false" customHeight="false" outlineLevel="0" collapsed="false">
      <c r="A152" s="4" t="s">
        <v>463</v>
      </c>
      <c r="B152" s="0" t="s">
        <v>53</v>
      </c>
      <c r="D152" s="14" t="n">
        <f aca="false">lpenC_26</f>
        <v>0.55</v>
      </c>
      <c r="E152" s="14" t="n">
        <f aca="false">lpenC_27</f>
        <v>0.6</v>
      </c>
      <c r="F152" s="14" t="n">
        <f aca="false">lpenC_28</f>
        <v>0.7</v>
      </c>
      <c r="G152" s="14" t="n">
        <f aca="false">lpenC_29</f>
        <v>0.75</v>
      </c>
    </row>
    <row r="153" customFormat="false" ht="17.15" hidden="false" customHeight="false" outlineLevel="0" collapsed="false">
      <c r="A153" s="4" t="s">
        <v>464</v>
      </c>
      <c r="B153" s="0" t="s">
        <v>423</v>
      </c>
      <c r="D153" s="18" t="n">
        <f aca="false">((1-vr26)*racks_gb*(cool_gb+mani)+vr26*racks_vr*(cool_vr+mani))/1000</f>
        <v>350.7208</v>
      </c>
      <c r="E153" s="18" t="n">
        <f aca="false">racks_vr*(cool_vr+mani)*lcadj_27/1000</f>
        <v>326.5912</v>
      </c>
      <c r="F153" s="18" t="n">
        <f aca="false">racks_vr*(cool_vr+mani)*lcadj_28/1000</f>
        <v>351.7136</v>
      </c>
      <c r="G153" s="18" t="n">
        <f aca="false">racks_vr*(cool_vr+mani)*lcadj_29/1000</f>
        <v>351.7136</v>
      </c>
      <c r="H153" s="4" t="s">
        <v>465</v>
      </c>
    </row>
    <row r="154" customFormat="false" ht="17.15" hidden="false" customHeight="false" outlineLevel="0" collapsed="false">
      <c r="A154" s="0" t="s">
        <v>466</v>
      </c>
      <c r="B154" s="0" t="s">
        <v>33</v>
      </c>
      <c r="D154" s="20" t="n">
        <f aca="false">D151*D152*D153/1000</f>
        <v>4.51368758595869</v>
      </c>
      <c r="E154" s="20" t="n">
        <f aca="false">E151*E152*E153/1000</f>
        <v>8.16088033635188</v>
      </c>
      <c r="F154" s="20" t="n">
        <f aca="false">F151*F152*F153/1000</f>
        <v>7.79843944947535</v>
      </c>
      <c r="G154" s="20" t="n">
        <f aca="false">G151*G152*G153/1000</f>
        <v>9.51820226929712</v>
      </c>
    </row>
    <row r="155" customFormat="false" ht="17.15" hidden="false" customHeight="false" outlineLevel="0" collapsed="false">
      <c r="A155" s="0" t="s">
        <v>467</v>
      </c>
      <c r="B155" s="0" t="s">
        <v>193</v>
      </c>
      <c r="D155" s="19" t="n">
        <f aca="false">D154*fx</f>
        <v>144.438002750678</v>
      </c>
      <c r="E155" s="19" t="n">
        <f aca="false">E154*fx</f>
        <v>261.14817076326</v>
      </c>
      <c r="F155" s="19" t="n">
        <f aca="false">F154*fx</f>
        <v>249.550062383211</v>
      </c>
      <c r="G155" s="19" t="n">
        <f aca="false">G154*fx</f>
        <v>304.582472617508</v>
      </c>
    </row>
    <row r="156" customFormat="false" ht="17.15" hidden="false" customHeight="false" outlineLevel="0" collapsed="false">
      <c r="A156" s="4" t="s">
        <v>468</v>
      </c>
      <c r="B156" s="0" t="s">
        <v>53</v>
      </c>
      <c r="D156" s="14" t="n">
        <f aca="false">a26_lc/D155</f>
        <v>0.498927641116677</v>
      </c>
      <c r="H156" s="8" t="s">
        <v>469</v>
      </c>
    </row>
    <row r="157" customFormat="false" ht="17.15" hidden="false" customHeight="false" outlineLevel="0" collapsed="false">
      <c r="A157" s="4" t="s">
        <v>470</v>
      </c>
      <c r="B157" s="0" t="s">
        <v>74</v>
      </c>
      <c r="D157" s="15" t="n">
        <f aca="false">1</f>
        <v>1</v>
      </c>
      <c r="E157" s="15" t="n">
        <f aca="false">rel_27</f>
        <v>0.95</v>
      </c>
      <c r="F157" s="15" t="n">
        <f aca="false">rel_28</f>
        <v>0.9</v>
      </c>
      <c r="G157" s="15" t="n">
        <f aca="false">rel_29</f>
        <v>0.85</v>
      </c>
    </row>
    <row r="158" customFormat="false" ht="15" hidden="false" customHeight="false" outlineLevel="0" collapsed="false">
      <c r="A158" s="4" t="s">
        <v>430</v>
      </c>
      <c r="B158" s="0" t="s">
        <v>53</v>
      </c>
      <c r="D158" s="14" t="n">
        <f aca="false">$D$156*D157</f>
        <v>0.498927641116677</v>
      </c>
      <c r="E158" s="14" t="n">
        <f aca="false">$D$156*E157</f>
        <v>0.473981259060843</v>
      </c>
      <c r="F158" s="14" t="n">
        <f aca="false">$D$156*F157</f>
        <v>0.449034877005009</v>
      </c>
      <c r="G158" s="14" t="n">
        <f aca="false">$D$156*G157</f>
        <v>0.424088494949176</v>
      </c>
    </row>
    <row r="159" customFormat="false" ht="15" hidden="false" customHeight="false" outlineLevel="0" collapsed="false">
      <c r="A159" s="4" t="s">
        <v>471</v>
      </c>
      <c r="B159" s="0" t="s">
        <v>193</v>
      </c>
      <c r="C159" s="19" t="n">
        <f aca="false">a25_lc</f>
        <v>20.94585</v>
      </c>
      <c r="D159" s="19" t="n">
        <f aca="false">D155*D158</f>
        <v>72.064112</v>
      </c>
      <c r="E159" s="19" t="n">
        <f aca="false">E155*E158</f>
        <v>123.779338779806</v>
      </c>
      <c r="F159" s="19" t="n">
        <f aca="false">F155*F158</f>
        <v>112.056681568838</v>
      </c>
      <c r="G159" s="19" t="n">
        <f aca="false">G155*G158</f>
        <v>129.169922400257</v>
      </c>
    </row>
    <row r="160" customFormat="false" ht="17.15" hidden="false" customHeight="false" outlineLevel="0" collapsed="false">
      <c r="A160" s="6" t="s">
        <v>472</v>
      </c>
    </row>
    <row r="161" customFormat="false" ht="17.15" hidden="false" customHeight="false" outlineLevel="0" collapsed="false">
      <c r="A161" s="0" t="s">
        <v>473</v>
      </c>
      <c r="B161" s="0" t="s">
        <v>474</v>
      </c>
      <c r="D161" s="22" t="n">
        <f aca="false">a26_air/D151</f>
        <v>2.0210686815691</v>
      </c>
    </row>
    <row r="162" customFormat="false" ht="17.15" hidden="false" customHeight="false" outlineLevel="0" collapsed="false">
      <c r="A162" s="0" t="s">
        <v>475</v>
      </c>
      <c r="B162" s="0" t="s">
        <v>74</v>
      </c>
      <c r="D162" s="15" t="n">
        <f aca="false">1</f>
        <v>1</v>
      </c>
      <c r="E162" s="15" t="n">
        <f aca="false">acr_27</f>
        <v>0.75</v>
      </c>
      <c r="F162" s="15" t="n">
        <f aca="false">acr_28</f>
        <v>0.65</v>
      </c>
      <c r="G162" s="15" t="n">
        <f aca="false">acr_29</f>
        <v>0.6</v>
      </c>
    </row>
    <row r="163" customFormat="false" ht="17.15" hidden="false" customHeight="false" outlineLevel="0" collapsed="false">
      <c r="A163" s="0" t="s">
        <v>476</v>
      </c>
      <c r="B163" s="0" t="s">
        <v>193</v>
      </c>
      <c r="C163" s="19" t="n">
        <f aca="false">a25_air</f>
        <v>30.999858</v>
      </c>
      <c r="D163" s="19" t="n">
        <f aca="false">D151*$D$161*D162</f>
        <v>47.2920735</v>
      </c>
      <c r="E163" s="19" t="n">
        <f aca="false">E151*$D$161*E162</f>
        <v>63.1282305747746</v>
      </c>
      <c r="F163" s="19" t="n">
        <f aca="false">F151*$D$161*F162</f>
        <v>41.6116494812457</v>
      </c>
      <c r="G163" s="19" t="n">
        <f aca="false">G151*$D$161*G162</f>
        <v>43.7559207521491</v>
      </c>
    </row>
    <row r="164" customFormat="false" ht="15" hidden="false" customHeight="false" outlineLevel="0" collapsed="false">
      <c r="A164" s="4" t="s">
        <v>477</v>
      </c>
      <c r="B164" s="0" t="s">
        <v>193</v>
      </c>
      <c r="C164" s="19" t="n">
        <f aca="false">a25_gen</f>
        <v>20.666572</v>
      </c>
      <c r="D164" s="19" t="n">
        <f aca="false">a26_gen</f>
        <v>31.528049</v>
      </c>
      <c r="E164" s="19" t="n">
        <f aca="false">D164*(1+g_gen_27)</f>
        <v>34.05029292</v>
      </c>
      <c r="F164" s="19" t="n">
        <f aca="false">E164*(1+g_gen_28)</f>
        <v>36.0933104952</v>
      </c>
      <c r="G164" s="19" t="n">
        <f aca="false">F164*(1+g_gen_29)</f>
        <v>37.89797601996</v>
      </c>
    </row>
    <row r="165" customFormat="false" ht="17.15" hidden="false" customHeight="false" outlineLevel="0" collapsed="false">
      <c r="A165" s="4" t="s">
        <v>478</v>
      </c>
      <c r="B165" s="0" t="s">
        <v>193</v>
      </c>
      <c r="C165" s="19" t="n">
        <f aca="false">a25_nai</f>
        <v>67.02672</v>
      </c>
      <c r="D165" s="19" t="n">
        <f aca="false">a26_nai</f>
        <v>74.3161155</v>
      </c>
      <c r="E165" s="19" t="n">
        <f aca="false">D165*(1+g_nai_27)</f>
        <v>78.77508243</v>
      </c>
      <c r="F165" s="19" t="n">
        <f aca="false">E165*(1+g_nai_28)</f>
        <v>82.7138365515</v>
      </c>
      <c r="G165" s="19" t="n">
        <f aca="false">F165*(1+g_nai_29)</f>
        <v>86.02239001356</v>
      </c>
    </row>
    <row r="166" customFormat="false" ht="17.15" hidden="false" customHeight="false" outlineLevel="0" collapsed="false">
      <c r="A166" s="4" t="s">
        <v>479</v>
      </c>
      <c r="B166" s="0" t="s">
        <v>193</v>
      </c>
      <c r="C166" s="19" t="n">
        <f aca="false">C159+C163+C164</f>
        <v>72.61228</v>
      </c>
      <c r="D166" s="19" t="n">
        <f aca="false">D159+D163+D164</f>
        <v>150.8842345</v>
      </c>
      <c r="E166" s="19" t="n">
        <f aca="false">E159+E163+E164</f>
        <v>220.957862274581</v>
      </c>
      <c r="F166" s="19" t="n">
        <f aca="false">F159+F163+F164</f>
        <v>189.761641545283</v>
      </c>
      <c r="G166" s="19" t="n">
        <f aca="false">G159+G163+G164</f>
        <v>210.823819172366</v>
      </c>
    </row>
    <row r="167" customFormat="false" ht="15" hidden="false" customHeight="false" outlineLevel="0" collapsed="false">
      <c r="A167" s="4" t="s">
        <v>357</v>
      </c>
      <c r="B167" s="0" t="s">
        <v>193</v>
      </c>
      <c r="C167" s="19" t="n">
        <f aca="false">C159+C163+C164+C165</f>
        <v>139.639</v>
      </c>
      <c r="D167" s="19" t="n">
        <f aca="false">D159+D163+D164+D165</f>
        <v>225.20035</v>
      </c>
      <c r="E167" s="19" t="n">
        <f aca="false">E159+E163+E164+E165</f>
        <v>299.732944704581</v>
      </c>
      <c r="F167" s="19" t="n">
        <f aca="false">F159+F163+F164+F165</f>
        <v>272.475478096783</v>
      </c>
      <c r="G167" s="19" t="n">
        <f aca="false">G159+G163+G164+G165</f>
        <v>296.846209185926</v>
      </c>
    </row>
    <row r="168" customFormat="false" ht="15" hidden="false" customHeight="false" outlineLevel="0" collapsed="false">
      <c r="A168" s="4" t="s">
        <v>480</v>
      </c>
      <c r="B168" s="0" t="s">
        <v>193</v>
      </c>
      <c r="C168" s="22" t="n">
        <f aca="false">ROUND(C166+C165-C167,6)</f>
        <v>0</v>
      </c>
      <c r="D168" s="22" t="n">
        <f aca="false">ROUND(D166+D165-D167,6)</f>
        <v>0</v>
      </c>
      <c r="E168" s="22" t="n">
        <f aca="false">ROUND(E166+E165-E167,6)</f>
        <v>0</v>
      </c>
      <c r="F168" s="22" t="n">
        <f aca="false">ROUND(F166+F165-F167,6)</f>
        <v>0</v>
      </c>
      <c r="G168" s="22" t="n">
        <f aca="false">ROUND(G166+G165-G167,6)</f>
        <v>0</v>
      </c>
    </row>
    <row r="169" customFormat="false" ht="15" hidden="false" customHeight="false" outlineLevel="0" collapsed="false">
      <c r="A169" s="4" t="s">
        <v>481</v>
      </c>
      <c r="B169" s="0" t="s">
        <v>53</v>
      </c>
      <c r="D169" s="14" t="n">
        <f aca="false">D167/C167-1</f>
        <v>0.612732474451979</v>
      </c>
      <c r="E169" s="14" t="n">
        <f aca="false">E167/D167-1</f>
        <v>0.330961273837189</v>
      </c>
      <c r="F169" s="14" t="n">
        <f aca="false">F167/E167-1</f>
        <v>-0.0909391746531648</v>
      </c>
      <c r="G169" s="14" t="n">
        <f aca="false">G167/F167-1</f>
        <v>0.0894419243132276</v>
      </c>
    </row>
    <row r="170" customFormat="false" ht="17.15" hidden="false" customHeight="false" outlineLevel="0" collapsed="false">
      <c r="A170" s="4" t="s">
        <v>482</v>
      </c>
      <c r="B170" s="0" t="s">
        <v>53</v>
      </c>
      <c r="C170" s="14" t="n">
        <f aca="false">C159/C167</f>
        <v>0.15</v>
      </c>
      <c r="D170" s="14" t="n">
        <f aca="false">D159/D167</f>
        <v>0.32</v>
      </c>
      <c r="E170" s="14" t="n">
        <f aca="false">E159/E167</f>
        <v>0.412965411265699</v>
      </c>
      <c r="F170" s="14" t="n">
        <f aca="false">F159/F167</f>
        <v>0.41125418827244</v>
      </c>
      <c r="G170" s="14" t="n">
        <f aca="false">G159/G167</f>
        <v>0.435140885762005</v>
      </c>
    </row>
    <row r="171" customFormat="false" ht="17.15" hidden="false" customHeight="false" outlineLevel="0" collapsed="false">
      <c r="A171" s="0" t="s">
        <v>483</v>
      </c>
      <c r="B171" s="0" t="s">
        <v>53</v>
      </c>
      <c r="C171" s="14" t="n">
        <f aca="false">(C159+C163)/C167</f>
        <v>0.372</v>
      </c>
      <c r="D171" s="14" t="n">
        <f aca="false">(D159+D163)/D167</f>
        <v>0.53</v>
      </c>
      <c r="E171" s="14" t="n">
        <f aca="false">(E159+E163)/E167</f>
        <v>0.623580332615083</v>
      </c>
      <c r="F171" s="14" t="n">
        <f aca="false">(F159+F163)/F167</f>
        <v>0.563971231919448</v>
      </c>
      <c r="G171" s="14" t="n">
        <f aca="false">(G159+G163)/G167</f>
        <v>0.582543545449476</v>
      </c>
    </row>
    <row r="172" customFormat="false" ht="17.15" hidden="false" customHeight="false" outlineLevel="0" collapsed="false">
      <c r="A172" s="4" t="s">
        <v>435</v>
      </c>
      <c r="B172" s="0" t="s">
        <v>423</v>
      </c>
      <c r="D172" s="18" t="n">
        <f aca="false">(D159+D163)/fx/D151*1000</f>
        <v>159.399762088039</v>
      </c>
      <c r="E172" s="18" t="n">
        <f aca="false">(E159+E163)/fx/E151*1000</f>
        <v>140.247662128791</v>
      </c>
      <c r="F172" s="18" t="n">
        <f aca="false">(F159+F163)/fx/F151*1000</f>
        <v>151.605128776265</v>
      </c>
      <c r="G172" s="18" t="n">
        <f aca="false">(G159+G163)/fx/G151*1000</f>
        <v>149.763306237288</v>
      </c>
    </row>
    <row r="173" customFormat="false" ht="17.15" hidden="false" customHeight="false" outlineLevel="0" collapsed="false">
      <c r="A173" s="6" t="s">
        <v>484</v>
      </c>
    </row>
    <row r="174" customFormat="false" ht="17.15" hidden="false" customHeight="false" outlineLevel="0" collapsed="false">
      <c r="A174" s="4" t="s">
        <v>485</v>
      </c>
      <c r="B174" s="0" t="s">
        <v>53</v>
      </c>
      <c r="D174" s="14" t="n">
        <f aca="false">a26_gp/D167-d_lc*D170</f>
        <v>0.302821503074929</v>
      </c>
      <c r="H174" s="8" t="s">
        <v>486</v>
      </c>
    </row>
    <row r="175" customFormat="false" ht="15" hidden="false" customHeight="false" outlineLevel="0" collapsed="false">
      <c r="A175" s="4" t="s">
        <v>361</v>
      </c>
      <c r="B175" s="0" t="s">
        <v>193</v>
      </c>
      <c r="C175" s="19" t="n">
        <f aca="false">a25_gp</f>
        <v>36.034</v>
      </c>
      <c r="D175" s="19" t="n">
        <f aca="false">a26_gp</f>
        <v>72.5193552</v>
      </c>
      <c r="E175" s="19" t="n">
        <f aca="false">$D$174*E167+d_lc*E159</f>
        <v>98.192341163304</v>
      </c>
      <c r="F175" s="19" t="n">
        <f aca="false">$D$174*F167+d_lc*F159</f>
        <v>89.234834722458</v>
      </c>
      <c r="G175" s="19" t="n">
        <f aca="false">$D$174*G167+d_lc*G159</f>
        <v>97.6416105917924</v>
      </c>
    </row>
    <row r="176" customFormat="false" ht="15" hidden="false" customHeight="false" outlineLevel="0" collapsed="false">
      <c r="A176" s="4" t="s">
        <v>364</v>
      </c>
      <c r="B176" s="0" t="s">
        <v>53</v>
      </c>
      <c r="C176" s="14" t="n">
        <f aca="false">C175/C167</f>
        <v>0.258051117524474</v>
      </c>
      <c r="D176" s="14" t="n">
        <f aca="false">D175/D167</f>
        <v>0.322021503074929</v>
      </c>
      <c r="E176" s="14" t="n">
        <f aca="false">E175/E167</f>
        <v>0.327599427750871</v>
      </c>
      <c r="F176" s="14" t="n">
        <f aca="false">F175/F167</f>
        <v>0.327496754371275</v>
      </c>
      <c r="G176" s="14" t="n">
        <f aca="false">G175/G167</f>
        <v>0.328929956220649</v>
      </c>
    </row>
    <row r="177" customFormat="false" ht="15" hidden="false" customHeight="false" outlineLevel="0" collapsed="false">
      <c r="A177" s="4" t="s">
        <v>487</v>
      </c>
      <c r="B177" s="0" t="s">
        <v>193</v>
      </c>
      <c r="C177" s="19" t="n">
        <f aca="false">a25_opx</f>
        <v>8.4832253</v>
      </c>
      <c r="D177" s="19" t="n">
        <f aca="false">a26_opx</f>
        <v>11.7048599</v>
      </c>
      <c r="E177" s="19" t="n">
        <f aca="false">D177*(1+MAX(0,phi*E169))</f>
        <v>14.4165586398129</v>
      </c>
      <c r="F177" s="19" t="n">
        <f aca="false">E177*(1+MAX(0,phi*F169))</f>
        <v>14.4165586398129</v>
      </c>
      <c r="G177" s="19" t="n">
        <f aca="false">F177*(1+MAX(0,phi*G169))</f>
        <v>15.3191699625164</v>
      </c>
    </row>
    <row r="178" customFormat="false" ht="15" hidden="false" customHeight="false" outlineLevel="0" collapsed="false">
      <c r="A178" s="4" t="s">
        <v>366</v>
      </c>
      <c r="B178" s="0" t="s">
        <v>193</v>
      </c>
      <c r="C178" s="19" t="n">
        <f aca="false">C177</f>
        <v>8.4832253</v>
      </c>
      <c r="D178" s="19" t="n">
        <f aca="false">D177</f>
        <v>11.7048599</v>
      </c>
      <c r="E178" s="19" t="n">
        <f aca="false">E177+0*E167</f>
        <v>14.4165586398129</v>
      </c>
      <c r="F178" s="19" t="n">
        <f aca="false">F177+0*F167</f>
        <v>14.4165586398129</v>
      </c>
      <c r="G178" s="19" t="n">
        <f aca="false">G177+0*G167</f>
        <v>15.3191699625164</v>
      </c>
    </row>
    <row r="179" customFormat="false" ht="15" hidden="false" customHeight="false" outlineLevel="0" collapsed="false">
      <c r="A179" s="4" t="s">
        <v>368</v>
      </c>
      <c r="B179" s="0" t="s">
        <v>193</v>
      </c>
      <c r="C179" s="19" t="n">
        <f aca="false">C175-C178</f>
        <v>27.5507747</v>
      </c>
      <c r="D179" s="19" t="n">
        <f aca="false">D175-D178</f>
        <v>60.8144953</v>
      </c>
      <c r="E179" s="19" t="n">
        <f aca="false">E175-E178</f>
        <v>83.7757825234911</v>
      </c>
      <c r="F179" s="19" t="n">
        <f aca="false">F175-F178</f>
        <v>74.8182760826452</v>
      </c>
      <c r="G179" s="19" t="n">
        <f aca="false">G175-G178</f>
        <v>82.322440629276</v>
      </c>
    </row>
    <row r="180" customFormat="false" ht="15" hidden="false" customHeight="false" outlineLevel="0" collapsed="false">
      <c r="A180" s="4" t="s">
        <v>371</v>
      </c>
      <c r="B180" s="0" t="s">
        <v>53</v>
      </c>
      <c r="C180" s="14" t="n">
        <f aca="false">C179/C167</f>
        <v>0.1973</v>
      </c>
      <c r="D180" s="14" t="n">
        <f aca="false">D179/D167</f>
        <v>0.27004618465291</v>
      </c>
      <c r="E180" s="14" t="n">
        <f aca="false">E179/E167</f>
        <v>0.279501416189206</v>
      </c>
      <c r="F180" s="14" t="n">
        <f aca="false">F179/F167</f>
        <v>0.274587190763896</v>
      </c>
      <c r="G180" s="14" t="n">
        <f aca="false">G179/G167</f>
        <v>0.277323536840971</v>
      </c>
    </row>
    <row r="181" customFormat="false" ht="15" hidden="false" customHeight="false" outlineLevel="0" collapsed="false">
      <c r="A181" s="4" t="s">
        <v>373</v>
      </c>
      <c r="B181" s="0" t="s">
        <v>193</v>
      </c>
      <c r="C181" s="19" t="n">
        <f aca="false">a25_nop</f>
        <v>1.23179436863779</v>
      </c>
      <c r="D181" s="19" t="n">
        <f aca="false">a26_nop</f>
        <v>0.8186111</v>
      </c>
      <c r="E181" s="19" t="n">
        <f aca="false">nop_f</f>
        <v>1</v>
      </c>
      <c r="F181" s="19" t="n">
        <f aca="false">nop_f</f>
        <v>1</v>
      </c>
      <c r="G181" s="19" t="n">
        <f aca="false">nop_f</f>
        <v>1</v>
      </c>
    </row>
    <row r="182" customFormat="false" ht="17.15" hidden="false" customHeight="false" outlineLevel="0" collapsed="false">
      <c r="A182" s="4" t="s">
        <v>236</v>
      </c>
      <c r="B182" s="0" t="s">
        <v>53</v>
      </c>
      <c r="C182" s="14" t="n">
        <f aca="false">a25_ni/(a25_oi+a25_nop)</f>
        <v>0.666583999303438</v>
      </c>
      <c r="D182" s="14" t="n">
        <f aca="false">a26_ni/(a26_oi+a26_nop)</f>
        <v>0.674837141220258</v>
      </c>
      <c r="E182" s="14" t="n">
        <f aca="false">nir_f</f>
        <v>0.675</v>
      </c>
      <c r="F182" s="14" t="n">
        <f aca="false">nir_f</f>
        <v>0.675</v>
      </c>
      <c r="G182" s="14" t="n">
        <f aca="false">nir_f</f>
        <v>0.675</v>
      </c>
    </row>
    <row r="183" customFormat="false" ht="15" hidden="false" customHeight="false" outlineLevel="0" collapsed="false">
      <c r="A183" s="4" t="s">
        <v>377</v>
      </c>
      <c r="B183" s="0" t="s">
        <v>193</v>
      </c>
      <c r="C183" s="19" t="n">
        <f aca="false">a25_ni</f>
        <v>19.186</v>
      </c>
      <c r="D183" s="19" t="n">
        <f aca="false">a26_ni</f>
        <v>41.5923093275</v>
      </c>
      <c r="E183" s="19" t="n">
        <f aca="false">(E179+E181)*E182</f>
        <v>57.2236532033565</v>
      </c>
      <c r="F183" s="19" t="n">
        <f aca="false">(F179+F181)*F182</f>
        <v>51.1773363557855</v>
      </c>
      <c r="G183" s="19" t="n">
        <f aca="false">(G179+G181)*G182</f>
        <v>56.2426474247613</v>
      </c>
    </row>
    <row r="184" customFormat="false" ht="15" hidden="false" customHeight="false" outlineLevel="0" collapsed="false">
      <c r="A184" s="4" t="s">
        <v>488</v>
      </c>
      <c r="B184" s="4" t="s">
        <v>219</v>
      </c>
      <c r="C184" s="22" t="n">
        <f aca="false">a25_sh</f>
        <v>0.390197274761033</v>
      </c>
      <c r="D184" s="22" t="n">
        <f aca="false">a26_sh</f>
        <v>0.392523574315222</v>
      </c>
      <c r="E184" s="22" t="n">
        <f aca="false">D184*(1+sh_g)</f>
        <v>0.392523574315222</v>
      </c>
      <c r="F184" s="22" t="n">
        <f aca="false">E184*(1+sh_g)</f>
        <v>0.392523574315222</v>
      </c>
      <c r="G184" s="22" t="n">
        <f aca="false">F184*(1+sh_g)</f>
        <v>0.392523574315222</v>
      </c>
    </row>
    <row r="185" customFormat="false" ht="15" hidden="false" customHeight="false" outlineLevel="0" collapsed="false">
      <c r="A185" s="0" t="s">
        <v>382</v>
      </c>
      <c r="B185" s="0" t="s">
        <v>256</v>
      </c>
      <c r="C185" s="20" t="n">
        <f aca="false">C183/C184</f>
        <v>49.17</v>
      </c>
      <c r="D185" s="20" t="n">
        <f aca="false">D183/D184</f>
        <v>105.961302834002</v>
      </c>
      <c r="E185" s="20" t="n">
        <f aca="false">E183/E184</f>
        <v>145.783990944203</v>
      </c>
      <c r="F185" s="20" t="n">
        <f aca="false">F183/F184</f>
        <v>130.380287209671</v>
      </c>
      <c r="G185" s="20" t="n">
        <f aca="false">G183/G184</f>
        <v>143.284763272829</v>
      </c>
    </row>
    <row r="186" customFormat="false" ht="17.15" hidden="false" customHeight="false" outlineLevel="0" collapsed="false">
      <c r="A186" s="0" t="s">
        <v>489</v>
      </c>
      <c r="B186" s="0" t="s">
        <v>53</v>
      </c>
      <c r="D186" s="14" t="n">
        <f aca="false">D185/C185-1</f>
        <v>1.15499904075659</v>
      </c>
      <c r="E186" s="14" t="n">
        <f aca="false">E185/D185-1</f>
        <v>0.375822937667983</v>
      </c>
      <c r="F186" s="14" t="n">
        <f aca="false">F185/E185-1</f>
        <v>-0.105661147254687</v>
      </c>
      <c r="G186" s="14" t="n">
        <f aca="false">G185/F185-1</f>
        <v>0.0989756683263403</v>
      </c>
    </row>
    <row r="189" customFormat="false" ht="17.15" hidden="false" customHeight="false" outlineLevel="0" collapsed="false">
      <c r="A189" s="1" t="s">
        <v>492</v>
      </c>
    </row>
    <row r="190" customFormat="false" ht="17.15" hidden="false" customHeight="false" outlineLevel="0" collapsed="false">
      <c r="A190" s="1" t="s">
        <v>493</v>
      </c>
    </row>
    <row r="191" customFormat="false" ht="17.15" hidden="false" customHeight="false" outlineLevel="0" collapsed="false">
      <c r="A191" s="5" t="s">
        <v>22</v>
      </c>
      <c r="B191" s="5" t="s">
        <v>23</v>
      </c>
      <c r="C191" s="11" t="s">
        <v>351</v>
      </c>
      <c r="D191" s="11" t="s">
        <v>440</v>
      </c>
      <c r="E191" s="11" t="s">
        <v>441</v>
      </c>
      <c r="F191" s="11" t="s">
        <v>442</v>
      </c>
      <c r="G191" s="11" t="s">
        <v>443</v>
      </c>
      <c r="H191" s="11" t="s">
        <v>494</v>
      </c>
      <c r="I191" s="11" t="s">
        <v>495</v>
      </c>
      <c r="J191" s="11" t="s">
        <v>496</v>
      </c>
      <c r="K191" s="5" t="s">
        <v>416</v>
      </c>
    </row>
    <row r="192" customFormat="false" ht="17.15" hidden="false" customHeight="false" outlineLevel="0" collapsed="false">
      <c r="A192" s="4" t="s">
        <v>497</v>
      </c>
      <c r="B192" s="0" t="s">
        <v>193</v>
      </c>
      <c r="C192" s="19" t="n">
        <f aca="false">C81</f>
        <v>139.639</v>
      </c>
      <c r="D192" s="19" t="n">
        <f aca="false">D81</f>
        <v>225.20035</v>
      </c>
      <c r="E192" s="19" t="n">
        <f aca="false">E81</f>
        <v>351.307669196167</v>
      </c>
      <c r="F192" s="19" t="n">
        <f aca="false">F81</f>
        <v>441.621437825909</v>
      </c>
      <c r="G192" s="19" t="n">
        <f aca="false">G81</f>
        <v>469.538959020978</v>
      </c>
      <c r="H192" s="23" t="n">
        <f aca="false">G192*(1+H193)</f>
        <v>498.717974184553</v>
      </c>
      <c r="I192" s="23" t="n">
        <f aca="false">H192*(1+I193)</f>
        <v>529.175670918958</v>
      </c>
      <c r="J192" s="23" t="n">
        <f aca="false">I192*(1+J193)</f>
        <v>560.926211174095</v>
      </c>
      <c r="K192" s="8" t="s">
        <v>498</v>
      </c>
    </row>
    <row r="193" customFormat="false" ht="15" hidden="false" customHeight="false" outlineLevel="0" collapsed="false">
      <c r="A193" s="4" t="s">
        <v>445</v>
      </c>
      <c r="B193" s="0" t="s">
        <v>53</v>
      </c>
      <c r="C193" s="14"/>
      <c r="D193" s="14" t="n">
        <f aca="false">D192/C192-1</f>
        <v>0.612732474451979</v>
      </c>
      <c r="E193" s="14" t="n">
        <f aca="false">E192/D192-1</f>
        <v>0.559978344599227</v>
      </c>
      <c r="F193" s="14" t="n">
        <f aca="false">F192/E192-1</f>
        <v>0.257078841564692</v>
      </c>
      <c r="G193" s="14" t="n">
        <f aca="false">G192/F192-1</f>
        <v>0.06321595557613</v>
      </c>
      <c r="H193" s="24" t="n">
        <f aca="false">$G$193+($C$199-$G$193)*1/3</f>
        <v>0.0621439703840867</v>
      </c>
      <c r="I193" s="24" t="n">
        <f aca="false">$G$193+($C$199-$G$193)*2/3</f>
        <v>0.0610719851920433</v>
      </c>
      <c r="J193" s="24" t="n">
        <f aca="false">$G$193+($C$199-$G$193)*3/3</f>
        <v>0.06</v>
      </c>
    </row>
    <row r="194" customFormat="false" ht="15" hidden="false" customHeight="false" outlineLevel="0" collapsed="false">
      <c r="A194" s="4" t="s">
        <v>499</v>
      </c>
      <c r="B194" s="0" t="s">
        <v>193</v>
      </c>
      <c r="C194" s="19" t="n">
        <f aca="false">C97</f>
        <v>19.186</v>
      </c>
      <c r="D194" s="19" t="n">
        <f aca="false">D97</f>
        <v>41.5923093275</v>
      </c>
      <c r="E194" s="19" t="n">
        <f aca="false">E97</f>
        <v>68.5879465553678</v>
      </c>
      <c r="F194" s="19" t="n">
        <f aca="false">F97</f>
        <v>88.232736298323</v>
      </c>
      <c r="G194" s="19" t="n">
        <f aca="false">G97</f>
        <v>94.1437978507719</v>
      </c>
      <c r="H194" s="23" t="n">
        <f aca="false">H192*H195</f>
        <v>99.9942672362557</v>
      </c>
      <c r="I194" s="23" t="n">
        <f aca="false">I192*I195</f>
        <v>106.101115644198</v>
      </c>
      <c r="J194" s="23" t="n">
        <f aca="false">J192*J195</f>
        <v>112.467182582849</v>
      </c>
    </row>
    <row r="195" customFormat="false" ht="15" hidden="false" customHeight="false" outlineLevel="0" collapsed="false">
      <c r="A195" s="4" t="s">
        <v>500</v>
      </c>
      <c r="B195" s="0" t="s">
        <v>53</v>
      </c>
      <c r="C195" s="14" t="n">
        <f aca="false">C194/C192</f>
        <v>0.137397145496602</v>
      </c>
      <c r="D195" s="14" t="n">
        <f aca="false">D194/D192</f>
        <v>0.184690251713641</v>
      </c>
      <c r="E195" s="14" t="n">
        <f aca="false">E194/E192</f>
        <v>0.195236120840473</v>
      </c>
      <c r="F195" s="14" t="n">
        <f aca="false">F194/F192</f>
        <v>0.199792692883503</v>
      </c>
      <c r="G195" s="14" t="n">
        <f aca="false">G194/G192</f>
        <v>0.200502633577133</v>
      </c>
      <c r="H195" s="24" t="n">
        <f aca="false">$G$195+($C$200-$G$195)*1/3</f>
        <v>0.200502633577133</v>
      </c>
      <c r="I195" s="24" t="n">
        <f aca="false">$G$195+($C$200-$G$195)*2/3</f>
        <v>0.200502633577133</v>
      </c>
      <c r="J195" s="24" t="n">
        <f aca="false">$G$195+($C$200-$G$195)*3/3</f>
        <v>0.200502633577133</v>
      </c>
    </row>
    <row r="196" customFormat="false" ht="17.15" hidden="false" customHeight="false" outlineLevel="0" collapsed="false">
      <c r="A196" s="4" t="s">
        <v>501</v>
      </c>
      <c r="B196" s="4" t="s">
        <v>219</v>
      </c>
      <c r="C196" s="21" t="n">
        <f aca="false">C98</f>
        <v>0.390197274761033</v>
      </c>
      <c r="D196" s="21" t="n">
        <f aca="false">D98</f>
        <v>0.392523574315222</v>
      </c>
      <c r="E196" s="21" t="n">
        <f aca="false">E98</f>
        <v>0.392523574315222</v>
      </c>
      <c r="F196" s="21" t="n">
        <f aca="false">F98</f>
        <v>0.392523574315222</v>
      </c>
      <c r="G196" s="21" t="n">
        <f aca="false">G98</f>
        <v>0.392523574315222</v>
      </c>
      <c r="H196" s="25" t="n">
        <f aca="false">G196*(1+sh_g)</f>
        <v>0.392523574315222</v>
      </c>
      <c r="I196" s="25" t="n">
        <f aca="false">H196*(1+sh_g)</f>
        <v>0.392523574315222</v>
      </c>
      <c r="J196" s="25" t="n">
        <f aca="false">I196*(1+sh_g)</f>
        <v>0.392523574315222</v>
      </c>
      <c r="K196" s="8" t="s">
        <v>502</v>
      </c>
    </row>
    <row r="197" customFormat="false" ht="17.15" hidden="false" customHeight="false" outlineLevel="0" collapsed="false">
      <c r="A197" s="0" t="s">
        <v>503</v>
      </c>
      <c r="B197" s="0" t="s">
        <v>256</v>
      </c>
      <c r="C197" s="15" t="n">
        <f aca="false">C99</f>
        <v>49.17</v>
      </c>
      <c r="D197" s="15" t="n">
        <f aca="false">D99</f>
        <v>105.961302834002</v>
      </c>
      <c r="E197" s="15" t="n">
        <f aca="false">E99</f>
        <v>174.735865673859</v>
      </c>
      <c r="F197" s="15" t="n">
        <f aca="false">F99</f>
        <v>224.783279455889</v>
      </c>
      <c r="G197" s="15" t="n">
        <f aca="false">G99</f>
        <v>239.842404408476</v>
      </c>
      <c r="H197" s="26" t="n">
        <f aca="false">H194/H196</f>
        <v>254.747163684884</v>
      </c>
      <c r="I197" s="26" t="n">
        <f aca="false">I194/I196</f>
        <v>270.305078693162</v>
      </c>
      <c r="J197" s="26" t="n">
        <f aca="false">J194/J196</f>
        <v>286.523383414752</v>
      </c>
    </row>
    <row r="198" customFormat="false" ht="17.15" hidden="false" customHeight="false" outlineLevel="0" collapsed="false">
      <c r="A198" s="0" t="s">
        <v>451</v>
      </c>
      <c r="B198" s="0" t="s">
        <v>53</v>
      </c>
      <c r="C198" s="14"/>
      <c r="D198" s="14" t="n">
        <f aca="false">D197/C197-1</f>
        <v>1.15499904075659</v>
      </c>
      <c r="E198" s="14" t="n">
        <f aca="false">E197/D197-1</f>
        <v>0.649053578999492</v>
      </c>
      <c r="F198" s="14" t="n">
        <f aca="false">F197/E197-1</f>
        <v>0.286417522750836</v>
      </c>
      <c r="G198" s="14" t="n">
        <f aca="false">G197/F197-1</f>
        <v>0.0669939729905125</v>
      </c>
      <c r="H198" s="24" t="n">
        <f aca="false">H197/G197-1</f>
        <v>0.0621439703840865</v>
      </c>
      <c r="I198" s="24" t="n">
        <f aca="false">I197/H197-1</f>
        <v>0.0610719851920434</v>
      </c>
      <c r="J198" s="24" t="n">
        <f aca="false">J197/I197-1</f>
        <v>0.0600000000000003</v>
      </c>
    </row>
    <row r="199" customFormat="false" ht="17.15" hidden="false" customHeight="false" outlineLevel="0" collapsed="false">
      <c r="A199" s="4" t="s">
        <v>504</v>
      </c>
      <c r="B199" s="0" t="s">
        <v>53</v>
      </c>
      <c r="C199" s="14" t="n">
        <f aca="false">fade_gA</f>
        <v>0.06</v>
      </c>
      <c r="K199" s="8" t="s">
        <v>505</v>
      </c>
    </row>
    <row r="200" customFormat="false" ht="17.15" hidden="false" customHeight="false" outlineLevel="0" collapsed="false">
      <c r="A200" s="4" t="s">
        <v>506</v>
      </c>
      <c r="B200" s="0" t="s">
        <v>53</v>
      </c>
      <c r="C200" s="14" t="n">
        <f aca="false">G195</f>
        <v>0.200502633577133</v>
      </c>
      <c r="K200" s="4" t="s">
        <v>507</v>
      </c>
    </row>
    <row r="202" customFormat="false" ht="17.15" hidden="false" customHeight="false" outlineLevel="0" collapsed="false">
      <c r="A202" s="1" t="s">
        <v>508</v>
      </c>
    </row>
    <row r="203" customFormat="false" ht="17.15" hidden="false" customHeight="false" outlineLevel="0" collapsed="false">
      <c r="A203" s="5" t="s">
        <v>22</v>
      </c>
      <c r="B203" s="5" t="s">
        <v>23</v>
      </c>
      <c r="C203" s="11" t="s">
        <v>351</v>
      </c>
      <c r="D203" s="11" t="s">
        <v>440</v>
      </c>
      <c r="E203" s="11" t="s">
        <v>441</v>
      </c>
      <c r="F203" s="11" t="s">
        <v>442</v>
      </c>
      <c r="G203" s="11" t="s">
        <v>443</v>
      </c>
      <c r="H203" s="11" t="s">
        <v>494</v>
      </c>
      <c r="I203" s="11" t="s">
        <v>495</v>
      </c>
      <c r="J203" s="11" t="s">
        <v>496</v>
      </c>
      <c r="K203" s="5" t="s">
        <v>416</v>
      </c>
    </row>
    <row r="204" customFormat="false" ht="17.15" hidden="false" customHeight="false" outlineLevel="0" collapsed="false">
      <c r="A204" s="4" t="s">
        <v>497</v>
      </c>
      <c r="B204" s="0" t="s">
        <v>193</v>
      </c>
      <c r="C204" s="19" t="n">
        <f aca="false">C124</f>
        <v>139.639</v>
      </c>
      <c r="D204" s="19" t="n">
        <f aca="false">D124</f>
        <v>225.20035</v>
      </c>
      <c r="E204" s="19" t="n">
        <f aca="false">E124</f>
        <v>330.677779399532</v>
      </c>
      <c r="F204" s="19" t="n">
        <f aca="false">F124</f>
        <v>355.714449847431</v>
      </c>
      <c r="G204" s="19" t="n">
        <f aca="false">G124</f>
        <v>405.496788512835</v>
      </c>
      <c r="H204" s="23" t="n">
        <f aca="false">G204*(1+H205)</f>
        <v>448.736339795594</v>
      </c>
      <c r="I204" s="23" t="n">
        <f aca="false">H204*(1+I205)</f>
        <v>481.636235084443</v>
      </c>
      <c r="J204" s="23" t="n">
        <f aca="false">I204*(1+J205)</f>
        <v>500.901684487821</v>
      </c>
      <c r="K204" s="8" t="s">
        <v>498</v>
      </c>
    </row>
    <row r="205" customFormat="false" ht="15" hidden="false" customHeight="false" outlineLevel="0" collapsed="false">
      <c r="A205" s="4" t="s">
        <v>445</v>
      </c>
      <c r="B205" s="0" t="s">
        <v>53</v>
      </c>
      <c r="C205" s="14"/>
      <c r="D205" s="14" t="n">
        <f aca="false">D204/C204-1</f>
        <v>0.612732474451979</v>
      </c>
      <c r="E205" s="14" t="n">
        <f aca="false">E204/D204-1</f>
        <v>0.468371516294412</v>
      </c>
      <c r="F205" s="14" t="n">
        <f aca="false">F204/E204-1</f>
        <v>0.0757131927441954</v>
      </c>
      <c r="G205" s="14" t="n">
        <f aca="false">G204/F204-1</f>
        <v>0.13995028508613</v>
      </c>
      <c r="H205" s="24" t="n">
        <f aca="false">$G$205+($C$211-$G$205)*1/3</f>
        <v>0.106633523390753</v>
      </c>
      <c r="I205" s="24" t="n">
        <f aca="false">$G$205+($C$211-$G$205)*2/3</f>
        <v>0.0733167616953766</v>
      </c>
      <c r="J205" s="24" t="n">
        <f aca="false">$G$205+($C$211-$G$205)*3/3</f>
        <v>0.04</v>
      </c>
    </row>
    <row r="206" customFormat="false" ht="15" hidden="false" customHeight="false" outlineLevel="0" collapsed="false">
      <c r="A206" s="4" t="s">
        <v>499</v>
      </c>
      <c r="B206" s="0" t="s">
        <v>193</v>
      </c>
      <c r="C206" s="19" t="n">
        <f aca="false">C140</f>
        <v>19.186</v>
      </c>
      <c r="D206" s="19" t="n">
        <f aca="false">D140</f>
        <v>41.5923093275</v>
      </c>
      <c r="E206" s="19" t="n">
        <f aca="false">E140</f>
        <v>64.0422292145633</v>
      </c>
      <c r="F206" s="19" t="n">
        <f aca="false">F140</f>
        <v>69.6852034444305</v>
      </c>
      <c r="G206" s="19" t="n">
        <f aca="false">G140</f>
        <v>80.3243341611878</v>
      </c>
      <c r="H206" s="23" t="n">
        <f aca="false">H204*H207</f>
        <v>85.9266142292511</v>
      </c>
      <c r="I206" s="23" t="n">
        <f aca="false">I204*I207</f>
        <v>89.0462520408157</v>
      </c>
      <c r="J206" s="23" t="n">
        <f aca="false">J204*J207</f>
        <v>89.3006699037894</v>
      </c>
    </row>
    <row r="207" customFormat="false" ht="15" hidden="false" customHeight="false" outlineLevel="0" collapsed="false">
      <c r="A207" s="4" t="s">
        <v>500</v>
      </c>
      <c r="B207" s="0" t="s">
        <v>53</v>
      </c>
      <c r="C207" s="14" t="n">
        <f aca="false">C206/C204</f>
        <v>0.137397145496602</v>
      </c>
      <c r="D207" s="14" t="n">
        <f aca="false">D206/D204</f>
        <v>0.184690251713641</v>
      </c>
      <c r="E207" s="14" t="n">
        <f aca="false">E206/E204</f>
        <v>0.193669587750515</v>
      </c>
      <c r="F207" s="14" t="n">
        <f aca="false">F206/F204</f>
        <v>0.195902087964993</v>
      </c>
      <c r="G207" s="14" t="n">
        <f aca="false">G206/G204</f>
        <v>0.19808870609254</v>
      </c>
      <c r="H207" s="24" t="n">
        <f aca="false">$G$207+($C$212-$G$207)*1/3</f>
        <v>0.191485749222788</v>
      </c>
      <c r="I207" s="24" t="n">
        <f aca="false">$G$207+($C$212-$G$207)*2/3</f>
        <v>0.184882792353037</v>
      </c>
      <c r="J207" s="24" t="n">
        <f aca="false">$G$207+($C$212-$G$207)*3/3</f>
        <v>0.178279835483286</v>
      </c>
    </row>
    <row r="208" customFormat="false" ht="17.15" hidden="false" customHeight="false" outlineLevel="0" collapsed="false">
      <c r="A208" s="4" t="s">
        <v>501</v>
      </c>
      <c r="B208" s="4" t="s">
        <v>219</v>
      </c>
      <c r="C208" s="21" t="n">
        <f aca="false">C141</f>
        <v>0.390197274761033</v>
      </c>
      <c r="D208" s="21" t="n">
        <f aca="false">D141</f>
        <v>0.392523574315222</v>
      </c>
      <c r="E208" s="21" t="n">
        <f aca="false">E141</f>
        <v>0.392523574315222</v>
      </c>
      <c r="F208" s="21" t="n">
        <f aca="false">F141</f>
        <v>0.392523574315222</v>
      </c>
      <c r="G208" s="21" t="n">
        <f aca="false">G141</f>
        <v>0.392523574315222</v>
      </c>
      <c r="H208" s="25" t="n">
        <f aca="false">G208*(1+sh_g)</f>
        <v>0.392523574315222</v>
      </c>
      <c r="I208" s="25" t="n">
        <f aca="false">H208*(1+sh_g)</f>
        <v>0.392523574315222</v>
      </c>
      <c r="J208" s="25" t="n">
        <f aca="false">I208*(1+sh_g)</f>
        <v>0.392523574315222</v>
      </c>
      <c r="K208" s="8" t="s">
        <v>502</v>
      </c>
    </row>
    <row r="209" customFormat="false" ht="17.15" hidden="false" customHeight="false" outlineLevel="0" collapsed="false">
      <c r="A209" s="0" t="s">
        <v>503</v>
      </c>
      <c r="B209" s="0" t="s">
        <v>256</v>
      </c>
      <c r="C209" s="15" t="n">
        <f aca="false">C142</f>
        <v>49.17</v>
      </c>
      <c r="D209" s="15" t="n">
        <f aca="false">D142</f>
        <v>105.961302834002</v>
      </c>
      <c r="E209" s="15" t="n">
        <f aca="false">E142</f>
        <v>163.155115781997</v>
      </c>
      <c r="F209" s="15" t="n">
        <f aca="false">F142</f>
        <v>177.531256730248</v>
      </c>
      <c r="G209" s="15" t="n">
        <f aca="false">G142</f>
        <v>204.635694305285</v>
      </c>
      <c r="H209" s="26" t="n">
        <f aca="false">H206/H208</f>
        <v>218.908162087219</v>
      </c>
      <c r="I209" s="26" t="n">
        <f aca="false">I206/I208</f>
        <v>226.855806549101</v>
      </c>
      <c r="J209" s="26" t="n">
        <f aca="false">J206/J208</f>
        <v>227.503965996384</v>
      </c>
    </row>
    <row r="210" customFormat="false" ht="17.15" hidden="false" customHeight="false" outlineLevel="0" collapsed="false">
      <c r="A210" s="0" t="s">
        <v>451</v>
      </c>
      <c r="B210" s="0" t="s">
        <v>53</v>
      </c>
      <c r="C210" s="14"/>
      <c r="D210" s="14" t="n">
        <f aca="false">D209/C209-1</f>
        <v>1.15499904075659</v>
      </c>
      <c r="E210" s="14" t="n">
        <f aca="false">E209/D209-1</f>
        <v>0.539761322466888</v>
      </c>
      <c r="F210" s="14" t="n">
        <f aca="false">F209/E209-1</f>
        <v>0.0881133323913714</v>
      </c>
      <c r="G210" s="14" t="n">
        <f aca="false">G209/F209-1</f>
        <v>0.152674171716257</v>
      </c>
      <c r="H210" s="24" t="n">
        <f aca="false">H209/G209-1</f>
        <v>0.0697457392777281</v>
      </c>
      <c r="I210" s="24" t="n">
        <f aca="false">I209/H209-1</f>
        <v>0.0363058388782949</v>
      </c>
      <c r="J210" s="24" t="n">
        <f aca="false">J209/I209-1</f>
        <v>0.00285714285714289</v>
      </c>
    </row>
    <row r="211" customFormat="false" ht="17.15" hidden="false" customHeight="false" outlineLevel="0" collapsed="false">
      <c r="A211" s="4" t="s">
        <v>504</v>
      </c>
      <c r="B211" s="0" t="s">
        <v>53</v>
      </c>
      <c r="C211" s="14" t="n">
        <f aca="false">fade_gB</f>
        <v>0.04</v>
      </c>
      <c r="K211" s="8" t="s">
        <v>509</v>
      </c>
    </row>
    <row r="212" customFormat="false" ht="17.15" hidden="false" customHeight="false" outlineLevel="0" collapsed="false">
      <c r="A212" s="4" t="s">
        <v>506</v>
      </c>
      <c r="B212" s="0" t="s">
        <v>53</v>
      </c>
      <c r="C212" s="14" t="n">
        <f aca="false">G207*(1+nim10_f)/2</f>
        <v>0.178279835483286</v>
      </c>
      <c r="K212" s="4" t="s">
        <v>510</v>
      </c>
    </row>
    <row r="214" customFormat="false" ht="17.15" hidden="false" customHeight="false" outlineLevel="0" collapsed="false">
      <c r="A214" s="1" t="s">
        <v>511</v>
      </c>
    </row>
    <row r="215" customFormat="false" ht="17.15" hidden="false" customHeight="false" outlineLevel="0" collapsed="false">
      <c r="A215" s="5" t="s">
        <v>22</v>
      </c>
      <c r="B215" s="5" t="s">
        <v>23</v>
      </c>
      <c r="C215" s="11" t="s">
        <v>351</v>
      </c>
      <c r="D215" s="11" t="s">
        <v>440</v>
      </c>
      <c r="E215" s="11" t="s">
        <v>441</v>
      </c>
      <c r="F215" s="11" t="s">
        <v>442</v>
      </c>
      <c r="G215" s="11" t="s">
        <v>443</v>
      </c>
      <c r="H215" s="11" t="s">
        <v>494</v>
      </c>
      <c r="I215" s="11" t="s">
        <v>495</v>
      </c>
      <c r="J215" s="11" t="s">
        <v>496</v>
      </c>
      <c r="K215" s="5" t="s">
        <v>416</v>
      </c>
    </row>
    <row r="216" customFormat="false" ht="17.15" hidden="false" customHeight="false" outlineLevel="0" collapsed="false">
      <c r="A216" s="4" t="s">
        <v>497</v>
      </c>
      <c r="B216" s="0" t="s">
        <v>193</v>
      </c>
      <c r="C216" s="19" t="n">
        <f aca="false">C167</f>
        <v>139.639</v>
      </c>
      <c r="D216" s="19" t="n">
        <f aca="false">D167</f>
        <v>225.20035</v>
      </c>
      <c r="E216" s="19" t="n">
        <f aca="false">E167</f>
        <v>299.732944704581</v>
      </c>
      <c r="F216" s="19" t="n">
        <f aca="false">F167</f>
        <v>272.475478096783</v>
      </c>
      <c r="G216" s="19" t="n">
        <f aca="false">G167</f>
        <v>296.846209185926</v>
      </c>
      <c r="H216" s="23" t="n">
        <f aca="false">G216*(1+H217)</f>
        <v>316.52551469695</v>
      </c>
      <c r="I216" s="23" t="n">
        <f aca="false">H216*(1+I217)</f>
        <v>330.182738602486</v>
      </c>
      <c r="J216" s="23" t="n">
        <f aca="false">I216*(1+J217)</f>
        <v>336.786393374536</v>
      </c>
      <c r="K216" s="8" t="s">
        <v>498</v>
      </c>
    </row>
    <row r="217" customFormat="false" ht="15" hidden="false" customHeight="false" outlineLevel="0" collapsed="false">
      <c r="A217" s="4" t="s">
        <v>445</v>
      </c>
      <c r="B217" s="0" t="s">
        <v>53</v>
      </c>
      <c r="C217" s="14"/>
      <c r="D217" s="14" t="n">
        <f aca="false">D216/C216-1</f>
        <v>0.612732474451979</v>
      </c>
      <c r="E217" s="14" t="n">
        <f aca="false">E216/D216-1</f>
        <v>0.330961273837189</v>
      </c>
      <c r="F217" s="14" t="n">
        <f aca="false">F216/E216-1</f>
        <v>-0.0909391746531648</v>
      </c>
      <c r="G217" s="14" t="n">
        <f aca="false">G216/F216-1</f>
        <v>0.0894419243132276</v>
      </c>
      <c r="H217" s="24" t="n">
        <f aca="false">$G$217+($C$223-$G$217)*1/3</f>
        <v>0.0662946162088184</v>
      </c>
      <c r="I217" s="24" t="n">
        <f aca="false">$G$217+($C$223-$G$217)*2/3</f>
        <v>0.0431473081044092</v>
      </c>
      <c r="J217" s="24" t="n">
        <f aca="false">$G$217+($C$223-$G$217)*3/3</f>
        <v>0.02</v>
      </c>
    </row>
    <row r="218" customFormat="false" ht="15" hidden="false" customHeight="false" outlineLevel="0" collapsed="false">
      <c r="A218" s="4" t="s">
        <v>499</v>
      </c>
      <c r="B218" s="0" t="s">
        <v>193</v>
      </c>
      <c r="C218" s="19" t="n">
        <f aca="false">C183</f>
        <v>19.186</v>
      </c>
      <c r="D218" s="19" t="n">
        <f aca="false">D183</f>
        <v>41.5923093275</v>
      </c>
      <c r="E218" s="19" t="n">
        <f aca="false">E183</f>
        <v>57.2236532033565</v>
      </c>
      <c r="F218" s="19" t="n">
        <f aca="false">F183</f>
        <v>51.1773363557855</v>
      </c>
      <c r="G218" s="19" t="n">
        <f aca="false">G183</f>
        <v>56.2426474247613</v>
      </c>
      <c r="H218" s="23" t="n">
        <f aca="false">H216*H219</f>
        <v>55.9731500069968</v>
      </c>
      <c r="I218" s="23" t="n">
        <f aca="false">I216*I219</f>
        <v>54.2176521304999</v>
      </c>
      <c r="J218" s="23" t="n">
        <f aca="false">J216*J219</f>
        <v>51.0480047751784</v>
      </c>
    </row>
    <row r="219" customFormat="false" ht="15" hidden="false" customHeight="false" outlineLevel="0" collapsed="false">
      <c r="A219" s="4" t="s">
        <v>500</v>
      </c>
      <c r="B219" s="0" t="s">
        <v>53</v>
      </c>
      <c r="C219" s="14" t="n">
        <f aca="false">C218/C216</f>
        <v>0.137397145496602</v>
      </c>
      <c r="D219" s="14" t="n">
        <f aca="false">D218/D216</f>
        <v>0.184690251713641</v>
      </c>
      <c r="E219" s="14" t="n">
        <f aca="false">E218/E216</f>
        <v>0.190915460626981</v>
      </c>
      <c r="F219" s="14" t="n">
        <f aca="false">F218/F216</f>
        <v>0.187823640913504</v>
      </c>
      <c r="G219" s="14" t="n">
        <f aca="false">G218/G216</f>
        <v>0.189467292100518</v>
      </c>
      <c r="H219" s="24" t="n">
        <f aca="false">$G$219+($C$224-$G$219)*1/3</f>
        <v>0.176836139293816</v>
      </c>
      <c r="I219" s="24" t="n">
        <f aca="false">$G$219+($C$224-$G$219)*2/3</f>
        <v>0.164204986487115</v>
      </c>
      <c r="J219" s="24" t="n">
        <f aca="false">$G$219+($C$224-$G$219)*3/3</f>
        <v>0.151573833680414</v>
      </c>
    </row>
    <row r="220" customFormat="false" ht="17.15" hidden="false" customHeight="false" outlineLevel="0" collapsed="false">
      <c r="A220" s="4" t="s">
        <v>501</v>
      </c>
      <c r="B220" s="4" t="s">
        <v>219</v>
      </c>
      <c r="C220" s="21" t="n">
        <f aca="false">C184</f>
        <v>0.390197274761033</v>
      </c>
      <c r="D220" s="21" t="n">
        <f aca="false">D184</f>
        <v>0.392523574315222</v>
      </c>
      <c r="E220" s="21" t="n">
        <f aca="false">E184</f>
        <v>0.392523574315222</v>
      </c>
      <c r="F220" s="21" t="n">
        <f aca="false">F184</f>
        <v>0.392523574315222</v>
      </c>
      <c r="G220" s="21" t="n">
        <f aca="false">G184</f>
        <v>0.392523574315222</v>
      </c>
      <c r="H220" s="25" t="n">
        <f aca="false">G220*(1+sh_g)</f>
        <v>0.392523574315222</v>
      </c>
      <c r="I220" s="25" t="n">
        <f aca="false">H220*(1+sh_g)</f>
        <v>0.392523574315222</v>
      </c>
      <c r="J220" s="25" t="n">
        <f aca="false">I220*(1+sh_g)</f>
        <v>0.392523574315222</v>
      </c>
      <c r="K220" s="8" t="s">
        <v>502</v>
      </c>
    </row>
    <row r="221" customFormat="false" ht="17.15" hidden="false" customHeight="false" outlineLevel="0" collapsed="false">
      <c r="A221" s="0" t="s">
        <v>503</v>
      </c>
      <c r="B221" s="0" t="s">
        <v>256</v>
      </c>
      <c r="C221" s="15" t="n">
        <f aca="false">C185</f>
        <v>49.17</v>
      </c>
      <c r="D221" s="15" t="n">
        <f aca="false">D185</f>
        <v>105.961302834002</v>
      </c>
      <c r="E221" s="15" t="n">
        <f aca="false">E185</f>
        <v>145.783990944203</v>
      </c>
      <c r="F221" s="15" t="n">
        <f aca="false">F185</f>
        <v>130.380287209671</v>
      </c>
      <c r="G221" s="15" t="n">
        <f aca="false">G185</f>
        <v>143.284763272829</v>
      </c>
      <c r="H221" s="26" t="n">
        <f aca="false">H218/H220</f>
        <v>142.598186885068</v>
      </c>
      <c r="I221" s="26" t="n">
        <f aca="false">I218/I220</f>
        <v>138.125849447604</v>
      </c>
      <c r="J221" s="26" t="n">
        <f aca="false">J218/J220</f>
        <v>130.050799787591</v>
      </c>
    </row>
    <row r="222" customFormat="false" ht="17.15" hidden="false" customHeight="false" outlineLevel="0" collapsed="false">
      <c r="A222" s="0" t="s">
        <v>451</v>
      </c>
      <c r="B222" s="0" t="s">
        <v>53</v>
      </c>
      <c r="C222" s="14"/>
      <c r="D222" s="14" t="n">
        <f aca="false">D221/C221-1</f>
        <v>1.15499904075659</v>
      </c>
      <c r="E222" s="14" t="n">
        <f aca="false">E221/D221-1</f>
        <v>0.375822937667983</v>
      </c>
      <c r="F222" s="14" t="n">
        <f aca="false">F221/E221-1</f>
        <v>-0.105661147254687</v>
      </c>
      <c r="G222" s="14" t="n">
        <f aca="false">G221/F221-1</f>
        <v>0.0989756683263403</v>
      </c>
      <c r="H222" s="24" t="n">
        <f aca="false">H221/G221-1</f>
        <v>-0.00479169153843606</v>
      </c>
      <c r="I222" s="24" t="n">
        <f aca="false">I221/H221-1</f>
        <v>-0.0313632139030483</v>
      </c>
      <c r="J222" s="24" t="n">
        <f aca="false">J221/I221-1</f>
        <v>-0.0584615384615387</v>
      </c>
    </row>
    <row r="223" customFormat="false" ht="17.15" hidden="false" customHeight="false" outlineLevel="0" collapsed="false">
      <c r="A223" s="4" t="s">
        <v>504</v>
      </c>
      <c r="B223" s="0" t="s">
        <v>53</v>
      </c>
      <c r="C223" s="14" t="n">
        <f aca="false">fade_gC</f>
        <v>0.02</v>
      </c>
      <c r="K223" s="8" t="s">
        <v>512</v>
      </c>
    </row>
    <row r="224" customFormat="false" ht="17.15" hidden="false" customHeight="false" outlineLevel="0" collapsed="false">
      <c r="A224" s="4" t="s">
        <v>506</v>
      </c>
      <c r="B224" s="0" t="s">
        <v>53</v>
      </c>
      <c r="C224" s="14" t="n">
        <f aca="false">G219*nim10_f</f>
        <v>0.151573833680414</v>
      </c>
      <c r="K224" s="4" t="s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514</v>
      </c>
    </row>
    <row r="2" customFormat="false" ht="17.15" hidden="false" customHeight="false" outlineLevel="0" collapsed="false">
      <c r="A2" s="4" t="s">
        <v>515</v>
      </c>
    </row>
    <row r="3" customFormat="false" ht="17.15" hidden="false" customHeight="false" outlineLevel="0" collapsed="false">
      <c r="A3" s="4" t="s">
        <v>516</v>
      </c>
    </row>
    <row r="4" customFormat="false" ht="17.15" hidden="false" customHeight="false" outlineLevel="0" collapsed="false">
      <c r="A4" s="6" t="s">
        <v>517</v>
      </c>
    </row>
    <row r="5" customFormat="false" ht="15" hidden="false" customHeight="false" outlineLevel="0" collapsed="false">
      <c r="A5" s="5" t="s">
        <v>22</v>
      </c>
      <c r="B5" s="11" t="s">
        <v>518</v>
      </c>
      <c r="C5" s="11" t="s">
        <v>519</v>
      </c>
      <c r="D5" s="11" t="s">
        <v>520</v>
      </c>
      <c r="E5" s="5" t="s">
        <v>416</v>
      </c>
    </row>
    <row r="6" customFormat="false" ht="17.15" hidden="false" customHeight="false" outlineLevel="0" collapsed="false">
      <c r="A6" s="4" t="s">
        <v>521</v>
      </c>
      <c r="B6" s="18" t="n">
        <f aca="false">px</f>
        <v>3145</v>
      </c>
    </row>
    <row r="7" customFormat="false" ht="17.15" hidden="false" customHeight="false" outlineLevel="0" collapsed="false">
      <c r="A7" s="4" t="s">
        <v>522</v>
      </c>
      <c r="B7" s="17" t="n">
        <f aca="false">px/PL!D15</f>
        <v>29.6806467633466</v>
      </c>
      <c r="C7" s="17" t="n">
        <f aca="false">px/PL!D29</f>
        <v>29.6806467633466</v>
      </c>
      <c r="D7" s="17" t="n">
        <f aca="false">px/PL!D43</f>
        <v>29.6806467633466</v>
      </c>
    </row>
    <row r="8" customFormat="false" ht="17.15" hidden="false" customHeight="false" outlineLevel="0" collapsed="false">
      <c r="A8" s="4" t="s">
        <v>523</v>
      </c>
      <c r="B8" s="17" t="n">
        <f aca="false">px/PL!E15</f>
        <v>17.9985945522488</v>
      </c>
      <c r="C8" s="17" t="n">
        <f aca="false">px/PL!E29</f>
        <v>19.2761347685981</v>
      </c>
      <c r="D8" s="17" t="n">
        <f aca="false">px/PL!E43</f>
        <v>21.5730134676016</v>
      </c>
      <c r="E8" s="8" t="s">
        <v>524</v>
      </c>
    </row>
    <row r="9" customFormat="false" ht="17.15" hidden="false" customHeight="false" outlineLevel="0" collapsed="false">
      <c r="A9" s="4" t="s">
        <v>525</v>
      </c>
      <c r="B9" s="17" t="n">
        <f aca="false">px/PL!F15</f>
        <v>13.991254187646</v>
      </c>
      <c r="C9" s="17" t="n">
        <f aca="false">px/PL!F29</f>
        <v>17.7151903159155</v>
      </c>
      <c r="D9" s="17" t="n">
        <f aca="false">px/PL!F43</f>
        <v>24.1217446847801</v>
      </c>
    </row>
    <row r="10" customFormat="false" ht="17.15" hidden="false" customHeight="false" outlineLevel="0" collapsed="false">
      <c r="A10" s="4" t="s">
        <v>526</v>
      </c>
      <c r="B10" s="17" t="n">
        <f aca="false">px/PL!G15</f>
        <v>13.1127771494642</v>
      </c>
      <c r="C10" s="17" t="n">
        <f aca="false">px/PL!G29</f>
        <v>15.3687752797815</v>
      </c>
      <c r="D10" s="17" t="n">
        <f aca="false">px/PL!G43</f>
        <v>21.9492982237867</v>
      </c>
    </row>
    <row r="11" customFormat="false" ht="17.15" hidden="false" customHeight="false" outlineLevel="0" collapsed="false">
      <c r="A11" s="4" t="s">
        <v>527</v>
      </c>
      <c r="B11" s="15" t="n">
        <f aca="false">0.25*PL!D15+0.75*PL!E15</f>
        <v>157.542224963895</v>
      </c>
    </row>
    <row r="12" customFormat="false" ht="17.15" hidden="false" customHeight="false" outlineLevel="0" collapsed="false">
      <c r="A12" s="4" t="s">
        <v>528</v>
      </c>
      <c r="B12" s="17" t="n">
        <f aca="false">px/B11</f>
        <v>19.9629020138618</v>
      </c>
    </row>
    <row r="13" customFormat="false" ht="17.15" hidden="false" customHeight="false" outlineLevel="0" collapsed="false">
      <c r="A13" s="4" t="s">
        <v>529</v>
      </c>
      <c r="B13" s="17" t="n">
        <f aca="false">pe_ttm</f>
        <v>41.92</v>
      </c>
    </row>
    <row r="15" customFormat="false" ht="17.15" hidden="false" customHeight="false" outlineLevel="0" collapsed="false">
      <c r="A15" s="6" t="s">
        <v>530</v>
      </c>
    </row>
    <row r="16" customFormat="false" ht="17.15" hidden="false" customHeight="false" outlineLevel="0" collapsed="false">
      <c r="A16" s="5" t="s">
        <v>531</v>
      </c>
      <c r="B16" s="5" t="s">
        <v>532</v>
      </c>
      <c r="C16" s="11" t="s">
        <v>533</v>
      </c>
      <c r="D16" s="5" t="s">
        <v>534</v>
      </c>
      <c r="E16" s="5" t="s">
        <v>535</v>
      </c>
      <c r="F16" s="5" t="s">
        <v>416</v>
      </c>
    </row>
    <row r="17" customFormat="false" ht="17.15" hidden="false" customHeight="false" outlineLevel="0" collapsed="false">
      <c r="A17" s="0" t="s">
        <v>518</v>
      </c>
      <c r="B17" s="0" t="n">
        <f aca="false">INDEX({2026,2027,2028,2029},MATCH(MAX(PL!D81:G81),PL!D81:G81,0))</f>
        <v>2029</v>
      </c>
      <c r="C17" s="0" t="str">
        <f aca="false">IF(B17=2029,"中段",IF(2027&lt;B17,"中段",IF(2027=B17,"見頂","谷底")))</f>
        <v>中段</v>
      </c>
      <c r="D17" s="17" t="n">
        <f aca="false">IF(C17="見頂",pe_peak,IF(C17="谷底",pe_trough,pe_mid))</f>
        <v>12.74</v>
      </c>
      <c r="E17" s="0" t="str">
        <f aca="false">IF(B17=2029,"是：營收到觀測期末仍在增加","否")</f>
        <v>是：營收到觀測期末仍在增加</v>
      </c>
      <c r="F17" s="8" t="s">
        <v>536</v>
      </c>
    </row>
    <row r="18" customFormat="false" ht="15" hidden="false" customHeight="false" outlineLevel="0" collapsed="false">
      <c r="A18" s="0" t="s">
        <v>519</v>
      </c>
      <c r="B18" s="0" t="n">
        <f aca="false">INDEX({2026,2027,2028,2029},MATCH(MAX(PL!D124:G124),PL!D124:G124,0))</f>
        <v>2029</v>
      </c>
      <c r="C18" s="0" t="str">
        <f aca="false">IF(B18=2029,"中段",IF(2027&lt;B18,"中段",IF(2027=B18,"見頂","谷底")))</f>
        <v>中段</v>
      </c>
      <c r="D18" s="17" t="n">
        <f aca="false">IF(C18="見頂",pe_peak,IF(C18="谷底",pe_trough,pe_mid))</f>
        <v>12.74</v>
      </c>
      <c r="E18" s="0" t="str">
        <f aca="false">IF(B18=2029,"是：營收到觀測期末仍在增加","否")</f>
        <v>是：營收到觀測期末仍在增加</v>
      </c>
      <c r="F18" s="4" t="s">
        <v>39</v>
      </c>
    </row>
    <row r="19" customFormat="false" ht="15" hidden="false" customHeight="false" outlineLevel="0" collapsed="false">
      <c r="A19" s="0" t="s">
        <v>520</v>
      </c>
      <c r="B19" s="0" t="n">
        <f aca="false">INDEX({2026,2027,2028,2029},MATCH(MAX(PL!D167:G167),PL!D167:G167,0))</f>
        <v>2027</v>
      </c>
      <c r="C19" s="0" t="str">
        <f aca="false">IF(B19=2029,"中段",IF(2027&lt;B19,"中段",IF(2027=B19,"見頂","谷底")))</f>
        <v>見頂</v>
      </c>
      <c r="D19" s="17" t="n">
        <f aca="false">IF(C19="見頂",pe_peak,IF(C19="谷底",pe_trough,pe_mid))</f>
        <v>11.11</v>
      </c>
      <c r="E19" s="0" t="str">
        <f aca="false">IF(B19=2029,"是：營收到觀測期末仍在增加","否")</f>
        <v>否</v>
      </c>
      <c r="F19" s="4" t="s">
        <v>39</v>
      </c>
    </row>
    <row r="21" customFormat="false" ht="17.15" hidden="false" customHeight="false" outlineLevel="0" collapsed="false">
      <c r="A21" s="6" t="s">
        <v>537</v>
      </c>
    </row>
    <row r="22" customFormat="false" ht="17.15" hidden="false" customHeight="false" outlineLevel="0" collapsed="false">
      <c r="A22" s="5" t="s">
        <v>531</v>
      </c>
      <c r="B22" s="11" t="s">
        <v>538</v>
      </c>
      <c r="C22" s="5" t="s">
        <v>539</v>
      </c>
      <c r="D22" s="5" t="s">
        <v>540</v>
      </c>
      <c r="E22" s="5" t="s">
        <v>541</v>
      </c>
      <c r="F22" s="5" t="s">
        <v>542</v>
      </c>
      <c r="G22" s="5" t="s">
        <v>543</v>
      </c>
    </row>
    <row r="23" customFormat="false" ht="15" hidden="false" customHeight="false" outlineLevel="0" collapsed="false">
      <c r="A23" s="10" t="s">
        <v>518</v>
      </c>
      <c r="B23" s="27" t="n">
        <f aca="false">PL!E15</f>
        <v>174.735865673859</v>
      </c>
      <c r="C23" s="27" t="n">
        <f aca="false">B23</f>
        <v>174.735865673859</v>
      </c>
      <c r="D23" s="28" t="n">
        <f aca="false">D17</f>
        <v>12.74</v>
      </c>
      <c r="E23" s="29" t="n">
        <f aca="false">C23*D23</f>
        <v>2226.13492868497</v>
      </c>
      <c r="F23" s="30" t="n">
        <f aca="false">E23/px-1</f>
        <v>-0.292166954313206</v>
      </c>
      <c r="G23" s="28" t="n">
        <f aca="false">px/C23</f>
        <v>17.9985945522488</v>
      </c>
    </row>
    <row r="24" customFormat="false" ht="15" hidden="false" customHeight="false" outlineLevel="0" collapsed="false">
      <c r="A24" s="10" t="s">
        <v>519</v>
      </c>
      <c r="B24" s="27" t="n">
        <f aca="false">PL!E29</f>
        <v>163.155115781997</v>
      </c>
      <c r="C24" s="27" t="n">
        <f aca="false">B24</f>
        <v>163.155115781997</v>
      </c>
      <c r="D24" s="28" t="n">
        <f aca="false">D18</f>
        <v>12.74</v>
      </c>
      <c r="E24" s="29" t="n">
        <f aca="false">C24*D24</f>
        <v>2078.59617506264</v>
      </c>
      <c r="F24" s="30" t="n">
        <f aca="false">E24/px-1</f>
        <v>-0.339079117627142</v>
      </c>
      <c r="G24" s="28" t="n">
        <f aca="false">px/C24</f>
        <v>19.2761347685981</v>
      </c>
    </row>
    <row r="25" customFormat="false" ht="15" hidden="false" customHeight="false" outlineLevel="0" collapsed="false">
      <c r="A25" s="10" t="s">
        <v>520</v>
      </c>
      <c r="B25" s="27" t="n">
        <f aca="false">PL!E43</f>
        <v>145.783990944203</v>
      </c>
      <c r="C25" s="27" t="n">
        <f aca="false">B25</f>
        <v>145.783990944203</v>
      </c>
      <c r="D25" s="28" t="n">
        <f aca="false">D19</f>
        <v>11.11</v>
      </c>
      <c r="E25" s="29" t="n">
        <f aca="false">C25*D25</f>
        <v>1619.66013939009</v>
      </c>
      <c r="F25" s="30" t="n">
        <f aca="false">E25/px-1</f>
        <v>-0.485004725154183</v>
      </c>
      <c r="G25" s="28" t="n">
        <f aca="false">px/C25</f>
        <v>21.5730134676016</v>
      </c>
    </row>
    <row r="26" customFormat="false" ht="17.15" hidden="false" customHeight="false" outlineLevel="0" collapsed="false">
      <c r="A26" s="6" t="s">
        <v>544</v>
      </c>
    </row>
    <row r="27" customFormat="false" ht="17.15" hidden="false" customHeight="false" outlineLevel="0" collapsed="false">
      <c r="A27" s="11" t="s">
        <v>545</v>
      </c>
      <c r="B27" s="5" t="s">
        <v>546</v>
      </c>
      <c r="C27" s="5" t="s">
        <v>547</v>
      </c>
      <c r="D27" s="5" t="s">
        <v>548</v>
      </c>
      <c r="E27" s="5" t="s">
        <v>549</v>
      </c>
    </row>
    <row r="28" customFormat="false" ht="15" hidden="false" customHeight="false" outlineLevel="0" collapsed="false">
      <c r="A28" s="16" t="n">
        <v>1</v>
      </c>
      <c r="B28" s="17" t="n">
        <f aca="false">px*A28/PL!F15</f>
        <v>13.991254187646</v>
      </c>
      <c r="C28" s="17" t="n">
        <f aca="false">px*A28/PL!F43</f>
        <v>24.1217446847801</v>
      </c>
      <c r="D28" s="17" t="n">
        <f aca="false">pe_mid</f>
        <v>12.74</v>
      </c>
      <c r="E28" s="17" t="n">
        <f aca="false">pe_trough</f>
        <v>21.73</v>
      </c>
    </row>
    <row r="29" customFormat="false" ht="15" hidden="false" customHeight="false" outlineLevel="0" collapsed="false">
      <c r="A29" s="16" t="n">
        <v>1.1</v>
      </c>
      <c r="B29" s="17" t="n">
        <f aca="false">px*A29/PL!F15</f>
        <v>15.3903796064106</v>
      </c>
      <c r="C29" s="17" t="n">
        <f aca="false">px*A29/PL!F43</f>
        <v>26.5339191532582</v>
      </c>
      <c r="D29" s="17" t="n">
        <f aca="false">pe_mid</f>
        <v>12.74</v>
      </c>
      <c r="E29" s="17" t="n">
        <f aca="false">pe_trough</f>
        <v>21.73</v>
      </c>
    </row>
    <row r="30" customFormat="false" ht="15" hidden="false" customHeight="false" outlineLevel="0" collapsed="false">
      <c r="A30" s="16" t="n">
        <v>1.21</v>
      </c>
      <c r="B30" s="17" t="n">
        <f aca="false">px*A30/PL!F15</f>
        <v>16.9294175670516</v>
      </c>
      <c r="C30" s="17" t="n">
        <f aca="false">px*A30/PL!F43</f>
        <v>29.187311068584</v>
      </c>
      <c r="D30" s="17" t="n">
        <f aca="false">pe_mid</f>
        <v>12.74</v>
      </c>
      <c r="E30" s="17" t="n">
        <f aca="false">pe_trough</f>
        <v>21.73</v>
      </c>
    </row>
    <row r="31" customFormat="false" ht="15" hidden="false" customHeight="false" outlineLevel="0" collapsed="false">
      <c r="A31" s="16" t="n">
        <v>1.5</v>
      </c>
      <c r="B31" s="17" t="n">
        <f aca="false">px*A31/PL!F15</f>
        <v>20.9868812814689</v>
      </c>
      <c r="C31" s="17" t="n">
        <f aca="false">px*A31/PL!F43</f>
        <v>36.1826170271702</v>
      </c>
      <c r="D31" s="17" t="n">
        <f aca="false">pe_mid</f>
        <v>12.74</v>
      </c>
      <c r="E31" s="17" t="n">
        <f aca="false">pe_trough</f>
        <v>21.73</v>
      </c>
    </row>
    <row r="32" customFormat="false" ht="15" hidden="false" customHeight="false" outlineLevel="0" collapsed="false">
      <c r="A32" s="16" t="n">
        <v>2</v>
      </c>
      <c r="B32" s="17" t="n">
        <f aca="false">px*A32/PL!F15</f>
        <v>27.9825083752919</v>
      </c>
      <c r="C32" s="17" t="n">
        <f aca="false">px*A32/PL!F43</f>
        <v>48.2434893695603</v>
      </c>
      <c r="D32" s="17" t="n">
        <f aca="false">pe_mid</f>
        <v>12.74</v>
      </c>
      <c r="E32" s="17" t="n">
        <f aca="false">pe_trough</f>
        <v>21.73</v>
      </c>
    </row>
    <row r="33" customFormat="false" ht="17.15" hidden="false" customHeight="false" outlineLevel="0" collapsed="false">
      <c r="A33" s="4" t="s">
        <v>550</v>
      </c>
    </row>
    <row r="40" customFormat="false" ht="17.15" hidden="false" customHeight="false" outlineLevel="0" collapsed="false">
      <c r="A40" s="6" t="s">
        <v>551</v>
      </c>
    </row>
    <row r="41" customFormat="false" ht="17.15" hidden="false" customHeight="false" outlineLevel="0" collapsed="false">
      <c r="A41" s="4" t="s">
        <v>552</v>
      </c>
    </row>
    <row r="43" customFormat="false" ht="17.15" hidden="false" customHeight="false" outlineLevel="0" collapsed="false">
      <c r="A43" s="6" t="s">
        <v>553</v>
      </c>
    </row>
    <row r="44" customFormat="false" ht="17.15" hidden="false" customHeight="false" outlineLevel="0" collapsed="false">
      <c r="A44" s="5" t="s">
        <v>554</v>
      </c>
      <c r="B44" s="11" t="s">
        <v>555</v>
      </c>
      <c r="C44" s="11" t="s">
        <v>556</v>
      </c>
      <c r="D44" s="5" t="s">
        <v>557</v>
      </c>
    </row>
    <row r="45" customFormat="false" ht="17.15" hidden="false" customHeight="false" outlineLevel="0" collapsed="false">
      <c r="A45" s="0" t="s">
        <v>558</v>
      </c>
      <c r="B45" s="15" t="n">
        <f aca="false">25.1/2.43</f>
        <v>10.3292181069959</v>
      </c>
      <c r="D45" s="8" t="s">
        <v>559</v>
      </c>
    </row>
    <row r="46" customFormat="false" ht="17.15" hidden="false" customHeight="false" outlineLevel="0" collapsed="false">
      <c r="A46" s="0" t="s">
        <v>560</v>
      </c>
      <c r="B46" s="15" t="n">
        <f aca="false">32.4/2.51</f>
        <v>12.9083665338645</v>
      </c>
      <c r="D46" s="8" t="s">
        <v>561</v>
      </c>
    </row>
    <row r="47" customFormat="false" ht="15" hidden="false" customHeight="false" outlineLevel="0" collapsed="false">
      <c r="A47" s="0" t="s">
        <v>562</v>
      </c>
      <c r="B47" s="15" t="n">
        <f aca="false">25.25/2.01</f>
        <v>12.5621890547264</v>
      </c>
    </row>
    <row r="48" customFormat="false" ht="15" hidden="false" customHeight="false" outlineLevel="0" collapsed="false">
      <c r="A48" s="0" t="s">
        <v>563</v>
      </c>
      <c r="B48" s="15" t="n">
        <f aca="false">41.65/2.71</f>
        <v>15.3690036900369</v>
      </c>
    </row>
    <row r="49" customFormat="false" ht="15" hidden="false" customHeight="false" outlineLevel="0" collapsed="false">
      <c r="A49" s="0" t="s">
        <v>564</v>
      </c>
      <c r="B49" s="15" t="n">
        <f aca="false">66.1/5.42</f>
        <v>12.1955719557196</v>
      </c>
    </row>
    <row r="50" customFormat="false" ht="15" hidden="false" customHeight="false" outlineLevel="0" collapsed="false">
      <c r="A50" s="0" t="s">
        <v>565</v>
      </c>
      <c r="B50" s="15" t="n">
        <f aca="false">88.2/8.21</f>
        <v>10.7429963459196</v>
      </c>
      <c r="C50" s="16" t="n">
        <v>10.74</v>
      </c>
    </row>
    <row r="51" customFormat="false" ht="15" hidden="false" customHeight="false" outlineLevel="0" collapsed="false">
      <c r="A51" s="0" t="s">
        <v>566</v>
      </c>
      <c r="B51" s="15" t="n">
        <f aca="false">112/11.78</f>
        <v>9.50764006791172</v>
      </c>
      <c r="C51" s="16" t="n">
        <v>9.51</v>
      </c>
    </row>
    <row r="52" customFormat="false" ht="15" hidden="false" customHeight="false" outlineLevel="0" collapsed="false">
      <c r="A52" s="0" t="s">
        <v>567</v>
      </c>
      <c r="B52" s="15" t="n">
        <f aca="false">336.5/14.11</f>
        <v>23.8483345145287</v>
      </c>
      <c r="C52" s="16" t="n">
        <v>24.32</v>
      </c>
    </row>
    <row r="53" customFormat="false" ht="15" hidden="false" customHeight="false" outlineLevel="0" collapsed="false">
      <c r="A53" s="0" t="s">
        <v>568</v>
      </c>
      <c r="B53" s="15" t="n">
        <f aca="false">623/21.21</f>
        <v>29.3729372937294</v>
      </c>
      <c r="C53" s="16" t="n">
        <v>29.54</v>
      </c>
    </row>
    <row r="54" customFormat="false" ht="15" hidden="false" customHeight="false" outlineLevel="0" collapsed="false">
      <c r="A54" s="0" t="s">
        <v>569</v>
      </c>
      <c r="B54" s="15" t="n">
        <f aca="false">1510/49.17</f>
        <v>30.7097823876347</v>
      </c>
      <c r="C54" s="16" t="n">
        <v>30.55</v>
      </c>
    </row>
    <row r="55" customFormat="false" ht="17.15" hidden="false" customHeight="false" outlineLevel="0" collapsed="false">
      <c r="A55" s="0" t="s">
        <v>570</v>
      </c>
      <c r="B55" s="15" t="n">
        <f aca="false">PERCENTILE(B45:B54,0.25)</f>
        <v>11.1061402483696</v>
      </c>
      <c r="C55" s="15" t="n">
        <f aca="false">PERCENTILE(C45:C54,0.25)</f>
        <v>10.74</v>
      </c>
    </row>
    <row r="56" customFormat="false" ht="15" hidden="false" customHeight="false" outlineLevel="0" collapsed="false">
      <c r="A56" s="4" t="s">
        <v>571</v>
      </c>
      <c r="B56" s="15" t="n">
        <f aca="false">MEDIAN(B45:B54)</f>
        <v>12.7352777942955</v>
      </c>
      <c r="C56" s="15" t="n">
        <f aca="false">MEDIAN(C45:C54)</f>
        <v>24.32</v>
      </c>
    </row>
    <row r="57" customFormat="false" ht="17.15" hidden="false" customHeight="false" outlineLevel="0" collapsed="false">
      <c r="A57" s="0" t="s">
        <v>572</v>
      </c>
      <c r="B57" s="15" t="n">
        <f aca="false">PERCENTILE(B45:B54,0.75)</f>
        <v>21.7285018084058</v>
      </c>
      <c r="C57" s="15" t="n">
        <f aca="false">PERCENTILE(C45:C54,0.75)</f>
        <v>29.54</v>
      </c>
    </row>
    <row r="58" customFormat="false" ht="15" hidden="false" customHeight="false" outlineLevel="0" collapsed="false">
      <c r="A58" s="4" t="s">
        <v>573</v>
      </c>
      <c r="B58" s="15" t="n">
        <f aca="false">MIN(B45:B54)</f>
        <v>9.50764006791172</v>
      </c>
      <c r="C58" s="15" t="n">
        <f aca="false">MIN(C45:C54)</f>
        <v>9.51</v>
      </c>
    </row>
    <row r="59" customFormat="false" ht="15" hidden="false" customHeight="false" outlineLevel="0" collapsed="false">
      <c r="A59" s="4" t="s">
        <v>574</v>
      </c>
      <c r="B59" s="15" t="n">
        <f aca="false">MAX(B45:B54)</f>
        <v>30.7097823876347</v>
      </c>
      <c r="C59" s="15" t="n">
        <f aca="false">MAX(C45:C54)</f>
        <v>30.55</v>
      </c>
    </row>
    <row r="60" customFormat="false" ht="17.15" hidden="false" customHeight="false" outlineLevel="0" collapsed="false">
      <c r="A60" s="1" t="s">
        <v>575</v>
      </c>
      <c r="B60" s="15" t="n">
        <f aca="false">ROUND(AVERAGE(B55),2)</f>
        <v>11.11</v>
      </c>
    </row>
    <row r="61" customFormat="false" ht="17.15" hidden="false" customHeight="false" outlineLevel="0" collapsed="false">
      <c r="A61" s="1" t="s">
        <v>576</v>
      </c>
      <c r="B61" s="15" t="n">
        <f aca="false">ROUND(AVERAGE(B56),2)</f>
        <v>12.74</v>
      </c>
    </row>
    <row r="62" customFormat="false" ht="17.15" hidden="false" customHeight="false" outlineLevel="0" collapsed="false">
      <c r="A62" s="1" t="s">
        <v>577</v>
      </c>
      <c r="B62" s="15" t="n">
        <f aca="false">ROUND(AVERAGE(B57),2)</f>
        <v>21.73</v>
      </c>
    </row>
    <row r="63" customFormat="false" ht="17.15" hidden="false" customHeight="false" outlineLevel="0" collapsed="false">
      <c r="A63" s="1" t="s">
        <v>578</v>
      </c>
      <c r="B63" s="15" t="n">
        <f aca="false">ROUND(MIN(B58),2)</f>
        <v>9.51</v>
      </c>
    </row>
    <row r="64" customFormat="false" ht="17.15" hidden="false" customHeight="false" outlineLevel="0" collapsed="false">
      <c r="A64" s="1" t="s">
        <v>579</v>
      </c>
      <c r="B64" s="15" t="n">
        <f aca="false">ROUND(MAX(B59),2)</f>
        <v>30.71</v>
      </c>
    </row>
    <row r="66" customFormat="false" ht="17.15" hidden="false" customHeight="false" outlineLevel="0" collapsed="false">
      <c r="A66" s="6" t="s">
        <v>580</v>
      </c>
    </row>
    <row r="67" customFormat="false" ht="17.15" hidden="false" customHeight="false" outlineLevel="0" collapsed="false">
      <c r="A67" s="5" t="s">
        <v>581</v>
      </c>
      <c r="B67" s="5" t="s">
        <v>582</v>
      </c>
      <c r="C67" s="5" t="s">
        <v>583</v>
      </c>
      <c r="D67" s="5" t="s">
        <v>25</v>
      </c>
      <c r="E67" s="5" t="s">
        <v>584</v>
      </c>
      <c r="F67" s="5" t="s">
        <v>541</v>
      </c>
      <c r="G67" s="5" t="s">
        <v>585</v>
      </c>
      <c r="H67" s="5" t="s">
        <v>586</v>
      </c>
    </row>
    <row r="68" customFormat="false" ht="17.15" hidden="false" customHeight="false" outlineLevel="0" collapsed="false">
      <c r="A68" s="4" t="s">
        <v>587</v>
      </c>
      <c r="B68" s="0" t="s">
        <v>588</v>
      </c>
      <c r="C68" s="15" t="n">
        <f aca="false">B60</f>
        <v>11.11</v>
      </c>
      <c r="D68" s="8" t="s">
        <v>589</v>
      </c>
      <c r="E68" s="20" t="n">
        <f aca="false">C23</f>
        <v>174.735865673859</v>
      </c>
      <c r="F68" s="19" t="n">
        <f aca="false">C68*E68</f>
        <v>1941.31546763658</v>
      </c>
      <c r="G68" s="14" t="n">
        <f aca="false">F68/px-1</f>
        <v>-0.382729581037654</v>
      </c>
      <c r="H68" s="15" t="n">
        <f aca="false">px/E68</f>
        <v>17.9985945522488</v>
      </c>
    </row>
    <row r="69" customFormat="false" ht="17.15" hidden="false" customHeight="false" outlineLevel="0" collapsed="false">
      <c r="A69" s="4" t="s">
        <v>590</v>
      </c>
      <c r="B69" s="4" t="s">
        <v>591</v>
      </c>
      <c r="C69" s="15" t="n">
        <f aca="false">B61</f>
        <v>12.74</v>
      </c>
      <c r="D69" s="8" t="s">
        <v>589</v>
      </c>
      <c r="E69" s="20" t="n">
        <f aca="false">C23</f>
        <v>174.735865673859</v>
      </c>
      <c r="F69" s="19" t="n">
        <f aca="false">C69*E69</f>
        <v>2226.13492868497</v>
      </c>
      <c r="G69" s="14" t="n">
        <f aca="false">F69/px-1</f>
        <v>-0.292166954313206</v>
      </c>
      <c r="H69" s="15" t="n">
        <f aca="false">px/E69</f>
        <v>17.9985945522488</v>
      </c>
    </row>
    <row r="70" customFormat="false" ht="17.15" hidden="false" customHeight="false" outlineLevel="0" collapsed="false">
      <c r="A70" s="4" t="s">
        <v>592</v>
      </c>
      <c r="B70" s="0" t="s">
        <v>593</v>
      </c>
      <c r="C70" s="15" t="n">
        <f aca="false">B62</f>
        <v>21.73</v>
      </c>
      <c r="D70" s="8" t="s">
        <v>589</v>
      </c>
      <c r="E70" s="20" t="n">
        <f aca="false">C23</f>
        <v>174.735865673859</v>
      </c>
      <c r="F70" s="19" t="n">
        <f aca="false">C70*E70</f>
        <v>3797.01036109296</v>
      </c>
      <c r="G70" s="14" t="n">
        <f aca="false">F70/px-1</f>
        <v>0.207316490013661</v>
      </c>
      <c r="H70" s="15" t="n">
        <f aca="false">px/E70</f>
        <v>17.9985945522488</v>
      </c>
    </row>
    <row r="74" customFormat="false" ht="17.15" hidden="false" customHeight="false" outlineLevel="0" collapsed="false">
      <c r="A74" s="1" t="s">
        <v>594</v>
      </c>
    </row>
    <row r="75" customFormat="false" ht="17.15" hidden="false" customHeight="false" outlineLevel="0" collapsed="false">
      <c r="A75" s="31" t="s">
        <v>595</v>
      </c>
      <c r="B75" s="29" t="n">
        <f aca="false">tp_wA*B77+tp_wB*B78+tp_wC*B79</f>
        <v>2031.07059401483</v>
      </c>
      <c r="C75" s="10"/>
      <c r="D75" s="10"/>
      <c r="E75" s="32" t="s">
        <v>596</v>
      </c>
    </row>
    <row r="76" customFormat="false" ht="17.15" hidden="false" customHeight="false" outlineLevel="0" collapsed="false">
      <c r="A76" s="32" t="s">
        <v>597</v>
      </c>
      <c r="B76" s="33" t="n">
        <f aca="false">B75/px-1</f>
        <v>-0.35419059013837</v>
      </c>
      <c r="C76" s="32"/>
      <c r="D76" s="32"/>
      <c r="E76" s="32" t="s">
        <v>598</v>
      </c>
    </row>
    <row r="77" customFormat="false" ht="17.15" hidden="false" customHeight="false" outlineLevel="0" collapsed="false">
      <c r="A77" s="4" t="s">
        <v>599</v>
      </c>
      <c r="B77" s="18" t="n">
        <f aca="false">E23</f>
        <v>2226.13492868497</v>
      </c>
      <c r="E77" s="4" t="s">
        <v>600</v>
      </c>
    </row>
    <row r="78" customFormat="false" ht="17.15" hidden="false" customHeight="false" outlineLevel="0" collapsed="false">
      <c r="A78" s="4" t="s">
        <v>601</v>
      </c>
      <c r="B78" s="18" t="n">
        <f aca="false">E24</f>
        <v>2078.59617506264</v>
      </c>
      <c r="E78" s="4" t="s">
        <v>602</v>
      </c>
    </row>
    <row r="79" customFormat="false" ht="17.15" hidden="false" customHeight="false" outlineLevel="0" collapsed="false">
      <c r="A79" s="4" t="s">
        <v>603</v>
      </c>
      <c r="B79" s="18" t="n">
        <f aca="false">E25</f>
        <v>1619.66013939009</v>
      </c>
      <c r="E79" s="4" t="s">
        <v>604</v>
      </c>
    </row>
    <row r="80" customFormat="false" ht="17.15" hidden="false" customHeight="false" outlineLevel="0" collapsed="false">
      <c r="A80" s="4" t="s">
        <v>605</v>
      </c>
      <c r="B80" s="34" t="n">
        <f aca="false">tp_wA</f>
        <v>0.3</v>
      </c>
      <c r="C80" s="34" t="n">
        <f aca="false">tp_wB</f>
        <v>0.5</v>
      </c>
      <c r="D80" s="34" t="n">
        <f aca="false">tp_wC</f>
        <v>0.2</v>
      </c>
      <c r="E80" s="8" t="s">
        <v>606</v>
      </c>
    </row>
    <row r="81" customFormat="false" ht="17.15" hidden="false" customHeight="false" outlineLevel="0" collapsed="false">
      <c r="A81" s="4" t="s">
        <v>607</v>
      </c>
      <c r="B81" s="0" t="s">
        <v>608</v>
      </c>
    </row>
    <row r="85" customFormat="false" ht="17.15" hidden="false" customHeight="false" outlineLevel="0" collapsed="false">
      <c r="A85" s="6" t="s">
        <v>609</v>
      </c>
    </row>
    <row r="86" customFormat="false" ht="17.15" hidden="false" customHeight="false" outlineLevel="0" collapsed="false">
      <c r="A86" s="6" t="s">
        <v>610</v>
      </c>
    </row>
    <row r="87" customFormat="false" ht="17.15" hidden="false" customHeight="false" outlineLevel="0" collapsed="false">
      <c r="A87" s="5" t="s">
        <v>22</v>
      </c>
      <c r="B87" s="11" t="s">
        <v>611</v>
      </c>
      <c r="C87" s="11" t="s">
        <v>612</v>
      </c>
      <c r="D87" s="11" t="s">
        <v>613</v>
      </c>
      <c r="E87" s="5" t="s">
        <v>416</v>
      </c>
    </row>
    <row r="88" customFormat="false" ht="17.15" hidden="false" customHeight="false" outlineLevel="0" collapsed="false">
      <c r="A88" s="4" t="s">
        <v>614</v>
      </c>
      <c r="E88" s="0" t="s">
        <v>615</v>
      </c>
    </row>
    <row r="89" customFormat="false" ht="15" hidden="false" customHeight="false" outlineLevel="0" collapsed="false">
      <c r="A89" s="0" t="s">
        <v>616</v>
      </c>
      <c r="B89" s="15" t="n">
        <f aca="false">PL!E197</f>
        <v>174.735865673859</v>
      </c>
      <c r="C89" s="15" t="n">
        <f aca="false">PL!E209</f>
        <v>163.155115781997</v>
      </c>
      <c r="D89" s="15" t="n">
        <f aca="false">PL!E221</f>
        <v>145.783990944203</v>
      </c>
    </row>
    <row r="90" customFormat="false" ht="15" hidden="false" customHeight="false" outlineLevel="0" collapsed="false">
      <c r="A90" s="0" t="s">
        <v>617</v>
      </c>
      <c r="B90" s="15" t="n">
        <f aca="false">PL!F197</f>
        <v>224.783279455889</v>
      </c>
      <c r="C90" s="15" t="n">
        <f aca="false">PL!F209</f>
        <v>177.531256730248</v>
      </c>
      <c r="D90" s="15" t="n">
        <f aca="false">PL!F221</f>
        <v>130.380287209671</v>
      </c>
    </row>
    <row r="91" customFormat="false" ht="15" hidden="false" customHeight="false" outlineLevel="0" collapsed="false">
      <c r="A91" s="0" t="s">
        <v>618</v>
      </c>
      <c r="B91" s="15" t="n">
        <f aca="false">PL!G197</f>
        <v>239.842404408476</v>
      </c>
      <c r="C91" s="15" t="n">
        <f aca="false">PL!G209</f>
        <v>204.635694305285</v>
      </c>
      <c r="D91" s="15" t="n">
        <f aca="false">PL!G221</f>
        <v>143.284763272829</v>
      </c>
    </row>
    <row r="92" customFormat="false" ht="15" hidden="false" customHeight="false" outlineLevel="0" collapsed="false">
      <c r="A92" s="0" t="s">
        <v>619</v>
      </c>
      <c r="B92" s="15" t="n">
        <f aca="false">PL!H197</f>
        <v>254.747163684884</v>
      </c>
      <c r="C92" s="15" t="n">
        <f aca="false">PL!H209</f>
        <v>218.908162087219</v>
      </c>
      <c r="D92" s="15" t="n">
        <f aca="false">PL!H221</f>
        <v>142.598186885068</v>
      </c>
    </row>
    <row r="93" customFormat="false" ht="15" hidden="false" customHeight="false" outlineLevel="0" collapsed="false">
      <c r="A93" s="0" t="s">
        <v>620</v>
      </c>
      <c r="B93" s="15" t="n">
        <f aca="false">PL!I197</f>
        <v>270.305078693162</v>
      </c>
      <c r="C93" s="15" t="n">
        <f aca="false">PL!I209</f>
        <v>226.855806549101</v>
      </c>
      <c r="D93" s="15" t="n">
        <f aca="false">PL!I221</f>
        <v>138.125849447604</v>
      </c>
    </row>
    <row r="94" customFormat="false" ht="15" hidden="false" customHeight="false" outlineLevel="0" collapsed="false">
      <c r="A94" s="0" t="s">
        <v>621</v>
      </c>
      <c r="B94" s="15" t="n">
        <f aca="false">PL!J197</f>
        <v>286.523383414752</v>
      </c>
      <c r="C94" s="15" t="n">
        <f aca="false">PL!J209</f>
        <v>227.503965996384</v>
      </c>
      <c r="D94" s="15" t="n">
        <f aca="false">PL!J221</f>
        <v>130.050799787591</v>
      </c>
    </row>
    <row r="95" customFormat="false" ht="17.15" hidden="false" customHeight="false" outlineLevel="0" collapsed="false">
      <c r="A95" s="4" t="s">
        <v>622</v>
      </c>
    </row>
    <row r="96" customFormat="false" ht="17.15" hidden="false" customHeight="false" outlineLevel="0" collapsed="false">
      <c r="A96" s="4" t="s">
        <v>623</v>
      </c>
      <c r="B96" s="14" t="n">
        <f aca="false">MIN(tp_g/tp_roe,0.8)</f>
        <v>0.111389585073796</v>
      </c>
      <c r="E96" s="8" t="s">
        <v>624</v>
      </c>
    </row>
    <row r="97" customFormat="false" ht="15" hidden="false" customHeight="false" outlineLevel="0" collapsed="false">
      <c r="A97" s="0" t="s">
        <v>616</v>
      </c>
      <c r="B97" s="15" t="n">
        <f aca="false">B89*(1-$B$96)</f>
        <v>155.272110098938</v>
      </c>
      <c r="C97" s="15" t="n">
        <f aca="false">C89*(1-$B$96)</f>
        <v>144.981335132373</v>
      </c>
      <c r="D97" s="15" t="n">
        <f aca="false">D89*(1-$B$96)</f>
        <v>129.545172682526</v>
      </c>
    </row>
    <row r="98" customFormat="false" ht="15" hidden="false" customHeight="false" outlineLevel="0" collapsed="false">
      <c r="A98" s="0" t="s">
        <v>617</v>
      </c>
      <c r="B98" s="15" t="n">
        <f aca="false">B90*(1-$B$96)</f>
        <v>199.74476322577</v>
      </c>
      <c r="C98" s="15" t="n">
        <f aca="false">C90*(1-$B$96)</f>
        <v>157.756123705437</v>
      </c>
      <c r="D98" s="15" t="n">
        <f aca="false">D90*(1-$B$96)</f>
        <v>115.857281115584</v>
      </c>
    </row>
    <row r="99" customFormat="false" ht="15" hidden="false" customHeight="false" outlineLevel="0" collapsed="false">
      <c r="A99" s="0" t="s">
        <v>618</v>
      </c>
      <c r="B99" s="15" t="n">
        <f aca="false">B91*(1-$B$96)</f>
        <v>213.126458498314</v>
      </c>
      <c r="C99" s="15" t="n">
        <f aca="false">C91*(1-$B$96)</f>
        <v>181.841409225332</v>
      </c>
      <c r="D99" s="15" t="n">
        <f aca="false">D91*(1-$B$96)</f>
        <v>127.324332944471</v>
      </c>
    </row>
    <row r="100" customFormat="false" ht="15" hidden="false" customHeight="false" outlineLevel="0" collapsed="false">
      <c r="A100" s="0" t="s">
        <v>619</v>
      </c>
      <c r="B100" s="15" t="n">
        <f aca="false">B92*(1-$B$96)</f>
        <v>226.370982823299</v>
      </c>
      <c r="C100" s="15" t="n">
        <f aca="false">C92*(1-$B$96)</f>
        <v>194.524072743056</v>
      </c>
      <c r="D100" s="15" t="n">
        <f aca="false">D92*(1-$B$96)</f>
        <v>126.714234015664</v>
      </c>
    </row>
    <row r="101" customFormat="false" ht="15" hidden="false" customHeight="false" outlineLevel="0" collapsed="false">
      <c r="A101" s="0" t="s">
        <v>620</v>
      </c>
      <c r="B101" s="15" t="n">
        <f aca="false">B93*(1-$B$96)</f>
        <v>240.195908134191</v>
      </c>
      <c r="C101" s="15" t="n">
        <f aca="false">C93*(1-$B$96)</f>
        <v>201.586432386015</v>
      </c>
      <c r="D101" s="15" t="n">
        <f aca="false">D93*(1-$B$96)</f>
        <v>122.74006838967</v>
      </c>
    </row>
    <row r="102" customFormat="false" ht="15" hidden="false" customHeight="false" outlineLevel="0" collapsed="false">
      <c r="A102" s="0" t="s">
        <v>621</v>
      </c>
      <c r="B102" s="15" t="n">
        <f aca="false">B94*(1-$B$96)</f>
        <v>254.607662622243</v>
      </c>
      <c r="C102" s="15" t="n">
        <f aca="false">C94*(1-$B$96)</f>
        <v>202.162393621404</v>
      </c>
      <c r="D102" s="15" t="n">
        <f aca="false">D94*(1-$B$96)</f>
        <v>115.564495160736</v>
      </c>
    </row>
    <row r="103" customFormat="false" ht="17.15" hidden="false" customHeight="false" outlineLevel="0" collapsed="false">
      <c r="A103" s="0" t="s">
        <v>625</v>
      </c>
      <c r="B103" s="18" t="n">
        <f aca="false">SUMPRODUCT(B97:B102,1/(1+tp_r)^{1;2;3;4;5;6})+B102*(1+tp_g)/(tp_r-tp_g)/(1+tp_r)^6</f>
        <v>3404.97247702664</v>
      </c>
      <c r="C103" s="18" t="n">
        <f aca="false">SUMPRODUCT(C97:C102,1/(1+tp_r)^{1;2;3;4;5;6})+C102*(1+tp_g)/(tp_r-tp_g)/(1+tp_r)^6</f>
        <v>2748.94587305181</v>
      </c>
      <c r="D103" s="18" t="n">
        <f aca="false">SUMPRODUCT(D97:D102,1/(1+tp_r)^{1;2;3;4;5;6})+D102*(1+tp_g)/(tp_r-tp_g)/(1+tp_r)^6</f>
        <v>1667.87925346917</v>
      </c>
      <c r="E103" s="8" t="s">
        <v>626</v>
      </c>
    </row>
    <row r="104" customFormat="false" ht="17.15" hidden="false" customHeight="false" outlineLevel="0" collapsed="false">
      <c r="A104" s="0" t="s">
        <v>627</v>
      </c>
      <c r="B104" s="18" t="n">
        <f aca="false">B103*(1+tp_r)</f>
        <v>3745.46972472931</v>
      </c>
      <c r="C104" s="18" t="n">
        <f aca="false">C103*(1+tp_r)</f>
        <v>3023.84046035699</v>
      </c>
      <c r="D104" s="18" t="n">
        <f aca="false">D103*(1+tp_r)</f>
        <v>1834.66717881609</v>
      </c>
    </row>
    <row r="105" customFormat="false" ht="17.15" hidden="false" customHeight="false" outlineLevel="0" collapsed="false">
      <c r="A105" s="0" t="s">
        <v>628</v>
      </c>
      <c r="B105" s="29" t="n">
        <f aca="false">tp_wA*B104+tp_wB*C104+tp_wC*D104</f>
        <v>3002.4945833605</v>
      </c>
      <c r="E105" s="8" t="s">
        <v>629</v>
      </c>
    </row>
    <row r="107" customFormat="false" ht="17.15" hidden="false" customHeight="false" outlineLevel="0" collapsed="false">
      <c r="A107" s="6" t="s">
        <v>630</v>
      </c>
    </row>
    <row r="108" customFormat="false" ht="17.15" hidden="false" customHeight="false" outlineLevel="0" collapsed="false">
      <c r="A108" s="5" t="s">
        <v>631</v>
      </c>
      <c r="B108" s="5" t="s">
        <v>632</v>
      </c>
      <c r="C108" s="5" t="s">
        <v>633</v>
      </c>
      <c r="D108" s="5" t="s">
        <v>634</v>
      </c>
      <c r="E108" s="5" t="s">
        <v>635</v>
      </c>
      <c r="F108" s="5" t="s">
        <v>27</v>
      </c>
    </row>
    <row r="109" customFormat="false" ht="17.15" hidden="false" customHeight="false" outlineLevel="0" collapsed="false">
      <c r="A109" s="4" t="s">
        <v>636</v>
      </c>
      <c r="B109" s="0" t="s">
        <v>637</v>
      </c>
      <c r="C109" s="35" t="n">
        <v>17.27</v>
      </c>
      <c r="D109" s="8" t="s">
        <v>638</v>
      </c>
      <c r="E109" s="8" t="s">
        <v>639</v>
      </c>
      <c r="F109" s="8" t="s">
        <v>640</v>
      </c>
    </row>
    <row r="110" customFormat="false" ht="17.15" hidden="false" customHeight="false" outlineLevel="0" collapsed="false">
      <c r="A110" s="4" t="s">
        <v>641</v>
      </c>
      <c r="B110" s="0" t="s">
        <v>642</v>
      </c>
      <c r="C110" s="35" t="n">
        <v>59.27</v>
      </c>
      <c r="D110" s="8" t="s">
        <v>643</v>
      </c>
      <c r="E110" s="8" t="s">
        <v>639</v>
      </c>
      <c r="F110" s="8" t="s">
        <v>640</v>
      </c>
    </row>
    <row r="111" customFormat="false" ht="17.15" hidden="false" customHeight="false" outlineLevel="0" collapsed="false">
      <c r="A111" s="0" t="s">
        <v>644</v>
      </c>
      <c r="B111" s="0" t="s">
        <v>645</v>
      </c>
      <c r="C111" s="35" t="n">
        <v>24.53</v>
      </c>
      <c r="D111" s="8" t="s">
        <v>646</v>
      </c>
      <c r="E111" s="8" t="s">
        <v>639</v>
      </c>
      <c r="F111" s="8" t="s">
        <v>640</v>
      </c>
    </row>
    <row r="112" customFormat="false" ht="17.15" hidden="false" customHeight="false" outlineLevel="0" collapsed="false">
      <c r="A112" s="4" t="s">
        <v>647</v>
      </c>
      <c r="B112" s="0" t="s">
        <v>648</v>
      </c>
      <c r="C112" s="35" t="n">
        <v>30.51</v>
      </c>
      <c r="D112" s="8" t="s">
        <v>649</v>
      </c>
      <c r="E112" s="8" t="s">
        <v>639</v>
      </c>
      <c r="F112" s="8" t="s">
        <v>640</v>
      </c>
    </row>
    <row r="113" customFormat="false" ht="17.15" hidden="false" customHeight="false" outlineLevel="0" collapsed="false">
      <c r="A113" s="4" t="s">
        <v>650</v>
      </c>
      <c r="B113" s="17" t="n">
        <f aca="false">MEDIAN(C109:C112)</f>
        <v>27.52</v>
      </c>
      <c r="E113" s="4" t="s">
        <v>651</v>
      </c>
    </row>
    <row r="114" customFormat="false" ht="17.15" hidden="false" customHeight="false" outlineLevel="0" collapsed="false">
      <c r="A114" s="0" t="s">
        <v>652</v>
      </c>
      <c r="B114" s="15" t="n">
        <f aca="false">tp_wA*(0.166666666666667*B89+0.833333333333333*B90)+tp_wB*(0.166666666666667*C89+0.833333333333333*C90)+tp_wC*(0.166666666666667*D89+0.833333333333333*D90)</f>
        <v>179.089744000187</v>
      </c>
      <c r="E114" s="4" t="s">
        <v>653</v>
      </c>
    </row>
    <row r="115" customFormat="false" ht="17.15" hidden="false" customHeight="false" outlineLevel="0" collapsed="false">
      <c r="A115" s="0" t="s">
        <v>654</v>
      </c>
      <c r="B115" s="29" t="n">
        <f aca="false">B113*B114</f>
        <v>4928.54975488515</v>
      </c>
      <c r="E115" s="4" t="s">
        <v>655</v>
      </c>
    </row>
    <row r="117" customFormat="false" ht="17.15" hidden="false" customHeight="false" outlineLevel="0" collapsed="false">
      <c r="A117" s="6" t="s">
        <v>656</v>
      </c>
    </row>
    <row r="118" customFormat="false" ht="15" hidden="false" customHeight="false" outlineLevel="0" collapsed="false">
      <c r="A118" s="5" t="s">
        <v>22</v>
      </c>
      <c r="B118" s="5" t="s">
        <v>657</v>
      </c>
      <c r="C118" s="5"/>
      <c r="D118" s="5"/>
      <c r="E118" s="5" t="s">
        <v>416</v>
      </c>
    </row>
    <row r="119" customFormat="false" ht="17.15" hidden="false" customHeight="false" outlineLevel="0" collapsed="false">
      <c r="A119" s="1" t="s">
        <v>658</v>
      </c>
      <c r="B119" s="29" t="n">
        <f aca="false">tp_w_dcf*B105+(1-tp_w_dcf)*B115</f>
        <v>3965.52216912283</v>
      </c>
      <c r="E119" s="8" t="s">
        <v>659</v>
      </c>
    </row>
    <row r="120" customFormat="false" ht="17.15" hidden="false" customHeight="false" outlineLevel="0" collapsed="false">
      <c r="A120" s="0" t="s">
        <v>660</v>
      </c>
      <c r="B120" s="18" t="n">
        <f aca="false">B115</f>
        <v>4928.54975488515</v>
      </c>
      <c r="E120" s="4" t="s">
        <v>661</v>
      </c>
    </row>
    <row r="121" customFormat="false" ht="17.15" hidden="false" customHeight="false" outlineLevel="0" collapsed="false">
      <c r="A121" s="4" t="s">
        <v>662</v>
      </c>
      <c r="B121" s="18" t="n">
        <f aca="false">cons_tp</f>
        <v>4130</v>
      </c>
      <c r="E121" s="8" t="s">
        <v>343</v>
      </c>
    </row>
    <row r="122" customFormat="false" ht="17.15" hidden="false" customHeight="false" outlineLevel="0" collapsed="false">
      <c r="A122" s="4" t="s">
        <v>663</v>
      </c>
      <c r="B122" s="14" t="n">
        <f aca="false">B119/px-1</f>
        <v>0.260897351072441</v>
      </c>
      <c r="E122" s="4" t="s">
        <v>664</v>
      </c>
    </row>
    <row r="123" customFormat="false" ht="17.15" hidden="false" customHeight="false" outlineLevel="0" collapsed="false">
      <c r="A123" s="4" t="s">
        <v>665</v>
      </c>
      <c r="B123" s="14" t="n">
        <f aca="false">B120/px-1</f>
        <v>0.56710644034504</v>
      </c>
    </row>
    <row r="124" customFormat="false" ht="17.15" hidden="false" customHeight="false" outlineLevel="0" collapsed="false">
      <c r="A124" s="4" t="s">
        <v>666</v>
      </c>
      <c r="B124" s="14" t="n">
        <f aca="false">B114/cons_feps-1</f>
        <v>0.350791262974912</v>
      </c>
      <c r="E124" s="4" t="s">
        <v>667</v>
      </c>
    </row>
    <row r="125" customFormat="false" ht="17.15" hidden="false" customHeight="false" outlineLevel="0" collapsed="false">
      <c r="A125" s="4" t="s">
        <v>668</v>
      </c>
      <c r="B125" s="14" t="n">
        <f aca="false">(cons_tp/cons_feps)/B113-1</f>
        <v>0.131928902727774</v>
      </c>
      <c r="E125" s="0" t="str">
        <f aca="false">"共識目標價 ÷ 共識前瞻 EPS 隱含 "&amp;TEXT(cons_tp/cons_feps,"0.0")&amp;"x，同業中位數 "&amp;TEXT(B113,"0.0")&amp;"x"</f>
        <v>共識目標價 ÷ 共識前瞻 EPS 隱含 31.2x，同業中位數 27.5x</v>
      </c>
    </row>
    <row r="126" customFormat="false" ht="17.15" hidden="false" customHeight="false" outlineLevel="0" collapsed="false">
      <c r="A126" s="4" t="s">
        <v>669</v>
      </c>
      <c r="B126" s="36" t="str">
        <f aca="false">TEXT(D104,"#,##0")&amp;"～"&amp;TEXT(B104,"#,##0")</f>
        <v>1,835～3,745</v>
      </c>
      <c r="E126" s="8" t="s">
        <v>670</v>
      </c>
    </row>
    <row r="127" customFormat="false" ht="17.15" hidden="false" customHeight="false" outlineLevel="0" collapsed="false">
      <c r="A127" s="4" t="s">
        <v>671</v>
      </c>
      <c r="B127" s="34" t="n">
        <f aca="false">IF(px/B90&lt;=MIN($B$131:$K$131),0,IF(px/B90&gt;=MAX($B$131:$K$131),1,PERCENTRANK($B$131:$K$131,px/B90)))</f>
        <v>0.604</v>
      </c>
      <c r="C127" s="34" t="n">
        <f aca="false">IF(px/C90&lt;=MIN($B$131:$K$131),0,IF(px/C90&gt;=MAX($B$131:$K$131),1,PERCENTRANK($B$131:$K$131,px/C90)))</f>
        <v>0.697</v>
      </c>
      <c r="D127" s="34" t="n">
        <f aca="false">IF(px/D90&lt;=MIN($B$131:$K$131),0,IF(px/D90&gt;=MAX($B$131:$K$131),1,PERCENTRANK($B$131:$K$131,px/D90)))</f>
        <v>0.783</v>
      </c>
      <c r="E127" s="4" t="s">
        <v>672</v>
      </c>
    </row>
    <row r="128" customFormat="false" ht="17.15" hidden="false" customHeight="false" outlineLevel="0" collapsed="false">
      <c r="A128" s="4" t="s">
        <v>673</v>
      </c>
      <c r="B128" s="0" t="s">
        <v>674</v>
      </c>
    </row>
    <row r="130" customFormat="false" ht="17.15" hidden="false" customHeight="false" outlineLevel="0" collapsed="false">
      <c r="A130" s="1" t="s">
        <v>675</v>
      </c>
      <c r="B130" s="8" t="s">
        <v>558</v>
      </c>
      <c r="C130" s="8" t="s">
        <v>560</v>
      </c>
      <c r="D130" s="8" t="s">
        <v>562</v>
      </c>
      <c r="E130" s="8" t="s">
        <v>563</v>
      </c>
      <c r="F130" s="8" t="s">
        <v>564</v>
      </c>
      <c r="G130" s="8" t="s">
        <v>565</v>
      </c>
      <c r="H130" s="8" t="s">
        <v>566</v>
      </c>
      <c r="I130" s="8" t="s">
        <v>567</v>
      </c>
      <c r="J130" s="8" t="s">
        <v>568</v>
      </c>
      <c r="K130" s="8" t="s">
        <v>569</v>
      </c>
    </row>
    <row r="131" customFormat="false" ht="17.15" hidden="false" customHeight="false" outlineLevel="0" collapsed="false">
      <c r="A131" s="4" t="s">
        <v>676</v>
      </c>
      <c r="B131" s="35" t="n">
        <f aca="false">25.1/2.43</f>
        <v>10.3292181069959</v>
      </c>
      <c r="C131" s="35" t="n">
        <f aca="false">32.4/2.51</f>
        <v>12.9083665338645</v>
      </c>
      <c r="D131" s="35" t="n">
        <f aca="false">25.25/2.01</f>
        <v>12.5621890547264</v>
      </c>
      <c r="E131" s="35" t="n">
        <f aca="false">41.65/2.71</f>
        <v>15.3690036900369</v>
      </c>
      <c r="F131" s="35" t="n">
        <f aca="false">66.1/5.42</f>
        <v>12.1955719557196</v>
      </c>
      <c r="G131" s="35" t="n">
        <f aca="false">88.2/8.21</f>
        <v>10.7429963459196</v>
      </c>
      <c r="H131" s="35" t="n">
        <f aca="false">112/11.78</f>
        <v>9.50764006791172</v>
      </c>
      <c r="I131" s="35" t="n">
        <f aca="false">336.5/14.11</f>
        <v>23.8483345145287</v>
      </c>
      <c r="J131" s="35" t="n">
        <f aca="false">623/21.21</f>
        <v>29.3729372937294</v>
      </c>
      <c r="K131" s="35" t="n">
        <f aca="false">1510/49.17</f>
        <v>30.7097823876347</v>
      </c>
    </row>
    <row r="133" customFormat="false" ht="17.15" hidden="false" customHeight="false" outlineLevel="0" collapsed="false">
      <c r="A133" s="6" t="s">
        <v>677</v>
      </c>
    </row>
    <row r="134" customFormat="false" ht="17.15" hidden="false" customHeight="false" outlineLevel="0" collapsed="false">
      <c r="A134" s="4" t="s">
        <v>678</v>
      </c>
      <c r="B134" s="0" t="str">
        <f aca="false">IF(B122&gt;0.5,"大於 50%",IF(B122&gt;0.25,"25%–50%",IF(B122&gt;=0,"0%–25%",IF(B122&gt;=-0.25,"0%～−25%",IF(B122&gt;=-0.5,"−25%～−50%","小於 −50%")))))</f>
        <v>25%–50%</v>
      </c>
      <c r="E134" s="4" t="s">
        <v>679</v>
      </c>
    </row>
    <row r="135" customFormat="false" ht="17.15" hidden="false" customHeight="false" outlineLevel="0" collapsed="false">
      <c r="A135" s="4" t="s">
        <v>680</v>
      </c>
      <c r="B135" s="0" t="str">
        <f aca="false">IF(B122&gt;0.5,"強力買進",IF(B122&gt;0.25,"買進",IF(B122&gt;=-0.25,"中立",IF(B122&gt;=-0.5,"放空","強力放空"))))</f>
        <v>買進</v>
      </c>
      <c r="E135" s="4" t="s">
        <v>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682</v>
      </c>
    </row>
    <row r="3" customFormat="false" ht="17.15" hidden="false" customHeight="false" outlineLevel="0" collapsed="false">
      <c r="A3" s="5" t="s">
        <v>22</v>
      </c>
      <c r="B3" s="5" t="s">
        <v>683</v>
      </c>
      <c r="C3" s="5" t="s">
        <v>684</v>
      </c>
      <c r="D3" s="5" t="s">
        <v>685</v>
      </c>
      <c r="E3" s="5" t="s">
        <v>686</v>
      </c>
      <c r="F3" s="5" t="s">
        <v>687</v>
      </c>
      <c r="G3" s="5" t="s">
        <v>688</v>
      </c>
      <c r="H3" s="5" t="s">
        <v>689</v>
      </c>
      <c r="I3" s="5" t="s">
        <v>690</v>
      </c>
      <c r="J3" s="5" t="s">
        <v>416</v>
      </c>
    </row>
    <row r="4" customFormat="false" ht="17.15" hidden="false" customHeight="false" outlineLevel="0" collapsed="false">
      <c r="A4" s="6" t="s">
        <v>691</v>
      </c>
    </row>
    <row r="5" customFormat="false" ht="17.15" hidden="false" customHeight="false" outlineLevel="0" collapsed="false">
      <c r="A5" s="0" t="s">
        <v>692</v>
      </c>
      <c r="B5" s="19" t="n">
        <f aca="false">b_rev26</f>
        <v>213.809</v>
      </c>
      <c r="C5" s="19" t="n">
        <f aca="false">PL!D81</f>
        <v>225.20035</v>
      </c>
      <c r="D5" s="14" t="n">
        <f aca="false">C5/B5-1</f>
        <v>0.053278159478787</v>
      </c>
      <c r="E5" s="19" t="n">
        <f aca="false">PL!D124</f>
        <v>225.20035</v>
      </c>
      <c r="F5" s="14" t="n">
        <f aca="false">E5/B5-1</f>
        <v>0.053278159478787</v>
      </c>
      <c r="G5" s="19" t="n">
        <f aca="false">PL!D167</f>
        <v>225.20035</v>
      </c>
      <c r="H5" s="14" t="n">
        <f aca="false">G5/B5-1</f>
        <v>0.053278159478787</v>
      </c>
      <c r="I5" s="4" t="s">
        <v>693</v>
      </c>
      <c r="J5" s="4" t="s">
        <v>694</v>
      </c>
    </row>
    <row r="6" customFormat="false" ht="17.15" hidden="false" customHeight="false" outlineLevel="0" collapsed="false">
      <c r="A6" s="0" t="s">
        <v>695</v>
      </c>
      <c r="B6" s="19" t="n">
        <f aca="false">b_q4</f>
        <v>68.057</v>
      </c>
      <c r="C6" s="19" t="n">
        <f aca="false">Q!E4</f>
        <v>67.95235</v>
      </c>
      <c r="D6" s="14" t="n">
        <f aca="false">C6/B6-1</f>
        <v>-0.00153768164920587</v>
      </c>
      <c r="E6" s="19" t="n">
        <f aca="false">Q!E4</f>
        <v>67.95235</v>
      </c>
      <c r="F6" s="14" t="n">
        <f aca="false">E6/B6-1</f>
        <v>-0.00153768164920587</v>
      </c>
      <c r="G6" s="19" t="n">
        <f aca="false">Q!E4</f>
        <v>67.95235</v>
      </c>
      <c r="H6" s="14" t="n">
        <f aca="false">G6/B6-1</f>
        <v>-0.00153768164920587</v>
      </c>
      <c r="I6" s="4" t="s">
        <v>696</v>
      </c>
    </row>
    <row r="7" customFormat="false" ht="17.15" hidden="false" customHeight="false" outlineLevel="0" collapsed="false">
      <c r="A7" s="0" t="s">
        <v>697</v>
      </c>
      <c r="B7" s="20" t="n">
        <f aca="false">b_eps26gs</f>
        <v>101.06</v>
      </c>
      <c r="C7" s="20" t="n">
        <f aca="false">PL!D99</f>
        <v>105.961302834002</v>
      </c>
      <c r="D7" s="14" t="n">
        <f aca="false">C7/B7-1</f>
        <v>0.0484989395804629</v>
      </c>
      <c r="E7" s="20" t="n">
        <f aca="false">PL!D142</f>
        <v>105.961302834002</v>
      </c>
      <c r="F7" s="14" t="n">
        <f aca="false">E7/B7-1</f>
        <v>0.0484989395804629</v>
      </c>
      <c r="G7" s="20" t="n">
        <f aca="false">PL!D185</f>
        <v>105.961302834002</v>
      </c>
      <c r="H7" s="14" t="n">
        <f aca="false">G7/B7-1</f>
        <v>0.0484989395804629</v>
      </c>
      <c r="I7" s="4" t="s">
        <v>696</v>
      </c>
    </row>
    <row r="8" customFormat="false" ht="17.15" hidden="false" customHeight="false" outlineLevel="0" collapsed="false">
      <c r="A8" s="0" t="s">
        <v>698</v>
      </c>
      <c r="B8" s="20" t="n">
        <f aca="false">b_eps26kgi</f>
        <v>103.17</v>
      </c>
      <c r="C8" s="20" t="n">
        <f aca="false">PL!D99</f>
        <v>105.961302834002</v>
      </c>
      <c r="D8" s="14" t="n">
        <f aca="false">C8/B8-1</f>
        <v>0.0270553730154268</v>
      </c>
      <c r="E8" s="20" t="n">
        <f aca="false">PL!D142</f>
        <v>105.961302834002</v>
      </c>
      <c r="F8" s="14" t="n">
        <f aca="false">E8/B8-1</f>
        <v>0.0270553730154268</v>
      </c>
      <c r="G8" s="20" t="n">
        <f aca="false">PL!D185</f>
        <v>105.961302834002</v>
      </c>
      <c r="H8" s="14" t="n">
        <f aca="false">G8/B8-1</f>
        <v>0.0270553730154268</v>
      </c>
      <c r="I8" s="4" t="s">
        <v>693</v>
      </c>
      <c r="J8" s="4" t="s">
        <v>699</v>
      </c>
    </row>
    <row r="9" customFormat="false" ht="17.15" hidden="false" customHeight="false" outlineLevel="0" collapsed="false">
      <c r="A9" s="0" t="s">
        <v>700</v>
      </c>
      <c r="B9" s="19" t="n">
        <f aca="false">b_rev27</f>
        <v>311.893</v>
      </c>
      <c r="C9" s="19" t="n">
        <f aca="false">PL!E81</f>
        <v>351.307669196167</v>
      </c>
      <c r="D9" s="14" t="n">
        <f aca="false">C9/B9-1</f>
        <v>0.126372407191462</v>
      </c>
      <c r="E9" s="19" t="n">
        <f aca="false">PL!E124</f>
        <v>330.677779399532</v>
      </c>
      <c r="F9" s="14" t="n">
        <f aca="false">E9/B9-1</f>
        <v>0.0602282814924739</v>
      </c>
      <c r="G9" s="19" t="n">
        <f aca="false">PL!E167</f>
        <v>299.732944704581</v>
      </c>
      <c r="H9" s="14" t="n">
        <f aca="false">G9/B9-1</f>
        <v>-0.0389879070560075</v>
      </c>
      <c r="I9" s="4" t="s">
        <v>693</v>
      </c>
    </row>
    <row r="10" customFormat="false" ht="17.15" hidden="false" customHeight="false" outlineLevel="0" collapsed="false">
      <c r="A10" s="0" t="s">
        <v>701</v>
      </c>
      <c r="B10" s="20" t="n">
        <f aca="false">b_eps27gs</f>
        <v>154.78</v>
      </c>
      <c r="C10" s="20" t="n">
        <f aca="false">PL!E99</f>
        <v>174.735865673859</v>
      </c>
      <c r="D10" s="14" t="n">
        <f aca="false">C10/B10-1</f>
        <v>0.128930518631989</v>
      </c>
      <c r="E10" s="20" t="n">
        <f aca="false">PL!E142</f>
        <v>163.155115781997</v>
      </c>
      <c r="F10" s="14" t="n">
        <f aca="false">E10/B10-1</f>
        <v>0.0541098060601932</v>
      </c>
      <c r="G10" s="20" t="n">
        <f aca="false">PL!E185</f>
        <v>145.783990944203</v>
      </c>
      <c r="H10" s="14" t="n">
        <f aca="false">G10/B10-1</f>
        <v>-0.0581212627975006</v>
      </c>
      <c r="I10" s="4" t="s">
        <v>696</v>
      </c>
    </row>
    <row r="11" customFormat="false" ht="17.15" hidden="false" customHeight="false" outlineLevel="0" collapsed="false">
      <c r="A11" s="0" t="s">
        <v>702</v>
      </c>
      <c r="B11" s="20" t="n">
        <f aca="false">b_eps27kgi</f>
        <v>160.03</v>
      </c>
      <c r="C11" s="20" t="n">
        <f aca="false">PL!E99</f>
        <v>174.735865673859</v>
      </c>
      <c r="D11" s="14" t="n">
        <f aca="false">C11/B11-1</f>
        <v>0.0918944302559477</v>
      </c>
      <c r="E11" s="20" t="n">
        <f aca="false">PL!E142</f>
        <v>163.155115781997</v>
      </c>
      <c r="F11" s="14" t="n">
        <f aca="false">E11/B11-1</f>
        <v>0.0195283120789647</v>
      </c>
      <c r="G11" s="20" t="n">
        <f aca="false">PL!E185</f>
        <v>145.783990944203</v>
      </c>
      <c r="H11" s="14" t="n">
        <f aca="false">G11/B11-1</f>
        <v>-0.0890208651865097</v>
      </c>
      <c r="I11" s="4" t="s">
        <v>693</v>
      </c>
    </row>
    <row r="12" customFormat="false" ht="17.15" hidden="false" customHeight="false" outlineLevel="0" collapsed="false">
      <c r="A12" s="0" t="s">
        <v>703</v>
      </c>
      <c r="B12" s="20" t="n">
        <f aca="false">b_eps27bofa</f>
        <v>143.99</v>
      </c>
      <c r="C12" s="20" t="n">
        <f aca="false">PL!E99</f>
        <v>174.735865673859</v>
      </c>
      <c r="D12" s="14" t="n">
        <f aca="false">C12/B12-1</f>
        <v>0.213527784386828</v>
      </c>
      <c r="E12" s="20" t="n">
        <f aca="false">PL!E142</f>
        <v>163.155115781997</v>
      </c>
      <c r="F12" s="14" t="n">
        <f aca="false">E12/B12-1</f>
        <v>0.133100324897539</v>
      </c>
      <c r="G12" s="20" t="n">
        <f aca="false">PL!E185</f>
        <v>145.783990944203</v>
      </c>
      <c r="H12" s="14" t="n">
        <f aca="false">G12/B12-1</f>
        <v>0.0124591356636075</v>
      </c>
      <c r="I12" s="4" t="s">
        <v>704</v>
      </c>
    </row>
    <row r="13" customFormat="false" ht="17.15" hidden="false" customHeight="false" outlineLevel="0" collapsed="false">
      <c r="A13" s="0" t="s">
        <v>705</v>
      </c>
      <c r="B13" s="20" t="n">
        <f aca="false">b_eps27dw</f>
        <v>139.53</v>
      </c>
      <c r="C13" s="20" t="n">
        <f aca="false">PL!E99</f>
        <v>174.735865673859</v>
      </c>
      <c r="D13" s="14" t="n">
        <f aca="false">C13/B13-1</f>
        <v>0.25231753510972</v>
      </c>
      <c r="E13" s="20" t="n">
        <f aca="false">PL!E142</f>
        <v>163.155115781997</v>
      </c>
      <c r="F13" s="14" t="n">
        <f aca="false">E13/B13-1</f>
        <v>0.169319255944934</v>
      </c>
      <c r="G13" s="20" t="n">
        <f aca="false">PL!E185</f>
        <v>145.783990944203</v>
      </c>
      <c r="H13" s="14" t="n">
        <f aca="false">G13/B13-1</f>
        <v>0.0448218371977558</v>
      </c>
      <c r="I13" s="4" t="s">
        <v>704</v>
      </c>
    </row>
    <row r="14" customFormat="false" ht="17.15" hidden="false" customHeight="false" outlineLevel="0" collapsed="false">
      <c r="A14" s="0" t="s">
        <v>706</v>
      </c>
      <c r="B14" s="20" t="n">
        <f aca="false">b_eps27citi</f>
        <v>153.21</v>
      </c>
      <c r="C14" s="20" t="n">
        <f aca="false">PL!E99</f>
        <v>174.735865673859</v>
      </c>
      <c r="D14" s="14" t="n">
        <f aca="false">C14/B14-1</f>
        <v>0.140499090619798</v>
      </c>
      <c r="E14" s="20" t="n">
        <f aca="false">PL!E142</f>
        <v>163.155115781997</v>
      </c>
      <c r="F14" s="14" t="n">
        <f aca="false">E14/B14-1</f>
        <v>0.0649116623066164</v>
      </c>
      <c r="G14" s="20" t="n">
        <f aca="false">PL!E185</f>
        <v>145.783990944203</v>
      </c>
      <c r="H14" s="14" t="n">
        <f aca="false">G14/B14-1</f>
        <v>-0.0484694801631561</v>
      </c>
      <c r="I14" s="4" t="s">
        <v>704</v>
      </c>
      <c r="J14" s="4" t="s">
        <v>707</v>
      </c>
    </row>
    <row r="15" customFormat="false" ht="17.15" hidden="false" customHeight="false" outlineLevel="0" collapsed="false">
      <c r="A15" s="0" t="s">
        <v>708</v>
      </c>
      <c r="B15" s="20" t="n">
        <f aca="false">b_eps28gs</f>
        <v>195.18</v>
      </c>
      <c r="C15" s="20" t="n">
        <f aca="false">PL!F99</f>
        <v>224.783279455889</v>
      </c>
      <c r="D15" s="14" t="n">
        <f aca="false">C15/B15-1</f>
        <v>0.151671684885178</v>
      </c>
      <c r="E15" s="20" t="n">
        <f aca="false">PL!F142</f>
        <v>177.531256730248</v>
      </c>
      <c r="F15" s="14" t="n">
        <f aca="false">E15/B15-1</f>
        <v>-0.0904229084422151</v>
      </c>
      <c r="G15" s="20" t="n">
        <f aca="false">PL!F185</f>
        <v>130.380287209671</v>
      </c>
      <c r="H15" s="14" t="n">
        <f aca="false">G15/B15-1</f>
        <v>-0.331999758122393</v>
      </c>
      <c r="I15" s="4" t="s">
        <v>696</v>
      </c>
      <c r="J15" s="4" t="s">
        <v>709</v>
      </c>
    </row>
    <row r="16" customFormat="false" ht="17.15" hidden="false" customHeight="false" outlineLevel="0" collapsed="false">
      <c r="A16" s="0" t="s">
        <v>710</v>
      </c>
      <c r="B16" s="14" t="n">
        <f aca="false">b_gm27</f>
        <v>0.349</v>
      </c>
      <c r="C16" s="14" t="n">
        <f aca="false">PL!E90</f>
        <v>0.332770304990803</v>
      </c>
      <c r="D16" s="14" t="n">
        <f aca="false">C16-B16</f>
        <v>-0.0162296950091969</v>
      </c>
      <c r="E16" s="14" t="n">
        <f aca="false">PL!E133</f>
        <v>0.330895510422332</v>
      </c>
      <c r="F16" s="14" t="n">
        <f aca="false">E16-B16</f>
        <v>-0.018104489577668</v>
      </c>
      <c r="G16" s="14" t="n">
        <f aca="false">PL!E176</f>
        <v>0.327599427750871</v>
      </c>
      <c r="H16" s="14" t="n">
        <f aca="false">G16-B16</f>
        <v>-0.0214005722491293</v>
      </c>
      <c r="I16" s="4" t="s">
        <v>711</v>
      </c>
      <c r="J16" s="4" t="s">
        <v>283</v>
      </c>
    </row>
    <row r="17" customFormat="false" ht="17.15" hidden="false" customHeight="false" outlineLevel="0" collapsed="false">
      <c r="A17" s="6" t="s">
        <v>712</v>
      </c>
    </row>
    <row r="18" customFormat="false" ht="17.15" hidden="false" customHeight="false" outlineLevel="0" collapsed="false">
      <c r="A18" s="0" t="s">
        <v>713</v>
      </c>
      <c r="B18" s="14" t="n">
        <f aca="false">b_lc27</f>
        <v>0.5</v>
      </c>
      <c r="C18" s="14" t="n">
        <f aca="false">PL!E84</f>
        <v>0.499146698597906</v>
      </c>
      <c r="D18" s="14" t="n">
        <f aca="false">C18-B18</f>
        <v>-0.000853301402093554</v>
      </c>
      <c r="E18" s="14" t="n">
        <f aca="false">PL!E127</f>
        <v>0.467900122456721</v>
      </c>
      <c r="F18" s="14" t="n">
        <f aca="false">E18-B18</f>
        <v>-0.0320998775432793</v>
      </c>
      <c r="G18" s="14" t="n">
        <f aca="false">PL!E170</f>
        <v>0.412965411265699</v>
      </c>
      <c r="H18" s="14" t="n">
        <f aca="false">G18-B18</f>
        <v>-0.0870345887343014</v>
      </c>
      <c r="I18" s="4" t="s">
        <v>693</v>
      </c>
    </row>
    <row r="19" customFormat="false" ht="17.15" hidden="false" customHeight="false" outlineLevel="0" collapsed="false">
      <c r="A19" s="0" t="s">
        <v>714</v>
      </c>
      <c r="B19" s="14" t="n">
        <f aca="false">tf_pen26</f>
        <v>0.53</v>
      </c>
      <c r="C19" s="14" t="n">
        <f aca="false">PL!D66</f>
        <v>0.55</v>
      </c>
      <c r="D19" s="14" t="n">
        <f aca="false">C19-B19</f>
        <v>0.02</v>
      </c>
      <c r="E19" s="14" t="n">
        <f aca="false">PL!D109</f>
        <v>0.55</v>
      </c>
      <c r="F19" s="14" t="n">
        <f aca="false">E19-B19</f>
        <v>0.02</v>
      </c>
      <c r="G19" s="14" t="n">
        <f aca="false">PL!D152</f>
        <v>0.55</v>
      </c>
      <c r="H19" s="14" t="n">
        <f aca="false">G19-B19</f>
        <v>0.02</v>
      </c>
      <c r="I19" s="8" t="s">
        <v>715</v>
      </c>
      <c r="J19" s="4" t="s">
        <v>716</v>
      </c>
    </row>
    <row r="20" customFormat="false" ht="17.15" hidden="false" customHeight="false" outlineLevel="0" collapsed="false">
      <c r="A20" s="0" t="s">
        <v>717</v>
      </c>
      <c r="B20" s="14" t="n">
        <f aca="false">tf_pen27</f>
        <v>0.6</v>
      </c>
      <c r="C20" s="14" t="n">
        <f aca="false">PL!E66</f>
        <v>0.85</v>
      </c>
      <c r="D20" s="14" t="n">
        <f aca="false">C20-B20</f>
        <v>0.25</v>
      </c>
      <c r="E20" s="14" t="n">
        <f aca="false">PL!E109</f>
        <v>0.75</v>
      </c>
      <c r="F20" s="14" t="n">
        <f aca="false">E20-B20</f>
        <v>0.15</v>
      </c>
      <c r="G20" s="14" t="n">
        <f aca="false">PL!E152</f>
        <v>0.6</v>
      </c>
      <c r="H20" s="14" t="n">
        <f aca="false">G20-B20</f>
        <v>0</v>
      </c>
      <c r="I20" s="4" t="s">
        <v>39</v>
      </c>
    </row>
    <row r="21" customFormat="false" ht="17.15" hidden="false" customHeight="false" outlineLevel="0" collapsed="false">
      <c r="A21" s="0" t="s">
        <v>718</v>
      </c>
      <c r="C21" s="14" t="n">
        <f aca="false">PL!D70</f>
        <v>0.498927641116677</v>
      </c>
      <c r="E21" s="14" t="n">
        <f aca="false">PL!D113</f>
        <v>0.498927641116677</v>
      </c>
      <c r="G21" s="14" t="n">
        <f aca="false">PL!D156</f>
        <v>0.498927641116677</v>
      </c>
      <c r="I21" s="8" t="s">
        <v>119</v>
      </c>
      <c r="J21" s="4" t="s">
        <v>719</v>
      </c>
    </row>
    <row r="22" customFormat="false" ht="17.15" hidden="false" customHeight="false" outlineLevel="0" collapsed="false">
      <c r="A22" s="0" t="s">
        <v>720</v>
      </c>
      <c r="C22" s="14" t="n">
        <f aca="false">(dlc_27+PL!E73/fx)/PL!E68</f>
        <v>0.974346663222373</v>
      </c>
      <c r="E22" s="14" t="n">
        <f aca="false">(dlc_27+PL!E116/fx)/PL!E111</f>
        <v>1.04106205044391</v>
      </c>
      <c r="G22" s="14" t="n">
        <f aca="false">(dlc_27+PL!E159/fx)/PL!E154</f>
        <v>1.18283224828968</v>
      </c>
      <c r="I22" s="4" t="s">
        <v>721</v>
      </c>
      <c r="J22" s="4" t="s">
        <v>722</v>
      </c>
    </row>
    <row r="23" customFormat="false" ht="17.15" hidden="false" customHeight="false" outlineLevel="0" collapsed="false">
      <c r="A23" s="0" t="s">
        <v>723</v>
      </c>
      <c r="C23" s="14" t="n">
        <f aca="false">(dlc_26+PL!D73/fx)/PL!D68</f>
        <v>1.1535544408462</v>
      </c>
      <c r="E23" s="14" t="n">
        <f aca="false">(dlc_26+PL!D116/fx)/PL!D111</f>
        <v>1.1535544408462</v>
      </c>
      <c r="G23" s="14" t="n">
        <f aca="false">(dlc_26+PL!D159/fx)/PL!D154</f>
        <v>1.1535544408462</v>
      </c>
      <c r="I23" s="4" t="s">
        <v>39</v>
      </c>
    </row>
    <row r="24" customFormat="false" ht="17.15" hidden="false" customHeight="false" outlineLevel="0" collapsed="false">
      <c r="A24" s="0" t="s">
        <v>724</v>
      </c>
      <c r="C24" s="18" t="n">
        <f aca="false">PL!E86</f>
        <v>178.947189172339</v>
      </c>
      <c r="E24" s="18" t="n">
        <f aca="false">PL!E129</f>
        <v>163.467378354919</v>
      </c>
      <c r="G24" s="18" t="n">
        <f aca="false">PL!E172</f>
        <v>140.247662128791</v>
      </c>
      <c r="I24" s="8" t="s">
        <v>119</v>
      </c>
    </row>
    <row r="25" customFormat="false" ht="17.15" hidden="false" customHeight="false" outlineLevel="0" collapsed="false">
      <c r="A25" s="0" t="s">
        <v>725</v>
      </c>
      <c r="C25" s="14" t="n">
        <f aca="false">PL!E85</f>
        <v>0.678841695633466</v>
      </c>
      <c r="E25" s="14" t="n">
        <f aca="false">PL!E128</f>
        <v>0.658805694307987</v>
      </c>
      <c r="G25" s="14" t="n">
        <f aca="false">PL!E171</f>
        <v>0.623580332615083</v>
      </c>
      <c r="I25" s="8" t="s">
        <v>119</v>
      </c>
    </row>
    <row r="26" customFormat="false" ht="17.15" hidden="false" customHeight="false" outlineLevel="0" collapsed="false">
      <c r="A26" s="6" t="s">
        <v>726</v>
      </c>
    </row>
    <row r="27" customFormat="false" ht="17.15" hidden="false" customHeight="false" outlineLevel="0" collapsed="false">
      <c r="A27" s="4" t="s">
        <v>727</v>
      </c>
      <c r="C27" s="14" t="n">
        <f aca="false">PL!D88</f>
        <v>0.302821503074929</v>
      </c>
      <c r="E27" s="14" t="n">
        <f aca="false">PL!D131</f>
        <v>0.302821503074929</v>
      </c>
      <c r="G27" s="14" t="n">
        <f aca="false">PL!D174</f>
        <v>0.302821503074929</v>
      </c>
      <c r="I27" s="8" t="s">
        <v>728</v>
      </c>
      <c r="J27" s="4" t="s">
        <v>729</v>
      </c>
    </row>
    <row r="28" customFormat="false" ht="17.15" hidden="false" customHeight="false" outlineLevel="0" collapsed="false">
      <c r="A28" s="0" t="s">
        <v>730</v>
      </c>
      <c r="B28" s="14" t="n">
        <f aca="false">a26_gp/a26_rev</f>
        <v>0.322021503074929</v>
      </c>
      <c r="C28" s="14" t="n">
        <f aca="false">PL!E90</f>
        <v>0.332770304990803</v>
      </c>
      <c r="D28" s="14" t="n">
        <f aca="false">C28-B28</f>
        <v>0.0107488019158744</v>
      </c>
      <c r="E28" s="14" t="n">
        <f aca="false">PL!E133</f>
        <v>0.330895510422332</v>
      </c>
      <c r="F28" s="14" t="n">
        <f aca="false">E28-B28</f>
        <v>0.00887400734740329</v>
      </c>
      <c r="G28" s="14" t="n">
        <f aca="false">PL!E176</f>
        <v>0.327599427750871</v>
      </c>
      <c r="H28" s="14" t="n">
        <f aca="false">G28-B28</f>
        <v>0.00557792467594204</v>
      </c>
      <c r="I28" s="4" t="s">
        <v>731</v>
      </c>
      <c r="J28" s="4" t="s">
        <v>732</v>
      </c>
    </row>
    <row r="29" customFormat="false" ht="17.15" hidden="false" customHeight="false" outlineLevel="0" collapsed="false">
      <c r="A29" s="0" t="s">
        <v>733</v>
      </c>
      <c r="C29" s="15" t="n">
        <f aca="false">Q!E15</f>
        <v>32.829260000449</v>
      </c>
      <c r="E29" s="15" t="n">
        <f aca="false">Q!E15</f>
        <v>32.829260000449</v>
      </c>
      <c r="G29" s="15" t="n">
        <f aca="false">Q!E15</f>
        <v>32.829260000449</v>
      </c>
      <c r="I29" s="8" t="s">
        <v>119</v>
      </c>
      <c r="J29" s="4" t="s">
        <v>734</v>
      </c>
    </row>
    <row r="30" customFormat="false" ht="17.15" hidden="false" customHeight="false" outlineLevel="0" collapsed="false">
      <c r="A30" s="6" t="s">
        <v>735</v>
      </c>
    </row>
    <row r="31" customFormat="false" ht="17.15" hidden="false" customHeight="false" outlineLevel="0" collapsed="false">
      <c r="A31" s="0" t="s">
        <v>736</v>
      </c>
      <c r="J31" s="4" t="s">
        <v>737</v>
      </c>
    </row>
    <row r="33" customFormat="false" ht="17.15" hidden="false" customHeight="false" outlineLevel="0" collapsed="false">
      <c r="A33" s="6" t="s">
        <v>738</v>
      </c>
    </row>
    <row r="34" customFormat="false" ht="17.15" hidden="false" customHeight="false" outlineLevel="0" collapsed="false">
      <c r="A34" s="0" t="s">
        <v>739</v>
      </c>
      <c r="B34" s="15" t="n">
        <f aca="false">cons_feps</f>
        <v>132.581360946746</v>
      </c>
      <c r="C34" s="15" t="n">
        <f aca="false">Val!B114</f>
        <v>179.089744000187</v>
      </c>
      <c r="D34" s="14" t="n">
        <f aca="false">C34/B34-1</f>
        <v>0.350791262974912</v>
      </c>
      <c r="I34" s="8" t="s">
        <v>347</v>
      </c>
      <c r="J34" s="4" t="s">
        <v>740</v>
      </c>
    </row>
    <row r="35" customFormat="false" ht="17.15" hidden="false" customHeight="false" outlineLevel="0" collapsed="false">
      <c r="A35" s="4" t="s">
        <v>741</v>
      </c>
      <c r="B35" s="15" t="n">
        <f aca="false">cons_tp</f>
        <v>4130</v>
      </c>
      <c r="C35" s="15" t="n">
        <f aca="false">Val!B119</f>
        <v>3965.52216912283</v>
      </c>
      <c r="D35" s="14" t="n">
        <f aca="false">C35/B35-1</f>
        <v>-0.0398251406482256</v>
      </c>
      <c r="I35" s="8" t="s">
        <v>343</v>
      </c>
      <c r="J35" s="4" t="s">
        <v>740</v>
      </c>
    </row>
    <row r="36" customFormat="false" ht="17.15" hidden="false" customHeight="false" outlineLevel="0" collapsed="false">
      <c r="A36" s="0" t="s">
        <v>742</v>
      </c>
      <c r="B36" s="15" t="n">
        <f aca="false">cons_tp</f>
        <v>4130</v>
      </c>
      <c r="C36" s="15" t="n">
        <f aca="false">Val!B115</f>
        <v>4928.54975488515</v>
      </c>
      <c r="D36" s="14" t="n">
        <f aca="false">C36/B36-1</f>
        <v>0.193353451546041</v>
      </c>
      <c r="I36" s="4" t="s">
        <v>39</v>
      </c>
      <c r="J36" s="4" t="s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743</v>
      </c>
    </row>
    <row r="3" customFormat="false" ht="17.15" hidden="false" customHeight="false" outlineLevel="0" collapsed="false">
      <c r="A3" s="5" t="s">
        <v>744</v>
      </c>
      <c r="B3" s="5" t="s">
        <v>745</v>
      </c>
      <c r="C3" s="11" t="s">
        <v>746</v>
      </c>
      <c r="D3" s="11" t="s">
        <v>747</v>
      </c>
      <c r="E3" s="11" t="s">
        <v>748</v>
      </c>
      <c r="F3" s="11" t="s">
        <v>538</v>
      </c>
      <c r="G3" s="11" t="s">
        <v>749</v>
      </c>
      <c r="H3" s="11" t="s">
        <v>750</v>
      </c>
      <c r="I3" s="11" t="s">
        <v>751</v>
      </c>
      <c r="J3" s="11" t="s">
        <v>752</v>
      </c>
      <c r="K3" s="11" t="s">
        <v>753</v>
      </c>
      <c r="L3" s="11" t="s">
        <v>754</v>
      </c>
    </row>
    <row r="4" customFormat="false" ht="17.15" hidden="false" customHeight="false" outlineLevel="0" collapsed="false">
      <c r="A4" s="4" t="s">
        <v>755</v>
      </c>
      <c r="B4" s="0" t="s">
        <v>756</v>
      </c>
      <c r="C4" s="19" t="n">
        <f aca="false">PL!E81</f>
        <v>351.307669196167</v>
      </c>
      <c r="D4" s="19" t="n">
        <f aca="false">PL!E73</f>
        <v>175.354063271392</v>
      </c>
      <c r="E4" s="14" t="n">
        <f aca="false">PL!E90</f>
        <v>0.332770304990803</v>
      </c>
      <c r="F4" s="15" t="n">
        <f aca="false">PL!E99</f>
        <v>174.735865673859</v>
      </c>
      <c r="G4" s="14" t="n">
        <f aca="false">F4/F$4-1</f>
        <v>0</v>
      </c>
      <c r="H4" s="19" t="n">
        <f aca="false">PL!F81</f>
        <v>441.621437825909</v>
      </c>
      <c r="I4" s="19" t="n">
        <f aca="false">PL!F73</f>
        <v>253.4615416438</v>
      </c>
      <c r="J4" s="14" t="n">
        <f aca="false">PL!F90</f>
        <v>0.337257540812352</v>
      </c>
      <c r="K4" s="15" t="n">
        <f aca="false">PL!F99</f>
        <v>224.783279455889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757</v>
      </c>
      <c r="B5" s="4" t="s">
        <v>758</v>
      </c>
      <c r="C5" s="19" t="n">
        <f aca="false">E61</f>
        <v>332.849346746546</v>
      </c>
      <c r="D5" s="19" t="n">
        <f aca="false">E53</f>
        <v>156.895740821772</v>
      </c>
      <c r="E5" s="14" t="n">
        <f aca="false">E70</f>
        <v>0.331103801181629</v>
      </c>
      <c r="F5" s="15" t="n">
        <f aca="false">E79</f>
        <v>164.374142086403</v>
      </c>
      <c r="G5" s="14" t="n">
        <f aca="false">F5/F$4-1</f>
        <v>-0.0592993518960551</v>
      </c>
      <c r="H5" s="19" t="n">
        <f aca="false">F61</f>
        <v>399.377847551942</v>
      </c>
      <c r="I5" s="19" t="n">
        <f aca="false">F53</f>
        <v>211.217951369833</v>
      </c>
      <c r="J5" s="14" t="n">
        <f aca="false">F70</f>
        <v>0.334553551208975</v>
      </c>
      <c r="K5" s="15" t="n">
        <f aca="false">F79</f>
        <v>200.864863218542</v>
      </c>
      <c r="L5" s="14" t="n">
        <f aca="false">K5/K$4-1</f>
        <v>-0.106406563225005</v>
      </c>
    </row>
    <row r="6" customFormat="false" ht="17.15" hidden="false" customHeight="false" outlineLevel="0" collapsed="false">
      <c r="A6" s="4" t="s">
        <v>759</v>
      </c>
      <c r="B6" s="4" t="s">
        <v>760</v>
      </c>
      <c r="C6" s="19" t="n">
        <f aca="false">E104</f>
        <v>369.765991645787</v>
      </c>
      <c r="D6" s="19" t="n">
        <f aca="false">E96</f>
        <v>193.812385721012</v>
      </c>
      <c r="E6" s="14" t="n">
        <f aca="false">E113</f>
        <v>0.334270428627824</v>
      </c>
      <c r="F6" s="15" t="n">
        <f aca="false">E122</f>
        <v>185.097589261315</v>
      </c>
      <c r="G6" s="14" t="n">
        <f aca="false">F6/F$4-1</f>
        <v>0.0592993518960554</v>
      </c>
      <c r="H6" s="19" t="n">
        <f aca="false">F104</f>
        <v>483.865028099876</v>
      </c>
      <c r="I6" s="19" t="n">
        <f aca="false">F96</f>
        <v>295.705131917766</v>
      </c>
      <c r="J6" s="14" t="n">
        <f aca="false">F113</f>
        <v>0.339489389540581</v>
      </c>
      <c r="K6" s="15" t="n">
        <f aca="false">F122</f>
        <v>248.725835766077</v>
      </c>
      <c r="L6" s="14" t="n">
        <f aca="false">K6/K$4-1</f>
        <v>0.106513955878496</v>
      </c>
    </row>
    <row r="7" customFormat="false" ht="17.15" hidden="false" customHeight="false" outlineLevel="0" collapsed="false">
      <c r="A7" s="4" t="s">
        <v>761</v>
      </c>
      <c r="B7" s="4" t="s">
        <v>762</v>
      </c>
      <c r="C7" s="19" t="n">
        <f aca="false">E147</f>
        <v>310.841346902768</v>
      </c>
      <c r="D7" s="19" t="n">
        <f aca="false">E139</f>
        <v>134.887740977994</v>
      </c>
      <c r="E7" s="14" t="n">
        <f aca="false">E156</f>
        <v>0.328858143757776</v>
      </c>
      <c r="F7" s="15" t="n">
        <f aca="false">E165</f>
        <v>152.019779347513</v>
      </c>
      <c r="G7" s="14" t="n">
        <f aca="false">F7/F$4-1</f>
        <v>-0.130002425310582</v>
      </c>
      <c r="H7" s="19" t="n">
        <f aca="false">F147</f>
        <v>369.203854499109</v>
      </c>
      <c r="I7" s="19" t="n">
        <f aca="false">F139</f>
        <v>181.043958317</v>
      </c>
      <c r="J7" s="14" t="n">
        <f aca="false">F156</f>
        <v>0.332243290975158</v>
      </c>
      <c r="K7" s="15" t="n">
        <f aca="false">F165</f>
        <v>183.824410685574</v>
      </c>
      <c r="L7" s="14" t="n">
        <f aca="false">K7/K$4-1</f>
        <v>-0.182214926614917</v>
      </c>
    </row>
    <row r="8" customFormat="false" ht="17.15" hidden="false" customHeight="false" outlineLevel="0" collapsed="false">
      <c r="A8" s="4" t="s">
        <v>763</v>
      </c>
      <c r="B8" s="4" t="s">
        <v>764</v>
      </c>
      <c r="C8" s="19" t="n">
        <f aca="false">E190</f>
        <v>391.773991489565</v>
      </c>
      <c r="D8" s="19" t="n">
        <f aca="false">E182</f>
        <v>215.82038556479</v>
      </c>
      <c r="E8" s="14" t="n">
        <f aca="false">E199</f>
        <v>0.335874292221684</v>
      </c>
      <c r="F8" s="15" t="n">
        <f aca="false">E208</f>
        <v>197.451952000205</v>
      </c>
      <c r="G8" s="14" t="n">
        <f aca="false">F8/F$4-1</f>
        <v>0.130002425310582</v>
      </c>
      <c r="H8" s="19" t="n">
        <f aca="false">F190</f>
        <v>514.039021152709</v>
      </c>
      <c r="I8" s="19" t="n">
        <f aca="false">F182</f>
        <v>325.879124970599</v>
      </c>
      <c r="J8" s="14" t="n">
        <f aca="false">F199</f>
        <v>0.340858980180052</v>
      </c>
      <c r="K8" s="15" t="n">
        <f aca="false">F208</f>
        <v>265.802680140454</v>
      </c>
      <c r="L8" s="14" t="n">
        <f aca="false">K8/K$4-1</f>
        <v>0.182484216725803</v>
      </c>
    </row>
    <row r="9" customFormat="false" ht="17.15" hidden="false" customHeight="false" outlineLevel="0" collapsed="false">
      <c r="A9" s="4" t="s">
        <v>765</v>
      </c>
      <c r="B9" s="0" t="s">
        <v>766</v>
      </c>
      <c r="C9" s="19" t="n">
        <f aca="false">E233</f>
        <v>327.239464433426</v>
      </c>
      <c r="D9" s="19" t="n">
        <f aca="false">E225</f>
        <v>151.285858508652</v>
      </c>
      <c r="E9" s="14" t="n">
        <f aca="false">E242</f>
        <v>0.330560063050374</v>
      </c>
      <c r="F9" s="15" t="n">
        <f aca="false">E251</f>
        <v>161.22499080002</v>
      </c>
      <c r="G9" s="14" t="n">
        <f aca="false">F9/F$4-1</f>
        <v>-0.0773217039428955</v>
      </c>
      <c r="H9" s="19" t="n">
        <f aca="false">F233</f>
        <v>416.423506785297</v>
      </c>
      <c r="I9" s="19" t="n">
        <f aca="false">F225</f>
        <v>228.263610603188</v>
      </c>
      <c r="J9" s="14" t="n">
        <f aca="false">F242</f>
        <v>0.335710656576181</v>
      </c>
      <c r="K9" s="15" t="n">
        <f aca="false">F251</f>
        <v>210.551689681518</v>
      </c>
      <c r="L9" s="14" t="n">
        <f aca="false">K9/K$4-1</f>
        <v>-0.0633124928545402</v>
      </c>
    </row>
    <row r="10" customFormat="false" ht="17.15" hidden="false" customHeight="false" outlineLevel="0" collapsed="false">
      <c r="A10" s="4" t="s">
        <v>767</v>
      </c>
      <c r="B10" s="0" t="s">
        <v>768</v>
      </c>
      <c r="C10" s="19" t="n">
        <f aca="false">E276</f>
        <v>324.330121000568</v>
      </c>
      <c r="D10" s="19" t="n">
        <f aca="false">E268</f>
        <v>148.376515075793</v>
      </c>
      <c r="E10" s="14" t="n">
        <f aca="false">E285</f>
        <v>0.330270667762695</v>
      </c>
      <c r="F10" s="15" t="n">
        <f aca="false">E294</f>
        <v>159.591808122962</v>
      </c>
      <c r="G10" s="14" t="n">
        <f aca="false">F10/F$4-1</f>
        <v>-0.0866682835403883</v>
      </c>
      <c r="H10" s="19" t="n">
        <f aca="false">F276</f>
        <v>402.627354496094</v>
      </c>
      <c r="I10" s="19" t="n">
        <f aca="false">F268</f>
        <v>214.467458313984</v>
      </c>
      <c r="J10" s="14" t="n">
        <f aca="false">F285</f>
        <v>0.334781694937561</v>
      </c>
      <c r="K10" s="15" t="n">
        <f aca="false">F294</f>
        <v>202.734322456129</v>
      </c>
      <c r="L10" s="14" t="n">
        <f aca="false">K10/K$4-1</f>
        <v>-0.0980898448191145</v>
      </c>
    </row>
    <row r="11" customFormat="false" ht="17.15" hidden="false" customHeight="false" outlineLevel="0" collapsed="false">
      <c r="A11" s="0" t="s">
        <v>769</v>
      </c>
      <c r="B11" s="4" t="s">
        <v>770</v>
      </c>
      <c r="C11" s="19" t="n">
        <f aca="false">E319</f>
        <v>338.682023081212</v>
      </c>
      <c r="D11" s="19" t="n">
        <f aca="false">E311</f>
        <v>175.354063271392</v>
      </c>
      <c r="E11" s="14" t="n">
        <f aca="false">E328</f>
        <v>0.333886759212721</v>
      </c>
      <c r="F11" s="15" t="n">
        <f aca="false">E337</f>
        <v>168.95105597139</v>
      </c>
      <c r="G11" s="14" t="n">
        <f aca="false">F11/F$4-1</f>
        <v>-0.0331060236555355</v>
      </c>
      <c r="H11" s="19" t="n">
        <f aca="false">F319</f>
        <v>420.282130399629</v>
      </c>
      <c r="I11" s="19" t="n">
        <f aca="false">F311</f>
        <v>253.4615416438</v>
      </c>
      <c r="J11" s="14" t="n">
        <f aca="false">F328</f>
        <v>0.33900598820678</v>
      </c>
      <c r="K11" s="15" t="n">
        <f aca="false">F337</f>
        <v>214.910740495061</v>
      </c>
      <c r="L11" s="14" t="n">
        <f aca="false">K11/K$4-1</f>
        <v>-0.0439202550328721</v>
      </c>
    </row>
    <row r="12" customFormat="false" ht="17.15" hidden="false" customHeight="false" outlineLevel="0" collapsed="false">
      <c r="A12" s="0" t="s">
        <v>771</v>
      </c>
      <c r="B12" s="4" t="s">
        <v>772</v>
      </c>
      <c r="C12" s="19" t="n">
        <f aca="false">E362</f>
        <v>363.933315311121</v>
      </c>
      <c r="D12" s="19" t="n">
        <f aca="false">E354</f>
        <v>175.354063271392</v>
      </c>
      <c r="E12" s="14" t="n">
        <f aca="false">E371</f>
        <v>0.331731315267553</v>
      </c>
      <c r="F12" s="15" t="n">
        <f aca="false">E380</f>
        <v>180.520675376329</v>
      </c>
      <c r="G12" s="14" t="n">
        <f aca="false">F12/F$4-1</f>
        <v>0.0331060236555356</v>
      </c>
      <c r="H12" s="19" t="n">
        <f aca="false">F362</f>
        <v>462.960745252189</v>
      </c>
      <c r="I12" s="19" t="n">
        <f aca="false">F354</f>
        <v>253.4615416438</v>
      </c>
      <c r="J12" s="14" t="n">
        <f aca="false">F371</f>
        <v>0.335670276225974</v>
      </c>
      <c r="K12" s="15" t="n">
        <f aca="false">F380</f>
        <v>234.660553327017</v>
      </c>
      <c r="L12" s="14" t="n">
        <f aca="false">K12/K$4-1</f>
        <v>0.0439413193678659</v>
      </c>
    </row>
    <row r="13" customFormat="false" ht="17.15" hidden="false" customHeight="false" outlineLevel="0" collapsed="false">
      <c r="A13" s="0" t="s">
        <v>773</v>
      </c>
      <c r="B13" s="0" t="s">
        <v>774</v>
      </c>
      <c r="C13" s="19" t="n">
        <f aca="false">E405</f>
        <v>303.611210426933</v>
      </c>
      <c r="D13" s="19" t="n">
        <f aca="false">E397</f>
        <v>140.283250617114</v>
      </c>
      <c r="E13" s="14" t="n">
        <f aca="false">E414</f>
        <v>0.330544441978242</v>
      </c>
      <c r="F13" s="15" t="n">
        <f aca="false">E423</f>
        <v>149.263781155224</v>
      </c>
      <c r="G13" s="14" t="n">
        <f aca="false">F13/F$4-1</f>
        <v>-0.14577479225804</v>
      </c>
      <c r="H13" s="19" t="n">
        <f aca="false">F405</f>
        <v>377.058579670067</v>
      </c>
      <c r="I13" s="19" t="n">
        <f aca="false">F397</f>
        <v>202.76923331504</v>
      </c>
      <c r="J13" s="14" t="n">
        <f aca="false">F414</f>
        <v>0.335087454984969</v>
      </c>
      <c r="K13" s="15" t="n">
        <f aca="false">F423</f>
        <v>189.719088473626</v>
      </c>
      <c r="L13" s="14" t="n">
        <f aca="false">K13/K$4-1</f>
        <v>-0.155991099814626</v>
      </c>
    </row>
    <row r="14" customFormat="false" ht="17.15" hidden="false" customHeight="false" outlineLevel="0" collapsed="false">
      <c r="A14" s="0" t="s">
        <v>775</v>
      </c>
      <c r="B14" s="0" t="s">
        <v>776</v>
      </c>
      <c r="C14" s="19" t="n">
        <f aca="false">E448</f>
        <v>399.0041279654</v>
      </c>
      <c r="D14" s="19" t="n">
        <f aca="false">E440</f>
        <v>210.42487592567</v>
      </c>
      <c r="E14" s="14" t="n">
        <f aca="false">E457</f>
        <v>0.334464014193598</v>
      </c>
      <c r="F14" s="15" t="n">
        <f aca="false">E466</f>
        <v>200.207950192495</v>
      </c>
      <c r="G14" s="14" t="n">
        <f aca="false">F14/F$4-1</f>
        <v>0.14577479225804</v>
      </c>
      <c r="H14" s="19" t="n">
        <f aca="false">F448</f>
        <v>506.184295981751</v>
      </c>
      <c r="I14" s="19" t="n">
        <f aca="false">F440</f>
        <v>304.15384997256</v>
      </c>
      <c r="J14" s="14" t="n">
        <f aca="false">F457</f>
        <v>0.338874045880428</v>
      </c>
      <c r="K14" s="15" t="n">
        <f aca="false">F466</f>
        <v>259.862796868457</v>
      </c>
      <c r="L14" s="14" t="n">
        <f aca="false">K14/K$4-1</f>
        <v>0.156059282956819</v>
      </c>
    </row>
    <row r="15" customFormat="false" ht="17.15" hidden="false" customHeight="false" outlineLevel="0" collapsed="false">
      <c r="A15" s="4" t="s">
        <v>777</v>
      </c>
      <c r="B15" s="4" t="s">
        <v>778</v>
      </c>
      <c r="C15" s="19" t="n">
        <f aca="false">E491</f>
        <v>344.326458346167</v>
      </c>
      <c r="D15" s="19" t="n">
        <f aca="false">E483</f>
        <v>175.354063271392</v>
      </c>
      <c r="E15" s="14" t="n">
        <f aca="false">E500</f>
        <v>0.333377516245738</v>
      </c>
      <c r="F15" s="15" t="n">
        <f aca="false">E509</f>
        <v>171.537219371534</v>
      </c>
      <c r="G15" s="14" t="n">
        <f aca="false">F15/F$4-1</f>
        <v>-0.0183056082389813</v>
      </c>
      <c r="H15" s="19" t="n">
        <f aca="false">F491</f>
        <v>428.658455279209</v>
      </c>
      <c r="I15" s="19" t="n">
        <f aca="false">F483</f>
        <v>253.4615416438</v>
      </c>
      <c r="J15" s="14" t="n">
        <f aca="false">F500</f>
        <v>0.338298914779598</v>
      </c>
      <c r="K15" s="15" t="n">
        <f aca="false">F509</f>
        <v>218.783033644939</v>
      </c>
      <c r="L15" s="14" t="n">
        <f aca="false">K15/K$4-1</f>
        <v>-0.0266934703749937</v>
      </c>
    </row>
    <row r="16" customFormat="false" ht="17.15" hidden="false" customHeight="false" outlineLevel="0" collapsed="false">
      <c r="A16" s="4" t="s">
        <v>779</v>
      </c>
      <c r="B16" s="4" t="s">
        <v>780</v>
      </c>
      <c r="C16" s="19" t="n">
        <f aca="false">E534</f>
        <v>357.973599556166</v>
      </c>
      <c r="D16" s="19" t="n">
        <f aca="false">E526</f>
        <v>175.354063271392</v>
      </c>
      <c r="E16" s="14" t="n">
        <f aca="false">E543</f>
        <v>0.332212619652599</v>
      </c>
      <c r="F16" s="15" t="n">
        <f aca="false">E552</f>
        <v>177.790056981886</v>
      </c>
      <c r="G16" s="14" t="n">
        <f aca="false">F16/F$4-1</f>
        <v>0.017478903350769</v>
      </c>
      <c r="H16" s="19" t="n">
        <f aca="false">F534</f>
        <v>454.979872187209</v>
      </c>
      <c r="I16" s="19" t="n">
        <f aca="false">F526</f>
        <v>253.4615416438</v>
      </c>
      <c r="J16" s="14" t="n">
        <f aca="false">F543</f>
        <v>0.336246481691061</v>
      </c>
      <c r="K16" s="15" t="n">
        <f aca="false">F552</f>
        <v>230.970663470899</v>
      </c>
      <c r="L16" s="14" t="n">
        <f aca="false">K16/K$4-1</f>
        <v>0.0275259976186291</v>
      </c>
    </row>
    <row r="17" customFormat="false" ht="17.15" hidden="false" customHeight="false" outlineLevel="0" collapsed="false">
      <c r="A17" s="4" t="s">
        <v>781</v>
      </c>
      <c r="B17" s="4" t="s">
        <v>782</v>
      </c>
      <c r="C17" s="19" t="n">
        <f aca="false">E577</f>
        <v>351.307669196167</v>
      </c>
      <c r="D17" s="19" t="n">
        <f aca="false">E569</f>
        <v>175.354063271392</v>
      </c>
      <c r="E17" s="14" t="n">
        <f aca="false">E586</f>
        <v>0.325604437046887</v>
      </c>
      <c r="F17" s="15" t="n">
        <f aca="false">E595</f>
        <v>170.406797160109</v>
      </c>
      <c r="G17" s="14" t="n">
        <f aca="false">F17/F$4-1</f>
        <v>-0.0247749281296965</v>
      </c>
      <c r="H17" s="19" t="n">
        <f aca="false">F577</f>
        <v>441.621437825909</v>
      </c>
      <c r="I17" s="19" t="n">
        <f aca="false">F569</f>
        <v>253.4615416438</v>
      </c>
      <c r="J17" s="14" t="n">
        <f aca="false">F586</f>
        <v>0.327100182320736</v>
      </c>
      <c r="K17" s="15" t="n">
        <f aca="false">F595</f>
        <v>217.069469127811</v>
      </c>
      <c r="L17" s="14" t="n">
        <f aca="false">K17/K$4-1</f>
        <v>-0.0343166553435371</v>
      </c>
    </row>
    <row r="18" customFormat="false" ht="17.15" hidden="false" customHeight="false" outlineLevel="0" collapsed="false">
      <c r="A18" s="4" t="s">
        <v>783</v>
      </c>
      <c r="B18" s="4" t="s">
        <v>784</v>
      </c>
      <c r="C18" s="19" t="n">
        <f aca="false">E620</f>
        <v>351.307669196167</v>
      </c>
      <c r="D18" s="19" t="n">
        <f aca="false">E612</f>
        <v>175.354063271392</v>
      </c>
      <c r="E18" s="14" t="n">
        <f aca="false">E629</f>
        <v>0.339936172934719</v>
      </c>
      <c r="F18" s="15" t="n">
        <f aca="false">E638</f>
        <v>179.064934187609</v>
      </c>
      <c r="G18" s="14" t="n">
        <f aca="false">F18/F$4-1</f>
        <v>0.0247749281296965</v>
      </c>
      <c r="H18" s="19" t="n">
        <f aca="false">F620</f>
        <v>441.621437825909</v>
      </c>
      <c r="I18" s="19" t="n">
        <f aca="false">F612</f>
        <v>253.4615416438</v>
      </c>
      <c r="J18" s="14" t="n">
        <f aca="false">F629</f>
        <v>0.347414899303967</v>
      </c>
      <c r="K18" s="15" t="n">
        <f aca="false">F638</f>
        <v>232.497089783967</v>
      </c>
      <c r="L18" s="14" t="n">
        <f aca="false">K18/K$4-1</f>
        <v>0.0343166553435366</v>
      </c>
    </row>
    <row r="19" customFormat="false" ht="17.15" hidden="false" customHeight="false" outlineLevel="0" collapsed="false">
      <c r="A19" s="4" t="s">
        <v>785</v>
      </c>
      <c r="B19" s="4" t="s">
        <v>786</v>
      </c>
      <c r="C19" s="19" t="n">
        <f aca="false">E663</f>
        <v>351.307669196167</v>
      </c>
      <c r="D19" s="19" t="n">
        <f aca="false">E655</f>
        <v>175.354063271392</v>
      </c>
      <c r="E19" s="14" t="n">
        <f aca="false">E672</f>
        <v>0.332770304990803</v>
      </c>
      <c r="F19" s="15" t="n">
        <f aca="false">E681</f>
        <v>162.65339765287</v>
      </c>
      <c r="G19" s="14" t="n">
        <f aca="false">F19/F$4-1</f>
        <v>-0.0691470407314168</v>
      </c>
      <c r="H19" s="19" t="n">
        <f aca="false">F663</f>
        <v>441.621437825909</v>
      </c>
      <c r="I19" s="19" t="n">
        <f aca="false">F655</f>
        <v>253.4615416438</v>
      </c>
      <c r="J19" s="14" t="n">
        <f aca="false">F672</f>
        <v>0.337257540812352</v>
      </c>
      <c r="K19" s="15" t="n">
        <f aca="false">F681</f>
        <v>209.594664552821</v>
      </c>
      <c r="L19" s="14" t="n">
        <f aca="false">K19/K$4-1</f>
        <v>-0.0675700387494737</v>
      </c>
    </row>
    <row r="20" customFormat="false" ht="17.15" hidden="false" customHeight="false" outlineLevel="0" collapsed="false">
      <c r="A20" s="0" t="s">
        <v>787</v>
      </c>
      <c r="B20" s="0" t="s">
        <v>788</v>
      </c>
      <c r="C20" s="19" t="n">
        <f aca="false">E706</f>
        <v>340.494528258074</v>
      </c>
      <c r="D20" s="19" t="n">
        <f aca="false">E698</f>
        <v>153.434805362468</v>
      </c>
      <c r="E20" s="14" t="n">
        <f aca="false">E715</f>
        <v>0.332258907666554</v>
      </c>
      <c r="F20" s="15" t="n">
        <f aca="false">E724</f>
        <v>168.925180625212</v>
      </c>
      <c r="G20" s="14" t="n">
        <f aca="false">F20/F$4-1</f>
        <v>-0.0332541062834411</v>
      </c>
      <c r="H20" s="19" t="n">
        <f aca="false">F706</f>
        <v>421.989723363932</v>
      </c>
      <c r="I20" s="19" t="n">
        <f aca="false">F698</f>
        <v>221.778848938325</v>
      </c>
      <c r="J20" s="14" t="n">
        <f aca="false">F715</f>
        <v>0.336754808744611</v>
      </c>
      <c r="K20" s="15" t="n">
        <f aca="false">F724</f>
        <v>214.170516336417</v>
      </c>
      <c r="L20" s="14" t="n">
        <f aca="false">K20/K$4-1</f>
        <v>-0.0472133120628953</v>
      </c>
    </row>
    <row r="21" customFormat="false" ht="17.15" hidden="false" customHeight="false" outlineLevel="0" collapsed="false">
      <c r="A21" s="0" t="s">
        <v>789</v>
      </c>
      <c r="B21" s="0" t="s">
        <v>790</v>
      </c>
      <c r="C21" s="19" t="n">
        <f aca="false">E749</f>
        <v>359.417524899736</v>
      </c>
      <c r="D21" s="19" t="n">
        <f aca="false">E741</f>
        <v>191.793506703085</v>
      </c>
      <c r="E21" s="14" t="n">
        <f aca="false">E758</f>
        <v>0.333038891223699</v>
      </c>
      <c r="F21" s="15" t="n">
        <f aca="false">E767</f>
        <v>179.035306058837</v>
      </c>
      <c r="G21" s="14" t="n">
        <f aca="false">F21/F$4-1</f>
        <v>0.0246053686139214</v>
      </c>
      <c r="H21" s="19" t="n">
        <f aca="false">F749</f>
        <v>456.345223672392</v>
      </c>
      <c r="I21" s="19" t="n">
        <f aca="false">F741</f>
        <v>277.223561172906</v>
      </c>
      <c r="J21" s="14" t="n">
        <f aca="false">F758</f>
        <v>0.337470692871457</v>
      </c>
      <c r="K21" s="15" t="n">
        <f aca="false">F767</f>
        <v>232.639469446905</v>
      </c>
      <c r="L21" s="14" t="n">
        <f aca="false">K21/K$4-1</f>
        <v>0.0349500639461848</v>
      </c>
    </row>
    <row r="22" customFormat="false" ht="17.15" hidden="false" customHeight="false" outlineLevel="0" collapsed="false">
      <c r="A22" s="0" t="s">
        <v>791</v>
      </c>
      <c r="B22" s="4" t="s">
        <v>792</v>
      </c>
      <c r="C22" s="19" t="n">
        <f aca="false">E792</f>
        <v>347.290072131242</v>
      </c>
      <c r="D22" s="19" t="n">
        <f aca="false">E784</f>
        <v>175.354063271392</v>
      </c>
      <c r="E22" s="14" t="n">
        <f aca="false">E801</f>
        <v>0.333116765279566</v>
      </c>
      <c r="F22" s="15" t="n">
        <f aca="false">E810</f>
        <v>172.895085861865</v>
      </c>
      <c r="G22" s="14" t="n">
        <f aca="false">F22/F$4-1</f>
        <v>-0.0105346421291082</v>
      </c>
      <c r="H22" s="19" t="n">
        <f aca="false">F792</f>
        <v>436.550510028373</v>
      </c>
      <c r="I22" s="19" t="n">
        <f aca="false">F784</f>
        <v>253.4615416438</v>
      </c>
      <c r="J22" s="14" t="n">
        <f aca="false">F801</f>
        <v>0.33765754644054</v>
      </c>
      <c r="K22" s="15" t="n">
        <f aca="false">F810</f>
        <v>222.440364139026</v>
      </c>
      <c r="L22" s="14" t="n">
        <f aca="false">K22/K$4-1</f>
        <v>-0.0104229964191905</v>
      </c>
    </row>
    <row r="23" customFormat="false" ht="17.15" hidden="false" customHeight="false" outlineLevel="0" collapsed="false">
      <c r="A23" s="0" t="s">
        <v>793</v>
      </c>
      <c r="B23" s="0" t="s">
        <v>794</v>
      </c>
      <c r="C23" s="19" t="n">
        <f aca="false">E835</f>
        <v>355.325266261091</v>
      </c>
      <c r="D23" s="19" t="n">
        <f aca="false">E827</f>
        <v>175.354063271392</v>
      </c>
      <c r="E23" s="14" t="n">
        <f aca="false">E844</f>
        <v>0.332431679426848</v>
      </c>
      <c r="F23" s="15" t="n">
        <f aca="false">E853</f>
        <v>176.576645485853</v>
      </c>
      <c r="G23" s="14" t="n">
        <f aca="false">F23/F$4-1</f>
        <v>0.0105346421291079</v>
      </c>
      <c r="H23" s="19" t="n">
        <f aca="false">F835</f>
        <v>446.692365623445</v>
      </c>
      <c r="I23" s="19" t="n">
        <f aca="false">F827</f>
        <v>253.4615416438</v>
      </c>
      <c r="J23" s="14" t="n">
        <f aca="false">F844</f>
        <v>0.336866617048172</v>
      </c>
      <c r="K23" s="15" t="n">
        <f aca="false">F853</f>
        <v>227.12620041271</v>
      </c>
      <c r="L23" s="14" t="n">
        <f aca="false">K23/K$4-1</f>
        <v>0.0104230215098404</v>
      </c>
    </row>
    <row r="24" customFormat="false" ht="17.15" hidden="false" customHeight="false" outlineLevel="0" collapsed="false">
      <c r="A24" s="4" t="s">
        <v>795</v>
      </c>
      <c r="B24" s="0" t="s">
        <v>796</v>
      </c>
      <c r="C24" s="19" t="n">
        <f aca="false">PL!E124</f>
        <v>330.677779399532</v>
      </c>
      <c r="D24" s="19" t="n">
        <f aca="false">PL!E116</f>
        <v>154.724173474758</v>
      </c>
      <c r="E24" s="14" t="n">
        <f aca="false">PL!E133</f>
        <v>0.330895510422332</v>
      </c>
      <c r="F24" s="15" t="n">
        <f aca="false">PL!E142</f>
        <v>163.155115781997</v>
      </c>
      <c r="G24" s="14" t="n">
        <f aca="false">F24/F$4-1</f>
        <v>-0.0662757462367676</v>
      </c>
      <c r="H24" s="19" t="n">
        <f aca="false">PL!F124</f>
        <v>355.714449847431</v>
      </c>
      <c r="I24" s="19" t="n">
        <f aca="false">PL!F116</f>
        <v>181.425103492404</v>
      </c>
      <c r="J24" s="14" t="n">
        <f aca="false">PL!F133</f>
        <v>0.333423313640154</v>
      </c>
      <c r="K24" s="15" t="n">
        <f aca="false">PL!F142</f>
        <v>177.531256730248</v>
      </c>
      <c r="L24" s="14" t="n">
        <f aca="false">K24/K$4-1</f>
        <v>-0.210211466084216</v>
      </c>
    </row>
    <row r="25" customFormat="false" ht="17.15" hidden="false" customHeight="false" outlineLevel="0" collapsed="false">
      <c r="A25" s="4" t="s">
        <v>797</v>
      </c>
      <c r="B25" s="0" t="s">
        <v>798</v>
      </c>
      <c r="C25" s="19" t="n">
        <f aca="false">PL!E167</f>
        <v>299.732944704581</v>
      </c>
      <c r="D25" s="19" t="n">
        <f aca="false">PL!E159</f>
        <v>123.779338779806</v>
      </c>
      <c r="E25" s="14" t="n">
        <f aca="false">PL!E176</f>
        <v>0.327599427750871</v>
      </c>
      <c r="F25" s="15" t="n">
        <f aca="false">PL!E185</f>
        <v>145.783990944203</v>
      </c>
      <c r="G25" s="14" t="n">
        <f aca="false">F25/F$4-1</f>
        <v>-0.165689365591919</v>
      </c>
      <c r="H25" s="19" t="n">
        <f aca="false">PL!F167</f>
        <v>272.475478096783</v>
      </c>
      <c r="I25" s="19" t="n">
        <f aca="false">PL!F159</f>
        <v>112.056681568838</v>
      </c>
      <c r="J25" s="14" t="n">
        <f aca="false">PL!F176</f>
        <v>0.327496754371275</v>
      </c>
      <c r="K25" s="15" t="n">
        <f aca="false">PL!F185</f>
        <v>130.380287209671</v>
      </c>
      <c r="L25" s="14" t="n">
        <f aca="false">K25/K$4-1</f>
        <v>-0.419973373796884</v>
      </c>
    </row>
    <row r="27" customFormat="false" ht="17.15" hidden="false" customHeight="false" outlineLevel="0" collapsed="false">
      <c r="A27" s="4" t="s">
        <v>799</v>
      </c>
    </row>
    <row r="40" customFormat="false" ht="17.15" hidden="false" customHeight="false" outlineLevel="0" collapsed="false">
      <c r="A40" s="1" t="s">
        <v>800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1" t="s">
        <v>351</v>
      </c>
      <c r="D41" s="11" t="s">
        <v>440</v>
      </c>
      <c r="E41" s="11" t="s">
        <v>441</v>
      </c>
      <c r="F41" s="11" t="s">
        <v>442</v>
      </c>
      <c r="G41" s="11" t="s">
        <v>443</v>
      </c>
      <c r="H41" s="5" t="s">
        <v>416</v>
      </c>
    </row>
    <row r="42" customFormat="false" ht="17.15" hidden="false" customHeight="false" outlineLevel="0" collapsed="false">
      <c r="A42" s="6" t="s">
        <v>459</v>
      </c>
    </row>
    <row r="43" customFormat="false" ht="17.15" hidden="false" customHeight="false" outlineLevel="0" collapsed="false">
      <c r="A43" s="0" t="s">
        <v>460</v>
      </c>
      <c r="B43" s="0" t="s">
        <v>33</v>
      </c>
      <c r="D43" s="20" t="n">
        <f aca="false">itc_26*1</f>
        <v>781.872916666666</v>
      </c>
      <c r="E43" s="20" t="n">
        <f aca="false">itc_27*1*1</f>
        <v>1565.35</v>
      </c>
      <c r="F43" s="20" t="n">
        <f aca="false">itc_28*um28_A*1</f>
        <v>1984.26388888889</v>
      </c>
      <c r="G43" s="20" t="n">
        <f aca="false">itc_29*um29_A*1</f>
        <v>2260.39027777778</v>
      </c>
    </row>
    <row r="44" customFormat="false" ht="17.15" hidden="false" customHeight="false" outlineLevel="0" collapsed="false">
      <c r="A44" s="4" t="s">
        <v>461</v>
      </c>
      <c r="B44" s="0" t="s">
        <v>33</v>
      </c>
      <c r="D44" s="20" t="n">
        <f aca="false">itpg_gb*(1-vr26)+itpg_vr*vr26</f>
        <v>33.41403216</v>
      </c>
      <c r="E44" s="20" t="n">
        <f aca="false">itpg_vr</f>
        <v>37.586352</v>
      </c>
      <c r="F44" s="20" t="n">
        <f aca="false">itpg_vr</f>
        <v>37.586352</v>
      </c>
      <c r="G44" s="20" t="n">
        <f aca="false">itpg_vr</f>
        <v>37.586352</v>
      </c>
    </row>
    <row r="45" customFormat="false" ht="17.15" hidden="false" customHeight="false" outlineLevel="0" collapsed="false">
      <c r="A45" s="4" t="s">
        <v>462</v>
      </c>
      <c r="B45" s="0" t="s">
        <v>418</v>
      </c>
      <c r="D45" s="17" t="n">
        <f aca="false">D43/D44</f>
        <v>23.3995380420639</v>
      </c>
      <c r="E45" s="17" t="n">
        <f aca="false">E43/E44</f>
        <v>41.6467658260637</v>
      </c>
      <c r="F45" s="17" t="n">
        <f aca="false">F43/F44</f>
        <v>52.792138191248</v>
      </c>
      <c r="G45" s="17" t="n">
        <f aca="false">G43/G44</f>
        <v>60.1385917361116</v>
      </c>
    </row>
    <row r="46" customFormat="false" ht="17.15" hidden="false" customHeight="false" outlineLevel="0" collapsed="false">
      <c r="A46" s="4" t="s">
        <v>463</v>
      </c>
      <c r="B46" s="0" t="s">
        <v>53</v>
      </c>
      <c r="D46" s="14" t="n">
        <f aca="false">lpenA_26</f>
        <v>0.55</v>
      </c>
      <c r="E46" s="14" t="n">
        <f aca="false">lpenA_27</f>
        <v>0.85</v>
      </c>
      <c r="F46" s="14" t="n">
        <f aca="false">lpenA_28</f>
        <v>0.95</v>
      </c>
      <c r="G46" s="14" t="n">
        <f aca="false">lpenA_29</f>
        <v>0.95</v>
      </c>
    </row>
    <row r="47" customFormat="false" ht="17.15" hidden="false" customHeight="false" outlineLevel="0" collapsed="false">
      <c r="A47" s="4" t="s">
        <v>464</v>
      </c>
      <c r="B47" s="0" t="s">
        <v>423</v>
      </c>
      <c r="D47" s="18" t="n">
        <f aca="false">((1-vr26)*racks_gb*(cool_gb+mani)+vr26*racks_vr*(cool_vr+mani))/1000</f>
        <v>350.7208</v>
      </c>
      <c r="E47" s="18" t="n">
        <f aca="false">racks_vr*(cool_vr+mani)*lcadj_27/1000</f>
        <v>326.5912</v>
      </c>
      <c r="F47" s="18" t="n">
        <f aca="false">racks_vr*(cool_vr+mani)*lcadj_28/1000</f>
        <v>351.7136</v>
      </c>
      <c r="G47" s="18" t="n">
        <f aca="false">racks_vr*(cool_vr+mani)*lcadj_29/1000</f>
        <v>351.7136</v>
      </c>
      <c r="H47" s="4" t="s">
        <v>465</v>
      </c>
    </row>
    <row r="48" customFormat="false" ht="17.15" hidden="false" customHeight="false" outlineLevel="0" collapsed="false">
      <c r="A48" s="0" t="s">
        <v>466</v>
      </c>
      <c r="B48" s="0" t="s">
        <v>33</v>
      </c>
      <c r="D48" s="20" t="n">
        <f aca="false">D45*D46*D47/1000</f>
        <v>4.51368758595869</v>
      </c>
      <c r="E48" s="20" t="n">
        <f aca="false">E45*E46*E47/1000</f>
        <v>11.5612471431652</v>
      </c>
      <c r="F48" s="20" t="n">
        <f aca="false">F45*F46*F47/1000</f>
        <v>17.6393273261943</v>
      </c>
      <c r="G48" s="20" t="n">
        <f aca="false">G45*G46*G47/1000</f>
        <v>20.0939825685161</v>
      </c>
    </row>
    <row r="49" customFormat="false" ht="17.15" hidden="false" customHeight="false" outlineLevel="0" collapsed="false">
      <c r="A49" s="0" t="s">
        <v>467</v>
      </c>
      <c r="B49" s="0" t="s">
        <v>193</v>
      </c>
      <c r="D49" s="19" t="n">
        <f aca="false">D48*fx</f>
        <v>144.438002750678</v>
      </c>
      <c r="E49" s="19" t="n">
        <f aca="false">E48*fx</f>
        <v>369.959908581285</v>
      </c>
      <c r="F49" s="19" t="n">
        <f aca="false">F48*fx</f>
        <v>564.458474438216</v>
      </c>
      <c r="G49" s="19" t="n">
        <f aca="false">G48*fx</f>
        <v>643.007442192516</v>
      </c>
    </row>
    <row r="50" customFormat="false" ht="17.15" hidden="false" customHeight="false" outlineLevel="0" collapsed="false">
      <c r="A50" s="4" t="s">
        <v>468</v>
      </c>
      <c r="B50" s="0" t="s">
        <v>53</v>
      </c>
      <c r="D50" s="14" t="n">
        <f aca="false">a26_lc/D49</f>
        <v>0.498927641116677</v>
      </c>
      <c r="H50" s="8" t="s">
        <v>469</v>
      </c>
    </row>
    <row r="51" customFormat="false" ht="17.15" hidden="false" customHeight="false" outlineLevel="0" collapsed="false">
      <c r="A51" s="4" t="s">
        <v>470</v>
      </c>
      <c r="B51" s="0" t="s">
        <v>74</v>
      </c>
      <c r="D51" s="15" t="n">
        <f aca="false">1</f>
        <v>1</v>
      </c>
      <c r="E51" s="15" t="n">
        <f aca="false">RLO_27</f>
        <v>0.85</v>
      </c>
      <c r="F51" s="15" t="n">
        <f aca="false">RLO_28</f>
        <v>0.75</v>
      </c>
      <c r="G51" s="15" t="n">
        <f aca="false">RLO_29</f>
        <v>0.7</v>
      </c>
    </row>
    <row r="52" customFormat="false" ht="15" hidden="false" customHeight="false" outlineLevel="0" collapsed="false">
      <c r="A52" s="4" t="s">
        <v>430</v>
      </c>
      <c r="B52" s="0" t="s">
        <v>53</v>
      </c>
      <c r="D52" s="14" t="n">
        <f aca="false">$D$50*D51</f>
        <v>0.498927641116677</v>
      </c>
      <c r="E52" s="14" t="n">
        <f aca="false">$D$50*E51</f>
        <v>0.424088494949176</v>
      </c>
      <c r="F52" s="14" t="n">
        <f aca="false">$D$50*F51</f>
        <v>0.374195730837508</v>
      </c>
      <c r="G52" s="14" t="n">
        <f aca="false">$D$50*G51</f>
        <v>0.349249348781674</v>
      </c>
    </row>
    <row r="53" customFormat="false" ht="15" hidden="false" customHeight="false" outlineLevel="0" collapsed="false">
      <c r="A53" s="4" t="s">
        <v>471</v>
      </c>
      <c r="B53" s="0" t="s">
        <v>193</v>
      </c>
      <c r="C53" s="19" t="n">
        <f aca="false">a25_lc</f>
        <v>20.94585</v>
      </c>
      <c r="D53" s="19" t="n">
        <f aca="false">D49*D52</f>
        <v>72.064112</v>
      </c>
      <c r="E53" s="19" t="n">
        <f aca="false">E49*E52</f>
        <v>156.895740821772</v>
      </c>
      <c r="F53" s="19" t="n">
        <f aca="false">F49*F52</f>
        <v>211.217951369833</v>
      </c>
      <c r="G53" s="19" t="n">
        <f aca="false">G49*G52</f>
        <v>224.569930447506</v>
      </c>
    </row>
    <row r="54" customFormat="false" ht="17.15" hidden="false" customHeight="false" outlineLevel="0" collapsed="false">
      <c r="A54" s="6" t="s">
        <v>472</v>
      </c>
    </row>
    <row r="55" customFormat="false" ht="17.15" hidden="false" customHeight="false" outlineLevel="0" collapsed="false">
      <c r="A55" s="0" t="s">
        <v>473</v>
      </c>
      <c r="B55" s="0" t="s">
        <v>474</v>
      </c>
      <c r="D55" s="22" t="n">
        <f aca="false">a26_air/D45</f>
        <v>2.0210686815691</v>
      </c>
    </row>
    <row r="56" customFormat="false" ht="17.15" hidden="false" customHeight="false" outlineLevel="0" collapsed="false">
      <c r="A56" s="0" t="s">
        <v>475</v>
      </c>
      <c r="B56" s="0" t="s">
        <v>74</v>
      </c>
      <c r="D56" s="15" t="n">
        <f aca="false">1</f>
        <v>1</v>
      </c>
      <c r="E56" s="15" t="n">
        <f aca="false">acr_27</f>
        <v>0.75</v>
      </c>
      <c r="F56" s="15" t="n">
        <f aca="false">acr_28</f>
        <v>0.65</v>
      </c>
      <c r="G56" s="15" t="n">
        <f aca="false">acr_29</f>
        <v>0.6</v>
      </c>
    </row>
    <row r="57" customFormat="false" ht="17.15" hidden="false" customHeight="false" outlineLevel="0" collapsed="false">
      <c r="A57" s="0" t="s">
        <v>476</v>
      </c>
      <c r="B57" s="0" t="s">
        <v>193</v>
      </c>
      <c r="C57" s="19" t="n">
        <f aca="false">a25_air</f>
        <v>30.999858</v>
      </c>
      <c r="D57" s="19" t="n">
        <f aca="false">D45*$D$55*D56</f>
        <v>47.2920735</v>
      </c>
      <c r="E57" s="19" t="n">
        <f aca="false">E45*$D$55*E56</f>
        <v>63.1282305747746</v>
      </c>
      <c r="F57" s="19" t="n">
        <f aca="false">F45*$D$55*F56</f>
        <v>69.3527491354095</v>
      </c>
      <c r="G57" s="19" t="n">
        <f aca="false">G45*$D$55*G56</f>
        <v>72.9265345869151</v>
      </c>
    </row>
    <row r="58" customFormat="false" ht="15" hidden="false" customHeight="false" outlineLevel="0" collapsed="false">
      <c r="A58" s="4" t="s">
        <v>477</v>
      </c>
      <c r="B58" s="0" t="s">
        <v>193</v>
      </c>
      <c r="C58" s="19" t="n">
        <f aca="false">a25_gen</f>
        <v>20.666572</v>
      </c>
      <c r="D58" s="19" t="n">
        <f aca="false">a26_gen</f>
        <v>31.528049</v>
      </c>
      <c r="E58" s="19" t="n">
        <f aca="false">D58*(1+g_gen_27)</f>
        <v>34.05029292</v>
      </c>
      <c r="F58" s="19" t="n">
        <f aca="false">E58*(1+g_gen_28)</f>
        <v>36.0933104952</v>
      </c>
      <c r="G58" s="19" t="n">
        <f aca="false">F58*(1+g_gen_29)</f>
        <v>37.89797601996</v>
      </c>
    </row>
    <row r="59" customFormat="false" ht="17.15" hidden="false" customHeight="false" outlineLevel="0" collapsed="false">
      <c r="A59" s="4" t="s">
        <v>478</v>
      </c>
      <c r="B59" s="0" t="s">
        <v>193</v>
      </c>
      <c r="C59" s="19" t="n">
        <f aca="false">a25_nai</f>
        <v>67.02672</v>
      </c>
      <c r="D59" s="19" t="n">
        <f aca="false">a26_nai</f>
        <v>74.3161155</v>
      </c>
      <c r="E59" s="19" t="n">
        <f aca="false">D59*(1+g_nai_27)</f>
        <v>78.77508243</v>
      </c>
      <c r="F59" s="19" t="n">
        <f aca="false">E59*(1+g_nai_28)</f>
        <v>82.7138365515</v>
      </c>
      <c r="G59" s="19" t="n">
        <f aca="false">F59*(1+g_nai_29)</f>
        <v>86.02239001356</v>
      </c>
    </row>
    <row r="60" customFormat="false" ht="17.15" hidden="false" customHeight="false" outlineLevel="0" collapsed="false">
      <c r="A60" s="4" t="s">
        <v>479</v>
      </c>
      <c r="B60" s="0" t="s">
        <v>193</v>
      </c>
      <c r="C60" s="19" t="n">
        <f aca="false">C53+C57+C58</f>
        <v>72.61228</v>
      </c>
      <c r="D60" s="19" t="n">
        <f aca="false">D53+D57+D58</f>
        <v>150.8842345</v>
      </c>
      <c r="E60" s="19" t="n">
        <f aca="false">E53+E57+E58</f>
        <v>254.074264316546</v>
      </c>
      <c r="F60" s="19" t="n">
        <f aca="false">F53+F57+F58</f>
        <v>316.664011000442</v>
      </c>
      <c r="G60" s="19" t="n">
        <f aca="false">G53+G57+G58</f>
        <v>335.394441054381</v>
      </c>
    </row>
    <row r="61" customFormat="false" ht="15" hidden="false" customHeight="false" outlineLevel="0" collapsed="false">
      <c r="A61" s="4" t="s">
        <v>357</v>
      </c>
      <c r="B61" s="0" t="s">
        <v>193</v>
      </c>
      <c r="C61" s="19" t="n">
        <f aca="false">C53+C57+C58+C59</f>
        <v>139.639</v>
      </c>
      <c r="D61" s="19" t="n">
        <f aca="false">D53+D57+D58+D59</f>
        <v>225.20035</v>
      </c>
      <c r="E61" s="19" t="n">
        <f aca="false">E53+E57+E58+E59</f>
        <v>332.849346746546</v>
      </c>
      <c r="F61" s="19" t="n">
        <f aca="false">F53+F57+F58+F59</f>
        <v>399.377847551942</v>
      </c>
      <c r="G61" s="19" t="n">
        <f aca="false">G53+G57+G58+G59</f>
        <v>421.416831067941</v>
      </c>
    </row>
    <row r="62" customFormat="false" ht="15" hidden="false" customHeight="false" outlineLevel="0" collapsed="false">
      <c r="A62" s="4" t="s">
        <v>480</v>
      </c>
      <c r="B62" s="0" t="s">
        <v>193</v>
      </c>
      <c r="C62" s="22" t="n">
        <f aca="false">ROUND(C60+C59-C61,6)</f>
        <v>0</v>
      </c>
      <c r="D62" s="22" t="n">
        <f aca="false">ROUND(D60+D59-D61,6)</f>
        <v>0</v>
      </c>
      <c r="E62" s="22" t="n">
        <f aca="false">ROUND(E60+E59-E61,6)</f>
        <v>0</v>
      </c>
      <c r="F62" s="22" t="n">
        <f aca="false">ROUND(F60+F59-F61,6)</f>
        <v>0</v>
      </c>
      <c r="G62" s="22" t="n">
        <f aca="false">ROUND(G60+G59-G61,6)</f>
        <v>0</v>
      </c>
    </row>
    <row r="63" customFormat="false" ht="15" hidden="false" customHeight="false" outlineLevel="0" collapsed="false">
      <c r="A63" s="4" t="s">
        <v>481</v>
      </c>
      <c r="B63" s="0" t="s">
        <v>53</v>
      </c>
      <c r="D63" s="14" t="n">
        <f aca="false">D61/C61-1</f>
        <v>0.612732474451979</v>
      </c>
      <c r="E63" s="14" t="n">
        <f aca="false">E61/D61-1</f>
        <v>0.478014340326498</v>
      </c>
      <c r="F63" s="14" t="n">
        <f aca="false">F61/E61-1</f>
        <v>0.199875713909859</v>
      </c>
      <c r="G63" s="14" t="n">
        <f aca="false">G61/F61-1</f>
        <v>0.0551832898371576</v>
      </c>
    </row>
    <row r="64" customFormat="false" ht="17.15" hidden="false" customHeight="false" outlineLevel="0" collapsed="false">
      <c r="A64" s="4" t="s">
        <v>482</v>
      </c>
      <c r="B64" s="0" t="s">
        <v>53</v>
      </c>
      <c r="C64" s="14" t="n">
        <f aca="false">C53/C61</f>
        <v>0.15</v>
      </c>
      <c r="D64" s="14" t="n">
        <f aca="false">D53/D61</f>
        <v>0.32</v>
      </c>
      <c r="E64" s="14" t="n">
        <f aca="false">E53/E61</f>
        <v>0.471371635111673</v>
      </c>
      <c r="F64" s="14" t="n">
        <f aca="false">F53/F61</f>
        <v>0.528867468900769</v>
      </c>
      <c r="G64" s="14" t="n">
        <f aca="false">G53/G61</f>
        <v>0.532892646642537</v>
      </c>
    </row>
    <row r="65" customFormat="false" ht="17.15" hidden="false" customHeight="false" outlineLevel="0" collapsed="false">
      <c r="A65" s="0" t="s">
        <v>483</v>
      </c>
      <c r="B65" s="0" t="s">
        <v>53</v>
      </c>
      <c r="C65" s="14" t="n">
        <f aca="false">(C53+C57)/C61</f>
        <v>0.372</v>
      </c>
      <c r="D65" s="14" t="n">
        <f aca="false">(D53+D57)/D61</f>
        <v>0.53</v>
      </c>
      <c r="E65" s="14" t="n">
        <f aca="false">(E53+E57)/E61</f>
        <v>0.661031705626532</v>
      </c>
      <c r="F65" s="14" t="n">
        <f aca="false">(F53+F57)/F61</f>
        <v>0.702519436731532</v>
      </c>
      <c r="G65" s="14" t="n">
        <f aca="false">(G53+G57)/G61</f>
        <v>0.705943481850298</v>
      </c>
    </row>
    <row r="66" customFormat="false" ht="17.15" hidden="false" customHeight="false" outlineLevel="0" collapsed="false">
      <c r="A66" s="4" t="s">
        <v>435</v>
      </c>
      <c r="B66" s="0" t="s">
        <v>423</v>
      </c>
      <c r="D66" s="18" t="n">
        <f aca="false">(D53+D57)/fx/D45*1000</f>
        <v>159.399762088039</v>
      </c>
      <c r="E66" s="18" t="n">
        <f aca="false">(E53+E57)/fx/E45*1000</f>
        <v>165.096832125174</v>
      </c>
      <c r="F66" s="18" t="n">
        <f aca="false">(F53+F57)/fx/F45*1000</f>
        <v>166.082198811989</v>
      </c>
      <c r="G66" s="18" t="n">
        <f aca="false">(G53+G57)/fx/G45*1000</f>
        <v>154.588996249196</v>
      </c>
    </row>
    <row r="67" customFormat="false" ht="17.15" hidden="false" customHeight="false" outlineLevel="0" collapsed="false">
      <c r="A67" s="6" t="s">
        <v>484</v>
      </c>
    </row>
    <row r="68" customFormat="false" ht="17.15" hidden="false" customHeight="false" outlineLevel="0" collapsed="false">
      <c r="A68" s="4" t="s">
        <v>485</v>
      </c>
      <c r="B68" s="0" t="s">
        <v>53</v>
      </c>
      <c r="D68" s="14" t="n">
        <f aca="false">a26_gp/D61-d_lc*D64</f>
        <v>0.302821503074929</v>
      </c>
      <c r="H68" s="8" t="s">
        <v>486</v>
      </c>
    </row>
    <row r="69" customFormat="false" ht="15" hidden="false" customHeight="false" outlineLevel="0" collapsed="false">
      <c r="A69" s="4" t="s">
        <v>361</v>
      </c>
      <c r="B69" s="0" t="s">
        <v>193</v>
      </c>
      <c r="C69" s="19" t="n">
        <f aca="false">a25_gp</f>
        <v>36.034</v>
      </c>
      <c r="D69" s="19" t="n">
        <f aca="false">a26_gp</f>
        <v>72.5193552</v>
      </c>
      <c r="E69" s="19" t="n">
        <f aca="false">$D$68*E61+d_lc*E53</f>
        <v>110.207683928604</v>
      </c>
      <c r="F69" s="19" t="n">
        <f aca="false">$D$68*F61+d_lc*F53</f>
        <v>133.613277172699</v>
      </c>
      <c r="G69" s="19" t="n">
        <f aca="false">$D$68*G61+d_lc*G53</f>
        <v>141.088274031918</v>
      </c>
    </row>
    <row r="70" customFormat="false" ht="15" hidden="false" customHeight="false" outlineLevel="0" collapsed="false">
      <c r="A70" s="4" t="s">
        <v>364</v>
      </c>
      <c r="B70" s="0" t="s">
        <v>53</v>
      </c>
      <c r="C70" s="14" t="n">
        <f aca="false">C69/C61</f>
        <v>0.258051117524474</v>
      </c>
      <c r="D70" s="14" t="n">
        <f aca="false">D69/D61</f>
        <v>0.322021503074929</v>
      </c>
      <c r="E70" s="14" t="n">
        <f aca="false">E69/E61</f>
        <v>0.331103801181629</v>
      </c>
      <c r="F70" s="14" t="n">
        <f aca="false">F69/F61</f>
        <v>0.334553551208975</v>
      </c>
      <c r="G70" s="14" t="n">
        <f aca="false">G69/G61</f>
        <v>0.334795061873481</v>
      </c>
    </row>
    <row r="71" customFormat="false" ht="15" hidden="false" customHeight="false" outlineLevel="0" collapsed="false">
      <c r="A71" s="4" t="s">
        <v>487</v>
      </c>
      <c r="B71" s="0" t="s">
        <v>193</v>
      </c>
      <c r="C71" s="19" t="n">
        <f aca="false">a25_opx</f>
        <v>8.4832253</v>
      </c>
      <c r="D71" s="19" t="n">
        <f aca="false">a26_opx</f>
        <v>11.7048599</v>
      </c>
      <c r="E71" s="19" t="n">
        <f aca="false">D71*(1+MAX(0,phi*E63))</f>
        <v>15.6214235185988</v>
      </c>
      <c r="F71" s="19" t="n">
        <f aca="false">E71*(1+MAX(0,phi*F63))</f>
        <v>17.8070637432465</v>
      </c>
      <c r="G71" s="19" t="n">
        <f aca="false">F71*(1+MAX(0,phi*G63))</f>
        <v>18.4949203950312</v>
      </c>
    </row>
    <row r="72" customFormat="false" ht="15" hidden="false" customHeight="false" outlineLevel="0" collapsed="false">
      <c r="A72" s="4" t="s">
        <v>366</v>
      </c>
      <c r="B72" s="0" t="s">
        <v>193</v>
      </c>
      <c r="C72" s="19" t="n">
        <f aca="false">C71</f>
        <v>8.4832253</v>
      </c>
      <c r="D72" s="19" t="n">
        <f aca="false">D71</f>
        <v>11.7048599</v>
      </c>
      <c r="E72" s="19" t="n">
        <f aca="false">E71+0*E61</f>
        <v>15.6214235185988</v>
      </c>
      <c r="F72" s="19" t="n">
        <f aca="false">F71+0*F61</f>
        <v>17.8070637432465</v>
      </c>
      <c r="G72" s="19" t="n">
        <f aca="false">G71+0*G61</f>
        <v>18.4949203950312</v>
      </c>
    </row>
    <row r="73" customFormat="false" ht="15" hidden="false" customHeight="false" outlineLevel="0" collapsed="false">
      <c r="A73" s="4" t="s">
        <v>368</v>
      </c>
      <c r="B73" s="0" t="s">
        <v>193</v>
      </c>
      <c r="C73" s="19" t="n">
        <f aca="false">C69-C72</f>
        <v>27.5507747</v>
      </c>
      <c r="D73" s="19" t="n">
        <f aca="false">D69-D72</f>
        <v>60.8144953</v>
      </c>
      <c r="E73" s="19" t="n">
        <f aca="false">E69-E72</f>
        <v>94.5862604100048</v>
      </c>
      <c r="F73" s="19" t="n">
        <f aca="false">F69-F72</f>
        <v>115.806213429452</v>
      </c>
      <c r="G73" s="19" t="n">
        <f aca="false">G69-G72</f>
        <v>122.593353636887</v>
      </c>
    </row>
    <row r="74" customFormat="false" ht="15" hidden="false" customHeight="false" outlineLevel="0" collapsed="false">
      <c r="A74" s="4" t="s">
        <v>371</v>
      </c>
      <c r="B74" s="0" t="s">
        <v>53</v>
      </c>
      <c r="C74" s="14" t="n">
        <f aca="false">C73/C61</f>
        <v>0.1973</v>
      </c>
      <c r="D74" s="14" t="n">
        <f aca="false">D73/D61</f>
        <v>0.27004618465291</v>
      </c>
      <c r="E74" s="14" t="n">
        <f aca="false">E73/E61</f>
        <v>0.284171386648474</v>
      </c>
      <c r="F74" s="14" t="n">
        <f aca="false">F73/F61</f>
        <v>0.289966542058622</v>
      </c>
      <c r="G74" s="14" t="n">
        <f aca="false">G73/G61</f>
        <v>0.290907587450208</v>
      </c>
    </row>
    <row r="75" customFormat="false" ht="15" hidden="false" customHeight="false" outlineLevel="0" collapsed="false">
      <c r="A75" s="4" t="s">
        <v>373</v>
      </c>
      <c r="B75" s="0" t="s">
        <v>193</v>
      </c>
      <c r="C75" s="19" t="n">
        <f aca="false">a25_nop</f>
        <v>1.23179436863779</v>
      </c>
      <c r="D75" s="19" t="n">
        <f aca="false">a26_nop</f>
        <v>0.8186111</v>
      </c>
      <c r="E75" s="19" t="n">
        <f aca="false">nop_f</f>
        <v>1</v>
      </c>
      <c r="F75" s="19" t="n">
        <f aca="false">nop_f</f>
        <v>1</v>
      </c>
      <c r="G75" s="19" t="n">
        <f aca="false">nop_f</f>
        <v>1</v>
      </c>
    </row>
    <row r="76" customFormat="false" ht="17.15" hidden="false" customHeight="false" outlineLevel="0" collapsed="false">
      <c r="A76" s="4" t="s">
        <v>236</v>
      </c>
      <c r="B76" s="0" t="s">
        <v>53</v>
      </c>
      <c r="C76" s="14" t="n">
        <f aca="false">a25_ni/(a25_oi+a25_nop)</f>
        <v>0.666583999303438</v>
      </c>
      <c r="D76" s="14" t="n">
        <f aca="false">a26_ni/(a26_oi+a26_nop)</f>
        <v>0.674837141220258</v>
      </c>
      <c r="E76" s="14" t="n">
        <f aca="false">nir_f</f>
        <v>0.675</v>
      </c>
      <c r="F76" s="14" t="n">
        <f aca="false">nir_f</f>
        <v>0.675</v>
      </c>
      <c r="G76" s="14" t="n">
        <f aca="false">nir_f</f>
        <v>0.675</v>
      </c>
    </row>
    <row r="77" customFormat="false" ht="15" hidden="false" customHeight="false" outlineLevel="0" collapsed="false">
      <c r="A77" s="4" t="s">
        <v>377</v>
      </c>
      <c r="B77" s="0" t="s">
        <v>193</v>
      </c>
      <c r="C77" s="19" t="n">
        <f aca="false">a25_ni</f>
        <v>19.186</v>
      </c>
      <c r="D77" s="19" t="n">
        <f aca="false">a26_ni</f>
        <v>41.5923093275</v>
      </c>
      <c r="E77" s="19" t="n">
        <f aca="false">(E73+E75)*E76</f>
        <v>64.5207257767532</v>
      </c>
      <c r="F77" s="19" t="n">
        <f aca="false">(F73+F75)*F76</f>
        <v>78.8441940648803</v>
      </c>
      <c r="G77" s="19" t="n">
        <f aca="false">(G73+G75)*G76</f>
        <v>83.4255137048984</v>
      </c>
    </row>
    <row r="78" customFormat="false" ht="15" hidden="false" customHeight="false" outlineLevel="0" collapsed="false">
      <c r="A78" s="4" t="s">
        <v>488</v>
      </c>
      <c r="B78" s="4" t="s">
        <v>219</v>
      </c>
      <c r="C78" s="22" t="n">
        <f aca="false">a25_sh</f>
        <v>0.390197274761033</v>
      </c>
      <c r="D78" s="22" t="n">
        <f aca="false">a26_sh</f>
        <v>0.392523574315222</v>
      </c>
      <c r="E78" s="22" t="n">
        <f aca="false">D78*(1+sh_g)</f>
        <v>0.392523574315222</v>
      </c>
      <c r="F78" s="22" t="n">
        <f aca="false">E78*(1+sh_g)</f>
        <v>0.392523574315222</v>
      </c>
      <c r="G78" s="22" t="n">
        <f aca="false">F78*(1+sh_g)</f>
        <v>0.392523574315222</v>
      </c>
    </row>
    <row r="79" customFormat="false" ht="15" hidden="false" customHeight="false" outlineLevel="0" collapsed="false">
      <c r="A79" s="0" t="s">
        <v>382</v>
      </c>
      <c r="B79" s="0" t="s">
        <v>256</v>
      </c>
      <c r="C79" s="20" t="n">
        <f aca="false">C77/C78</f>
        <v>49.17</v>
      </c>
      <c r="D79" s="20" t="n">
        <f aca="false">D77/D78</f>
        <v>105.961302834002</v>
      </c>
      <c r="E79" s="20" t="n">
        <f aca="false">E77/E78</f>
        <v>164.374142086403</v>
      </c>
      <c r="F79" s="20" t="n">
        <f aca="false">F77/F78</f>
        <v>200.864863218542</v>
      </c>
      <c r="G79" s="20" t="n">
        <f aca="false">G77/G78</f>
        <v>212.536314157534</v>
      </c>
    </row>
    <row r="80" customFormat="false" ht="17.15" hidden="false" customHeight="false" outlineLevel="0" collapsed="false">
      <c r="A80" s="0" t="s">
        <v>489</v>
      </c>
      <c r="B80" s="0" t="s">
        <v>53</v>
      </c>
      <c r="D80" s="14" t="n">
        <f aca="false">D79/C79-1</f>
        <v>1.15499904075659</v>
      </c>
      <c r="E80" s="14" t="n">
        <f aca="false">E79/D79-1</f>
        <v>0.551265770522952</v>
      </c>
      <c r="F80" s="14" t="n">
        <f aca="false">F79/E79-1</f>
        <v>0.22199794121485</v>
      </c>
      <c r="G80" s="14" t="n">
        <f aca="false">G79/F79-1</f>
        <v>0.0581059860444273</v>
      </c>
    </row>
    <row r="83" customFormat="false" ht="17.15" hidden="false" customHeight="false" outlineLevel="0" collapsed="false">
      <c r="A83" s="1" t="s">
        <v>801</v>
      </c>
    </row>
    <row r="84" customFormat="false" ht="17.15" hidden="false" customHeight="false" outlineLevel="0" collapsed="false">
      <c r="A84" s="5" t="s">
        <v>22</v>
      </c>
      <c r="B84" s="5" t="s">
        <v>23</v>
      </c>
      <c r="C84" s="11" t="s">
        <v>351</v>
      </c>
      <c r="D84" s="11" t="s">
        <v>440</v>
      </c>
      <c r="E84" s="11" t="s">
        <v>441</v>
      </c>
      <c r="F84" s="11" t="s">
        <v>442</v>
      </c>
      <c r="G84" s="11" t="s">
        <v>443</v>
      </c>
      <c r="H84" s="5" t="s">
        <v>416</v>
      </c>
    </row>
    <row r="85" customFormat="false" ht="17.15" hidden="false" customHeight="false" outlineLevel="0" collapsed="false">
      <c r="A85" s="6" t="s">
        <v>459</v>
      </c>
    </row>
    <row r="86" customFormat="false" ht="17.15" hidden="false" customHeight="false" outlineLevel="0" collapsed="false">
      <c r="A86" s="0" t="s">
        <v>460</v>
      </c>
      <c r="B86" s="0" t="s">
        <v>33</v>
      </c>
      <c r="D86" s="20" t="n">
        <f aca="false">itc_26*1</f>
        <v>781.872916666666</v>
      </c>
      <c r="E86" s="20" t="n">
        <f aca="false">itc_27*1*1</f>
        <v>1565.35</v>
      </c>
      <c r="F86" s="20" t="n">
        <f aca="false">itc_28*um28_A*1</f>
        <v>1984.26388888889</v>
      </c>
      <c r="G86" s="20" t="n">
        <f aca="false">itc_29*um29_A*1</f>
        <v>2260.39027777778</v>
      </c>
    </row>
    <row r="87" customFormat="false" ht="17.15" hidden="false" customHeight="false" outlineLevel="0" collapsed="false">
      <c r="A87" s="4" t="s">
        <v>461</v>
      </c>
      <c r="B87" s="0" t="s">
        <v>33</v>
      </c>
      <c r="D87" s="20" t="n">
        <f aca="false">itpg_gb*(1-vr26)+itpg_vr*vr26</f>
        <v>33.41403216</v>
      </c>
      <c r="E87" s="20" t="n">
        <f aca="false">itpg_vr</f>
        <v>37.586352</v>
      </c>
      <c r="F87" s="20" t="n">
        <f aca="false">itpg_vr</f>
        <v>37.586352</v>
      </c>
      <c r="G87" s="20" t="n">
        <f aca="false">itpg_vr</f>
        <v>37.586352</v>
      </c>
    </row>
    <row r="88" customFormat="false" ht="17.15" hidden="false" customHeight="false" outlineLevel="0" collapsed="false">
      <c r="A88" s="4" t="s">
        <v>462</v>
      </c>
      <c r="B88" s="0" t="s">
        <v>418</v>
      </c>
      <c r="D88" s="17" t="n">
        <f aca="false">D86/D87</f>
        <v>23.3995380420639</v>
      </c>
      <c r="E88" s="17" t="n">
        <f aca="false">E86/E87</f>
        <v>41.6467658260637</v>
      </c>
      <c r="F88" s="17" t="n">
        <f aca="false">F86/F87</f>
        <v>52.792138191248</v>
      </c>
      <c r="G88" s="17" t="n">
        <f aca="false">G86/G87</f>
        <v>60.1385917361116</v>
      </c>
    </row>
    <row r="89" customFormat="false" ht="17.15" hidden="false" customHeight="false" outlineLevel="0" collapsed="false">
      <c r="A89" s="4" t="s">
        <v>463</v>
      </c>
      <c r="B89" s="0" t="s">
        <v>53</v>
      </c>
      <c r="D89" s="14" t="n">
        <f aca="false">lpenA_26</f>
        <v>0.55</v>
      </c>
      <c r="E89" s="14" t="n">
        <f aca="false">lpenA_27</f>
        <v>0.85</v>
      </c>
      <c r="F89" s="14" t="n">
        <f aca="false">lpenA_28</f>
        <v>0.95</v>
      </c>
      <c r="G89" s="14" t="n">
        <f aca="false">lpenA_29</f>
        <v>0.95</v>
      </c>
    </row>
    <row r="90" customFormat="false" ht="17.15" hidden="false" customHeight="false" outlineLevel="0" collapsed="false">
      <c r="A90" s="4" t="s">
        <v>464</v>
      </c>
      <c r="B90" s="0" t="s">
        <v>423</v>
      </c>
      <c r="D90" s="18" t="n">
        <f aca="false">((1-vr26)*racks_gb*(cool_gb+mani)+vr26*racks_vr*(cool_vr+mani))/1000</f>
        <v>350.7208</v>
      </c>
      <c r="E90" s="18" t="n">
        <f aca="false">racks_vr*(cool_vr+mani)*lcadj_27/1000</f>
        <v>326.5912</v>
      </c>
      <c r="F90" s="18" t="n">
        <f aca="false">racks_vr*(cool_vr+mani)*lcadj_28/1000</f>
        <v>351.7136</v>
      </c>
      <c r="G90" s="18" t="n">
        <f aca="false">racks_vr*(cool_vr+mani)*lcadj_29/1000</f>
        <v>351.7136</v>
      </c>
      <c r="H90" s="4" t="s">
        <v>465</v>
      </c>
    </row>
    <row r="91" customFormat="false" ht="17.15" hidden="false" customHeight="false" outlineLevel="0" collapsed="false">
      <c r="A91" s="0" t="s">
        <v>466</v>
      </c>
      <c r="B91" s="0" t="s">
        <v>33</v>
      </c>
      <c r="D91" s="20" t="n">
        <f aca="false">D88*D89*D90/1000</f>
        <v>4.51368758595869</v>
      </c>
      <c r="E91" s="20" t="n">
        <f aca="false">E88*E89*E90/1000</f>
        <v>11.5612471431652</v>
      </c>
      <c r="F91" s="20" t="n">
        <f aca="false">F88*F89*F90/1000</f>
        <v>17.6393273261943</v>
      </c>
      <c r="G91" s="20" t="n">
        <f aca="false">G88*G89*G90/1000</f>
        <v>20.0939825685161</v>
      </c>
    </row>
    <row r="92" customFormat="false" ht="17.15" hidden="false" customHeight="false" outlineLevel="0" collapsed="false">
      <c r="A92" s="0" t="s">
        <v>467</v>
      </c>
      <c r="B92" s="0" t="s">
        <v>193</v>
      </c>
      <c r="D92" s="19" t="n">
        <f aca="false">D91*fx</f>
        <v>144.438002750678</v>
      </c>
      <c r="E92" s="19" t="n">
        <f aca="false">E91*fx</f>
        <v>369.959908581285</v>
      </c>
      <c r="F92" s="19" t="n">
        <f aca="false">F91*fx</f>
        <v>564.458474438216</v>
      </c>
      <c r="G92" s="19" t="n">
        <f aca="false">G91*fx</f>
        <v>643.007442192516</v>
      </c>
    </row>
    <row r="93" customFormat="false" ht="17.15" hidden="false" customHeight="false" outlineLevel="0" collapsed="false">
      <c r="A93" s="4" t="s">
        <v>468</v>
      </c>
      <c r="B93" s="0" t="s">
        <v>53</v>
      </c>
      <c r="D93" s="14" t="n">
        <f aca="false">a26_lc/D92</f>
        <v>0.498927641116677</v>
      </c>
      <c r="H93" s="8" t="s">
        <v>469</v>
      </c>
    </row>
    <row r="94" customFormat="false" ht="17.15" hidden="false" customHeight="false" outlineLevel="0" collapsed="false">
      <c r="A94" s="4" t="s">
        <v>470</v>
      </c>
      <c r="B94" s="0" t="s">
        <v>74</v>
      </c>
      <c r="D94" s="15" t="n">
        <f aca="false">1</f>
        <v>1</v>
      </c>
      <c r="E94" s="15" t="n">
        <f aca="false">RHI_27</f>
        <v>1.05</v>
      </c>
      <c r="F94" s="15" t="n">
        <f aca="false">RHI_28</f>
        <v>1.05</v>
      </c>
      <c r="G94" s="15" t="n">
        <f aca="false">RHI_29</f>
        <v>1.05</v>
      </c>
    </row>
    <row r="95" customFormat="false" ht="15" hidden="false" customHeight="false" outlineLevel="0" collapsed="false">
      <c r="A95" s="4" t="s">
        <v>430</v>
      </c>
      <c r="B95" s="0" t="s">
        <v>53</v>
      </c>
      <c r="D95" s="14" t="n">
        <f aca="false">$D$93*D94</f>
        <v>0.498927641116677</v>
      </c>
      <c r="E95" s="14" t="n">
        <f aca="false">$D$93*E94</f>
        <v>0.523874023172511</v>
      </c>
      <c r="F95" s="14" t="n">
        <f aca="false">$D$93*F94</f>
        <v>0.523874023172511</v>
      </c>
      <c r="G95" s="14" t="n">
        <f aca="false">$D$93*G94</f>
        <v>0.523874023172511</v>
      </c>
    </row>
    <row r="96" customFormat="false" ht="15" hidden="false" customHeight="false" outlineLevel="0" collapsed="false">
      <c r="A96" s="4" t="s">
        <v>471</v>
      </c>
      <c r="B96" s="0" t="s">
        <v>193</v>
      </c>
      <c r="C96" s="19" t="n">
        <f aca="false">a25_lc</f>
        <v>20.94585</v>
      </c>
      <c r="D96" s="19" t="n">
        <f aca="false">D92*D95</f>
        <v>72.064112</v>
      </c>
      <c r="E96" s="19" t="n">
        <f aca="false">E92*E95</f>
        <v>193.812385721012</v>
      </c>
      <c r="F96" s="19" t="n">
        <f aca="false">F92*F95</f>
        <v>295.705131917766</v>
      </c>
      <c r="G96" s="19" t="n">
        <f aca="false">G92*G95</f>
        <v>336.854895671259</v>
      </c>
    </row>
    <row r="97" customFormat="false" ht="17.15" hidden="false" customHeight="false" outlineLevel="0" collapsed="false">
      <c r="A97" s="6" t="s">
        <v>472</v>
      </c>
    </row>
    <row r="98" customFormat="false" ht="17.15" hidden="false" customHeight="false" outlineLevel="0" collapsed="false">
      <c r="A98" s="0" t="s">
        <v>473</v>
      </c>
      <c r="B98" s="0" t="s">
        <v>474</v>
      </c>
      <c r="D98" s="22" t="n">
        <f aca="false">a26_air/D88</f>
        <v>2.0210686815691</v>
      </c>
    </row>
    <row r="99" customFormat="false" ht="17.15" hidden="false" customHeight="false" outlineLevel="0" collapsed="false">
      <c r="A99" s="0" t="s">
        <v>475</v>
      </c>
      <c r="B99" s="0" t="s">
        <v>74</v>
      </c>
      <c r="D99" s="15" t="n">
        <f aca="false">1</f>
        <v>1</v>
      </c>
      <c r="E99" s="15" t="n">
        <f aca="false">acr_27</f>
        <v>0.75</v>
      </c>
      <c r="F99" s="15" t="n">
        <f aca="false">acr_28</f>
        <v>0.65</v>
      </c>
      <c r="G99" s="15" t="n">
        <f aca="false">acr_29</f>
        <v>0.6</v>
      </c>
    </row>
    <row r="100" customFormat="false" ht="17.15" hidden="false" customHeight="false" outlineLevel="0" collapsed="false">
      <c r="A100" s="0" t="s">
        <v>476</v>
      </c>
      <c r="B100" s="0" t="s">
        <v>193</v>
      </c>
      <c r="C100" s="19" t="n">
        <f aca="false">a25_air</f>
        <v>30.999858</v>
      </c>
      <c r="D100" s="19" t="n">
        <f aca="false">D88*$D$98*D99</f>
        <v>47.2920735</v>
      </c>
      <c r="E100" s="19" t="n">
        <f aca="false">E88*$D$98*E99</f>
        <v>63.1282305747746</v>
      </c>
      <c r="F100" s="19" t="n">
        <f aca="false">F88*$D$98*F99</f>
        <v>69.3527491354095</v>
      </c>
      <c r="G100" s="19" t="n">
        <f aca="false">G88*$D$98*G99</f>
        <v>72.9265345869151</v>
      </c>
    </row>
    <row r="101" customFormat="false" ht="15" hidden="false" customHeight="false" outlineLevel="0" collapsed="false">
      <c r="A101" s="4" t="s">
        <v>477</v>
      </c>
      <c r="B101" s="0" t="s">
        <v>193</v>
      </c>
      <c r="C101" s="19" t="n">
        <f aca="false">a25_gen</f>
        <v>20.666572</v>
      </c>
      <c r="D101" s="19" t="n">
        <f aca="false">a26_gen</f>
        <v>31.528049</v>
      </c>
      <c r="E101" s="19" t="n">
        <f aca="false">D101*(1+g_gen_27)</f>
        <v>34.05029292</v>
      </c>
      <c r="F101" s="19" t="n">
        <f aca="false">E101*(1+g_gen_28)</f>
        <v>36.0933104952</v>
      </c>
      <c r="G101" s="19" t="n">
        <f aca="false">F101*(1+g_gen_29)</f>
        <v>37.89797601996</v>
      </c>
    </row>
    <row r="102" customFormat="false" ht="17.15" hidden="false" customHeight="false" outlineLevel="0" collapsed="false">
      <c r="A102" s="4" t="s">
        <v>478</v>
      </c>
      <c r="B102" s="0" t="s">
        <v>193</v>
      </c>
      <c r="C102" s="19" t="n">
        <f aca="false">a25_nai</f>
        <v>67.02672</v>
      </c>
      <c r="D102" s="19" t="n">
        <f aca="false">a26_nai</f>
        <v>74.3161155</v>
      </c>
      <c r="E102" s="19" t="n">
        <f aca="false">D102*(1+g_nai_27)</f>
        <v>78.77508243</v>
      </c>
      <c r="F102" s="19" t="n">
        <f aca="false">E102*(1+g_nai_28)</f>
        <v>82.7138365515</v>
      </c>
      <c r="G102" s="19" t="n">
        <f aca="false">F102*(1+g_nai_29)</f>
        <v>86.02239001356</v>
      </c>
    </row>
    <row r="103" customFormat="false" ht="17.15" hidden="false" customHeight="false" outlineLevel="0" collapsed="false">
      <c r="A103" s="4" t="s">
        <v>479</v>
      </c>
      <c r="B103" s="0" t="s">
        <v>193</v>
      </c>
      <c r="C103" s="19" t="n">
        <f aca="false">C96+C100+C101</f>
        <v>72.61228</v>
      </c>
      <c r="D103" s="19" t="n">
        <f aca="false">D96+D100+D101</f>
        <v>150.8842345</v>
      </c>
      <c r="E103" s="19" t="n">
        <f aca="false">E96+E100+E101</f>
        <v>290.990909215787</v>
      </c>
      <c r="F103" s="19" t="n">
        <f aca="false">F96+F100+F101</f>
        <v>401.151191548376</v>
      </c>
      <c r="G103" s="19" t="n">
        <f aca="false">G96+G100+G101</f>
        <v>447.679406278135</v>
      </c>
    </row>
    <row r="104" customFormat="false" ht="15" hidden="false" customHeight="false" outlineLevel="0" collapsed="false">
      <c r="A104" s="4" t="s">
        <v>357</v>
      </c>
      <c r="B104" s="0" t="s">
        <v>193</v>
      </c>
      <c r="C104" s="19" t="n">
        <f aca="false">C96+C100+C101+C102</f>
        <v>139.639</v>
      </c>
      <c r="D104" s="19" t="n">
        <f aca="false">D96+D100+D101+D102</f>
        <v>225.20035</v>
      </c>
      <c r="E104" s="19" t="n">
        <f aca="false">E96+E100+E101+E102</f>
        <v>369.765991645787</v>
      </c>
      <c r="F104" s="19" t="n">
        <f aca="false">F96+F100+F101+F102</f>
        <v>483.865028099876</v>
      </c>
      <c r="G104" s="19" t="n">
        <f aca="false">G96+G100+G101+G102</f>
        <v>533.701796291694</v>
      </c>
    </row>
    <row r="105" customFormat="false" ht="15" hidden="false" customHeight="false" outlineLevel="0" collapsed="false">
      <c r="A105" s="4" t="s">
        <v>480</v>
      </c>
      <c r="B105" s="0" t="s">
        <v>193</v>
      </c>
      <c r="C105" s="22" t="n">
        <f aca="false">ROUND(C103+C102-C104,6)</f>
        <v>0</v>
      </c>
      <c r="D105" s="22" t="n">
        <f aca="false">ROUND(D103+D102-D104,6)</f>
        <v>0</v>
      </c>
      <c r="E105" s="22" t="n">
        <f aca="false">ROUND(E103+E102-E104,6)</f>
        <v>0</v>
      </c>
      <c r="F105" s="22" t="n">
        <f aca="false">ROUND(F103+F102-F104,6)</f>
        <v>0</v>
      </c>
      <c r="G105" s="22" t="n">
        <f aca="false">ROUND(G103+G102-G104,6)</f>
        <v>0</v>
      </c>
    </row>
    <row r="106" customFormat="false" ht="15" hidden="false" customHeight="false" outlineLevel="0" collapsed="false">
      <c r="A106" s="4" t="s">
        <v>481</v>
      </c>
      <c r="B106" s="0" t="s">
        <v>53</v>
      </c>
      <c r="D106" s="14" t="n">
        <f aca="false">D104/C104-1</f>
        <v>0.612732474451979</v>
      </c>
      <c r="E106" s="14" t="n">
        <f aca="false">E104/D104-1</f>
        <v>0.641942348871957</v>
      </c>
      <c r="F106" s="14" t="n">
        <f aca="false">F104/E104-1</f>
        <v>0.308570931432193</v>
      </c>
      <c r="G106" s="14" t="n">
        <f aca="false">G104/F104-1</f>
        <v>0.102997251914499</v>
      </c>
    </row>
    <row r="107" customFormat="false" ht="17.15" hidden="false" customHeight="false" outlineLevel="0" collapsed="false">
      <c r="A107" s="4" t="s">
        <v>482</v>
      </c>
      <c r="B107" s="0" t="s">
        <v>53</v>
      </c>
      <c r="C107" s="14" t="n">
        <f aca="false">C96/C104</f>
        <v>0.15</v>
      </c>
      <c r="D107" s="14" t="n">
        <f aca="false">D96/D104</f>
        <v>0.32</v>
      </c>
      <c r="E107" s="14" t="n">
        <f aca="false">E96/E104</f>
        <v>0.524148759214916</v>
      </c>
      <c r="F107" s="14" t="n">
        <f aca="false">F96/F104</f>
        <v>0.611131441094208</v>
      </c>
      <c r="G107" s="14" t="n">
        <f aca="false">G96/G104</f>
        <v>0.631166876356458</v>
      </c>
    </row>
    <row r="108" customFormat="false" ht="17.15" hidden="false" customHeight="false" outlineLevel="0" collapsed="false">
      <c r="A108" s="0" t="s">
        <v>483</v>
      </c>
      <c r="B108" s="0" t="s">
        <v>53</v>
      </c>
      <c r="C108" s="14" t="n">
        <f aca="false">(C96+C100)/C104</f>
        <v>0.372</v>
      </c>
      <c r="D108" s="14" t="n">
        <f aca="false">(D96+D100)/D104</f>
        <v>0.53</v>
      </c>
      <c r="E108" s="14" t="n">
        <f aca="false">(E96+E100)/E104</f>
        <v>0.694873574371112</v>
      </c>
      <c r="F108" s="14" t="n">
        <f aca="false">(F96+F100)/F104</f>
        <v>0.754462215396611</v>
      </c>
      <c r="G108" s="14" t="n">
        <f aca="false">(G96+G100)/G104</f>
        <v>0.767809726527899</v>
      </c>
    </row>
    <row r="109" customFormat="false" ht="17.15" hidden="false" customHeight="false" outlineLevel="0" collapsed="false">
      <c r="A109" s="4" t="s">
        <v>435</v>
      </c>
      <c r="B109" s="0" t="s">
        <v>423</v>
      </c>
      <c r="D109" s="18" t="n">
        <f aca="false">(D96+D100)/fx/D88*1000</f>
        <v>159.399762088039</v>
      </c>
      <c r="E109" s="18" t="n">
        <f aca="false">(E96+E100)/fx/E88*1000</f>
        <v>192.797546219503</v>
      </c>
      <c r="F109" s="18" t="n">
        <f aca="false">(F96+F100)/fx/F88*1000</f>
        <v>216.093895299035</v>
      </c>
      <c r="G109" s="18" t="n">
        <f aca="false">(G96+G100)/fx/G88*1000</f>
        <v>212.935975484083</v>
      </c>
    </row>
    <row r="110" customFormat="false" ht="17.15" hidden="false" customHeight="false" outlineLevel="0" collapsed="false">
      <c r="A110" s="6" t="s">
        <v>484</v>
      </c>
    </row>
    <row r="111" customFormat="false" ht="17.15" hidden="false" customHeight="false" outlineLevel="0" collapsed="false">
      <c r="A111" s="4" t="s">
        <v>485</v>
      </c>
      <c r="B111" s="0" t="s">
        <v>53</v>
      </c>
      <c r="D111" s="14" t="n">
        <f aca="false">a26_gp/D104-d_lc*D107</f>
        <v>0.302821503074929</v>
      </c>
      <c r="H111" s="8" t="s">
        <v>486</v>
      </c>
    </row>
    <row r="112" customFormat="false" ht="15" hidden="false" customHeight="false" outlineLevel="0" collapsed="false">
      <c r="A112" s="4" t="s">
        <v>361</v>
      </c>
      <c r="B112" s="0" t="s">
        <v>193</v>
      </c>
      <c r="C112" s="19" t="n">
        <f aca="false">a25_gp</f>
        <v>36.034</v>
      </c>
      <c r="D112" s="19" t="n">
        <f aca="false">a26_gp</f>
        <v>72.5193552</v>
      </c>
      <c r="E112" s="19" t="n">
        <f aca="false">$D$111*E104+d_lc*E96</f>
        <v>123.601836519429</v>
      </c>
      <c r="F112" s="19" t="n">
        <f aca="false">$D$111*F104+d_lc*F96</f>
        <v>164.267043009663</v>
      </c>
      <c r="G112" s="19" t="n">
        <f aca="false">$D$111*G104+d_lc*G96</f>
        <v>181.827673887116</v>
      </c>
    </row>
    <row r="113" customFormat="false" ht="15" hidden="false" customHeight="false" outlineLevel="0" collapsed="false">
      <c r="A113" s="4" t="s">
        <v>364</v>
      </c>
      <c r="B113" s="0" t="s">
        <v>53</v>
      </c>
      <c r="C113" s="14" t="n">
        <f aca="false">C112/C104</f>
        <v>0.258051117524474</v>
      </c>
      <c r="D113" s="14" t="n">
        <f aca="false">D112/D104</f>
        <v>0.322021503074929</v>
      </c>
      <c r="E113" s="14" t="n">
        <f aca="false">E112/E104</f>
        <v>0.334270428627824</v>
      </c>
      <c r="F113" s="14" t="n">
        <f aca="false">F112/F104</f>
        <v>0.339489389540581</v>
      </c>
      <c r="G113" s="14" t="n">
        <f aca="false">G112/G104</f>
        <v>0.340691515656316</v>
      </c>
    </row>
    <row r="114" customFormat="false" ht="15" hidden="false" customHeight="false" outlineLevel="0" collapsed="false">
      <c r="A114" s="4" t="s">
        <v>487</v>
      </c>
      <c r="B114" s="0" t="s">
        <v>193</v>
      </c>
      <c r="C114" s="19" t="n">
        <f aca="false">a25_opx</f>
        <v>8.4832253</v>
      </c>
      <c r="D114" s="19" t="n">
        <f aca="false">a26_opx</f>
        <v>11.7048599</v>
      </c>
      <c r="E114" s="19" t="n">
        <f aca="false">D114*(1+MAX(0,phi*E106))</f>
        <v>16.9645515801962</v>
      </c>
      <c r="F114" s="19" t="n">
        <f aca="false">E114*(1+MAX(0,phi*F106))</f>
        <v>20.6288888178977</v>
      </c>
      <c r="G114" s="19" t="n">
        <f aca="false">F114*(1+MAX(0,phi*G106))</f>
        <v>22.1161920187029</v>
      </c>
    </row>
    <row r="115" customFormat="false" ht="15" hidden="false" customHeight="false" outlineLevel="0" collapsed="false">
      <c r="A115" s="4" t="s">
        <v>366</v>
      </c>
      <c r="B115" s="0" t="s">
        <v>193</v>
      </c>
      <c r="C115" s="19" t="n">
        <f aca="false">C114</f>
        <v>8.4832253</v>
      </c>
      <c r="D115" s="19" t="n">
        <f aca="false">D114</f>
        <v>11.7048599</v>
      </c>
      <c r="E115" s="19" t="n">
        <f aca="false">E114+0*E104</f>
        <v>16.9645515801962</v>
      </c>
      <c r="F115" s="19" t="n">
        <f aca="false">F114+0*F104</f>
        <v>20.6288888178977</v>
      </c>
      <c r="G115" s="19" t="n">
        <f aca="false">G114+0*G104</f>
        <v>22.1161920187029</v>
      </c>
    </row>
    <row r="116" customFormat="false" ht="15" hidden="false" customHeight="false" outlineLevel="0" collapsed="false">
      <c r="A116" s="4" t="s">
        <v>368</v>
      </c>
      <c r="B116" s="0" t="s">
        <v>193</v>
      </c>
      <c r="C116" s="19" t="n">
        <f aca="false">C112-C115</f>
        <v>27.5507747</v>
      </c>
      <c r="D116" s="19" t="n">
        <f aca="false">D112-D115</f>
        <v>60.8144953</v>
      </c>
      <c r="E116" s="19" t="n">
        <f aca="false">E112-E115</f>
        <v>106.637284939233</v>
      </c>
      <c r="F116" s="19" t="n">
        <f aca="false">F112-F115</f>
        <v>143.638154191765</v>
      </c>
      <c r="G116" s="19" t="n">
        <f aca="false">G112-G115</f>
        <v>159.711481868413</v>
      </c>
    </row>
    <row r="117" customFormat="false" ht="15" hidden="false" customHeight="false" outlineLevel="0" collapsed="false">
      <c r="A117" s="4" t="s">
        <v>371</v>
      </c>
      <c r="B117" s="0" t="s">
        <v>53</v>
      </c>
      <c r="C117" s="14" t="n">
        <f aca="false">C116/C104</f>
        <v>0.1973</v>
      </c>
      <c r="D117" s="14" t="n">
        <f aca="false">D116/D104</f>
        <v>0.27004618465291</v>
      </c>
      <c r="E117" s="14" t="n">
        <f aca="false">E116/E104</f>
        <v>0.288391272719816</v>
      </c>
      <c r="F117" s="14" t="n">
        <f aca="false">F116/F104</f>
        <v>0.296855829312212</v>
      </c>
      <c r="G117" s="14" t="n">
        <f aca="false">G116/G104</f>
        <v>0.299252284661832</v>
      </c>
    </row>
    <row r="118" customFormat="false" ht="15" hidden="false" customHeight="false" outlineLevel="0" collapsed="false">
      <c r="A118" s="4" t="s">
        <v>373</v>
      </c>
      <c r="B118" s="0" t="s">
        <v>193</v>
      </c>
      <c r="C118" s="19" t="n">
        <f aca="false">a25_nop</f>
        <v>1.23179436863779</v>
      </c>
      <c r="D118" s="19" t="n">
        <f aca="false">a26_nop</f>
        <v>0.8186111</v>
      </c>
      <c r="E118" s="19" t="n">
        <f aca="false">nop_f</f>
        <v>1</v>
      </c>
      <c r="F118" s="19" t="n">
        <f aca="false">nop_f</f>
        <v>1</v>
      </c>
      <c r="G118" s="19" t="n">
        <f aca="false">nop_f</f>
        <v>1</v>
      </c>
    </row>
    <row r="119" customFormat="false" ht="17.15" hidden="false" customHeight="false" outlineLevel="0" collapsed="false">
      <c r="A119" s="4" t="s">
        <v>236</v>
      </c>
      <c r="B119" s="0" t="s">
        <v>53</v>
      </c>
      <c r="C119" s="14" t="n">
        <f aca="false">a25_ni/(a25_oi+a25_nop)</f>
        <v>0.666583999303438</v>
      </c>
      <c r="D119" s="14" t="n">
        <f aca="false">a26_ni/(a26_oi+a26_nop)</f>
        <v>0.674837141220258</v>
      </c>
      <c r="E119" s="14" t="n">
        <f aca="false">nir_f</f>
        <v>0.675</v>
      </c>
      <c r="F119" s="14" t="n">
        <f aca="false">nir_f</f>
        <v>0.675</v>
      </c>
      <c r="G119" s="14" t="n">
        <f aca="false">nir_f</f>
        <v>0.675</v>
      </c>
    </row>
    <row r="120" customFormat="false" ht="15" hidden="false" customHeight="false" outlineLevel="0" collapsed="false">
      <c r="A120" s="4" t="s">
        <v>377</v>
      </c>
      <c r="B120" s="0" t="s">
        <v>193</v>
      </c>
      <c r="C120" s="19" t="n">
        <f aca="false">a25_ni</f>
        <v>19.186</v>
      </c>
      <c r="D120" s="19" t="n">
        <f aca="false">a26_ni</f>
        <v>41.5923093275</v>
      </c>
      <c r="E120" s="19" t="n">
        <f aca="false">(E116+E118)*E119</f>
        <v>72.6551673339824</v>
      </c>
      <c r="F120" s="19" t="n">
        <f aca="false">(F116+F118)*F119</f>
        <v>97.6307540794415</v>
      </c>
      <c r="G120" s="19" t="n">
        <f aca="false">(G116+G118)*G119</f>
        <v>108.480250261179</v>
      </c>
    </row>
    <row r="121" customFormat="false" ht="15" hidden="false" customHeight="false" outlineLevel="0" collapsed="false">
      <c r="A121" s="4" t="s">
        <v>488</v>
      </c>
      <c r="B121" s="4" t="s">
        <v>219</v>
      </c>
      <c r="C121" s="22" t="n">
        <f aca="false">a25_sh</f>
        <v>0.390197274761033</v>
      </c>
      <c r="D121" s="22" t="n">
        <f aca="false">a26_sh</f>
        <v>0.392523574315222</v>
      </c>
      <c r="E121" s="22" t="n">
        <f aca="false">D121*(1+sh_g)</f>
        <v>0.392523574315222</v>
      </c>
      <c r="F121" s="22" t="n">
        <f aca="false">E121*(1+sh_g)</f>
        <v>0.392523574315222</v>
      </c>
      <c r="G121" s="22" t="n">
        <f aca="false">F121*(1+sh_g)</f>
        <v>0.392523574315222</v>
      </c>
    </row>
    <row r="122" customFormat="false" ht="15" hidden="false" customHeight="false" outlineLevel="0" collapsed="false">
      <c r="A122" s="0" t="s">
        <v>382</v>
      </c>
      <c r="B122" s="0" t="s">
        <v>256</v>
      </c>
      <c r="C122" s="20" t="n">
        <f aca="false">C120/C121</f>
        <v>49.17</v>
      </c>
      <c r="D122" s="20" t="n">
        <f aca="false">D120/D121</f>
        <v>105.961302834002</v>
      </c>
      <c r="E122" s="20" t="n">
        <f aca="false">E120/E121</f>
        <v>185.097589261315</v>
      </c>
      <c r="F122" s="20" t="n">
        <f aca="false">F120/F121</f>
        <v>248.725835766077</v>
      </c>
      <c r="G122" s="20" t="n">
        <f aca="false">G120/G121</f>
        <v>276.366204120168</v>
      </c>
    </row>
    <row r="123" customFormat="false" ht="17.15" hidden="false" customHeight="false" outlineLevel="0" collapsed="false">
      <c r="A123" s="0" t="s">
        <v>489</v>
      </c>
      <c r="B123" s="0" t="s">
        <v>53</v>
      </c>
      <c r="D123" s="14" t="n">
        <f aca="false">D122/C122-1</f>
        <v>1.15499904075659</v>
      </c>
      <c r="E123" s="14" t="n">
        <f aca="false">E122/D122-1</f>
        <v>0.746841387476032</v>
      </c>
      <c r="F123" s="14" t="n">
        <f aca="false">F122/E122-1</f>
        <v>0.343755133487629</v>
      </c>
      <c r="G123" s="14" t="n">
        <f aca="false">G122/F122-1</f>
        <v>0.111127853964019</v>
      </c>
    </row>
    <row r="126" customFormat="false" ht="17.15" hidden="false" customHeight="false" outlineLevel="0" collapsed="false">
      <c r="A126" s="1" t="s">
        <v>802</v>
      </c>
    </row>
    <row r="127" customFormat="false" ht="17.15" hidden="false" customHeight="false" outlineLevel="0" collapsed="false">
      <c r="A127" s="5" t="s">
        <v>22</v>
      </c>
      <c r="B127" s="5" t="s">
        <v>23</v>
      </c>
      <c r="C127" s="11" t="s">
        <v>351</v>
      </c>
      <c r="D127" s="11" t="s">
        <v>440</v>
      </c>
      <c r="E127" s="11" t="s">
        <v>441</v>
      </c>
      <c r="F127" s="11" t="s">
        <v>442</v>
      </c>
      <c r="G127" s="11" t="s">
        <v>443</v>
      </c>
      <c r="H127" s="5" t="s">
        <v>416</v>
      </c>
    </row>
    <row r="128" customFormat="false" ht="17.15" hidden="false" customHeight="false" outlineLevel="0" collapsed="false">
      <c r="A128" s="6" t="s">
        <v>459</v>
      </c>
    </row>
    <row r="129" customFormat="false" ht="17.15" hidden="false" customHeight="false" outlineLevel="0" collapsed="false">
      <c r="A129" s="0" t="s">
        <v>460</v>
      </c>
      <c r="B129" s="0" t="s">
        <v>33</v>
      </c>
      <c r="D129" s="20" t="n">
        <f aca="false">itc_26*1</f>
        <v>781.872916666666</v>
      </c>
      <c r="E129" s="20" t="n">
        <f aca="false">itc_27*1*1</f>
        <v>1565.35</v>
      </c>
      <c r="F129" s="20" t="n">
        <f aca="false">itc_28*um28_A*1</f>
        <v>1984.26388888889</v>
      </c>
      <c r="G129" s="20" t="n">
        <f aca="false">itc_29*um29_A*1</f>
        <v>2260.39027777778</v>
      </c>
    </row>
    <row r="130" customFormat="false" ht="17.15" hidden="false" customHeight="false" outlineLevel="0" collapsed="false">
      <c r="A130" s="4" t="s">
        <v>461</v>
      </c>
      <c r="B130" s="0" t="s">
        <v>33</v>
      </c>
      <c r="D130" s="20" t="n">
        <f aca="false">itpg_gb*(1-vr26)+itpg_vr*vr26</f>
        <v>33.41403216</v>
      </c>
      <c r="E130" s="20" t="n">
        <f aca="false">itpg_vr</f>
        <v>37.586352</v>
      </c>
      <c r="F130" s="20" t="n">
        <f aca="false">itpg_vr</f>
        <v>37.586352</v>
      </c>
      <c r="G130" s="20" t="n">
        <f aca="false">itpg_vr</f>
        <v>37.586352</v>
      </c>
    </row>
    <row r="131" customFormat="false" ht="17.15" hidden="false" customHeight="false" outlineLevel="0" collapsed="false">
      <c r="A131" s="4" t="s">
        <v>462</v>
      </c>
      <c r="B131" s="0" t="s">
        <v>418</v>
      </c>
      <c r="D131" s="17" t="n">
        <f aca="false">D129/D130</f>
        <v>23.3995380420639</v>
      </c>
      <c r="E131" s="17" t="n">
        <f aca="false">E129/E130</f>
        <v>41.6467658260637</v>
      </c>
      <c r="F131" s="17" t="n">
        <f aca="false">F129/F130</f>
        <v>52.792138191248</v>
      </c>
      <c r="G131" s="17" t="n">
        <f aca="false">G129/G130</f>
        <v>60.1385917361116</v>
      </c>
    </row>
    <row r="132" customFormat="false" ht="17.15" hidden="false" customHeight="false" outlineLevel="0" collapsed="false">
      <c r="A132" s="4" t="s">
        <v>463</v>
      </c>
      <c r="B132" s="0" t="s">
        <v>53</v>
      </c>
      <c r="D132" s="14" t="n">
        <f aca="false">lpenA_26</f>
        <v>0.55</v>
      </c>
      <c r="E132" s="14" t="n">
        <f aca="false">lpenA_27</f>
        <v>0.85</v>
      </c>
      <c r="F132" s="14" t="n">
        <f aca="false">lpenA_28</f>
        <v>0.95</v>
      </c>
      <c r="G132" s="14" t="n">
        <f aca="false">lpenA_29</f>
        <v>0.95</v>
      </c>
    </row>
    <row r="133" customFormat="false" ht="17.15" hidden="false" customHeight="false" outlineLevel="0" collapsed="false">
      <c r="A133" s="4" t="s">
        <v>464</v>
      </c>
      <c r="B133" s="0" t="s">
        <v>423</v>
      </c>
      <c r="D133" s="18" t="n">
        <f aca="false">((1-vr26)*racks_gb*(cool_gb+mani)+vr26*racks_vr*(cool_vr+mani))/1000</f>
        <v>350.7208</v>
      </c>
      <c r="E133" s="18" t="n">
        <f aca="false">racks_vr*(cool_vr+mani)*CALO_27/1000</f>
        <v>251.224</v>
      </c>
      <c r="F133" s="18" t="n">
        <f aca="false">racks_vr*(cool_vr+mani)*CALO_28/1000</f>
        <v>251.224</v>
      </c>
      <c r="G133" s="18" t="n">
        <f aca="false">racks_vr*(cool_vr+mani)*CALO_29/1000</f>
        <v>251.224</v>
      </c>
      <c r="H133" s="4" t="s">
        <v>465</v>
      </c>
    </row>
    <row r="134" customFormat="false" ht="17.15" hidden="false" customHeight="false" outlineLevel="0" collapsed="false">
      <c r="A134" s="0" t="s">
        <v>466</v>
      </c>
      <c r="B134" s="0" t="s">
        <v>33</v>
      </c>
      <c r="D134" s="20" t="n">
        <f aca="false">D131*D132*D133/1000</f>
        <v>4.51368758595869</v>
      </c>
      <c r="E134" s="20" t="n">
        <f aca="false">E131*E132*E133/1000</f>
        <v>8.89326703320397</v>
      </c>
      <c r="F134" s="20" t="n">
        <f aca="false">F131*F132*F133/1000</f>
        <v>12.5995195187102</v>
      </c>
      <c r="G134" s="20" t="n">
        <f aca="false">G131*G132*G133/1000</f>
        <v>14.3528446917972</v>
      </c>
    </row>
    <row r="135" customFormat="false" ht="17.15" hidden="false" customHeight="false" outlineLevel="0" collapsed="false">
      <c r="A135" s="0" t="s">
        <v>467</v>
      </c>
      <c r="B135" s="0" t="s">
        <v>193</v>
      </c>
      <c r="D135" s="19" t="n">
        <f aca="false">D134*fx</f>
        <v>144.438002750678</v>
      </c>
      <c r="E135" s="19" t="n">
        <f aca="false">E134*fx</f>
        <v>284.584545062527</v>
      </c>
      <c r="F135" s="19" t="n">
        <f aca="false">F134*fx</f>
        <v>403.184624598726</v>
      </c>
      <c r="G135" s="19" t="n">
        <f aca="false">G134*fx</f>
        <v>459.291030137512</v>
      </c>
    </row>
    <row r="136" customFormat="false" ht="17.15" hidden="false" customHeight="false" outlineLevel="0" collapsed="false">
      <c r="A136" s="4" t="s">
        <v>468</v>
      </c>
      <c r="B136" s="0" t="s">
        <v>53</v>
      </c>
      <c r="D136" s="14" t="n">
        <f aca="false">a26_lc/D135</f>
        <v>0.498927641116677</v>
      </c>
      <c r="H136" s="8" t="s">
        <v>469</v>
      </c>
    </row>
    <row r="137" customFormat="false" ht="17.15" hidden="false" customHeight="false" outlineLevel="0" collapsed="false">
      <c r="A137" s="4" t="s">
        <v>470</v>
      </c>
      <c r="B137" s="0" t="s">
        <v>74</v>
      </c>
      <c r="D137" s="15" t="n">
        <f aca="false">1</f>
        <v>1</v>
      </c>
      <c r="E137" s="15" t="n">
        <f aca="false">rel_27</f>
        <v>0.95</v>
      </c>
      <c r="F137" s="15" t="n">
        <f aca="false">rel_28</f>
        <v>0.9</v>
      </c>
      <c r="G137" s="15" t="n">
        <f aca="false">rel_29</f>
        <v>0.85</v>
      </c>
    </row>
    <row r="138" customFormat="false" ht="15" hidden="false" customHeight="false" outlineLevel="0" collapsed="false">
      <c r="A138" s="4" t="s">
        <v>430</v>
      </c>
      <c r="B138" s="0" t="s">
        <v>53</v>
      </c>
      <c r="D138" s="14" t="n">
        <f aca="false">$D$136*D137</f>
        <v>0.498927641116677</v>
      </c>
      <c r="E138" s="14" t="n">
        <f aca="false">$D$136*E137</f>
        <v>0.473981259060843</v>
      </c>
      <c r="F138" s="14" t="n">
        <f aca="false">$D$136*F137</f>
        <v>0.449034877005009</v>
      </c>
      <c r="G138" s="14" t="n">
        <f aca="false">$D$136*G137</f>
        <v>0.424088494949176</v>
      </c>
    </row>
    <row r="139" customFormat="false" ht="15" hidden="false" customHeight="false" outlineLevel="0" collapsed="false">
      <c r="A139" s="4" t="s">
        <v>471</v>
      </c>
      <c r="B139" s="0" t="s">
        <v>193</v>
      </c>
      <c r="C139" s="19" t="n">
        <f aca="false">a25_lc</f>
        <v>20.94585</v>
      </c>
      <c r="D139" s="19" t="n">
        <f aca="false">D135*D138</f>
        <v>72.064112</v>
      </c>
      <c r="E139" s="19" t="n">
        <f aca="false">E135*E138</f>
        <v>134.887740977994</v>
      </c>
      <c r="F139" s="19" t="n">
        <f aca="false">F135*F138</f>
        <v>181.043958317</v>
      </c>
      <c r="G139" s="19" t="n">
        <f aca="false">G135*G138</f>
        <v>194.780041714674</v>
      </c>
    </row>
    <row r="140" customFormat="false" ht="17.15" hidden="false" customHeight="false" outlineLevel="0" collapsed="false">
      <c r="A140" s="6" t="s">
        <v>472</v>
      </c>
    </row>
    <row r="141" customFormat="false" ht="17.15" hidden="false" customHeight="false" outlineLevel="0" collapsed="false">
      <c r="A141" s="0" t="s">
        <v>473</v>
      </c>
      <c r="B141" s="0" t="s">
        <v>474</v>
      </c>
      <c r="D141" s="22" t="n">
        <f aca="false">a26_air/D131</f>
        <v>2.0210686815691</v>
      </c>
    </row>
    <row r="142" customFormat="false" ht="17.15" hidden="false" customHeight="false" outlineLevel="0" collapsed="false">
      <c r="A142" s="0" t="s">
        <v>475</v>
      </c>
      <c r="B142" s="0" t="s">
        <v>74</v>
      </c>
      <c r="D142" s="15" t="n">
        <f aca="false">1</f>
        <v>1</v>
      </c>
      <c r="E142" s="15" t="n">
        <f aca="false">acr_27</f>
        <v>0.75</v>
      </c>
      <c r="F142" s="15" t="n">
        <f aca="false">acr_28</f>
        <v>0.65</v>
      </c>
      <c r="G142" s="15" t="n">
        <f aca="false">acr_29</f>
        <v>0.6</v>
      </c>
    </row>
    <row r="143" customFormat="false" ht="17.15" hidden="false" customHeight="false" outlineLevel="0" collapsed="false">
      <c r="A143" s="0" t="s">
        <v>476</v>
      </c>
      <c r="B143" s="0" t="s">
        <v>193</v>
      </c>
      <c r="C143" s="19" t="n">
        <f aca="false">a25_air</f>
        <v>30.999858</v>
      </c>
      <c r="D143" s="19" t="n">
        <f aca="false">D131*$D$141*D142</f>
        <v>47.2920735</v>
      </c>
      <c r="E143" s="19" t="n">
        <f aca="false">E131*$D$141*E142</f>
        <v>63.1282305747746</v>
      </c>
      <c r="F143" s="19" t="n">
        <f aca="false">F131*$D$141*F142</f>
        <v>69.3527491354095</v>
      </c>
      <c r="G143" s="19" t="n">
        <f aca="false">G131*$D$141*G142</f>
        <v>72.9265345869151</v>
      </c>
    </row>
    <row r="144" customFormat="false" ht="15" hidden="false" customHeight="false" outlineLevel="0" collapsed="false">
      <c r="A144" s="4" t="s">
        <v>477</v>
      </c>
      <c r="B144" s="0" t="s">
        <v>193</v>
      </c>
      <c r="C144" s="19" t="n">
        <f aca="false">a25_gen</f>
        <v>20.666572</v>
      </c>
      <c r="D144" s="19" t="n">
        <f aca="false">a26_gen</f>
        <v>31.528049</v>
      </c>
      <c r="E144" s="19" t="n">
        <f aca="false">D144*(1+g_gen_27)</f>
        <v>34.05029292</v>
      </c>
      <c r="F144" s="19" t="n">
        <f aca="false">E144*(1+g_gen_28)</f>
        <v>36.0933104952</v>
      </c>
      <c r="G144" s="19" t="n">
        <f aca="false">F144*(1+g_gen_29)</f>
        <v>37.89797601996</v>
      </c>
    </row>
    <row r="145" customFormat="false" ht="17.15" hidden="false" customHeight="false" outlineLevel="0" collapsed="false">
      <c r="A145" s="4" t="s">
        <v>478</v>
      </c>
      <c r="B145" s="0" t="s">
        <v>193</v>
      </c>
      <c r="C145" s="19" t="n">
        <f aca="false">a25_nai</f>
        <v>67.02672</v>
      </c>
      <c r="D145" s="19" t="n">
        <f aca="false">a26_nai</f>
        <v>74.3161155</v>
      </c>
      <c r="E145" s="19" t="n">
        <f aca="false">D145*(1+g_nai_27)</f>
        <v>78.77508243</v>
      </c>
      <c r="F145" s="19" t="n">
        <f aca="false">E145*(1+g_nai_28)</f>
        <v>82.7138365515</v>
      </c>
      <c r="G145" s="19" t="n">
        <f aca="false">F145*(1+g_nai_29)</f>
        <v>86.02239001356</v>
      </c>
    </row>
    <row r="146" customFormat="false" ht="17.15" hidden="false" customHeight="false" outlineLevel="0" collapsed="false">
      <c r="A146" s="4" t="s">
        <v>479</v>
      </c>
      <c r="B146" s="0" t="s">
        <v>193</v>
      </c>
      <c r="C146" s="19" t="n">
        <f aca="false">C139+C143+C144</f>
        <v>72.61228</v>
      </c>
      <c r="D146" s="19" t="n">
        <f aca="false">D139+D143+D144</f>
        <v>150.8842345</v>
      </c>
      <c r="E146" s="19" t="n">
        <f aca="false">E139+E143+E144</f>
        <v>232.066264472768</v>
      </c>
      <c r="F146" s="19" t="n">
        <f aca="false">F139+F143+F144</f>
        <v>286.490017947609</v>
      </c>
      <c r="G146" s="19" t="n">
        <f aca="false">G139+G143+G144</f>
        <v>305.604552321549</v>
      </c>
    </row>
    <row r="147" customFormat="false" ht="15" hidden="false" customHeight="false" outlineLevel="0" collapsed="false">
      <c r="A147" s="4" t="s">
        <v>357</v>
      </c>
      <c r="B147" s="0" t="s">
        <v>193</v>
      </c>
      <c r="C147" s="19" t="n">
        <f aca="false">C139+C143+C144+C145</f>
        <v>139.639</v>
      </c>
      <c r="D147" s="19" t="n">
        <f aca="false">D139+D143+D144+D145</f>
        <v>225.20035</v>
      </c>
      <c r="E147" s="19" t="n">
        <f aca="false">E139+E143+E144+E145</f>
        <v>310.841346902768</v>
      </c>
      <c r="F147" s="19" t="n">
        <f aca="false">F139+F143+F144+F145</f>
        <v>369.203854499109</v>
      </c>
      <c r="G147" s="19" t="n">
        <f aca="false">G139+G143+G144+G145</f>
        <v>391.626942335109</v>
      </c>
    </row>
    <row r="148" customFormat="false" ht="15" hidden="false" customHeight="false" outlineLevel="0" collapsed="false">
      <c r="A148" s="4" t="s">
        <v>480</v>
      </c>
      <c r="B148" s="0" t="s">
        <v>193</v>
      </c>
      <c r="C148" s="22" t="n">
        <f aca="false">ROUND(C146+C145-C147,6)</f>
        <v>0</v>
      </c>
      <c r="D148" s="22" t="n">
        <f aca="false">ROUND(D146+D145-D147,6)</f>
        <v>0</v>
      </c>
      <c r="E148" s="22" t="n">
        <f aca="false">ROUND(E146+E145-E147,6)</f>
        <v>0</v>
      </c>
      <c r="F148" s="22" t="n">
        <f aca="false">ROUND(F146+F145-F147,6)</f>
        <v>0</v>
      </c>
      <c r="G148" s="22" t="n">
        <f aca="false">ROUND(G146+G145-G147,6)</f>
        <v>0</v>
      </c>
    </row>
    <row r="149" customFormat="false" ht="15" hidden="false" customHeight="false" outlineLevel="0" collapsed="false">
      <c r="A149" s="4" t="s">
        <v>481</v>
      </c>
      <c r="B149" s="0" t="s">
        <v>53</v>
      </c>
      <c r="D149" s="14" t="n">
        <f aca="false">D147/C147-1</f>
        <v>0.612732474451979</v>
      </c>
      <c r="E149" s="14" t="n">
        <f aca="false">E147/D147-1</f>
        <v>0.380288027539781</v>
      </c>
      <c r="F149" s="14" t="n">
        <f aca="false">F147/E147-1</f>
        <v>0.187756578003108</v>
      </c>
      <c r="G149" s="14" t="n">
        <f aca="false">G147/F147-1</f>
        <v>0.0607336233431817</v>
      </c>
    </row>
    <row r="150" customFormat="false" ht="17.15" hidden="false" customHeight="false" outlineLevel="0" collapsed="false">
      <c r="A150" s="4" t="s">
        <v>482</v>
      </c>
      <c r="B150" s="0" t="s">
        <v>53</v>
      </c>
      <c r="C150" s="14" t="n">
        <f aca="false">C139/C147</f>
        <v>0.15</v>
      </c>
      <c r="D150" s="14" t="n">
        <f aca="false">D139/D147</f>
        <v>0.32</v>
      </c>
      <c r="E150" s="14" t="n">
        <f aca="false">E139/E147</f>
        <v>0.433944011380786</v>
      </c>
      <c r="F150" s="14" t="n">
        <f aca="false">F139/F147</f>
        <v>0.490363131670492</v>
      </c>
      <c r="G150" s="14" t="n">
        <f aca="false">G139/G147</f>
        <v>0.497361189077751</v>
      </c>
    </row>
    <row r="151" customFormat="false" ht="17.15" hidden="false" customHeight="false" outlineLevel="0" collapsed="false">
      <c r="A151" s="0" t="s">
        <v>483</v>
      </c>
      <c r="B151" s="0" t="s">
        <v>53</v>
      </c>
      <c r="C151" s="14" t="n">
        <f aca="false">(C139+C143)/C147</f>
        <v>0.372</v>
      </c>
      <c r="D151" s="14" t="n">
        <f aca="false">(D139+D143)/D147</f>
        <v>0.53</v>
      </c>
      <c r="E151" s="14" t="n">
        <f aca="false">(E139+E143)/E147</f>
        <v>0.637032278767947</v>
      </c>
      <c r="F151" s="14" t="n">
        <f aca="false">(F139+F143)/F147</f>
        <v>0.678207186628961</v>
      </c>
      <c r="G151" s="14" t="n">
        <f aca="false">(G139+G143)/G147</f>
        <v>0.683575483099722</v>
      </c>
    </row>
    <row r="152" customFormat="false" ht="17.15" hidden="false" customHeight="false" outlineLevel="0" collapsed="false">
      <c r="A152" s="4" t="s">
        <v>435</v>
      </c>
      <c r="B152" s="0" t="s">
        <v>423</v>
      </c>
      <c r="D152" s="18" t="n">
        <f aca="false">(D139+D143)/fx/D131*1000</f>
        <v>159.399762088039</v>
      </c>
      <c r="E152" s="18" t="n">
        <f aca="false">(E139+E143)/fx/E131*1000</f>
        <v>148.582944876632</v>
      </c>
      <c r="F152" s="18" t="n">
        <f aca="false">(F139+F143)/fx/F131*1000</f>
        <v>148.220878638043</v>
      </c>
      <c r="G152" s="18" t="n">
        <f aca="false">(G139+G143)/fx/G131*1000</f>
        <v>139.109185431777</v>
      </c>
    </row>
    <row r="153" customFormat="false" ht="17.15" hidden="false" customHeight="false" outlineLevel="0" collapsed="false">
      <c r="A153" s="6" t="s">
        <v>484</v>
      </c>
    </row>
    <row r="154" customFormat="false" ht="17.15" hidden="false" customHeight="false" outlineLevel="0" collapsed="false">
      <c r="A154" s="4" t="s">
        <v>485</v>
      </c>
      <c r="B154" s="0" t="s">
        <v>53</v>
      </c>
      <c r="D154" s="14" t="n">
        <f aca="false">a26_gp/D147-d_lc*D150</f>
        <v>0.302821503074929</v>
      </c>
      <c r="H154" s="8" t="s">
        <v>486</v>
      </c>
    </row>
    <row r="155" customFormat="false" ht="15" hidden="false" customHeight="false" outlineLevel="0" collapsed="false">
      <c r="A155" s="4" t="s">
        <v>361</v>
      </c>
      <c r="B155" s="0" t="s">
        <v>193</v>
      </c>
      <c r="C155" s="19" t="n">
        <f aca="false">a25_gp</f>
        <v>36.034</v>
      </c>
      <c r="D155" s="19" t="n">
        <f aca="false">a26_gp</f>
        <v>72.5193552</v>
      </c>
      <c r="E155" s="19" t="n">
        <f aca="false">$D$154*E147+d_lc*E139</f>
        <v>102.222708345611</v>
      </c>
      <c r="F155" s="19" t="n">
        <f aca="false">$D$154*F147+d_lc*F139</f>
        <v>122.665503659497</v>
      </c>
      <c r="G155" s="19" t="n">
        <f aca="false">$D$154*G147+d_lc*G139</f>
        <v>130.279861825437</v>
      </c>
    </row>
    <row r="156" customFormat="false" ht="15" hidden="false" customHeight="false" outlineLevel="0" collapsed="false">
      <c r="A156" s="4" t="s">
        <v>364</v>
      </c>
      <c r="B156" s="0" t="s">
        <v>53</v>
      </c>
      <c r="C156" s="14" t="n">
        <f aca="false">C155/C147</f>
        <v>0.258051117524474</v>
      </c>
      <c r="D156" s="14" t="n">
        <f aca="false">D155/D147</f>
        <v>0.322021503074929</v>
      </c>
      <c r="E156" s="14" t="n">
        <f aca="false">E155/E147</f>
        <v>0.328858143757776</v>
      </c>
      <c r="F156" s="14" t="n">
        <f aca="false">F155/F147</f>
        <v>0.332243290975158</v>
      </c>
      <c r="G156" s="14" t="n">
        <f aca="false">G155/G147</f>
        <v>0.332663174419594</v>
      </c>
    </row>
    <row r="157" customFormat="false" ht="15" hidden="false" customHeight="false" outlineLevel="0" collapsed="false">
      <c r="A157" s="4" t="s">
        <v>487</v>
      </c>
      <c r="B157" s="0" t="s">
        <v>193</v>
      </c>
      <c r="C157" s="19" t="n">
        <f aca="false">a25_opx</f>
        <v>8.4832253</v>
      </c>
      <c r="D157" s="19" t="n">
        <f aca="false">a26_opx</f>
        <v>11.7048599</v>
      </c>
      <c r="E157" s="19" t="n">
        <f aca="false">D157*(1+MAX(0,phi*E149))</f>
        <v>14.8207125588003</v>
      </c>
      <c r="F157" s="19" t="n">
        <f aca="false">E157*(1+MAX(0,phi*F149))</f>
        <v>16.768592950326</v>
      </c>
      <c r="G157" s="19" t="n">
        <f aca="false">F157*(1+MAX(0,phi*G149))</f>
        <v>17.4814851360941</v>
      </c>
    </row>
    <row r="158" customFormat="false" ht="15" hidden="false" customHeight="false" outlineLevel="0" collapsed="false">
      <c r="A158" s="4" t="s">
        <v>366</v>
      </c>
      <c r="B158" s="0" t="s">
        <v>193</v>
      </c>
      <c r="C158" s="19" t="n">
        <f aca="false">C157</f>
        <v>8.4832253</v>
      </c>
      <c r="D158" s="19" t="n">
        <f aca="false">D157</f>
        <v>11.7048599</v>
      </c>
      <c r="E158" s="19" t="n">
        <f aca="false">E157+0*E147</f>
        <v>14.8207125588003</v>
      </c>
      <c r="F158" s="19" t="n">
        <f aca="false">F157+0*F147</f>
        <v>16.768592950326</v>
      </c>
      <c r="G158" s="19" t="n">
        <f aca="false">G157+0*G147</f>
        <v>17.4814851360941</v>
      </c>
    </row>
    <row r="159" customFormat="false" ht="15" hidden="false" customHeight="false" outlineLevel="0" collapsed="false">
      <c r="A159" s="4" t="s">
        <v>368</v>
      </c>
      <c r="B159" s="0" t="s">
        <v>193</v>
      </c>
      <c r="C159" s="19" t="n">
        <f aca="false">C155-C158</f>
        <v>27.5507747</v>
      </c>
      <c r="D159" s="19" t="n">
        <f aca="false">D155-D158</f>
        <v>60.8144953</v>
      </c>
      <c r="E159" s="19" t="n">
        <f aca="false">E155-E158</f>
        <v>87.4019957868109</v>
      </c>
      <c r="F159" s="19" t="n">
        <f aca="false">F155-F158</f>
        <v>105.896910709172</v>
      </c>
      <c r="G159" s="19" t="n">
        <f aca="false">G155-G158</f>
        <v>112.798376689342</v>
      </c>
    </row>
    <row r="160" customFormat="false" ht="15" hidden="false" customHeight="false" outlineLevel="0" collapsed="false">
      <c r="A160" s="4" t="s">
        <v>371</v>
      </c>
      <c r="B160" s="0" t="s">
        <v>53</v>
      </c>
      <c r="C160" s="14" t="n">
        <f aca="false">C159/C147</f>
        <v>0.1973</v>
      </c>
      <c r="D160" s="14" t="n">
        <f aca="false">D159/D147</f>
        <v>0.27004618465291</v>
      </c>
      <c r="E160" s="14" t="n">
        <f aca="false">E159/E147</f>
        <v>0.28117879637856</v>
      </c>
      <c r="F160" s="14" t="n">
        <f aca="false">F159/F147</f>
        <v>0.286825041013831</v>
      </c>
      <c r="G160" s="14" t="n">
        <f aca="false">G159/G147</f>
        <v>0.288025067981208</v>
      </c>
    </row>
    <row r="161" customFormat="false" ht="15" hidden="false" customHeight="false" outlineLevel="0" collapsed="false">
      <c r="A161" s="4" t="s">
        <v>373</v>
      </c>
      <c r="B161" s="0" t="s">
        <v>193</v>
      </c>
      <c r="C161" s="19" t="n">
        <f aca="false">a25_nop</f>
        <v>1.23179436863779</v>
      </c>
      <c r="D161" s="19" t="n">
        <f aca="false">a26_nop</f>
        <v>0.8186111</v>
      </c>
      <c r="E161" s="19" t="n">
        <f aca="false">nop_f</f>
        <v>1</v>
      </c>
      <c r="F161" s="19" t="n">
        <f aca="false">nop_f</f>
        <v>1</v>
      </c>
      <c r="G161" s="19" t="n">
        <f aca="false">nop_f</f>
        <v>1</v>
      </c>
    </row>
    <row r="162" customFormat="false" ht="17.15" hidden="false" customHeight="false" outlineLevel="0" collapsed="false">
      <c r="A162" s="4" t="s">
        <v>236</v>
      </c>
      <c r="B162" s="0" t="s">
        <v>53</v>
      </c>
      <c r="C162" s="14" t="n">
        <f aca="false">a25_ni/(a25_oi+a25_nop)</f>
        <v>0.666583999303438</v>
      </c>
      <c r="D162" s="14" t="n">
        <f aca="false">a26_ni/(a26_oi+a26_nop)</f>
        <v>0.674837141220258</v>
      </c>
      <c r="E162" s="14" t="n">
        <f aca="false">nir_f</f>
        <v>0.675</v>
      </c>
      <c r="F162" s="14" t="n">
        <f aca="false">nir_f</f>
        <v>0.675</v>
      </c>
      <c r="G162" s="14" t="n">
        <f aca="false">nir_f</f>
        <v>0.675</v>
      </c>
    </row>
    <row r="163" customFormat="false" ht="15" hidden="false" customHeight="false" outlineLevel="0" collapsed="false">
      <c r="A163" s="4" t="s">
        <v>377</v>
      </c>
      <c r="B163" s="0" t="s">
        <v>193</v>
      </c>
      <c r="C163" s="19" t="n">
        <f aca="false">a25_ni</f>
        <v>19.186</v>
      </c>
      <c r="D163" s="19" t="n">
        <f aca="false">a26_ni</f>
        <v>41.5923093275</v>
      </c>
      <c r="E163" s="19" t="n">
        <f aca="false">(E159+E161)*E162</f>
        <v>59.6713471560974</v>
      </c>
      <c r="F163" s="19" t="n">
        <f aca="false">(F159+F161)*F162</f>
        <v>72.1554147286908</v>
      </c>
      <c r="G163" s="19" t="n">
        <f aca="false">(G159+G161)*G162</f>
        <v>76.8139042653061</v>
      </c>
    </row>
    <row r="164" customFormat="false" ht="15" hidden="false" customHeight="false" outlineLevel="0" collapsed="false">
      <c r="A164" s="4" t="s">
        <v>488</v>
      </c>
      <c r="B164" s="4" t="s">
        <v>219</v>
      </c>
      <c r="C164" s="22" t="n">
        <f aca="false">a25_sh</f>
        <v>0.390197274761033</v>
      </c>
      <c r="D164" s="22" t="n">
        <f aca="false">a26_sh</f>
        <v>0.392523574315222</v>
      </c>
      <c r="E164" s="22" t="n">
        <f aca="false">D164*(1+sh_g)</f>
        <v>0.392523574315222</v>
      </c>
      <c r="F164" s="22" t="n">
        <f aca="false">E164*(1+sh_g)</f>
        <v>0.392523574315222</v>
      </c>
      <c r="G164" s="22" t="n">
        <f aca="false">F164*(1+sh_g)</f>
        <v>0.392523574315222</v>
      </c>
    </row>
    <row r="165" customFormat="false" ht="15" hidden="false" customHeight="false" outlineLevel="0" collapsed="false">
      <c r="A165" s="0" t="s">
        <v>382</v>
      </c>
      <c r="B165" s="0" t="s">
        <v>256</v>
      </c>
      <c r="C165" s="20" t="n">
        <f aca="false">C163/C164</f>
        <v>49.17</v>
      </c>
      <c r="D165" s="20" t="n">
        <f aca="false">D163/D164</f>
        <v>105.961302834002</v>
      </c>
      <c r="E165" s="20" t="n">
        <f aca="false">E163/E164</f>
        <v>152.019779347513</v>
      </c>
      <c r="F165" s="20" t="n">
        <f aca="false">F163/F164</f>
        <v>183.824410685574</v>
      </c>
      <c r="G165" s="20" t="n">
        <f aca="false">G163/G164</f>
        <v>195.692461017945</v>
      </c>
    </row>
    <row r="166" customFormat="false" ht="17.15" hidden="false" customHeight="false" outlineLevel="0" collapsed="false">
      <c r="A166" s="0" t="s">
        <v>489</v>
      </c>
      <c r="B166" s="0" t="s">
        <v>53</v>
      </c>
      <c r="D166" s="14" t="n">
        <f aca="false">D165/C165-1</f>
        <v>1.15499904075659</v>
      </c>
      <c r="E166" s="14" t="n">
        <f aca="false">E165/D165-1</f>
        <v>0.434672614262462</v>
      </c>
      <c r="F166" s="14" t="n">
        <f aca="false">F165/E165-1</f>
        <v>0.209213771224834</v>
      </c>
      <c r="G166" s="14" t="n">
        <f aca="false">G165/F165-1</f>
        <v>0.0645618842900644</v>
      </c>
    </row>
    <row r="169" customFormat="false" ht="17.15" hidden="false" customHeight="false" outlineLevel="0" collapsed="false">
      <c r="A169" s="1" t="s">
        <v>803</v>
      </c>
    </row>
    <row r="170" customFormat="false" ht="17.15" hidden="false" customHeight="false" outlineLevel="0" collapsed="false">
      <c r="A170" s="5" t="s">
        <v>22</v>
      </c>
      <c r="B170" s="5" t="s">
        <v>23</v>
      </c>
      <c r="C170" s="11" t="s">
        <v>351</v>
      </c>
      <c r="D170" s="11" t="s">
        <v>440</v>
      </c>
      <c r="E170" s="11" t="s">
        <v>441</v>
      </c>
      <c r="F170" s="11" t="s">
        <v>442</v>
      </c>
      <c r="G170" s="11" t="s">
        <v>443</v>
      </c>
      <c r="H170" s="5" t="s">
        <v>416</v>
      </c>
    </row>
    <row r="171" customFormat="false" ht="17.15" hidden="false" customHeight="false" outlineLevel="0" collapsed="false">
      <c r="A171" s="6" t="s">
        <v>459</v>
      </c>
    </row>
    <row r="172" customFormat="false" ht="17.15" hidden="false" customHeight="false" outlineLevel="0" collapsed="false">
      <c r="A172" s="0" t="s">
        <v>460</v>
      </c>
      <c r="B172" s="0" t="s">
        <v>33</v>
      </c>
      <c r="D172" s="20" t="n">
        <f aca="false">itc_26*1</f>
        <v>781.872916666666</v>
      </c>
      <c r="E172" s="20" t="n">
        <f aca="false">itc_27*1*1</f>
        <v>1565.35</v>
      </c>
      <c r="F172" s="20" t="n">
        <f aca="false">itc_28*um28_A*1</f>
        <v>1984.26388888889</v>
      </c>
      <c r="G172" s="20" t="n">
        <f aca="false">itc_29*um29_A*1</f>
        <v>2260.39027777778</v>
      </c>
    </row>
    <row r="173" customFormat="false" ht="17.15" hidden="false" customHeight="false" outlineLevel="0" collapsed="false">
      <c r="A173" s="4" t="s">
        <v>461</v>
      </c>
      <c r="B173" s="0" t="s">
        <v>33</v>
      </c>
      <c r="D173" s="20" t="n">
        <f aca="false">itpg_gb*(1-vr26)+itpg_vr*vr26</f>
        <v>33.41403216</v>
      </c>
      <c r="E173" s="20" t="n">
        <f aca="false">itpg_vr</f>
        <v>37.586352</v>
      </c>
      <c r="F173" s="20" t="n">
        <f aca="false">itpg_vr</f>
        <v>37.586352</v>
      </c>
      <c r="G173" s="20" t="n">
        <f aca="false">itpg_vr</f>
        <v>37.586352</v>
      </c>
    </row>
    <row r="174" customFormat="false" ht="17.15" hidden="false" customHeight="false" outlineLevel="0" collapsed="false">
      <c r="A174" s="4" t="s">
        <v>462</v>
      </c>
      <c r="B174" s="0" t="s">
        <v>418</v>
      </c>
      <c r="D174" s="17" t="n">
        <f aca="false">D172/D173</f>
        <v>23.3995380420639</v>
      </c>
      <c r="E174" s="17" t="n">
        <f aca="false">E172/E173</f>
        <v>41.6467658260637</v>
      </c>
      <c r="F174" s="17" t="n">
        <f aca="false">F172/F173</f>
        <v>52.792138191248</v>
      </c>
      <c r="G174" s="17" t="n">
        <f aca="false">G172/G173</f>
        <v>60.1385917361116</v>
      </c>
    </row>
    <row r="175" customFormat="false" ht="17.15" hidden="false" customHeight="false" outlineLevel="0" collapsed="false">
      <c r="A175" s="4" t="s">
        <v>463</v>
      </c>
      <c r="B175" s="0" t="s">
        <v>53</v>
      </c>
      <c r="D175" s="14" t="n">
        <f aca="false">lpenA_26</f>
        <v>0.55</v>
      </c>
      <c r="E175" s="14" t="n">
        <f aca="false">lpenA_27</f>
        <v>0.85</v>
      </c>
      <c r="F175" s="14" t="n">
        <f aca="false">lpenA_28</f>
        <v>0.95</v>
      </c>
      <c r="G175" s="14" t="n">
        <f aca="false">lpenA_29</f>
        <v>0.95</v>
      </c>
    </row>
    <row r="176" customFormat="false" ht="17.15" hidden="false" customHeight="false" outlineLevel="0" collapsed="false">
      <c r="A176" s="4" t="s">
        <v>464</v>
      </c>
      <c r="B176" s="0" t="s">
        <v>423</v>
      </c>
      <c r="D176" s="18" t="n">
        <f aca="false">((1-vr26)*racks_gb*(cool_gb+mani)+vr26*racks_vr*(cool_vr+mani))/1000</f>
        <v>350.7208</v>
      </c>
      <c r="E176" s="18" t="n">
        <f aca="false">racks_vr*(cool_vr+mani)*CAHI_27/1000</f>
        <v>401.9584</v>
      </c>
      <c r="F176" s="18" t="n">
        <f aca="false">racks_vr*(cool_vr+mani)*CAHI_28/1000</f>
        <v>452.2032</v>
      </c>
      <c r="G176" s="18" t="n">
        <f aca="false">racks_vr*(cool_vr+mani)*CAHI_29/1000</f>
        <v>452.2032</v>
      </c>
      <c r="H176" s="4" t="s">
        <v>465</v>
      </c>
    </row>
    <row r="177" customFormat="false" ht="17.15" hidden="false" customHeight="false" outlineLevel="0" collapsed="false">
      <c r="A177" s="0" t="s">
        <v>466</v>
      </c>
      <c r="B177" s="0" t="s">
        <v>33</v>
      </c>
      <c r="D177" s="20" t="n">
        <f aca="false">D174*D175*D176/1000</f>
        <v>4.51368758595869</v>
      </c>
      <c r="E177" s="20" t="n">
        <f aca="false">E174*E175*E176/1000</f>
        <v>14.2292272531263</v>
      </c>
      <c r="F177" s="20" t="n">
        <f aca="false">F174*F175*F176/1000</f>
        <v>22.6791351336783</v>
      </c>
      <c r="G177" s="20" t="n">
        <f aca="false">G174*G175*G176/1000</f>
        <v>25.835120445235</v>
      </c>
    </row>
    <row r="178" customFormat="false" ht="17.15" hidden="false" customHeight="false" outlineLevel="0" collapsed="false">
      <c r="A178" s="0" t="s">
        <v>467</v>
      </c>
      <c r="B178" s="0" t="s">
        <v>193</v>
      </c>
      <c r="D178" s="19" t="n">
        <f aca="false">D177*fx</f>
        <v>144.438002750678</v>
      </c>
      <c r="E178" s="19" t="n">
        <f aca="false">E177*fx</f>
        <v>455.335272100043</v>
      </c>
      <c r="F178" s="19" t="n">
        <f aca="false">F177*fx</f>
        <v>725.732324277706</v>
      </c>
      <c r="G178" s="19" t="n">
        <f aca="false">G177*fx</f>
        <v>826.723854247521</v>
      </c>
    </row>
    <row r="179" customFormat="false" ht="17.15" hidden="false" customHeight="false" outlineLevel="0" collapsed="false">
      <c r="A179" s="4" t="s">
        <v>468</v>
      </c>
      <c r="B179" s="0" t="s">
        <v>53</v>
      </c>
      <c r="D179" s="14" t="n">
        <f aca="false">a26_lc/D178</f>
        <v>0.498927641116677</v>
      </c>
      <c r="H179" s="8" t="s">
        <v>469</v>
      </c>
    </row>
    <row r="180" customFormat="false" ht="17.15" hidden="false" customHeight="false" outlineLevel="0" collapsed="false">
      <c r="A180" s="4" t="s">
        <v>470</v>
      </c>
      <c r="B180" s="0" t="s">
        <v>74</v>
      </c>
      <c r="D180" s="15" t="n">
        <f aca="false">1</f>
        <v>1</v>
      </c>
      <c r="E180" s="15" t="n">
        <f aca="false">rel_27</f>
        <v>0.95</v>
      </c>
      <c r="F180" s="15" t="n">
        <f aca="false">rel_28</f>
        <v>0.9</v>
      </c>
      <c r="G180" s="15" t="n">
        <f aca="false">rel_29</f>
        <v>0.85</v>
      </c>
    </row>
    <row r="181" customFormat="false" ht="15" hidden="false" customHeight="false" outlineLevel="0" collapsed="false">
      <c r="A181" s="4" t="s">
        <v>430</v>
      </c>
      <c r="B181" s="0" t="s">
        <v>53</v>
      </c>
      <c r="D181" s="14" t="n">
        <f aca="false">$D$179*D180</f>
        <v>0.498927641116677</v>
      </c>
      <c r="E181" s="14" t="n">
        <f aca="false">$D$179*E180</f>
        <v>0.473981259060843</v>
      </c>
      <c r="F181" s="14" t="n">
        <f aca="false">$D$179*F180</f>
        <v>0.449034877005009</v>
      </c>
      <c r="G181" s="14" t="n">
        <f aca="false">$D$179*G180</f>
        <v>0.424088494949176</v>
      </c>
    </row>
    <row r="182" customFormat="false" ht="15" hidden="false" customHeight="false" outlineLevel="0" collapsed="false">
      <c r="A182" s="4" t="s">
        <v>471</v>
      </c>
      <c r="B182" s="0" t="s">
        <v>193</v>
      </c>
      <c r="C182" s="19" t="n">
        <f aca="false">a25_lc</f>
        <v>20.94585</v>
      </c>
      <c r="D182" s="19" t="n">
        <f aca="false">D178*D181</f>
        <v>72.064112</v>
      </c>
      <c r="E182" s="19" t="n">
        <f aca="false">E178*E181</f>
        <v>215.82038556479</v>
      </c>
      <c r="F182" s="19" t="n">
        <f aca="false">F178*F181</f>
        <v>325.879124970599</v>
      </c>
      <c r="G182" s="19" t="n">
        <f aca="false">G178*G181</f>
        <v>350.604075086413</v>
      </c>
    </row>
    <row r="183" customFormat="false" ht="17.15" hidden="false" customHeight="false" outlineLevel="0" collapsed="false">
      <c r="A183" s="6" t="s">
        <v>472</v>
      </c>
    </row>
    <row r="184" customFormat="false" ht="17.15" hidden="false" customHeight="false" outlineLevel="0" collapsed="false">
      <c r="A184" s="0" t="s">
        <v>473</v>
      </c>
      <c r="B184" s="0" t="s">
        <v>474</v>
      </c>
      <c r="D184" s="22" t="n">
        <f aca="false">a26_air/D174</f>
        <v>2.0210686815691</v>
      </c>
    </row>
    <row r="185" customFormat="false" ht="17.15" hidden="false" customHeight="false" outlineLevel="0" collapsed="false">
      <c r="A185" s="0" t="s">
        <v>475</v>
      </c>
      <c r="B185" s="0" t="s">
        <v>74</v>
      </c>
      <c r="D185" s="15" t="n">
        <f aca="false">1</f>
        <v>1</v>
      </c>
      <c r="E185" s="15" t="n">
        <f aca="false">acr_27</f>
        <v>0.75</v>
      </c>
      <c r="F185" s="15" t="n">
        <f aca="false">acr_28</f>
        <v>0.65</v>
      </c>
      <c r="G185" s="15" t="n">
        <f aca="false">acr_29</f>
        <v>0.6</v>
      </c>
    </row>
    <row r="186" customFormat="false" ht="17.15" hidden="false" customHeight="false" outlineLevel="0" collapsed="false">
      <c r="A186" s="0" t="s">
        <v>476</v>
      </c>
      <c r="B186" s="0" t="s">
        <v>193</v>
      </c>
      <c r="C186" s="19" t="n">
        <f aca="false">a25_air</f>
        <v>30.999858</v>
      </c>
      <c r="D186" s="19" t="n">
        <f aca="false">D174*$D$184*D185</f>
        <v>47.2920735</v>
      </c>
      <c r="E186" s="19" t="n">
        <f aca="false">E174*$D$184*E185</f>
        <v>63.1282305747746</v>
      </c>
      <c r="F186" s="19" t="n">
        <f aca="false">F174*$D$184*F185</f>
        <v>69.3527491354095</v>
      </c>
      <c r="G186" s="19" t="n">
        <f aca="false">G174*$D$184*G185</f>
        <v>72.9265345869151</v>
      </c>
    </row>
    <row r="187" customFormat="false" ht="15" hidden="false" customHeight="false" outlineLevel="0" collapsed="false">
      <c r="A187" s="4" t="s">
        <v>477</v>
      </c>
      <c r="B187" s="0" t="s">
        <v>193</v>
      </c>
      <c r="C187" s="19" t="n">
        <f aca="false">a25_gen</f>
        <v>20.666572</v>
      </c>
      <c r="D187" s="19" t="n">
        <f aca="false">a26_gen</f>
        <v>31.528049</v>
      </c>
      <c r="E187" s="19" t="n">
        <f aca="false">D187*(1+g_gen_27)</f>
        <v>34.05029292</v>
      </c>
      <c r="F187" s="19" t="n">
        <f aca="false">E187*(1+g_gen_28)</f>
        <v>36.0933104952</v>
      </c>
      <c r="G187" s="19" t="n">
        <f aca="false">F187*(1+g_gen_29)</f>
        <v>37.89797601996</v>
      </c>
    </row>
    <row r="188" customFormat="false" ht="17.15" hidden="false" customHeight="false" outlineLevel="0" collapsed="false">
      <c r="A188" s="4" t="s">
        <v>478</v>
      </c>
      <c r="B188" s="0" t="s">
        <v>193</v>
      </c>
      <c r="C188" s="19" t="n">
        <f aca="false">a25_nai</f>
        <v>67.02672</v>
      </c>
      <c r="D188" s="19" t="n">
        <f aca="false">a26_nai</f>
        <v>74.3161155</v>
      </c>
      <c r="E188" s="19" t="n">
        <f aca="false">D188*(1+g_nai_27)</f>
        <v>78.77508243</v>
      </c>
      <c r="F188" s="19" t="n">
        <f aca="false">E188*(1+g_nai_28)</f>
        <v>82.7138365515</v>
      </c>
      <c r="G188" s="19" t="n">
        <f aca="false">F188*(1+g_nai_29)</f>
        <v>86.02239001356</v>
      </c>
    </row>
    <row r="189" customFormat="false" ht="17.15" hidden="false" customHeight="false" outlineLevel="0" collapsed="false">
      <c r="A189" s="4" t="s">
        <v>479</v>
      </c>
      <c r="B189" s="0" t="s">
        <v>193</v>
      </c>
      <c r="C189" s="19" t="n">
        <f aca="false">C182+C186+C187</f>
        <v>72.61228</v>
      </c>
      <c r="D189" s="19" t="n">
        <f aca="false">D182+D186+D187</f>
        <v>150.8842345</v>
      </c>
      <c r="E189" s="19" t="n">
        <f aca="false">E182+E186+E187</f>
        <v>312.998909059565</v>
      </c>
      <c r="F189" s="19" t="n">
        <f aca="false">F182+F186+F187</f>
        <v>431.325184601209</v>
      </c>
      <c r="G189" s="19" t="n">
        <f aca="false">G182+G186+G187</f>
        <v>461.428585693288</v>
      </c>
    </row>
    <row r="190" customFormat="false" ht="15" hidden="false" customHeight="false" outlineLevel="0" collapsed="false">
      <c r="A190" s="4" t="s">
        <v>357</v>
      </c>
      <c r="B190" s="0" t="s">
        <v>193</v>
      </c>
      <c r="C190" s="19" t="n">
        <f aca="false">C182+C186+C187+C188</f>
        <v>139.639</v>
      </c>
      <c r="D190" s="19" t="n">
        <f aca="false">D182+D186+D187+D188</f>
        <v>225.20035</v>
      </c>
      <c r="E190" s="19" t="n">
        <f aca="false">E182+E186+E187+E188</f>
        <v>391.773991489565</v>
      </c>
      <c r="F190" s="19" t="n">
        <f aca="false">F182+F186+F187+F188</f>
        <v>514.039021152709</v>
      </c>
      <c r="G190" s="19" t="n">
        <f aca="false">G182+G186+G187+G188</f>
        <v>547.450975706848</v>
      </c>
    </row>
    <row r="191" customFormat="false" ht="15" hidden="false" customHeight="false" outlineLevel="0" collapsed="false">
      <c r="A191" s="4" t="s">
        <v>480</v>
      </c>
      <c r="B191" s="0" t="s">
        <v>193</v>
      </c>
      <c r="C191" s="22" t="n">
        <f aca="false">ROUND(C189+C188-C190,6)</f>
        <v>0</v>
      </c>
      <c r="D191" s="22" t="n">
        <f aca="false">ROUND(D189+D188-D190,6)</f>
        <v>0</v>
      </c>
      <c r="E191" s="22" t="n">
        <f aca="false">ROUND(E189+E188-E190,6)</f>
        <v>0</v>
      </c>
      <c r="F191" s="22" t="n">
        <f aca="false">ROUND(F189+F188-F190,6)</f>
        <v>0</v>
      </c>
      <c r="G191" s="22" t="n">
        <f aca="false">ROUND(G189+G188-G190,6)</f>
        <v>0</v>
      </c>
    </row>
    <row r="192" customFormat="false" ht="15" hidden="false" customHeight="false" outlineLevel="0" collapsed="false">
      <c r="A192" s="4" t="s">
        <v>481</v>
      </c>
      <c r="B192" s="0" t="s">
        <v>53</v>
      </c>
      <c r="D192" s="14" t="n">
        <f aca="false">D190/C190-1</f>
        <v>0.612732474451979</v>
      </c>
      <c r="E192" s="14" t="n">
        <f aca="false">E190/D190-1</f>
        <v>0.739668661658673</v>
      </c>
      <c r="F192" s="14" t="n">
        <f aca="false">F190/E190-1</f>
        <v>0.312080516622046</v>
      </c>
      <c r="G192" s="14" t="n">
        <f aca="false">G190/F190-1</f>
        <v>0.0649988681388707</v>
      </c>
    </row>
    <row r="193" customFormat="false" ht="17.15" hidden="false" customHeight="false" outlineLevel="0" collapsed="false">
      <c r="A193" s="4" t="s">
        <v>482</v>
      </c>
      <c r="B193" s="0" t="s">
        <v>53</v>
      </c>
      <c r="C193" s="14" t="n">
        <f aca="false">C182/C190</f>
        <v>0.15</v>
      </c>
      <c r="D193" s="14" t="n">
        <f aca="false">D182/D190</f>
        <v>0.32</v>
      </c>
      <c r="E193" s="14" t="n">
        <f aca="false">E182/E190</f>
        <v>0.550879819112593</v>
      </c>
      <c r="F193" s="14" t="n">
        <f aca="false">F182/F190</f>
        <v>0.633957951752049</v>
      </c>
      <c r="G193" s="14" t="n">
        <f aca="false">G182/G190</f>
        <v>0.640430085330885</v>
      </c>
    </row>
    <row r="194" customFormat="false" ht="17.15" hidden="false" customHeight="false" outlineLevel="0" collapsed="false">
      <c r="A194" s="0" t="s">
        <v>483</v>
      </c>
      <c r="B194" s="0" t="s">
        <v>53</v>
      </c>
      <c r="C194" s="14" t="n">
        <f aca="false">(C182+C186)/C190</f>
        <v>0.372</v>
      </c>
      <c r="D194" s="14" t="n">
        <f aca="false">(D182+D186)/D190</f>
        <v>0.53</v>
      </c>
      <c r="E194" s="14" t="n">
        <f aca="false">(E182+E186)/E190</f>
        <v>0.712014125998956</v>
      </c>
      <c r="F194" s="14" t="n">
        <f aca="false">(F182+F186)/F190</f>
        <v>0.768875236785954</v>
      </c>
      <c r="G194" s="14" t="n">
        <f aca="false">(G182+G186)/G190</f>
        <v>0.773641163259379</v>
      </c>
    </row>
    <row r="195" customFormat="false" ht="17.15" hidden="false" customHeight="false" outlineLevel="0" collapsed="false">
      <c r="A195" s="4" t="s">
        <v>435</v>
      </c>
      <c r="B195" s="0" t="s">
        <v>423</v>
      </c>
      <c r="D195" s="18" t="n">
        <f aca="false">(D182+D186)/fx/D174*1000</f>
        <v>159.399762088039</v>
      </c>
      <c r="E195" s="18" t="n">
        <f aca="false">(E182+E186)/fx/E174*1000</f>
        <v>209.311433468045</v>
      </c>
      <c r="F195" s="18" t="n">
        <f aca="false">(F182+F186)/fx/F174*1000</f>
        <v>233.95521547298</v>
      </c>
      <c r="G195" s="18" t="n">
        <f aca="false">(G182+G186)/fx/G174*1000</f>
        <v>220.080503553662</v>
      </c>
    </row>
    <row r="196" customFormat="false" ht="17.15" hidden="false" customHeight="false" outlineLevel="0" collapsed="false">
      <c r="A196" s="6" t="s">
        <v>484</v>
      </c>
    </row>
    <row r="197" customFormat="false" ht="17.15" hidden="false" customHeight="false" outlineLevel="0" collapsed="false">
      <c r="A197" s="4" t="s">
        <v>485</v>
      </c>
      <c r="B197" s="0" t="s">
        <v>53</v>
      </c>
      <c r="D197" s="14" t="n">
        <f aca="false">a26_gp/D190-d_lc*D193</f>
        <v>0.302821503074929</v>
      </c>
      <c r="H197" s="8" t="s">
        <v>486</v>
      </c>
    </row>
    <row r="198" customFormat="false" ht="15" hidden="false" customHeight="false" outlineLevel="0" collapsed="false">
      <c r="A198" s="4" t="s">
        <v>361</v>
      </c>
      <c r="B198" s="0" t="s">
        <v>193</v>
      </c>
      <c r="C198" s="19" t="n">
        <f aca="false">a25_gp</f>
        <v>36.034</v>
      </c>
      <c r="D198" s="19" t="n">
        <f aca="false">a26_gp</f>
        <v>72.5193552</v>
      </c>
      <c r="E198" s="19" t="n">
        <f aca="false">$D$197*E190+d_lc*E182</f>
        <v>131.586812102422</v>
      </c>
      <c r="F198" s="19" t="n">
        <f aca="false">$D$197*F190+d_lc*F182</f>
        <v>175.214816522864</v>
      </c>
      <c r="G198" s="19" t="n">
        <f aca="false">$D$197*G190+d_lc*G182</f>
        <v>186.816171828569</v>
      </c>
    </row>
    <row r="199" customFormat="false" ht="15" hidden="false" customHeight="false" outlineLevel="0" collapsed="false">
      <c r="A199" s="4" t="s">
        <v>364</v>
      </c>
      <c r="B199" s="0" t="s">
        <v>53</v>
      </c>
      <c r="C199" s="14" t="n">
        <f aca="false">C198/C190</f>
        <v>0.258051117524474</v>
      </c>
      <c r="D199" s="14" t="n">
        <f aca="false">D198/D190</f>
        <v>0.322021503074929</v>
      </c>
      <c r="E199" s="14" t="n">
        <f aca="false">E198/E190</f>
        <v>0.335874292221684</v>
      </c>
      <c r="F199" s="14" t="n">
        <f aca="false">F198/F190</f>
        <v>0.340858980180052</v>
      </c>
      <c r="G199" s="14" t="n">
        <f aca="false">G198/G190</f>
        <v>0.341247308194782</v>
      </c>
    </row>
    <row r="200" customFormat="false" ht="15" hidden="false" customHeight="false" outlineLevel="0" collapsed="false">
      <c r="A200" s="4" t="s">
        <v>487</v>
      </c>
      <c r="B200" s="0" t="s">
        <v>193</v>
      </c>
      <c r="C200" s="19" t="n">
        <f aca="false">a25_opx</f>
        <v>8.4832253</v>
      </c>
      <c r="D200" s="19" t="n">
        <f aca="false">a26_opx</f>
        <v>11.7048599</v>
      </c>
      <c r="E200" s="19" t="n">
        <f aca="false">D200*(1+MAX(0,phi*E192))</f>
        <v>17.7652625399947</v>
      </c>
      <c r="F200" s="19" t="n">
        <f aca="false">E200*(1+MAX(0,phi*F192))</f>
        <v>21.6461971579802</v>
      </c>
      <c r="G200" s="19" t="n">
        <f aca="false">F200*(1+MAX(0,phi*G192))</f>
        <v>22.6310819783258</v>
      </c>
    </row>
    <row r="201" customFormat="false" ht="15" hidden="false" customHeight="false" outlineLevel="0" collapsed="false">
      <c r="A201" s="4" t="s">
        <v>366</v>
      </c>
      <c r="B201" s="0" t="s">
        <v>193</v>
      </c>
      <c r="C201" s="19" t="n">
        <f aca="false">C200</f>
        <v>8.4832253</v>
      </c>
      <c r="D201" s="19" t="n">
        <f aca="false">D200</f>
        <v>11.7048599</v>
      </c>
      <c r="E201" s="19" t="n">
        <f aca="false">E200+0*E190</f>
        <v>17.7652625399947</v>
      </c>
      <c r="F201" s="19" t="n">
        <f aca="false">F200+0*F190</f>
        <v>21.6461971579802</v>
      </c>
      <c r="G201" s="19" t="n">
        <f aca="false">G200+0*G190</f>
        <v>22.6310819783258</v>
      </c>
    </row>
    <row r="202" customFormat="false" ht="15" hidden="false" customHeight="false" outlineLevel="0" collapsed="false">
      <c r="A202" s="4" t="s">
        <v>368</v>
      </c>
      <c r="B202" s="0" t="s">
        <v>193</v>
      </c>
      <c r="C202" s="19" t="n">
        <f aca="false">C198-C201</f>
        <v>27.5507747</v>
      </c>
      <c r="D202" s="19" t="n">
        <f aca="false">D198-D201</f>
        <v>60.8144953</v>
      </c>
      <c r="E202" s="19" t="n">
        <f aca="false">E198-E201</f>
        <v>113.821549562427</v>
      </c>
      <c r="F202" s="19" t="n">
        <f aca="false">F198-F201</f>
        <v>153.568619364884</v>
      </c>
      <c r="G202" s="19" t="n">
        <f aca="false">G198-G201</f>
        <v>164.185089850243</v>
      </c>
    </row>
    <row r="203" customFormat="false" ht="15" hidden="false" customHeight="false" outlineLevel="0" collapsed="false">
      <c r="A203" s="4" t="s">
        <v>371</v>
      </c>
      <c r="B203" s="0" t="s">
        <v>53</v>
      </c>
      <c r="C203" s="14" t="n">
        <f aca="false">C202/C190</f>
        <v>0.1973</v>
      </c>
      <c r="D203" s="14" t="n">
        <f aca="false">D202/D190</f>
        <v>0.27004618465291</v>
      </c>
      <c r="E203" s="14" t="n">
        <f aca="false">E202/E190</f>
        <v>0.290528600762051</v>
      </c>
      <c r="F203" s="14" t="n">
        <f aca="false">F202/F190</f>
        <v>0.298748952989043</v>
      </c>
      <c r="G203" s="14" t="n">
        <f aca="false">G202/G190</f>
        <v>0.299908297063958</v>
      </c>
    </row>
    <row r="204" customFormat="false" ht="15" hidden="false" customHeight="false" outlineLevel="0" collapsed="false">
      <c r="A204" s="4" t="s">
        <v>373</v>
      </c>
      <c r="B204" s="0" t="s">
        <v>193</v>
      </c>
      <c r="C204" s="19" t="n">
        <f aca="false">a25_nop</f>
        <v>1.23179436863779</v>
      </c>
      <c r="D204" s="19" t="n">
        <f aca="false">a26_nop</f>
        <v>0.8186111</v>
      </c>
      <c r="E204" s="19" t="n">
        <f aca="false">nop_f</f>
        <v>1</v>
      </c>
      <c r="F204" s="19" t="n">
        <f aca="false">nop_f</f>
        <v>1</v>
      </c>
      <c r="G204" s="19" t="n">
        <f aca="false">nop_f</f>
        <v>1</v>
      </c>
    </row>
    <row r="205" customFormat="false" ht="17.15" hidden="false" customHeight="false" outlineLevel="0" collapsed="false">
      <c r="A205" s="4" t="s">
        <v>236</v>
      </c>
      <c r="B205" s="0" t="s">
        <v>53</v>
      </c>
      <c r="C205" s="14" t="n">
        <f aca="false">a25_ni/(a25_oi+a25_nop)</f>
        <v>0.666583999303438</v>
      </c>
      <c r="D205" s="14" t="n">
        <f aca="false">a26_ni/(a26_oi+a26_nop)</f>
        <v>0.674837141220258</v>
      </c>
      <c r="E205" s="14" t="n">
        <f aca="false">nir_f</f>
        <v>0.675</v>
      </c>
      <c r="F205" s="14" t="n">
        <f aca="false">nir_f</f>
        <v>0.675</v>
      </c>
      <c r="G205" s="14" t="n">
        <f aca="false">nir_f</f>
        <v>0.675</v>
      </c>
    </row>
    <row r="206" customFormat="false" ht="15" hidden="false" customHeight="false" outlineLevel="0" collapsed="false">
      <c r="A206" s="4" t="s">
        <v>377</v>
      </c>
      <c r="B206" s="0" t="s">
        <v>193</v>
      </c>
      <c r="C206" s="19" t="n">
        <f aca="false">a25_ni</f>
        <v>19.186</v>
      </c>
      <c r="D206" s="19" t="n">
        <f aca="false">a26_ni</f>
        <v>41.5923093275</v>
      </c>
      <c r="E206" s="19" t="n">
        <f aca="false">(E202+E204)*E205</f>
        <v>77.5045459546382</v>
      </c>
      <c r="F206" s="19" t="n">
        <f aca="false">(F202+F204)*F205</f>
        <v>104.333818071297</v>
      </c>
      <c r="G206" s="19" t="n">
        <f aca="false">(G202+G204)*G205</f>
        <v>111.499935648914</v>
      </c>
    </row>
    <row r="207" customFormat="false" ht="15" hidden="false" customHeight="false" outlineLevel="0" collapsed="false">
      <c r="A207" s="4" t="s">
        <v>488</v>
      </c>
      <c r="B207" s="4" t="s">
        <v>219</v>
      </c>
      <c r="C207" s="22" t="n">
        <f aca="false">a25_sh</f>
        <v>0.390197274761033</v>
      </c>
      <c r="D207" s="22" t="n">
        <f aca="false">a26_sh</f>
        <v>0.392523574315222</v>
      </c>
      <c r="E207" s="22" t="n">
        <f aca="false">D207*(1+sh_g)</f>
        <v>0.392523574315222</v>
      </c>
      <c r="F207" s="22" t="n">
        <f aca="false">E207*(1+sh_g)</f>
        <v>0.392523574315222</v>
      </c>
      <c r="G207" s="22" t="n">
        <f aca="false">F207*(1+sh_g)</f>
        <v>0.392523574315222</v>
      </c>
    </row>
    <row r="208" customFormat="false" ht="15" hidden="false" customHeight="false" outlineLevel="0" collapsed="false">
      <c r="A208" s="0" t="s">
        <v>382</v>
      </c>
      <c r="B208" s="0" t="s">
        <v>256</v>
      </c>
      <c r="C208" s="20" t="n">
        <f aca="false">C206/C207</f>
        <v>49.17</v>
      </c>
      <c r="D208" s="20" t="n">
        <f aca="false">D206/D207</f>
        <v>105.961302834002</v>
      </c>
      <c r="E208" s="20" t="n">
        <f aca="false">E206/E207</f>
        <v>197.451952000205</v>
      </c>
      <c r="F208" s="20" t="n">
        <f aca="false">F206/F207</f>
        <v>265.802680140454</v>
      </c>
      <c r="G208" s="20" t="n">
        <f aca="false">G206/G207</f>
        <v>284.059208019369</v>
      </c>
    </row>
    <row r="209" customFormat="false" ht="17.15" hidden="false" customHeight="false" outlineLevel="0" collapsed="false">
      <c r="A209" s="0" t="s">
        <v>489</v>
      </c>
      <c r="B209" s="0" t="s">
        <v>53</v>
      </c>
      <c r="D209" s="14" t="n">
        <f aca="false">D208/C208-1</f>
        <v>1.15499904075659</v>
      </c>
      <c r="E209" s="14" t="n">
        <f aca="false">E208/D208-1</f>
        <v>0.863434543736522</v>
      </c>
      <c r="F209" s="14" t="n">
        <f aca="false">F208/E208-1</f>
        <v>0.346163851245077</v>
      </c>
      <c r="G209" s="14" t="n">
        <f aca="false">G208/F208-1</f>
        <v>0.0686845139005663</v>
      </c>
    </row>
    <row r="212" customFormat="false" ht="17.15" hidden="false" customHeight="false" outlineLevel="0" collapsed="false">
      <c r="A212" s="1" t="s">
        <v>804</v>
      </c>
    </row>
    <row r="213" customFormat="false" ht="17.15" hidden="false" customHeight="false" outlineLevel="0" collapsed="false">
      <c r="A213" s="5" t="s">
        <v>22</v>
      </c>
      <c r="B213" s="5" t="s">
        <v>23</v>
      </c>
      <c r="C213" s="11" t="s">
        <v>351</v>
      </c>
      <c r="D213" s="11" t="s">
        <v>440</v>
      </c>
      <c r="E213" s="11" t="s">
        <v>441</v>
      </c>
      <c r="F213" s="11" t="s">
        <v>442</v>
      </c>
      <c r="G213" s="11" t="s">
        <v>443</v>
      </c>
      <c r="H213" s="5" t="s">
        <v>416</v>
      </c>
    </row>
    <row r="214" customFormat="false" ht="17.15" hidden="false" customHeight="false" outlineLevel="0" collapsed="false">
      <c r="A214" s="6" t="s">
        <v>459</v>
      </c>
    </row>
    <row r="215" customFormat="false" ht="17.15" hidden="false" customHeight="false" outlineLevel="0" collapsed="false">
      <c r="A215" s="0" t="s">
        <v>460</v>
      </c>
      <c r="B215" s="0" t="s">
        <v>33</v>
      </c>
      <c r="D215" s="20" t="n">
        <f aca="false">itc_26*1</f>
        <v>781.872916666666</v>
      </c>
      <c r="E215" s="20" t="n">
        <f aca="false">itc_27*1*1</f>
        <v>1565.35</v>
      </c>
      <c r="F215" s="20" t="n">
        <f aca="false">itc_28*um28_A*1</f>
        <v>1984.26388888889</v>
      </c>
      <c r="G215" s="20" t="n">
        <f aca="false">itc_29*um29_A*1</f>
        <v>2260.39027777778</v>
      </c>
    </row>
    <row r="216" customFormat="false" ht="17.15" hidden="false" customHeight="false" outlineLevel="0" collapsed="false">
      <c r="A216" s="4" t="s">
        <v>461</v>
      </c>
      <c r="B216" s="0" t="s">
        <v>33</v>
      </c>
      <c r="D216" s="20" t="n">
        <f aca="false">itpg_gb*(1-vr26)+itpg_vr*vr26</f>
        <v>33.41403216</v>
      </c>
      <c r="E216" s="20" t="n">
        <f aca="false">itpg_vr</f>
        <v>37.586352</v>
      </c>
      <c r="F216" s="20" t="n">
        <f aca="false">itpg_vr</f>
        <v>37.586352</v>
      </c>
      <c r="G216" s="20" t="n">
        <f aca="false">itpg_vr</f>
        <v>37.586352</v>
      </c>
    </row>
    <row r="217" customFormat="false" ht="17.15" hidden="false" customHeight="false" outlineLevel="0" collapsed="false">
      <c r="A217" s="4" t="s">
        <v>462</v>
      </c>
      <c r="B217" s="0" t="s">
        <v>418</v>
      </c>
      <c r="D217" s="17" t="n">
        <f aca="false">D215/D216</f>
        <v>23.3995380420639</v>
      </c>
      <c r="E217" s="17" t="n">
        <f aca="false">E215/E216</f>
        <v>41.6467658260637</v>
      </c>
      <c r="F217" s="17" t="n">
        <f aca="false">F215/F216</f>
        <v>52.792138191248</v>
      </c>
      <c r="G217" s="17" t="n">
        <f aca="false">G215/G216</f>
        <v>60.1385917361116</v>
      </c>
    </row>
    <row r="218" customFormat="false" ht="17.15" hidden="false" customHeight="false" outlineLevel="0" collapsed="false">
      <c r="A218" s="4" t="s">
        <v>463</v>
      </c>
      <c r="B218" s="0" t="s">
        <v>53</v>
      </c>
      <c r="D218" s="14" t="n">
        <f aca="false">LPLO_26</f>
        <v>0.45</v>
      </c>
      <c r="E218" s="14" t="n">
        <f aca="false">LPLO_27</f>
        <v>0.6</v>
      </c>
      <c r="F218" s="14" t="n">
        <f aca="false">LPLO_28</f>
        <v>0.7</v>
      </c>
      <c r="G218" s="14" t="n">
        <f aca="false">LPLO_29</f>
        <v>0.75</v>
      </c>
    </row>
    <row r="219" customFormat="false" ht="17.15" hidden="false" customHeight="false" outlineLevel="0" collapsed="false">
      <c r="A219" s="4" t="s">
        <v>464</v>
      </c>
      <c r="B219" s="0" t="s">
        <v>423</v>
      </c>
      <c r="D219" s="18" t="n">
        <f aca="false">((1-vr26)*racks_gb*(cool_gb+mani)+vr26*racks_vr*(cool_vr+mani))/1000</f>
        <v>350.7208</v>
      </c>
      <c r="E219" s="18" t="n">
        <f aca="false">racks_vr*(cool_vr+mani)*lcadj_27/1000</f>
        <v>326.5912</v>
      </c>
      <c r="F219" s="18" t="n">
        <f aca="false">racks_vr*(cool_vr+mani)*lcadj_28/1000</f>
        <v>351.7136</v>
      </c>
      <c r="G219" s="18" t="n">
        <f aca="false">racks_vr*(cool_vr+mani)*lcadj_29/1000</f>
        <v>351.7136</v>
      </c>
      <c r="H219" s="4" t="s">
        <v>465</v>
      </c>
    </row>
    <row r="220" customFormat="false" ht="17.15" hidden="false" customHeight="false" outlineLevel="0" collapsed="false">
      <c r="A220" s="0" t="s">
        <v>466</v>
      </c>
      <c r="B220" s="0" t="s">
        <v>33</v>
      </c>
      <c r="D220" s="20" t="n">
        <f aca="false">D217*D218*D219/1000</f>
        <v>3.69301711578439</v>
      </c>
      <c r="E220" s="20" t="n">
        <f aca="false">E217*E218*E219/1000</f>
        <v>8.16088033635188</v>
      </c>
      <c r="F220" s="20" t="n">
        <f aca="false">F217*F218*F219/1000</f>
        <v>12.9973990824589</v>
      </c>
      <c r="G220" s="20" t="n">
        <f aca="false">G217*G218*G219/1000</f>
        <v>15.8636704488285</v>
      </c>
    </row>
    <row r="221" customFormat="false" ht="17.15" hidden="false" customHeight="false" outlineLevel="0" collapsed="false">
      <c r="A221" s="0" t="s">
        <v>467</v>
      </c>
      <c r="B221" s="0" t="s">
        <v>193</v>
      </c>
      <c r="D221" s="19" t="n">
        <f aca="false">D220*fx</f>
        <v>118.1765477051</v>
      </c>
      <c r="E221" s="19" t="n">
        <f aca="false">E220*fx</f>
        <v>261.14817076326</v>
      </c>
      <c r="F221" s="19" t="n">
        <f aca="false">F220*fx</f>
        <v>415.916770638686</v>
      </c>
      <c r="G221" s="19" t="n">
        <f aca="false">G220*fx</f>
        <v>507.637454362513</v>
      </c>
    </row>
    <row r="222" customFormat="false" ht="17.15" hidden="false" customHeight="false" outlineLevel="0" collapsed="false">
      <c r="A222" s="4" t="s">
        <v>468</v>
      </c>
      <c r="B222" s="0" t="s">
        <v>53</v>
      </c>
      <c r="D222" s="14" t="n">
        <f aca="false">a26_lc/D221</f>
        <v>0.609800450253716</v>
      </c>
      <c r="H222" s="8" t="s">
        <v>469</v>
      </c>
    </row>
    <row r="223" customFormat="false" ht="17.15" hidden="false" customHeight="false" outlineLevel="0" collapsed="false">
      <c r="A223" s="4" t="s">
        <v>470</v>
      </c>
      <c r="B223" s="0" t="s">
        <v>74</v>
      </c>
      <c r="D223" s="15" t="n">
        <f aca="false">1</f>
        <v>1</v>
      </c>
      <c r="E223" s="15" t="n">
        <f aca="false">rel_27</f>
        <v>0.95</v>
      </c>
      <c r="F223" s="15" t="n">
        <f aca="false">rel_28</f>
        <v>0.9</v>
      </c>
      <c r="G223" s="15" t="n">
        <f aca="false">rel_29</f>
        <v>0.85</v>
      </c>
    </row>
    <row r="224" customFormat="false" ht="15" hidden="false" customHeight="false" outlineLevel="0" collapsed="false">
      <c r="A224" s="4" t="s">
        <v>430</v>
      </c>
      <c r="B224" s="0" t="s">
        <v>53</v>
      </c>
      <c r="D224" s="14" t="n">
        <f aca="false">$D$222*D223</f>
        <v>0.609800450253716</v>
      </c>
      <c r="E224" s="14" t="n">
        <f aca="false">$D$222*E223</f>
        <v>0.579310427741031</v>
      </c>
      <c r="F224" s="14" t="n">
        <f aca="false">$D$222*F223</f>
        <v>0.548820405228345</v>
      </c>
      <c r="G224" s="14" t="n">
        <f aca="false">$D$222*G223</f>
        <v>0.518330382715659</v>
      </c>
    </row>
    <row r="225" customFormat="false" ht="15" hidden="false" customHeight="false" outlineLevel="0" collapsed="false">
      <c r="A225" s="4" t="s">
        <v>471</v>
      </c>
      <c r="B225" s="0" t="s">
        <v>193</v>
      </c>
      <c r="C225" s="19" t="n">
        <f aca="false">a25_lc</f>
        <v>20.94585</v>
      </c>
      <c r="D225" s="19" t="n">
        <f aca="false">D221*D224</f>
        <v>72.064112</v>
      </c>
      <c r="E225" s="19" t="n">
        <f aca="false">E221*E224</f>
        <v>151.285858508652</v>
      </c>
      <c r="F225" s="19" t="n">
        <f aca="false">F221*F224</f>
        <v>228.263610603188</v>
      </c>
      <c r="G225" s="19" t="n">
        <f aca="false">G221*G224</f>
        <v>263.123916000524</v>
      </c>
    </row>
    <row r="226" customFormat="false" ht="17.15" hidden="false" customHeight="false" outlineLevel="0" collapsed="false">
      <c r="A226" s="6" t="s">
        <v>472</v>
      </c>
    </row>
    <row r="227" customFormat="false" ht="17.15" hidden="false" customHeight="false" outlineLevel="0" collapsed="false">
      <c r="A227" s="0" t="s">
        <v>473</v>
      </c>
      <c r="B227" s="0" t="s">
        <v>474</v>
      </c>
      <c r="D227" s="22" t="n">
        <f aca="false">a26_air/D217</f>
        <v>2.0210686815691</v>
      </c>
    </row>
    <row r="228" customFormat="false" ht="17.15" hidden="false" customHeight="false" outlineLevel="0" collapsed="false">
      <c r="A228" s="0" t="s">
        <v>475</v>
      </c>
      <c r="B228" s="0" t="s">
        <v>74</v>
      </c>
      <c r="D228" s="15" t="n">
        <f aca="false">1</f>
        <v>1</v>
      </c>
      <c r="E228" s="15" t="n">
        <f aca="false">acr_27</f>
        <v>0.75</v>
      </c>
      <c r="F228" s="15" t="n">
        <f aca="false">acr_28</f>
        <v>0.65</v>
      </c>
      <c r="G228" s="15" t="n">
        <f aca="false">acr_29</f>
        <v>0.6</v>
      </c>
    </row>
    <row r="229" customFormat="false" ht="17.15" hidden="false" customHeight="false" outlineLevel="0" collapsed="false">
      <c r="A229" s="0" t="s">
        <v>476</v>
      </c>
      <c r="B229" s="0" t="s">
        <v>193</v>
      </c>
      <c r="C229" s="19" t="n">
        <f aca="false">a25_air</f>
        <v>30.999858</v>
      </c>
      <c r="D229" s="19" t="n">
        <f aca="false">D217*$D$227*D228</f>
        <v>47.2920735</v>
      </c>
      <c r="E229" s="19" t="n">
        <f aca="false">E217*$D$227*E228</f>
        <v>63.1282305747746</v>
      </c>
      <c r="F229" s="19" t="n">
        <f aca="false">F217*$D$227*F228</f>
        <v>69.3527491354095</v>
      </c>
      <c r="G229" s="19" t="n">
        <f aca="false">G217*$D$227*G228</f>
        <v>72.9265345869151</v>
      </c>
    </row>
    <row r="230" customFormat="false" ht="15" hidden="false" customHeight="false" outlineLevel="0" collapsed="false">
      <c r="A230" s="4" t="s">
        <v>477</v>
      </c>
      <c r="B230" s="0" t="s">
        <v>193</v>
      </c>
      <c r="C230" s="19" t="n">
        <f aca="false">a25_gen</f>
        <v>20.666572</v>
      </c>
      <c r="D230" s="19" t="n">
        <f aca="false">a26_gen</f>
        <v>31.528049</v>
      </c>
      <c r="E230" s="19" t="n">
        <f aca="false">D230*(1+g_gen_27)</f>
        <v>34.05029292</v>
      </c>
      <c r="F230" s="19" t="n">
        <f aca="false">E230*(1+g_gen_28)</f>
        <v>36.0933104952</v>
      </c>
      <c r="G230" s="19" t="n">
        <f aca="false">F230*(1+g_gen_29)</f>
        <v>37.89797601996</v>
      </c>
    </row>
    <row r="231" customFormat="false" ht="17.15" hidden="false" customHeight="false" outlineLevel="0" collapsed="false">
      <c r="A231" s="4" t="s">
        <v>478</v>
      </c>
      <c r="B231" s="0" t="s">
        <v>193</v>
      </c>
      <c r="C231" s="19" t="n">
        <f aca="false">a25_nai</f>
        <v>67.02672</v>
      </c>
      <c r="D231" s="19" t="n">
        <f aca="false">a26_nai</f>
        <v>74.3161155</v>
      </c>
      <c r="E231" s="19" t="n">
        <f aca="false">D231*(1+g_nai_27)</f>
        <v>78.77508243</v>
      </c>
      <c r="F231" s="19" t="n">
        <f aca="false">E231*(1+g_nai_28)</f>
        <v>82.7138365515</v>
      </c>
      <c r="G231" s="19" t="n">
        <f aca="false">F231*(1+g_nai_29)</f>
        <v>86.02239001356</v>
      </c>
    </row>
    <row r="232" customFormat="false" ht="17.15" hidden="false" customHeight="false" outlineLevel="0" collapsed="false">
      <c r="A232" s="4" t="s">
        <v>479</v>
      </c>
      <c r="B232" s="0" t="s">
        <v>193</v>
      </c>
      <c r="C232" s="19" t="n">
        <f aca="false">C225+C229+C230</f>
        <v>72.61228</v>
      </c>
      <c r="D232" s="19" t="n">
        <f aca="false">D225+D229+D230</f>
        <v>150.8842345</v>
      </c>
      <c r="E232" s="19" t="n">
        <f aca="false">E225+E229+E230</f>
        <v>248.464382003426</v>
      </c>
      <c r="F232" s="19" t="n">
        <f aca="false">F225+F229+F230</f>
        <v>333.709670233797</v>
      </c>
      <c r="G232" s="19" t="n">
        <f aca="false">G225+G229+G230</f>
        <v>373.948426607399</v>
      </c>
    </row>
    <row r="233" customFormat="false" ht="15" hidden="false" customHeight="false" outlineLevel="0" collapsed="false">
      <c r="A233" s="4" t="s">
        <v>357</v>
      </c>
      <c r="B233" s="0" t="s">
        <v>193</v>
      </c>
      <c r="C233" s="19" t="n">
        <f aca="false">C225+C229+C230+C231</f>
        <v>139.639</v>
      </c>
      <c r="D233" s="19" t="n">
        <f aca="false">D225+D229+D230+D231</f>
        <v>225.20035</v>
      </c>
      <c r="E233" s="19" t="n">
        <f aca="false">E225+E229+E230+E231</f>
        <v>327.239464433426</v>
      </c>
      <c r="F233" s="19" t="n">
        <f aca="false">F225+F229+F230+F231</f>
        <v>416.423506785297</v>
      </c>
      <c r="G233" s="19" t="n">
        <f aca="false">G225+G229+G230+G231</f>
        <v>459.970816620959</v>
      </c>
    </row>
    <row r="234" customFormat="false" ht="15" hidden="false" customHeight="false" outlineLevel="0" collapsed="false">
      <c r="A234" s="4" t="s">
        <v>480</v>
      </c>
      <c r="B234" s="0" t="s">
        <v>193</v>
      </c>
      <c r="C234" s="22" t="n">
        <f aca="false">ROUND(C232+C231-C233,6)</f>
        <v>0</v>
      </c>
      <c r="D234" s="22" t="n">
        <f aca="false">ROUND(D232+D231-D233,6)</f>
        <v>0</v>
      </c>
      <c r="E234" s="22" t="n">
        <f aca="false">ROUND(E232+E231-E233,6)</f>
        <v>0</v>
      </c>
      <c r="F234" s="22" t="n">
        <f aca="false">ROUND(F232+F231-F233,6)</f>
        <v>0</v>
      </c>
      <c r="G234" s="22" t="n">
        <f aca="false">ROUND(G232+G231-G233,6)</f>
        <v>0</v>
      </c>
    </row>
    <row r="235" customFormat="false" ht="15" hidden="false" customHeight="false" outlineLevel="0" collapsed="false">
      <c r="A235" s="4" t="s">
        <v>481</v>
      </c>
      <c r="B235" s="0" t="s">
        <v>53</v>
      </c>
      <c r="D235" s="14" t="n">
        <f aca="false">D233/C233-1</f>
        <v>0.612732474451979</v>
      </c>
      <c r="E235" s="14" t="n">
        <f aca="false">E233/D233-1</f>
        <v>0.453103711576942</v>
      </c>
      <c r="F235" s="14" t="n">
        <f aca="false">F233/E233-1</f>
        <v>0.27253449551472</v>
      </c>
      <c r="G235" s="14" t="n">
        <f aca="false">G233/F233-1</f>
        <v>0.104574571622621</v>
      </c>
    </row>
    <row r="236" customFormat="false" ht="17.15" hidden="false" customHeight="false" outlineLevel="0" collapsed="false">
      <c r="A236" s="4" t="s">
        <v>482</v>
      </c>
      <c r="B236" s="0" t="s">
        <v>53</v>
      </c>
      <c r="C236" s="14" t="n">
        <f aca="false">C225/C233</f>
        <v>0.15</v>
      </c>
      <c r="D236" s="14" t="n">
        <f aca="false">D225/D233</f>
        <v>0.32</v>
      </c>
      <c r="E236" s="14" t="n">
        <f aca="false">E225/E233</f>
        <v>0.462309332924084</v>
      </c>
      <c r="F236" s="14" t="n">
        <f aca="false">F225/F233</f>
        <v>0.548152558354199</v>
      </c>
      <c r="G236" s="14" t="n">
        <f aca="false">G225/G233</f>
        <v>0.572044804784545</v>
      </c>
    </row>
    <row r="237" customFormat="false" ht="17.15" hidden="false" customHeight="false" outlineLevel="0" collapsed="false">
      <c r="A237" s="0" t="s">
        <v>483</v>
      </c>
      <c r="B237" s="0" t="s">
        <v>53</v>
      </c>
      <c r="C237" s="14" t="n">
        <f aca="false">(C225+C229)/C233</f>
        <v>0.372</v>
      </c>
      <c r="D237" s="14" t="n">
        <f aca="false">(D225+D229)/D233</f>
        <v>0.53</v>
      </c>
      <c r="E237" s="14" t="n">
        <f aca="false">(E225+E229)/E233</f>
        <v>0.655220755402033</v>
      </c>
      <c r="F237" s="14" t="n">
        <f aca="false">(F225+F229)/F233</f>
        <v>0.714696348523006</v>
      </c>
      <c r="G237" s="14" t="n">
        <f aca="false">(G225+G229)/G233</f>
        <v>0.730590808034595</v>
      </c>
    </row>
    <row r="238" customFormat="false" ht="17.15" hidden="false" customHeight="false" outlineLevel="0" collapsed="false">
      <c r="A238" s="4" t="s">
        <v>435</v>
      </c>
      <c r="B238" s="0" t="s">
        <v>423</v>
      </c>
      <c r="D238" s="18" t="n">
        <f aca="false">(D225+D229)/fx/D217*1000</f>
        <v>159.399762088039</v>
      </c>
      <c r="E238" s="18" t="n">
        <f aca="false">(E225+E229)/fx/E217*1000</f>
        <v>160.88740988535</v>
      </c>
      <c r="F238" s="18" t="n">
        <f aca="false">(F225+F229)/fx/F217*1000</f>
        <v>176.172277927796</v>
      </c>
      <c r="G238" s="18" t="n">
        <f aca="false">(G225+G229)/fx/G217*1000</f>
        <v>174.622921450147</v>
      </c>
    </row>
    <row r="239" customFormat="false" ht="17.15" hidden="false" customHeight="false" outlineLevel="0" collapsed="false">
      <c r="A239" s="6" t="s">
        <v>484</v>
      </c>
    </row>
    <row r="240" customFormat="false" ht="17.15" hidden="false" customHeight="false" outlineLevel="0" collapsed="false">
      <c r="A240" s="4" t="s">
        <v>485</v>
      </c>
      <c r="B240" s="0" t="s">
        <v>53</v>
      </c>
      <c r="D240" s="14" t="n">
        <f aca="false">a26_gp/D233-d_lc*D236</f>
        <v>0.302821503074929</v>
      </c>
      <c r="H240" s="8" t="s">
        <v>486</v>
      </c>
    </row>
    <row r="241" customFormat="false" ht="15" hidden="false" customHeight="false" outlineLevel="0" collapsed="false">
      <c r="A241" s="4" t="s">
        <v>361</v>
      </c>
      <c r="B241" s="0" t="s">
        <v>193</v>
      </c>
      <c r="C241" s="19" t="n">
        <f aca="false">a25_gp</f>
        <v>36.034</v>
      </c>
      <c r="D241" s="19" t="n">
        <f aca="false">a26_gp</f>
        <v>72.5193552</v>
      </c>
      <c r="E241" s="19" t="n">
        <f aca="false">$D$240*E233+d_lc*E225</f>
        <v>108.172297995684</v>
      </c>
      <c r="F241" s="19" t="n">
        <f aca="false">$D$240*F233+d_lc*F225</f>
        <v>139.797808876648</v>
      </c>
      <c r="G241" s="19" t="n">
        <f aca="false">$D$240*G233+d_lc*G225</f>
        <v>155.076489019793</v>
      </c>
    </row>
    <row r="242" customFormat="false" ht="15" hidden="false" customHeight="false" outlineLevel="0" collapsed="false">
      <c r="A242" s="4" t="s">
        <v>364</v>
      </c>
      <c r="B242" s="0" t="s">
        <v>53</v>
      </c>
      <c r="C242" s="14" t="n">
        <f aca="false">C241/C233</f>
        <v>0.258051117524474</v>
      </c>
      <c r="D242" s="14" t="n">
        <f aca="false">D241/D233</f>
        <v>0.322021503074929</v>
      </c>
      <c r="E242" s="14" t="n">
        <f aca="false">E241/E233</f>
        <v>0.330560063050374</v>
      </c>
      <c r="F242" s="14" t="n">
        <f aca="false">F241/F233</f>
        <v>0.335710656576181</v>
      </c>
      <c r="G242" s="14" t="n">
        <f aca="false">G241/G233</f>
        <v>0.337144191362001</v>
      </c>
    </row>
    <row r="243" customFormat="false" ht="15" hidden="false" customHeight="false" outlineLevel="0" collapsed="false">
      <c r="A243" s="4" t="s">
        <v>487</v>
      </c>
      <c r="B243" s="0" t="s">
        <v>193</v>
      </c>
      <c r="C243" s="19" t="n">
        <f aca="false">a25_opx</f>
        <v>8.4832253</v>
      </c>
      <c r="D243" s="19" t="n">
        <f aca="false">a26_opx</f>
        <v>11.7048599</v>
      </c>
      <c r="E243" s="19" t="n">
        <f aca="false">D243*(1+MAX(0,phi*E235))</f>
        <v>15.4173207249247</v>
      </c>
      <c r="F243" s="19" t="n">
        <f aca="false">E243*(1+MAX(0,phi*F235))</f>
        <v>18.3585469330939</v>
      </c>
      <c r="G243" s="19" t="n">
        <f aca="false">F243*(1+MAX(0,phi*G235))</f>
        <v>19.7024329598933</v>
      </c>
    </row>
    <row r="244" customFormat="false" ht="15" hidden="false" customHeight="false" outlineLevel="0" collapsed="false">
      <c r="A244" s="4" t="s">
        <v>366</v>
      </c>
      <c r="B244" s="0" t="s">
        <v>193</v>
      </c>
      <c r="C244" s="19" t="n">
        <f aca="false">C243</f>
        <v>8.4832253</v>
      </c>
      <c r="D244" s="19" t="n">
        <f aca="false">D243</f>
        <v>11.7048599</v>
      </c>
      <c r="E244" s="19" t="n">
        <f aca="false">E243+0*E233</f>
        <v>15.4173207249247</v>
      </c>
      <c r="F244" s="19" t="n">
        <f aca="false">F243+0*F233</f>
        <v>18.3585469330939</v>
      </c>
      <c r="G244" s="19" t="n">
        <f aca="false">G243+0*G233</f>
        <v>19.7024329598933</v>
      </c>
    </row>
    <row r="245" customFormat="false" ht="15" hidden="false" customHeight="false" outlineLevel="0" collapsed="false">
      <c r="A245" s="4" t="s">
        <v>368</v>
      </c>
      <c r="B245" s="0" t="s">
        <v>193</v>
      </c>
      <c r="C245" s="19" t="n">
        <f aca="false">C241-C244</f>
        <v>27.5507747</v>
      </c>
      <c r="D245" s="19" t="n">
        <f aca="false">D241-D244</f>
        <v>60.8144953</v>
      </c>
      <c r="E245" s="19" t="n">
        <f aca="false">E241-E244</f>
        <v>92.7549772707593</v>
      </c>
      <c r="F245" s="19" t="n">
        <f aca="false">F241-F244</f>
        <v>121.439261943554</v>
      </c>
      <c r="G245" s="19" t="n">
        <f aca="false">G241-G244</f>
        <v>135.374056059899</v>
      </c>
    </row>
    <row r="246" customFormat="false" ht="15" hidden="false" customHeight="false" outlineLevel="0" collapsed="false">
      <c r="A246" s="4" t="s">
        <v>371</v>
      </c>
      <c r="B246" s="0" t="s">
        <v>53</v>
      </c>
      <c r="C246" s="14" t="n">
        <f aca="false">C245/C233</f>
        <v>0.1973</v>
      </c>
      <c r="D246" s="14" t="n">
        <f aca="false">D245/D233</f>
        <v>0.27004618465291</v>
      </c>
      <c r="E246" s="14" t="n">
        <f aca="false">E245/E233</f>
        <v>0.283446794632037</v>
      </c>
      <c r="F246" s="14" t="n">
        <f aca="false">F245/F233</f>
        <v>0.291624415924643</v>
      </c>
      <c r="G246" s="14" t="n">
        <f aca="false">G245/G233</f>
        <v>0.294310097876177</v>
      </c>
    </row>
    <row r="247" customFormat="false" ht="15" hidden="false" customHeight="false" outlineLevel="0" collapsed="false">
      <c r="A247" s="4" t="s">
        <v>373</v>
      </c>
      <c r="B247" s="0" t="s">
        <v>193</v>
      </c>
      <c r="C247" s="19" t="n">
        <f aca="false">a25_nop</f>
        <v>1.23179436863779</v>
      </c>
      <c r="D247" s="19" t="n">
        <f aca="false">a26_nop</f>
        <v>0.8186111</v>
      </c>
      <c r="E247" s="19" t="n">
        <f aca="false">nop_f</f>
        <v>1</v>
      </c>
      <c r="F247" s="19" t="n">
        <f aca="false">nop_f</f>
        <v>1</v>
      </c>
      <c r="G247" s="19" t="n">
        <f aca="false">nop_f</f>
        <v>1</v>
      </c>
    </row>
    <row r="248" customFormat="false" ht="17.15" hidden="false" customHeight="false" outlineLevel="0" collapsed="false">
      <c r="A248" s="4" t="s">
        <v>236</v>
      </c>
      <c r="B248" s="0" t="s">
        <v>53</v>
      </c>
      <c r="C248" s="14" t="n">
        <f aca="false">a25_ni/(a25_oi+a25_nop)</f>
        <v>0.666583999303438</v>
      </c>
      <c r="D248" s="14" t="n">
        <f aca="false">a26_ni/(a26_oi+a26_nop)</f>
        <v>0.674837141220258</v>
      </c>
      <c r="E248" s="14" t="n">
        <f aca="false">nir_f</f>
        <v>0.675</v>
      </c>
      <c r="F248" s="14" t="n">
        <f aca="false">nir_f</f>
        <v>0.675</v>
      </c>
      <c r="G248" s="14" t="n">
        <f aca="false">nir_f</f>
        <v>0.675</v>
      </c>
    </row>
    <row r="249" customFormat="false" ht="15" hidden="false" customHeight="false" outlineLevel="0" collapsed="false">
      <c r="A249" s="4" t="s">
        <v>377</v>
      </c>
      <c r="B249" s="0" t="s">
        <v>193</v>
      </c>
      <c r="C249" s="19" t="n">
        <f aca="false">a25_ni</f>
        <v>19.186</v>
      </c>
      <c r="D249" s="19" t="n">
        <f aca="false">a26_ni</f>
        <v>41.5923093275</v>
      </c>
      <c r="E249" s="19" t="n">
        <f aca="false">(E245+E247)*E248</f>
        <v>63.2846096577625</v>
      </c>
      <c r="F249" s="19" t="n">
        <f aca="false">(F245+F247)*F248</f>
        <v>82.6465018118989</v>
      </c>
      <c r="G249" s="19" t="n">
        <f aca="false">(G245+G247)*G248</f>
        <v>92.0524878404321</v>
      </c>
    </row>
    <row r="250" customFormat="false" ht="15" hidden="false" customHeight="false" outlineLevel="0" collapsed="false">
      <c r="A250" s="4" t="s">
        <v>488</v>
      </c>
      <c r="B250" s="4" t="s">
        <v>219</v>
      </c>
      <c r="C250" s="22" t="n">
        <f aca="false">a25_sh</f>
        <v>0.390197274761033</v>
      </c>
      <c r="D250" s="22" t="n">
        <f aca="false">a26_sh</f>
        <v>0.392523574315222</v>
      </c>
      <c r="E250" s="22" t="n">
        <f aca="false">D250*(1+sh_g)</f>
        <v>0.392523574315222</v>
      </c>
      <c r="F250" s="22" t="n">
        <f aca="false">E250*(1+sh_g)</f>
        <v>0.392523574315222</v>
      </c>
      <c r="G250" s="22" t="n">
        <f aca="false">F250*(1+sh_g)</f>
        <v>0.392523574315222</v>
      </c>
    </row>
    <row r="251" customFormat="false" ht="15" hidden="false" customHeight="false" outlineLevel="0" collapsed="false">
      <c r="A251" s="0" t="s">
        <v>382</v>
      </c>
      <c r="B251" s="0" t="s">
        <v>256</v>
      </c>
      <c r="C251" s="20" t="n">
        <f aca="false">C249/C250</f>
        <v>49.17</v>
      </c>
      <c r="D251" s="20" t="n">
        <f aca="false">D249/D250</f>
        <v>105.961302834002</v>
      </c>
      <c r="E251" s="20" t="n">
        <f aca="false">E249/E250</f>
        <v>161.22499080002</v>
      </c>
      <c r="F251" s="20" t="n">
        <f aca="false">F249/F250</f>
        <v>210.551689681518</v>
      </c>
      <c r="G251" s="20" t="n">
        <f aca="false">G249/G250</f>
        <v>234.514546039744</v>
      </c>
    </row>
    <row r="252" customFormat="false" ht="17.15" hidden="false" customHeight="false" outlineLevel="0" collapsed="false">
      <c r="A252" s="0" t="s">
        <v>489</v>
      </c>
      <c r="B252" s="0" t="s">
        <v>53</v>
      </c>
      <c r="D252" s="14" t="n">
        <f aca="false">D251/C251-1</f>
        <v>1.15499904075659</v>
      </c>
      <c r="E252" s="14" t="n">
        <f aca="false">E251/D251-1</f>
        <v>0.521545946378121</v>
      </c>
      <c r="F252" s="14" t="n">
        <f aca="false">F251/E251-1</f>
        <v>0.305949460047929</v>
      </c>
      <c r="G252" s="14" t="n">
        <f aca="false">G251/F251-1</f>
        <v>0.11380985065697</v>
      </c>
    </row>
    <row r="255" customFormat="false" ht="17.15" hidden="false" customHeight="false" outlineLevel="0" collapsed="false">
      <c r="A255" s="1" t="s">
        <v>805</v>
      </c>
    </row>
    <row r="256" customFormat="false" ht="17.15" hidden="false" customHeight="false" outlineLevel="0" collapsed="false">
      <c r="A256" s="5" t="s">
        <v>22</v>
      </c>
      <c r="B256" s="5" t="s">
        <v>23</v>
      </c>
      <c r="C256" s="11" t="s">
        <v>351</v>
      </c>
      <c r="D256" s="11" t="s">
        <v>440</v>
      </c>
      <c r="E256" s="11" t="s">
        <v>441</v>
      </c>
      <c r="F256" s="11" t="s">
        <v>442</v>
      </c>
      <c r="G256" s="11" t="s">
        <v>443</v>
      </c>
      <c r="H256" s="5" t="s">
        <v>416</v>
      </c>
    </row>
    <row r="257" customFormat="false" ht="17.15" hidden="false" customHeight="false" outlineLevel="0" collapsed="false">
      <c r="A257" s="6" t="s">
        <v>459</v>
      </c>
    </row>
    <row r="258" customFormat="false" ht="17.15" hidden="false" customHeight="false" outlineLevel="0" collapsed="false">
      <c r="A258" s="0" t="s">
        <v>460</v>
      </c>
      <c r="B258" s="0" t="s">
        <v>33</v>
      </c>
      <c r="D258" s="20" t="n">
        <f aca="false">itc_26*1</f>
        <v>781.872916666666</v>
      </c>
      <c r="E258" s="20" t="n">
        <f aca="false">itc_27*1*1</f>
        <v>1565.35</v>
      </c>
      <c r="F258" s="20" t="n">
        <f aca="false">itc_28*um28_A*1</f>
        <v>1984.26388888889</v>
      </c>
      <c r="G258" s="20" t="n">
        <f aca="false">itc_29*um29_A*1</f>
        <v>2260.39027777778</v>
      </c>
    </row>
    <row r="259" customFormat="false" ht="17.15" hidden="false" customHeight="false" outlineLevel="0" collapsed="false">
      <c r="A259" s="4" t="s">
        <v>461</v>
      </c>
      <c r="B259" s="0" t="s">
        <v>33</v>
      </c>
      <c r="D259" s="20" t="n">
        <f aca="false">itpg_gb*(1-vr26)+itpg_vr*vr26</f>
        <v>33.41403216</v>
      </c>
      <c r="E259" s="20" t="n">
        <f aca="false">itpg_vr</f>
        <v>37.586352</v>
      </c>
      <c r="F259" s="20" t="n">
        <f aca="false">itpg_vr</f>
        <v>37.586352</v>
      </c>
      <c r="G259" s="20" t="n">
        <f aca="false">itpg_vr</f>
        <v>37.586352</v>
      </c>
    </row>
    <row r="260" customFormat="false" ht="17.15" hidden="false" customHeight="false" outlineLevel="0" collapsed="false">
      <c r="A260" s="4" t="s">
        <v>462</v>
      </c>
      <c r="B260" s="0" t="s">
        <v>418</v>
      </c>
      <c r="D260" s="17" t="n">
        <f aca="false">D258/D259</f>
        <v>23.3995380420639</v>
      </c>
      <c r="E260" s="17" t="n">
        <f aca="false">E258/E259</f>
        <v>41.6467658260637</v>
      </c>
      <c r="F260" s="17" t="n">
        <f aca="false">F258/F259</f>
        <v>52.792138191248</v>
      </c>
      <c r="G260" s="17" t="n">
        <f aca="false">G258/G259</f>
        <v>60.1385917361116</v>
      </c>
    </row>
    <row r="261" customFormat="false" ht="17.15" hidden="false" customHeight="false" outlineLevel="0" collapsed="false">
      <c r="A261" s="4" t="s">
        <v>463</v>
      </c>
      <c r="B261" s="0" t="s">
        <v>53</v>
      </c>
      <c r="D261" s="14" t="n">
        <f aca="false">LPHI_26</f>
        <v>0.65</v>
      </c>
      <c r="E261" s="14" t="n">
        <f aca="false">LPHI_27</f>
        <v>0.85</v>
      </c>
      <c r="F261" s="14" t="n">
        <f aca="false">LPHI_28</f>
        <v>0.95</v>
      </c>
      <c r="G261" s="14" t="n">
        <f aca="false">LPHI_29</f>
        <v>0.95</v>
      </c>
    </row>
    <row r="262" customFormat="false" ht="17.15" hidden="false" customHeight="false" outlineLevel="0" collapsed="false">
      <c r="A262" s="4" t="s">
        <v>464</v>
      </c>
      <c r="B262" s="0" t="s">
        <v>423</v>
      </c>
      <c r="D262" s="18" t="n">
        <f aca="false">((1-vr26)*racks_gb*(cool_gb+mani)+vr26*racks_vr*(cool_vr+mani))/1000</f>
        <v>350.7208</v>
      </c>
      <c r="E262" s="18" t="n">
        <f aca="false">racks_vr*(cool_vr+mani)*lcadj_27/1000</f>
        <v>326.5912</v>
      </c>
      <c r="F262" s="18" t="n">
        <f aca="false">racks_vr*(cool_vr+mani)*lcadj_28/1000</f>
        <v>351.7136</v>
      </c>
      <c r="G262" s="18" t="n">
        <f aca="false">racks_vr*(cool_vr+mani)*lcadj_29/1000</f>
        <v>351.7136</v>
      </c>
      <c r="H262" s="4" t="s">
        <v>465</v>
      </c>
    </row>
    <row r="263" customFormat="false" ht="17.15" hidden="false" customHeight="false" outlineLevel="0" collapsed="false">
      <c r="A263" s="0" t="s">
        <v>466</v>
      </c>
      <c r="B263" s="0" t="s">
        <v>33</v>
      </c>
      <c r="D263" s="20" t="n">
        <f aca="false">D260*D261*D262/1000</f>
        <v>5.334358056133</v>
      </c>
      <c r="E263" s="20" t="n">
        <f aca="false">E260*E261*E262/1000</f>
        <v>11.5612471431652</v>
      </c>
      <c r="F263" s="20" t="n">
        <f aca="false">F260*F261*F262/1000</f>
        <v>17.6393273261943</v>
      </c>
      <c r="G263" s="20" t="n">
        <f aca="false">G260*G261*G262/1000</f>
        <v>20.0939825685161</v>
      </c>
    </row>
    <row r="264" customFormat="false" ht="17.15" hidden="false" customHeight="false" outlineLevel="0" collapsed="false">
      <c r="A264" s="0" t="s">
        <v>467</v>
      </c>
      <c r="B264" s="0" t="s">
        <v>193</v>
      </c>
      <c r="D264" s="19" t="n">
        <f aca="false">D263*fx</f>
        <v>170.699457796256</v>
      </c>
      <c r="E264" s="19" t="n">
        <f aca="false">E263*fx</f>
        <v>369.959908581285</v>
      </c>
      <c r="F264" s="19" t="n">
        <f aca="false">F263*fx</f>
        <v>564.458474438216</v>
      </c>
      <c r="G264" s="19" t="n">
        <f aca="false">G263*fx</f>
        <v>643.007442192516</v>
      </c>
    </row>
    <row r="265" customFormat="false" ht="17.15" hidden="false" customHeight="false" outlineLevel="0" collapsed="false">
      <c r="A265" s="4" t="s">
        <v>468</v>
      </c>
      <c r="B265" s="0" t="s">
        <v>53</v>
      </c>
      <c r="D265" s="14" t="n">
        <f aca="false">a26_lc/D264</f>
        <v>0.422169542483342</v>
      </c>
      <c r="H265" s="8" t="s">
        <v>469</v>
      </c>
    </row>
    <row r="266" customFormat="false" ht="17.15" hidden="false" customHeight="false" outlineLevel="0" collapsed="false">
      <c r="A266" s="4" t="s">
        <v>470</v>
      </c>
      <c r="B266" s="0" t="s">
        <v>74</v>
      </c>
      <c r="D266" s="15" t="n">
        <f aca="false">1</f>
        <v>1</v>
      </c>
      <c r="E266" s="15" t="n">
        <f aca="false">rel_27</f>
        <v>0.95</v>
      </c>
      <c r="F266" s="15" t="n">
        <f aca="false">rel_28</f>
        <v>0.9</v>
      </c>
      <c r="G266" s="15" t="n">
        <f aca="false">rel_29</f>
        <v>0.85</v>
      </c>
    </row>
    <row r="267" customFormat="false" ht="15" hidden="false" customHeight="false" outlineLevel="0" collapsed="false">
      <c r="A267" s="4" t="s">
        <v>430</v>
      </c>
      <c r="B267" s="0" t="s">
        <v>53</v>
      </c>
      <c r="D267" s="14" t="n">
        <f aca="false">$D$265*D266</f>
        <v>0.422169542483342</v>
      </c>
      <c r="E267" s="14" t="n">
        <f aca="false">$D$265*E266</f>
        <v>0.401061065359175</v>
      </c>
      <c r="F267" s="14" t="n">
        <f aca="false">$D$265*F266</f>
        <v>0.379952588235008</v>
      </c>
      <c r="G267" s="14" t="n">
        <f aca="false">$D$265*G266</f>
        <v>0.358844111110841</v>
      </c>
    </row>
    <row r="268" customFormat="false" ht="15" hidden="false" customHeight="false" outlineLevel="0" collapsed="false">
      <c r="A268" s="4" t="s">
        <v>471</v>
      </c>
      <c r="B268" s="0" t="s">
        <v>193</v>
      </c>
      <c r="C268" s="19" t="n">
        <f aca="false">a25_lc</f>
        <v>20.94585</v>
      </c>
      <c r="D268" s="19" t="n">
        <f aca="false">D264*D267</f>
        <v>72.064112</v>
      </c>
      <c r="E268" s="19" t="n">
        <f aca="false">E264*E267</f>
        <v>148.376515075793</v>
      </c>
      <c r="F268" s="19" t="n">
        <f aca="false">F264*F267</f>
        <v>214.467458313984</v>
      </c>
      <c r="G268" s="19" t="n">
        <f aca="false">G264*G267</f>
        <v>230.739434031229</v>
      </c>
    </row>
    <row r="269" customFormat="false" ht="17.15" hidden="false" customHeight="false" outlineLevel="0" collapsed="false">
      <c r="A269" s="6" t="s">
        <v>472</v>
      </c>
    </row>
    <row r="270" customFormat="false" ht="17.15" hidden="false" customHeight="false" outlineLevel="0" collapsed="false">
      <c r="A270" s="0" t="s">
        <v>473</v>
      </c>
      <c r="B270" s="0" t="s">
        <v>474</v>
      </c>
      <c r="D270" s="22" t="n">
        <f aca="false">a26_air/D260</f>
        <v>2.0210686815691</v>
      </c>
    </row>
    <row r="271" customFormat="false" ht="17.15" hidden="false" customHeight="false" outlineLevel="0" collapsed="false">
      <c r="A271" s="0" t="s">
        <v>475</v>
      </c>
      <c r="B271" s="0" t="s">
        <v>74</v>
      </c>
      <c r="D271" s="15" t="n">
        <f aca="false">1</f>
        <v>1</v>
      </c>
      <c r="E271" s="15" t="n">
        <f aca="false">acr_27</f>
        <v>0.75</v>
      </c>
      <c r="F271" s="15" t="n">
        <f aca="false">acr_28</f>
        <v>0.65</v>
      </c>
      <c r="G271" s="15" t="n">
        <f aca="false">acr_29</f>
        <v>0.6</v>
      </c>
    </row>
    <row r="272" customFormat="false" ht="17.15" hidden="false" customHeight="false" outlineLevel="0" collapsed="false">
      <c r="A272" s="0" t="s">
        <v>476</v>
      </c>
      <c r="B272" s="0" t="s">
        <v>193</v>
      </c>
      <c r="C272" s="19" t="n">
        <f aca="false">a25_air</f>
        <v>30.999858</v>
      </c>
      <c r="D272" s="19" t="n">
        <f aca="false">D260*$D$270*D271</f>
        <v>47.2920735</v>
      </c>
      <c r="E272" s="19" t="n">
        <f aca="false">E260*$D$270*E271</f>
        <v>63.1282305747746</v>
      </c>
      <c r="F272" s="19" t="n">
        <f aca="false">F260*$D$270*F271</f>
        <v>69.3527491354095</v>
      </c>
      <c r="G272" s="19" t="n">
        <f aca="false">G260*$D$270*G271</f>
        <v>72.9265345869151</v>
      </c>
    </row>
    <row r="273" customFormat="false" ht="15" hidden="false" customHeight="false" outlineLevel="0" collapsed="false">
      <c r="A273" s="4" t="s">
        <v>477</v>
      </c>
      <c r="B273" s="0" t="s">
        <v>193</v>
      </c>
      <c r="C273" s="19" t="n">
        <f aca="false">a25_gen</f>
        <v>20.666572</v>
      </c>
      <c r="D273" s="19" t="n">
        <f aca="false">a26_gen</f>
        <v>31.528049</v>
      </c>
      <c r="E273" s="19" t="n">
        <f aca="false">D273*(1+g_gen_27)</f>
        <v>34.05029292</v>
      </c>
      <c r="F273" s="19" t="n">
        <f aca="false">E273*(1+g_gen_28)</f>
        <v>36.0933104952</v>
      </c>
      <c r="G273" s="19" t="n">
        <f aca="false">F273*(1+g_gen_29)</f>
        <v>37.89797601996</v>
      </c>
    </row>
    <row r="274" customFormat="false" ht="17.15" hidden="false" customHeight="false" outlineLevel="0" collapsed="false">
      <c r="A274" s="4" t="s">
        <v>478</v>
      </c>
      <c r="B274" s="0" t="s">
        <v>193</v>
      </c>
      <c r="C274" s="19" t="n">
        <f aca="false">a25_nai</f>
        <v>67.02672</v>
      </c>
      <c r="D274" s="19" t="n">
        <f aca="false">a26_nai</f>
        <v>74.3161155</v>
      </c>
      <c r="E274" s="19" t="n">
        <f aca="false">D274*(1+g_nai_27)</f>
        <v>78.77508243</v>
      </c>
      <c r="F274" s="19" t="n">
        <f aca="false">E274*(1+g_nai_28)</f>
        <v>82.7138365515</v>
      </c>
      <c r="G274" s="19" t="n">
        <f aca="false">F274*(1+g_nai_29)</f>
        <v>86.02239001356</v>
      </c>
    </row>
    <row r="275" customFormat="false" ht="17.15" hidden="false" customHeight="false" outlineLevel="0" collapsed="false">
      <c r="A275" s="4" t="s">
        <v>479</v>
      </c>
      <c r="B275" s="0" t="s">
        <v>193</v>
      </c>
      <c r="C275" s="19" t="n">
        <f aca="false">C268+C272+C273</f>
        <v>72.61228</v>
      </c>
      <c r="D275" s="19" t="n">
        <f aca="false">D268+D272+D273</f>
        <v>150.8842345</v>
      </c>
      <c r="E275" s="19" t="n">
        <f aca="false">E268+E272+E273</f>
        <v>245.555038570568</v>
      </c>
      <c r="F275" s="19" t="n">
        <f aca="false">F268+F272+F273</f>
        <v>319.913517944594</v>
      </c>
      <c r="G275" s="19" t="n">
        <f aca="false">G268+G272+G273</f>
        <v>341.563944638104</v>
      </c>
    </row>
    <row r="276" customFormat="false" ht="15" hidden="false" customHeight="false" outlineLevel="0" collapsed="false">
      <c r="A276" s="4" t="s">
        <v>357</v>
      </c>
      <c r="B276" s="0" t="s">
        <v>193</v>
      </c>
      <c r="C276" s="19" t="n">
        <f aca="false">C268+C272+C273+C274</f>
        <v>139.639</v>
      </c>
      <c r="D276" s="19" t="n">
        <f aca="false">D268+D272+D273+D274</f>
        <v>225.20035</v>
      </c>
      <c r="E276" s="19" t="n">
        <f aca="false">E268+E272+E273+E274</f>
        <v>324.330121000568</v>
      </c>
      <c r="F276" s="19" t="n">
        <f aca="false">F268+F272+F273+F274</f>
        <v>402.627354496094</v>
      </c>
      <c r="G276" s="19" t="n">
        <f aca="false">G268+G272+G273+G274</f>
        <v>427.586334651664</v>
      </c>
    </row>
    <row r="277" customFormat="false" ht="15" hidden="false" customHeight="false" outlineLevel="0" collapsed="false">
      <c r="A277" s="4" t="s">
        <v>480</v>
      </c>
      <c r="B277" s="0" t="s">
        <v>193</v>
      </c>
      <c r="C277" s="22" t="n">
        <f aca="false">ROUND(C275+C274-C276,6)</f>
        <v>0</v>
      </c>
      <c r="D277" s="22" t="n">
        <f aca="false">ROUND(D275+D274-D276,6)</f>
        <v>0</v>
      </c>
      <c r="E277" s="22" t="n">
        <f aca="false">ROUND(E275+E274-E276,6)</f>
        <v>0</v>
      </c>
      <c r="F277" s="22" t="n">
        <f aca="false">ROUND(F275+F274-F276,6)</f>
        <v>0</v>
      </c>
      <c r="G277" s="22" t="n">
        <f aca="false">ROUND(G275+G274-G276,6)</f>
        <v>0</v>
      </c>
    </row>
    <row r="278" customFormat="false" ht="15" hidden="false" customHeight="false" outlineLevel="0" collapsed="false">
      <c r="A278" s="4" t="s">
        <v>481</v>
      </c>
      <c r="B278" s="0" t="s">
        <v>53</v>
      </c>
      <c r="D278" s="14" t="n">
        <f aca="false">D276/C276-1</f>
        <v>0.612732474451979</v>
      </c>
      <c r="E278" s="14" t="n">
        <f aca="false">E276/D276-1</f>
        <v>0.44018479989293</v>
      </c>
      <c r="F278" s="14" t="n">
        <f aca="false">F276/E276-1</f>
        <v>0.241412155164549</v>
      </c>
      <c r="G278" s="14" t="n">
        <f aca="false">G276/F276-1</f>
        <v>0.0619902743240277</v>
      </c>
    </row>
    <row r="279" customFormat="false" ht="17.15" hidden="false" customHeight="false" outlineLevel="0" collapsed="false">
      <c r="A279" s="4" t="s">
        <v>482</v>
      </c>
      <c r="B279" s="0" t="s">
        <v>53</v>
      </c>
      <c r="C279" s="14" t="n">
        <f aca="false">C268/C276</f>
        <v>0.15</v>
      </c>
      <c r="D279" s="14" t="n">
        <f aca="false">D268/D276</f>
        <v>0.32</v>
      </c>
      <c r="E279" s="14" t="n">
        <f aca="false">E268/E276</f>
        <v>0.45748607812943</v>
      </c>
      <c r="F279" s="14" t="n">
        <f aca="false">F268/F276</f>
        <v>0.532669864377198</v>
      </c>
      <c r="G279" s="14" t="n">
        <f aca="false">G268/G276</f>
        <v>0.539632386098593</v>
      </c>
    </row>
    <row r="280" customFormat="false" ht="17.15" hidden="false" customHeight="false" outlineLevel="0" collapsed="false">
      <c r="A280" s="0" t="s">
        <v>483</v>
      </c>
      <c r="B280" s="0" t="s">
        <v>53</v>
      </c>
      <c r="C280" s="14" t="n">
        <f aca="false">(C268+C272)/C276</f>
        <v>0.372</v>
      </c>
      <c r="D280" s="14" t="n">
        <f aca="false">(D268+D272)/D276</f>
        <v>0.53</v>
      </c>
      <c r="E280" s="14" t="n">
        <f aca="false">(E268+E272)/E276</f>
        <v>0.652127976883767</v>
      </c>
      <c r="F280" s="14" t="n">
        <f aca="false">(F268+F272)/F276</f>
        <v>0.704920329629882</v>
      </c>
      <c r="G280" s="14" t="n">
        <f aca="false">(G268+G272)/G276</f>
        <v>0.710186327319201</v>
      </c>
    </row>
    <row r="281" customFormat="false" ht="17.15" hidden="false" customHeight="false" outlineLevel="0" collapsed="false">
      <c r="A281" s="4" t="s">
        <v>435</v>
      </c>
      <c r="B281" s="0" t="s">
        <v>423</v>
      </c>
      <c r="D281" s="18" t="n">
        <f aca="false">(D268+D272)/fx/D260*1000</f>
        <v>159.399762088039</v>
      </c>
      <c r="E281" s="18" t="n">
        <f aca="false">(E268+E272)/fx/E260*1000</f>
        <v>158.704359641867</v>
      </c>
      <c r="F281" s="18" t="n">
        <f aca="false">(F268+F272)/fx/F260*1000</f>
        <v>168.005725599952</v>
      </c>
      <c r="G281" s="18" t="n">
        <f aca="false">(G268+G272)/fx/G260*1000</f>
        <v>157.794874229135</v>
      </c>
    </row>
    <row r="282" customFormat="false" ht="17.15" hidden="false" customHeight="false" outlineLevel="0" collapsed="false">
      <c r="A282" s="6" t="s">
        <v>484</v>
      </c>
    </row>
    <row r="283" customFormat="false" ht="17.15" hidden="false" customHeight="false" outlineLevel="0" collapsed="false">
      <c r="A283" s="4" t="s">
        <v>485</v>
      </c>
      <c r="B283" s="0" t="s">
        <v>53</v>
      </c>
      <c r="D283" s="14" t="n">
        <f aca="false">a26_gp/D276-d_lc*D279</f>
        <v>0.302821503074929</v>
      </c>
      <c r="H283" s="8" t="s">
        <v>486</v>
      </c>
    </row>
    <row r="284" customFormat="false" ht="15" hidden="false" customHeight="false" outlineLevel="0" collapsed="false">
      <c r="A284" s="4" t="s">
        <v>361</v>
      </c>
      <c r="B284" s="0" t="s">
        <v>193</v>
      </c>
      <c r="C284" s="19" t="n">
        <f aca="false">a25_gp</f>
        <v>36.034</v>
      </c>
      <c r="D284" s="19" t="n">
        <f aca="false">a26_gp</f>
        <v>72.5193552</v>
      </c>
      <c r="E284" s="19" t="n">
        <f aca="false">$D$283*E276+d_lc*E268</f>
        <v>107.116725638413</v>
      </c>
      <c r="F284" s="19" t="n">
        <f aca="false">$D$283*F276+d_lc*F268</f>
        <v>134.792268166428</v>
      </c>
      <c r="G284" s="19" t="n">
        <f aca="false">$D$283*G276+d_lc*G268</f>
        <v>143.32670259539</v>
      </c>
    </row>
    <row r="285" customFormat="false" ht="15" hidden="false" customHeight="false" outlineLevel="0" collapsed="false">
      <c r="A285" s="4" t="s">
        <v>364</v>
      </c>
      <c r="B285" s="0" t="s">
        <v>53</v>
      </c>
      <c r="C285" s="14" t="n">
        <f aca="false">C284/C276</f>
        <v>0.258051117524474</v>
      </c>
      <c r="D285" s="14" t="n">
        <f aca="false">D284/D276</f>
        <v>0.322021503074929</v>
      </c>
      <c r="E285" s="14" t="n">
        <f aca="false">E284/E276</f>
        <v>0.330270667762695</v>
      </c>
      <c r="F285" s="14" t="n">
        <f aca="false">F284/F276</f>
        <v>0.334781694937561</v>
      </c>
      <c r="G285" s="14" t="n">
        <f aca="false">G284/G276</f>
        <v>0.335199446240844</v>
      </c>
    </row>
    <row r="286" customFormat="false" ht="15" hidden="false" customHeight="false" outlineLevel="0" collapsed="false">
      <c r="A286" s="4" t="s">
        <v>487</v>
      </c>
      <c r="B286" s="0" t="s">
        <v>193</v>
      </c>
      <c r="C286" s="19" t="n">
        <f aca="false">a25_opx</f>
        <v>8.4832253</v>
      </c>
      <c r="D286" s="19" t="n">
        <f aca="false">a26_opx</f>
        <v>11.7048599</v>
      </c>
      <c r="E286" s="19" t="n">
        <f aca="false">D286*(1+MAX(0,phi*E278))</f>
        <v>15.3114708889994</v>
      </c>
      <c r="F286" s="19" t="n">
        <f aca="false">E286*(1+MAX(0,phi*F278))</f>
        <v>17.8989335192362</v>
      </c>
      <c r="G286" s="19" t="n">
        <f aca="false">F286*(1+MAX(0,phi*G278))</f>
        <v>18.6756253785117</v>
      </c>
    </row>
    <row r="287" customFormat="false" ht="15" hidden="false" customHeight="false" outlineLevel="0" collapsed="false">
      <c r="A287" s="4" t="s">
        <v>366</v>
      </c>
      <c r="B287" s="0" t="s">
        <v>193</v>
      </c>
      <c r="C287" s="19" t="n">
        <f aca="false">C286</f>
        <v>8.4832253</v>
      </c>
      <c r="D287" s="19" t="n">
        <f aca="false">D286</f>
        <v>11.7048599</v>
      </c>
      <c r="E287" s="19" t="n">
        <f aca="false">E286+0*E276</f>
        <v>15.3114708889994</v>
      </c>
      <c r="F287" s="19" t="n">
        <f aca="false">F286+0*F276</f>
        <v>17.8989335192362</v>
      </c>
      <c r="G287" s="19" t="n">
        <f aca="false">G286+0*G276</f>
        <v>18.6756253785117</v>
      </c>
    </row>
    <row r="288" customFormat="false" ht="15" hidden="false" customHeight="false" outlineLevel="0" collapsed="false">
      <c r="A288" s="4" t="s">
        <v>368</v>
      </c>
      <c r="B288" s="0" t="s">
        <v>193</v>
      </c>
      <c r="C288" s="19" t="n">
        <f aca="false">C284-C287</f>
        <v>27.5507747</v>
      </c>
      <c r="D288" s="19" t="n">
        <f aca="false">D284-D287</f>
        <v>60.8144953</v>
      </c>
      <c r="E288" s="19" t="n">
        <f aca="false">E284-E287</f>
        <v>91.8052547494136</v>
      </c>
      <c r="F288" s="19" t="n">
        <f aca="false">F284-F287</f>
        <v>116.893334647192</v>
      </c>
      <c r="G288" s="19" t="n">
        <f aca="false">G284-G287</f>
        <v>124.651077216878</v>
      </c>
    </row>
    <row r="289" customFormat="false" ht="15" hidden="false" customHeight="false" outlineLevel="0" collapsed="false">
      <c r="A289" s="4" t="s">
        <v>371</v>
      </c>
      <c r="B289" s="0" t="s">
        <v>53</v>
      </c>
      <c r="C289" s="14" t="n">
        <f aca="false">C288/C276</f>
        <v>0.1973</v>
      </c>
      <c r="D289" s="14" t="n">
        <f aca="false">D288/D276</f>
        <v>0.27004618465291</v>
      </c>
      <c r="E289" s="14" t="n">
        <f aca="false">E288/E276</f>
        <v>0.283061142968133</v>
      </c>
      <c r="F289" s="14" t="n">
        <f aca="false">F288/F276</f>
        <v>0.290326360943581</v>
      </c>
      <c r="G289" s="14" t="n">
        <f aca="false">G288/G276</f>
        <v>0.291522593486123</v>
      </c>
    </row>
    <row r="290" customFormat="false" ht="15" hidden="false" customHeight="false" outlineLevel="0" collapsed="false">
      <c r="A290" s="4" t="s">
        <v>373</v>
      </c>
      <c r="B290" s="0" t="s">
        <v>193</v>
      </c>
      <c r="C290" s="19" t="n">
        <f aca="false">a25_nop</f>
        <v>1.23179436863779</v>
      </c>
      <c r="D290" s="19" t="n">
        <f aca="false">a26_nop</f>
        <v>0.8186111</v>
      </c>
      <c r="E290" s="19" t="n">
        <f aca="false">nop_f</f>
        <v>1</v>
      </c>
      <c r="F290" s="19" t="n">
        <f aca="false">nop_f</f>
        <v>1</v>
      </c>
      <c r="G290" s="19" t="n">
        <f aca="false">nop_f</f>
        <v>1</v>
      </c>
    </row>
    <row r="291" customFormat="false" ht="17.15" hidden="false" customHeight="false" outlineLevel="0" collapsed="false">
      <c r="A291" s="4" t="s">
        <v>236</v>
      </c>
      <c r="B291" s="0" t="s">
        <v>53</v>
      </c>
      <c r="C291" s="14" t="n">
        <f aca="false">a25_ni/(a25_oi+a25_nop)</f>
        <v>0.666583999303438</v>
      </c>
      <c r="D291" s="14" t="n">
        <f aca="false">a26_ni/(a26_oi+a26_nop)</f>
        <v>0.674837141220258</v>
      </c>
      <c r="E291" s="14" t="n">
        <f aca="false">nir_f</f>
        <v>0.675</v>
      </c>
      <c r="F291" s="14" t="n">
        <f aca="false">nir_f</f>
        <v>0.675</v>
      </c>
      <c r="G291" s="14" t="n">
        <f aca="false">nir_f</f>
        <v>0.675</v>
      </c>
    </row>
    <row r="292" customFormat="false" ht="15" hidden="false" customHeight="false" outlineLevel="0" collapsed="false">
      <c r="A292" s="4" t="s">
        <v>377</v>
      </c>
      <c r="B292" s="0" t="s">
        <v>193</v>
      </c>
      <c r="C292" s="19" t="n">
        <f aca="false">a25_ni</f>
        <v>19.186</v>
      </c>
      <c r="D292" s="19" t="n">
        <f aca="false">a26_ni</f>
        <v>41.5923093275</v>
      </c>
      <c r="E292" s="19" t="n">
        <f aca="false">(E288+E290)*E291</f>
        <v>62.6435469558542</v>
      </c>
      <c r="F292" s="19" t="n">
        <f aca="false">(F288+F290)*F291</f>
        <v>79.5780008868547</v>
      </c>
      <c r="G292" s="19" t="n">
        <f aca="false">(G288+G290)*G291</f>
        <v>84.8144771213929</v>
      </c>
    </row>
    <row r="293" customFormat="false" ht="15" hidden="false" customHeight="false" outlineLevel="0" collapsed="false">
      <c r="A293" s="4" t="s">
        <v>488</v>
      </c>
      <c r="B293" s="4" t="s">
        <v>219</v>
      </c>
      <c r="C293" s="22" t="n">
        <f aca="false">a25_sh</f>
        <v>0.390197274761033</v>
      </c>
      <c r="D293" s="22" t="n">
        <f aca="false">a26_sh</f>
        <v>0.392523574315222</v>
      </c>
      <c r="E293" s="22" t="n">
        <f aca="false">D293*(1+sh_g)</f>
        <v>0.392523574315222</v>
      </c>
      <c r="F293" s="22" t="n">
        <f aca="false">E293*(1+sh_g)</f>
        <v>0.392523574315222</v>
      </c>
      <c r="G293" s="22" t="n">
        <f aca="false">F293*(1+sh_g)</f>
        <v>0.392523574315222</v>
      </c>
    </row>
    <row r="294" customFormat="false" ht="15" hidden="false" customHeight="false" outlineLevel="0" collapsed="false">
      <c r="A294" s="0" t="s">
        <v>382</v>
      </c>
      <c r="B294" s="0" t="s">
        <v>256</v>
      </c>
      <c r="C294" s="20" t="n">
        <f aca="false">C292/C293</f>
        <v>49.17</v>
      </c>
      <c r="D294" s="20" t="n">
        <f aca="false">D292/D293</f>
        <v>105.961302834002</v>
      </c>
      <c r="E294" s="20" t="n">
        <f aca="false">E292/E293</f>
        <v>159.591808122962</v>
      </c>
      <c r="F294" s="20" t="n">
        <f aca="false">F292/F293</f>
        <v>202.734322456129</v>
      </c>
      <c r="G294" s="20" t="n">
        <f aca="false">G292/G293</f>
        <v>216.074861922258</v>
      </c>
    </row>
    <row r="295" customFormat="false" ht="17.15" hidden="false" customHeight="false" outlineLevel="0" collapsed="false">
      <c r="A295" s="0" t="s">
        <v>489</v>
      </c>
      <c r="B295" s="0" t="s">
        <v>53</v>
      </c>
      <c r="D295" s="14" t="n">
        <f aca="false">D294/C294-1</f>
        <v>1.15499904075659</v>
      </c>
      <c r="E295" s="14" t="n">
        <f aca="false">E294/D294-1</f>
        <v>0.506132935841472</v>
      </c>
      <c r="F295" s="14" t="n">
        <f aca="false">F294/E294-1</f>
        <v>0.270330381243169</v>
      </c>
      <c r="G295" s="14" t="n">
        <f aca="false">G294/F294-1</f>
        <v>0.0658030633614883</v>
      </c>
    </row>
    <row r="298" customFormat="false" ht="17.15" hidden="false" customHeight="false" outlineLevel="0" collapsed="false">
      <c r="A298" s="1" t="s">
        <v>806</v>
      </c>
    </row>
    <row r="299" customFormat="false" ht="17.15" hidden="false" customHeight="false" outlineLevel="0" collapsed="false">
      <c r="A299" s="5" t="s">
        <v>22</v>
      </c>
      <c r="B299" s="5" t="s">
        <v>23</v>
      </c>
      <c r="C299" s="11" t="s">
        <v>351</v>
      </c>
      <c r="D299" s="11" t="s">
        <v>440</v>
      </c>
      <c r="E299" s="11" t="s">
        <v>441</v>
      </c>
      <c r="F299" s="11" t="s">
        <v>442</v>
      </c>
      <c r="G299" s="11" t="s">
        <v>443</v>
      </c>
      <c r="H299" s="5" t="s">
        <v>416</v>
      </c>
    </row>
    <row r="300" customFormat="false" ht="17.15" hidden="false" customHeight="false" outlineLevel="0" collapsed="false">
      <c r="A300" s="6" t="s">
        <v>459</v>
      </c>
    </row>
    <row r="301" customFormat="false" ht="17.15" hidden="false" customHeight="false" outlineLevel="0" collapsed="false">
      <c r="A301" s="0" t="s">
        <v>460</v>
      </c>
      <c r="B301" s="0" t="s">
        <v>33</v>
      </c>
      <c r="D301" s="20" t="n">
        <f aca="false">itc_26*1</f>
        <v>781.872916666666</v>
      </c>
      <c r="E301" s="20" t="n">
        <f aca="false">itc_27*1*1</f>
        <v>1565.35</v>
      </c>
      <c r="F301" s="20" t="n">
        <f aca="false">itc_28*um28_A*1</f>
        <v>1984.26388888889</v>
      </c>
      <c r="G301" s="20" t="n">
        <f aca="false">itc_29*um29_A*1</f>
        <v>2260.39027777778</v>
      </c>
    </row>
    <row r="302" customFormat="false" ht="17.15" hidden="false" customHeight="false" outlineLevel="0" collapsed="false">
      <c r="A302" s="4" t="s">
        <v>461</v>
      </c>
      <c r="B302" s="0" t="s">
        <v>33</v>
      </c>
      <c r="D302" s="20" t="n">
        <f aca="false">itpg_gb*(1-vr26)+itpg_vr*vr26</f>
        <v>33.41403216</v>
      </c>
      <c r="E302" s="20" t="n">
        <f aca="false">itpg_vr</f>
        <v>37.586352</v>
      </c>
      <c r="F302" s="20" t="n">
        <f aca="false">itpg_vr</f>
        <v>37.586352</v>
      </c>
      <c r="G302" s="20" t="n">
        <f aca="false">itpg_vr</f>
        <v>37.586352</v>
      </c>
    </row>
    <row r="303" customFormat="false" ht="17.15" hidden="false" customHeight="false" outlineLevel="0" collapsed="false">
      <c r="A303" s="4" t="s">
        <v>462</v>
      </c>
      <c r="B303" s="0" t="s">
        <v>418</v>
      </c>
      <c r="D303" s="17" t="n">
        <f aca="false">D301/D302</f>
        <v>23.3995380420639</v>
      </c>
      <c r="E303" s="17" t="n">
        <f aca="false">E301/E302</f>
        <v>41.6467658260637</v>
      </c>
      <c r="F303" s="17" t="n">
        <f aca="false">F301/F302</f>
        <v>52.792138191248</v>
      </c>
      <c r="G303" s="17" t="n">
        <f aca="false">G301/G302</f>
        <v>60.1385917361116</v>
      </c>
    </row>
    <row r="304" customFormat="false" ht="17.15" hidden="false" customHeight="false" outlineLevel="0" collapsed="false">
      <c r="A304" s="4" t="s">
        <v>463</v>
      </c>
      <c r="B304" s="0" t="s">
        <v>53</v>
      </c>
      <c r="D304" s="14" t="n">
        <f aca="false">lpenA_26</f>
        <v>0.55</v>
      </c>
      <c r="E304" s="14" t="n">
        <f aca="false">lpenA_27</f>
        <v>0.85</v>
      </c>
      <c r="F304" s="14" t="n">
        <f aca="false">lpenA_28</f>
        <v>0.95</v>
      </c>
      <c r="G304" s="14" t="n">
        <f aca="false">lpenA_29</f>
        <v>0.95</v>
      </c>
    </row>
    <row r="305" customFormat="false" ht="17.15" hidden="false" customHeight="false" outlineLevel="0" collapsed="false">
      <c r="A305" s="4" t="s">
        <v>464</v>
      </c>
      <c r="B305" s="0" t="s">
        <v>423</v>
      </c>
      <c r="D305" s="18" t="n">
        <f aca="false">((1-vr26)*racks_gb*(cool_gb+mani)+vr26*racks_vr*(cool_vr+mani))/1000</f>
        <v>350.7208</v>
      </c>
      <c r="E305" s="18" t="n">
        <f aca="false">racks_vr*(cool_vr+mani)*lcadj_27/1000</f>
        <v>326.5912</v>
      </c>
      <c r="F305" s="18" t="n">
        <f aca="false">racks_vr*(cool_vr+mani)*lcadj_28/1000</f>
        <v>351.7136</v>
      </c>
      <c r="G305" s="18" t="n">
        <f aca="false">racks_vr*(cool_vr+mani)*lcadj_29/1000</f>
        <v>351.7136</v>
      </c>
      <c r="H305" s="4" t="s">
        <v>465</v>
      </c>
    </row>
    <row r="306" customFormat="false" ht="17.15" hidden="false" customHeight="false" outlineLevel="0" collapsed="false">
      <c r="A306" s="0" t="s">
        <v>466</v>
      </c>
      <c r="B306" s="0" t="s">
        <v>33</v>
      </c>
      <c r="D306" s="20" t="n">
        <f aca="false">D303*D304*D305/1000</f>
        <v>4.51368758595869</v>
      </c>
      <c r="E306" s="20" t="n">
        <f aca="false">E303*E304*E305/1000</f>
        <v>11.5612471431652</v>
      </c>
      <c r="F306" s="20" t="n">
        <f aca="false">F303*F304*F305/1000</f>
        <v>17.6393273261943</v>
      </c>
      <c r="G306" s="20" t="n">
        <f aca="false">G303*G304*G305/1000</f>
        <v>20.0939825685161</v>
      </c>
    </row>
    <row r="307" customFormat="false" ht="17.15" hidden="false" customHeight="false" outlineLevel="0" collapsed="false">
      <c r="A307" s="0" t="s">
        <v>467</v>
      </c>
      <c r="B307" s="0" t="s">
        <v>193</v>
      </c>
      <c r="D307" s="19" t="n">
        <f aca="false">D306*fx</f>
        <v>144.438002750678</v>
      </c>
      <c r="E307" s="19" t="n">
        <f aca="false">E306*fx</f>
        <v>369.959908581285</v>
      </c>
      <c r="F307" s="19" t="n">
        <f aca="false">F306*fx</f>
        <v>564.458474438216</v>
      </c>
      <c r="G307" s="19" t="n">
        <f aca="false">G306*fx</f>
        <v>643.007442192516</v>
      </c>
    </row>
    <row r="308" customFormat="false" ht="17.15" hidden="false" customHeight="false" outlineLevel="0" collapsed="false">
      <c r="A308" s="4" t="s">
        <v>468</v>
      </c>
      <c r="B308" s="0" t="s">
        <v>53</v>
      </c>
      <c r="D308" s="14" t="n">
        <f aca="false">a26_lc/D307</f>
        <v>0.498927641116677</v>
      </c>
      <c r="H308" s="8" t="s">
        <v>469</v>
      </c>
    </row>
    <row r="309" customFormat="false" ht="17.15" hidden="false" customHeight="false" outlineLevel="0" collapsed="false">
      <c r="A309" s="4" t="s">
        <v>470</v>
      </c>
      <c r="B309" s="0" t="s">
        <v>74</v>
      </c>
      <c r="D309" s="15" t="n">
        <f aca="false">1</f>
        <v>1</v>
      </c>
      <c r="E309" s="15" t="n">
        <f aca="false">rel_27</f>
        <v>0.95</v>
      </c>
      <c r="F309" s="15" t="n">
        <f aca="false">rel_28</f>
        <v>0.9</v>
      </c>
      <c r="G309" s="15" t="n">
        <f aca="false">rel_29</f>
        <v>0.85</v>
      </c>
    </row>
    <row r="310" customFormat="false" ht="15" hidden="false" customHeight="false" outlineLevel="0" collapsed="false">
      <c r="A310" s="4" t="s">
        <v>430</v>
      </c>
      <c r="B310" s="0" t="s">
        <v>53</v>
      </c>
      <c r="D310" s="14" t="n">
        <f aca="false">$D$308*D309</f>
        <v>0.498927641116677</v>
      </c>
      <c r="E310" s="14" t="n">
        <f aca="false">$D$308*E309</f>
        <v>0.473981259060843</v>
      </c>
      <c r="F310" s="14" t="n">
        <f aca="false">$D$308*F309</f>
        <v>0.449034877005009</v>
      </c>
      <c r="G310" s="14" t="n">
        <f aca="false">$D$308*G309</f>
        <v>0.424088494949176</v>
      </c>
    </row>
    <row r="311" customFormat="false" ht="15" hidden="false" customHeight="false" outlineLevel="0" collapsed="false">
      <c r="A311" s="4" t="s">
        <v>471</v>
      </c>
      <c r="B311" s="0" t="s">
        <v>193</v>
      </c>
      <c r="C311" s="19" t="n">
        <f aca="false">a25_lc</f>
        <v>20.94585</v>
      </c>
      <c r="D311" s="19" t="n">
        <f aca="false">D307*D310</f>
        <v>72.064112</v>
      </c>
      <c r="E311" s="19" t="n">
        <f aca="false">E307*E310</f>
        <v>175.354063271392</v>
      </c>
      <c r="F311" s="19" t="n">
        <f aca="false">F307*F310</f>
        <v>253.4615416438</v>
      </c>
      <c r="G311" s="19" t="n">
        <f aca="false">G307*G310</f>
        <v>272.692058400543</v>
      </c>
    </row>
    <row r="312" customFormat="false" ht="17.15" hidden="false" customHeight="false" outlineLevel="0" collapsed="false">
      <c r="A312" s="6" t="s">
        <v>472</v>
      </c>
    </row>
    <row r="313" customFormat="false" ht="17.15" hidden="false" customHeight="false" outlineLevel="0" collapsed="false">
      <c r="A313" s="0" t="s">
        <v>473</v>
      </c>
      <c r="B313" s="0" t="s">
        <v>474</v>
      </c>
      <c r="D313" s="22" t="n">
        <f aca="false">a26_air/D303</f>
        <v>2.0210686815691</v>
      </c>
    </row>
    <row r="314" customFormat="false" ht="17.15" hidden="false" customHeight="false" outlineLevel="0" collapsed="false">
      <c r="A314" s="0" t="s">
        <v>475</v>
      </c>
      <c r="B314" s="0" t="s">
        <v>74</v>
      </c>
      <c r="D314" s="15" t="n">
        <f aca="false">1</f>
        <v>1</v>
      </c>
      <c r="E314" s="15" t="n">
        <f aca="false">ACLO_27</f>
        <v>0.6</v>
      </c>
      <c r="F314" s="15" t="n">
        <f aca="false">ACLO_28</f>
        <v>0.45</v>
      </c>
      <c r="G314" s="15" t="n">
        <f aca="false">ACLO_29</f>
        <v>0.4</v>
      </c>
    </row>
    <row r="315" customFormat="false" ht="17.15" hidden="false" customHeight="false" outlineLevel="0" collapsed="false">
      <c r="A315" s="0" t="s">
        <v>476</v>
      </c>
      <c r="B315" s="0" t="s">
        <v>193</v>
      </c>
      <c r="C315" s="19" t="n">
        <f aca="false">a25_air</f>
        <v>30.999858</v>
      </c>
      <c r="D315" s="19" t="n">
        <f aca="false">D303*$D$313*D314</f>
        <v>47.2920735</v>
      </c>
      <c r="E315" s="19" t="n">
        <f aca="false">E303*$D$313*E314</f>
        <v>50.5025844598197</v>
      </c>
      <c r="F315" s="19" t="n">
        <f aca="false">F303*$D$313*F314</f>
        <v>48.0134417091296</v>
      </c>
      <c r="G315" s="19" t="n">
        <f aca="false">G303*$D$313*G314</f>
        <v>48.6176897246101</v>
      </c>
    </row>
    <row r="316" customFormat="false" ht="15" hidden="false" customHeight="false" outlineLevel="0" collapsed="false">
      <c r="A316" s="4" t="s">
        <v>477</v>
      </c>
      <c r="B316" s="0" t="s">
        <v>193</v>
      </c>
      <c r="C316" s="19" t="n">
        <f aca="false">a25_gen</f>
        <v>20.666572</v>
      </c>
      <c r="D316" s="19" t="n">
        <f aca="false">a26_gen</f>
        <v>31.528049</v>
      </c>
      <c r="E316" s="19" t="n">
        <f aca="false">D316*(1+g_gen_27)</f>
        <v>34.05029292</v>
      </c>
      <c r="F316" s="19" t="n">
        <f aca="false">E316*(1+g_gen_28)</f>
        <v>36.0933104952</v>
      </c>
      <c r="G316" s="19" t="n">
        <f aca="false">F316*(1+g_gen_29)</f>
        <v>37.89797601996</v>
      </c>
    </row>
    <row r="317" customFormat="false" ht="17.15" hidden="false" customHeight="false" outlineLevel="0" collapsed="false">
      <c r="A317" s="4" t="s">
        <v>478</v>
      </c>
      <c r="B317" s="0" t="s">
        <v>193</v>
      </c>
      <c r="C317" s="19" t="n">
        <f aca="false">a25_nai</f>
        <v>67.02672</v>
      </c>
      <c r="D317" s="19" t="n">
        <f aca="false">a26_nai</f>
        <v>74.3161155</v>
      </c>
      <c r="E317" s="19" t="n">
        <f aca="false">D317*(1+g_nai_27)</f>
        <v>78.77508243</v>
      </c>
      <c r="F317" s="19" t="n">
        <f aca="false">E317*(1+g_nai_28)</f>
        <v>82.7138365515</v>
      </c>
      <c r="G317" s="19" t="n">
        <f aca="false">F317*(1+g_nai_29)</f>
        <v>86.02239001356</v>
      </c>
    </row>
    <row r="318" customFormat="false" ht="17.15" hidden="false" customHeight="false" outlineLevel="0" collapsed="false">
      <c r="A318" s="4" t="s">
        <v>479</v>
      </c>
      <c r="B318" s="0" t="s">
        <v>193</v>
      </c>
      <c r="C318" s="19" t="n">
        <f aca="false">C311+C315+C316</f>
        <v>72.61228</v>
      </c>
      <c r="D318" s="19" t="n">
        <f aca="false">D311+D315+D316</f>
        <v>150.8842345</v>
      </c>
      <c r="E318" s="19" t="n">
        <f aca="false">E311+E315+E316</f>
        <v>259.906940651212</v>
      </c>
      <c r="F318" s="19" t="n">
        <f aca="false">F311+F315+F316</f>
        <v>337.568293848129</v>
      </c>
      <c r="G318" s="19" t="n">
        <f aca="false">G311+G315+G316</f>
        <v>359.207724145113</v>
      </c>
    </row>
    <row r="319" customFormat="false" ht="15" hidden="false" customHeight="false" outlineLevel="0" collapsed="false">
      <c r="A319" s="4" t="s">
        <v>357</v>
      </c>
      <c r="B319" s="0" t="s">
        <v>193</v>
      </c>
      <c r="C319" s="19" t="n">
        <f aca="false">C311+C315+C316+C317</f>
        <v>139.639</v>
      </c>
      <c r="D319" s="19" t="n">
        <f aca="false">D311+D315+D316+D317</f>
        <v>225.20035</v>
      </c>
      <c r="E319" s="19" t="n">
        <f aca="false">E311+E315+E316+E317</f>
        <v>338.682023081212</v>
      </c>
      <c r="F319" s="19" t="n">
        <f aca="false">F311+F315+F316+F317</f>
        <v>420.282130399629</v>
      </c>
      <c r="G319" s="19" t="n">
        <f aca="false">G311+G315+G316+G317</f>
        <v>445.230114158673</v>
      </c>
    </row>
    <row r="320" customFormat="false" ht="15" hidden="false" customHeight="false" outlineLevel="0" collapsed="false">
      <c r="A320" s="4" t="s">
        <v>480</v>
      </c>
      <c r="B320" s="0" t="s">
        <v>193</v>
      </c>
      <c r="C320" s="22" t="n">
        <f aca="false">ROUND(C318+C317-C319,6)</f>
        <v>0</v>
      </c>
      <c r="D320" s="22" t="n">
        <f aca="false">ROUND(D318+D317-D319,6)</f>
        <v>0</v>
      </c>
      <c r="E320" s="22" t="n">
        <f aca="false">ROUND(E318+E317-E319,6)</f>
        <v>0</v>
      </c>
      <c r="F320" s="22" t="n">
        <f aca="false">ROUND(F318+F317-F319,6)</f>
        <v>0</v>
      </c>
      <c r="G320" s="22" t="n">
        <f aca="false">ROUND(G318+G317-G319,6)</f>
        <v>0</v>
      </c>
    </row>
    <row r="321" customFormat="false" ht="15" hidden="false" customHeight="false" outlineLevel="0" collapsed="false">
      <c r="A321" s="4" t="s">
        <v>481</v>
      </c>
      <c r="B321" s="0" t="s">
        <v>53</v>
      </c>
      <c r="D321" s="14" t="n">
        <f aca="false">D319/C319-1</f>
        <v>0.612732474451979</v>
      </c>
      <c r="E321" s="14" t="n">
        <f aca="false">E319/D319-1</f>
        <v>0.503914283797568</v>
      </c>
      <c r="F321" s="14" t="n">
        <f aca="false">F319/E319-1</f>
        <v>0.240934273912882</v>
      </c>
      <c r="G321" s="14" t="n">
        <f aca="false">G319/F319-1</f>
        <v>0.0593600868429076</v>
      </c>
    </row>
    <row r="322" customFormat="false" ht="17.15" hidden="false" customHeight="false" outlineLevel="0" collapsed="false">
      <c r="A322" s="4" t="s">
        <v>482</v>
      </c>
      <c r="B322" s="0" t="s">
        <v>53</v>
      </c>
      <c r="C322" s="14" t="n">
        <f aca="false">C311/C319</f>
        <v>0.15</v>
      </c>
      <c r="D322" s="14" t="n">
        <f aca="false">D311/D319</f>
        <v>0.32</v>
      </c>
      <c r="E322" s="14" t="n">
        <f aca="false">E311/E319</f>
        <v>0.517754268963205</v>
      </c>
      <c r="F322" s="14" t="n">
        <f aca="false">F311/F319</f>
        <v>0.603074752197514</v>
      </c>
      <c r="G322" s="14" t="n">
        <f aca="false">G311/G319</f>
        <v>0.612474425535735</v>
      </c>
    </row>
    <row r="323" customFormat="false" ht="17.15" hidden="false" customHeight="false" outlineLevel="0" collapsed="false">
      <c r="A323" s="0" t="s">
        <v>483</v>
      </c>
      <c r="B323" s="0" t="s">
        <v>53</v>
      </c>
      <c r="C323" s="14" t="n">
        <f aca="false">(C311+C315)/C319</f>
        <v>0.372</v>
      </c>
      <c r="D323" s="14" t="n">
        <f aca="false">(D311+D315)/D319</f>
        <v>0.53</v>
      </c>
      <c r="E323" s="14" t="n">
        <f aca="false">(E311+E315)/E319</f>
        <v>0.666869312036246</v>
      </c>
      <c r="F323" s="14" t="n">
        <f aca="false">(F311+F315)/F319</f>
        <v>0.71731573042677</v>
      </c>
      <c r="G323" s="14" t="n">
        <f aca="false">(G311+G315)/G319</f>
        <v>0.72167119407975</v>
      </c>
    </row>
    <row r="324" customFormat="false" ht="17.15" hidden="false" customHeight="false" outlineLevel="0" collapsed="false">
      <c r="A324" s="4" t="s">
        <v>435</v>
      </c>
      <c r="B324" s="0" t="s">
        <v>423</v>
      </c>
      <c r="D324" s="18" t="n">
        <f aca="false">(D311+D315)/fx/D303*1000</f>
        <v>159.399762088039</v>
      </c>
      <c r="E324" s="18" t="n">
        <f aca="false">(E311+E315)/fx/E303*1000</f>
        <v>169.473429727483</v>
      </c>
      <c r="F324" s="18" t="n">
        <f aca="false">(F311+F315)/fx/F303*1000</f>
        <v>178.456367795705</v>
      </c>
      <c r="G324" s="18" t="n">
        <f aca="false">(G311+G315)/fx/G303*1000</f>
        <v>166.963165232912</v>
      </c>
    </row>
    <row r="325" customFormat="false" ht="17.15" hidden="false" customHeight="false" outlineLevel="0" collapsed="false">
      <c r="A325" s="6" t="s">
        <v>484</v>
      </c>
    </row>
    <row r="326" customFormat="false" ht="17.15" hidden="false" customHeight="false" outlineLevel="0" collapsed="false">
      <c r="A326" s="4" t="s">
        <v>485</v>
      </c>
      <c r="B326" s="0" t="s">
        <v>53</v>
      </c>
      <c r="D326" s="14" t="n">
        <f aca="false">a26_gp/D319-d_lc*D322</f>
        <v>0.302821503074929</v>
      </c>
      <c r="H326" s="8" t="s">
        <v>486</v>
      </c>
    </row>
    <row r="327" customFormat="false" ht="15" hidden="false" customHeight="false" outlineLevel="0" collapsed="false">
      <c r="A327" s="4" t="s">
        <v>361</v>
      </c>
      <c r="B327" s="0" t="s">
        <v>193</v>
      </c>
      <c r="C327" s="19" t="n">
        <f aca="false">a25_gp</f>
        <v>36.034</v>
      </c>
      <c r="D327" s="19" t="n">
        <f aca="false">a26_gp</f>
        <v>72.5193552</v>
      </c>
      <c r="E327" s="19" t="n">
        <f aca="false">$D$326*E319+d_lc*E311</f>
        <v>113.081443090194</v>
      </c>
      <c r="F327" s="19" t="n">
        <f aca="false">$D$326*F319+d_lc*F311</f>
        <v>142.478158941777</v>
      </c>
      <c r="G327" s="19" t="n">
        <f aca="false">$D$326*G319+d_lc*G311</f>
        <v>151.186775887784</v>
      </c>
    </row>
    <row r="328" customFormat="false" ht="15" hidden="false" customHeight="false" outlineLevel="0" collapsed="false">
      <c r="A328" s="4" t="s">
        <v>364</v>
      </c>
      <c r="B328" s="0" t="s">
        <v>53</v>
      </c>
      <c r="C328" s="14" t="n">
        <f aca="false">C327/C319</f>
        <v>0.258051117524474</v>
      </c>
      <c r="D328" s="14" t="n">
        <f aca="false">D327/D319</f>
        <v>0.322021503074929</v>
      </c>
      <c r="E328" s="14" t="n">
        <f aca="false">E327/E319</f>
        <v>0.333886759212721</v>
      </c>
      <c r="F328" s="14" t="n">
        <f aca="false">F327/F319</f>
        <v>0.33900598820678</v>
      </c>
      <c r="G328" s="14" t="n">
        <f aca="false">G327/G319</f>
        <v>0.339569968607073</v>
      </c>
    </row>
    <row r="329" customFormat="false" ht="15" hidden="false" customHeight="false" outlineLevel="0" collapsed="false">
      <c r="A329" s="4" t="s">
        <v>487</v>
      </c>
      <c r="B329" s="0" t="s">
        <v>193</v>
      </c>
      <c r="C329" s="19" t="n">
        <f aca="false">a25_opx</f>
        <v>8.4832253</v>
      </c>
      <c r="D329" s="19" t="n">
        <f aca="false">a26_opx</f>
        <v>11.7048599</v>
      </c>
      <c r="E329" s="19" t="n">
        <f aca="false">D329*(1+MAX(0,phi*E321))</f>
        <v>15.8336321654216</v>
      </c>
      <c r="F329" s="19" t="n">
        <f aca="false">E329*(1+MAX(0,phi*F321))</f>
        <v>18.5040374338472</v>
      </c>
      <c r="G329" s="19" t="n">
        <f aca="false">F329*(1+MAX(0,phi*G321))</f>
        <v>19.2729183221595</v>
      </c>
    </row>
    <row r="330" customFormat="false" ht="15" hidden="false" customHeight="false" outlineLevel="0" collapsed="false">
      <c r="A330" s="4" t="s">
        <v>366</v>
      </c>
      <c r="B330" s="0" t="s">
        <v>193</v>
      </c>
      <c r="C330" s="19" t="n">
        <f aca="false">C329</f>
        <v>8.4832253</v>
      </c>
      <c r="D330" s="19" t="n">
        <f aca="false">D329</f>
        <v>11.7048599</v>
      </c>
      <c r="E330" s="19" t="n">
        <f aca="false">E329+0*E319</f>
        <v>15.8336321654216</v>
      </c>
      <c r="F330" s="19" t="n">
        <f aca="false">F329+0*F319</f>
        <v>18.5040374338472</v>
      </c>
      <c r="G330" s="19" t="n">
        <f aca="false">G329+0*G319</f>
        <v>19.2729183221595</v>
      </c>
    </row>
    <row r="331" customFormat="false" ht="15" hidden="false" customHeight="false" outlineLevel="0" collapsed="false">
      <c r="A331" s="4" t="s">
        <v>368</v>
      </c>
      <c r="B331" s="0" t="s">
        <v>193</v>
      </c>
      <c r="C331" s="19" t="n">
        <f aca="false">C327-C330</f>
        <v>27.5507747</v>
      </c>
      <c r="D331" s="19" t="n">
        <f aca="false">D327-D330</f>
        <v>60.8144953</v>
      </c>
      <c r="E331" s="19" t="n">
        <f aca="false">E327-E330</f>
        <v>97.2478109247721</v>
      </c>
      <c r="F331" s="19" t="n">
        <f aca="false">F327-F330</f>
        <v>123.97412150793</v>
      </c>
      <c r="G331" s="19" t="n">
        <f aca="false">G327-G330</f>
        <v>131.913857565625</v>
      </c>
    </row>
    <row r="332" customFormat="false" ht="15" hidden="false" customHeight="false" outlineLevel="0" collapsed="false">
      <c r="A332" s="4" t="s">
        <v>371</v>
      </c>
      <c r="B332" s="0" t="s">
        <v>53</v>
      </c>
      <c r="C332" s="14" t="n">
        <f aca="false">C331/C319</f>
        <v>0.1973</v>
      </c>
      <c r="D332" s="14" t="n">
        <f aca="false">D331/D319</f>
        <v>0.27004618465291</v>
      </c>
      <c r="E332" s="14" t="n">
        <f aca="false">E331/E319</f>
        <v>0.287136028183738</v>
      </c>
      <c r="F332" s="14" t="n">
        <f aca="false">F331/F319</f>
        <v>0.294978331317698</v>
      </c>
      <c r="G332" s="14" t="n">
        <f aca="false">G331/G319</f>
        <v>0.2962824242356</v>
      </c>
    </row>
    <row r="333" customFormat="false" ht="15" hidden="false" customHeight="false" outlineLevel="0" collapsed="false">
      <c r="A333" s="4" t="s">
        <v>373</v>
      </c>
      <c r="B333" s="0" t="s">
        <v>193</v>
      </c>
      <c r="C333" s="19" t="n">
        <f aca="false">a25_nop</f>
        <v>1.23179436863779</v>
      </c>
      <c r="D333" s="19" t="n">
        <f aca="false">a26_nop</f>
        <v>0.8186111</v>
      </c>
      <c r="E333" s="19" t="n">
        <f aca="false">nop_f</f>
        <v>1</v>
      </c>
      <c r="F333" s="19" t="n">
        <f aca="false">nop_f</f>
        <v>1</v>
      </c>
      <c r="G333" s="19" t="n">
        <f aca="false">nop_f</f>
        <v>1</v>
      </c>
    </row>
    <row r="334" customFormat="false" ht="17.15" hidden="false" customHeight="false" outlineLevel="0" collapsed="false">
      <c r="A334" s="4" t="s">
        <v>236</v>
      </c>
      <c r="B334" s="0" t="s">
        <v>53</v>
      </c>
      <c r="C334" s="14" t="n">
        <f aca="false">a25_ni/(a25_oi+a25_nop)</f>
        <v>0.666583999303438</v>
      </c>
      <c r="D334" s="14" t="n">
        <f aca="false">a26_ni/(a26_oi+a26_nop)</f>
        <v>0.674837141220258</v>
      </c>
      <c r="E334" s="14" t="n">
        <f aca="false">nir_f</f>
        <v>0.675</v>
      </c>
      <c r="F334" s="14" t="n">
        <f aca="false">nir_f</f>
        <v>0.675</v>
      </c>
      <c r="G334" s="14" t="n">
        <f aca="false">nir_f</f>
        <v>0.675</v>
      </c>
    </row>
    <row r="335" customFormat="false" ht="15" hidden="false" customHeight="false" outlineLevel="0" collapsed="false">
      <c r="A335" s="4" t="s">
        <v>377</v>
      </c>
      <c r="B335" s="0" t="s">
        <v>193</v>
      </c>
      <c r="C335" s="19" t="n">
        <f aca="false">a25_ni</f>
        <v>19.186</v>
      </c>
      <c r="D335" s="19" t="n">
        <f aca="false">a26_ni</f>
        <v>41.5923093275</v>
      </c>
      <c r="E335" s="19" t="n">
        <f aca="false">(E331+E333)*E334</f>
        <v>66.3172723742212</v>
      </c>
      <c r="F335" s="19" t="n">
        <f aca="false">(F331+F333)*F334</f>
        <v>84.3575320178525</v>
      </c>
      <c r="G335" s="19" t="n">
        <f aca="false">(G331+G333)*G334</f>
        <v>89.7168538567966</v>
      </c>
    </row>
    <row r="336" customFormat="false" ht="15" hidden="false" customHeight="false" outlineLevel="0" collapsed="false">
      <c r="A336" s="4" t="s">
        <v>488</v>
      </c>
      <c r="B336" s="4" t="s">
        <v>219</v>
      </c>
      <c r="C336" s="22" t="n">
        <f aca="false">a25_sh</f>
        <v>0.390197274761033</v>
      </c>
      <c r="D336" s="22" t="n">
        <f aca="false">a26_sh</f>
        <v>0.392523574315222</v>
      </c>
      <c r="E336" s="22" t="n">
        <f aca="false">D336*(1+sh_g)</f>
        <v>0.392523574315222</v>
      </c>
      <c r="F336" s="22" t="n">
        <f aca="false">E336*(1+sh_g)</f>
        <v>0.392523574315222</v>
      </c>
      <c r="G336" s="22" t="n">
        <f aca="false">F336*(1+sh_g)</f>
        <v>0.392523574315222</v>
      </c>
    </row>
    <row r="337" customFormat="false" ht="15" hidden="false" customHeight="false" outlineLevel="0" collapsed="false">
      <c r="A337" s="0" t="s">
        <v>382</v>
      </c>
      <c r="B337" s="0" t="s">
        <v>256</v>
      </c>
      <c r="C337" s="20" t="n">
        <f aca="false">C335/C336</f>
        <v>49.17</v>
      </c>
      <c r="D337" s="20" t="n">
        <f aca="false">D335/D336</f>
        <v>105.961302834002</v>
      </c>
      <c r="E337" s="20" t="n">
        <f aca="false">E335/E336</f>
        <v>168.95105597139</v>
      </c>
      <c r="F337" s="20" t="n">
        <f aca="false">F335/F336</f>
        <v>214.910740495061</v>
      </c>
      <c r="G337" s="20" t="n">
        <f aca="false">G335/G336</f>
        <v>228.564243595591</v>
      </c>
    </row>
    <row r="338" customFormat="false" ht="17.15" hidden="false" customHeight="false" outlineLevel="0" collapsed="false">
      <c r="A338" s="0" t="s">
        <v>489</v>
      </c>
      <c r="B338" s="0" t="s">
        <v>53</v>
      </c>
      <c r="D338" s="14" t="n">
        <f aca="false">D337/C337-1</f>
        <v>1.15499904075659</v>
      </c>
      <c r="E338" s="14" t="n">
        <f aca="false">E337/D337-1</f>
        <v>0.594459972203889</v>
      </c>
      <c r="F338" s="14" t="n">
        <f aca="false">F337/E337-1</f>
        <v>0.272029578385433</v>
      </c>
      <c r="G338" s="14" t="n">
        <f aca="false">G337/F337-1</f>
        <v>0.0635310411619192</v>
      </c>
    </row>
    <row r="341" customFormat="false" ht="17.15" hidden="false" customHeight="false" outlineLevel="0" collapsed="false">
      <c r="A341" s="1" t="s">
        <v>807</v>
      </c>
    </row>
    <row r="342" customFormat="false" ht="17.15" hidden="false" customHeight="false" outlineLevel="0" collapsed="false">
      <c r="A342" s="5" t="s">
        <v>22</v>
      </c>
      <c r="B342" s="5" t="s">
        <v>23</v>
      </c>
      <c r="C342" s="11" t="s">
        <v>351</v>
      </c>
      <c r="D342" s="11" t="s">
        <v>440</v>
      </c>
      <c r="E342" s="11" t="s">
        <v>441</v>
      </c>
      <c r="F342" s="11" t="s">
        <v>442</v>
      </c>
      <c r="G342" s="11" t="s">
        <v>443</v>
      </c>
      <c r="H342" s="5" t="s">
        <v>416</v>
      </c>
    </row>
    <row r="343" customFormat="false" ht="17.15" hidden="false" customHeight="false" outlineLevel="0" collapsed="false">
      <c r="A343" s="6" t="s">
        <v>459</v>
      </c>
    </row>
    <row r="344" customFormat="false" ht="17.15" hidden="false" customHeight="false" outlineLevel="0" collapsed="false">
      <c r="A344" s="0" t="s">
        <v>460</v>
      </c>
      <c r="B344" s="0" t="s">
        <v>33</v>
      </c>
      <c r="D344" s="20" t="n">
        <f aca="false">itc_26*1</f>
        <v>781.872916666666</v>
      </c>
      <c r="E344" s="20" t="n">
        <f aca="false">itc_27*1*1</f>
        <v>1565.35</v>
      </c>
      <c r="F344" s="20" t="n">
        <f aca="false">itc_28*um28_A*1</f>
        <v>1984.26388888889</v>
      </c>
      <c r="G344" s="20" t="n">
        <f aca="false">itc_29*um29_A*1</f>
        <v>2260.39027777778</v>
      </c>
    </row>
    <row r="345" customFormat="false" ht="17.15" hidden="false" customHeight="false" outlineLevel="0" collapsed="false">
      <c r="A345" s="4" t="s">
        <v>461</v>
      </c>
      <c r="B345" s="0" t="s">
        <v>33</v>
      </c>
      <c r="D345" s="20" t="n">
        <f aca="false">itpg_gb*(1-vr26)+itpg_vr*vr26</f>
        <v>33.41403216</v>
      </c>
      <c r="E345" s="20" t="n">
        <f aca="false">itpg_vr</f>
        <v>37.586352</v>
      </c>
      <c r="F345" s="20" t="n">
        <f aca="false">itpg_vr</f>
        <v>37.586352</v>
      </c>
      <c r="G345" s="20" t="n">
        <f aca="false">itpg_vr</f>
        <v>37.586352</v>
      </c>
    </row>
    <row r="346" customFormat="false" ht="17.15" hidden="false" customHeight="false" outlineLevel="0" collapsed="false">
      <c r="A346" s="4" t="s">
        <v>462</v>
      </c>
      <c r="B346" s="0" t="s">
        <v>418</v>
      </c>
      <c r="D346" s="17" t="n">
        <f aca="false">D344/D345</f>
        <v>23.3995380420639</v>
      </c>
      <c r="E346" s="17" t="n">
        <f aca="false">E344/E345</f>
        <v>41.6467658260637</v>
      </c>
      <c r="F346" s="17" t="n">
        <f aca="false">F344/F345</f>
        <v>52.792138191248</v>
      </c>
      <c r="G346" s="17" t="n">
        <f aca="false">G344/G345</f>
        <v>60.1385917361116</v>
      </c>
    </row>
    <row r="347" customFormat="false" ht="17.15" hidden="false" customHeight="false" outlineLevel="0" collapsed="false">
      <c r="A347" s="4" t="s">
        <v>463</v>
      </c>
      <c r="B347" s="0" t="s">
        <v>53</v>
      </c>
      <c r="D347" s="14" t="n">
        <f aca="false">lpenA_26</f>
        <v>0.55</v>
      </c>
      <c r="E347" s="14" t="n">
        <f aca="false">lpenA_27</f>
        <v>0.85</v>
      </c>
      <c r="F347" s="14" t="n">
        <f aca="false">lpenA_28</f>
        <v>0.95</v>
      </c>
      <c r="G347" s="14" t="n">
        <f aca="false">lpenA_29</f>
        <v>0.95</v>
      </c>
    </row>
    <row r="348" customFormat="false" ht="17.15" hidden="false" customHeight="false" outlineLevel="0" collapsed="false">
      <c r="A348" s="4" t="s">
        <v>464</v>
      </c>
      <c r="B348" s="0" t="s">
        <v>423</v>
      </c>
      <c r="D348" s="18" t="n">
        <f aca="false">((1-vr26)*racks_gb*(cool_gb+mani)+vr26*racks_vr*(cool_vr+mani))/1000</f>
        <v>350.7208</v>
      </c>
      <c r="E348" s="18" t="n">
        <f aca="false">racks_vr*(cool_vr+mani)*lcadj_27/1000</f>
        <v>326.5912</v>
      </c>
      <c r="F348" s="18" t="n">
        <f aca="false">racks_vr*(cool_vr+mani)*lcadj_28/1000</f>
        <v>351.7136</v>
      </c>
      <c r="G348" s="18" t="n">
        <f aca="false">racks_vr*(cool_vr+mani)*lcadj_29/1000</f>
        <v>351.7136</v>
      </c>
      <c r="H348" s="4" t="s">
        <v>465</v>
      </c>
    </row>
    <row r="349" customFormat="false" ht="17.15" hidden="false" customHeight="false" outlineLevel="0" collapsed="false">
      <c r="A349" s="0" t="s">
        <v>466</v>
      </c>
      <c r="B349" s="0" t="s">
        <v>33</v>
      </c>
      <c r="D349" s="20" t="n">
        <f aca="false">D346*D347*D348/1000</f>
        <v>4.51368758595869</v>
      </c>
      <c r="E349" s="20" t="n">
        <f aca="false">E346*E347*E348/1000</f>
        <v>11.5612471431652</v>
      </c>
      <c r="F349" s="20" t="n">
        <f aca="false">F346*F347*F348/1000</f>
        <v>17.6393273261943</v>
      </c>
      <c r="G349" s="20" t="n">
        <f aca="false">G346*G347*G348/1000</f>
        <v>20.0939825685161</v>
      </c>
    </row>
    <row r="350" customFormat="false" ht="17.15" hidden="false" customHeight="false" outlineLevel="0" collapsed="false">
      <c r="A350" s="0" t="s">
        <v>467</v>
      </c>
      <c r="B350" s="0" t="s">
        <v>193</v>
      </c>
      <c r="D350" s="19" t="n">
        <f aca="false">D349*fx</f>
        <v>144.438002750678</v>
      </c>
      <c r="E350" s="19" t="n">
        <f aca="false">E349*fx</f>
        <v>369.959908581285</v>
      </c>
      <c r="F350" s="19" t="n">
        <f aca="false">F349*fx</f>
        <v>564.458474438216</v>
      </c>
      <c r="G350" s="19" t="n">
        <f aca="false">G349*fx</f>
        <v>643.007442192516</v>
      </c>
    </row>
    <row r="351" customFormat="false" ht="17.15" hidden="false" customHeight="false" outlineLevel="0" collapsed="false">
      <c r="A351" s="4" t="s">
        <v>468</v>
      </c>
      <c r="B351" s="0" t="s">
        <v>53</v>
      </c>
      <c r="D351" s="14" t="n">
        <f aca="false">a26_lc/D350</f>
        <v>0.498927641116677</v>
      </c>
      <c r="H351" s="8" t="s">
        <v>469</v>
      </c>
    </row>
    <row r="352" customFormat="false" ht="17.15" hidden="false" customHeight="false" outlineLevel="0" collapsed="false">
      <c r="A352" s="4" t="s">
        <v>470</v>
      </c>
      <c r="B352" s="0" t="s">
        <v>74</v>
      </c>
      <c r="D352" s="15" t="n">
        <f aca="false">1</f>
        <v>1</v>
      </c>
      <c r="E352" s="15" t="n">
        <f aca="false">rel_27</f>
        <v>0.95</v>
      </c>
      <c r="F352" s="15" t="n">
        <f aca="false">rel_28</f>
        <v>0.9</v>
      </c>
      <c r="G352" s="15" t="n">
        <f aca="false">rel_29</f>
        <v>0.85</v>
      </c>
    </row>
    <row r="353" customFormat="false" ht="15" hidden="false" customHeight="false" outlineLevel="0" collapsed="false">
      <c r="A353" s="4" t="s">
        <v>430</v>
      </c>
      <c r="B353" s="0" t="s">
        <v>53</v>
      </c>
      <c r="D353" s="14" t="n">
        <f aca="false">$D$351*D352</f>
        <v>0.498927641116677</v>
      </c>
      <c r="E353" s="14" t="n">
        <f aca="false">$D$351*E352</f>
        <v>0.473981259060843</v>
      </c>
      <c r="F353" s="14" t="n">
        <f aca="false">$D$351*F352</f>
        <v>0.449034877005009</v>
      </c>
      <c r="G353" s="14" t="n">
        <f aca="false">$D$351*G352</f>
        <v>0.424088494949176</v>
      </c>
    </row>
    <row r="354" customFormat="false" ht="15" hidden="false" customHeight="false" outlineLevel="0" collapsed="false">
      <c r="A354" s="4" t="s">
        <v>471</v>
      </c>
      <c r="B354" s="0" t="s">
        <v>193</v>
      </c>
      <c r="C354" s="19" t="n">
        <f aca="false">a25_lc</f>
        <v>20.94585</v>
      </c>
      <c r="D354" s="19" t="n">
        <f aca="false">D350*D353</f>
        <v>72.064112</v>
      </c>
      <c r="E354" s="19" t="n">
        <f aca="false">E350*E353</f>
        <v>175.354063271392</v>
      </c>
      <c r="F354" s="19" t="n">
        <f aca="false">F350*F353</f>
        <v>253.4615416438</v>
      </c>
      <c r="G354" s="19" t="n">
        <f aca="false">G350*G353</f>
        <v>272.692058400543</v>
      </c>
    </row>
    <row r="355" customFormat="false" ht="17.15" hidden="false" customHeight="false" outlineLevel="0" collapsed="false">
      <c r="A355" s="6" t="s">
        <v>472</v>
      </c>
    </row>
    <row r="356" customFormat="false" ht="17.15" hidden="false" customHeight="false" outlineLevel="0" collapsed="false">
      <c r="A356" s="0" t="s">
        <v>473</v>
      </c>
      <c r="B356" s="0" t="s">
        <v>474</v>
      </c>
      <c r="D356" s="22" t="n">
        <f aca="false">a26_air/D346</f>
        <v>2.0210686815691</v>
      </c>
    </row>
    <row r="357" customFormat="false" ht="17.15" hidden="false" customHeight="false" outlineLevel="0" collapsed="false">
      <c r="A357" s="0" t="s">
        <v>475</v>
      </c>
      <c r="B357" s="0" t="s">
        <v>74</v>
      </c>
      <c r="D357" s="15" t="n">
        <f aca="false">1</f>
        <v>1</v>
      </c>
      <c r="E357" s="15" t="n">
        <f aca="false">ACHI_27</f>
        <v>0.9</v>
      </c>
      <c r="F357" s="15" t="n">
        <f aca="false">ACHI_28</f>
        <v>0.85</v>
      </c>
      <c r="G357" s="15" t="n">
        <f aca="false">ACHI_29</f>
        <v>0.8</v>
      </c>
    </row>
    <row r="358" customFormat="false" ht="17.15" hidden="false" customHeight="false" outlineLevel="0" collapsed="false">
      <c r="A358" s="0" t="s">
        <v>476</v>
      </c>
      <c r="B358" s="0" t="s">
        <v>193</v>
      </c>
      <c r="C358" s="19" t="n">
        <f aca="false">a25_air</f>
        <v>30.999858</v>
      </c>
      <c r="D358" s="19" t="n">
        <f aca="false">D346*$D$356*D357</f>
        <v>47.2920735</v>
      </c>
      <c r="E358" s="19" t="n">
        <f aca="false">E346*$D$356*E357</f>
        <v>75.7538766897295</v>
      </c>
      <c r="F358" s="19" t="n">
        <f aca="false">F346*$D$356*F357</f>
        <v>90.6920565616893</v>
      </c>
      <c r="G358" s="19" t="n">
        <f aca="false">G346*$D$356*G357</f>
        <v>97.2353794492202</v>
      </c>
    </row>
    <row r="359" customFormat="false" ht="15" hidden="false" customHeight="false" outlineLevel="0" collapsed="false">
      <c r="A359" s="4" t="s">
        <v>477</v>
      </c>
      <c r="B359" s="0" t="s">
        <v>193</v>
      </c>
      <c r="C359" s="19" t="n">
        <f aca="false">a25_gen</f>
        <v>20.666572</v>
      </c>
      <c r="D359" s="19" t="n">
        <f aca="false">a26_gen</f>
        <v>31.528049</v>
      </c>
      <c r="E359" s="19" t="n">
        <f aca="false">D359*(1+g_gen_27)</f>
        <v>34.05029292</v>
      </c>
      <c r="F359" s="19" t="n">
        <f aca="false">E359*(1+g_gen_28)</f>
        <v>36.0933104952</v>
      </c>
      <c r="G359" s="19" t="n">
        <f aca="false">F359*(1+g_gen_29)</f>
        <v>37.89797601996</v>
      </c>
    </row>
    <row r="360" customFormat="false" ht="17.15" hidden="false" customHeight="false" outlineLevel="0" collapsed="false">
      <c r="A360" s="4" t="s">
        <v>478</v>
      </c>
      <c r="B360" s="0" t="s">
        <v>193</v>
      </c>
      <c r="C360" s="19" t="n">
        <f aca="false">a25_nai</f>
        <v>67.02672</v>
      </c>
      <c r="D360" s="19" t="n">
        <f aca="false">a26_nai</f>
        <v>74.3161155</v>
      </c>
      <c r="E360" s="19" t="n">
        <f aca="false">D360*(1+g_nai_27)</f>
        <v>78.77508243</v>
      </c>
      <c r="F360" s="19" t="n">
        <f aca="false">E360*(1+g_nai_28)</f>
        <v>82.7138365515</v>
      </c>
      <c r="G360" s="19" t="n">
        <f aca="false">F360*(1+g_nai_29)</f>
        <v>86.02239001356</v>
      </c>
    </row>
    <row r="361" customFormat="false" ht="17.15" hidden="false" customHeight="false" outlineLevel="0" collapsed="false">
      <c r="A361" s="4" t="s">
        <v>479</v>
      </c>
      <c r="B361" s="0" t="s">
        <v>193</v>
      </c>
      <c r="C361" s="19" t="n">
        <f aca="false">C354+C358+C359</f>
        <v>72.61228</v>
      </c>
      <c r="D361" s="19" t="n">
        <f aca="false">D354+D358+D359</f>
        <v>150.8842345</v>
      </c>
      <c r="E361" s="19" t="n">
        <f aca="false">E354+E358+E359</f>
        <v>285.158232881121</v>
      </c>
      <c r="F361" s="19" t="n">
        <f aca="false">F354+F358+F359</f>
        <v>380.246908700689</v>
      </c>
      <c r="G361" s="19" t="n">
        <f aca="false">G354+G358+G359</f>
        <v>407.825413869723</v>
      </c>
    </row>
    <row r="362" customFormat="false" ht="15" hidden="false" customHeight="false" outlineLevel="0" collapsed="false">
      <c r="A362" s="4" t="s">
        <v>357</v>
      </c>
      <c r="B362" s="0" t="s">
        <v>193</v>
      </c>
      <c r="C362" s="19" t="n">
        <f aca="false">C354+C358+C359+C360</f>
        <v>139.639</v>
      </c>
      <c r="D362" s="19" t="n">
        <f aca="false">D354+D358+D359+D360</f>
        <v>225.20035</v>
      </c>
      <c r="E362" s="19" t="n">
        <f aca="false">E354+E358+E359+E360</f>
        <v>363.933315311121</v>
      </c>
      <c r="F362" s="19" t="n">
        <f aca="false">F354+F358+F359+F360</f>
        <v>462.960745252189</v>
      </c>
      <c r="G362" s="19" t="n">
        <f aca="false">G354+G358+G359+G360</f>
        <v>493.847803883283</v>
      </c>
    </row>
    <row r="363" customFormat="false" ht="15" hidden="false" customHeight="false" outlineLevel="0" collapsed="false">
      <c r="A363" s="4" t="s">
        <v>480</v>
      </c>
      <c r="B363" s="0" t="s">
        <v>193</v>
      </c>
      <c r="C363" s="22" t="n">
        <f aca="false">ROUND(C361+C360-C362,6)</f>
        <v>0</v>
      </c>
      <c r="D363" s="22" t="n">
        <f aca="false">ROUND(D361+D360-D362,6)</f>
        <v>0</v>
      </c>
      <c r="E363" s="22" t="n">
        <f aca="false">ROUND(E361+E360-E362,6)</f>
        <v>0</v>
      </c>
      <c r="F363" s="22" t="n">
        <f aca="false">ROUND(F361+F360-F362,6)</f>
        <v>0</v>
      </c>
      <c r="G363" s="22" t="n">
        <f aca="false">ROUND(G361+G360-G362,6)</f>
        <v>0</v>
      </c>
    </row>
    <row r="364" customFormat="false" ht="15" hidden="false" customHeight="false" outlineLevel="0" collapsed="false">
      <c r="A364" s="4" t="s">
        <v>481</v>
      </c>
      <c r="B364" s="0" t="s">
        <v>53</v>
      </c>
      <c r="D364" s="14" t="n">
        <f aca="false">D362/C362-1</f>
        <v>0.612732474451979</v>
      </c>
      <c r="E364" s="14" t="n">
        <f aca="false">E362/D362-1</f>
        <v>0.616042405400886</v>
      </c>
      <c r="F364" s="14" t="n">
        <f aca="false">F362/E362-1</f>
        <v>0.272103228187313</v>
      </c>
      <c r="G364" s="14" t="n">
        <f aca="false">G362/F362-1</f>
        <v>0.0667163662315893</v>
      </c>
    </row>
    <row r="365" customFormat="false" ht="17.15" hidden="false" customHeight="false" outlineLevel="0" collapsed="false">
      <c r="A365" s="4" t="s">
        <v>482</v>
      </c>
      <c r="B365" s="0" t="s">
        <v>53</v>
      </c>
      <c r="C365" s="14" t="n">
        <f aca="false">C354/C362</f>
        <v>0.15</v>
      </c>
      <c r="D365" s="14" t="n">
        <f aca="false">D354/D362</f>
        <v>0.32</v>
      </c>
      <c r="E365" s="14" t="n">
        <f aca="false">E354/E362</f>
        <v>0.481830203210399</v>
      </c>
      <c r="F365" s="14" t="n">
        <f aca="false">F354/F362</f>
        <v>0.54747955251742</v>
      </c>
      <c r="G365" s="14" t="n">
        <f aca="false">G354/G362</f>
        <v>0.552178335625426</v>
      </c>
    </row>
    <row r="366" customFormat="false" ht="17.15" hidden="false" customHeight="false" outlineLevel="0" collapsed="false">
      <c r="A366" s="0" t="s">
        <v>483</v>
      </c>
      <c r="B366" s="0" t="s">
        <v>53</v>
      </c>
      <c r="C366" s="14" t="n">
        <f aca="false">(C354+C358)/C362</f>
        <v>0.372</v>
      </c>
      <c r="D366" s="14" t="n">
        <f aca="false">(D354+D358)/D362</f>
        <v>0.53</v>
      </c>
      <c r="E366" s="14" t="n">
        <f aca="false">(E354+E358)/E362</f>
        <v>0.689983382660235</v>
      </c>
      <c r="F366" s="14" t="n">
        <f aca="false">(F354+F358)/F362</f>
        <v>0.743375333081464</v>
      </c>
      <c r="G366" s="14" t="n">
        <f aca="false">(G354+G358)/G362</f>
        <v>0.749071748301613</v>
      </c>
    </row>
    <row r="367" customFormat="false" ht="17.15" hidden="false" customHeight="false" outlineLevel="0" collapsed="false">
      <c r="A367" s="4" t="s">
        <v>435</v>
      </c>
      <c r="B367" s="0" t="s">
        <v>423</v>
      </c>
      <c r="D367" s="18" t="n">
        <f aca="false">(D354+D358)/fx/D346*1000</f>
        <v>159.399762088039</v>
      </c>
      <c r="E367" s="18" t="n">
        <f aca="false">(E354+E358)/fx/E346*1000</f>
        <v>188.420948617194</v>
      </c>
      <c r="F367" s="18" t="n">
        <f aca="false">(F354+F358)/fx/F346*1000</f>
        <v>203.719726315319</v>
      </c>
      <c r="G367" s="18" t="n">
        <f aca="false">(G354+G358)/fx/G346*1000</f>
        <v>192.226523752526</v>
      </c>
    </row>
    <row r="368" customFormat="false" ht="17.15" hidden="false" customHeight="false" outlineLevel="0" collapsed="false">
      <c r="A368" s="6" t="s">
        <v>484</v>
      </c>
    </row>
    <row r="369" customFormat="false" ht="17.15" hidden="false" customHeight="false" outlineLevel="0" collapsed="false">
      <c r="A369" s="4" t="s">
        <v>485</v>
      </c>
      <c r="B369" s="0" t="s">
        <v>53</v>
      </c>
      <c r="D369" s="14" t="n">
        <f aca="false">a26_gp/D362-d_lc*D365</f>
        <v>0.302821503074929</v>
      </c>
      <c r="H369" s="8" t="s">
        <v>486</v>
      </c>
    </row>
    <row r="370" customFormat="false" ht="15" hidden="false" customHeight="false" outlineLevel="0" collapsed="false">
      <c r="A370" s="4" t="s">
        <v>361</v>
      </c>
      <c r="B370" s="0" t="s">
        <v>193</v>
      </c>
      <c r="C370" s="19" t="n">
        <f aca="false">a25_gp</f>
        <v>36.034</v>
      </c>
      <c r="D370" s="19" t="n">
        <f aca="false">a26_gp</f>
        <v>72.5193552</v>
      </c>
      <c r="E370" s="19" t="n">
        <f aca="false">$D$369*E362+d_lc*E354</f>
        <v>120.728077357839</v>
      </c>
      <c r="F370" s="19" t="n">
        <f aca="false">$D$369*F362+d_lc*F354</f>
        <v>155.402161240585</v>
      </c>
      <c r="G370" s="19" t="n">
        <f aca="false">$D$369*G362+d_lc*G354</f>
        <v>165.909257766221</v>
      </c>
    </row>
    <row r="371" customFormat="false" ht="15" hidden="false" customHeight="false" outlineLevel="0" collapsed="false">
      <c r="A371" s="4" t="s">
        <v>364</v>
      </c>
      <c r="B371" s="0" t="s">
        <v>53</v>
      </c>
      <c r="C371" s="14" t="n">
        <f aca="false">C370/C362</f>
        <v>0.258051117524474</v>
      </c>
      <c r="D371" s="14" t="n">
        <f aca="false">D370/D362</f>
        <v>0.322021503074929</v>
      </c>
      <c r="E371" s="14" t="n">
        <f aca="false">E370/E362</f>
        <v>0.331731315267553</v>
      </c>
      <c r="F371" s="14" t="n">
        <f aca="false">F370/F362</f>
        <v>0.335670276225974</v>
      </c>
      <c r="G371" s="14" t="n">
        <f aca="false">G370/G362</f>
        <v>0.335952203212454</v>
      </c>
    </row>
    <row r="372" customFormat="false" ht="15" hidden="false" customHeight="false" outlineLevel="0" collapsed="false">
      <c r="A372" s="4" t="s">
        <v>487</v>
      </c>
      <c r="B372" s="0" t="s">
        <v>193</v>
      </c>
      <c r="C372" s="19" t="n">
        <f aca="false">a25_opx</f>
        <v>8.4832253</v>
      </c>
      <c r="D372" s="19" t="n">
        <f aca="false">a26_opx</f>
        <v>11.7048599</v>
      </c>
      <c r="E372" s="19" t="n">
        <f aca="false">D372*(1+MAX(0,phi*E364))</f>
        <v>16.7523429333735</v>
      </c>
      <c r="F372" s="19" t="n">
        <f aca="false">E372*(1+MAX(0,phi*F364))</f>
        <v>19.9431995476838</v>
      </c>
      <c r="G372" s="19" t="n">
        <f aca="false">F372*(1+MAX(0,phi*G364))</f>
        <v>20.8745760110808</v>
      </c>
    </row>
    <row r="373" customFormat="false" ht="15" hidden="false" customHeight="false" outlineLevel="0" collapsed="false">
      <c r="A373" s="4" t="s">
        <v>366</v>
      </c>
      <c r="B373" s="0" t="s">
        <v>193</v>
      </c>
      <c r="C373" s="19" t="n">
        <f aca="false">C372</f>
        <v>8.4832253</v>
      </c>
      <c r="D373" s="19" t="n">
        <f aca="false">D372</f>
        <v>11.7048599</v>
      </c>
      <c r="E373" s="19" t="n">
        <f aca="false">E372+0*E362</f>
        <v>16.7523429333735</v>
      </c>
      <c r="F373" s="19" t="n">
        <f aca="false">F372+0*F362</f>
        <v>19.9431995476838</v>
      </c>
      <c r="G373" s="19" t="n">
        <f aca="false">G372+0*G362</f>
        <v>20.8745760110808</v>
      </c>
    </row>
    <row r="374" customFormat="false" ht="15" hidden="false" customHeight="false" outlineLevel="0" collapsed="false">
      <c r="A374" s="4" t="s">
        <v>368</v>
      </c>
      <c r="B374" s="0" t="s">
        <v>193</v>
      </c>
      <c r="C374" s="19" t="n">
        <f aca="false">C370-C373</f>
        <v>27.5507747</v>
      </c>
      <c r="D374" s="19" t="n">
        <f aca="false">D370-D373</f>
        <v>60.8144953</v>
      </c>
      <c r="E374" s="19" t="n">
        <f aca="false">E370-E373</f>
        <v>103.975734424466</v>
      </c>
      <c r="F374" s="19" t="n">
        <f aca="false">F370-F373</f>
        <v>135.458961692901</v>
      </c>
      <c r="G374" s="19" t="n">
        <f aca="false">G370-G373</f>
        <v>145.03468175514</v>
      </c>
    </row>
    <row r="375" customFormat="false" ht="15" hidden="false" customHeight="false" outlineLevel="0" collapsed="false">
      <c r="A375" s="4" t="s">
        <v>371</v>
      </c>
      <c r="B375" s="0" t="s">
        <v>53</v>
      </c>
      <c r="C375" s="14" t="n">
        <f aca="false">C374/C362</f>
        <v>0.1973</v>
      </c>
      <c r="D375" s="14" t="n">
        <f aca="false">D374/D362</f>
        <v>0.27004618465291</v>
      </c>
      <c r="E375" s="14" t="n">
        <f aca="false">E374/E362</f>
        <v>0.285699962191091</v>
      </c>
      <c r="F375" s="14" t="n">
        <f aca="false">F374/F362</f>
        <v>0.292592758850672</v>
      </c>
      <c r="G375" s="14" t="n">
        <f aca="false">G374/G362</f>
        <v>0.293682953765687</v>
      </c>
    </row>
    <row r="376" customFormat="false" ht="15" hidden="false" customHeight="false" outlineLevel="0" collapsed="false">
      <c r="A376" s="4" t="s">
        <v>373</v>
      </c>
      <c r="B376" s="0" t="s">
        <v>193</v>
      </c>
      <c r="C376" s="19" t="n">
        <f aca="false">a25_nop</f>
        <v>1.23179436863779</v>
      </c>
      <c r="D376" s="19" t="n">
        <f aca="false">a26_nop</f>
        <v>0.8186111</v>
      </c>
      <c r="E376" s="19" t="n">
        <f aca="false">nop_f</f>
        <v>1</v>
      </c>
      <c r="F376" s="19" t="n">
        <f aca="false">nop_f</f>
        <v>1</v>
      </c>
      <c r="G376" s="19" t="n">
        <f aca="false">nop_f</f>
        <v>1</v>
      </c>
    </row>
    <row r="377" customFormat="false" ht="17.15" hidden="false" customHeight="false" outlineLevel="0" collapsed="false">
      <c r="A377" s="4" t="s">
        <v>236</v>
      </c>
      <c r="B377" s="0" t="s">
        <v>53</v>
      </c>
      <c r="C377" s="14" t="n">
        <f aca="false">a25_ni/(a25_oi+a25_nop)</f>
        <v>0.666583999303438</v>
      </c>
      <c r="D377" s="14" t="n">
        <f aca="false">a26_ni/(a26_oi+a26_nop)</f>
        <v>0.674837141220258</v>
      </c>
      <c r="E377" s="14" t="n">
        <f aca="false">nir_f</f>
        <v>0.675</v>
      </c>
      <c r="F377" s="14" t="n">
        <f aca="false">nir_f</f>
        <v>0.675</v>
      </c>
      <c r="G377" s="14" t="n">
        <f aca="false">nir_f</f>
        <v>0.675</v>
      </c>
    </row>
    <row r="378" customFormat="false" ht="15" hidden="false" customHeight="false" outlineLevel="0" collapsed="false">
      <c r="A378" s="4" t="s">
        <v>377</v>
      </c>
      <c r="B378" s="0" t="s">
        <v>193</v>
      </c>
      <c r="C378" s="19" t="n">
        <f aca="false">a25_ni</f>
        <v>19.186</v>
      </c>
      <c r="D378" s="19" t="n">
        <f aca="false">a26_ni</f>
        <v>41.5923093275</v>
      </c>
      <c r="E378" s="19" t="n">
        <f aca="false">(E374+E376)*E377</f>
        <v>70.8586207365144</v>
      </c>
      <c r="F378" s="19" t="n">
        <f aca="false">(F374+F376)*F377</f>
        <v>92.1097991427083</v>
      </c>
      <c r="G378" s="19" t="n">
        <f aca="false">(G374+G376)*G377</f>
        <v>98.5734101847197</v>
      </c>
    </row>
    <row r="379" customFormat="false" ht="15" hidden="false" customHeight="false" outlineLevel="0" collapsed="false">
      <c r="A379" s="4" t="s">
        <v>488</v>
      </c>
      <c r="B379" s="4" t="s">
        <v>219</v>
      </c>
      <c r="C379" s="22" t="n">
        <f aca="false">a25_sh</f>
        <v>0.390197274761033</v>
      </c>
      <c r="D379" s="22" t="n">
        <f aca="false">a26_sh</f>
        <v>0.392523574315222</v>
      </c>
      <c r="E379" s="22" t="n">
        <f aca="false">D379*(1+sh_g)</f>
        <v>0.392523574315222</v>
      </c>
      <c r="F379" s="22" t="n">
        <f aca="false">E379*(1+sh_g)</f>
        <v>0.392523574315222</v>
      </c>
      <c r="G379" s="22" t="n">
        <f aca="false">F379*(1+sh_g)</f>
        <v>0.392523574315222</v>
      </c>
    </row>
    <row r="380" customFormat="false" ht="15" hidden="false" customHeight="false" outlineLevel="0" collapsed="false">
      <c r="A380" s="0" t="s">
        <v>382</v>
      </c>
      <c r="B380" s="0" t="s">
        <v>256</v>
      </c>
      <c r="C380" s="20" t="n">
        <f aca="false">C378/C379</f>
        <v>49.17</v>
      </c>
      <c r="D380" s="20" t="n">
        <f aca="false">D378/D379</f>
        <v>105.961302834002</v>
      </c>
      <c r="E380" s="20" t="n">
        <f aca="false">E378/E379</f>
        <v>180.520675376329</v>
      </c>
      <c r="F380" s="20" t="n">
        <f aca="false">F378/F379</f>
        <v>234.660553327017</v>
      </c>
      <c r="G380" s="20" t="n">
        <f aca="false">G378/G379</f>
        <v>251.127363131466</v>
      </c>
    </row>
    <row r="381" customFormat="false" ht="17.15" hidden="false" customHeight="false" outlineLevel="0" collapsed="false">
      <c r="A381" s="0" t="s">
        <v>489</v>
      </c>
      <c r="B381" s="0" t="s">
        <v>53</v>
      </c>
      <c r="D381" s="14" t="n">
        <f aca="false">D380/C380-1</f>
        <v>1.15499904075659</v>
      </c>
      <c r="E381" s="14" t="n">
        <f aca="false">E380/D380-1</f>
        <v>0.703647185795095</v>
      </c>
      <c r="F381" s="14" t="n">
        <f aca="false">F380/E380-1</f>
        <v>0.299909569016532</v>
      </c>
      <c r="G381" s="14" t="n">
        <f aca="false">G380/F380-1</f>
        <v>0.0701728925930789</v>
      </c>
    </row>
    <row r="384" customFormat="false" ht="17.15" hidden="false" customHeight="false" outlineLevel="0" collapsed="false">
      <c r="A384" s="1" t="s">
        <v>808</v>
      </c>
    </row>
    <row r="385" customFormat="false" ht="17.15" hidden="false" customHeight="false" outlineLevel="0" collapsed="false">
      <c r="A385" s="5" t="s">
        <v>22</v>
      </c>
      <c r="B385" s="5" t="s">
        <v>23</v>
      </c>
      <c r="C385" s="11" t="s">
        <v>351</v>
      </c>
      <c r="D385" s="11" t="s">
        <v>440</v>
      </c>
      <c r="E385" s="11" t="s">
        <v>441</v>
      </c>
      <c r="F385" s="11" t="s">
        <v>442</v>
      </c>
      <c r="G385" s="11" t="s">
        <v>443</v>
      </c>
      <c r="H385" s="5" t="s">
        <v>416</v>
      </c>
    </row>
    <row r="386" customFormat="false" ht="17.15" hidden="false" customHeight="false" outlineLevel="0" collapsed="false">
      <c r="A386" s="6" t="s">
        <v>459</v>
      </c>
    </row>
    <row r="387" customFormat="false" ht="17.15" hidden="false" customHeight="false" outlineLevel="0" collapsed="false">
      <c r="A387" s="0" t="s">
        <v>460</v>
      </c>
      <c r="B387" s="0" t="s">
        <v>33</v>
      </c>
      <c r="D387" s="20" t="n">
        <f aca="false">itc_26*1</f>
        <v>781.872916666666</v>
      </c>
      <c r="E387" s="20" t="n">
        <f aca="false">itc_27*1*mf_lo</f>
        <v>1252.28</v>
      </c>
      <c r="F387" s="20" t="n">
        <f aca="false">itc_28*um28_A*mf_lo</f>
        <v>1587.41111111111</v>
      </c>
      <c r="G387" s="20" t="n">
        <f aca="false">itc_29*um29_A*mf_lo</f>
        <v>1808.31222222222</v>
      </c>
    </row>
    <row r="388" customFormat="false" ht="17.15" hidden="false" customHeight="false" outlineLevel="0" collapsed="false">
      <c r="A388" s="4" t="s">
        <v>461</v>
      </c>
      <c r="B388" s="0" t="s">
        <v>33</v>
      </c>
      <c r="D388" s="20" t="n">
        <f aca="false">itpg_gb*(1-vr26)+itpg_vr*vr26</f>
        <v>33.41403216</v>
      </c>
      <c r="E388" s="20" t="n">
        <f aca="false">itpg_vr</f>
        <v>37.586352</v>
      </c>
      <c r="F388" s="20" t="n">
        <f aca="false">itpg_vr</f>
        <v>37.586352</v>
      </c>
      <c r="G388" s="20" t="n">
        <f aca="false">itpg_vr</f>
        <v>37.586352</v>
      </c>
    </row>
    <row r="389" customFormat="false" ht="17.15" hidden="false" customHeight="false" outlineLevel="0" collapsed="false">
      <c r="A389" s="4" t="s">
        <v>462</v>
      </c>
      <c r="B389" s="0" t="s">
        <v>418</v>
      </c>
      <c r="D389" s="17" t="n">
        <f aca="false">D387/D388</f>
        <v>23.3995380420639</v>
      </c>
      <c r="E389" s="17" t="n">
        <f aca="false">E387/E388</f>
        <v>33.3174126608509</v>
      </c>
      <c r="F389" s="17" t="n">
        <f aca="false">F387/F388</f>
        <v>42.2337105529984</v>
      </c>
      <c r="G389" s="17" t="n">
        <f aca="false">G387/G388</f>
        <v>48.1108733888892</v>
      </c>
    </row>
    <row r="390" customFormat="false" ht="17.15" hidden="false" customHeight="false" outlineLevel="0" collapsed="false">
      <c r="A390" s="4" t="s">
        <v>463</v>
      </c>
      <c r="B390" s="0" t="s">
        <v>53</v>
      </c>
      <c r="D390" s="14" t="n">
        <f aca="false">lpenA_26</f>
        <v>0.55</v>
      </c>
      <c r="E390" s="14" t="n">
        <f aca="false">lpenA_27</f>
        <v>0.85</v>
      </c>
      <c r="F390" s="14" t="n">
        <f aca="false">lpenA_28</f>
        <v>0.95</v>
      </c>
      <c r="G390" s="14" t="n">
        <f aca="false">lpenA_29</f>
        <v>0.95</v>
      </c>
    </row>
    <row r="391" customFormat="false" ht="17.15" hidden="false" customHeight="false" outlineLevel="0" collapsed="false">
      <c r="A391" s="4" t="s">
        <v>464</v>
      </c>
      <c r="B391" s="0" t="s">
        <v>423</v>
      </c>
      <c r="D391" s="18" t="n">
        <f aca="false">((1-vr26)*racks_gb*(cool_gb+mani)+vr26*racks_vr*(cool_vr+mani))/1000</f>
        <v>350.7208</v>
      </c>
      <c r="E391" s="18" t="n">
        <f aca="false">racks_vr*(cool_vr+mani)*lcadj_27/1000</f>
        <v>326.5912</v>
      </c>
      <c r="F391" s="18" t="n">
        <f aca="false">racks_vr*(cool_vr+mani)*lcadj_28/1000</f>
        <v>351.7136</v>
      </c>
      <c r="G391" s="18" t="n">
        <f aca="false">racks_vr*(cool_vr+mani)*lcadj_29/1000</f>
        <v>351.7136</v>
      </c>
      <c r="H391" s="4" t="s">
        <v>465</v>
      </c>
    </row>
    <row r="392" customFormat="false" ht="17.15" hidden="false" customHeight="false" outlineLevel="0" collapsed="false">
      <c r="A392" s="0" t="s">
        <v>466</v>
      </c>
      <c r="B392" s="0" t="s">
        <v>33</v>
      </c>
      <c r="D392" s="20" t="n">
        <f aca="false">D389*D390*D391/1000</f>
        <v>4.51368758595869</v>
      </c>
      <c r="E392" s="20" t="n">
        <f aca="false">E389*E390*E391/1000</f>
        <v>9.24899771453213</v>
      </c>
      <c r="F392" s="20" t="n">
        <f aca="false">F389*F390*F391/1000</f>
        <v>14.1114618609554</v>
      </c>
      <c r="G392" s="20" t="n">
        <f aca="false">G389*G390*G391/1000</f>
        <v>16.0751860548129</v>
      </c>
    </row>
    <row r="393" customFormat="false" ht="17.15" hidden="false" customHeight="false" outlineLevel="0" collapsed="false">
      <c r="A393" s="0" t="s">
        <v>467</v>
      </c>
      <c r="B393" s="0" t="s">
        <v>193</v>
      </c>
      <c r="D393" s="19" t="n">
        <f aca="false">D392*fx</f>
        <v>144.438002750678</v>
      </c>
      <c r="E393" s="19" t="n">
        <f aca="false">E392*fx</f>
        <v>295.967926865028</v>
      </c>
      <c r="F393" s="19" t="n">
        <f aca="false">F392*fx</f>
        <v>451.566779550573</v>
      </c>
      <c r="G393" s="19" t="n">
        <f aca="false">G392*fx</f>
        <v>514.405953754013</v>
      </c>
    </row>
    <row r="394" customFormat="false" ht="17.15" hidden="false" customHeight="false" outlineLevel="0" collapsed="false">
      <c r="A394" s="4" t="s">
        <v>468</v>
      </c>
      <c r="B394" s="0" t="s">
        <v>53</v>
      </c>
      <c r="D394" s="14" t="n">
        <f aca="false">a26_lc/D393</f>
        <v>0.498927641116677</v>
      </c>
      <c r="H394" s="8" t="s">
        <v>469</v>
      </c>
    </row>
    <row r="395" customFormat="false" ht="17.15" hidden="false" customHeight="false" outlineLevel="0" collapsed="false">
      <c r="A395" s="4" t="s">
        <v>470</v>
      </c>
      <c r="B395" s="0" t="s">
        <v>74</v>
      </c>
      <c r="D395" s="15" t="n">
        <f aca="false">1</f>
        <v>1</v>
      </c>
      <c r="E395" s="15" t="n">
        <f aca="false">rel_27</f>
        <v>0.95</v>
      </c>
      <c r="F395" s="15" t="n">
        <f aca="false">rel_28</f>
        <v>0.9</v>
      </c>
      <c r="G395" s="15" t="n">
        <f aca="false">rel_29</f>
        <v>0.85</v>
      </c>
    </row>
    <row r="396" customFormat="false" ht="15" hidden="false" customHeight="false" outlineLevel="0" collapsed="false">
      <c r="A396" s="4" t="s">
        <v>430</v>
      </c>
      <c r="B396" s="0" t="s">
        <v>53</v>
      </c>
      <c r="D396" s="14" t="n">
        <f aca="false">$D$394*D395</f>
        <v>0.498927641116677</v>
      </c>
      <c r="E396" s="14" t="n">
        <f aca="false">$D$394*E395</f>
        <v>0.473981259060843</v>
      </c>
      <c r="F396" s="14" t="n">
        <f aca="false">$D$394*F395</f>
        <v>0.449034877005009</v>
      </c>
      <c r="G396" s="14" t="n">
        <f aca="false">$D$394*G395</f>
        <v>0.424088494949176</v>
      </c>
    </row>
    <row r="397" customFormat="false" ht="15" hidden="false" customHeight="false" outlineLevel="0" collapsed="false">
      <c r="A397" s="4" t="s">
        <v>471</v>
      </c>
      <c r="B397" s="0" t="s">
        <v>193</v>
      </c>
      <c r="C397" s="19" t="n">
        <f aca="false">a25_lc</f>
        <v>20.94585</v>
      </c>
      <c r="D397" s="19" t="n">
        <f aca="false">D393*D396</f>
        <v>72.064112</v>
      </c>
      <c r="E397" s="19" t="n">
        <f aca="false">E393*E396</f>
        <v>140.283250617114</v>
      </c>
      <c r="F397" s="19" t="n">
        <f aca="false">F393*F396</f>
        <v>202.76923331504</v>
      </c>
      <c r="G397" s="19" t="n">
        <f aca="false">G393*G396</f>
        <v>218.153646720435</v>
      </c>
    </row>
    <row r="398" customFormat="false" ht="17.15" hidden="false" customHeight="false" outlineLevel="0" collapsed="false">
      <c r="A398" s="6" t="s">
        <v>472</v>
      </c>
    </row>
    <row r="399" customFormat="false" ht="17.15" hidden="false" customHeight="false" outlineLevel="0" collapsed="false">
      <c r="A399" s="0" t="s">
        <v>473</v>
      </c>
      <c r="B399" s="0" t="s">
        <v>474</v>
      </c>
      <c r="D399" s="22" t="n">
        <f aca="false">a26_air/D389</f>
        <v>2.0210686815691</v>
      </c>
    </row>
    <row r="400" customFormat="false" ht="17.15" hidden="false" customHeight="false" outlineLevel="0" collapsed="false">
      <c r="A400" s="0" t="s">
        <v>475</v>
      </c>
      <c r="B400" s="0" t="s">
        <v>74</v>
      </c>
      <c r="D400" s="15" t="n">
        <f aca="false">1</f>
        <v>1</v>
      </c>
      <c r="E400" s="15" t="n">
        <f aca="false">acr_27</f>
        <v>0.75</v>
      </c>
      <c r="F400" s="15" t="n">
        <f aca="false">acr_28</f>
        <v>0.65</v>
      </c>
      <c r="G400" s="15" t="n">
        <f aca="false">acr_29</f>
        <v>0.6</v>
      </c>
    </row>
    <row r="401" customFormat="false" ht="17.15" hidden="false" customHeight="false" outlineLevel="0" collapsed="false">
      <c r="A401" s="0" t="s">
        <v>476</v>
      </c>
      <c r="B401" s="0" t="s">
        <v>193</v>
      </c>
      <c r="C401" s="19" t="n">
        <f aca="false">a25_air</f>
        <v>30.999858</v>
      </c>
      <c r="D401" s="19" t="n">
        <f aca="false">D389*$D$399*D400</f>
        <v>47.2920735</v>
      </c>
      <c r="E401" s="19" t="n">
        <f aca="false">E389*$D$399*E400</f>
        <v>50.5025844598197</v>
      </c>
      <c r="F401" s="19" t="n">
        <f aca="false">F389*$D$399*F400</f>
        <v>55.4821993083276</v>
      </c>
      <c r="G401" s="19" t="n">
        <f aca="false">G389*$D$399*G400</f>
        <v>58.3412276695321</v>
      </c>
    </row>
    <row r="402" customFormat="false" ht="15" hidden="false" customHeight="false" outlineLevel="0" collapsed="false">
      <c r="A402" s="4" t="s">
        <v>477</v>
      </c>
      <c r="B402" s="0" t="s">
        <v>193</v>
      </c>
      <c r="C402" s="19" t="n">
        <f aca="false">a25_gen</f>
        <v>20.666572</v>
      </c>
      <c r="D402" s="19" t="n">
        <f aca="false">a26_gen</f>
        <v>31.528049</v>
      </c>
      <c r="E402" s="19" t="n">
        <f aca="false">D402*(1+g_gen_27)</f>
        <v>34.05029292</v>
      </c>
      <c r="F402" s="19" t="n">
        <f aca="false">E402*(1+g_gen_28)</f>
        <v>36.0933104952</v>
      </c>
      <c r="G402" s="19" t="n">
        <f aca="false">F402*(1+g_gen_29)</f>
        <v>37.89797601996</v>
      </c>
    </row>
    <row r="403" customFormat="false" ht="17.15" hidden="false" customHeight="false" outlineLevel="0" collapsed="false">
      <c r="A403" s="4" t="s">
        <v>478</v>
      </c>
      <c r="B403" s="0" t="s">
        <v>193</v>
      </c>
      <c r="C403" s="19" t="n">
        <f aca="false">a25_nai</f>
        <v>67.02672</v>
      </c>
      <c r="D403" s="19" t="n">
        <f aca="false">a26_nai</f>
        <v>74.3161155</v>
      </c>
      <c r="E403" s="19" t="n">
        <f aca="false">D403*(1+g_nai_27)</f>
        <v>78.77508243</v>
      </c>
      <c r="F403" s="19" t="n">
        <f aca="false">E403*(1+g_nai_28)</f>
        <v>82.7138365515</v>
      </c>
      <c r="G403" s="19" t="n">
        <f aca="false">F403*(1+g_nai_29)</f>
        <v>86.02239001356</v>
      </c>
    </row>
    <row r="404" customFormat="false" ht="17.15" hidden="false" customHeight="false" outlineLevel="0" collapsed="false">
      <c r="A404" s="4" t="s">
        <v>479</v>
      </c>
      <c r="B404" s="0" t="s">
        <v>193</v>
      </c>
      <c r="C404" s="19" t="n">
        <f aca="false">C397+C401+C402</f>
        <v>72.61228</v>
      </c>
      <c r="D404" s="19" t="n">
        <f aca="false">D397+D401+D402</f>
        <v>150.8842345</v>
      </c>
      <c r="E404" s="19" t="n">
        <f aca="false">E397+E401+E402</f>
        <v>224.836127996933</v>
      </c>
      <c r="F404" s="19" t="n">
        <f aca="false">F397+F401+F402</f>
        <v>294.344743118567</v>
      </c>
      <c r="G404" s="19" t="n">
        <f aca="false">G397+G401+G402</f>
        <v>314.392850409927</v>
      </c>
    </row>
    <row r="405" customFormat="false" ht="15" hidden="false" customHeight="false" outlineLevel="0" collapsed="false">
      <c r="A405" s="4" t="s">
        <v>357</v>
      </c>
      <c r="B405" s="0" t="s">
        <v>193</v>
      </c>
      <c r="C405" s="19" t="n">
        <f aca="false">C397+C401+C402+C403</f>
        <v>139.639</v>
      </c>
      <c r="D405" s="19" t="n">
        <f aca="false">D397+D401+D402+D403</f>
        <v>225.20035</v>
      </c>
      <c r="E405" s="19" t="n">
        <f aca="false">E397+E401+E402+E403</f>
        <v>303.611210426933</v>
      </c>
      <c r="F405" s="19" t="n">
        <f aca="false">F397+F401+F402+F403</f>
        <v>377.058579670067</v>
      </c>
      <c r="G405" s="19" t="n">
        <f aca="false">G397+G401+G402+G403</f>
        <v>400.415240423487</v>
      </c>
    </row>
    <row r="406" customFormat="false" ht="15" hidden="false" customHeight="false" outlineLevel="0" collapsed="false">
      <c r="A406" s="4" t="s">
        <v>480</v>
      </c>
      <c r="B406" s="0" t="s">
        <v>193</v>
      </c>
      <c r="C406" s="22" t="n">
        <f aca="false">ROUND(C404+C403-C405,6)</f>
        <v>0</v>
      </c>
      <c r="D406" s="22" t="n">
        <f aca="false">ROUND(D404+D403-D405,6)</f>
        <v>0</v>
      </c>
      <c r="E406" s="22" t="n">
        <f aca="false">ROUND(E404+E403-E405,6)</f>
        <v>0</v>
      </c>
      <c r="F406" s="22" t="n">
        <f aca="false">ROUND(F404+F403-F405,6)</f>
        <v>0</v>
      </c>
      <c r="G406" s="22" t="n">
        <f aca="false">ROUND(G404+G403-G405,6)</f>
        <v>0</v>
      </c>
    </row>
    <row r="407" customFormat="false" ht="15" hidden="false" customHeight="false" outlineLevel="0" collapsed="false">
      <c r="A407" s="4" t="s">
        <v>481</v>
      </c>
      <c r="B407" s="0" t="s">
        <v>53</v>
      </c>
      <c r="D407" s="14" t="n">
        <f aca="false">D405/C405-1</f>
        <v>0.612732474451979</v>
      </c>
      <c r="E407" s="14" t="n">
        <f aca="false">E405/D405-1</f>
        <v>0.348182675679382</v>
      </c>
      <c r="F407" s="14" t="n">
        <f aca="false">F405/E405-1</f>
        <v>0.241912573451598</v>
      </c>
      <c r="G407" s="14" t="n">
        <f aca="false">G405/F405-1</f>
        <v>0.0619443821537147</v>
      </c>
    </row>
    <row r="408" customFormat="false" ht="17.15" hidden="false" customHeight="false" outlineLevel="0" collapsed="false">
      <c r="A408" s="4" t="s">
        <v>482</v>
      </c>
      <c r="B408" s="0" t="s">
        <v>53</v>
      </c>
      <c r="C408" s="14" t="n">
        <f aca="false">C397/C405</f>
        <v>0.15</v>
      </c>
      <c r="D408" s="14" t="n">
        <f aca="false">D397/D405</f>
        <v>0.32</v>
      </c>
      <c r="E408" s="14" t="n">
        <f aca="false">E397/E405</f>
        <v>0.462048981721885</v>
      </c>
      <c r="F408" s="14" t="n">
        <f aca="false">F397/F405</f>
        <v>0.537765865167334</v>
      </c>
      <c r="G408" s="14" t="n">
        <f aca="false">G397/G405</f>
        <v>0.544818540097803</v>
      </c>
    </row>
    <row r="409" customFormat="false" ht="17.15" hidden="false" customHeight="false" outlineLevel="0" collapsed="false">
      <c r="A409" s="0" t="s">
        <v>483</v>
      </c>
      <c r="B409" s="0" t="s">
        <v>53</v>
      </c>
      <c r="C409" s="14" t="n">
        <f aca="false">(C397+C401)/C405</f>
        <v>0.372</v>
      </c>
      <c r="D409" s="14" t="n">
        <f aca="false">(D397+D401)/D405</f>
        <v>0.53</v>
      </c>
      <c r="E409" s="14" t="n">
        <f aca="false">(E397+E401)/E405</f>
        <v>0.628388638247755</v>
      </c>
      <c r="F409" s="14" t="n">
        <f aca="false">(F397+F401)/F405</f>
        <v>0.684910638684689</v>
      </c>
      <c r="G409" s="14" t="n">
        <f aca="false">(G397+G401)/G405</f>
        <v>0.690520356062223</v>
      </c>
    </row>
    <row r="410" customFormat="false" ht="17.15" hidden="false" customHeight="false" outlineLevel="0" collapsed="false">
      <c r="A410" s="4" t="s">
        <v>435</v>
      </c>
      <c r="B410" s="0" t="s">
        <v>423</v>
      </c>
      <c r="D410" s="18" t="n">
        <f aca="false">(D397+D401)/fx/D389*1000</f>
        <v>159.399762088039</v>
      </c>
      <c r="E410" s="18" t="n">
        <f aca="false">(E397+E401)/fx/E389*1000</f>
        <v>178.947189172339</v>
      </c>
      <c r="F410" s="18" t="n">
        <f aca="false">(F397+F401)/fx/F389*1000</f>
        <v>191.088047055512</v>
      </c>
      <c r="G410" s="18" t="n">
        <f aca="false">(G397+G401)/fx/G389*1000</f>
        <v>179.594844492719</v>
      </c>
    </row>
    <row r="411" customFormat="false" ht="17.15" hidden="false" customHeight="false" outlineLevel="0" collapsed="false">
      <c r="A411" s="6" t="s">
        <v>484</v>
      </c>
    </row>
    <row r="412" customFormat="false" ht="17.15" hidden="false" customHeight="false" outlineLevel="0" collapsed="false">
      <c r="A412" s="4" t="s">
        <v>485</v>
      </c>
      <c r="B412" s="0" t="s">
        <v>53</v>
      </c>
      <c r="D412" s="14" t="n">
        <f aca="false">a26_gp/D405-d_lc*D408</f>
        <v>0.302821503074929</v>
      </c>
      <c r="H412" s="8" t="s">
        <v>486</v>
      </c>
    </row>
    <row r="413" customFormat="false" ht="15" hidden="false" customHeight="false" outlineLevel="0" collapsed="false">
      <c r="A413" s="4" t="s">
        <v>361</v>
      </c>
      <c r="B413" s="0" t="s">
        <v>193</v>
      </c>
      <c r="C413" s="19" t="n">
        <f aca="false">a25_gp</f>
        <v>36.034</v>
      </c>
      <c r="D413" s="19" t="n">
        <f aca="false">a26_gp</f>
        <v>72.5193552</v>
      </c>
      <c r="E413" s="19" t="n">
        <f aca="false">$D$412*E405+d_lc*E397</f>
        <v>100.356998128909</v>
      </c>
      <c r="F413" s="19" t="n">
        <f aca="false">$D$412*F405+d_lc*F397</f>
        <v>126.34759984189</v>
      </c>
      <c r="G413" s="19" t="n">
        <f aca="false">$D$412*G405+d_lc*G397</f>
        <v>134.343563762375</v>
      </c>
    </row>
    <row r="414" customFormat="false" ht="15" hidden="false" customHeight="false" outlineLevel="0" collapsed="false">
      <c r="A414" s="4" t="s">
        <v>364</v>
      </c>
      <c r="B414" s="0" t="s">
        <v>53</v>
      </c>
      <c r="C414" s="14" t="n">
        <f aca="false">C413/C405</f>
        <v>0.258051117524474</v>
      </c>
      <c r="D414" s="14" t="n">
        <f aca="false">D413/D405</f>
        <v>0.322021503074929</v>
      </c>
      <c r="E414" s="14" t="n">
        <f aca="false">E413/E405</f>
        <v>0.330544441978242</v>
      </c>
      <c r="F414" s="14" t="n">
        <f aca="false">F413/F405</f>
        <v>0.335087454984969</v>
      </c>
      <c r="G414" s="14" t="n">
        <f aca="false">G413/G405</f>
        <v>0.335510615480797</v>
      </c>
    </row>
    <row r="415" customFormat="false" ht="15" hidden="false" customHeight="false" outlineLevel="0" collapsed="false">
      <c r="A415" s="4" t="s">
        <v>487</v>
      </c>
      <c r="B415" s="0" t="s">
        <v>193</v>
      </c>
      <c r="C415" s="19" t="n">
        <f aca="false">a25_opx</f>
        <v>8.4832253</v>
      </c>
      <c r="D415" s="19" t="n">
        <f aca="false">a26_opx</f>
        <v>11.7048599</v>
      </c>
      <c r="E415" s="19" t="n">
        <f aca="false">D415*(1+MAX(0,phi*E407))</f>
        <v>14.557660506904</v>
      </c>
      <c r="F415" s="19" t="n">
        <f aca="false">E415*(1+MAX(0,phi*F407))</f>
        <v>17.0228372885659</v>
      </c>
      <c r="G415" s="19" t="n">
        <f aca="false">F415*(1+MAX(0,phi*G407))</f>
        <v>17.7609656854063</v>
      </c>
    </row>
    <row r="416" customFormat="false" ht="15" hidden="false" customHeight="false" outlineLevel="0" collapsed="false">
      <c r="A416" s="4" t="s">
        <v>366</v>
      </c>
      <c r="B416" s="0" t="s">
        <v>193</v>
      </c>
      <c r="C416" s="19" t="n">
        <f aca="false">C415</f>
        <v>8.4832253</v>
      </c>
      <c r="D416" s="19" t="n">
        <f aca="false">D415</f>
        <v>11.7048599</v>
      </c>
      <c r="E416" s="19" t="n">
        <f aca="false">E415+0*E405</f>
        <v>14.557660506904</v>
      </c>
      <c r="F416" s="19" t="n">
        <f aca="false">F415+0*F405</f>
        <v>17.0228372885659</v>
      </c>
      <c r="G416" s="19" t="n">
        <f aca="false">G415+0*G405</f>
        <v>17.7609656854063</v>
      </c>
    </row>
    <row r="417" customFormat="false" ht="15" hidden="false" customHeight="false" outlineLevel="0" collapsed="false">
      <c r="A417" s="4" t="s">
        <v>368</v>
      </c>
      <c r="B417" s="0" t="s">
        <v>193</v>
      </c>
      <c r="C417" s="19" t="n">
        <f aca="false">C413-C416</f>
        <v>27.5507747</v>
      </c>
      <c r="D417" s="19" t="n">
        <f aca="false">D413-D416</f>
        <v>60.8144953</v>
      </c>
      <c r="E417" s="19" t="n">
        <f aca="false">E413-E416</f>
        <v>85.7993376220052</v>
      </c>
      <c r="F417" s="19" t="n">
        <f aca="false">F413-F416</f>
        <v>109.324762553324</v>
      </c>
      <c r="G417" s="19" t="n">
        <f aca="false">G413-G416</f>
        <v>116.582598076969</v>
      </c>
    </row>
    <row r="418" customFormat="false" ht="15" hidden="false" customHeight="false" outlineLevel="0" collapsed="false">
      <c r="A418" s="4" t="s">
        <v>371</v>
      </c>
      <c r="B418" s="0" t="s">
        <v>53</v>
      </c>
      <c r="C418" s="14" t="n">
        <f aca="false">C417/C405</f>
        <v>0.1973</v>
      </c>
      <c r="D418" s="14" t="n">
        <f aca="false">D417/D405</f>
        <v>0.27004618465291</v>
      </c>
      <c r="E418" s="14" t="n">
        <f aca="false">E417/E405</f>
        <v>0.282596079049109</v>
      </c>
      <c r="F418" s="14" t="n">
        <f aca="false">F417/F405</f>
        <v>0.289941055442857</v>
      </c>
      <c r="G418" s="14" t="n">
        <f aca="false">G417/G405</f>
        <v>0.291154247659677</v>
      </c>
    </row>
    <row r="419" customFormat="false" ht="15" hidden="false" customHeight="false" outlineLevel="0" collapsed="false">
      <c r="A419" s="4" t="s">
        <v>373</v>
      </c>
      <c r="B419" s="0" t="s">
        <v>193</v>
      </c>
      <c r="C419" s="19" t="n">
        <f aca="false">a25_nop</f>
        <v>1.23179436863779</v>
      </c>
      <c r="D419" s="19" t="n">
        <f aca="false">a26_nop</f>
        <v>0.8186111</v>
      </c>
      <c r="E419" s="19" t="n">
        <f aca="false">nop_f</f>
        <v>1</v>
      </c>
      <c r="F419" s="19" t="n">
        <f aca="false">nop_f</f>
        <v>1</v>
      </c>
      <c r="G419" s="19" t="n">
        <f aca="false">nop_f</f>
        <v>1</v>
      </c>
    </row>
    <row r="420" customFormat="false" ht="17.15" hidden="false" customHeight="false" outlineLevel="0" collapsed="false">
      <c r="A420" s="4" t="s">
        <v>236</v>
      </c>
      <c r="B420" s="0" t="s">
        <v>53</v>
      </c>
      <c r="C420" s="14" t="n">
        <f aca="false">a25_ni/(a25_oi+a25_nop)</f>
        <v>0.666583999303438</v>
      </c>
      <c r="D420" s="14" t="n">
        <f aca="false">a26_ni/(a26_oi+a26_nop)</f>
        <v>0.674837141220258</v>
      </c>
      <c r="E420" s="14" t="n">
        <f aca="false">nir_f</f>
        <v>0.675</v>
      </c>
      <c r="F420" s="14" t="n">
        <f aca="false">nir_f</f>
        <v>0.675</v>
      </c>
      <c r="G420" s="14" t="n">
        <f aca="false">nir_f</f>
        <v>0.675</v>
      </c>
    </row>
    <row r="421" customFormat="false" ht="15" hidden="false" customHeight="false" outlineLevel="0" collapsed="false">
      <c r="A421" s="4" t="s">
        <v>377</v>
      </c>
      <c r="B421" s="0" t="s">
        <v>193</v>
      </c>
      <c r="C421" s="19" t="n">
        <f aca="false">a25_ni</f>
        <v>19.186</v>
      </c>
      <c r="D421" s="19" t="n">
        <f aca="false">a26_ni</f>
        <v>41.5923093275</v>
      </c>
      <c r="E421" s="19" t="n">
        <f aca="false">(E417+E419)*E420</f>
        <v>58.5895528948535</v>
      </c>
      <c r="F421" s="19" t="n">
        <f aca="false">(F417+F419)*F420</f>
        <v>74.4692147234937</v>
      </c>
      <c r="G421" s="19" t="n">
        <f aca="false">(G417+G419)*G420</f>
        <v>79.3682537019541</v>
      </c>
    </row>
    <row r="422" customFormat="false" ht="15" hidden="false" customHeight="false" outlineLevel="0" collapsed="false">
      <c r="A422" s="4" t="s">
        <v>488</v>
      </c>
      <c r="B422" s="4" t="s">
        <v>219</v>
      </c>
      <c r="C422" s="22" t="n">
        <f aca="false">a25_sh</f>
        <v>0.390197274761033</v>
      </c>
      <c r="D422" s="22" t="n">
        <f aca="false">a26_sh</f>
        <v>0.392523574315222</v>
      </c>
      <c r="E422" s="22" t="n">
        <f aca="false">D422*(1+sh_g)</f>
        <v>0.392523574315222</v>
      </c>
      <c r="F422" s="22" t="n">
        <f aca="false">E422*(1+sh_g)</f>
        <v>0.392523574315222</v>
      </c>
      <c r="G422" s="22" t="n">
        <f aca="false">F422*(1+sh_g)</f>
        <v>0.392523574315222</v>
      </c>
    </row>
    <row r="423" customFormat="false" ht="15" hidden="false" customHeight="false" outlineLevel="0" collapsed="false">
      <c r="A423" s="0" t="s">
        <v>382</v>
      </c>
      <c r="B423" s="0" t="s">
        <v>256</v>
      </c>
      <c r="C423" s="20" t="n">
        <f aca="false">C421/C422</f>
        <v>49.17</v>
      </c>
      <c r="D423" s="20" t="n">
        <f aca="false">D421/D422</f>
        <v>105.961302834002</v>
      </c>
      <c r="E423" s="20" t="n">
        <f aca="false">E421/E422</f>
        <v>149.263781155224</v>
      </c>
      <c r="F423" s="20" t="n">
        <f aca="false">F421/F422</f>
        <v>189.719088473626</v>
      </c>
      <c r="G423" s="20" t="n">
        <f aca="false">G421/G422</f>
        <v>202.19996681834</v>
      </c>
    </row>
    <row r="424" customFormat="false" ht="17.15" hidden="false" customHeight="false" outlineLevel="0" collapsed="false">
      <c r="A424" s="0" t="s">
        <v>489</v>
      </c>
      <c r="B424" s="0" t="s">
        <v>53</v>
      </c>
      <c r="D424" s="14" t="n">
        <f aca="false">D423/C423-1</f>
        <v>1.15499904075659</v>
      </c>
      <c r="E424" s="14" t="n">
        <f aca="false">E423/D423-1</f>
        <v>0.408663136098463</v>
      </c>
      <c r="F424" s="14" t="n">
        <f aca="false">F423/E423-1</f>
        <v>0.271032309414245</v>
      </c>
      <c r="G424" s="14" t="n">
        <f aca="false">G423/F423-1</f>
        <v>0.0657860969348294</v>
      </c>
    </row>
    <row r="427" customFormat="false" ht="17.15" hidden="false" customHeight="false" outlineLevel="0" collapsed="false">
      <c r="A427" s="1" t="s">
        <v>809</v>
      </c>
    </row>
    <row r="428" customFormat="false" ht="17.15" hidden="false" customHeight="false" outlineLevel="0" collapsed="false">
      <c r="A428" s="5" t="s">
        <v>22</v>
      </c>
      <c r="B428" s="5" t="s">
        <v>23</v>
      </c>
      <c r="C428" s="11" t="s">
        <v>351</v>
      </c>
      <c r="D428" s="11" t="s">
        <v>440</v>
      </c>
      <c r="E428" s="11" t="s">
        <v>441</v>
      </c>
      <c r="F428" s="11" t="s">
        <v>442</v>
      </c>
      <c r="G428" s="11" t="s">
        <v>443</v>
      </c>
      <c r="H428" s="5" t="s">
        <v>416</v>
      </c>
    </row>
    <row r="429" customFormat="false" ht="17.15" hidden="false" customHeight="false" outlineLevel="0" collapsed="false">
      <c r="A429" s="6" t="s">
        <v>459</v>
      </c>
    </row>
    <row r="430" customFormat="false" ht="17.15" hidden="false" customHeight="false" outlineLevel="0" collapsed="false">
      <c r="A430" s="0" t="s">
        <v>460</v>
      </c>
      <c r="B430" s="0" t="s">
        <v>33</v>
      </c>
      <c r="D430" s="20" t="n">
        <f aca="false">itc_26*1</f>
        <v>781.872916666666</v>
      </c>
      <c r="E430" s="20" t="n">
        <f aca="false">itc_27*1*mf_hi</f>
        <v>1878.42</v>
      </c>
      <c r="F430" s="20" t="n">
        <f aca="false">itc_28*um28_A*mf_hi</f>
        <v>2381.11666666667</v>
      </c>
      <c r="G430" s="20" t="n">
        <f aca="false">itc_29*um29_A*mf_hi</f>
        <v>2712.46833333334</v>
      </c>
    </row>
    <row r="431" customFormat="false" ht="17.15" hidden="false" customHeight="false" outlineLevel="0" collapsed="false">
      <c r="A431" s="4" t="s">
        <v>461</v>
      </c>
      <c r="B431" s="0" t="s">
        <v>33</v>
      </c>
      <c r="D431" s="20" t="n">
        <f aca="false">itpg_gb*(1-vr26)+itpg_vr*vr26</f>
        <v>33.41403216</v>
      </c>
      <c r="E431" s="20" t="n">
        <f aca="false">itpg_vr</f>
        <v>37.586352</v>
      </c>
      <c r="F431" s="20" t="n">
        <f aca="false">itpg_vr</f>
        <v>37.586352</v>
      </c>
      <c r="G431" s="20" t="n">
        <f aca="false">itpg_vr</f>
        <v>37.586352</v>
      </c>
    </row>
    <row r="432" customFormat="false" ht="17.15" hidden="false" customHeight="false" outlineLevel="0" collapsed="false">
      <c r="A432" s="4" t="s">
        <v>462</v>
      </c>
      <c r="B432" s="0" t="s">
        <v>418</v>
      </c>
      <c r="D432" s="17" t="n">
        <f aca="false">D430/D431</f>
        <v>23.3995380420639</v>
      </c>
      <c r="E432" s="17" t="n">
        <f aca="false">E430/E431</f>
        <v>49.9761189912764</v>
      </c>
      <c r="F432" s="17" t="n">
        <f aca="false">F430/F431</f>
        <v>63.3505658294976</v>
      </c>
      <c r="G432" s="17" t="n">
        <f aca="false">G430/G431</f>
        <v>72.1663100833339</v>
      </c>
    </row>
    <row r="433" customFormat="false" ht="17.15" hidden="false" customHeight="false" outlineLevel="0" collapsed="false">
      <c r="A433" s="4" t="s">
        <v>463</v>
      </c>
      <c r="B433" s="0" t="s">
        <v>53</v>
      </c>
      <c r="D433" s="14" t="n">
        <f aca="false">lpenA_26</f>
        <v>0.55</v>
      </c>
      <c r="E433" s="14" t="n">
        <f aca="false">lpenA_27</f>
        <v>0.85</v>
      </c>
      <c r="F433" s="14" t="n">
        <f aca="false">lpenA_28</f>
        <v>0.95</v>
      </c>
      <c r="G433" s="14" t="n">
        <f aca="false">lpenA_29</f>
        <v>0.95</v>
      </c>
    </row>
    <row r="434" customFormat="false" ht="17.15" hidden="false" customHeight="false" outlineLevel="0" collapsed="false">
      <c r="A434" s="4" t="s">
        <v>464</v>
      </c>
      <c r="B434" s="0" t="s">
        <v>423</v>
      </c>
      <c r="D434" s="18" t="n">
        <f aca="false">((1-vr26)*racks_gb*(cool_gb+mani)+vr26*racks_vr*(cool_vr+mani))/1000</f>
        <v>350.7208</v>
      </c>
      <c r="E434" s="18" t="n">
        <f aca="false">racks_vr*(cool_vr+mani)*lcadj_27/1000</f>
        <v>326.5912</v>
      </c>
      <c r="F434" s="18" t="n">
        <f aca="false">racks_vr*(cool_vr+mani)*lcadj_28/1000</f>
        <v>351.7136</v>
      </c>
      <c r="G434" s="18" t="n">
        <f aca="false">racks_vr*(cool_vr+mani)*lcadj_29/1000</f>
        <v>351.7136</v>
      </c>
      <c r="H434" s="4" t="s">
        <v>465</v>
      </c>
    </row>
    <row r="435" customFormat="false" ht="17.15" hidden="false" customHeight="false" outlineLevel="0" collapsed="false">
      <c r="A435" s="0" t="s">
        <v>466</v>
      </c>
      <c r="B435" s="0" t="s">
        <v>33</v>
      </c>
      <c r="D435" s="20" t="n">
        <f aca="false">D432*D433*D434/1000</f>
        <v>4.51368758595869</v>
      </c>
      <c r="E435" s="20" t="n">
        <f aca="false">E432*E433*E434/1000</f>
        <v>13.8734965717982</v>
      </c>
      <c r="F435" s="20" t="n">
        <f aca="false">F432*F433*F434/1000</f>
        <v>21.1671927914331</v>
      </c>
      <c r="G435" s="20" t="n">
        <f aca="false">G432*G433*G434/1000</f>
        <v>24.1127790822194</v>
      </c>
    </row>
    <row r="436" customFormat="false" ht="17.15" hidden="false" customHeight="false" outlineLevel="0" collapsed="false">
      <c r="A436" s="0" t="s">
        <v>467</v>
      </c>
      <c r="B436" s="0" t="s">
        <v>193</v>
      </c>
      <c r="D436" s="19" t="n">
        <f aca="false">D435*fx</f>
        <v>144.438002750678</v>
      </c>
      <c r="E436" s="19" t="n">
        <f aca="false">E435*fx</f>
        <v>443.951890297542</v>
      </c>
      <c r="F436" s="19" t="n">
        <f aca="false">F435*fx</f>
        <v>677.350169325859</v>
      </c>
      <c r="G436" s="19" t="n">
        <f aca="false">G435*fx</f>
        <v>771.60893063102</v>
      </c>
    </row>
    <row r="437" customFormat="false" ht="17.15" hidden="false" customHeight="false" outlineLevel="0" collapsed="false">
      <c r="A437" s="4" t="s">
        <v>468</v>
      </c>
      <c r="B437" s="0" t="s">
        <v>53</v>
      </c>
      <c r="D437" s="14" t="n">
        <f aca="false">a26_lc/D436</f>
        <v>0.498927641116677</v>
      </c>
      <c r="H437" s="8" t="s">
        <v>469</v>
      </c>
    </row>
    <row r="438" customFormat="false" ht="17.15" hidden="false" customHeight="false" outlineLevel="0" collapsed="false">
      <c r="A438" s="4" t="s">
        <v>470</v>
      </c>
      <c r="B438" s="0" t="s">
        <v>74</v>
      </c>
      <c r="D438" s="15" t="n">
        <f aca="false">1</f>
        <v>1</v>
      </c>
      <c r="E438" s="15" t="n">
        <f aca="false">rel_27</f>
        <v>0.95</v>
      </c>
      <c r="F438" s="15" t="n">
        <f aca="false">rel_28</f>
        <v>0.9</v>
      </c>
      <c r="G438" s="15" t="n">
        <f aca="false">rel_29</f>
        <v>0.85</v>
      </c>
    </row>
    <row r="439" customFormat="false" ht="15" hidden="false" customHeight="false" outlineLevel="0" collapsed="false">
      <c r="A439" s="4" t="s">
        <v>430</v>
      </c>
      <c r="B439" s="0" t="s">
        <v>53</v>
      </c>
      <c r="D439" s="14" t="n">
        <f aca="false">$D$437*D438</f>
        <v>0.498927641116677</v>
      </c>
      <c r="E439" s="14" t="n">
        <f aca="false">$D$437*E438</f>
        <v>0.473981259060843</v>
      </c>
      <c r="F439" s="14" t="n">
        <f aca="false">$D$437*F438</f>
        <v>0.449034877005009</v>
      </c>
      <c r="G439" s="14" t="n">
        <f aca="false">$D$437*G438</f>
        <v>0.424088494949176</v>
      </c>
    </row>
    <row r="440" customFormat="false" ht="15" hidden="false" customHeight="false" outlineLevel="0" collapsed="false">
      <c r="A440" s="4" t="s">
        <v>471</v>
      </c>
      <c r="B440" s="0" t="s">
        <v>193</v>
      </c>
      <c r="C440" s="19" t="n">
        <f aca="false">a25_lc</f>
        <v>20.94585</v>
      </c>
      <c r="D440" s="19" t="n">
        <f aca="false">D436*D439</f>
        <v>72.064112</v>
      </c>
      <c r="E440" s="19" t="n">
        <f aca="false">E436*E439</f>
        <v>210.42487592567</v>
      </c>
      <c r="F440" s="19" t="n">
        <f aca="false">F436*F439</f>
        <v>304.15384997256</v>
      </c>
      <c r="G440" s="19" t="n">
        <f aca="false">G436*G439</f>
        <v>327.230470080652</v>
      </c>
    </row>
    <row r="441" customFormat="false" ht="17.15" hidden="false" customHeight="false" outlineLevel="0" collapsed="false">
      <c r="A441" s="6" t="s">
        <v>472</v>
      </c>
    </row>
    <row r="442" customFormat="false" ht="17.15" hidden="false" customHeight="false" outlineLevel="0" collapsed="false">
      <c r="A442" s="0" t="s">
        <v>473</v>
      </c>
      <c r="B442" s="0" t="s">
        <v>474</v>
      </c>
      <c r="D442" s="22" t="n">
        <f aca="false">a26_air/D432</f>
        <v>2.0210686815691</v>
      </c>
    </row>
    <row r="443" customFormat="false" ht="17.15" hidden="false" customHeight="false" outlineLevel="0" collapsed="false">
      <c r="A443" s="0" t="s">
        <v>475</v>
      </c>
      <c r="B443" s="0" t="s">
        <v>74</v>
      </c>
      <c r="D443" s="15" t="n">
        <f aca="false">1</f>
        <v>1</v>
      </c>
      <c r="E443" s="15" t="n">
        <f aca="false">acr_27</f>
        <v>0.75</v>
      </c>
      <c r="F443" s="15" t="n">
        <f aca="false">acr_28</f>
        <v>0.65</v>
      </c>
      <c r="G443" s="15" t="n">
        <f aca="false">acr_29</f>
        <v>0.6</v>
      </c>
    </row>
    <row r="444" customFormat="false" ht="17.15" hidden="false" customHeight="false" outlineLevel="0" collapsed="false">
      <c r="A444" s="0" t="s">
        <v>476</v>
      </c>
      <c r="B444" s="0" t="s">
        <v>193</v>
      </c>
      <c r="C444" s="19" t="n">
        <f aca="false">a25_air</f>
        <v>30.999858</v>
      </c>
      <c r="D444" s="19" t="n">
        <f aca="false">D432*$D$442*D443</f>
        <v>47.2920735</v>
      </c>
      <c r="E444" s="19" t="n">
        <f aca="false">E432*$D$442*E443</f>
        <v>75.7538766897295</v>
      </c>
      <c r="F444" s="19" t="n">
        <f aca="false">F432*$D$442*F443</f>
        <v>83.2232989624913</v>
      </c>
      <c r="G444" s="19" t="n">
        <f aca="false">G432*$D$442*G443</f>
        <v>87.5118415042981</v>
      </c>
    </row>
    <row r="445" customFormat="false" ht="15" hidden="false" customHeight="false" outlineLevel="0" collapsed="false">
      <c r="A445" s="4" t="s">
        <v>477</v>
      </c>
      <c r="B445" s="0" t="s">
        <v>193</v>
      </c>
      <c r="C445" s="19" t="n">
        <f aca="false">a25_gen</f>
        <v>20.666572</v>
      </c>
      <c r="D445" s="19" t="n">
        <f aca="false">a26_gen</f>
        <v>31.528049</v>
      </c>
      <c r="E445" s="19" t="n">
        <f aca="false">D445*(1+g_gen_27)</f>
        <v>34.05029292</v>
      </c>
      <c r="F445" s="19" t="n">
        <f aca="false">E445*(1+g_gen_28)</f>
        <v>36.0933104952</v>
      </c>
      <c r="G445" s="19" t="n">
        <f aca="false">F445*(1+g_gen_29)</f>
        <v>37.89797601996</v>
      </c>
    </row>
    <row r="446" customFormat="false" ht="17.15" hidden="false" customHeight="false" outlineLevel="0" collapsed="false">
      <c r="A446" s="4" t="s">
        <v>478</v>
      </c>
      <c r="B446" s="0" t="s">
        <v>193</v>
      </c>
      <c r="C446" s="19" t="n">
        <f aca="false">a25_nai</f>
        <v>67.02672</v>
      </c>
      <c r="D446" s="19" t="n">
        <f aca="false">a26_nai</f>
        <v>74.3161155</v>
      </c>
      <c r="E446" s="19" t="n">
        <f aca="false">D446*(1+g_nai_27)</f>
        <v>78.77508243</v>
      </c>
      <c r="F446" s="19" t="n">
        <f aca="false">E446*(1+g_nai_28)</f>
        <v>82.7138365515</v>
      </c>
      <c r="G446" s="19" t="n">
        <f aca="false">F446*(1+g_nai_29)</f>
        <v>86.02239001356</v>
      </c>
    </row>
    <row r="447" customFormat="false" ht="17.15" hidden="false" customHeight="false" outlineLevel="0" collapsed="false">
      <c r="A447" s="4" t="s">
        <v>479</v>
      </c>
      <c r="B447" s="0" t="s">
        <v>193</v>
      </c>
      <c r="C447" s="19" t="n">
        <f aca="false">C440+C444+C445</f>
        <v>72.61228</v>
      </c>
      <c r="D447" s="19" t="n">
        <f aca="false">D440+D444+D445</f>
        <v>150.8842345</v>
      </c>
      <c r="E447" s="19" t="n">
        <f aca="false">E440+E444+E445</f>
        <v>320.2290455354</v>
      </c>
      <c r="F447" s="19" t="n">
        <f aca="false">F440+F444+F445</f>
        <v>423.470459430251</v>
      </c>
      <c r="G447" s="19" t="n">
        <f aca="false">G440+G444+G445</f>
        <v>452.64028760491</v>
      </c>
    </row>
    <row r="448" customFormat="false" ht="15" hidden="false" customHeight="false" outlineLevel="0" collapsed="false">
      <c r="A448" s="4" t="s">
        <v>357</v>
      </c>
      <c r="B448" s="0" t="s">
        <v>193</v>
      </c>
      <c r="C448" s="19" t="n">
        <f aca="false">C440+C444+C445+C446</f>
        <v>139.639</v>
      </c>
      <c r="D448" s="19" t="n">
        <f aca="false">D440+D444+D445+D446</f>
        <v>225.20035</v>
      </c>
      <c r="E448" s="19" t="n">
        <f aca="false">E440+E444+E445+E446</f>
        <v>399.0041279654</v>
      </c>
      <c r="F448" s="19" t="n">
        <f aca="false">F440+F444+F445+F446</f>
        <v>506.184295981751</v>
      </c>
      <c r="G448" s="19" t="n">
        <f aca="false">G440+G444+G445+G446</f>
        <v>538.66267761847</v>
      </c>
    </row>
    <row r="449" customFormat="false" ht="15" hidden="false" customHeight="false" outlineLevel="0" collapsed="false">
      <c r="A449" s="4" t="s">
        <v>480</v>
      </c>
      <c r="B449" s="0" t="s">
        <v>193</v>
      </c>
      <c r="C449" s="22" t="n">
        <f aca="false">ROUND(C447+C446-C448,6)</f>
        <v>0</v>
      </c>
      <c r="D449" s="22" t="n">
        <f aca="false">ROUND(D447+D446-D448,6)</f>
        <v>0</v>
      </c>
      <c r="E449" s="22" t="n">
        <f aca="false">ROUND(E447+E446-E448,6)</f>
        <v>0</v>
      </c>
      <c r="F449" s="22" t="n">
        <f aca="false">ROUND(F447+F446-F448,6)</f>
        <v>0</v>
      </c>
      <c r="G449" s="22" t="n">
        <f aca="false">ROUND(G447+G446-G448,6)</f>
        <v>0</v>
      </c>
    </row>
    <row r="450" customFormat="false" ht="15" hidden="false" customHeight="false" outlineLevel="0" collapsed="false">
      <c r="A450" s="4" t="s">
        <v>481</v>
      </c>
      <c r="B450" s="0" t="s">
        <v>53</v>
      </c>
      <c r="D450" s="14" t="n">
        <f aca="false">D448/C448-1</f>
        <v>0.612732474451979</v>
      </c>
      <c r="E450" s="14" t="n">
        <f aca="false">E448/D448-1</f>
        <v>0.771774013519073</v>
      </c>
      <c r="F450" s="14" t="n">
        <f aca="false">F448/E448-1</f>
        <v>0.268619195903771</v>
      </c>
      <c r="G450" s="14" t="n">
        <f aca="false">G448/F448-1</f>
        <v>0.0641631553853859</v>
      </c>
    </row>
    <row r="451" customFormat="false" ht="17.15" hidden="false" customHeight="false" outlineLevel="0" collapsed="false">
      <c r="A451" s="4" t="s">
        <v>482</v>
      </c>
      <c r="B451" s="0" t="s">
        <v>53</v>
      </c>
      <c r="C451" s="14" t="n">
        <f aca="false">C440/C448</f>
        <v>0.15</v>
      </c>
      <c r="D451" s="14" t="n">
        <f aca="false">D440/D448</f>
        <v>0.32</v>
      </c>
      <c r="E451" s="14" t="n">
        <f aca="false">E440/E448</f>
        <v>0.52737518531116</v>
      </c>
      <c r="F451" s="14" t="n">
        <f aca="false">F440/F448</f>
        <v>0.600875713424987</v>
      </c>
      <c r="G451" s="14" t="n">
        <f aca="false">G440/G448</f>
        <v>0.60748680700768</v>
      </c>
    </row>
    <row r="452" customFormat="false" ht="17.15" hidden="false" customHeight="false" outlineLevel="0" collapsed="false">
      <c r="A452" s="0" t="s">
        <v>483</v>
      </c>
      <c r="B452" s="0" t="s">
        <v>53</v>
      </c>
      <c r="C452" s="14" t="n">
        <f aca="false">(C440+C444)/C448</f>
        <v>0.372</v>
      </c>
      <c r="D452" s="14" t="n">
        <f aca="false">(D440+D444)/D448</f>
        <v>0.53</v>
      </c>
      <c r="E452" s="14" t="n">
        <f aca="false">(E440+E444)/E448</f>
        <v>0.717232561163418</v>
      </c>
      <c r="F452" s="14" t="n">
        <f aca="false">(F440+F444)/F448</f>
        <v>0.765288753543268</v>
      </c>
      <c r="G452" s="14" t="n">
        <f aca="false">(G440+G444)/G448</f>
        <v>0.76994811190299</v>
      </c>
    </row>
    <row r="453" customFormat="false" ht="17.15" hidden="false" customHeight="false" outlineLevel="0" collapsed="false">
      <c r="A453" s="4" t="s">
        <v>435</v>
      </c>
      <c r="B453" s="0" t="s">
        <v>423</v>
      </c>
      <c r="D453" s="18" t="n">
        <f aca="false">(D440+D444)/fx/D432*1000</f>
        <v>159.399762088039</v>
      </c>
      <c r="E453" s="18" t="n">
        <f aca="false">(E440+E444)/fx/E432*1000</f>
        <v>178.947189172339</v>
      </c>
      <c r="F453" s="18" t="n">
        <f aca="false">(F440+F444)/fx/F432*1000</f>
        <v>191.088047055512</v>
      </c>
      <c r="G453" s="18" t="n">
        <f aca="false">(G440+G444)/fx/G432*1000</f>
        <v>179.594844492719</v>
      </c>
    </row>
    <row r="454" customFormat="false" ht="17.15" hidden="false" customHeight="false" outlineLevel="0" collapsed="false">
      <c r="A454" s="6" t="s">
        <v>484</v>
      </c>
    </row>
    <row r="455" customFormat="false" ht="17.15" hidden="false" customHeight="false" outlineLevel="0" collapsed="false">
      <c r="A455" s="4" t="s">
        <v>485</v>
      </c>
      <c r="B455" s="0" t="s">
        <v>53</v>
      </c>
      <c r="D455" s="14" t="n">
        <f aca="false">a26_gp/D448-d_lc*D451</f>
        <v>0.302821503074929</v>
      </c>
      <c r="H455" s="8" t="s">
        <v>486</v>
      </c>
    </row>
    <row r="456" customFormat="false" ht="15" hidden="false" customHeight="false" outlineLevel="0" collapsed="false">
      <c r="A456" s="4" t="s">
        <v>361</v>
      </c>
      <c r="B456" s="0" t="s">
        <v>193</v>
      </c>
      <c r="C456" s="19" t="n">
        <f aca="false">a25_gp</f>
        <v>36.034</v>
      </c>
      <c r="D456" s="19" t="n">
        <f aca="false">a26_gp</f>
        <v>72.5193552</v>
      </c>
      <c r="E456" s="19" t="n">
        <f aca="false">$D$455*E448+d_lc*E440</f>
        <v>133.452522319124</v>
      </c>
      <c r="F456" s="19" t="n">
        <f aca="false">$D$455*F448+d_lc*F440</f>
        <v>171.532720340472</v>
      </c>
      <c r="G456" s="19" t="n">
        <f aca="false">$D$455*G448+d_lc*G440</f>
        <v>182.75246989163</v>
      </c>
    </row>
    <row r="457" customFormat="false" ht="15" hidden="false" customHeight="false" outlineLevel="0" collapsed="false">
      <c r="A457" s="4" t="s">
        <v>364</v>
      </c>
      <c r="B457" s="0" t="s">
        <v>53</v>
      </c>
      <c r="C457" s="14" t="n">
        <f aca="false">C456/C448</f>
        <v>0.258051117524474</v>
      </c>
      <c r="D457" s="14" t="n">
        <f aca="false">D456/D448</f>
        <v>0.322021503074929</v>
      </c>
      <c r="E457" s="14" t="n">
        <f aca="false">E456/E448</f>
        <v>0.334464014193598</v>
      </c>
      <c r="F457" s="14" t="n">
        <f aca="false">F456/F448</f>
        <v>0.338874045880428</v>
      </c>
      <c r="G457" s="14" t="n">
        <f aca="false">G456/G448</f>
        <v>0.33927071149539</v>
      </c>
    </row>
    <row r="458" customFormat="false" ht="15" hidden="false" customHeight="false" outlineLevel="0" collapsed="false">
      <c r="A458" s="4" t="s">
        <v>487</v>
      </c>
      <c r="B458" s="0" t="s">
        <v>193</v>
      </c>
      <c r="C458" s="19" t="n">
        <f aca="false">a25_opx</f>
        <v>8.4832253</v>
      </c>
      <c r="D458" s="19" t="n">
        <f aca="false">a26_opx</f>
        <v>11.7048599</v>
      </c>
      <c r="E458" s="19" t="n">
        <f aca="false">D458*(1+MAX(0,phi*E450))</f>
        <v>18.028314591891</v>
      </c>
      <c r="F458" s="19" t="n">
        <f aca="false">E458*(1+MAX(0,phi*F450))</f>
        <v>21.4182405503128</v>
      </c>
      <c r="G458" s="19" t="n">
        <f aca="false">F458*(1+MAX(0,phi*G450))</f>
        <v>22.3802238778707</v>
      </c>
    </row>
    <row r="459" customFormat="false" ht="15" hidden="false" customHeight="false" outlineLevel="0" collapsed="false">
      <c r="A459" s="4" t="s">
        <v>366</v>
      </c>
      <c r="B459" s="0" t="s">
        <v>193</v>
      </c>
      <c r="C459" s="19" t="n">
        <f aca="false">C458</f>
        <v>8.4832253</v>
      </c>
      <c r="D459" s="19" t="n">
        <f aca="false">D458</f>
        <v>11.7048599</v>
      </c>
      <c r="E459" s="19" t="n">
        <f aca="false">E458+0*E448</f>
        <v>18.028314591891</v>
      </c>
      <c r="F459" s="19" t="n">
        <f aca="false">F458+0*F448</f>
        <v>21.4182405503128</v>
      </c>
      <c r="G459" s="19" t="n">
        <f aca="false">G458+0*G448</f>
        <v>22.3802238778707</v>
      </c>
    </row>
    <row r="460" customFormat="false" ht="15" hidden="false" customHeight="false" outlineLevel="0" collapsed="false">
      <c r="A460" s="4" t="s">
        <v>368</v>
      </c>
      <c r="B460" s="0" t="s">
        <v>193</v>
      </c>
      <c r="C460" s="19" t="n">
        <f aca="false">C456-C459</f>
        <v>27.5507747</v>
      </c>
      <c r="D460" s="19" t="n">
        <f aca="false">D456-D459</f>
        <v>60.8144953</v>
      </c>
      <c r="E460" s="19" t="n">
        <f aca="false">E456-E459</f>
        <v>115.424207727233</v>
      </c>
      <c r="F460" s="19" t="n">
        <f aca="false">F456-F459</f>
        <v>150.114479790159</v>
      </c>
      <c r="G460" s="19" t="n">
        <f aca="false">G456-G459</f>
        <v>160.372246013759</v>
      </c>
    </row>
    <row r="461" customFormat="false" ht="15" hidden="false" customHeight="false" outlineLevel="0" collapsed="false">
      <c r="A461" s="4" t="s">
        <v>371</v>
      </c>
      <c r="B461" s="0" t="s">
        <v>53</v>
      </c>
      <c r="C461" s="14" t="n">
        <f aca="false">C460/C448</f>
        <v>0.1973</v>
      </c>
      <c r="D461" s="14" t="n">
        <f aca="false">D460/D448</f>
        <v>0.27004618465291</v>
      </c>
      <c r="E461" s="14" t="n">
        <f aca="false">E460/E448</f>
        <v>0.289280735805425</v>
      </c>
      <c r="F461" s="14" t="n">
        <f aca="false">F460/F448</f>
        <v>0.296560918586007</v>
      </c>
      <c r="G461" s="14" t="n">
        <f aca="false">G460/G448</f>
        <v>0.297722958499363</v>
      </c>
    </row>
    <row r="462" customFormat="false" ht="15" hidden="false" customHeight="false" outlineLevel="0" collapsed="false">
      <c r="A462" s="4" t="s">
        <v>373</v>
      </c>
      <c r="B462" s="0" t="s">
        <v>193</v>
      </c>
      <c r="C462" s="19" t="n">
        <f aca="false">a25_nop</f>
        <v>1.23179436863779</v>
      </c>
      <c r="D462" s="19" t="n">
        <f aca="false">a26_nop</f>
        <v>0.8186111</v>
      </c>
      <c r="E462" s="19" t="n">
        <f aca="false">nop_f</f>
        <v>1</v>
      </c>
      <c r="F462" s="19" t="n">
        <f aca="false">nop_f</f>
        <v>1</v>
      </c>
      <c r="G462" s="19" t="n">
        <f aca="false">nop_f</f>
        <v>1</v>
      </c>
    </row>
    <row r="463" customFormat="false" ht="17.15" hidden="false" customHeight="false" outlineLevel="0" collapsed="false">
      <c r="A463" s="4" t="s">
        <v>236</v>
      </c>
      <c r="B463" s="0" t="s">
        <v>53</v>
      </c>
      <c r="C463" s="14" t="n">
        <f aca="false">a25_ni/(a25_oi+a25_nop)</f>
        <v>0.666583999303438</v>
      </c>
      <c r="D463" s="14" t="n">
        <f aca="false">a26_ni/(a26_oi+a26_nop)</f>
        <v>0.674837141220258</v>
      </c>
      <c r="E463" s="14" t="n">
        <f aca="false">nir_f</f>
        <v>0.675</v>
      </c>
      <c r="F463" s="14" t="n">
        <f aca="false">nir_f</f>
        <v>0.675</v>
      </c>
      <c r="G463" s="14" t="n">
        <f aca="false">nir_f</f>
        <v>0.675</v>
      </c>
    </row>
    <row r="464" customFormat="false" ht="15" hidden="false" customHeight="false" outlineLevel="0" collapsed="false">
      <c r="A464" s="4" t="s">
        <v>377</v>
      </c>
      <c r="B464" s="0" t="s">
        <v>193</v>
      </c>
      <c r="C464" s="19" t="n">
        <f aca="false">a25_ni</f>
        <v>19.186</v>
      </c>
      <c r="D464" s="19" t="n">
        <f aca="false">a26_ni</f>
        <v>41.5923093275</v>
      </c>
      <c r="E464" s="19" t="n">
        <f aca="false">(E460+E462)*E463</f>
        <v>78.5863402158821</v>
      </c>
      <c r="F464" s="19" t="n">
        <f aca="false">(F460+F462)*F463</f>
        <v>102.002273858357</v>
      </c>
      <c r="G464" s="19" t="n">
        <f aca="false">(G460+G462)*G463</f>
        <v>108.926266059288</v>
      </c>
    </row>
    <row r="465" customFormat="false" ht="15" hidden="false" customHeight="false" outlineLevel="0" collapsed="false">
      <c r="A465" s="4" t="s">
        <v>488</v>
      </c>
      <c r="B465" s="4" t="s">
        <v>219</v>
      </c>
      <c r="C465" s="22" t="n">
        <f aca="false">a25_sh</f>
        <v>0.390197274761033</v>
      </c>
      <c r="D465" s="22" t="n">
        <f aca="false">a26_sh</f>
        <v>0.392523574315222</v>
      </c>
      <c r="E465" s="22" t="n">
        <f aca="false">D465*(1+sh_g)</f>
        <v>0.392523574315222</v>
      </c>
      <c r="F465" s="22" t="n">
        <f aca="false">E465*(1+sh_g)</f>
        <v>0.392523574315222</v>
      </c>
      <c r="G465" s="22" t="n">
        <f aca="false">F465*(1+sh_g)</f>
        <v>0.392523574315222</v>
      </c>
    </row>
    <row r="466" customFormat="false" ht="15" hidden="false" customHeight="false" outlineLevel="0" collapsed="false">
      <c r="A466" s="0" t="s">
        <v>382</v>
      </c>
      <c r="B466" s="0" t="s">
        <v>256</v>
      </c>
      <c r="C466" s="20" t="n">
        <f aca="false">C464/C465</f>
        <v>49.17</v>
      </c>
      <c r="D466" s="20" t="n">
        <f aca="false">D464/D465</f>
        <v>105.961302834002</v>
      </c>
      <c r="E466" s="20" t="n">
        <f aca="false">E464/E465</f>
        <v>200.207950192495</v>
      </c>
      <c r="F466" s="20" t="n">
        <f aca="false">F464/F465</f>
        <v>259.862796868457</v>
      </c>
      <c r="G466" s="20" t="n">
        <f aca="false">G464/G465</f>
        <v>277.502481855555</v>
      </c>
    </row>
    <row r="467" customFormat="false" ht="17.15" hidden="false" customHeight="false" outlineLevel="0" collapsed="false">
      <c r="A467" s="0" t="s">
        <v>489</v>
      </c>
      <c r="B467" s="0" t="s">
        <v>53</v>
      </c>
      <c r="D467" s="14" t="n">
        <f aca="false">D466/C466-1</f>
        <v>1.15499904075659</v>
      </c>
      <c r="E467" s="14" t="n">
        <f aca="false">E466/D466-1</f>
        <v>0.88944402190052</v>
      </c>
      <c r="F467" s="14" t="n">
        <f aca="false">F466/E466-1</f>
        <v>0.297964424582569</v>
      </c>
      <c r="G467" s="14" t="n">
        <f aca="false">G466/F466-1</f>
        <v>0.067880763232248</v>
      </c>
    </row>
    <row r="470" customFormat="false" ht="17.15" hidden="false" customHeight="false" outlineLevel="0" collapsed="false">
      <c r="A470" s="1" t="s">
        <v>810</v>
      </c>
    </row>
    <row r="471" customFormat="false" ht="17.15" hidden="false" customHeight="false" outlineLevel="0" collapsed="false">
      <c r="A471" s="5" t="s">
        <v>22</v>
      </c>
      <c r="B471" s="5" t="s">
        <v>23</v>
      </c>
      <c r="C471" s="11" t="s">
        <v>351</v>
      </c>
      <c r="D471" s="11" t="s">
        <v>440</v>
      </c>
      <c r="E471" s="11" t="s">
        <v>441</v>
      </c>
      <c r="F471" s="11" t="s">
        <v>442</v>
      </c>
      <c r="G471" s="11" t="s">
        <v>443</v>
      </c>
      <c r="H471" s="5" t="s">
        <v>416</v>
      </c>
    </row>
    <row r="472" customFormat="false" ht="17.15" hidden="false" customHeight="false" outlineLevel="0" collapsed="false">
      <c r="A472" s="6" t="s">
        <v>459</v>
      </c>
    </row>
    <row r="473" customFormat="false" ht="17.15" hidden="false" customHeight="false" outlineLevel="0" collapsed="false">
      <c r="A473" s="0" t="s">
        <v>460</v>
      </c>
      <c r="B473" s="0" t="s">
        <v>33</v>
      </c>
      <c r="D473" s="20" t="n">
        <f aca="false">itc_26*1</f>
        <v>781.872916666666</v>
      </c>
      <c r="E473" s="20" t="n">
        <f aca="false">itc_27*1*1</f>
        <v>1565.35</v>
      </c>
      <c r="F473" s="20" t="n">
        <f aca="false">itc_28*um28_A*1</f>
        <v>1984.26388888889</v>
      </c>
      <c r="G473" s="20" t="n">
        <f aca="false">itc_29*um29_A*1</f>
        <v>2260.39027777778</v>
      </c>
    </row>
    <row r="474" customFormat="false" ht="17.15" hidden="false" customHeight="false" outlineLevel="0" collapsed="false">
      <c r="A474" s="4" t="s">
        <v>461</v>
      </c>
      <c r="B474" s="0" t="s">
        <v>33</v>
      </c>
      <c r="D474" s="20" t="n">
        <f aca="false">itpg_gb*(1-vr26)+itpg_vr*vr26</f>
        <v>33.41403216</v>
      </c>
      <c r="E474" s="20" t="n">
        <f aca="false">itpg_vr</f>
        <v>37.586352</v>
      </c>
      <c r="F474" s="20" t="n">
        <f aca="false">itpg_vr</f>
        <v>37.586352</v>
      </c>
      <c r="G474" s="20" t="n">
        <f aca="false">itpg_vr</f>
        <v>37.586352</v>
      </c>
    </row>
    <row r="475" customFormat="false" ht="17.15" hidden="false" customHeight="false" outlineLevel="0" collapsed="false">
      <c r="A475" s="4" t="s">
        <v>462</v>
      </c>
      <c r="B475" s="0" t="s">
        <v>418</v>
      </c>
      <c r="D475" s="17" t="n">
        <f aca="false">D473/D474</f>
        <v>23.3995380420639</v>
      </c>
      <c r="E475" s="17" t="n">
        <f aca="false">E473/E474</f>
        <v>41.6467658260637</v>
      </c>
      <c r="F475" s="17" t="n">
        <f aca="false">F473/F474</f>
        <v>52.792138191248</v>
      </c>
      <c r="G475" s="17" t="n">
        <f aca="false">G473/G474</f>
        <v>60.1385917361116</v>
      </c>
    </row>
    <row r="476" customFormat="false" ht="17.15" hidden="false" customHeight="false" outlineLevel="0" collapsed="false">
      <c r="A476" s="4" t="s">
        <v>463</v>
      </c>
      <c r="B476" s="0" t="s">
        <v>53</v>
      </c>
      <c r="D476" s="14" t="n">
        <f aca="false">lpenA_26</f>
        <v>0.55</v>
      </c>
      <c r="E476" s="14" t="n">
        <f aca="false">lpenA_27</f>
        <v>0.85</v>
      </c>
      <c r="F476" s="14" t="n">
        <f aca="false">lpenA_28</f>
        <v>0.95</v>
      </c>
      <c r="G476" s="14" t="n">
        <f aca="false">lpenA_29</f>
        <v>0.95</v>
      </c>
    </row>
    <row r="477" customFormat="false" ht="17.15" hidden="false" customHeight="false" outlineLevel="0" collapsed="false">
      <c r="A477" s="4" t="s">
        <v>464</v>
      </c>
      <c r="B477" s="0" t="s">
        <v>423</v>
      </c>
      <c r="D477" s="18" t="n">
        <f aca="false">((1-vr26)*racks_gb*(cool_gb+mani)+vr26*racks_vr*(cool_vr+mani))/1000</f>
        <v>350.7208</v>
      </c>
      <c r="E477" s="18" t="n">
        <f aca="false">racks_vr*(cool_vr+mani)*lcadj_27/1000</f>
        <v>326.5912</v>
      </c>
      <c r="F477" s="18" t="n">
        <f aca="false">racks_vr*(cool_vr+mani)*lcadj_28/1000</f>
        <v>351.7136</v>
      </c>
      <c r="G477" s="18" t="n">
        <f aca="false">racks_vr*(cool_vr+mani)*lcadj_29/1000</f>
        <v>351.7136</v>
      </c>
      <c r="H477" s="4" t="s">
        <v>465</v>
      </c>
    </row>
    <row r="478" customFormat="false" ht="17.15" hidden="false" customHeight="false" outlineLevel="0" collapsed="false">
      <c r="A478" s="0" t="s">
        <v>466</v>
      </c>
      <c r="B478" s="0" t="s">
        <v>33</v>
      </c>
      <c r="D478" s="20" t="n">
        <f aca="false">D475*D476*D477/1000</f>
        <v>4.51368758595869</v>
      </c>
      <c r="E478" s="20" t="n">
        <f aca="false">E475*E476*E477/1000</f>
        <v>11.5612471431652</v>
      </c>
      <c r="F478" s="20" t="n">
        <f aca="false">F475*F476*F477/1000</f>
        <v>17.6393273261943</v>
      </c>
      <c r="G478" s="20" t="n">
        <f aca="false">G475*G476*G477/1000</f>
        <v>20.0939825685161</v>
      </c>
    </row>
    <row r="479" customFormat="false" ht="17.15" hidden="false" customHeight="false" outlineLevel="0" collapsed="false">
      <c r="A479" s="0" t="s">
        <v>467</v>
      </c>
      <c r="B479" s="0" t="s">
        <v>193</v>
      </c>
      <c r="D479" s="19" t="n">
        <f aca="false">D478*fx</f>
        <v>144.438002750678</v>
      </c>
      <c r="E479" s="19" t="n">
        <f aca="false">E478*fx</f>
        <v>369.959908581285</v>
      </c>
      <c r="F479" s="19" t="n">
        <f aca="false">F478*fx</f>
        <v>564.458474438216</v>
      </c>
      <c r="G479" s="19" t="n">
        <f aca="false">G478*fx</f>
        <v>643.007442192516</v>
      </c>
    </row>
    <row r="480" customFormat="false" ht="17.15" hidden="false" customHeight="false" outlineLevel="0" collapsed="false">
      <c r="A480" s="4" t="s">
        <v>468</v>
      </c>
      <c r="B480" s="0" t="s">
        <v>53</v>
      </c>
      <c r="D480" s="14" t="n">
        <f aca="false">a26_lc/D479</f>
        <v>0.498927641116677</v>
      </c>
      <c r="H480" s="8" t="s">
        <v>469</v>
      </c>
    </row>
    <row r="481" customFormat="false" ht="17.15" hidden="false" customHeight="false" outlineLevel="0" collapsed="false">
      <c r="A481" s="4" t="s">
        <v>470</v>
      </c>
      <c r="B481" s="0" t="s">
        <v>74</v>
      </c>
      <c r="D481" s="15" t="n">
        <f aca="false">1</f>
        <v>1</v>
      </c>
      <c r="E481" s="15" t="n">
        <f aca="false">rel_27</f>
        <v>0.95</v>
      </c>
      <c r="F481" s="15" t="n">
        <f aca="false">rel_28</f>
        <v>0.9</v>
      </c>
      <c r="G481" s="15" t="n">
        <f aca="false">rel_29</f>
        <v>0.85</v>
      </c>
    </row>
    <row r="482" customFormat="false" ht="15" hidden="false" customHeight="false" outlineLevel="0" collapsed="false">
      <c r="A482" s="4" t="s">
        <v>430</v>
      </c>
      <c r="B482" s="0" t="s">
        <v>53</v>
      </c>
      <c r="D482" s="14" t="n">
        <f aca="false">$D$480*D481</f>
        <v>0.498927641116677</v>
      </c>
      <c r="E482" s="14" t="n">
        <f aca="false">$D$480*E481</f>
        <v>0.473981259060843</v>
      </c>
      <c r="F482" s="14" t="n">
        <f aca="false">$D$480*F481</f>
        <v>0.449034877005009</v>
      </c>
      <c r="G482" s="14" t="n">
        <f aca="false">$D$480*G481</f>
        <v>0.424088494949176</v>
      </c>
    </row>
    <row r="483" customFormat="false" ht="15" hidden="false" customHeight="false" outlineLevel="0" collapsed="false">
      <c r="A483" s="4" t="s">
        <v>471</v>
      </c>
      <c r="B483" s="0" t="s">
        <v>193</v>
      </c>
      <c r="C483" s="19" t="n">
        <f aca="false">a25_lc</f>
        <v>20.94585</v>
      </c>
      <c r="D483" s="19" t="n">
        <f aca="false">D479*D482</f>
        <v>72.064112</v>
      </c>
      <c r="E483" s="19" t="n">
        <f aca="false">E479*E482</f>
        <v>175.354063271392</v>
      </c>
      <c r="F483" s="19" t="n">
        <f aca="false">F479*F482</f>
        <v>253.4615416438</v>
      </c>
      <c r="G483" s="19" t="n">
        <f aca="false">G479*G482</f>
        <v>272.692058400543</v>
      </c>
    </row>
    <row r="484" customFormat="false" ht="17.15" hidden="false" customHeight="false" outlineLevel="0" collapsed="false">
      <c r="A484" s="6" t="s">
        <v>472</v>
      </c>
    </row>
    <row r="485" customFormat="false" ht="17.15" hidden="false" customHeight="false" outlineLevel="0" collapsed="false">
      <c r="A485" s="0" t="s">
        <v>473</v>
      </c>
      <c r="B485" s="0" t="s">
        <v>474</v>
      </c>
      <c r="D485" s="22" t="n">
        <f aca="false">a26_air/D475</f>
        <v>2.0210686815691</v>
      </c>
    </row>
    <row r="486" customFormat="false" ht="17.15" hidden="false" customHeight="false" outlineLevel="0" collapsed="false">
      <c r="A486" s="0" t="s">
        <v>475</v>
      </c>
      <c r="B486" s="0" t="s">
        <v>74</v>
      </c>
      <c r="D486" s="15" t="n">
        <f aca="false">1</f>
        <v>1</v>
      </c>
      <c r="E486" s="15" t="n">
        <f aca="false">acr_27</f>
        <v>0.75</v>
      </c>
      <c r="F486" s="15" t="n">
        <f aca="false">acr_28</f>
        <v>0.65</v>
      </c>
      <c r="G486" s="15" t="n">
        <f aca="false">acr_29</f>
        <v>0.6</v>
      </c>
    </row>
    <row r="487" customFormat="false" ht="17.15" hidden="false" customHeight="false" outlineLevel="0" collapsed="false">
      <c r="A487" s="0" t="s">
        <v>476</v>
      </c>
      <c r="B487" s="0" t="s">
        <v>193</v>
      </c>
      <c r="C487" s="19" t="n">
        <f aca="false">a25_air</f>
        <v>30.999858</v>
      </c>
      <c r="D487" s="19" t="n">
        <f aca="false">D475*$D$485*D486</f>
        <v>47.2920735</v>
      </c>
      <c r="E487" s="19" t="n">
        <f aca="false">E475*$D$485*E486</f>
        <v>63.1282305747746</v>
      </c>
      <c r="F487" s="19" t="n">
        <f aca="false">F475*$D$485*F486</f>
        <v>69.3527491354095</v>
      </c>
      <c r="G487" s="19" t="n">
        <f aca="false">G475*$D$485*G486</f>
        <v>72.9265345869151</v>
      </c>
    </row>
    <row r="488" customFormat="false" ht="15" hidden="false" customHeight="false" outlineLevel="0" collapsed="false">
      <c r="A488" s="4" t="s">
        <v>477</v>
      </c>
      <c r="B488" s="0" t="s">
        <v>193</v>
      </c>
      <c r="C488" s="19" t="n">
        <f aca="false">a25_gen</f>
        <v>20.666572</v>
      </c>
      <c r="D488" s="19" t="n">
        <f aca="false">a26_gen</f>
        <v>31.528049</v>
      </c>
      <c r="E488" s="19" t="n">
        <f aca="false">D488*(1+GGLO_27)</f>
        <v>31.528049</v>
      </c>
      <c r="F488" s="19" t="n">
        <f aca="false">E488*(1+GGLO_28)</f>
        <v>31.528049</v>
      </c>
      <c r="G488" s="19" t="n">
        <f aca="false">F488*(1+GGLO_29)</f>
        <v>31.528049</v>
      </c>
    </row>
    <row r="489" customFormat="false" ht="17.15" hidden="false" customHeight="false" outlineLevel="0" collapsed="false">
      <c r="A489" s="4" t="s">
        <v>478</v>
      </c>
      <c r="B489" s="0" t="s">
        <v>193</v>
      </c>
      <c r="C489" s="19" t="n">
        <f aca="false">a25_nai</f>
        <v>67.02672</v>
      </c>
      <c r="D489" s="19" t="n">
        <f aca="false">a26_nai</f>
        <v>74.3161155</v>
      </c>
      <c r="E489" s="19" t="n">
        <f aca="false">D489*(1+GNLO_27)</f>
        <v>74.3161155</v>
      </c>
      <c r="F489" s="19" t="n">
        <f aca="false">E489*(1+GNLO_28)</f>
        <v>74.3161155</v>
      </c>
      <c r="G489" s="19" t="n">
        <f aca="false">F489*(1+GNLO_29)</f>
        <v>74.3161155</v>
      </c>
    </row>
    <row r="490" customFormat="false" ht="17.15" hidden="false" customHeight="false" outlineLevel="0" collapsed="false">
      <c r="A490" s="4" t="s">
        <v>479</v>
      </c>
      <c r="B490" s="0" t="s">
        <v>193</v>
      </c>
      <c r="C490" s="19" t="n">
        <f aca="false">C483+C487+C488</f>
        <v>72.61228</v>
      </c>
      <c r="D490" s="19" t="n">
        <f aca="false">D483+D487+D488</f>
        <v>150.8842345</v>
      </c>
      <c r="E490" s="19" t="n">
        <f aca="false">E483+E487+E488</f>
        <v>270.010342846167</v>
      </c>
      <c r="F490" s="19" t="n">
        <f aca="false">F483+F487+F488</f>
        <v>354.342339779209</v>
      </c>
      <c r="G490" s="19" t="n">
        <f aca="false">G483+G487+G488</f>
        <v>377.146641987458</v>
      </c>
    </row>
    <row r="491" customFormat="false" ht="15" hidden="false" customHeight="false" outlineLevel="0" collapsed="false">
      <c r="A491" s="4" t="s">
        <v>357</v>
      </c>
      <c r="B491" s="0" t="s">
        <v>193</v>
      </c>
      <c r="C491" s="19" t="n">
        <f aca="false">C483+C487+C488+C489</f>
        <v>139.639</v>
      </c>
      <c r="D491" s="19" t="n">
        <f aca="false">D483+D487+D488+D489</f>
        <v>225.20035</v>
      </c>
      <c r="E491" s="19" t="n">
        <f aca="false">E483+E487+E488+E489</f>
        <v>344.326458346167</v>
      </c>
      <c r="F491" s="19" t="n">
        <f aca="false">F483+F487+F488+F489</f>
        <v>428.658455279209</v>
      </c>
      <c r="G491" s="19" t="n">
        <f aca="false">G483+G487+G488+G489</f>
        <v>451.462757487458</v>
      </c>
    </row>
    <row r="492" customFormat="false" ht="15" hidden="false" customHeight="false" outlineLevel="0" collapsed="false">
      <c r="A492" s="4" t="s">
        <v>480</v>
      </c>
      <c r="B492" s="0" t="s">
        <v>193</v>
      </c>
      <c r="C492" s="22" t="n">
        <f aca="false">ROUND(C490+C489-C491,6)</f>
        <v>0</v>
      </c>
      <c r="D492" s="22" t="n">
        <f aca="false">ROUND(D490+D489-D491,6)</f>
        <v>0</v>
      </c>
      <c r="E492" s="22" t="n">
        <f aca="false">ROUND(E490+E489-E491,6)</f>
        <v>0</v>
      </c>
      <c r="F492" s="22" t="n">
        <f aca="false">ROUND(F490+F489-F491,6)</f>
        <v>0</v>
      </c>
      <c r="G492" s="22" t="n">
        <f aca="false">ROUND(G490+G489-G491,6)</f>
        <v>0</v>
      </c>
    </row>
    <row r="493" customFormat="false" ht="15" hidden="false" customHeight="false" outlineLevel="0" collapsed="false">
      <c r="A493" s="4" t="s">
        <v>481</v>
      </c>
      <c r="B493" s="0" t="s">
        <v>53</v>
      </c>
      <c r="D493" s="14" t="n">
        <f aca="false">D491/C491-1</f>
        <v>0.612732474451979</v>
      </c>
      <c r="E493" s="14" t="n">
        <f aca="false">E491/D491-1</f>
        <v>0.528978344599227</v>
      </c>
      <c r="F493" s="14" t="n">
        <f aca="false">F491/E491-1</f>
        <v>0.244918724335322</v>
      </c>
      <c r="G493" s="14" t="n">
        <f aca="false">G491/F491-1</f>
        <v>0.0531992357257847</v>
      </c>
    </row>
    <row r="494" customFormat="false" ht="17.15" hidden="false" customHeight="false" outlineLevel="0" collapsed="false">
      <c r="A494" s="4" t="s">
        <v>482</v>
      </c>
      <c r="B494" s="0" t="s">
        <v>53</v>
      </c>
      <c r="C494" s="14" t="n">
        <f aca="false">C483/C491</f>
        <v>0.15</v>
      </c>
      <c r="D494" s="14" t="n">
        <f aca="false">D483/D491</f>
        <v>0.32</v>
      </c>
      <c r="E494" s="14" t="n">
        <f aca="false">E483/E491</f>
        <v>0.509266886180152</v>
      </c>
      <c r="F494" s="14" t="n">
        <f aca="false">F483/F491</f>
        <v>0.591290195077818</v>
      </c>
      <c r="G494" s="14" t="n">
        <f aca="false">G483/G491</f>
        <v>0.604018944814332</v>
      </c>
    </row>
    <row r="495" customFormat="false" ht="17.15" hidden="false" customHeight="false" outlineLevel="0" collapsed="false">
      <c r="A495" s="0" t="s">
        <v>483</v>
      </c>
      <c r="B495" s="0" t="s">
        <v>53</v>
      </c>
      <c r="C495" s="14" t="n">
        <f aca="false">(C483+C487)/C491</f>
        <v>0.372</v>
      </c>
      <c r="D495" s="14" t="n">
        <f aca="false">(D483+D487)/D491</f>
        <v>0.53</v>
      </c>
      <c r="E495" s="14" t="n">
        <f aca="false">(E483+E487)/E491</f>
        <v>0.692605195057098</v>
      </c>
      <c r="F495" s="14" t="n">
        <f aca="false">(F483+F487)/F491</f>
        <v>0.753080422895058</v>
      </c>
      <c r="G495" s="14" t="n">
        <f aca="false">(G483+G487)/G491</f>
        <v>0.765552832997658</v>
      </c>
    </row>
    <row r="496" customFormat="false" ht="17.15" hidden="false" customHeight="false" outlineLevel="0" collapsed="false">
      <c r="A496" s="4" t="s">
        <v>435</v>
      </c>
      <c r="B496" s="0" t="s">
        <v>423</v>
      </c>
      <c r="D496" s="18" t="n">
        <f aca="false">(D483+D487)/fx/D475*1000</f>
        <v>159.399762088039</v>
      </c>
      <c r="E496" s="18" t="n">
        <f aca="false">(E483+E487)/fx/E475*1000</f>
        <v>178.947189172339</v>
      </c>
      <c r="F496" s="18" t="n">
        <f aca="false">(F483+F487)/fx/F475*1000</f>
        <v>191.088047055512</v>
      </c>
      <c r="G496" s="18" t="n">
        <f aca="false">(G483+G487)/fx/G475*1000</f>
        <v>179.594844492719</v>
      </c>
    </row>
    <row r="497" customFormat="false" ht="17.15" hidden="false" customHeight="false" outlineLevel="0" collapsed="false">
      <c r="A497" s="6" t="s">
        <v>484</v>
      </c>
    </row>
    <row r="498" customFormat="false" ht="17.15" hidden="false" customHeight="false" outlineLevel="0" collapsed="false">
      <c r="A498" s="4" t="s">
        <v>485</v>
      </c>
      <c r="B498" s="0" t="s">
        <v>53</v>
      </c>
      <c r="D498" s="14" t="n">
        <f aca="false">a26_gp/D491-d_lc*D494</f>
        <v>0.302821503074929</v>
      </c>
      <c r="H498" s="8" t="s">
        <v>486</v>
      </c>
    </row>
    <row r="499" customFormat="false" ht="15" hidden="false" customHeight="false" outlineLevel="0" collapsed="false">
      <c r="A499" s="4" t="s">
        <v>361</v>
      </c>
      <c r="B499" s="0" t="s">
        <v>193</v>
      </c>
      <c r="C499" s="19" t="n">
        <f aca="false">a25_gp</f>
        <v>36.034</v>
      </c>
      <c r="D499" s="19" t="n">
        <f aca="false">a26_gp</f>
        <v>72.5193552</v>
      </c>
      <c r="E499" s="19" t="n">
        <f aca="false">$D$498*E491+d_lc*E483</f>
        <v>114.790699461136</v>
      </c>
      <c r="F499" s="19" t="n">
        <f aca="false">$D$498*F491+d_lc*F483</f>
        <v>145.014690232055</v>
      </c>
      <c r="G499" s="19" t="n">
        <f aca="false">$D$498*G491+d_lc*G483</f>
        <v>153.074154308737</v>
      </c>
    </row>
    <row r="500" customFormat="false" ht="15" hidden="false" customHeight="false" outlineLevel="0" collapsed="false">
      <c r="A500" s="4" t="s">
        <v>364</v>
      </c>
      <c r="B500" s="0" t="s">
        <v>53</v>
      </c>
      <c r="C500" s="14" t="n">
        <f aca="false">C499/C491</f>
        <v>0.258051117524474</v>
      </c>
      <c r="D500" s="14" t="n">
        <f aca="false">D499/D491</f>
        <v>0.322021503074929</v>
      </c>
      <c r="E500" s="14" t="n">
        <f aca="false">E499/E491</f>
        <v>0.333377516245738</v>
      </c>
      <c r="F500" s="14" t="n">
        <f aca="false">F499/F491</f>
        <v>0.338298914779598</v>
      </c>
      <c r="G500" s="14" t="n">
        <f aca="false">G499/G491</f>
        <v>0.339062639763789</v>
      </c>
    </row>
    <row r="501" customFormat="false" ht="15" hidden="false" customHeight="false" outlineLevel="0" collapsed="false">
      <c r="A501" s="4" t="s">
        <v>487</v>
      </c>
      <c r="B501" s="0" t="s">
        <v>193</v>
      </c>
      <c r="C501" s="19" t="n">
        <f aca="false">a25_opx</f>
        <v>8.4832253</v>
      </c>
      <c r="D501" s="19" t="n">
        <f aca="false">a26_opx</f>
        <v>11.7048599</v>
      </c>
      <c r="E501" s="19" t="n">
        <f aca="false">D501*(1+MAX(0,phi*E493))</f>
        <v>16.0389920895675</v>
      </c>
      <c r="F501" s="19" t="n">
        <f aca="false">E501*(1+MAX(0,phi*F493))</f>
        <v>18.7887667271084</v>
      </c>
      <c r="G501" s="19" t="n">
        <f aca="false">F501*(1+MAX(0,phi*G493))</f>
        <v>19.4884503481869</v>
      </c>
    </row>
    <row r="502" customFormat="false" ht="15" hidden="false" customHeight="false" outlineLevel="0" collapsed="false">
      <c r="A502" s="4" t="s">
        <v>366</v>
      </c>
      <c r="B502" s="0" t="s">
        <v>193</v>
      </c>
      <c r="C502" s="19" t="n">
        <f aca="false">C501</f>
        <v>8.4832253</v>
      </c>
      <c r="D502" s="19" t="n">
        <f aca="false">D501</f>
        <v>11.7048599</v>
      </c>
      <c r="E502" s="19" t="n">
        <f aca="false">E501+0*E491</f>
        <v>16.0389920895675</v>
      </c>
      <c r="F502" s="19" t="n">
        <f aca="false">F501+0*F491</f>
        <v>18.7887667271084</v>
      </c>
      <c r="G502" s="19" t="n">
        <f aca="false">G501+0*G491</f>
        <v>19.4884503481869</v>
      </c>
    </row>
    <row r="503" customFormat="false" ht="15" hidden="false" customHeight="false" outlineLevel="0" collapsed="false">
      <c r="A503" s="4" t="s">
        <v>368</v>
      </c>
      <c r="B503" s="0" t="s">
        <v>193</v>
      </c>
      <c r="C503" s="19" t="n">
        <f aca="false">C499-C502</f>
        <v>27.5507747</v>
      </c>
      <c r="D503" s="19" t="n">
        <f aca="false">D499-D502</f>
        <v>60.8144953</v>
      </c>
      <c r="E503" s="19" t="n">
        <f aca="false">E499-E502</f>
        <v>98.751707371569</v>
      </c>
      <c r="F503" s="19" t="n">
        <f aca="false">F499-F502</f>
        <v>126.225923504947</v>
      </c>
      <c r="G503" s="19" t="n">
        <f aca="false">G499-G502</f>
        <v>133.58570396055</v>
      </c>
    </row>
    <row r="504" customFormat="false" ht="15" hidden="false" customHeight="false" outlineLevel="0" collapsed="false">
      <c r="A504" s="4" t="s">
        <v>371</v>
      </c>
      <c r="B504" s="0" t="s">
        <v>53</v>
      </c>
      <c r="C504" s="14" t="n">
        <f aca="false">C503/C491</f>
        <v>0.1973</v>
      </c>
      <c r="D504" s="14" t="n">
        <f aca="false">D503/D491</f>
        <v>0.27004618465291</v>
      </c>
      <c r="E504" s="14" t="n">
        <f aca="false">E503/E491</f>
        <v>0.28679674471106</v>
      </c>
      <c r="F504" s="14" t="n">
        <f aca="false">F503/F491</f>
        <v>0.294467359620211</v>
      </c>
      <c r="G504" s="14" t="n">
        <f aca="false">G503/G491</f>
        <v>0.29589529090727</v>
      </c>
    </row>
    <row r="505" customFormat="false" ht="15" hidden="false" customHeight="false" outlineLevel="0" collapsed="false">
      <c r="A505" s="4" t="s">
        <v>373</v>
      </c>
      <c r="B505" s="0" t="s">
        <v>193</v>
      </c>
      <c r="C505" s="19" t="n">
        <f aca="false">a25_nop</f>
        <v>1.23179436863779</v>
      </c>
      <c r="D505" s="19" t="n">
        <f aca="false">a26_nop</f>
        <v>0.8186111</v>
      </c>
      <c r="E505" s="19" t="n">
        <f aca="false">nop_f</f>
        <v>1</v>
      </c>
      <c r="F505" s="19" t="n">
        <f aca="false">nop_f</f>
        <v>1</v>
      </c>
      <c r="G505" s="19" t="n">
        <f aca="false">nop_f</f>
        <v>1</v>
      </c>
    </row>
    <row r="506" customFormat="false" ht="17.15" hidden="false" customHeight="false" outlineLevel="0" collapsed="false">
      <c r="A506" s="4" t="s">
        <v>236</v>
      </c>
      <c r="B506" s="0" t="s">
        <v>53</v>
      </c>
      <c r="C506" s="14" t="n">
        <f aca="false">a25_ni/(a25_oi+a25_nop)</f>
        <v>0.666583999303438</v>
      </c>
      <c r="D506" s="14" t="n">
        <f aca="false">a26_ni/(a26_oi+a26_nop)</f>
        <v>0.674837141220258</v>
      </c>
      <c r="E506" s="14" t="n">
        <f aca="false">nir_f</f>
        <v>0.675</v>
      </c>
      <c r="F506" s="14" t="n">
        <f aca="false">nir_f</f>
        <v>0.675</v>
      </c>
      <c r="G506" s="14" t="n">
        <f aca="false">nir_f</f>
        <v>0.675</v>
      </c>
    </row>
    <row r="507" customFormat="false" ht="15" hidden="false" customHeight="false" outlineLevel="0" collapsed="false">
      <c r="A507" s="4" t="s">
        <v>377</v>
      </c>
      <c r="B507" s="0" t="s">
        <v>193</v>
      </c>
      <c r="C507" s="19" t="n">
        <f aca="false">a25_ni</f>
        <v>19.186</v>
      </c>
      <c r="D507" s="19" t="n">
        <f aca="false">a26_ni</f>
        <v>41.5923093275</v>
      </c>
      <c r="E507" s="19" t="n">
        <f aca="false">(E503+E505)*E506</f>
        <v>67.3324024758091</v>
      </c>
      <c r="F507" s="19" t="n">
        <f aca="false">(F503+F505)*F506</f>
        <v>85.8774983658391</v>
      </c>
      <c r="G507" s="19" t="n">
        <f aca="false">(G503+G505)*G506</f>
        <v>90.8453501733712</v>
      </c>
    </row>
    <row r="508" customFormat="false" ht="15" hidden="false" customHeight="false" outlineLevel="0" collapsed="false">
      <c r="A508" s="4" t="s">
        <v>488</v>
      </c>
      <c r="B508" s="4" t="s">
        <v>219</v>
      </c>
      <c r="C508" s="22" t="n">
        <f aca="false">a25_sh</f>
        <v>0.390197274761033</v>
      </c>
      <c r="D508" s="22" t="n">
        <f aca="false">a26_sh</f>
        <v>0.392523574315222</v>
      </c>
      <c r="E508" s="22" t="n">
        <f aca="false">D508*(1+sh_g)</f>
        <v>0.392523574315222</v>
      </c>
      <c r="F508" s="22" t="n">
        <f aca="false">E508*(1+sh_g)</f>
        <v>0.392523574315222</v>
      </c>
      <c r="G508" s="22" t="n">
        <f aca="false">F508*(1+sh_g)</f>
        <v>0.392523574315222</v>
      </c>
    </row>
    <row r="509" customFormat="false" ht="15" hidden="false" customHeight="false" outlineLevel="0" collapsed="false">
      <c r="A509" s="0" t="s">
        <v>382</v>
      </c>
      <c r="B509" s="0" t="s">
        <v>256</v>
      </c>
      <c r="C509" s="20" t="n">
        <f aca="false">C507/C508</f>
        <v>49.17</v>
      </c>
      <c r="D509" s="20" t="n">
        <f aca="false">D507/D508</f>
        <v>105.961302834002</v>
      </c>
      <c r="E509" s="20" t="n">
        <f aca="false">E507/E508</f>
        <v>171.537219371534</v>
      </c>
      <c r="F509" s="20" t="n">
        <f aca="false">F507/F508</f>
        <v>218.783033644939</v>
      </c>
      <c r="G509" s="20" t="n">
        <f aca="false">G507/G508</f>
        <v>231.439220770002</v>
      </c>
    </row>
    <row r="510" customFormat="false" ht="17.15" hidden="false" customHeight="false" outlineLevel="0" collapsed="false">
      <c r="A510" s="0" t="s">
        <v>489</v>
      </c>
      <c r="B510" s="0" t="s">
        <v>53</v>
      </c>
      <c r="D510" s="14" t="n">
        <f aca="false">D509/C509-1</f>
        <v>1.15499904075659</v>
      </c>
      <c r="E510" s="14" t="n">
        <f aca="false">E509/D509-1</f>
        <v>0.618866650217237</v>
      </c>
      <c r="F510" s="14" t="n">
        <f aca="false">F509/E509-1</f>
        <v>0.275426023847773</v>
      </c>
      <c r="G510" s="14" t="n">
        <f aca="false">G509/F509-1</f>
        <v>0.0578481197294425</v>
      </c>
    </row>
    <row r="513" customFormat="false" ht="17.15" hidden="false" customHeight="false" outlineLevel="0" collapsed="false">
      <c r="A513" s="1" t="s">
        <v>811</v>
      </c>
    </row>
    <row r="514" customFormat="false" ht="17.15" hidden="false" customHeight="false" outlineLevel="0" collapsed="false">
      <c r="A514" s="5" t="s">
        <v>22</v>
      </c>
      <c r="B514" s="5" t="s">
        <v>23</v>
      </c>
      <c r="C514" s="11" t="s">
        <v>351</v>
      </c>
      <c r="D514" s="11" t="s">
        <v>440</v>
      </c>
      <c r="E514" s="11" t="s">
        <v>441</v>
      </c>
      <c r="F514" s="11" t="s">
        <v>442</v>
      </c>
      <c r="G514" s="11" t="s">
        <v>443</v>
      </c>
      <c r="H514" s="5" t="s">
        <v>416</v>
      </c>
    </row>
    <row r="515" customFormat="false" ht="17.15" hidden="false" customHeight="false" outlineLevel="0" collapsed="false">
      <c r="A515" s="6" t="s">
        <v>459</v>
      </c>
    </row>
    <row r="516" customFormat="false" ht="17.15" hidden="false" customHeight="false" outlineLevel="0" collapsed="false">
      <c r="A516" s="0" t="s">
        <v>460</v>
      </c>
      <c r="B516" s="0" t="s">
        <v>33</v>
      </c>
      <c r="D516" s="20" t="n">
        <f aca="false">itc_26*1</f>
        <v>781.872916666666</v>
      </c>
      <c r="E516" s="20" t="n">
        <f aca="false">itc_27*1*1</f>
        <v>1565.35</v>
      </c>
      <c r="F516" s="20" t="n">
        <f aca="false">itc_28*um28_A*1</f>
        <v>1984.26388888889</v>
      </c>
      <c r="G516" s="20" t="n">
        <f aca="false">itc_29*um29_A*1</f>
        <v>2260.39027777778</v>
      </c>
    </row>
    <row r="517" customFormat="false" ht="17.15" hidden="false" customHeight="false" outlineLevel="0" collapsed="false">
      <c r="A517" s="4" t="s">
        <v>461</v>
      </c>
      <c r="B517" s="0" t="s">
        <v>33</v>
      </c>
      <c r="D517" s="20" t="n">
        <f aca="false">itpg_gb*(1-vr26)+itpg_vr*vr26</f>
        <v>33.41403216</v>
      </c>
      <c r="E517" s="20" t="n">
        <f aca="false">itpg_vr</f>
        <v>37.586352</v>
      </c>
      <c r="F517" s="20" t="n">
        <f aca="false">itpg_vr</f>
        <v>37.586352</v>
      </c>
      <c r="G517" s="20" t="n">
        <f aca="false">itpg_vr</f>
        <v>37.586352</v>
      </c>
    </row>
    <row r="518" customFormat="false" ht="17.15" hidden="false" customHeight="false" outlineLevel="0" collapsed="false">
      <c r="A518" s="4" t="s">
        <v>462</v>
      </c>
      <c r="B518" s="0" t="s">
        <v>418</v>
      </c>
      <c r="D518" s="17" t="n">
        <f aca="false">D516/D517</f>
        <v>23.3995380420639</v>
      </c>
      <c r="E518" s="17" t="n">
        <f aca="false">E516/E517</f>
        <v>41.6467658260637</v>
      </c>
      <c r="F518" s="17" t="n">
        <f aca="false">F516/F517</f>
        <v>52.792138191248</v>
      </c>
      <c r="G518" s="17" t="n">
        <f aca="false">G516/G517</f>
        <v>60.1385917361116</v>
      </c>
    </row>
    <row r="519" customFormat="false" ht="17.15" hidden="false" customHeight="false" outlineLevel="0" collapsed="false">
      <c r="A519" s="4" t="s">
        <v>463</v>
      </c>
      <c r="B519" s="0" t="s">
        <v>53</v>
      </c>
      <c r="D519" s="14" t="n">
        <f aca="false">lpenA_26</f>
        <v>0.55</v>
      </c>
      <c r="E519" s="14" t="n">
        <f aca="false">lpenA_27</f>
        <v>0.85</v>
      </c>
      <c r="F519" s="14" t="n">
        <f aca="false">lpenA_28</f>
        <v>0.95</v>
      </c>
      <c r="G519" s="14" t="n">
        <f aca="false">lpenA_29</f>
        <v>0.95</v>
      </c>
    </row>
    <row r="520" customFormat="false" ht="17.15" hidden="false" customHeight="false" outlineLevel="0" collapsed="false">
      <c r="A520" s="4" t="s">
        <v>464</v>
      </c>
      <c r="B520" s="0" t="s">
        <v>423</v>
      </c>
      <c r="D520" s="18" t="n">
        <f aca="false">((1-vr26)*racks_gb*(cool_gb+mani)+vr26*racks_vr*(cool_vr+mani))/1000</f>
        <v>350.7208</v>
      </c>
      <c r="E520" s="18" t="n">
        <f aca="false">racks_vr*(cool_vr+mani)*lcadj_27/1000</f>
        <v>326.5912</v>
      </c>
      <c r="F520" s="18" t="n">
        <f aca="false">racks_vr*(cool_vr+mani)*lcadj_28/1000</f>
        <v>351.7136</v>
      </c>
      <c r="G520" s="18" t="n">
        <f aca="false">racks_vr*(cool_vr+mani)*lcadj_29/1000</f>
        <v>351.7136</v>
      </c>
      <c r="H520" s="4" t="s">
        <v>465</v>
      </c>
    </row>
    <row r="521" customFormat="false" ht="17.15" hidden="false" customHeight="false" outlineLevel="0" collapsed="false">
      <c r="A521" s="0" t="s">
        <v>466</v>
      </c>
      <c r="B521" s="0" t="s">
        <v>33</v>
      </c>
      <c r="D521" s="20" t="n">
        <f aca="false">D518*D519*D520/1000</f>
        <v>4.51368758595869</v>
      </c>
      <c r="E521" s="20" t="n">
        <f aca="false">E518*E519*E520/1000</f>
        <v>11.5612471431652</v>
      </c>
      <c r="F521" s="20" t="n">
        <f aca="false">F518*F519*F520/1000</f>
        <v>17.6393273261943</v>
      </c>
      <c r="G521" s="20" t="n">
        <f aca="false">G518*G519*G520/1000</f>
        <v>20.0939825685161</v>
      </c>
    </row>
    <row r="522" customFormat="false" ht="17.15" hidden="false" customHeight="false" outlineLevel="0" collapsed="false">
      <c r="A522" s="0" t="s">
        <v>467</v>
      </c>
      <c r="B522" s="0" t="s">
        <v>193</v>
      </c>
      <c r="D522" s="19" t="n">
        <f aca="false">D521*fx</f>
        <v>144.438002750678</v>
      </c>
      <c r="E522" s="19" t="n">
        <f aca="false">E521*fx</f>
        <v>369.959908581285</v>
      </c>
      <c r="F522" s="19" t="n">
        <f aca="false">F521*fx</f>
        <v>564.458474438216</v>
      </c>
      <c r="G522" s="19" t="n">
        <f aca="false">G521*fx</f>
        <v>643.007442192516</v>
      </c>
    </row>
    <row r="523" customFormat="false" ht="17.15" hidden="false" customHeight="false" outlineLevel="0" collapsed="false">
      <c r="A523" s="4" t="s">
        <v>468</v>
      </c>
      <c r="B523" s="0" t="s">
        <v>53</v>
      </c>
      <c r="D523" s="14" t="n">
        <f aca="false">a26_lc/D522</f>
        <v>0.498927641116677</v>
      </c>
      <c r="H523" s="8" t="s">
        <v>469</v>
      </c>
    </row>
    <row r="524" customFormat="false" ht="17.15" hidden="false" customHeight="false" outlineLevel="0" collapsed="false">
      <c r="A524" s="4" t="s">
        <v>470</v>
      </c>
      <c r="B524" s="0" t="s">
        <v>74</v>
      </c>
      <c r="D524" s="15" t="n">
        <f aca="false">1</f>
        <v>1</v>
      </c>
      <c r="E524" s="15" t="n">
        <f aca="false">rel_27</f>
        <v>0.95</v>
      </c>
      <c r="F524" s="15" t="n">
        <f aca="false">rel_28</f>
        <v>0.9</v>
      </c>
      <c r="G524" s="15" t="n">
        <f aca="false">rel_29</f>
        <v>0.85</v>
      </c>
    </row>
    <row r="525" customFormat="false" ht="15" hidden="false" customHeight="false" outlineLevel="0" collapsed="false">
      <c r="A525" s="4" t="s">
        <v>430</v>
      </c>
      <c r="B525" s="0" t="s">
        <v>53</v>
      </c>
      <c r="D525" s="14" t="n">
        <f aca="false">$D$523*D524</f>
        <v>0.498927641116677</v>
      </c>
      <c r="E525" s="14" t="n">
        <f aca="false">$D$523*E524</f>
        <v>0.473981259060843</v>
      </c>
      <c r="F525" s="14" t="n">
        <f aca="false">$D$523*F524</f>
        <v>0.449034877005009</v>
      </c>
      <c r="G525" s="14" t="n">
        <f aca="false">$D$523*G524</f>
        <v>0.424088494949176</v>
      </c>
    </row>
    <row r="526" customFormat="false" ht="15" hidden="false" customHeight="false" outlineLevel="0" collapsed="false">
      <c r="A526" s="4" t="s">
        <v>471</v>
      </c>
      <c r="B526" s="0" t="s">
        <v>193</v>
      </c>
      <c r="C526" s="19" t="n">
        <f aca="false">a25_lc</f>
        <v>20.94585</v>
      </c>
      <c r="D526" s="19" t="n">
        <f aca="false">D522*D525</f>
        <v>72.064112</v>
      </c>
      <c r="E526" s="19" t="n">
        <f aca="false">E522*E525</f>
        <v>175.354063271392</v>
      </c>
      <c r="F526" s="19" t="n">
        <f aca="false">F522*F525</f>
        <v>253.4615416438</v>
      </c>
      <c r="G526" s="19" t="n">
        <f aca="false">G522*G525</f>
        <v>272.692058400543</v>
      </c>
    </row>
    <row r="527" customFormat="false" ht="17.15" hidden="false" customHeight="false" outlineLevel="0" collapsed="false">
      <c r="A527" s="6" t="s">
        <v>472</v>
      </c>
    </row>
    <row r="528" customFormat="false" ht="17.15" hidden="false" customHeight="false" outlineLevel="0" collapsed="false">
      <c r="A528" s="0" t="s">
        <v>473</v>
      </c>
      <c r="B528" s="0" t="s">
        <v>474</v>
      </c>
      <c r="D528" s="22" t="n">
        <f aca="false">a26_air/D518</f>
        <v>2.0210686815691</v>
      </c>
    </row>
    <row r="529" customFormat="false" ht="17.15" hidden="false" customHeight="false" outlineLevel="0" collapsed="false">
      <c r="A529" s="0" t="s">
        <v>475</v>
      </c>
      <c r="B529" s="0" t="s">
        <v>74</v>
      </c>
      <c r="D529" s="15" t="n">
        <f aca="false">1</f>
        <v>1</v>
      </c>
      <c r="E529" s="15" t="n">
        <f aca="false">acr_27</f>
        <v>0.75</v>
      </c>
      <c r="F529" s="15" t="n">
        <f aca="false">acr_28</f>
        <v>0.65</v>
      </c>
      <c r="G529" s="15" t="n">
        <f aca="false">acr_29</f>
        <v>0.6</v>
      </c>
    </row>
    <row r="530" customFormat="false" ht="17.15" hidden="false" customHeight="false" outlineLevel="0" collapsed="false">
      <c r="A530" s="0" t="s">
        <v>476</v>
      </c>
      <c r="B530" s="0" t="s">
        <v>193</v>
      </c>
      <c r="C530" s="19" t="n">
        <f aca="false">a25_air</f>
        <v>30.999858</v>
      </c>
      <c r="D530" s="19" t="n">
        <f aca="false">D518*$D$528*D529</f>
        <v>47.2920735</v>
      </c>
      <c r="E530" s="19" t="n">
        <f aca="false">E518*$D$528*E529</f>
        <v>63.1282305747746</v>
      </c>
      <c r="F530" s="19" t="n">
        <f aca="false">F518*$D$528*F529</f>
        <v>69.3527491354095</v>
      </c>
      <c r="G530" s="19" t="n">
        <f aca="false">G518*$D$528*G529</f>
        <v>72.9265345869151</v>
      </c>
    </row>
    <row r="531" customFormat="false" ht="15" hidden="false" customHeight="false" outlineLevel="0" collapsed="false">
      <c r="A531" s="4" t="s">
        <v>477</v>
      </c>
      <c r="B531" s="0" t="s">
        <v>193</v>
      </c>
      <c r="C531" s="19" t="n">
        <f aca="false">a25_gen</f>
        <v>20.666572</v>
      </c>
      <c r="D531" s="19" t="n">
        <f aca="false">a26_gen</f>
        <v>31.528049</v>
      </c>
      <c r="E531" s="19" t="n">
        <f aca="false">D531*(1+GGHI_27)</f>
        <v>36.25725635</v>
      </c>
      <c r="F531" s="19" t="n">
        <f aca="false">E531*(1+GGHI_28)</f>
        <v>40.608127112</v>
      </c>
      <c r="G531" s="19" t="n">
        <f aca="false">F531*(1+GGHI_29)</f>
        <v>44.6689398232</v>
      </c>
    </row>
    <row r="532" customFormat="false" ht="17.15" hidden="false" customHeight="false" outlineLevel="0" collapsed="false">
      <c r="A532" s="4" t="s">
        <v>478</v>
      </c>
      <c r="B532" s="0" t="s">
        <v>193</v>
      </c>
      <c r="C532" s="19" t="n">
        <f aca="false">a25_nai</f>
        <v>67.02672</v>
      </c>
      <c r="D532" s="19" t="n">
        <f aca="false">a26_nai</f>
        <v>74.3161155</v>
      </c>
      <c r="E532" s="19" t="n">
        <f aca="false">D532*(1+GNHI_27)</f>
        <v>83.23404936</v>
      </c>
      <c r="F532" s="19" t="n">
        <f aca="false">E532*(1+GNHI_28)</f>
        <v>91.557454296</v>
      </c>
      <c r="G532" s="19" t="n">
        <f aca="false">F532*(1+GNHI_29)</f>
        <v>98.88205063968</v>
      </c>
    </row>
    <row r="533" customFormat="false" ht="17.15" hidden="false" customHeight="false" outlineLevel="0" collapsed="false">
      <c r="A533" s="4" t="s">
        <v>479</v>
      </c>
      <c r="B533" s="0" t="s">
        <v>193</v>
      </c>
      <c r="C533" s="19" t="n">
        <f aca="false">C526+C530+C531</f>
        <v>72.61228</v>
      </c>
      <c r="D533" s="19" t="n">
        <f aca="false">D526+D530+D531</f>
        <v>150.8842345</v>
      </c>
      <c r="E533" s="19" t="n">
        <f aca="false">E526+E530+E531</f>
        <v>274.739550196167</v>
      </c>
      <c r="F533" s="19" t="n">
        <f aca="false">F526+F530+F531</f>
        <v>363.422417891209</v>
      </c>
      <c r="G533" s="19" t="n">
        <f aca="false">G526+G530+G531</f>
        <v>390.287532810658</v>
      </c>
    </row>
    <row r="534" customFormat="false" ht="15" hidden="false" customHeight="false" outlineLevel="0" collapsed="false">
      <c r="A534" s="4" t="s">
        <v>357</v>
      </c>
      <c r="B534" s="0" t="s">
        <v>193</v>
      </c>
      <c r="C534" s="19" t="n">
        <f aca="false">C526+C530+C531+C532</f>
        <v>139.639</v>
      </c>
      <c r="D534" s="19" t="n">
        <f aca="false">D526+D530+D531+D532</f>
        <v>225.20035</v>
      </c>
      <c r="E534" s="19" t="n">
        <f aca="false">E526+E530+E531+E532</f>
        <v>357.973599556166</v>
      </c>
      <c r="F534" s="19" t="n">
        <f aca="false">F526+F530+F531+F532</f>
        <v>454.979872187209</v>
      </c>
      <c r="G534" s="19" t="n">
        <f aca="false">G526+G530+G531+G532</f>
        <v>489.169583450338</v>
      </c>
    </row>
    <row r="535" customFormat="false" ht="15" hidden="false" customHeight="false" outlineLevel="0" collapsed="false">
      <c r="A535" s="4" t="s">
        <v>480</v>
      </c>
      <c r="B535" s="0" t="s">
        <v>193</v>
      </c>
      <c r="C535" s="22" t="n">
        <f aca="false">ROUND(C533+C532-C534,6)</f>
        <v>0</v>
      </c>
      <c r="D535" s="22" t="n">
        <f aca="false">ROUND(D533+D532-D534,6)</f>
        <v>0</v>
      </c>
      <c r="E535" s="22" t="n">
        <f aca="false">ROUND(E533+E532-E534,6)</f>
        <v>0</v>
      </c>
      <c r="F535" s="22" t="n">
        <f aca="false">ROUND(F533+F532-F534,6)</f>
        <v>0</v>
      </c>
      <c r="G535" s="22" t="n">
        <f aca="false">ROUND(G533+G532-G534,6)</f>
        <v>0</v>
      </c>
    </row>
    <row r="536" customFormat="false" ht="15" hidden="false" customHeight="false" outlineLevel="0" collapsed="false">
      <c r="A536" s="4" t="s">
        <v>481</v>
      </c>
      <c r="B536" s="0" t="s">
        <v>53</v>
      </c>
      <c r="D536" s="14" t="n">
        <f aca="false">D534/C534-1</f>
        <v>0.612732474451979</v>
      </c>
      <c r="E536" s="14" t="n">
        <f aca="false">E534/D534-1</f>
        <v>0.589578344599227</v>
      </c>
      <c r="F536" s="14" t="n">
        <f aca="false">F534/E534-1</f>
        <v>0.27098722573764</v>
      </c>
      <c r="G536" s="14" t="n">
        <f aca="false">G534/F534-1</f>
        <v>0.0751455467662126</v>
      </c>
    </row>
    <row r="537" customFormat="false" ht="17.15" hidden="false" customHeight="false" outlineLevel="0" collapsed="false">
      <c r="A537" s="4" t="s">
        <v>482</v>
      </c>
      <c r="B537" s="0" t="s">
        <v>53</v>
      </c>
      <c r="C537" s="14" t="n">
        <f aca="false">C526/C534</f>
        <v>0.15</v>
      </c>
      <c r="D537" s="14" t="n">
        <f aca="false">D526/D534</f>
        <v>0.32</v>
      </c>
      <c r="E537" s="14" t="n">
        <f aca="false">E526/E534</f>
        <v>0.48985194296117</v>
      </c>
      <c r="F537" s="14" t="n">
        <f aca="false">F526/F534</f>
        <v>0.557082976935535</v>
      </c>
      <c r="G537" s="14" t="n">
        <f aca="false">G526/G534</f>
        <v>0.557459146329419</v>
      </c>
    </row>
    <row r="538" customFormat="false" ht="17.15" hidden="false" customHeight="false" outlineLevel="0" collapsed="false">
      <c r="A538" s="0" t="s">
        <v>483</v>
      </c>
      <c r="B538" s="0" t="s">
        <v>53</v>
      </c>
      <c r="C538" s="14" t="n">
        <f aca="false">(C526+C530)/C534</f>
        <v>0.372</v>
      </c>
      <c r="D538" s="14" t="n">
        <f aca="false">(D526+D530)/D534</f>
        <v>0.53</v>
      </c>
      <c r="E538" s="14" t="n">
        <f aca="false">(E526+E530)/E534</f>
        <v>0.666200787269924</v>
      </c>
      <c r="F538" s="14" t="n">
        <f aca="false">(F526+F530)/F534</f>
        <v>0.70951334446369</v>
      </c>
      <c r="G538" s="14" t="n">
        <f aca="false">(G526+G530)/G534</f>
        <v>0.706541462675687</v>
      </c>
    </row>
    <row r="539" customFormat="false" ht="17.15" hidden="false" customHeight="false" outlineLevel="0" collapsed="false">
      <c r="A539" s="4" t="s">
        <v>435</v>
      </c>
      <c r="B539" s="0" t="s">
        <v>423</v>
      </c>
      <c r="D539" s="18" t="n">
        <f aca="false">(D526+D530)/fx/D518*1000</f>
        <v>159.399762088039</v>
      </c>
      <c r="E539" s="18" t="n">
        <f aca="false">(E526+E530)/fx/E518*1000</f>
        <v>178.947189172339</v>
      </c>
      <c r="F539" s="18" t="n">
        <f aca="false">(F526+F530)/fx/F518*1000</f>
        <v>191.088047055512</v>
      </c>
      <c r="G539" s="18" t="n">
        <f aca="false">(G526+G530)/fx/G518*1000</f>
        <v>179.594844492719</v>
      </c>
    </row>
    <row r="540" customFormat="false" ht="17.15" hidden="false" customHeight="false" outlineLevel="0" collapsed="false">
      <c r="A540" s="6" t="s">
        <v>484</v>
      </c>
    </row>
    <row r="541" customFormat="false" ht="17.15" hidden="false" customHeight="false" outlineLevel="0" collapsed="false">
      <c r="A541" s="4" t="s">
        <v>485</v>
      </c>
      <c r="B541" s="0" t="s">
        <v>53</v>
      </c>
      <c r="D541" s="14" t="n">
        <f aca="false">a26_gp/D534-d_lc*D537</f>
        <v>0.302821503074929</v>
      </c>
      <c r="H541" s="8" t="s">
        <v>486</v>
      </c>
    </row>
    <row r="542" customFormat="false" ht="15" hidden="false" customHeight="false" outlineLevel="0" collapsed="false">
      <c r="A542" s="4" t="s">
        <v>361</v>
      </c>
      <c r="B542" s="0" t="s">
        <v>193</v>
      </c>
      <c r="C542" s="19" t="n">
        <f aca="false">a25_gp</f>
        <v>36.034</v>
      </c>
      <c r="D542" s="19" t="n">
        <f aca="false">a26_gp</f>
        <v>72.5193552</v>
      </c>
      <c r="E542" s="19" t="n">
        <f aca="false">$D$541*E534+d_lc*E526</f>
        <v>118.923347275024</v>
      </c>
      <c r="F542" s="19" t="n">
        <f aca="false">$D$541*F534+d_lc*F526</f>
        <v>152.985381263198</v>
      </c>
      <c r="G542" s="19" t="n">
        <f aca="false">$D$541*G534+d_lc*G526</f>
        <v>164.492592023001</v>
      </c>
    </row>
    <row r="543" customFormat="false" ht="15" hidden="false" customHeight="false" outlineLevel="0" collapsed="false">
      <c r="A543" s="4" t="s">
        <v>364</v>
      </c>
      <c r="B543" s="0" t="s">
        <v>53</v>
      </c>
      <c r="C543" s="14" t="n">
        <f aca="false">C542/C534</f>
        <v>0.258051117524474</v>
      </c>
      <c r="D543" s="14" t="n">
        <f aca="false">D542/D534</f>
        <v>0.322021503074929</v>
      </c>
      <c r="E543" s="14" t="n">
        <f aca="false">E542/E534</f>
        <v>0.332212619652599</v>
      </c>
      <c r="F543" s="14" t="n">
        <f aca="false">F542/F534</f>
        <v>0.336246481691061</v>
      </c>
      <c r="G543" s="14" t="n">
        <f aca="false">G542/G534</f>
        <v>0.336269051854694</v>
      </c>
    </row>
    <row r="544" customFormat="false" ht="15" hidden="false" customHeight="false" outlineLevel="0" collapsed="false">
      <c r="A544" s="4" t="s">
        <v>487</v>
      </c>
      <c r="B544" s="0" t="s">
        <v>193</v>
      </c>
      <c r="C544" s="19" t="n">
        <f aca="false">a25_opx</f>
        <v>8.4832253</v>
      </c>
      <c r="D544" s="19" t="n">
        <f aca="false">a26_opx</f>
        <v>11.7048599</v>
      </c>
      <c r="E544" s="19" t="n">
        <f aca="false">D544*(1+MAX(0,phi*E536))</f>
        <v>16.5355122465255</v>
      </c>
      <c r="F544" s="19" t="n">
        <f aca="false">E544*(1+MAX(0,phi*F536))</f>
        <v>19.6721510594112</v>
      </c>
      <c r="G544" s="19" t="n">
        <f aca="false">F544*(1+MAX(0,phi*G536))</f>
        <v>20.7069432426101</v>
      </c>
    </row>
    <row r="545" customFormat="false" ht="15" hidden="false" customHeight="false" outlineLevel="0" collapsed="false">
      <c r="A545" s="4" t="s">
        <v>366</v>
      </c>
      <c r="B545" s="0" t="s">
        <v>193</v>
      </c>
      <c r="C545" s="19" t="n">
        <f aca="false">C544</f>
        <v>8.4832253</v>
      </c>
      <c r="D545" s="19" t="n">
        <f aca="false">D544</f>
        <v>11.7048599</v>
      </c>
      <c r="E545" s="19" t="n">
        <f aca="false">E544+0*E534</f>
        <v>16.5355122465255</v>
      </c>
      <c r="F545" s="19" t="n">
        <f aca="false">F544+0*F534</f>
        <v>19.6721510594112</v>
      </c>
      <c r="G545" s="19" t="n">
        <f aca="false">G544+0*G534</f>
        <v>20.7069432426101</v>
      </c>
    </row>
    <row r="546" customFormat="false" ht="15" hidden="false" customHeight="false" outlineLevel="0" collapsed="false">
      <c r="A546" s="4" t="s">
        <v>368</v>
      </c>
      <c r="B546" s="0" t="s">
        <v>193</v>
      </c>
      <c r="C546" s="19" t="n">
        <f aca="false">C542-C545</f>
        <v>27.5507747</v>
      </c>
      <c r="D546" s="19" t="n">
        <f aca="false">D542-D545</f>
        <v>60.8144953</v>
      </c>
      <c r="E546" s="19" t="n">
        <f aca="false">E542-E545</f>
        <v>102.387835028499</v>
      </c>
      <c r="F546" s="19" t="n">
        <f aca="false">F542-F545</f>
        <v>133.313230203786</v>
      </c>
      <c r="G546" s="19" t="n">
        <f aca="false">G542-G545</f>
        <v>143.785648780391</v>
      </c>
    </row>
    <row r="547" customFormat="false" ht="15" hidden="false" customHeight="false" outlineLevel="0" collapsed="false">
      <c r="A547" s="4" t="s">
        <v>371</v>
      </c>
      <c r="B547" s="0" t="s">
        <v>53</v>
      </c>
      <c r="C547" s="14" t="n">
        <f aca="false">C546/C534</f>
        <v>0.1973</v>
      </c>
      <c r="D547" s="14" t="n">
        <f aca="false">D546/D534</f>
        <v>0.27004618465291</v>
      </c>
      <c r="E547" s="14" t="n">
        <f aca="false">E546/E534</f>
        <v>0.286020631564575</v>
      </c>
      <c r="F547" s="14" t="n">
        <f aca="false">F546/F534</f>
        <v>0.293009072166015</v>
      </c>
      <c r="G547" s="14" t="n">
        <f aca="false">G546/G534</f>
        <v>0.293938244823409</v>
      </c>
    </row>
    <row r="548" customFormat="false" ht="15" hidden="false" customHeight="false" outlineLevel="0" collapsed="false">
      <c r="A548" s="4" t="s">
        <v>373</v>
      </c>
      <c r="B548" s="0" t="s">
        <v>193</v>
      </c>
      <c r="C548" s="19" t="n">
        <f aca="false">a25_nop</f>
        <v>1.23179436863779</v>
      </c>
      <c r="D548" s="19" t="n">
        <f aca="false">a26_nop</f>
        <v>0.8186111</v>
      </c>
      <c r="E548" s="19" t="n">
        <f aca="false">nop_f</f>
        <v>1</v>
      </c>
      <c r="F548" s="19" t="n">
        <f aca="false">nop_f</f>
        <v>1</v>
      </c>
      <c r="G548" s="19" t="n">
        <f aca="false">nop_f</f>
        <v>1</v>
      </c>
    </row>
    <row r="549" customFormat="false" ht="17.15" hidden="false" customHeight="false" outlineLevel="0" collapsed="false">
      <c r="A549" s="4" t="s">
        <v>236</v>
      </c>
      <c r="B549" s="0" t="s">
        <v>53</v>
      </c>
      <c r="C549" s="14" t="n">
        <f aca="false">a25_ni/(a25_oi+a25_nop)</f>
        <v>0.666583999303438</v>
      </c>
      <c r="D549" s="14" t="n">
        <f aca="false">a26_ni/(a26_oi+a26_nop)</f>
        <v>0.674837141220258</v>
      </c>
      <c r="E549" s="14" t="n">
        <f aca="false">nir_f</f>
        <v>0.675</v>
      </c>
      <c r="F549" s="14" t="n">
        <f aca="false">nir_f</f>
        <v>0.675</v>
      </c>
      <c r="G549" s="14" t="n">
        <f aca="false">nir_f</f>
        <v>0.675</v>
      </c>
    </row>
    <row r="550" customFormat="false" ht="15" hidden="false" customHeight="false" outlineLevel="0" collapsed="false">
      <c r="A550" s="4" t="s">
        <v>377</v>
      </c>
      <c r="B550" s="0" t="s">
        <v>193</v>
      </c>
      <c r="C550" s="19" t="n">
        <f aca="false">a25_ni</f>
        <v>19.186</v>
      </c>
      <c r="D550" s="19" t="n">
        <f aca="false">a26_ni</f>
        <v>41.5923093275</v>
      </c>
      <c r="E550" s="19" t="n">
        <f aca="false">(E546+E548)*E549</f>
        <v>69.7867886442368</v>
      </c>
      <c r="F550" s="19" t="n">
        <f aca="false">(F546+F548)*F549</f>
        <v>90.6614303875558</v>
      </c>
      <c r="G550" s="19" t="n">
        <f aca="false">(G546+G548)*G549</f>
        <v>97.7303129267637</v>
      </c>
    </row>
    <row r="551" customFormat="false" ht="15" hidden="false" customHeight="false" outlineLevel="0" collapsed="false">
      <c r="A551" s="4" t="s">
        <v>488</v>
      </c>
      <c r="B551" s="4" t="s">
        <v>219</v>
      </c>
      <c r="C551" s="22" t="n">
        <f aca="false">a25_sh</f>
        <v>0.390197274761033</v>
      </c>
      <c r="D551" s="22" t="n">
        <f aca="false">a26_sh</f>
        <v>0.392523574315222</v>
      </c>
      <c r="E551" s="22" t="n">
        <f aca="false">D551*(1+sh_g)</f>
        <v>0.392523574315222</v>
      </c>
      <c r="F551" s="22" t="n">
        <f aca="false">E551*(1+sh_g)</f>
        <v>0.392523574315222</v>
      </c>
      <c r="G551" s="22" t="n">
        <f aca="false">F551*(1+sh_g)</f>
        <v>0.392523574315222</v>
      </c>
    </row>
    <row r="552" customFormat="false" ht="15" hidden="false" customHeight="false" outlineLevel="0" collapsed="false">
      <c r="A552" s="0" t="s">
        <v>382</v>
      </c>
      <c r="B552" s="0" t="s">
        <v>256</v>
      </c>
      <c r="C552" s="20" t="n">
        <f aca="false">C550/C551</f>
        <v>49.17</v>
      </c>
      <c r="D552" s="20" t="n">
        <f aca="false">D550/D551</f>
        <v>105.961302834002</v>
      </c>
      <c r="E552" s="20" t="n">
        <f aca="false">E550/E551</f>
        <v>177.790056981886</v>
      </c>
      <c r="F552" s="20" t="n">
        <f aca="false">F550/F551</f>
        <v>230.970663470899</v>
      </c>
      <c r="G552" s="20" t="n">
        <f aca="false">G550/G551</f>
        <v>248.979473646288</v>
      </c>
    </row>
    <row r="553" customFormat="false" ht="17.15" hidden="false" customHeight="false" outlineLevel="0" collapsed="false">
      <c r="A553" s="0" t="s">
        <v>489</v>
      </c>
      <c r="B553" s="0" t="s">
        <v>53</v>
      </c>
      <c r="D553" s="14" t="n">
        <f aca="false">D552/C552-1</f>
        <v>1.15499904075659</v>
      </c>
      <c r="E553" s="14" t="n">
        <f aca="false">E552/D552-1</f>
        <v>0.677877227127063</v>
      </c>
      <c r="F553" s="14" t="n">
        <f aca="false">F552/E552-1</f>
        <v>0.299120251108487</v>
      </c>
      <c r="G553" s="14" t="n">
        <f aca="false">G552/F552-1</f>
        <v>0.0779701192556768</v>
      </c>
    </row>
    <row r="556" customFormat="false" ht="17.15" hidden="false" customHeight="false" outlineLevel="0" collapsed="false">
      <c r="A556" s="1" t="s">
        <v>812</v>
      </c>
    </row>
    <row r="557" customFormat="false" ht="17.15" hidden="false" customHeight="false" outlineLevel="0" collapsed="false">
      <c r="A557" s="5" t="s">
        <v>22</v>
      </c>
      <c r="B557" s="5" t="s">
        <v>23</v>
      </c>
      <c r="C557" s="11" t="s">
        <v>351</v>
      </c>
      <c r="D557" s="11" t="s">
        <v>440</v>
      </c>
      <c r="E557" s="11" t="s">
        <v>441</v>
      </c>
      <c r="F557" s="11" t="s">
        <v>442</v>
      </c>
      <c r="G557" s="11" t="s">
        <v>443</v>
      </c>
      <c r="H557" s="5" t="s">
        <v>416</v>
      </c>
    </row>
    <row r="558" customFormat="false" ht="17.15" hidden="false" customHeight="false" outlineLevel="0" collapsed="false">
      <c r="A558" s="6" t="s">
        <v>459</v>
      </c>
    </row>
    <row r="559" customFormat="false" ht="17.15" hidden="false" customHeight="false" outlineLevel="0" collapsed="false">
      <c r="A559" s="0" t="s">
        <v>460</v>
      </c>
      <c r="B559" s="0" t="s">
        <v>33</v>
      </c>
      <c r="D559" s="20" t="n">
        <f aca="false">itc_26*1</f>
        <v>781.872916666666</v>
      </c>
      <c r="E559" s="20" t="n">
        <f aca="false">itc_27*1*1</f>
        <v>1565.35</v>
      </c>
      <c r="F559" s="20" t="n">
        <f aca="false">itc_28*um28_A*1</f>
        <v>1984.26388888889</v>
      </c>
      <c r="G559" s="20" t="n">
        <f aca="false">itc_29*um29_A*1</f>
        <v>2260.39027777778</v>
      </c>
    </row>
    <row r="560" customFormat="false" ht="17.15" hidden="false" customHeight="false" outlineLevel="0" collapsed="false">
      <c r="A560" s="4" t="s">
        <v>461</v>
      </c>
      <c r="B560" s="0" t="s">
        <v>33</v>
      </c>
      <c r="D560" s="20" t="n">
        <f aca="false">itpg_gb*(1-vr26)+itpg_vr*vr26</f>
        <v>33.41403216</v>
      </c>
      <c r="E560" s="20" t="n">
        <f aca="false">itpg_vr</f>
        <v>37.586352</v>
      </c>
      <c r="F560" s="20" t="n">
        <f aca="false">itpg_vr</f>
        <v>37.586352</v>
      </c>
      <c r="G560" s="20" t="n">
        <f aca="false">itpg_vr</f>
        <v>37.586352</v>
      </c>
    </row>
    <row r="561" customFormat="false" ht="17.15" hidden="false" customHeight="false" outlineLevel="0" collapsed="false">
      <c r="A561" s="4" t="s">
        <v>462</v>
      </c>
      <c r="B561" s="0" t="s">
        <v>418</v>
      </c>
      <c r="D561" s="17" t="n">
        <f aca="false">D559/D560</f>
        <v>23.3995380420639</v>
      </c>
      <c r="E561" s="17" t="n">
        <f aca="false">E559/E560</f>
        <v>41.6467658260637</v>
      </c>
      <c r="F561" s="17" t="n">
        <f aca="false">F559/F560</f>
        <v>52.792138191248</v>
      </c>
      <c r="G561" s="17" t="n">
        <f aca="false">G559/G560</f>
        <v>60.1385917361116</v>
      </c>
    </row>
    <row r="562" customFormat="false" ht="17.15" hidden="false" customHeight="false" outlineLevel="0" collapsed="false">
      <c r="A562" s="4" t="s">
        <v>463</v>
      </c>
      <c r="B562" s="0" t="s">
        <v>53</v>
      </c>
      <c r="D562" s="14" t="n">
        <f aca="false">lpenA_26</f>
        <v>0.55</v>
      </c>
      <c r="E562" s="14" t="n">
        <f aca="false">lpenA_27</f>
        <v>0.85</v>
      </c>
      <c r="F562" s="14" t="n">
        <f aca="false">lpenA_28</f>
        <v>0.95</v>
      </c>
      <c r="G562" s="14" t="n">
        <f aca="false">lpenA_29</f>
        <v>0.95</v>
      </c>
    </row>
    <row r="563" customFormat="false" ht="17.15" hidden="false" customHeight="false" outlineLevel="0" collapsed="false">
      <c r="A563" s="4" t="s">
        <v>464</v>
      </c>
      <c r="B563" s="0" t="s">
        <v>423</v>
      </c>
      <c r="D563" s="18" t="n">
        <f aca="false">((1-vr26)*racks_gb*(cool_gb+mani)+vr26*racks_vr*(cool_vr+mani))/1000</f>
        <v>350.7208</v>
      </c>
      <c r="E563" s="18" t="n">
        <f aca="false">racks_vr*(cool_vr+mani)*lcadj_27/1000</f>
        <v>326.5912</v>
      </c>
      <c r="F563" s="18" t="n">
        <f aca="false">racks_vr*(cool_vr+mani)*lcadj_28/1000</f>
        <v>351.7136</v>
      </c>
      <c r="G563" s="18" t="n">
        <f aca="false">racks_vr*(cool_vr+mani)*lcadj_29/1000</f>
        <v>351.7136</v>
      </c>
      <c r="H563" s="4" t="s">
        <v>465</v>
      </c>
    </row>
    <row r="564" customFormat="false" ht="17.15" hidden="false" customHeight="false" outlineLevel="0" collapsed="false">
      <c r="A564" s="0" t="s">
        <v>466</v>
      </c>
      <c r="B564" s="0" t="s">
        <v>33</v>
      </c>
      <c r="D564" s="20" t="n">
        <f aca="false">D561*D562*D563/1000</f>
        <v>4.51368758595869</v>
      </c>
      <c r="E564" s="20" t="n">
        <f aca="false">E561*E562*E563/1000</f>
        <v>11.5612471431652</v>
      </c>
      <c r="F564" s="20" t="n">
        <f aca="false">F561*F562*F563/1000</f>
        <v>17.6393273261943</v>
      </c>
      <c r="G564" s="20" t="n">
        <f aca="false">G561*G562*G563/1000</f>
        <v>20.0939825685161</v>
      </c>
    </row>
    <row r="565" customFormat="false" ht="17.15" hidden="false" customHeight="false" outlineLevel="0" collapsed="false">
      <c r="A565" s="0" t="s">
        <v>467</v>
      </c>
      <c r="B565" s="0" t="s">
        <v>193</v>
      </c>
      <c r="D565" s="19" t="n">
        <f aca="false">D564*fx</f>
        <v>144.438002750678</v>
      </c>
      <c r="E565" s="19" t="n">
        <f aca="false">E564*fx</f>
        <v>369.959908581285</v>
      </c>
      <c r="F565" s="19" t="n">
        <f aca="false">F564*fx</f>
        <v>564.458474438216</v>
      </c>
      <c r="G565" s="19" t="n">
        <f aca="false">G564*fx</f>
        <v>643.007442192516</v>
      </c>
    </row>
    <row r="566" customFormat="false" ht="17.15" hidden="false" customHeight="false" outlineLevel="0" collapsed="false">
      <c r="A566" s="4" t="s">
        <v>468</v>
      </c>
      <c r="B566" s="0" t="s">
        <v>53</v>
      </c>
      <c r="D566" s="14" t="n">
        <f aca="false">a26_lc/D565</f>
        <v>0.498927641116677</v>
      </c>
      <c r="H566" s="8" t="s">
        <v>469</v>
      </c>
    </row>
    <row r="567" customFormat="false" ht="17.15" hidden="false" customHeight="false" outlineLevel="0" collapsed="false">
      <c r="A567" s="4" t="s">
        <v>470</v>
      </c>
      <c r="B567" s="0" t="s">
        <v>74</v>
      </c>
      <c r="D567" s="15" t="n">
        <f aca="false">1</f>
        <v>1</v>
      </c>
      <c r="E567" s="15" t="n">
        <f aca="false">rel_27</f>
        <v>0.95</v>
      </c>
      <c r="F567" s="15" t="n">
        <f aca="false">rel_28</f>
        <v>0.9</v>
      </c>
      <c r="G567" s="15" t="n">
        <f aca="false">rel_29</f>
        <v>0.85</v>
      </c>
    </row>
    <row r="568" customFormat="false" ht="15" hidden="false" customHeight="false" outlineLevel="0" collapsed="false">
      <c r="A568" s="4" t="s">
        <v>430</v>
      </c>
      <c r="B568" s="0" t="s">
        <v>53</v>
      </c>
      <c r="D568" s="14" t="n">
        <f aca="false">$D$566*D567</f>
        <v>0.498927641116677</v>
      </c>
      <c r="E568" s="14" t="n">
        <f aca="false">$D$566*E567</f>
        <v>0.473981259060843</v>
      </c>
      <c r="F568" s="14" t="n">
        <f aca="false">$D$566*F567</f>
        <v>0.449034877005009</v>
      </c>
      <c r="G568" s="14" t="n">
        <f aca="false">$D$566*G567</f>
        <v>0.424088494949176</v>
      </c>
    </row>
    <row r="569" customFormat="false" ht="15" hidden="false" customHeight="false" outlineLevel="0" collapsed="false">
      <c r="A569" s="4" t="s">
        <v>471</v>
      </c>
      <c r="B569" s="0" t="s">
        <v>193</v>
      </c>
      <c r="C569" s="19" t="n">
        <f aca="false">a25_lc</f>
        <v>20.94585</v>
      </c>
      <c r="D569" s="19" t="n">
        <f aca="false">D565*D568</f>
        <v>72.064112</v>
      </c>
      <c r="E569" s="19" t="n">
        <f aca="false">E565*E568</f>
        <v>175.354063271392</v>
      </c>
      <c r="F569" s="19" t="n">
        <f aca="false">F565*F568</f>
        <v>253.4615416438</v>
      </c>
      <c r="G569" s="19" t="n">
        <f aca="false">G565*G568</f>
        <v>272.692058400543</v>
      </c>
    </row>
    <row r="570" customFormat="false" ht="17.15" hidden="false" customHeight="false" outlineLevel="0" collapsed="false">
      <c r="A570" s="6" t="s">
        <v>472</v>
      </c>
    </row>
    <row r="571" customFormat="false" ht="17.15" hidden="false" customHeight="false" outlineLevel="0" collapsed="false">
      <c r="A571" s="0" t="s">
        <v>473</v>
      </c>
      <c r="B571" s="0" t="s">
        <v>474</v>
      </c>
      <c r="D571" s="22" t="n">
        <f aca="false">a26_air/D561</f>
        <v>2.0210686815691</v>
      </c>
    </row>
    <row r="572" customFormat="false" ht="17.15" hidden="false" customHeight="false" outlineLevel="0" collapsed="false">
      <c r="A572" s="0" t="s">
        <v>475</v>
      </c>
      <c r="B572" s="0" t="s">
        <v>74</v>
      </c>
      <c r="D572" s="15" t="n">
        <f aca="false">1</f>
        <v>1</v>
      </c>
      <c r="E572" s="15" t="n">
        <f aca="false">acr_27</f>
        <v>0.75</v>
      </c>
      <c r="F572" s="15" t="n">
        <f aca="false">acr_28</f>
        <v>0.65</v>
      </c>
      <c r="G572" s="15" t="n">
        <f aca="false">acr_29</f>
        <v>0.6</v>
      </c>
    </row>
    <row r="573" customFormat="false" ht="17.15" hidden="false" customHeight="false" outlineLevel="0" collapsed="false">
      <c r="A573" s="0" t="s">
        <v>476</v>
      </c>
      <c r="B573" s="0" t="s">
        <v>193</v>
      </c>
      <c r="C573" s="19" t="n">
        <f aca="false">a25_air</f>
        <v>30.999858</v>
      </c>
      <c r="D573" s="19" t="n">
        <f aca="false">D561*$D$571*D572</f>
        <v>47.2920735</v>
      </c>
      <c r="E573" s="19" t="n">
        <f aca="false">E561*$D$571*E572</f>
        <v>63.1282305747746</v>
      </c>
      <c r="F573" s="19" t="n">
        <f aca="false">F561*$D$571*F572</f>
        <v>69.3527491354095</v>
      </c>
      <c r="G573" s="19" t="n">
        <f aca="false">G561*$D$571*G572</f>
        <v>72.9265345869151</v>
      </c>
    </row>
    <row r="574" customFormat="false" ht="15" hidden="false" customHeight="false" outlineLevel="0" collapsed="false">
      <c r="A574" s="4" t="s">
        <v>477</v>
      </c>
      <c r="B574" s="0" t="s">
        <v>193</v>
      </c>
      <c r="C574" s="19" t="n">
        <f aca="false">a25_gen</f>
        <v>20.666572</v>
      </c>
      <c r="D574" s="19" t="n">
        <f aca="false">a26_gen</f>
        <v>31.528049</v>
      </c>
      <c r="E574" s="19" t="n">
        <f aca="false">D574*(1+g_gen_27)</f>
        <v>34.05029292</v>
      </c>
      <c r="F574" s="19" t="n">
        <f aca="false">E574*(1+g_gen_28)</f>
        <v>36.0933104952</v>
      </c>
      <c r="G574" s="19" t="n">
        <f aca="false">F574*(1+g_gen_29)</f>
        <v>37.89797601996</v>
      </c>
    </row>
    <row r="575" customFormat="false" ht="17.15" hidden="false" customHeight="false" outlineLevel="0" collapsed="false">
      <c r="A575" s="4" t="s">
        <v>478</v>
      </c>
      <c r="B575" s="0" t="s">
        <v>193</v>
      </c>
      <c r="C575" s="19" t="n">
        <f aca="false">a25_nai</f>
        <v>67.02672</v>
      </c>
      <c r="D575" s="19" t="n">
        <f aca="false">a26_nai</f>
        <v>74.3161155</v>
      </c>
      <c r="E575" s="19" t="n">
        <f aca="false">D575*(1+g_nai_27)</f>
        <v>78.77508243</v>
      </c>
      <c r="F575" s="19" t="n">
        <f aca="false">E575*(1+g_nai_28)</f>
        <v>82.7138365515</v>
      </c>
      <c r="G575" s="19" t="n">
        <f aca="false">F575*(1+g_nai_29)</f>
        <v>86.02239001356</v>
      </c>
    </row>
    <row r="576" customFormat="false" ht="17.15" hidden="false" customHeight="false" outlineLevel="0" collapsed="false">
      <c r="A576" s="4" t="s">
        <v>479</v>
      </c>
      <c r="B576" s="0" t="s">
        <v>193</v>
      </c>
      <c r="C576" s="19" t="n">
        <f aca="false">C569+C573+C574</f>
        <v>72.61228</v>
      </c>
      <c r="D576" s="19" t="n">
        <f aca="false">D569+D573+D574</f>
        <v>150.8842345</v>
      </c>
      <c r="E576" s="19" t="n">
        <f aca="false">E569+E573+E574</f>
        <v>272.532586766167</v>
      </c>
      <c r="F576" s="19" t="n">
        <f aca="false">F569+F573+F574</f>
        <v>358.907601274409</v>
      </c>
      <c r="G576" s="19" t="n">
        <f aca="false">G569+G573+G574</f>
        <v>383.516569007418</v>
      </c>
    </row>
    <row r="577" customFormat="false" ht="15" hidden="false" customHeight="false" outlineLevel="0" collapsed="false">
      <c r="A577" s="4" t="s">
        <v>357</v>
      </c>
      <c r="B577" s="0" t="s">
        <v>193</v>
      </c>
      <c r="C577" s="19" t="n">
        <f aca="false">C569+C573+C574+C575</f>
        <v>139.639</v>
      </c>
      <c r="D577" s="19" t="n">
        <f aca="false">D569+D573+D574+D575</f>
        <v>225.20035</v>
      </c>
      <c r="E577" s="19" t="n">
        <f aca="false">E569+E573+E574+E575</f>
        <v>351.307669196167</v>
      </c>
      <c r="F577" s="19" t="n">
        <f aca="false">F569+F573+F574+F575</f>
        <v>441.621437825909</v>
      </c>
      <c r="G577" s="19" t="n">
        <f aca="false">G569+G573+G574+G575</f>
        <v>469.538959020978</v>
      </c>
    </row>
    <row r="578" customFormat="false" ht="15" hidden="false" customHeight="false" outlineLevel="0" collapsed="false">
      <c r="A578" s="4" t="s">
        <v>480</v>
      </c>
      <c r="B578" s="0" t="s">
        <v>193</v>
      </c>
      <c r="C578" s="22" t="n">
        <f aca="false">ROUND(C576+C575-C577,6)</f>
        <v>0</v>
      </c>
      <c r="D578" s="22" t="n">
        <f aca="false">ROUND(D576+D575-D577,6)</f>
        <v>0</v>
      </c>
      <c r="E578" s="22" t="n">
        <f aca="false">ROUND(E576+E575-E577,6)</f>
        <v>0</v>
      </c>
      <c r="F578" s="22" t="n">
        <f aca="false">ROUND(F576+F575-F577,6)</f>
        <v>0</v>
      </c>
      <c r="G578" s="22" t="n">
        <f aca="false">ROUND(G576+G575-G577,6)</f>
        <v>0</v>
      </c>
    </row>
    <row r="579" customFormat="false" ht="15" hidden="false" customHeight="false" outlineLevel="0" collapsed="false">
      <c r="A579" s="4" t="s">
        <v>481</v>
      </c>
      <c r="B579" s="0" t="s">
        <v>53</v>
      </c>
      <c r="D579" s="14" t="n">
        <f aca="false">D577/C577-1</f>
        <v>0.612732474451979</v>
      </c>
      <c r="E579" s="14" t="n">
        <f aca="false">E577/D577-1</f>
        <v>0.559978344599227</v>
      </c>
      <c r="F579" s="14" t="n">
        <f aca="false">F577/E577-1</f>
        <v>0.257078841564692</v>
      </c>
      <c r="G579" s="14" t="n">
        <f aca="false">G577/F577-1</f>
        <v>0.06321595557613</v>
      </c>
    </row>
    <row r="580" customFormat="false" ht="17.15" hidden="false" customHeight="false" outlineLevel="0" collapsed="false">
      <c r="A580" s="4" t="s">
        <v>482</v>
      </c>
      <c r="B580" s="0" t="s">
        <v>53</v>
      </c>
      <c r="C580" s="14" t="n">
        <f aca="false">C569/C577</f>
        <v>0.15</v>
      </c>
      <c r="D580" s="14" t="n">
        <f aca="false">D569/D577</f>
        <v>0.32</v>
      </c>
      <c r="E580" s="14" t="n">
        <f aca="false">E569/E577</f>
        <v>0.499146698597906</v>
      </c>
      <c r="F580" s="14" t="n">
        <f aca="false">F569/F577</f>
        <v>0.573933962290382</v>
      </c>
      <c r="G580" s="14" t="n">
        <f aca="false">G569/G577</f>
        <v>0.58076556409531</v>
      </c>
    </row>
    <row r="581" customFormat="false" ht="17.15" hidden="false" customHeight="false" outlineLevel="0" collapsed="false">
      <c r="A581" s="0" t="s">
        <v>483</v>
      </c>
      <c r="B581" s="0" t="s">
        <v>53</v>
      </c>
      <c r="C581" s="14" t="n">
        <f aca="false">(C569+C573)/C577</f>
        <v>0.372</v>
      </c>
      <c r="D581" s="14" t="n">
        <f aca="false">(D569+D573)/D577</f>
        <v>0.53</v>
      </c>
      <c r="E581" s="14" t="n">
        <f aca="false">(E569+E573)/E577</f>
        <v>0.678841695633466</v>
      </c>
      <c r="F581" s="14" t="n">
        <f aca="false">(F569+F573)/F577</f>
        <v>0.730975136461707</v>
      </c>
      <c r="G581" s="14" t="n">
        <f aca="false">(G569+G573)/G577</f>
        <v>0.736080758257201</v>
      </c>
    </row>
    <row r="582" customFormat="false" ht="17.15" hidden="false" customHeight="false" outlineLevel="0" collapsed="false">
      <c r="A582" s="4" t="s">
        <v>435</v>
      </c>
      <c r="B582" s="0" t="s">
        <v>423</v>
      </c>
      <c r="D582" s="18" t="n">
        <f aca="false">(D569+D573)/fx/D561*1000</f>
        <v>159.399762088039</v>
      </c>
      <c r="E582" s="18" t="n">
        <f aca="false">(E569+E573)/fx/E561*1000</f>
        <v>178.947189172339</v>
      </c>
      <c r="F582" s="18" t="n">
        <f aca="false">(F569+F573)/fx/F561*1000</f>
        <v>191.088047055512</v>
      </c>
      <c r="G582" s="18" t="n">
        <f aca="false">(G569+G573)/fx/G561*1000</f>
        <v>179.594844492719</v>
      </c>
    </row>
    <row r="583" customFormat="false" ht="17.15" hidden="false" customHeight="false" outlineLevel="0" collapsed="false">
      <c r="A583" s="6" t="s">
        <v>484</v>
      </c>
    </row>
    <row r="584" customFormat="false" ht="17.15" hidden="false" customHeight="false" outlineLevel="0" collapsed="false">
      <c r="A584" s="4" t="s">
        <v>485</v>
      </c>
      <c r="B584" s="0" t="s">
        <v>53</v>
      </c>
      <c r="D584" s="14" t="n">
        <f aca="false">a26_gp/D577-d_lc_lo*D580</f>
        <v>0.315621503074929</v>
      </c>
      <c r="H584" s="8" t="s">
        <v>486</v>
      </c>
    </row>
    <row r="585" customFormat="false" ht="15" hidden="false" customHeight="false" outlineLevel="0" collapsed="false">
      <c r="A585" s="4" t="s">
        <v>361</v>
      </c>
      <c r="B585" s="0" t="s">
        <v>193</v>
      </c>
      <c r="C585" s="19" t="n">
        <f aca="false">a25_gp</f>
        <v>36.034</v>
      </c>
      <c r="D585" s="19" t="n">
        <f aca="false">a26_gp</f>
        <v>72.5193552</v>
      </c>
      <c r="E585" s="19" t="n">
        <f aca="false">$D$584*E577+d_lc_lo*E569</f>
        <v>114.387335858872</v>
      </c>
      <c r="F585" s="19" t="n">
        <f aca="false">$D$584*F577+d_lc_lo*F569</f>
        <v>144.454452829601</v>
      </c>
      <c r="G585" s="19" t="n">
        <f aca="false">$D$584*G577+d_lc_lo*G569</f>
        <v>153.650433166449</v>
      </c>
    </row>
    <row r="586" customFormat="false" ht="15" hidden="false" customHeight="false" outlineLevel="0" collapsed="false">
      <c r="A586" s="4" t="s">
        <v>364</v>
      </c>
      <c r="B586" s="0" t="s">
        <v>53</v>
      </c>
      <c r="C586" s="14" t="n">
        <f aca="false">C585/C577</f>
        <v>0.258051117524474</v>
      </c>
      <c r="D586" s="14" t="n">
        <f aca="false">D585/D577</f>
        <v>0.322021503074929</v>
      </c>
      <c r="E586" s="14" t="n">
        <f aca="false">E585/E577</f>
        <v>0.325604437046887</v>
      </c>
      <c r="F586" s="14" t="n">
        <f aca="false">F585/F577</f>
        <v>0.327100182320736</v>
      </c>
      <c r="G586" s="14" t="n">
        <f aca="false">G585/G577</f>
        <v>0.327236814356835</v>
      </c>
    </row>
    <row r="587" customFormat="false" ht="15" hidden="false" customHeight="false" outlineLevel="0" collapsed="false">
      <c r="A587" s="4" t="s">
        <v>487</v>
      </c>
      <c r="B587" s="0" t="s">
        <v>193</v>
      </c>
      <c r="C587" s="19" t="n">
        <f aca="false">a25_opx</f>
        <v>8.4832253</v>
      </c>
      <c r="D587" s="19" t="n">
        <f aca="false">a26_opx</f>
        <v>11.7048599</v>
      </c>
      <c r="E587" s="19" t="n">
        <f aca="false">D587*(1+MAX(0,phi*E579))</f>
        <v>16.2929875493975</v>
      </c>
      <c r="F587" s="19" t="n">
        <f aca="false">E587*(1+MAX(0,phi*F579))</f>
        <v>19.2249952047765</v>
      </c>
      <c r="G587" s="19" t="n">
        <f aca="false">F587*(1+MAX(0,phi*G579))</f>
        <v>20.075723714748</v>
      </c>
    </row>
    <row r="588" customFormat="false" ht="15" hidden="false" customHeight="false" outlineLevel="0" collapsed="false">
      <c r="A588" s="4" t="s">
        <v>366</v>
      </c>
      <c r="B588" s="0" t="s">
        <v>193</v>
      </c>
      <c r="C588" s="19" t="n">
        <f aca="false">C587</f>
        <v>8.4832253</v>
      </c>
      <c r="D588" s="19" t="n">
        <f aca="false">D587</f>
        <v>11.7048599</v>
      </c>
      <c r="E588" s="19" t="n">
        <f aca="false">E587+0*E577</f>
        <v>16.2929875493975</v>
      </c>
      <c r="F588" s="19" t="n">
        <f aca="false">F587+0*F577</f>
        <v>19.2249952047765</v>
      </c>
      <c r="G588" s="19" t="n">
        <f aca="false">G587+0*G577</f>
        <v>20.075723714748</v>
      </c>
    </row>
    <row r="589" customFormat="false" ht="15" hidden="false" customHeight="false" outlineLevel="0" collapsed="false">
      <c r="A589" s="4" t="s">
        <v>368</v>
      </c>
      <c r="B589" s="0" t="s">
        <v>193</v>
      </c>
      <c r="C589" s="19" t="n">
        <f aca="false">C585-C588</f>
        <v>27.5507747</v>
      </c>
      <c r="D589" s="19" t="n">
        <f aca="false">D585-D588</f>
        <v>60.8144953</v>
      </c>
      <c r="E589" s="19" t="n">
        <f aca="false">E585-E588</f>
        <v>98.0943483094742</v>
      </c>
      <c r="F589" s="19" t="n">
        <f aca="false">F585-F588</f>
        <v>125.229457624824</v>
      </c>
      <c r="G589" s="19" t="n">
        <f aca="false">G585-G588</f>
        <v>133.574709451701</v>
      </c>
    </row>
    <row r="590" customFormat="false" ht="15" hidden="false" customHeight="false" outlineLevel="0" collapsed="false">
      <c r="A590" s="4" t="s">
        <v>371</v>
      </c>
      <c r="B590" s="0" t="s">
        <v>53</v>
      </c>
      <c r="C590" s="14" t="n">
        <f aca="false">C589/C577</f>
        <v>0.1973</v>
      </c>
      <c r="D590" s="14" t="n">
        <f aca="false">D589/D577</f>
        <v>0.27004618465291</v>
      </c>
      <c r="E590" s="14" t="n">
        <f aca="false">E589/E577</f>
        <v>0.279226321856069</v>
      </c>
      <c r="F590" s="14" t="n">
        <f aca="false">F589/F577</f>
        <v>0.283567433323268</v>
      </c>
      <c r="G590" s="14" t="n">
        <f aca="false">G589/G577</f>
        <v>0.284480567342514</v>
      </c>
    </row>
    <row r="591" customFormat="false" ht="15" hidden="false" customHeight="false" outlineLevel="0" collapsed="false">
      <c r="A591" s="4" t="s">
        <v>373</v>
      </c>
      <c r="B591" s="0" t="s">
        <v>193</v>
      </c>
      <c r="C591" s="19" t="n">
        <f aca="false">a25_nop</f>
        <v>1.23179436863779</v>
      </c>
      <c r="D591" s="19" t="n">
        <f aca="false">a26_nop</f>
        <v>0.8186111</v>
      </c>
      <c r="E591" s="19" t="n">
        <f aca="false">nop_f</f>
        <v>1</v>
      </c>
      <c r="F591" s="19" t="n">
        <f aca="false">nop_f</f>
        <v>1</v>
      </c>
      <c r="G591" s="19" t="n">
        <f aca="false">nop_f</f>
        <v>1</v>
      </c>
    </row>
    <row r="592" customFormat="false" ht="17.15" hidden="false" customHeight="false" outlineLevel="0" collapsed="false">
      <c r="A592" s="4" t="s">
        <v>236</v>
      </c>
      <c r="B592" s="0" t="s">
        <v>53</v>
      </c>
      <c r="C592" s="14" t="n">
        <f aca="false">a25_ni/(a25_oi+a25_nop)</f>
        <v>0.666583999303438</v>
      </c>
      <c r="D592" s="14" t="n">
        <f aca="false">a26_ni/(a26_oi+a26_nop)</f>
        <v>0.674837141220258</v>
      </c>
      <c r="E592" s="14" t="n">
        <f aca="false">nir_f</f>
        <v>0.675</v>
      </c>
      <c r="F592" s="14" t="n">
        <f aca="false">nir_f</f>
        <v>0.675</v>
      </c>
      <c r="G592" s="14" t="n">
        <f aca="false">nir_f</f>
        <v>0.675</v>
      </c>
    </row>
    <row r="593" customFormat="false" ht="15" hidden="false" customHeight="false" outlineLevel="0" collapsed="false">
      <c r="A593" s="4" t="s">
        <v>377</v>
      </c>
      <c r="B593" s="0" t="s">
        <v>193</v>
      </c>
      <c r="C593" s="19" t="n">
        <f aca="false">a25_ni</f>
        <v>19.186</v>
      </c>
      <c r="D593" s="19" t="n">
        <f aca="false">a26_ni</f>
        <v>41.5923093275</v>
      </c>
      <c r="E593" s="19" t="n">
        <f aca="false">(E589+E591)*E592</f>
        <v>66.8886851088951</v>
      </c>
      <c r="F593" s="19" t="n">
        <f aca="false">(F589+F591)*F592</f>
        <v>85.2048838967563</v>
      </c>
      <c r="G593" s="19" t="n">
        <f aca="false">(G589+G591)*G592</f>
        <v>90.8379288798984</v>
      </c>
    </row>
    <row r="594" customFormat="false" ht="15" hidden="false" customHeight="false" outlineLevel="0" collapsed="false">
      <c r="A594" s="4" t="s">
        <v>488</v>
      </c>
      <c r="B594" s="4" t="s">
        <v>219</v>
      </c>
      <c r="C594" s="22" t="n">
        <f aca="false">a25_sh</f>
        <v>0.390197274761033</v>
      </c>
      <c r="D594" s="22" t="n">
        <f aca="false">a26_sh</f>
        <v>0.392523574315222</v>
      </c>
      <c r="E594" s="22" t="n">
        <f aca="false">D594*(1+sh_g)</f>
        <v>0.392523574315222</v>
      </c>
      <c r="F594" s="22" t="n">
        <f aca="false">E594*(1+sh_g)</f>
        <v>0.392523574315222</v>
      </c>
      <c r="G594" s="22" t="n">
        <f aca="false">F594*(1+sh_g)</f>
        <v>0.392523574315222</v>
      </c>
    </row>
    <row r="595" customFormat="false" ht="15" hidden="false" customHeight="false" outlineLevel="0" collapsed="false">
      <c r="A595" s="0" t="s">
        <v>382</v>
      </c>
      <c r="B595" s="0" t="s">
        <v>256</v>
      </c>
      <c r="C595" s="20" t="n">
        <f aca="false">C593/C594</f>
        <v>49.17</v>
      </c>
      <c r="D595" s="20" t="n">
        <f aca="false">D593/D594</f>
        <v>105.961302834002</v>
      </c>
      <c r="E595" s="20" t="n">
        <f aca="false">E593/E594</f>
        <v>170.406797160109</v>
      </c>
      <c r="F595" s="20" t="n">
        <f aca="false">F593/F594</f>
        <v>217.069469127811</v>
      </c>
      <c r="G595" s="20" t="n">
        <f aca="false">G593/G594</f>
        <v>231.4203141515</v>
      </c>
    </row>
    <row r="596" customFormat="false" ht="17.15" hidden="false" customHeight="false" outlineLevel="0" collapsed="false">
      <c r="A596" s="0" t="s">
        <v>489</v>
      </c>
      <c r="B596" s="0" t="s">
        <v>53</v>
      </c>
      <c r="D596" s="14" t="n">
        <f aca="false">D595/C595-1</f>
        <v>1.15499904075659</v>
      </c>
      <c r="E596" s="14" t="n">
        <f aca="false">E595/D595-1</f>
        <v>0.608198395097761</v>
      </c>
      <c r="F596" s="14" t="n">
        <f aca="false">F595/E595-1</f>
        <v>0.273831048675008</v>
      </c>
      <c r="G596" s="14" t="n">
        <f aca="false">G595/F595-1</f>
        <v>0.0661117617385383</v>
      </c>
    </row>
    <row r="599" customFormat="false" ht="17.15" hidden="false" customHeight="false" outlineLevel="0" collapsed="false">
      <c r="A599" s="1" t="s">
        <v>813</v>
      </c>
    </row>
    <row r="600" customFormat="false" ht="17.15" hidden="false" customHeight="false" outlineLevel="0" collapsed="false">
      <c r="A600" s="5" t="s">
        <v>22</v>
      </c>
      <c r="B600" s="5" t="s">
        <v>23</v>
      </c>
      <c r="C600" s="11" t="s">
        <v>351</v>
      </c>
      <c r="D600" s="11" t="s">
        <v>440</v>
      </c>
      <c r="E600" s="11" t="s">
        <v>441</v>
      </c>
      <c r="F600" s="11" t="s">
        <v>442</v>
      </c>
      <c r="G600" s="11" t="s">
        <v>443</v>
      </c>
      <c r="H600" s="5" t="s">
        <v>416</v>
      </c>
    </row>
    <row r="601" customFormat="false" ht="17.15" hidden="false" customHeight="false" outlineLevel="0" collapsed="false">
      <c r="A601" s="6" t="s">
        <v>459</v>
      </c>
    </row>
    <row r="602" customFormat="false" ht="17.15" hidden="false" customHeight="false" outlineLevel="0" collapsed="false">
      <c r="A602" s="0" t="s">
        <v>460</v>
      </c>
      <c r="B602" s="0" t="s">
        <v>33</v>
      </c>
      <c r="D602" s="20" t="n">
        <f aca="false">itc_26*1</f>
        <v>781.872916666666</v>
      </c>
      <c r="E602" s="20" t="n">
        <f aca="false">itc_27*1*1</f>
        <v>1565.35</v>
      </c>
      <c r="F602" s="20" t="n">
        <f aca="false">itc_28*um28_A*1</f>
        <v>1984.26388888889</v>
      </c>
      <c r="G602" s="20" t="n">
        <f aca="false">itc_29*um29_A*1</f>
        <v>2260.39027777778</v>
      </c>
    </row>
    <row r="603" customFormat="false" ht="17.15" hidden="false" customHeight="false" outlineLevel="0" collapsed="false">
      <c r="A603" s="4" t="s">
        <v>461</v>
      </c>
      <c r="B603" s="0" t="s">
        <v>33</v>
      </c>
      <c r="D603" s="20" t="n">
        <f aca="false">itpg_gb*(1-vr26)+itpg_vr*vr26</f>
        <v>33.41403216</v>
      </c>
      <c r="E603" s="20" t="n">
        <f aca="false">itpg_vr</f>
        <v>37.586352</v>
      </c>
      <c r="F603" s="20" t="n">
        <f aca="false">itpg_vr</f>
        <v>37.586352</v>
      </c>
      <c r="G603" s="20" t="n">
        <f aca="false">itpg_vr</f>
        <v>37.586352</v>
      </c>
    </row>
    <row r="604" customFormat="false" ht="17.15" hidden="false" customHeight="false" outlineLevel="0" collapsed="false">
      <c r="A604" s="4" t="s">
        <v>462</v>
      </c>
      <c r="B604" s="0" t="s">
        <v>418</v>
      </c>
      <c r="D604" s="17" t="n">
        <f aca="false">D602/D603</f>
        <v>23.3995380420639</v>
      </c>
      <c r="E604" s="17" t="n">
        <f aca="false">E602/E603</f>
        <v>41.6467658260637</v>
      </c>
      <c r="F604" s="17" t="n">
        <f aca="false">F602/F603</f>
        <v>52.792138191248</v>
      </c>
      <c r="G604" s="17" t="n">
        <f aca="false">G602/G603</f>
        <v>60.1385917361116</v>
      </c>
    </row>
    <row r="605" customFormat="false" ht="17.15" hidden="false" customHeight="false" outlineLevel="0" collapsed="false">
      <c r="A605" s="4" t="s">
        <v>463</v>
      </c>
      <c r="B605" s="0" t="s">
        <v>53</v>
      </c>
      <c r="D605" s="14" t="n">
        <f aca="false">lpenA_26</f>
        <v>0.55</v>
      </c>
      <c r="E605" s="14" t="n">
        <f aca="false">lpenA_27</f>
        <v>0.85</v>
      </c>
      <c r="F605" s="14" t="n">
        <f aca="false">lpenA_28</f>
        <v>0.95</v>
      </c>
      <c r="G605" s="14" t="n">
        <f aca="false">lpenA_29</f>
        <v>0.95</v>
      </c>
    </row>
    <row r="606" customFormat="false" ht="17.15" hidden="false" customHeight="false" outlineLevel="0" collapsed="false">
      <c r="A606" s="4" t="s">
        <v>464</v>
      </c>
      <c r="B606" s="0" t="s">
        <v>423</v>
      </c>
      <c r="D606" s="18" t="n">
        <f aca="false">((1-vr26)*racks_gb*(cool_gb+mani)+vr26*racks_vr*(cool_vr+mani))/1000</f>
        <v>350.7208</v>
      </c>
      <c r="E606" s="18" t="n">
        <f aca="false">racks_vr*(cool_vr+mani)*lcadj_27/1000</f>
        <v>326.5912</v>
      </c>
      <c r="F606" s="18" t="n">
        <f aca="false">racks_vr*(cool_vr+mani)*lcadj_28/1000</f>
        <v>351.7136</v>
      </c>
      <c r="G606" s="18" t="n">
        <f aca="false">racks_vr*(cool_vr+mani)*lcadj_29/1000</f>
        <v>351.7136</v>
      </c>
      <c r="H606" s="4" t="s">
        <v>465</v>
      </c>
    </row>
    <row r="607" customFormat="false" ht="17.15" hidden="false" customHeight="false" outlineLevel="0" collapsed="false">
      <c r="A607" s="0" t="s">
        <v>466</v>
      </c>
      <c r="B607" s="0" t="s">
        <v>33</v>
      </c>
      <c r="D607" s="20" t="n">
        <f aca="false">D604*D605*D606/1000</f>
        <v>4.51368758595869</v>
      </c>
      <c r="E607" s="20" t="n">
        <f aca="false">E604*E605*E606/1000</f>
        <v>11.5612471431652</v>
      </c>
      <c r="F607" s="20" t="n">
        <f aca="false">F604*F605*F606/1000</f>
        <v>17.6393273261943</v>
      </c>
      <c r="G607" s="20" t="n">
        <f aca="false">G604*G605*G606/1000</f>
        <v>20.0939825685161</v>
      </c>
    </row>
    <row r="608" customFormat="false" ht="17.15" hidden="false" customHeight="false" outlineLevel="0" collapsed="false">
      <c r="A608" s="0" t="s">
        <v>467</v>
      </c>
      <c r="B608" s="0" t="s">
        <v>193</v>
      </c>
      <c r="D608" s="19" t="n">
        <f aca="false">D607*fx</f>
        <v>144.438002750678</v>
      </c>
      <c r="E608" s="19" t="n">
        <f aca="false">E607*fx</f>
        <v>369.959908581285</v>
      </c>
      <c r="F608" s="19" t="n">
        <f aca="false">F607*fx</f>
        <v>564.458474438216</v>
      </c>
      <c r="G608" s="19" t="n">
        <f aca="false">G607*fx</f>
        <v>643.007442192516</v>
      </c>
    </row>
    <row r="609" customFormat="false" ht="17.15" hidden="false" customHeight="false" outlineLevel="0" collapsed="false">
      <c r="A609" s="4" t="s">
        <v>468</v>
      </c>
      <c r="B609" s="0" t="s">
        <v>53</v>
      </c>
      <c r="D609" s="14" t="n">
        <f aca="false">a26_lc/D608</f>
        <v>0.498927641116677</v>
      </c>
      <c r="H609" s="8" t="s">
        <v>469</v>
      </c>
    </row>
    <row r="610" customFormat="false" ht="17.15" hidden="false" customHeight="false" outlineLevel="0" collapsed="false">
      <c r="A610" s="4" t="s">
        <v>470</v>
      </c>
      <c r="B610" s="0" t="s">
        <v>74</v>
      </c>
      <c r="D610" s="15" t="n">
        <f aca="false">1</f>
        <v>1</v>
      </c>
      <c r="E610" s="15" t="n">
        <f aca="false">rel_27</f>
        <v>0.95</v>
      </c>
      <c r="F610" s="15" t="n">
        <f aca="false">rel_28</f>
        <v>0.9</v>
      </c>
      <c r="G610" s="15" t="n">
        <f aca="false">rel_29</f>
        <v>0.85</v>
      </c>
    </row>
    <row r="611" customFormat="false" ht="15" hidden="false" customHeight="false" outlineLevel="0" collapsed="false">
      <c r="A611" s="4" t="s">
        <v>430</v>
      </c>
      <c r="B611" s="0" t="s">
        <v>53</v>
      </c>
      <c r="D611" s="14" t="n">
        <f aca="false">$D$609*D610</f>
        <v>0.498927641116677</v>
      </c>
      <c r="E611" s="14" t="n">
        <f aca="false">$D$609*E610</f>
        <v>0.473981259060843</v>
      </c>
      <c r="F611" s="14" t="n">
        <f aca="false">$D$609*F610</f>
        <v>0.449034877005009</v>
      </c>
      <c r="G611" s="14" t="n">
        <f aca="false">$D$609*G610</f>
        <v>0.424088494949176</v>
      </c>
    </row>
    <row r="612" customFormat="false" ht="15" hidden="false" customHeight="false" outlineLevel="0" collapsed="false">
      <c r="A612" s="4" t="s">
        <v>471</v>
      </c>
      <c r="B612" s="0" t="s">
        <v>193</v>
      </c>
      <c r="C612" s="19" t="n">
        <f aca="false">a25_lc</f>
        <v>20.94585</v>
      </c>
      <c r="D612" s="19" t="n">
        <f aca="false">D608*D611</f>
        <v>72.064112</v>
      </c>
      <c r="E612" s="19" t="n">
        <f aca="false">E608*E611</f>
        <v>175.354063271392</v>
      </c>
      <c r="F612" s="19" t="n">
        <f aca="false">F608*F611</f>
        <v>253.4615416438</v>
      </c>
      <c r="G612" s="19" t="n">
        <f aca="false">G608*G611</f>
        <v>272.692058400543</v>
      </c>
    </row>
    <row r="613" customFormat="false" ht="17.15" hidden="false" customHeight="false" outlineLevel="0" collapsed="false">
      <c r="A613" s="6" t="s">
        <v>472</v>
      </c>
    </row>
    <row r="614" customFormat="false" ht="17.15" hidden="false" customHeight="false" outlineLevel="0" collapsed="false">
      <c r="A614" s="0" t="s">
        <v>473</v>
      </c>
      <c r="B614" s="0" t="s">
        <v>474</v>
      </c>
      <c r="D614" s="22" t="n">
        <f aca="false">a26_air/D604</f>
        <v>2.0210686815691</v>
      </c>
    </row>
    <row r="615" customFormat="false" ht="17.15" hidden="false" customHeight="false" outlineLevel="0" collapsed="false">
      <c r="A615" s="0" t="s">
        <v>475</v>
      </c>
      <c r="B615" s="0" t="s">
        <v>74</v>
      </c>
      <c r="D615" s="15" t="n">
        <f aca="false">1</f>
        <v>1</v>
      </c>
      <c r="E615" s="15" t="n">
        <f aca="false">acr_27</f>
        <v>0.75</v>
      </c>
      <c r="F615" s="15" t="n">
        <f aca="false">acr_28</f>
        <v>0.65</v>
      </c>
      <c r="G615" s="15" t="n">
        <f aca="false">acr_29</f>
        <v>0.6</v>
      </c>
    </row>
    <row r="616" customFormat="false" ht="17.15" hidden="false" customHeight="false" outlineLevel="0" collapsed="false">
      <c r="A616" s="0" t="s">
        <v>476</v>
      </c>
      <c r="B616" s="0" t="s">
        <v>193</v>
      </c>
      <c r="C616" s="19" t="n">
        <f aca="false">a25_air</f>
        <v>30.999858</v>
      </c>
      <c r="D616" s="19" t="n">
        <f aca="false">D604*$D$614*D615</f>
        <v>47.2920735</v>
      </c>
      <c r="E616" s="19" t="n">
        <f aca="false">E604*$D$614*E615</f>
        <v>63.1282305747746</v>
      </c>
      <c r="F616" s="19" t="n">
        <f aca="false">F604*$D$614*F615</f>
        <v>69.3527491354095</v>
      </c>
      <c r="G616" s="19" t="n">
        <f aca="false">G604*$D$614*G615</f>
        <v>72.9265345869151</v>
      </c>
    </row>
    <row r="617" customFormat="false" ht="15" hidden="false" customHeight="false" outlineLevel="0" collapsed="false">
      <c r="A617" s="4" t="s">
        <v>477</v>
      </c>
      <c r="B617" s="0" t="s">
        <v>193</v>
      </c>
      <c r="C617" s="19" t="n">
        <f aca="false">a25_gen</f>
        <v>20.666572</v>
      </c>
      <c r="D617" s="19" t="n">
        <f aca="false">a26_gen</f>
        <v>31.528049</v>
      </c>
      <c r="E617" s="19" t="n">
        <f aca="false">D617*(1+g_gen_27)</f>
        <v>34.05029292</v>
      </c>
      <c r="F617" s="19" t="n">
        <f aca="false">E617*(1+g_gen_28)</f>
        <v>36.0933104952</v>
      </c>
      <c r="G617" s="19" t="n">
        <f aca="false">F617*(1+g_gen_29)</f>
        <v>37.89797601996</v>
      </c>
    </row>
    <row r="618" customFormat="false" ht="17.15" hidden="false" customHeight="false" outlineLevel="0" collapsed="false">
      <c r="A618" s="4" t="s">
        <v>478</v>
      </c>
      <c r="B618" s="0" t="s">
        <v>193</v>
      </c>
      <c r="C618" s="19" t="n">
        <f aca="false">a25_nai</f>
        <v>67.02672</v>
      </c>
      <c r="D618" s="19" t="n">
        <f aca="false">a26_nai</f>
        <v>74.3161155</v>
      </c>
      <c r="E618" s="19" t="n">
        <f aca="false">D618*(1+g_nai_27)</f>
        <v>78.77508243</v>
      </c>
      <c r="F618" s="19" t="n">
        <f aca="false">E618*(1+g_nai_28)</f>
        <v>82.7138365515</v>
      </c>
      <c r="G618" s="19" t="n">
        <f aca="false">F618*(1+g_nai_29)</f>
        <v>86.02239001356</v>
      </c>
    </row>
    <row r="619" customFormat="false" ht="17.15" hidden="false" customHeight="false" outlineLevel="0" collapsed="false">
      <c r="A619" s="4" t="s">
        <v>479</v>
      </c>
      <c r="B619" s="0" t="s">
        <v>193</v>
      </c>
      <c r="C619" s="19" t="n">
        <f aca="false">C612+C616+C617</f>
        <v>72.61228</v>
      </c>
      <c r="D619" s="19" t="n">
        <f aca="false">D612+D616+D617</f>
        <v>150.8842345</v>
      </c>
      <c r="E619" s="19" t="n">
        <f aca="false">E612+E616+E617</f>
        <v>272.532586766167</v>
      </c>
      <c r="F619" s="19" t="n">
        <f aca="false">F612+F616+F617</f>
        <v>358.907601274409</v>
      </c>
      <c r="G619" s="19" t="n">
        <f aca="false">G612+G616+G617</f>
        <v>383.516569007418</v>
      </c>
    </row>
    <row r="620" customFormat="false" ht="15" hidden="false" customHeight="false" outlineLevel="0" collapsed="false">
      <c r="A620" s="4" t="s">
        <v>357</v>
      </c>
      <c r="B620" s="0" t="s">
        <v>193</v>
      </c>
      <c r="C620" s="19" t="n">
        <f aca="false">C612+C616+C617+C618</f>
        <v>139.639</v>
      </c>
      <c r="D620" s="19" t="n">
        <f aca="false">D612+D616+D617+D618</f>
        <v>225.20035</v>
      </c>
      <c r="E620" s="19" t="n">
        <f aca="false">E612+E616+E617+E618</f>
        <v>351.307669196167</v>
      </c>
      <c r="F620" s="19" t="n">
        <f aca="false">F612+F616+F617+F618</f>
        <v>441.621437825909</v>
      </c>
      <c r="G620" s="19" t="n">
        <f aca="false">G612+G616+G617+G618</f>
        <v>469.538959020978</v>
      </c>
    </row>
    <row r="621" customFormat="false" ht="15" hidden="false" customHeight="false" outlineLevel="0" collapsed="false">
      <c r="A621" s="4" t="s">
        <v>480</v>
      </c>
      <c r="B621" s="0" t="s">
        <v>193</v>
      </c>
      <c r="C621" s="22" t="n">
        <f aca="false">ROUND(C619+C618-C620,6)</f>
        <v>0</v>
      </c>
      <c r="D621" s="22" t="n">
        <f aca="false">ROUND(D619+D618-D620,6)</f>
        <v>0</v>
      </c>
      <c r="E621" s="22" t="n">
        <f aca="false">ROUND(E619+E618-E620,6)</f>
        <v>0</v>
      </c>
      <c r="F621" s="22" t="n">
        <f aca="false">ROUND(F619+F618-F620,6)</f>
        <v>0</v>
      </c>
      <c r="G621" s="22" t="n">
        <f aca="false">ROUND(G619+G618-G620,6)</f>
        <v>0</v>
      </c>
    </row>
    <row r="622" customFormat="false" ht="15" hidden="false" customHeight="false" outlineLevel="0" collapsed="false">
      <c r="A622" s="4" t="s">
        <v>481</v>
      </c>
      <c r="B622" s="0" t="s">
        <v>53</v>
      </c>
      <c r="D622" s="14" t="n">
        <f aca="false">D620/C620-1</f>
        <v>0.612732474451979</v>
      </c>
      <c r="E622" s="14" t="n">
        <f aca="false">E620/D620-1</f>
        <v>0.559978344599227</v>
      </c>
      <c r="F622" s="14" t="n">
        <f aca="false">F620/E620-1</f>
        <v>0.257078841564692</v>
      </c>
      <c r="G622" s="14" t="n">
        <f aca="false">G620/F620-1</f>
        <v>0.06321595557613</v>
      </c>
    </row>
    <row r="623" customFormat="false" ht="17.15" hidden="false" customHeight="false" outlineLevel="0" collapsed="false">
      <c r="A623" s="4" t="s">
        <v>482</v>
      </c>
      <c r="B623" s="0" t="s">
        <v>53</v>
      </c>
      <c r="C623" s="14" t="n">
        <f aca="false">C612/C620</f>
        <v>0.15</v>
      </c>
      <c r="D623" s="14" t="n">
        <f aca="false">D612/D620</f>
        <v>0.32</v>
      </c>
      <c r="E623" s="14" t="n">
        <f aca="false">E612/E620</f>
        <v>0.499146698597906</v>
      </c>
      <c r="F623" s="14" t="n">
        <f aca="false">F612/F620</f>
        <v>0.573933962290382</v>
      </c>
      <c r="G623" s="14" t="n">
        <f aca="false">G612/G620</f>
        <v>0.58076556409531</v>
      </c>
    </row>
    <row r="624" customFormat="false" ht="17.15" hidden="false" customHeight="false" outlineLevel="0" collapsed="false">
      <c r="A624" s="0" t="s">
        <v>483</v>
      </c>
      <c r="B624" s="0" t="s">
        <v>53</v>
      </c>
      <c r="C624" s="14" t="n">
        <f aca="false">(C612+C616)/C620</f>
        <v>0.372</v>
      </c>
      <c r="D624" s="14" t="n">
        <f aca="false">(D612+D616)/D620</f>
        <v>0.53</v>
      </c>
      <c r="E624" s="14" t="n">
        <f aca="false">(E612+E616)/E620</f>
        <v>0.678841695633466</v>
      </c>
      <c r="F624" s="14" t="n">
        <f aca="false">(F612+F616)/F620</f>
        <v>0.730975136461707</v>
      </c>
      <c r="G624" s="14" t="n">
        <f aca="false">(G612+G616)/G620</f>
        <v>0.736080758257201</v>
      </c>
    </row>
    <row r="625" customFormat="false" ht="17.15" hidden="false" customHeight="false" outlineLevel="0" collapsed="false">
      <c r="A625" s="4" t="s">
        <v>435</v>
      </c>
      <c r="B625" s="0" t="s">
        <v>423</v>
      </c>
      <c r="D625" s="18" t="n">
        <f aca="false">(D612+D616)/fx/D604*1000</f>
        <v>159.399762088039</v>
      </c>
      <c r="E625" s="18" t="n">
        <f aca="false">(E612+E616)/fx/E604*1000</f>
        <v>178.947189172339</v>
      </c>
      <c r="F625" s="18" t="n">
        <f aca="false">(F612+F616)/fx/F604*1000</f>
        <v>191.088047055512</v>
      </c>
      <c r="G625" s="18" t="n">
        <f aca="false">(G612+G616)/fx/G604*1000</f>
        <v>179.594844492719</v>
      </c>
    </row>
    <row r="626" customFormat="false" ht="17.15" hidden="false" customHeight="false" outlineLevel="0" collapsed="false">
      <c r="A626" s="6" t="s">
        <v>484</v>
      </c>
    </row>
    <row r="627" customFormat="false" ht="17.15" hidden="false" customHeight="false" outlineLevel="0" collapsed="false">
      <c r="A627" s="4" t="s">
        <v>485</v>
      </c>
      <c r="B627" s="0" t="s">
        <v>53</v>
      </c>
      <c r="D627" s="14" t="n">
        <f aca="false">a26_gp/D620-d_lc_hi*D623</f>
        <v>0.290021503074929</v>
      </c>
      <c r="H627" s="8" t="s">
        <v>486</v>
      </c>
    </row>
    <row r="628" customFormat="false" ht="15" hidden="false" customHeight="false" outlineLevel="0" collapsed="false">
      <c r="A628" s="4" t="s">
        <v>361</v>
      </c>
      <c r="B628" s="0" t="s">
        <v>193</v>
      </c>
      <c r="C628" s="19" t="n">
        <f aca="false">a25_gp</f>
        <v>36.034</v>
      </c>
      <c r="D628" s="19" t="n">
        <f aca="false">a26_gp</f>
        <v>72.5193552</v>
      </c>
      <c r="E628" s="19" t="n">
        <f aca="false">$D$627*E620+d_lc_hi*E612</f>
        <v>119.422184589161</v>
      </c>
      <c r="F628" s="19" t="n">
        <f aca="false">$D$627*F620+d_lc_hi*F612</f>
        <v>153.425867352761</v>
      </c>
      <c r="G628" s="19" t="n">
        <f aca="false">$D$627*G620+d_lc_hi*G612</f>
        <v>163.445600487556</v>
      </c>
    </row>
    <row r="629" customFormat="false" ht="15" hidden="false" customHeight="false" outlineLevel="0" collapsed="false">
      <c r="A629" s="4" t="s">
        <v>364</v>
      </c>
      <c r="B629" s="0" t="s">
        <v>53</v>
      </c>
      <c r="C629" s="14" t="n">
        <f aca="false">C628/C620</f>
        <v>0.258051117524474</v>
      </c>
      <c r="D629" s="14" t="n">
        <f aca="false">D628/D620</f>
        <v>0.322021503074929</v>
      </c>
      <c r="E629" s="14" t="n">
        <f aca="false">E628/E620</f>
        <v>0.339936172934719</v>
      </c>
      <c r="F629" s="14" t="n">
        <f aca="false">F628/F620</f>
        <v>0.347414899303967</v>
      </c>
      <c r="G629" s="14" t="n">
        <f aca="false">G628/G620</f>
        <v>0.34809805948446</v>
      </c>
    </row>
    <row r="630" customFormat="false" ht="15" hidden="false" customHeight="false" outlineLevel="0" collapsed="false">
      <c r="A630" s="4" t="s">
        <v>487</v>
      </c>
      <c r="B630" s="0" t="s">
        <v>193</v>
      </c>
      <c r="C630" s="19" t="n">
        <f aca="false">a25_opx</f>
        <v>8.4832253</v>
      </c>
      <c r="D630" s="19" t="n">
        <f aca="false">a26_opx</f>
        <v>11.7048599</v>
      </c>
      <c r="E630" s="19" t="n">
        <f aca="false">D630*(1+MAX(0,phi*E622))</f>
        <v>16.2929875493975</v>
      </c>
      <c r="F630" s="19" t="n">
        <f aca="false">E630*(1+MAX(0,phi*F622))</f>
        <v>19.2249952047765</v>
      </c>
      <c r="G630" s="19" t="n">
        <f aca="false">F630*(1+MAX(0,phi*G622))</f>
        <v>20.075723714748</v>
      </c>
    </row>
    <row r="631" customFormat="false" ht="15" hidden="false" customHeight="false" outlineLevel="0" collapsed="false">
      <c r="A631" s="4" t="s">
        <v>366</v>
      </c>
      <c r="B631" s="0" t="s">
        <v>193</v>
      </c>
      <c r="C631" s="19" t="n">
        <f aca="false">C630</f>
        <v>8.4832253</v>
      </c>
      <c r="D631" s="19" t="n">
        <f aca="false">D630</f>
        <v>11.7048599</v>
      </c>
      <c r="E631" s="19" t="n">
        <f aca="false">E630+0*E620</f>
        <v>16.2929875493975</v>
      </c>
      <c r="F631" s="19" t="n">
        <f aca="false">F630+0*F620</f>
        <v>19.2249952047765</v>
      </c>
      <c r="G631" s="19" t="n">
        <f aca="false">G630+0*G620</f>
        <v>20.075723714748</v>
      </c>
    </row>
    <row r="632" customFormat="false" ht="15" hidden="false" customHeight="false" outlineLevel="0" collapsed="false">
      <c r="A632" s="4" t="s">
        <v>368</v>
      </c>
      <c r="B632" s="0" t="s">
        <v>193</v>
      </c>
      <c r="C632" s="19" t="n">
        <f aca="false">C628-C631</f>
        <v>27.5507747</v>
      </c>
      <c r="D632" s="19" t="n">
        <f aca="false">D628-D631</f>
        <v>60.8144953</v>
      </c>
      <c r="E632" s="19" t="n">
        <f aca="false">E628-E631</f>
        <v>103.129197039764</v>
      </c>
      <c r="F632" s="19" t="n">
        <f aca="false">F628-F631</f>
        <v>134.200872147985</v>
      </c>
      <c r="G632" s="19" t="n">
        <f aca="false">G628-G631</f>
        <v>143.369876772808</v>
      </c>
    </row>
    <row r="633" customFormat="false" ht="15" hidden="false" customHeight="false" outlineLevel="0" collapsed="false">
      <c r="A633" s="4" t="s">
        <v>371</v>
      </c>
      <c r="B633" s="0" t="s">
        <v>53</v>
      </c>
      <c r="C633" s="14" t="n">
        <f aca="false">C632/C620</f>
        <v>0.1973</v>
      </c>
      <c r="D633" s="14" t="n">
        <f aca="false">D632/D620</f>
        <v>0.27004618465291</v>
      </c>
      <c r="E633" s="14" t="n">
        <f aca="false">E632/E620</f>
        <v>0.293558057743902</v>
      </c>
      <c r="F633" s="14" t="n">
        <f aca="false">F632/F620</f>
        <v>0.303882150306498</v>
      </c>
      <c r="G633" s="14" t="n">
        <f aca="false">G632/G620</f>
        <v>0.305341812470139</v>
      </c>
    </row>
    <row r="634" customFormat="false" ht="15" hidden="false" customHeight="false" outlineLevel="0" collapsed="false">
      <c r="A634" s="4" t="s">
        <v>373</v>
      </c>
      <c r="B634" s="0" t="s">
        <v>193</v>
      </c>
      <c r="C634" s="19" t="n">
        <f aca="false">a25_nop</f>
        <v>1.23179436863779</v>
      </c>
      <c r="D634" s="19" t="n">
        <f aca="false">a26_nop</f>
        <v>0.8186111</v>
      </c>
      <c r="E634" s="19" t="n">
        <f aca="false">nop_f</f>
        <v>1</v>
      </c>
      <c r="F634" s="19" t="n">
        <f aca="false">nop_f</f>
        <v>1</v>
      </c>
      <c r="G634" s="19" t="n">
        <f aca="false">nop_f</f>
        <v>1</v>
      </c>
    </row>
    <row r="635" customFormat="false" ht="17.15" hidden="false" customHeight="false" outlineLevel="0" collapsed="false">
      <c r="A635" s="4" t="s">
        <v>236</v>
      </c>
      <c r="B635" s="0" t="s">
        <v>53</v>
      </c>
      <c r="C635" s="14" t="n">
        <f aca="false">a25_ni/(a25_oi+a25_nop)</f>
        <v>0.666583999303438</v>
      </c>
      <c r="D635" s="14" t="n">
        <f aca="false">a26_ni/(a26_oi+a26_nop)</f>
        <v>0.674837141220258</v>
      </c>
      <c r="E635" s="14" t="n">
        <f aca="false">nir_f</f>
        <v>0.675</v>
      </c>
      <c r="F635" s="14" t="n">
        <f aca="false">nir_f</f>
        <v>0.675</v>
      </c>
      <c r="G635" s="14" t="n">
        <f aca="false">nir_f</f>
        <v>0.675</v>
      </c>
    </row>
    <row r="636" customFormat="false" ht="15" hidden="false" customHeight="false" outlineLevel="0" collapsed="false">
      <c r="A636" s="4" t="s">
        <v>377</v>
      </c>
      <c r="B636" s="0" t="s">
        <v>193</v>
      </c>
      <c r="C636" s="19" t="n">
        <f aca="false">a25_ni</f>
        <v>19.186</v>
      </c>
      <c r="D636" s="19" t="n">
        <f aca="false">a26_ni</f>
        <v>41.5923093275</v>
      </c>
      <c r="E636" s="19" t="n">
        <f aca="false">(E632+E634)*E635</f>
        <v>70.2872080018405</v>
      </c>
      <c r="F636" s="19" t="n">
        <f aca="false">(F632+F634)*F635</f>
        <v>91.2605886998897</v>
      </c>
      <c r="G636" s="19" t="n">
        <f aca="false">(G632+G634)*G635</f>
        <v>97.4496668216453</v>
      </c>
    </row>
    <row r="637" customFormat="false" ht="15" hidden="false" customHeight="false" outlineLevel="0" collapsed="false">
      <c r="A637" s="4" t="s">
        <v>488</v>
      </c>
      <c r="B637" s="4" t="s">
        <v>219</v>
      </c>
      <c r="C637" s="22" t="n">
        <f aca="false">a25_sh</f>
        <v>0.390197274761033</v>
      </c>
      <c r="D637" s="22" t="n">
        <f aca="false">a26_sh</f>
        <v>0.392523574315222</v>
      </c>
      <c r="E637" s="22" t="n">
        <f aca="false">D637*(1+sh_g)</f>
        <v>0.392523574315222</v>
      </c>
      <c r="F637" s="22" t="n">
        <f aca="false">E637*(1+sh_g)</f>
        <v>0.392523574315222</v>
      </c>
      <c r="G637" s="22" t="n">
        <f aca="false">F637*(1+sh_g)</f>
        <v>0.392523574315222</v>
      </c>
    </row>
    <row r="638" customFormat="false" ht="15" hidden="false" customHeight="false" outlineLevel="0" collapsed="false">
      <c r="A638" s="0" t="s">
        <v>382</v>
      </c>
      <c r="B638" s="0" t="s">
        <v>256</v>
      </c>
      <c r="C638" s="20" t="n">
        <f aca="false">C636/C637</f>
        <v>49.17</v>
      </c>
      <c r="D638" s="20" t="n">
        <f aca="false">D636/D637</f>
        <v>105.961302834002</v>
      </c>
      <c r="E638" s="20" t="n">
        <f aca="false">E636/E637</f>
        <v>179.064934187609</v>
      </c>
      <c r="F638" s="20" t="n">
        <f aca="false">F636/F637</f>
        <v>232.497089783967</v>
      </c>
      <c r="G638" s="20" t="n">
        <f aca="false">G636/G637</f>
        <v>248.264494665451</v>
      </c>
    </row>
    <row r="639" customFormat="false" ht="17.15" hidden="false" customHeight="false" outlineLevel="0" collapsed="false">
      <c r="A639" s="0" t="s">
        <v>489</v>
      </c>
      <c r="B639" s="0" t="s">
        <v>53</v>
      </c>
      <c r="D639" s="14" t="n">
        <f aca="false">D638/C638-1</f>
        <v>1.15499904075659</v>
      </c>
      <c r="E639" s="14" t="n">
        <f aca="false">E638/D638-1</f>
        <v>0.689908762901223</v>
      </c>
      <c r="F639" s="14" t="n">
        <f aca="false">F638/E638-1</f>
        <v>0.298395416382167</v>
      </c>
      <c r="G639" s="14" t="n">
        <f aca="false">G638/F638-1</f>
        <v>0.0678176440665785</v>
      </c>
    </row>
    <row r="642" customFormat="false" ht="17.15" hidden="false" customHeight="false" outlineLevel="0" collapsed="false">
      <c r="A642" s="1" t="s">
        <v>814</v>
      </c>
    </row>
    <row r="643" customFormat="false" ht="17.15" hidden="false" customHeight="false" outlineLevel="0" collapsed="false">
      <c r="A643" s="5" t="s">
        <v>22</v>
      </c>
      <c r="B643" s="5" t="s">
        <v>23</v>
      </c>
      <c r="C643" s="11" t="s">
        <v>351</v>
      </c>
      <c r="D643" s="11" t="s">
        <v>440</v>
      </c>
      <c r="E643" s="11" t="s">
        <v>441</v>
      </c>
      <c r="F643" s="11" t="s">
        <v>442</v>
      </c>
      <c r="G643" s="11" t="s">
        <v>443</v>
      </c>
      <c r="H643" s="5" t="s">
        <v>416</v>
      </c>
    </row>
    <row r="644" customFormat="false" ht="17.15" hidden="false" customHeight="false" outlineLevel="0" collapsed="false">
      <c r="A644" s="6" t="s">
        <v>459</v>
      </c>
    </row>
    <row r="645" customFormat="false" ht="17.15" hidden="false" customHeight="false" outlineLevel="0" collapsed="false">
      <c r="A645" s="0" t="s">
        <v>460</v>
      </c>
      <c r="B645" s="0" t="s">
        <v>33</v>
      </c>
      <c r="D645" s="20" t="n">
        <f aca="false">itc_26*1</f>
        <v>781.872916666666</v>
      </c>
      <c r="E645" s="20" t="n">
        <f aca="false">itc_27*1*1</f>
        <v>1565.35</v>
      </c>
      <c r="F645" s="20" t="n">
        <f aca="false">itc_28*um28_A*1</f>
        <v>1984.26388888889</v>
      </c>
      <c r="G645" s="20" t="n">
        <f aca="false">itc_29*um29_A*1</f>
        <v>2260.39027777778</v>
      </c>
    </row>
    <row r="646" customFormat="false" ht="17.15" hidden="false" customHeight="false" outlineLevel="0" collapsed="false">
      <c r="A646" s="4" t="s">
        <v>461</v>
      </c>
      <c r="B646" s="0" t="s">
        <v>33</v>
      </c>
      <c r="D646" s="20" t="n">
        <f aca="false">itpg_gb*(1-vr26)+itpg_vr*vr26</f>
        <v>33.41403216</v>
      </c>
      <c r="E646" s="20" t="n">
        <f aca="false">itpg_vr</f>
        <v>37.586352</v>
      </c>
      <c r="F646" s="20" t="n">
        <f aca="false">itpg_vr</f>
        <v>37.586352</v>
      </c>
      <c r="G646" s="20" t="n">
        <f aca="false">itpg_vr</f>
        <v>37.586352</v>
      </c>
    </row>
    <row r="647" customFormat="false" ht="17.15" hidden="false" customHeight="false" outlineLevel="0" collapsed="false">
      <c r="A647" s="4" t="s">
        <v>462</v>
      </c>
      <c r="B647" s="0" t="s">
        <v>418</v>
      </c>
      <c r="D647" s="17" t="n">
        <f aca="false">D645/D646</f>
        <v>23.3995380420639</v>
      </c>
      <c r="E647" s="17" t="n">
        <f aca="false">E645/E646</f>
        <v>41.6467658260637</v>
      </c>
      <c r="F647" s="17" t="n">
        <f aca="false">F645/F646</f>
        <v>52.792138191248</v>
      </c>
      <c r="G647" s="17" t="n">
        <f aca="false">G645/G646</f>
        <v>60.1385917361116</v>
      </c>
    </row>
    <row r="648" customFormat="false" ht="17.15" hidden="false" customHeight="false" outlineLevel="0" collapsed="false">
      <c r="A648" s="4" t="s">
        <v>463</v>
      </c>
      <c r="B648" s="0" t="s">
        <v>53</v>
      </c>
      <c r="D648" s="14" t="n">
        <f aca="false">lpenA_26</f>
        <v>0.55</v>
      </c>
      <c r="E648" s="14" t="n">
        <f aca="false">lpenA_27</f>
        <v>0.85</v>
      </c>
      <c r="F648" s="14" t="n">
        <f aca="false">lpenA_28</f>
        <v>0.95</v>
      </c>
      <c r="G648" s="14" t="n">
        <f aca="false">lpenA_29</f>
        <v>0.95</v>
      </c>
    </row>
    <row r="649" customFormat="false" ht="17.15" hidden="false" customHeight="false" outlineLevel="0" collapsed="false">
      <c r="A649" s="4" t="s">
        <v>464</v>
      </c>
      <c r="B649" s="0" t="s">
        <v>423</v>
      </c>
      <c r="D649" s="18" t="n">
        <f aca="false">((1-vr26)*racks_gb*(cool_gb+mani)+vr26*racks_vr*(cool_vr+mani))/1000</f>
        <v>350.7208</v>
      </c>
      <c r="E649" s="18" t="n">
        <f aca="false">racks_vr*(cool_vr+mani)*lcadj_27/1000</f>
        <v>326.5912</v>
      </c>
      <c r="F649" s="18" t="n">
        <f aca="false">racks_vr*(cool_vr+mani)*lcadj_28/1000</f>
        <v>351.7136</v>
      </c>
      <c r="G649" s="18" t="n">
        <f aca="false">racks_vr*(cool_vr+mani)*lcadj_29/1000</f>
        <v>351.7136</v>
      </c>
      <c r="H649" s="4" t="s">
        <v>465</v>
      </c>
    </row>
    <row r="650" customFormat="false" ht="17.15" hidden="false" customHeight="false" outlineLevel="0" collapsed="false">
      <c r="A650" s="0" t="s">
        <v>466</v>
      </c>
      <c r="B650" s="0" t="s">
        <v>33</v>
      </c>
      <c r="D650" s="20" t="n">
        <f aca="false">D647*D648*D649/1000</f>
        <v>4.51368758595869</v>
      </c>
      <c r="E650" s="20" t="n">
        <f aca="false">E647*E648*E649/1000</f>
        <v>11.5612471431652</v>
      </c>
      <c r="F650" s="20" t="n">
        <f aca="false">F647*F648*F649/1000</f>
        <v>17.6393273261943</v>
      </c>
      <c r="G650" s="20" t="n">
        <f aca="false">G647*G648*G649/1000</f>
        <v>20.0939825685161</v>
      </c>
    </row>
    <row r="651" customFormat="false" ht="17.15" hidden="false" customHeight="false" outlineLevel="0" collapsed="false">
      <c r="A651" s="0" t="s">
        <v>467</v>
      </c>
      <c r="B651" s="0" t="s">
        <v>193</v>
      </c>
      <c r="D651" s="19" t="n">
        <f aca="false">D650*fx</f>
        <v>144.438002750678</v>
      </c>
      <c r="E651" s="19" t="n">
        <f aca="false">E650*fx</f>
        <v>369.959908581285</v>
      </c>
      <c r="F651" s="19" t="n">
        <f aca="false">F650*fx</f>
        <v>564.458474438216</v>
      </c>
      <c r="G651" s="19" t="n">
        <f aca="false">G650*fx</f>
        <v>643.007442192516</v>
      </c>
    </row>
    <row r="652" customFormat="false" ht="17.15" hidden="false" customHeight="false" outlineLevel="0" collapsed="false">
      <c r="A652" s="4" t="s">
        <v>468</v>
      </c>
      <c r="B652" s="0" t="s">
        <v>53</v>
      </c>
      <c r="D652" s="14" t="n">
        <f aca="false">a26_lc/D651</f>
        <v>0.498927641116677</v>
      </c>
      <c r="H652" s="8" t="s">
        <v>469</v>
      </c>
    </row>
    <row r="653" customFormat="false" ht="17.15" hidden="false" customHeight="false" outlineLevel="0" collapsed="false">
      <c r="A653" s="4" t="s">
        <v>470</v>
      </c>
      <c r="B653" s="0" t="s">
        <v>74</v>
      </c>
      <c r="D653" s="15" t="n">
        <f aca="false">1</f>
        <v>1</v>
      </c>
      <c r="E653" s="15" t="n">
        <f aca="false">rel_27</f>
        <v>0.95</v>
      </c>
      <c r="F653" s="15" t="n">
        <f aca="false">rel_28</f>
        <v>0.9</v>
      </c>
      <c r="G653" s="15" t="n">
        <f aca="false">rel_29</f>
        <v>0.85</v>
      </c>
    </row>
    <row r="654" customFormat="false" ht="15" hidden="false" customHeight="false" outlineLevel="0" collapsed="false">
      <c r="A654" s="4" t="s">
        <v>430</v>
      </c>
      <c r="B654" s="0" t="s">
        <v>53</v>
      </c>
      <c r="D654" s="14" t="n">
        <f aca="false">$D$652*D653</f>
        <v>0.498927641116677</v>
      </c>
      <c r="E654" s="14" t="n">
        <f aca="false">$D$652*E653</f>
        <v>0.473981259060843</v>
      </c>
      <c r="F654" s="14" t="n">
        <f aca="false">$D$652*F653</f>
        <v>0.449034877005009</v>
      </c>
      <c r="G654" s="14" t="n">
        <f aca="false">$D$652*G653</f>
        <v>0.424088494949176</v>
      </c>
    </row>
    <row r="655" customFormat="false" ht="15" hidden="false" customHeight="false" outlineLevel="0" collapsed="false">
      <c r="A655" s="4" t="s">
        <v>471</v>
      </c>
      <c r="B655" s="0" t="s">
        <v>193</v>
      </c>
      <c r="C655" s="19" t="n">
        <f aca="false">a25_lc</f>
        <v>20.94585</v>
      </c>
      <c r="D655" s="19" t="n">
        <f aca="false">D651*D654</f>
        <v>72.064112</v>
      </c>
      <c r="E655" s="19" t="n">
        <f aca="false">E651*E654</f>
        <v>175.354063271392</v>
      </c>
      <c r="F655" s="19" t="n">
        <f aca="false">F651*F654</f>
        <v>253.4615416438</v>
      </c>
      <c r="G655" s="19" t="n">
        <f aca="false">G651*G654</f>
        <v>272.692058400543</v>
      </c>
    </row>
    <row r="656" customFormat="false" ht="17.15" hidden="false" customHeight="false" outlineLevel="0" collapsed="false">
      <c r="A656" s="6" t="s">
        <v>472</v>
      </c>
    </row>
    <row r="657" customFormat="false" ht="17.15" hidden="false" customHeight="false" outlineLevel="0" collapsed="false">
      <c r="A657" s="0" t="s">
        <v>473</v>
      </c>
      <c r="B657" s="0" t="s">
        <v>474</v>
      </c>
      <c r="D657" s="22" t="n">
        <f aca="false">a26_air/D647</f>
        <v>2.0210686815691</v>
      </c>
    </row>
    <row r="658" customFormat="false" ht="17.15" hidden="false" customHeight="false" outlineLevel="0" collapsed="false">
      <c r="A658" s="0" t="s">
        <v>475</v>
      </c>
      <c r="B658" s="0" t="s">
        <v>74</v>
      </c>
      <c r="D658" s="15" t="n">
        <f aca="false">1</f>
        <v>1</v>
      </c>
      <c r="E658" s="15" t="n">
        <f aca="false">acr_27</f>
        <v>0.75</v>
      </c>
      <c r="F658" s="15" t="n">
        <f aca="false">acr_28</f>
        <v>0.65</v>
      </c>
      <c r="G658" s="15" t="n">
        <f aca="false">acr_29</f>
        <v>0.6</v>
      </c>
    </row>
    <row r="659" customFormat="false" ht="17.15" hidden="false" customHeight="false" outlineLevel="0" collapsed="false">
      <c r="A659" s="0" t="s">
        <v>476</v>
      </c>
      <c r="B659" s="0" t="s">
        <v>193</v>
      </c>
      <c r="C659" s="19" t="n">
        <f aca="false">a25_air</f>
        <v>30.999858</v>
      </c>
      <c r="D659" s="19" t="n">
        <f aca="false">D647*$D$657*D658</f>
        <v>47.2920735</v>
      </c>
      <c r="E659" s="19" t="n">
        <f aca="false">E647*$D$657*E658</f>
        <v>63.1282305747746</v>
      </c>
      <c r="F659" s="19" t="n">
        <f aca="false">F647*$D$657*F658</f>
        <v>69.3527491354095</v>
      </c>
      <c r="G659" s="19" t="n">
        <f aca="false">G647*$D$657*G658</f>
        <v>72.9265345869151</v>
      </c>
    </row>
    <row r="660" customFormat="false" ht="15" hidden="false" customHeight="false" outlineLevel="0" collapsed="false">
      <c r="A660" s="4" t="s">
        <v>477</v>
      </c>
      <c r="B660" s="0" t="s">
        <v>193</v>
      </c>
      <c r="C660" s="19" t="n">
        <f aca="false">a25_gen</f>
        <v>20.666572</v>
      </c>
      <c r="D660" s="19" t="n">
        <f aca="false">a26_gen</f>
        <v>31.528049</v>
      </c>
      <c r="E660" s="19" t="n">
        <f aca="false">D660*(1+g_gen_27)</f>
        <v>34.05029292</v>
      </c>
      <c r="F660" s="19" t="n">
        <f aca="false">E660*(1+g_gen_28)</f>
        <v>36.0933104952</v>
      </c>
      <c r="G660" s="19" t="n">
        <f aca="false">F660*(1+g_gen_29)</f>
        <v>37.89797601996</v>
      </c>
    </row>
    <row r="661" customFormat="false" ht="17.15" hidden="false" customHeight="false" outlineLevel="0" collapsed="false">
      <c r="A661" s="4" t="s">
        <v>478</v>
      </c>
      <c r="B661" s="0" t="s">
        <v>193</v>
      </c>
      <c r="C661" s="19" t="n">
        <f aca="false">a25_nai</f>
        <v>67.02672</v>
      </c>
      <c r="D661" s="19" t="n">
        <f aca="false">a26_nai</f>
        <v>74.3161155</v>
      </c>
      <c r="E661" s="19" t="n">
        <f aca="false">D661*(1+g_nai_27)</f>
        <v>78.77508243</v>
      </c>
      <c r="F661" s="19" t="n">
        <f aca="false">E661*(1+g_nai_28)</f>
        <v>82.7138365515</v>
      </c>
      <c r="G661" s="19" t="n">
        <f aca="false">F661*(1+g_nai_29)</f>
        <v>86.02239001356</v>
      </c>
    </row>
    <row r="662" customFormat="false" ht="17.15" hidden="false" customHeight="false" outlineLevel="0" collapsed="false">
      <c r="A662" s="4" t="s">
        <v>479</v>
      </c>
      <c r="B662" s="0" t="s">
        <v>193</v>
      </c>
      <c r="C662" s="19" t="n">
        <f aca="false">C655+C659+C660</f>
        <v>72.61228</v>
      </c>
      <c r="D662" s="19" t="n">
        <f aca="false">D655+D659+D660</f>
        <v>150.8842345</v>
      </c>
      <c r="E662" s="19" t="n">
        <f aca="false">E655+E659+E660</f>
        <v>272.532586766167</v>
      </c>
      <c r="F662" s="19" t="n">
        <f aca="false">F655+F659+F660</f>
        <v>358.907601274409</v>
      </c>
      <c r="G662" s="19" t="n">
        <f aca="false">G655+G659+G660</f>
        <v>383.516569007418</v>
      </c>
    </row>
    <row r="663" customFormat="false" ht="15" hidden="false" customHeight="false" outlineLevel="0" collapsed="false">
      <c r="A663" s="4" t="s">
        <v>357</v>
      </c>
      <c r="B663" s="0" t="s">
        <v>193</v>
      </c>
      <c r="C663" s="19" t="n">
        <f aca="false">C655+C659+C660+C661</f>
        <v>139.639</v>
      </c>
      <c r="D663" s="19" t="n">
        <f aca="false">D655+D659+D660+D661</f>
        <v>225.20035</v>
      </c>
      <c r="E663" s="19" t="n">
        <f aca="false">E655+E659+E660+E661</f>
        <v>351.307669196167</v>
      </c>
      <c r="F663" s="19" t="n">
        <f aca="false">F655+F659+F660+F661</f>
        <v>441.621437825909</v>
      </c>
      <c r="G663" s="19" t="n">
        <f aca="false">G655+G659+G660+G661</f>
        <v>469.538959020978</v>
      </c>
    </row>
    <row r="664" customFormat="false" ht="15" hidden="false" customHeight="false" outlineLevel="0" collapsed="false">
      <c r="A664" s="4" t="s">
        <v>480</v>
      </c>
      <c r="B664" s="0" t="s">
        <v>193</v>
      </c>
      <c r="C664" s="22" t="n">
        <f aca="false">ROUND(C662+C661-C663,6)</f>
        <v>0</v>
      </c>
      <c r="D664" s="22" t="n">
        <f aca="false">ROUND(D662+D661-D663,6)</f>
        <v>0</v>
      </c>
      <c r="E664" s="22" t="n">
        <f aca="false">ROUND(E662+E661-E663,6)</f>
        <v>0</v>
      </c>
      <c r="F664" s="22" t="n">
        <f aca="false">ROUND(F662+F661-F663,6)</f>
        <v>0</v>
      </c>
      <c r="G664" s="22" t="n">
        <f aca="false">ROUND(G662+G661-G663,6)</f>
        <v>0</v>
      </c>
    </row>
    <row r="665" customFormat="false" ht="15" hidden="false" customHeight="false" outlineLevel="0" collapsed="false">
      <c r="A665" s="4" t="s">
        <v>481</v>
      </c>
      <c r="B665" s="0" t="s">
        <v>53</v>
      </c>
      <c r="D665" s="14" t="n">
        <f aca="false">D663/C663-1</f>
        <v>0.612732474451979</v>
      </c>
      <c r="E665" s="14" t="n">
        <f aca="false">E663/D663-1</f>
        <v>0.559978344599227</v>
      </c>
      <c r="F665" s="14" t="n">
        <f aca="false">F663/E663-1</f>
        <v>0.257078841564692</v>
      </c>
      <c r="G665" s="14" t="n">
        <f aca="false">G663/F663-1</f>
        <v>0.06321595557613</v>
      </c>
    </row>
    <row r="666" customFormat="false" ht="17.15" hidden="false" customHeight="false" outlineLevel="0" collapsed="false">
      <c r="A666" s="4" t="s">
        <v>482</v>
      </c>
      <c r="B666" s="0" t="s">
        <v>53</v>
      </c>
      <c r="C666" s="14" t="n">
        <f aca="false">C655/C663</f>
        <v>0.15</v>
      </c>
      <c r="D666" s="14" t="n">
        <f aca="false">D655/D663</f>
        <v>0.32</v>
      </c>
      <c r="E666" s="14" t="n">
        <f aca="false">E655/E663</f>
        <v>0.499146698597906</v>
      </c>
      <c r="F666" s="14" t="n">
        <f aca="false">F655/F663</f>
        <v>0.573933962290382</v>
      </c>
      <c r="G666" s="14" t="n">
        <f aca="false">G655/G663</f>
        <v>0.58076556409531</v>
      </c>
    </row>
    <row r="667" customFormat="false" ht="17.15" hidden="false" customHeight="false" outlineLevel="0" collapsed="false">
      <c r="A667" s="0" t="s">
        <v>483</v>
      </c>
      <c r="B667" s="0" t="s">
        <v>53</v>
      </c>
      <c r="C667" s="14" t="n">
        <f aca="false">(C655+C659)/C663</f>
        <v>0.372</v>
      </c>
      <c r="D667" s="14" t="n">
        <f aca="false">(D655+D659)/D663</f>
        <v>0.53</v>
      </c>
      <c r="E667" s="14" t="n">
        <f aca="false">(E655+E659)/E663</f>
        <v>0.678841695633466</v>
      </c>
      <c r="F667" s="14" t="n">
        <f aca="false">(F655+F659)/F663</f>
        <v>0.730975136461707</v>
      </c>
      <c r="G667" s="14" t="n">
        <f aca="false">(G655+G659)/G663</f>
        <v>0.736080758257201</v>
      </c>
    </row>
    <row r="668" customFormat="false" ht="17.15" hidden="false" customHeight="false" outlineLevel="0" collapsed="false">
      <c r="A668" s="4" t="s">
        <v>435</v>
      </c>
      <c r="B668" s="0" t="s">
        <v>423</v>
      </c>
      <c r="D668" s="18" t="n">
        <f aca="false">(D655+D659)/fx/D647*1000</f>
        <v>159.399762088039</v>
      </c>
      <c r="E668" s="18" t="n">
        <f aca="false">(E655+E659)/fx/E647*1000</f>
        <v>178.947189172339</v>
      </c>
      <c r="F668" s="18" t="n">
        <f aca="false">(F655+F659)/fx/F647*1000</f>
        <v>191.088047055512</v>
      </c>
      <c r="G668" s="18" t="n">
        <f aca="false">(G655+G659)/fx/G647*1000</f>
        <v>179.594844492719</v>
      </c>
    </row>
    <row r="669" customFormat="false" ht="17.15" hidden="false" customHeight="false" outlineLevel="0" collapsed="false">
      <c r="A669" s="6" t="s">
        <v>484</v>
      </c>
    </row>
    <row r="670" customFormat="false" ht="17.15" hidden="false" customHeight="false" outlineLevel="0" collapsed="false">
      <c r="A670" s="4" t="s">
        <v>485</v>
      </c>
      <c r="B670" s="0" t="s">
        <v>53</v>
      </c>
      <c r="D670" s="14" t="n">
        <f aca="false">a26_gp/D663-d_lc*D666</f>
        <v>0.302821503074929</v>
      </c>
      <c r="H670" s="8" t="s">
        <v>486</v>
      </c>
    </row>
    <row r="671" customFormat="false" ht="15" hidden="false" customHeight="false" outlineLevel="0" collapsed="false">
      <c r="A671" s="4" t="s">
        <v>361</v>
      </c>
      <c r="B671" s="0" t="s">
        <v>193</v>
      </c>
      <c r="C671" s="19" t="n">
        <f aca="false">a25_gp</f>
        <v>36.034</v>
      </c>
      <c r="D671" s="19" t="n">
        <f aca="false">a26_gp</f>
        <v>72.5193552</v>
      </c>
      <c r="E671" s="19" t="n">
        <f aca="false">$D$670*E663+d_lc*E655</f>
        <v>116.904760224016</v>
      </c>
      <c r="F671" s="19" t="n">
        <f aca="false">$D$670*F663+d_lc*F655</f>
        <v>148.940160091181</v>
      </c>
      <c r="G671" s="19" t="n">
        <f aca="false">$D$670*G663+d_lc*G655</f>
        <v>158.548016827003</v>
      </c>
    </row>
    <row r="672" customFormat="false" ht="15" hidden="false" customHeight="false" outlineLevel="0" collapsed="false">
      <c r="A672" s="4" t="s">
        <v>364</v>
      </c>
      <c r="B672" s="0" t="s">
        <v>53</v>
      </c>
      <c r="C672" s="14" t="n">
        <f aca="false">C671/C663</f>
        <v>0.258051117524474</v>
      </c>
      <c r="D672" s="14" t="n">
        <f aca="false">D671/D663</f>
        <v>0.322021503074929</v>
      </c>
      <c r="E672" s="14" t="n">
        <f aca="false">E671/E663</f>
        <v>0.332770304990803</v>
      </c>
      <c r="F672" s="14" t="n">
        <f aca="false">F671/F663</f>
        <v>0.337257540812352</v>
      </c>
      <c r="G672" s="14" t="n">
        <f aca="false">G671/G663</f>
        <v>0.337667436920647</v>
      </c>
    </row>
    <row r="673" customFormat="false" ht="15" hidden="false" customHeight="false" outlineLevel="0" collapsed="false">
      <c r="A673" s="4" t="s">
        <v>487</v>
      </c>
      <c r="B673" s="0" t="s">
        <v>193</v>
      </c>
      <c r="C673" s="19" t="n">
        <f aca="false">a25_opx</f>
        <v>8.4832253</v>
      </c>
      <c r="D673" s="19" t="n">
        <f aca="false">a26_opx</f>
        <v>11.7048599</v>
      </c>
      <c r="E673" s="19" t="n">
        <f aca="false">D673*(1+MAX(0,phi*E665))</f>
        <v>16.2929875493975</v>
      </c>
      <c r="F673" s="19" t="n">
        <f aca="false">E673*(1+MAX(0,phi*F665))</f>
        <v>19.2249952047765</v>
      </c>
      <c r="G673" s="19" t="n">
        <f aca="false">F673*(1+MAX(0,phi*G665))</f>
        <v>20.075723714748</v>
      </c>
    </row>
    <row r="674" customFormat="false" ht="15" hidden="false" customHeight="false" outlineLevel="0" collapsed="false">
      <c r="A674" s="4" t="s">
        <v>366</v>
      </c>
      <c r="B674" s="0" t="s">
        <v>193</v>
      </c>
      <c r="C674" s="19" t="n">
        <f aca="false">C673</f>
        <v>8.4832253</v>
      </c>
      <c r="D674" s="19" t="n">
        <f aca="false">D673</f>
        <v>11.7048599</v>
      </c>
      <c r="E674" s="19" t="n">
        <f aca="false">E673+opx_adj_hi*E663</f>
        <v>23.3191409333208</v>
      </c>
      <c r="F674" s="19" t="n">
        <f aca="false">F673+opx_adj_hi*F663</f>
        <v>28.0574239612946</v>
      </c>
      <c r="G674" s="19" t="n">
        <f aca="false">G673+opx_adj_hi*G663</f>
        <v>29.4665028951676</v>
      </c>
    </row>
    <row r="675" customFormat="false" ht="15" hidden="false" customHeight="false" outlineLevel="0" collapsed="false">
      <c r="A675" s="4" t="s">
        <v>368</v>
      </c>
      <c r="B675" s="0" t="s">
        <v>193</v>
      </c>
      <c r="C675" s="19" t="n">
        <f aca="false">C671-C674</f>
        <v>27.5507747</v>
      </c>
      <c r="D675" s="19" t="n">
        <f aca="false">D671-D674</f>
        <v>60.8144953</v>
      </c>
      <c r="E675" s="19" t="n">
        <f aca="false">E671-E674</f>
        <v>93.5856192906956</v>
      </c>
      <c r="F675" s="19" t="n">
        <f aca="false">F671-F674</f>
        <v>120.882736129886</v>
      </c>
      <c r="G675" s="19" t="n">
        <f aca="false">G671-G674</f>
        <v>129.081513931835</v>
      </c>
    </row>
    <row r="676" customFormat="false" ht="15" hidden="false" customHeight="false" outlineLevel="0" collapsed="false">
      <c r="A676" s="4" t="s">
        <v>371</v>
      </c>
      <c r="B676" s="0" t="s">
        <v>53</v>
      </c>
      <c r="C676" s="14" t="n">
        <f aca="false">C675/C663</f>
        <v>0.1973</v>
      </c>
      <c r="D676" s="14" t="n">
        <f aca="false">D675/D663</f>
        <v>0.27004618465291</v>
      </c>
      <c r="E676" s="14" t="n">
        <f aca="false">E675/E663</f>
        <v>0.266392189799985</v>
      </c>
      <c r="F676" s="14" t="n">
        <f aca="false">F675/F663</f>
        <v>0.273724791814883</v>
      </c>
      <c r="G676" s="14" t="n">
        <f aca="false">G675/G663</f>
        <v>0.274911189906327</v>
      </c>
    </row>
    <row r="677" customFormat="false" ht="15" hidden="false" customHeight="false" outlineLevel="0" collapsed="false">
      <c r="A677" s="4" t="s">
        <v>373</v>
      </c>
      <c r="B677" s="0" t="s">
        <v>193</v>
      </c>
      <c r="C677" s="19" t="n">
        <f aca="false">a25_nop</f>
        <v>1.23179436863779</v>
      </c>
      <c r="D677" s="19" t="n">
        <f aca="false">a26_nop</f>
        <v>0.8186111</v>
      </c>
      <c r="E677" s="19" t="n">
        <f aca="false">nop_f</f>
        <v>1</v>
      </c>
      <c r="F677" s="19" t="n">
        <f aca="false">nop_f</f>
        <v>1</v>
      </c>
      <c r="G677" s="19" t="n">
        <f aca="false">nop_f</f>
        <v>1</v>
      </c>
    </row>
    <row r="678" customFormat="false" ht="17.15" hidden="false" customHeight="false" outlineLevel="0" collapsed="false">
      <c r="A678" s="4" t="s">
        <v>236</v>
      </c>
      <c r="B678" s="0" t="s">
        <v>53</v>
      </c>
      <c r="C678" s="14" t="n">
        <f aca="false">a25_ni/(a25_oi+a25_nop)</f>
        <v>0.666583999303438</v>
      </c>
      <c r="D678" s="14" t="n">
        <f aca="false">a26_ni/(a26_oi+a26_nop)</f>
        <v>0.674837141220258</v>
      </c>
      <c r="E678" s="14" t="n">
        <f aca="false">nir_f</f>
        <v>0.675</v>
      </c>
      <c r="F678" s="14" t="n">
        <f aca="false">nir_f</f>
        <v>0.675</v>
      </c>
      <c r="G678" s="14" t="n">
        <f aca="false">nir_f</f>
        <v>0.675</v>
      </c>
    </row>
    <row r="679" customFormat="false" ht="15" hidden="false" customHeight="false" outlineLevel="0" collapsed="false">
      <c r="A679" s="4" t="s">
        <v>377</v>
      </c>
      <c r="B679" s="0" t="s">
        <v>193</v>
      </c>
      <c r="C679" s="19" t="n">
        <f aca="false">a25_ni</f>
        <v>19.186</v>
      </c>
      <c r="D679" s="19" t="n">
        <f aca="false">a26_ni</f>
        <v>41.5923093275</v>
      </c>
      <c r="E679" s="19" t="n">
        <f aca="false">(E675+E677)*E678</f>
        <v>63.8452930212196</v>
      </c>
      <c r="F679" s="19" t="n">
        <f aca="false">(F675+F677)*F678</f>
        <v>82.2708468876732</v>
      </c>
      <c r="G679" s="19" t="n">
        <f aca="false">(G675+G677)*G678</f>
        <v>87.8050219039887</v>
      </c>
    </row>
    <row r="680" customFormat="false" ht="15" hidden="false" customHeight="false" outlineLevel="0" collapsed="false">
      <c r="A680" s="4" t="s">
        <v>488</v>
      </c>
      <c r="B680" s="4" t="s">
        <v>219</v>
      </c>
      <c r="C680" s="22" t="n">
        <f aca="false">a25_sh</f>
        <v>0.390197274761033</v>
      </c>
      <c r="D680" s="22" t="n">
        <f aca="false">a26_sh</f>
        <v>0.392523574315222</v>
      </c>
      <c r="E680" s="22" t="n">
        <f aca="false">D680*(1+sh_g)</f>
        <v>0.392523574315222</v>
      </c>
      <c r="F680" s="22" t="n">
        <f aca="false">E680*(1+sh_g)</f>
        <v>0.392523574315222</v>
      </c>
      <c r="G680" s="22" t="n">
        <f aca="false">F680*(1+sh_g)</f>
        <v>0.392523574315222</v>
      </c>
    </row>
    <row r="681" customFormat="false" ht="15" hidden="false" customHeight="false" outlineLevel="0" collapsed="false">
      <c r="A681" s="0" t="s">
        <v>382</v>
      </c>
      <c r="B681" s="0" t="s">
        <v>256</v>
      </c>
      <c r="C681" s="20" t="n">
        <f aca="false">C679/C680</f>
        <v>49.17</v>
      </c>
      <c r="D681" s="20" t="n">
        <f aca="false">D679/D680</f>
        <v>105.961302834002</v>
      </c>
      <c r="E681" s="20" t="n">
        <f aca="false">E679/E680</f>
        <v>162.65339765287</v>
      </c>
      <c r="F681" s="20" t="n">
        <f aca="false">F679/F680</f>
        <v>209.594664552821</v>
      </c>
      <c r="G681" s="20" t="n">
        <f aca="false">G679/G680</f>
        <v>223.693626700432</v>
      </c>
    </row>
    <row r="682" customFormat="false" ht="17.15" hidden="false" customHeight="false" outlineLevel="0" collapsed="false">
      <c r="A682" s="0" t="s">
        <v>489</v>
      </c>
      <c r="B682" s="0" t="s">
        <v>53</v>
      </c>
      <c r="D682" s="14" t="n">
        <f aca="false">D681/C681-1</f>
        <v>1.15499904075659</v>
      </c>
      <c r="E682" s="14" t="n">
        <f aca="false">E681/D681-1</f>
        <v>0.535026404004125</v>
      </c>
      <c r="F682" s="14" t="n">
        <f aca="false">F681/E681-1</f>
        <v>0.288596903460523</v>
      </c>
      <c r="G682" s="14" t="n">
        <f aca="false">G681/F681-1</f>
        <v>0.067267753106655</v>
      </c>
    </row>
    <row r="685" customFormat="false" ht="17.15" hidden="false" customHeight="false" outlineLevel="0" collapsed="false">
      <c r="A685" s="1" t="s">
        <v>815</v>
      </c>
    </row>
    <row r="686" customFormat="false" ht="17.15" hidden="false" customHeight="false" outlineLevel="0" collapsed="false">
      <c r="A686" s="5" t="s">
        <v>22</v>
      </c>
      <c r="B686" s="5" t="s">
        <v>23</v>
      </c>
      <c r="C686" s="11" t="s">
        <v>351</v>
      </c>
      <c r="D686" s="11" t="s">
        <v>440</v>
      </c>
      <c r="E686" s="11" t="s">
        <v>441</v>
      </c>
      <c r="F686" s="11" t="s">
        <v>442</v>
      </c>
      <c r="G686" s="11" t="s">
        <v>443</v>
      </c>
      <c r="H686" s="5" t="s">
        <v>416</v>
      </c>
    </row>
    <row r="687" customFormat="false" ht="17.15" hidden="false" customHeight="false" outlineLevel="0" collapsed="false">
      <c r="A687" s="6" t="s">
        <v>459</v>
      </c>
    </row>
    <row r="688" customFormat="false" ht="17.15" hidden="false" customHeight="false" outlineLevel="0" collapsed="false">
      <c r="A688" s="0" t="s">
        <v>460</v>
      </c>
      <c r="B688" s="0" t="s">
        <v>33</v>
      </c>
      <c r="D688" s="20" t="n">
        <f aca="false">itc_26*1</f>
        <v>781.872916666666</v>
      </c>
      <c r="E688" s="20" t="n">
        <f aca="false">itc_27*1*1</f>
        <v>1565.35</v>
      </c>
      <c r="F688" s="20" t="n">
        <f aca="false">itc_28*um28_A*1</f>
        <v>1984.26388888889</v>
      </c>
      <c r="G688" s="20" t="n">
        <f aca="false">itc_29*um29_A*1</f>
        <v>2260.39027777778</v>
      </c>
    </row>
    <row r="689" customFormat="false" ht="17.15" hidden="false" customHeight="false" outlineLevel="0" collapsed="false">
      <c r="A689" s="4" t="s">
        <v>461</v>
      </c>
      <c r="B689" s="0" t="s">
        <v>33</v>
      </c>
      <c r="D689" s="20" t="n">
        <f aca="false">itpg_gb*(1-vr26)+itpg_vr*vr26</f>
        <v>33.41403216</v>
      </c>
      <c r="E689" s="20" t="n">
        <f aca="false">itpg_vr</f>
        <v>37.586352</v>
      </c>
      <c r="F689" s="20" t="n">
        <f aca="false">itpg_vr</f>
        <v>37.586352</v>
      </c>
      <c r="G689" s="20" t="n">
        <f aca="false">itpg_vr</f>
        <v>37.586352</v>
      </c>
    </row>
    <row r="690" customFormat="false" ht="17.15" hidden="false" customHeight="false" outlineLevel="0" collapsed="false">
      <c r="A690" s="4" t="s">
        <v>462</v>
      </c>
      <c r="B690" s="0" t="s">
        <v>418</v>
      </c>
      <c r="D690" s="17" t="n">
        <f aca="false">D688/D689</f>
        <v>23.3995380420639</v>
      </c>
      <c r="E690" s="17" t="n">
        <f aca="false">E688/E689</f>
        <v>41.6467658260637</v>
      </c>
      <c r="F690" s="17" t="n">
        <f aca="false">F688/F689</f>
        <v>52.792138191248</v>
      </c>
      <c r="G690" s="17" t="n">
        <f aca="false">G688/G689</f>
        <v>60.1385917361116</v>
      </c>
    </row>
    <row r="691" customFormat="false" ht="17.15" hidden="false" customHeight="false" outlineLevel="0" collapsed="false">
      <c r="A691" s="4" t="s">
        <v>463</v>
      </c>
      <c r="B691" s="0" t="s">
        <v>53</v>
      </c>
      <c r="D691" s="14" t="n">
        <f aca="false">lpenA_26</f>
        <v>0.55</v>
      </c>
      <c r="E691" s="14" t="n">
        <f aca="false">lpenA_27</f>
        <v>0.85</v>
      </c>
      <c r="F691" s="14" t="n">
        <f aca="false">lpenA_28</f>
        <v>0.95</v>
      </c>
      <c r="G691" s="14" t="n">
        <f aca="false">lpenA_29</f>
        <v>0.95</v>
      </c>
    </row>
    <row r="692" customFormat="false" ht="17.15" hidden="false" customHeight="false" outlineLevel="0" collapsed="false">
      <c r="A692" s="4" t="s">
        <v>464</v>
      </c>
      <c r="B692" s="0" t="s">
        <v>423</v>
      </c>
      <c r="D692" s="18" t="n">
        <f aca="false">((1-vr26)*racks_gb*(cool_gb+mani)+vr26*racks_vr*(cool_vr+mani))/1000</f>
        <v>350.7208</v>
      </c>
      <c r="E692" s="18" t="n">
        <f aca="false">racks_vr*(cool_vr+mani)*lcadj_27/1000</f>
        <v>326.5912</v>
      </c>
      <c r="F692" s="18" t="n">
        <f aca="false">racks_vr*(cool_vr+mani)*lcadj_28/1000</f>
        <v>351.7136</v>
      </c>
      <c r="G692" s="18" t="n">
        <f aca="false">racks_vr*(cool_vr+mani)*lcadj_29/1000</f>
        <v>351.7136</v>
      </c>
      <c r="H692" s="4" t="s">
        <v>465</v>
      </c>
    </row>
    <row r="693" customFormat="false" ht="17.15" hidden="false" customHeight="false" outlineLevel="0" collapsed="false">
      <c r="A693" s="0" t="s">
        <v>466</v>
      </c>
      <c r="B693" s="0" t="s">
        <v>33</v>
      </c>
      <c r="D693" s="20" t="n">
        <f aca="false">D690*D691*D692/1000</f>
        <v>4.51368758595869</v>
      </c>
      <c r="E693" s="20" t="n">
        <f aca="false">E690*E691*E692/1000</f>
        <v>11.5612471431652</v>
      </c>
      <c r="F693" s="20" t="n">
        <f aca="false">F690*F691*F692/1000</f>
        <v>17.6393273261943</v>
      </c>
      <c r="G693" s="20" t="n">
        <f aca="false">G690*G691*G692/1000</f>
        <v>20.0939825685161</v>
      </c>
    </row>
    <row r="694" customFormat="false" ht="17.15" hidden="false" customHeight="false" outlineLevel="0" collapsed="false">
      <c r="A694" s="0" t="s">
        <v>467</v>
      </c>
      <c r="B694" s="0" t="s">
        <v>193</v>
      </c>
      <c r="D694" s="19" t="n">
        <f aca="false">D693*fx</f>
        <v>144.438002750678</v>
      </c>
      <c r="E694" s="19" t="n">
        <f aca="false">E693*fx</f>
        <v>369.959908581285</v>
      </c>
      <c r="F694" s="19" t="n">
        <f aca="false">F693*fx</f>
        <v>564.458474438216</v>
      </c>
      <c r="G694" s="19" t="n">
        <f aca="false">G693*fx</f>
        <v>643.007442192516</v>
      </c>
    </row>
    <row r="695" customFormat="false" ht="17.15" hidden="false" customHeight="false" outlineLevel="0" collapsed="false">
      <c r="A695" s="4" t="s">
        <v>468</v>
      </c>
      <c r="B695" s="0" t="s">
        <v>53</v>
      </c>
      <c r="D695" s="14" t="n">
        <f aca="false">a26_lcLL/D694</f>
        <v>0.436561685977093</v>
      </c>
      <c r="H695" s="8" t="s">
        <v>469</v>
      </c>
    </row>
    <row r="696" customFormat="false" ht="17.15" hidden="false" customHeight="false" outlineLevel="0" collapsed="false">
      <c r="A696" s="4" t="s">
        <v>470</v>
      </c>
      <c r="B696" s="0" t="s">
        <v>74</v>
      </c>
      <c r="D696" s="15" t="n">
        <f aca="false">1</f>
        <v>1</v>
      </c>
      <c r="E696" s="15" t="n">
        <f aca="false">rel_27</f>
        <v>0.95</v>
      </c>
      <c r="F696" s="15" t="n">
        <f aca="false">rel_28</f>
        <v>0.9</v>
      </c>
      <c r="G696" s="15" t="n">
        <f aca="false">rel_29</f>
        <v>0.85</v>
      </c>
    </row>
    <row r="697" customFormat="false" ht="15" hidden="false" customHeight="false" outlineLevel="0" collapsed="false">
      <c r="A697" s="4" t="s">
        <v>430</v>
      </c>
      <c r="B697" s="0" t="s">
        <v>53</v>
      </c>
      <c r="D697" s="14" t="n">
        <f aca="false">$D$695*D696</f>
        <v>0.436561685977093</v>
      </c>
      <c r="E697" s="14" t="n">
        <f aca="false">$D$695*E696</f>
        <v>0.414733601678238</v>
      </c>
      <c r="F697" s="14" t="n">
        <f aca="false">$D$695*F696</f>
        <v>0.392905517379383</v>
      </c>
      <c r="G697" s="14" t="n">
        <f aca="false">$D$695*G696</f>
        <v>0.371077433080529</v>
      </c>
    </row>
    <row r="698" customFormat="false" ht="15" hidden="false" customHeight="false" outlineLevel="0" collapsed="false">
      <c r="A698" s="4" t="s">
        <v>471</v>
      </c>
      <c r="B698" s="0" t="s">
        <v>193</v>
      </c>
      <c r="C698" s="19" t="n">
        <f aca="false">a25_lc</f>
        <v>20.94585</v>
      </c>
      <c r="D698" s="19" t="n">
        <f aca="false">D694*D697</f>
        <v>63.056098</v>
      </c>
      <c r="E698" s="19" t="n">
        <f aca="false">E694*E697</f>
        <v>153.434805362468</v>
      </c>
      <c r="F698" s="19" t="n">
        <f aca="false">F694*F697</f>
        <v>221.778848938325</v>
      </c>
      <c r="G698" s="19" t="n">
        <f aca="false">G694*G697</f>
        <v>238.605551100475</v>
      </c>
    </row>
    <row r="699" customFormat="false" ht="17.15" hidden="false" customHeight="false" outlineLevel="0" collapsed="false">
      <c r="A699" s="6" t="s">
        <v>472</v>
      </c>
    </row>
    <row r="700" customFormat="false" ht="17.15" hidden="false" customHeight="false" outlineLevel="0" collapsed="false">
      <c r="A700" s="0" t="s">
        <v>473</v>
      </c>
      <c r="B700" s="0" t="s">
        <v>474</v>
      </c>
      <c r="D700" s="22" t="n">
        <f aca="false">a26_airLL/D690</f>
        <v>2.25204795946271</v>
      </c>
    </row>
    <row r="701" customFormat="false" ht="17.15" hidden="false" customHeight="false" outlineLevel="0" collapsed="false">
      <c r="A701" s="0" t="s">
        <v>475</v>
      </c>
      <c r="B701" s="0" t="s">
        <v>74</v>
      </c>
      <c r="D701" s="15" t="n">
        <f aca="false">1</f>
        <v>1</v>
      </c>
      <c r="E701" s="15" t="n">
        <f aca="false">acr_27</f>
        <v>0.75</v>
      </c>
      <c r="F701" s="15" t="n">
        <f aca="false">acr_28</f>
        <v>0.65</v>
      </c>
      <c r="G701" s="15" t="n">
        <f aca="false">acr_29</f>
        <v>0.6</v>
      </c>
    </row>
    <row r="702" customFormat="false" ht="17.15" hidden="false" customHeight="false" outlineLevel="0" collapsed="false">
      <c r="A702" s="0" t="s">
        <v>476</v>
      </c>
      <c r="B702" s="0" t="s">
        <v>193</v>
      </c>
      <c r="C702" s="19" t="n">
        <f aca="false">a25_air</f>
        <v>30.999858</v>
      </c>
      <c r="D702" s="19" t="n">
        <f aca="false">D690*$D$700*D701</f>
        <v>52.6968819</v>
      </c>
      <c r="E702" s="19" t="n">
        <f aca="false">E690*$D$700*E701</f>
        <v>70.342885497606</v>
      </c>
      <c r="F702" s="19" t="n">
        <f aca="false">F690*$D$700*F701</f>
        <v>77.2787776080277</v>
      </c>
      <c r="G702" s="19" t="n">
        <f aca="false">G690*$D$700*G701</f>
        <v>81.2609956825626</v>
      </c>
    </row>
    <row r="703" customFormat="false" ht="15" hidden="false" customHeight="false" outlineLevel="0" collapsed="false">
      <c r="A703" s="4" t="s">
        <v>477</v>
      </c>
      <c r="B703" s="0" t="s">
        <v>193</v>
      </c>
      <c r="C703" s="19" t="n">
        <f aca="false">a25_gen</f>
        <v>20.666572</v>
      </c>
      <c r="D703" s="19" t="n">
        <f aca="false">a26_genLL</f>
        <v>35.1312546</v>
      </c>
      <c r="E703" s="19" t="n">
        <f aca="false">D703*(1+g_gen_27)</f>
        <v>37.941754968</v>
      </c>
      <c r="F703" s="19" t="n">
        <f aca="false">E703*(1+g_gen_28)</f>
        <v>40.21826026608</v>
      </c>
      <c r="G703" s="19" t="n">
        <f aca="false">F703*(1+g_gen_29)</f>
        <v>42.229173279384</v>
      </c>
    </row>
    <row r="704" customFormat="false" ht="17.15" hidden="false" customHeight="false" outlineLevel="0" collapsed="false">
      <c r="A704" s="4" t="s">
        <v>478</v>
      </c>
      <c r="B704" s="0" t="s">
        <v>193</v>
      </c>
      <c r="C704" s="19" t="n">
        <f aca="false">a25_nai</f>
        <v>67.02672</v>
      </c>
      <c r="D704" s="19" t="n">
        <f aca="false">a26_nai</f>
        <v>74.3161155</v>
      </c>
      <c r="E704" s="19" t="n">
        <f aca="false">D704*(1+g_nai_27)</f>
        <v>78.77508243</v>
      </c>
      <c r="F704" s="19" t="n">
        <f aca="false">E704*(1+g_nai_28)</f>
        <v>82.7138365515</v>
      </c>
      <c r="G704" s="19" t="n">
        <f aca="false">F704*(1+g_nai_29)</f>
        <v>86.02239001356</v>
      </c>
    </row>
    <row r="705" customFormat="false" ht="17.15" hidden="false" customHeight="false" outlineLevel="0" collapsed="false">
      <c r="A705" s="4" t="s">
        <v>479</v>
      </c>
      <c r="B705" s="0" t="s">
        <v>193</v>
      </c>
      <c r="C705" s="19" t="n">
        <f aca="false">C698+C702+C703</f>
        <v>72.61228</v>
      </c>
      <c r="D705" s="19" t="n">
        <f aca="false">D698+D702+D703</f>
        <v>150.8842345</v>
      </c>
      <c r="E705" s="19" t="n">
        <f aca="false">E698+E702+E703</f>
        <v>261.719445828074</v>
      </c>
      <c r="F705" s="19" t="n">
        <f aca="false">F698+F702+F703</f>
        <v>339.275886812432</v>
      </c>
      <c r="G705" s="19" t="n">
        <f aca="false">G698+G702+G703</f>
        <v>362.095720062422</v>
      </c>
    </row>
    <row r="706" customFormat="false" ht="15" hidden="false" customHeight="false" outlineLevel="0" collapsed="false">
      <c r="A706" s="4" t="s">
        <v>357</v>
      </c>
      <c r="B706" s="0" t="s">
        <v>193</v>
      </c>
      <c r="C706" s="19" t="n">
        <f aca="false">C698+C702+C703+C704</f>
        <v>139.639</v>
      </c>
      <c r="D706" s="19" t="n">
        <f aca="false">D698+D702+D703+D704</f>
        <v>225.20035</v>
      </c>
      <c r="E706" s="19" t="n">
        <f aca="false">E698+E702+E703+E704</f>
        <v>340.494528258074</v>
      </c>
      <c r="F706" s="19" t="n">
        <f aca="false">F698+F702+F703+F704</f>
        <v>421.989723363932</v>
      </c>
      <c r="G706" s="19" t="n">
        <f aca="false">G698+G702+G703+G704</f>
        <v>448.118110075982</v>
      </c>
    </row>
    <row r="707" customFormat="false" ht="15" hidden="false" customHeight="false" outlineLevel="0" collapsed="false">
      <c r="A707" s="4" t="s">
        <v>480</v>
      </c>
      <c r="B707" s="0" t="s">
        <v>193</v>
      </c>
      <c r="C707" s="22" t="n">
        <f aca="false">ROUND(C705+C704-C706,6)</f>
        <v>0</v>
      </c>
      <c r="D707" s="22" t="n">
        <f aca="false">ROUND(D705+D704-D706,6)</f>
        <v>0</v>
      </c>
      <c r="E707" s="22" t="n">
        <f aca="false">ROUND(E705+E704-E706,6)</f>
        <v>0</v>
      </c>
      <c r="F707" s="22" t="n">
        <f aca="false">ROUND(F705+F704-F706,6)</f>
        <v>0</v>
      </c>
      <c r="G707" s="22" t="n">
        <f aca="false">ROUND(G705+G704-G706,6)</f>
        <v>0</v>
      </c>
    </row>
    <row r="708" customFormat="false" ht="15" hidden="false" customHeight="false" outlineLevel="0" collapsed="false">
      <c r="A708" s="4" t="s">
        <v>481</v>
      </c>
      <c r="B708" s="0" t="s">
        <v>53</v>
      </c>
      <c r="D708" s="14" t="n">
        <f aca="false">D706/C706-1</f>
        <v>0.612732474451979</v>
      </c>
      <c r="E708" s="14" t="n">
        <f aca="false">E706/D706-1</f>
        <v>0.511962695697738</v>
      </c>
      <c r="F708" s="14" t="n">
        <f aca="false">F706/E706-1</f>
        <v>0.239343626233224</v>
      </c>
      <c r="G708" s="14" t="n">
        <f aca="false">G706/F706-1</f>
        <v>0.0619171161415133</v>
      </c>
    </row>
    <row r="709" customFormat="false" ht="17.15" hidden="false" customHeight="false" outlineLevel="0" collapsed="false">
      <c r="A709" s="4" t="s">
        <v>482</v>
      </c>
      <c r="B709" s="0" t="s">
        <v>53</v>
      </c>
      <c r="C709" s="14" t="n">
        <f aca="false">C698/C706</f>
        <v>0.15</v>
      </c>
      <c r="D709" s="14" t="n">
        <f aca="false">D698/D706</f>
        <v>0.28</v>
      </c>
      <c r="E709" s="14" t="n">
        <f aca="false">E698/E706</f>
        <v>0.450623409860419</v>
      </c>
      <c r="F709" s="14" t="n">
        <f aca="false">F698/F706</f>
        <v>0.525555094494702</v>
      </c>
      <c r="G709" s="14" t="n">
        <f aca="false">G698/G706</f>
        <v>0.532461299232066</v>
      </c>
    </row>
    <row r="710" customFormat="false" ht="17.15" hidden="false" customHeight="false" outlineLevel="0" collapsed="false">
      <c r="A710" s="0" t="s">
        <v>483</v>
      </c>
      <c r="B710" s="0" t="s">
        <v>53</v>
      </c>
      <c r="C710" s="14" t="n">
        <f aca="false">(C698+C702)/C706</f>
        <v>0.372</v>
      </c>
      <c r="D710" s="14" t="n">
        <f aca="false">(D698+D702)/D706</f>
        <v>0.514</v>
      </c>
      <c r="E710" s="14" t="n">
        <f aca="false">(E698+E702)/E706</f>
        <v>0.657213764946214</v>
      </c>
      <c r="F710" s="14" t="n">
        <f aca="false">(F698+F702)/F706</f>
        <v>0.708684619526716</v>
      </c>
      <c r="G710" s="14" t="n">
        <f aca="false">(G698+G702)/G706</f>
        <v>0.713799642529069</v>
      </c>
    </row>
    <row r="711" customFormat="false" ht="17.15" hidden="false" customHeight="false" outlineLevel="0" collapsed="false">
      <c r="A711" s="4" t="s">
        <v>435</v>
      </c>
      <c r="B711" s="0" t="s">
        <v>423</v>
      </c>
      <c r="D711" s="18" t="n">
        <f aca="false">(D698+D702)/fx/D690*1000</f>
        <v>154.587693798589</v>
      </c>
      <c r="E711" s="18" t="n">
        <f aca="false">(E698+E702)/fx/E690*1000</f>
        <v>167.913467004462</v>
      </c>
      <c r="F711" s="18" t="n">
        <f aca="false">(F698+F702)/fx/F690*1000</f>
        <v>177.025427455083</v>
      </c>
      <c r="G711" s="18" t="n">
        <f aca="false">(G698+G702)/fx/G690*1000</f>
        <v>166.213230114062</v>
      </c>
    </row>
    <row r="712" customFormat="false" ht="17.15" hidden="false" customHeight="false" outlineLevel="0" collapsed="false">
      <c r="A712" s="6" t="s">
        <v>484</v>
      </c>
    </row>
    <row r="713" customFormat="false" ht="17.15" hidden="false" customHeight="false" outlineLevel="0" collapsed="false">
      <c r="A713" s="4" t="s">
        <v>485</v>
      </c>
      <c r="B713" s="0" t="s">
        <v>53</v>
      </c>
      <c r="D713" s="14" t="n">
        <f aca="false">a26_gp/D706-d_lc*D709</f>
        <v>0.305221503074929</v>
      </c>
      <c r="H713" s="8" t="s">
        <v>486</v>
      </c>
    </row>
    <row r="714" customFormat="false" ht="15" hidden="false" customHeight="false" outlineLevel="0" collapsed="false">
      <c r="A714" s="4" t="s">
        <v>361</v>
      </c>
      <c r="B714" s="0" t="s">
        <v>193</v>
      </c>
      <c r="C714" s="19" t="n">
        <f aca="false">a25_gp</f>
        <v>36.034</v>
      </c>
      <c r="D714" s="19" t="n">
        <f aca="false">a26_gp</f>
        <v>72.5193552</v>
      </c>
      <c r="E714" s="19" t="n">
        <f aca="false">$D$713*E706+d_lc*E698</f>
        <v>113.132340025466</v>
      </c>
      <c r="F714" s="19" t="n">
        <f aca="false">$D$713*F706+d_lc*F698</f>
        <v>142.107068583612</v>
      </c>
      <c r="G714" s="19" t="n">
        <f aca="false">$D$713*G706+d_lc*G698</f>
        <v>151.091616178516</v>
      </c>
    </row>
    <row r="715" customFormat="false" ht="15" hidden="false" customHeight="false" outlineLevel="0" collapsed="false">
      <c r="A715" s="4" t="s">
        <v>364</v>
      </c>
      <c r="B715" s="0" t="s">
        <v>53</v>
      </c>
      <c r="C715" s="14" t="n">
        <f aca="false">C714/C706</f>
        <v>0.258051117524474</v>
      </c>
      <c r="D715" s="14" t="n">
        <f aca="false">D714/D706</f>
        <v>0.322021503074929</v>
      </c>
      <c r="E715" s="14" t="n">
        <f aca="false">E714/E706</f>
        <v>0.332258907666554</v>
      </c>
      <c r="F715" s="14" t="n">
        <f aca="false">F714/F706</f>
        <v>0.336754808744611</v>
      </c>
      <c r="G715" s="14" t="n">
        <f aca="false">G714/G706</f>
        <v>0.337169181028853</v>
      </c>
    </row>
    <row r="716" customFormat="false" ht="15" hidden="false" customHeight="false" outlineLevel="0" collapsed="false">
      <c r="A716" s="4" t="s">
        <v>487</v>
      </c>
      <c r="B716" s="0" t="s">
        <v>193</v>
      </c>
      <c r="C716" s="19" t="n">
        <f aca="false">a25_opx</f>
        <v>8.4832253</v>
      </c>
      <c r="D716" s="19" t="n">
        <f aca="false">a26_opx</f>
        <v>11.7048599</v>
      </c>
      <c r="E716" s="19" t="n">
        <f aca="false">D716*(1+MAX(0,phi*E708))</f>
        <v>15.8995760390178</v>
      </c>
      <c r="F716" s="19" t="n">
        <f aca="false">E716*(1+MAX(0,phi*F708))</f>
        <v>18.5633995683424</v>
      </c>
      <c r="G716" s="19" t="n">
        <f aca="false">F716*(1+MAX(0,phi*G708))</f>
        <v>19.3679740852805</v>
      </c>
    </row>
    <row r="717" customFormat="false" ht="15" hidden="false" customHeight="false" outlineLevel="0" collapsed="false">
      <c r="A717" s="4" t="s">
        <v>366</v>
      </c>
      <c r="B717" s="0" t="s">
        <v>193</v>
      </c>
      <c r="C717" s="19" t="n">
        <f aca="false">C716</f>
        <v>8.4832253</v>
      </c>
      <c r="D717" s="19" t="n">
        <f aca="false">D716</f>
        <v>11.7048599</v>
      </c>
      <c r="E717" s="19" t="n">
        <f aca="false">E716+0*E706</f>
        <v>15.8995760390178</v>
      </c>
      <c r="F717" s="19" t="n">
        <f aca="false">F716+0*F706</f>
        <v>18.5633995683424</v>
      </c>
      <c r="G717" s="19" t="n">
        <f aca="false">G716+0*G706</f>
        <v>19.3679740852805</v>
      </c>
    </row>
    <row r="718" customFormat="false" ht="15" hidden="false" customHeight="false" outlineLevel="0" collapsed="false">
      <c r="A718" s="4" t="s">
        <v>368</v>
      </c>
      <c r="B718" s="0" t="s">
        <v>193</v>
      </c>
      <c r="C718" s="19" t="n">
        <f aca="false">C714-C717</f>
        <v>27.5507747</v>
      </c>
      <c r="D718" s="19" t="n">
        <f aca="false">D714-D717</f>
        <v>60.8144953</v>
      </c>
      <c r="E718" s="19" t="n">
        <f aca="false">E714-E717</f>
        <v>97.2327639864484</v>
      </c>
      <c r="F718" s="19" t="n">
        <f aca="false">F714-F717</f>
        <v>123.54366901527</v>
      </c>
      <c r="G718" s="19" t="n">
        <f aca="false">G714-G717</f>
        <v>131.723642093236</v>
      </c>
    </row>
    <row r="719" customFormat="false" ht="15" hidden="false" customHeight="false" outlineLevel="0" collapsed="false">
      <c r="A719" s="4" t="s">
        <v>371</v>
      </c>
      <c r="B719" s="0" t="s">
        <v>53</v>
      </c>
      <c r="C719" s="14" t="n">
        <f aca="false">C718/C706</f>
        <v>0.1973</v>
      </c>
      <c r="D719" s="14" t="n">
        <f aca="false">D718/D706</f>
        <v>0.27004618465291</v>
      </c>
      <c r="E719" s="14" t="n">
        <f aca="false">E718/E706</f>
        <v>0.285563367152708</v>
      </c>
      <c r="F719" s="14" t="n">
        <f aca="false">F718/F706</f>
        <v>0.292764638983218</v>
      </c>
      <c r="G719" s="14" t="n">
        <f aca="false">G718/G706</f>
        <v>0.293948490657744</v>
      </c>
    </row>
    <row r="720" customFormat="false" ht="15" hidden="false" customHeight="false" outlineLevel="0" collapsed="false">
      <c r="A720" s="4" t="s">
        <v>373</v>
      </c>
      <c r="B720" s="0" t="s">
        <v>193</v>
      </c>
      <c r="C720" s="19" t="n">
        <f aca="false">a25_nop</f>
        <v>1.23179436863779</v>
      </c>
      <c r="D720" s="19" t="n">
        <f aca="false">a26_nop</f>
        <v>0.8186111</v>
      </c>
      <c r="E720" s="19" t="n">
        <f aca="false">nop_f</f>
        <v>1</v>
      </c>
      <c r="F720" s="19" t="n">
        <f aca="false">nop_f</f>
        <v>1</v>
      </c>
      <c r="G720" s="19" t="n">
        <f aca="false">nop_f</f>
        <v>1</v>
      </c>
    </row>
    <row r="721" customFormat="false" ht="17.15" hidden="false" customHeight="false" outlineLevel="0" collapsed="false">
      <c r="A721" s="4" t="s">
        <v>236</v>
      </c>
      <c r="B721" s="0" t="s">
        <v>53</v>
      </c>
      <c r="C721" s="14" t="n">
        <f aca="false">a25_ni/(a25_oi+a25_nop)</f>
        <v>0.666583999303438</v>
      </c>
      <c r="D721" s="14" t="n">
        <f aca="false">a26_ni/(a26_oi+a26_nop)</f>
        <v>0.674837141220258</v>
      </c>
      <c r="E721" s="14" t="n">
        <f aca="false">nir_f</f>
        <v>0.675</v>
      </c>
      <c r="F721" s="14" t="n">
        <f aca="false">nir_f</f>
        <v>0.675</v>
      </c>
      <c r="G721" s="14" t="n">
        <f aca="false">nir_f</f>
        <v>0.675</v>
      </c>
    </row>
    <row r="722" customFormat="false" ht="15" hidden="false" customHeight="false" outlineLevel="0" collapsed="false">
      <c r="A722" s="4" t="s">
        <v>377</v>
      </c>
      <c r="B722" s="0" t="s">
        <v>193</v>
      </c>
      <c r="C722" s="19" t="n">
        <f aca="false">a25_ni</f>
        <v>19.186</v>
      </c>
      <c r="D722" s="19" t="n">
        <f aca="false">a26_ni</f>
        <v>41.5923093275</v>
      </c>
      <c r="E722" s="19" t="n">
        <f aca="false">(E718+E720)*E721</f>
        <v>66.3071156908526</v>
      </c>
      <c r="F722" s="19" t="n">
        <f aca="false">(F718+F720)*F721</f>
        <v>84.0669765853072</v>
      </c>
      <c r="G722" s="19" t="n">
        <f aca="false">(G718+G720)*G721</f>
        <v>89.588458412934</v>
      </c>
    </row>
    <row r="723" customFormat="false" ht="15" hidden="false" customHeight="false" outlineLevel="0" collapsed="false">
      <c r="A723" s="4" t="s">
        <v>488</v>
      </c>
      <c r="B723" s="4" t="s">
        <v>219</v>
      </c>
      <c r="C723" s="22" t="n">
        <f aca="false">a25_sh</f>
        <v>0.390197274761033</v>
      </c>
      <c r="D723" s="22" t="n">
        <f aca="false">a26_sh</f>
        <v>0.392523574315222</v>
      </c>
      <c r="E723" s="22" t="n">
        <f aca="false">D723*(1+sh_g)</f>
        <v>0.392523574315222</v>
      </c>
      <c r="F723" s="22" t="n">
        <f aca="false">E723*(1+sh_g)</f>
        <v>0.392523574315222</v>
      </c>
      <c r="G723" s="22" t="n">
        <f aca="false">F723*(1+sh_g)</f>
        <v>0.392523574315222</v>
      </c>
    </row>
    <row r="724" customFormat="false" ht="15" hidden="false" customHeight="false" outlineLevel="0" collapsed="false">
      <c r="A724" s="0" t="s">
        <v>382</v>
      </c>
      <c r="B724" s="0" t="s">
        <v>256</v>
      </c>
      <c r="C724" s="20" t="n">
        <f aca="false">C722/C723</f>
        <v>49.17</v>
      </c>
      <c r="D724" s="20" t="n">
        <f aca="false">D722/D723</f>
        <v>105.961302834002</v>
      </c>
      <c r="E724" s="20" t="n">
        <f aca="false">E722/E723</f>
        <v>168.925180625212</v>
      </c>
      <c r="F724" s="20" t="n">
        <f aca="false">F722/F723</f>
        <v>214.170516336417</v>
      </c>
      <c r="G724" s="20" t="n">
        <f aca="false">G722/G723</f>
        <v>228.237141092037</v>
      </c>
    </row>
    <row r="725" customFormat="false" ht="17.15" hidden="false" customHeight="false" outlineLevel="0" collapsed="false">
      <c r="A725" s="0" t="s">
        <v>489</v>
      </c>
      <c r="B725" s="0" t="s">
        <v>53</v>
      </c>
      <c r="D725" s="14" t="n">
        <f aca="false">D724/C724-1</f>
        <v>1.15499904075659</v>
      </c>
      <c r="E725" s="14" t="n">
        <f aca="false">E724/D724-1</f>
        <v>0.594215776016354</v>
      </c>
      <c r="F725" s="14" t="n">
        <f aca="false">F724/E724-1</f>
        <v>0.267842458677547</v>
      </c>
      <c r="G725" s="14" t="n">
        <f aca="false">G724/F724-1</f>
        <v>0.0656795575611542</v>
      </c>
    </row>
    <row r="728" customFormat="false" ht="17.15" hidden="false" customHeight="false" outlineLevel="0" collapsed="false">
      <c r="A728" s="1" t="s">
        <v>816</v>
      </c>
    </row>
    <row r="729" customFormat="false" ht="17.15" hidden="false" customHeight="false" outlineLevel="0" collapsed="false">
      <c r="A729" s="5" t="s">
        <v>22</v>
      </c>
      <c r="B729" s="5" t="s">
        <v>23</v>
      </c>
      <c r="C729" s="11" t="s">
        <v>351</v>
      </c>
      <c r="D729" s="11" t="s">
        <v>440</v>
      </c>
      <c r="E729" s="11" t="s">
        <v>441</v>
      </c>
      <c r="F729" s="11" t="s">
        <v>442</v>
      </c>
      <c r="G729" s="11" t="s">
        <v>443</v>
      </c>
      <c r="H729" s="5" t="s">
        <v>416</v>
      </c>
    </row>
    <row r="730" customFormat="false" ht="17.15" hidden="false" customHeight="false" outlineLevel="0" collapsed="false">
      <c r="A730" s="6" t="s">
        <v>459</v>
      </c>
    </row>
    <row r="731" customFormat="false" ht="17.15" hidden="false" customHeight="false" outlineLevel="0" collapsed="false">
      <c r="A731" s="0" t="s">
        <v>460</v>
      </c>
      <c r="B731" s="0" t="s">
        <v>33</v>
      </c>
      <c r="D731" s="20" t="n">
        <f aca="false">itc_26*1</f>
        <v>781.872916666666</v>
      </c>
      <c r="E731" s="20" t="n">
        <f aca="false">itc_27*1*1</f>
        <v>1565.35</v>
      </c>
      <c r="F731" s="20" t="n">
        <f aca="false">itc_28*um28_A*1</f>
        <v>1984.26388888889</v>
      </c>
      <c r="G731" s="20" t="n">
        <f aca="false">itc_29*um29_A*1</f>
        <v>2260.39027777778</v>
      </c>
    </row>
    <row r="732" customFormat="false" ht="17.15" hidden="false" customHeight="false" outlineLevel="0" collapsed="false">
      <c r="A732" s="4" t="s">
        <v>461</v>
      </c>
      <c r="B732" s="0" t="s">
        <v>33</v>
      </c>
      <c r="D732" s="20" t="n">
        <f aca="false">itpg_gb*(1-vr26)+itpg_vr*vr26</f>
        <v>33.41403216</v>
      </c>
      <c r="E732" s="20" t="n">
        <f aca="false">itpg_vr</f>
        <v>37.586352</v>
      </c>
      <c r="F732" s="20" t="n">
        <f aca="false">itpg_vr</f>
        <v>37.586352</v>
      </c>
      <c r="G732" s="20" t="n">
        <f aca="false">itpg_vr</f>
        <v>37.586352</v>
      </c>
    </row>
    <row r="733" customFormat="false" ht="17.15" hidden="false" customHeight="false" outlineLevel="0" collapsed="false">
      <c r="A733" s="4" t="s">
        <v>462</v>
      </c>
      <c r="B733" s="0" t="s">
        <v>418</v>
      </c>
      <c r="D733" s="17" t="n">
        <f aca="false">D731/D732</f>
        <v>23.3995380420639</v>
      </c>
      <c r="E733" s="17" t="n">
        <f aca="false">E731/E732</f>
        <v>41.6467658260637</v>
      </c>
      <c r="F733" s="17" t="n">
        <f aca="false">F731/F732</f>
        <v>52.792138191248</v>
      </c>
      <c r="G733" s="17" t="n">
        <f aca="false">G731/G732</f>
        <v>60.1385917361116</v>
      </c>
    </row>
    <row r="734" customFormat="false" ht="17.15" hidden="false" customHeight="false" outlineLevel="0" collapsed="false">
      <c r="A734" s="4" t="s">
        <v>463</v>
      </c>
      <c r="B734" s="0" t="s">
        <v>53</v>
      </c>
      <c r="D734" s="14" t="n">
        <f aca="false">lpenA_26</f>
        <v>0.55</v>
      </c>
      <c r="E734" s="14" t="n">
        <f aca="false">lpenA_27</f>
        <v>0.85</v>
      </c>
      <c r="F734" s="14" t="n">
        <f aca="false">lpenA_28</f>
        <v>0.95</v>
      </c>
      <c r="G734" s="14" t="n">
        <f aca="false">lpenA_29</f>
        <v>0.95</v>
      </c>
    </row>
    <row r="735" customFormat="false" ht="17.15" hidden="false" customHeight="false" outlineLevel="0" collapsed="false">
      <c r="A735" s="4" t="s">
        <v>464</v>
      </c>
      <c r="B735" s="0" t="s">
        <v>423</v>
      </c>
      <c r="D735" s="18" t="n">
        <f aca="false">((1-vr26)*racks_gb*(cool_gb+mani)+vr26*racks_vr*(cool_vr+mani))/1000</f>
        <v>350.7208</v>
      </c>
      <c r="E735" s="18" t="n">
        <f aca="false">racks_vr*(cool_vr+mani)*lcadj_27/1000</f>
        <v>326.5912</v>
      </c>
      <c r="F735" s="18" t="n">
        <f aca="false">racks_vr*(cool_vr+mani)*lcadj_28/1000</f>
        <v>351.7136</v>
      </c>
      <c r="G735" s="18" t="n">
        <f aca="false">racks_vr*(cool_vr+mani)*lcadj_29/1000</f>
        <v>351.7136</v>
      </c>
      <c r="H735" s="4" t="s">
        <v>465</v>
      </c>
    </row>
    <row r="736" customFormat="false" ht="17.15" hidden="false" customHeight="false" outlineLevel="0" collapsed="false">
      <c r="A736" s="0" t="s">
        <v>466</v>
      </c>
      <c r="B736" s="0" t="s">
        <v>33</v>
      </c>
      <c r="D736" s="20" t="n">
        <f aca="false">D733*D734*D735/1000</f>
        <v>4.51368758595869</v>
      </c>
      <c r="E736" s="20" t="n">
        <f aca="false">E733*E734*E735/1000</f>
        <v>11.5612471431652</v>
      </c>
      <c r="F736" s="20" t="n">
        <f aca="false">F733*F734*F735/1000</f>
        <v>17.6393273261943</v>
      </c>
      <c r="G736" s="20" t="n">
        <f aca="false">G733*G734*G735/1000</f>
        <v>20.0939825685161</v>
      </c>
    </row>
    <row r="737" customFormat="false" ht="17.15" hidden="false" customHeight="false" outlineLevel="0" collapsed="false">
      <c r="A737" s="0" t="s">
        <v>467</v>
      </c>
      <c r="B737" s="0" t="s">
        <v>193</v>
      </c>
      <c r="D737" s="19" t="n">
        <f aca="false">D736*fx</f>
        <v>144.438002750678</v>
      </c>
      <c r="E737" s="19" t="n">
        <f aca="false">E736*fx</f>
        <v>369.959908581285</v>
      </c>
      <c r="F737" s="19" t="n">
        <f aca="false">F736*fx</f>
        <v>564.458474438216</v>
      </c>
      <c r="G737" s="19" t="n">
        <f aca="false">G736*fx</f>
        <v>643.007442192516</v>
      </c>
    </row>
    <row r="738" customFormat="false" ht="17.15" hidden="false" customHeight="false" outlineLevel="0" collapsed="false">
      <c r="A738" s="4" t="s">
        <v>468</v>
      </c>
      <c r="B738" s="0" t="s">
        <v>53</v>
      </c>
      <c r="D738" s="14" t="n">
        <f aca="false">a26_lcLH/D737</f>
        <v>0.545702107471366</v>
      </c>
      <c r="H738" s="8" t="s">
        <v>469</v>
      </c>
    </row>
    <row r="739" customFormat="false" ht="17.15" hidden="false" customHeight="false" outlineLevel="0" collapsed="false">
      <c r="A739" s="4" t="s">
        <v>470</v>
      </c>
      <c r="B739" s="0" t="s">
        <v>74</v>
      </c>
      <c r="D739" s="15" t="n">
        <f aca="false">1</f>
        <v>1</v>
      </c>
      <c r="E739" s="15" t="n">
        <f aca="false">rel_27</f>
        <v>0.95</v>
      </c>
      <c r="F739" s="15" t="n">
        <f aca="false">rel_28</f>
        <v>0.9</v>
      </c>
      <c r="G739" s="15" t="n">
        <f aca="false">rel_29</f>
        <v>0.85</v>
      </c>
    </row>
    <row r="740" customFormat="false" ht="15" hidden="false" customHeight="false" outlineLevel="0" collapsed="false">
      <c r="A740" s="4" t="s">
        <v>430</v>
      </c>
      <c r="B740" s="0" t="s">
        <v>53</v>
      </c>
      <c r="D740" s="14" t="n">
        <f aca="false">$D$738*D739</f>
        <v>0.545702107471366</v>
      </c>
      <c r="E740" s="14" t="n">
        <f aca="false">$D$738*E739</f>
        <v>0.518417002097797</v>
      </c>
      <c r="F740" s="14" t="n">
        <f aca="false">$D$738*F739</f>
        <v>0.491131896724229</v>
      </c>
      <c r="G740" s="14" t="n">
        <f aca="false">$D$738*G739</f>
        <v>0.463846791350661</v>
      </c>
    </row>
    <row r="741" customFormat="false" ht="15" hidden="false" customHeight="false" outlineLevel="0" collapsed="false">
      <c r="A741" s="4" t="s">
        <v>471</v>
      </c>
      <c r="B741" s="0" t="s">
        <v>193</v>
      </c>
      <c r="C741" s="19" t="n">
        <f aca="false">a25_lc</f>
        <v>20.94585</v>
      </c>
      <c r="D741" s="19" t="n">
        <f aca="false">D737*D740</f>
        <v>78.8201225</v>
      </c>
      <c r="E741" s="19" t="n">
        <f aca="false">E737*E740</f>
        <v>191.793506703085</v>
      </c>
      <c r="F741" s="19" t="n">
        <f aca="false">F737*F740</f>
        <v>277.223561172906</v>
      </c>
      <c r="G741" s="19" t="n">
        <f aca="false">G737*G740</f>
        <v>298.256938875594</v>
      </c>
    </row>
    <row r="742" customFormat="false" ht="17.15" hidden="false" customHeight="false" outlineLevel="0" collapsed="false">
      <c r="A742" s="6" t="s">
        <v>472</v>
      </c>
    </row>
    <row r="743" customFormat="false" ht="17.15" hidden="false" customHeight="false" outlineLevel="0" collapsed="false">
      <c r="A743" s="0" t="s">
        <v>473</v>
      </c>
      <c r="B743" s="0" t="s">
        <v>474</v>
      </c>
      <c r="D743" s="22" t="n">
        <f aca="false">a26_airLH/D733</f>
        <v>1.84783422314889</v>
      </c>
    </row>
    <row r="744" customFormat="false" ht="17.15" hidden="false" customHeight="false" outlineLevel="0" collapsed="false">
      <c r="A744" s="0" t="s">
        <v>475</v>
      </c>
      <c r="B744" s="0" t="s">
        <v>74</v>
      </c>
      <c r="D744" s="15" t="n">
        <f aca="false">1</f>
        <v>1</v>
      </c>
      <c r="E744" s="15" t="n">
        <f aca="false">acr_27</f>
        <v>0.75</v>
      </c>
      <c r="F744" s="15" t="n">
        <f aca="false">acr_28</f>
        <v>0.65</v>
      </c>
      <c r="G744" s="15" t="n">
        <f aca="false">acr_29</f>
        <v>0.6</v>
      </c>
    </row>
    <row r="745" customFormat="false" ht="17.15" hidden="false" customHeight="false" outlineLevel="0" collapsed="false">
      <c r="A745" s="0" t="s">
        <v>476</v>
      </c>
      <c r="B745" s="0" t="s">
        <v>193</v>
      </c>
      <c r="C745" s="19" t="n">
        <f aca="false">a25_air</f>
        <v>30.999858</v>
      </c>
      <c r="D745" s="19" t="n">
        <f aca="false">D733*$D$743*D744</f>
        <v>43.2384672</v>
      </c>
      <c r="E745" s="19" t="n">
        <f aca="false">E733*$D$743*E744</f>
        <v>57.7172393826511</v>
      </c>
      <c r="F745" s="19" t="n">
        <f aca="false">F733*$D$743*F744</f>
        <v>63.4082277809458</v>
      </c>
      <c r="G745" s="19" t="n">
        <f aca="false">G733*$D$743*G744</f>
        <v>66.6756887651795</v>
      </c>
    </row>
    <row r="746" customFormat="false" ht="15" hidden="false" customHeight="false" outlineLevel="0" collapsed="false">
      <c r="A746" s="4" t="s">
        <v>477</v>
      </c>
      <c r="B746" s="0" t="s">
        <v>193</v>
      </c>
      <c r="C746" s="19" t="n">
        <f aca="false">a25_gen</f>
        <v>20.666572</v>
      </c>
      <c r="D746" s="19" t="n">
        <f aca="false">a26_genLH</f>
        <v>28.8256448</v>
      </c>
      <c r="E746" s="19" t="n">
        <f aca="false">D746*(1+g_gen_27)</f>
        <v>31.131696384</v>
      </c>
      <c r="F746" s="19" t="n">
        <f aca="false">E746*(1+g_gen_28)</f>
        <v>32.99959816704</v>
      </c>
      <c r="G746" s="19" t="n">
        <f aca="false">F746*(1+g_gen_29)</f>
        <v>34.649578075392</v>
      </c>
    </row>
    <row r="747" customFormat="false" ht="17.15" hidden="false" customHeight="false" outlineLevel="0" collapsed="false">
      <c r="A747" s="4" t="s">
        <v>478</v>
      </c>
      <c r="B747" s="0" t="s">
        <v>193</v>
      </c>
      <c r="C747" s="19" t="n">
        <f aca="false">a25_nai</f>
        <v>67.02672</v>
      </c>
      <c r="D747" s="19" t="n">
        <f aca="false">a26_nai</f>
        <v>74.3161155</v>
      </c>
      <c r="E747" s="19" t="n">
        <f aca="false">D747*(1+g_nai_27)</f>
        <v>78.77508243</v>
      </c>
      <c r="F747" s="19" t="n">
        <f aca="false">E747*(1+g_nai_28)</f>
        <v>82.7138365515</v>
      </c>
      <c r="G747" s="19" t="n">
        <f aca="false">F747*(1+g_nai_29)</f>
        <v>86.02239001356</v>
      </c>
    </row>
    <row r="748" customFormat="false" ht="17.15" hidden="false" customHeight="false" outlineLevel="0" collapsed="false">
      <c r="A748" s="4" t="s">
        <v>479</v>
      </c>
      <c r="B748" s="0" t="s">
        <v>193</v>
      </c>
      <c r="C748" s="19" t="n">
        <f aca="false">C741+C745+C746</f>
        <v>72.61228</v>
      </c>
      <c r="D748" s="19" t="n">
        <f aca="false">D741+D745+D746</f>
        <v>150.8842345</v>
      </c>
      <c r="E748" s="19" t="n">
        <f aca="false">E741+E745+E746</f>
        <v>280.642442469736</v>
      </c>
      <c r="F748" s="19" t="n">
        <f aca="false">F741+F745+F746</f>
        <v>373.631387120892</v>
      </c>
      <c r="G748" s="19" t="n">
        <f aca="false">G741+G745+G746</f>
        <v>399.582205716166</v>
      </c>
    </row>
    <row r="749" customFormat="false" ht="15" hidden="false" customHeight="false" outlineLevel="0" collapsed="false">
      <c r="A749" s="4" t="s">
        <v>357</v>
      </c>
      <c r="B749" s="0" t="s">
        <v>193</v>
      </c>
      <c r="C749" s="19" t="n">
        <f aca="false">C741+C745+C746+C747</f>
        <v>139.639</v>
      </c>
      <c r="D749" s="19" t="n">
        <f aca="false">D741+D745+D746+D747</f>
        <v>225.20035</v>
      </c>
      <c r="E749" s="19" t="n">
        <f aca="false">E741+E745+E746+E747</f>
        <v>359.417524899736</v>
      </c>
      <c r="F749" s="19" t="n">
        <f aca="false">F741+F745+F746+F747</f>
        <v>456.345223672392</v>
      </c>
      <c r="G749" s="19" t="n">
        <f aca="false">G741+G745+G746+G747</f>
        <v>485.604595729726</v>
      </c>
    </row>
    <row r="750" customFormat="false" ht="15" hidden="false" customHeight="false" outlineLevel="0" collapsed="false">
      <c r="A750" s="4" t="s">
        <v>480</v>
      </c>
      <c r="B750" s="0" t="s">
        <v>193</v>
      </c>
      <c r="C750" s="22" t="n">
        <f aca="false">ROUND(C748+C747-C749,6)</f>
        <v>0</v>
      </c>
      <c r="D750" s="22" t="n">
        <f aca="false">ROUND(D748+D747-D749,6)</f>
        <v>0</v>
      </c>
      <c r="E750" s="22" t="n">
        <f aca="false">ROUND(E748+E747-E749,6)</f>
        <v>0</v>
      </c>
      <c r="F750" s="22" t="n">
        <f aca="false">ROUND(F748+F747-F749,6)</f>
        <v>0</v>
      </c>
      <c r="G750" s="22" t="n">
        <f aca="false">ROUND(G748+G747-G749,6)</f>
        <v>0</v>
      </c>
    </row>
    <row r="751" customFormat="false" ht="15" hidden="false" customHeight="false" outlineLevel="0" collapsed="false">
      <c r="A751" s="4" t="s">
        <v>481</v>
      </c>
      <c r="B751" s="0" t="s">
        <v>53</v>
      </c>
      <c r="D751" s="14" t="n">
        <f aca="false">D749/C749-1</f>
        <v>0.612732474451979</v>
      </c>
      <c r="E751" s="14" t="n">
        <f aca="false">E749/D749-1</f>
        <v>0.595990081275345</v>
      </c>
      <c r="F751" s="14" t="n">
        <f aca="false">F749/E749-1</f>
        <v>0.269679946184301</v>
      </c>
      <c r="G751" s="14" t="n">
        <f aca="false">G749/F749-1</f>
        <v>0.0641167487672432</v>
      </c>
    </row>
    <row r="752" customFormat="false" ht="17.15" hidden="false" customHeight="false" outlineLevel="0" collapsed="false">
      <c r="A752" s="4" t="s">
        <v>482</v>
      </c>
      <c r="B752" s="0" t="s">
        <v>53</v>
      </c>
      <c r="C752" s="14" t="n">
        <f aca="false">C741/C749</f>
        <v>0.15</v>
      </c>
      <c r="D752" s="14" t="n">
        <f aca="false">D741/D749</f>
        <v>0.35</v>
      </c>
      <c r="E752" s="14" t="n">
        <f aca="false">E741/E749</f>
        <v>0.533623135812835</v>
      </c>
      <c r="F752" s="14" t="n">
        <f aca="false">F741/F749</f>
        <v>0.607486496608812</v>
      </c>
      <c r="G752" s="14" t="n">
        <f aca="false">G741/G749</f>
        <v>0.614197109126199</v>
      </c>
    </row>
    <row r="753" customFormat="false" ht="17.15" hidden="false" customHeight="false" outlineLevel="0" collapsed="false">
      <c r="A753" s="0" t="s">
        <v>483</v>
      </c>
      <c r="B753" s="0" t="s">
        <v>53</v>
      </c>
      <c r="C753" s="14" t="n">
        <f aca="false">(C741+C745)/C749</f>
        <v>0.372</v>
      </c>
      <c r="D753" s="14" t="n">
        <f aca="false">(D741+D745)/D749</f>
        <v>0.542</v>
      </c>
      <c r="E753" s="14" t="n">
        <f aca="false">(E741+E745)/E749</f>
        <v>0.694208625901979</v>
      </c>
      <c r="F753" s="14" t="n">
        <f aca="false">(F741+F745)/F749</f>
        <v>0.746434434467511</v>
      </c>
      <c r="G753" s="14" t="n">
        <f aca="false">(G741+G745)/G749</f>
        <v>0.751501593786162</v>
      </c>
    </row>
    <row r="754" customFormat="false" ht="17.15" hidden="false" customHeight="false" outlineLevel="0" collapsed="false">
      <c r="A754" s="4" t="s">
        <v>435</v>
      </c>
      <c r="B754" s="0" t="s">
        <v>423</v>
      </c>
      <c r="D754" s="18" t="n">
        <f aca="false">(D741+D745)/fx/D733*1000</f>
        <v>163.008813305127</v>
      </c>
      <c r="E754" s="18" t="n">
        <f aca="false">(E741+E745)/fx/E733*1000</f>
        <v>187.222480798246</v>
      </c>
      <c r="F754" s="18" t="n">
        <f aca="false">(F741+F745)/fx/F733*1000</f>
        <v>201.635011755833</v>
      </c>
      <c r="G754" s="18" t="n">
        <f aca="false">(G741+G745)/fx/G733*1000</f>
        <v>189.631055276712</v>
      </c>
    </row>
    <row r="755" customFormat="false" ht="17.15" hidden="false" customHeight="false" outlineLevel="0" collapsed="false">
      <c r="A755" s="6" t="s">
        <v>484</v>
      </c>
    </row>
    <row r="756" customFormat="false" ht="17.15" hidden="false" customHeight="false" outlineLevel="0" collapsed="false">
      <c r="A756" s="4" t="s">
        <v>485</v>
      </c>
      <c r="B756" s="0" t="s">
        <v>53</v>
      </c>
      <c r="D756" s="14" t="n">
        <f aca="false">a26_gp/D749-d_lc*D752</f>
        <v>0.301021503074929</v>
      </c>
      <c r="H756" s="8" t="s">
        <v>486</v>
      </c>
    </row>
    <row r="757" customFormat="false" ht="15" hidden="false" customHeight="false" outlineLevel="0" collapsed="false">
      <c r="A757" s="4" t="s">
        <v>361</v>
      </c>
      <c r="B757" s="0" t="s">
        <v>193</v>
      </c>
      <c r="C757" s="19" t="n">
        <f aca="false">a25_gp</f>
        <v>36.034</v>
      </c>
      <c r="D757" s="19" t="n">
        <f aca="false">a26_gp</f>
        <v>72.5193552</v>
      </c>
      <c r="E757" s="19" t="n">
        <f aca="false">$D$756*E749+d_lc*E741</f>
        <v>119.700013978974</v>
      </c>
      <c r="F757" s="19" t="n">
        <f aca="false">$D$756*F749+d_lc*F741</f>
        <v>154.003138821302</v>
      </c>
      <c r="G757" s="19" t="n">
        <f aca="false">$D$756*G749+d_lc*G741</f>
        <v>164.072841639191</v>
      </c>
    </row>
    <row r="758" customFormat="false" ht="15" hidden="false" customHeight="false" outlineLevel="0" collapsed="false">
      <c r="A758" s="4" t="s">
        <v>364</v>
      </c>
      <c r="B758" s="0" t="s">
        <v>53</v>
      </c>
      <c r="C758" s="14" t="n">
        <f aca="false">C757/C749</f>
        <v>0.258051117524474</v>
      </c>
      <c r="D758" s="14" t="n">
        <f aca="false">D757/D749</f>
        <v>0.322021503074929</v>
      </c>
      <c r="E758" s="14" t="n">
        <f aca="false">E757/E749</f>
        <v>0.333038891223699</v>
      </c>
      <c r="F758" s="14" t="n">
        <f aca="false">F757/F749</f>
        <v>0.337470692871457</v>
      </c>
      <c r="G758" s="14" t="n">
        <f aca="false">G757/G749</f>
        <v>0.337873329622501</v>
      </c>
    </row>
    <row r="759" customFormat="false" ht="15" hidden="false" customHeight="false" outlineLevel="0" collapsed="false">
      <c r="A759" s="4" t="s">
        <v>487</v>
      </c>
      <c r="B759" s="0" t="s">
        <v>193</v>
      </c>
      <c r="C759" s="19" t="n">
        <f aca="false">a25_opx</f>
        <v>8.4832253</v>
      </c>
      <c r="D759" s="19" t="n">
        <f aca="false">a26_opx</f>
        <v>11.7048599</v>
      </c>
      <c r="E759" s="19" t="n">
        <f aca="false">D759*(1+MAX(0,phi*E751))</f>
        <v>16.5880461821823</v>
      </c>
      <c r="F759" s="19" t="n">
        <f aca="false">E759*(1+MAX(0,phi*F751))</f>
        <v>19.7194705633818</v>
      </c>
      <c r="G759" s="19" t="n">
        <f aca="false">F759*(1+MAX(0,phi*G751))</f>
        <v>20.6045144013366</v>
      </c>
    </row>
    <row r="760" customFormat="false" ht="15" hidden="false" customHeight="false" outlineLevel="0" collapsed="false">
      <c r="A760" s="4" t="s">
        <v>366</v>
      </c>
      <c r="B760" s="0" t="s">
        <v>193</v>
      </c>
      <c r="C760" s="19" t="n">
        <f aca="false">C759</f>
        <v>8.4832253</v>
      </c>
      <c r="D760" s="19" t="n">
        <f aca="false">D759</f>
        <v>11.7048599</v>
      </c>
      <c r="E760" s="19" t="n">
        <f aca="false">E759+0*E749</f>
        <v>16.5880461821823</v>
      </c>
      <c r="F760" s="19" t="n">
        <f aca="false">F759+0*F749</f>
        <v>19.7194705633818</v>
      </c>
      <c r="G760" s="19" t="n">
        <f aca="false">G759+0*G749</f>
        <v>20.6045144013366</v>
      </c>
    </row>
    <row r="761" customFormat="false" ht="15" hidden="false" customHeight="false" outlineLevel="0" collapsed="false">
      <c r="A761" s="4" t="s">
        <v>368</v>
      </c>
      <c r="B761" s="0" t="s">
        <v>193</v>
      </c>
      <c r="C761" s="19" t="n">
        <f aca="false">C757-C760</f>
        <v>27.5507747</v>
      </c>
      <c r="D761" s="19" t="n">
        <f aca="false">D757-D760</f>
        <v>60.8144953</v>
      </c>
      <c r="E761" s="19" t="n">
        <f aca="false">E757-E760</f>
        <v>103.111967796792</v>
      </c>
      <c r="F761" s="19" t="n">
        <f aca="false">F757-F760</f>
        <v>134.28366825792</v>
      </c>
      <c r="G761" s="19" t="n">
        <f aca="false">G757-G760</f>
        <v>143.468327237854</v>
      </c>
    </row>
    <row r="762" customFormat="false" ht="15" hidden="false" customHeight="false" outlineLevel="0" collapsed="false">
      <c r="A762" s="4" t="s">
        <v>371</v>
      </c>
      <c r="B762" s="0" t="s">
        <v>53</v>
      </c>
      <c r="C762" s="14" t="n">
        <f aca="false">C761/C749</f>
        <v>0.1973</v>
      </c>
      <c r="D762" s="14" t="n">
        <f aca="false">D761/D749</f>
        <v>0.27004618465291</v>
      </c>
      <c r="E762" s="14" t="n">
        <f aca="false">E761/E749</f>
        <v>0.286886310915297</v>
      </c>
      <c r="F762" s="14" t="n">
        <f aca="false">F761/F749</f>
        <v>0.29425895416914</v>
      </c>
      <c r="G762" s="14" t="n">
        <f aca="false">G761/G749</f>
        <v>0.295442688350719</v>
      </c>
    </row>
    <row r="763" customFormat="false" ht="15" hidden="false" customHeight="false" outlineLevel="0" collapsed="false">
      <c r="A763" s="4" t="s">
        <v>373</v>
      </c>
      <c r="B763" s="0" t="s">
        <v>193</v>
      </c>
      <c r="C763" s="19" t="n">
        <f aca="false">a25_nop</f>
        <v>1.23179436863779</v>
      </c>
      <c r="D763" s="19" t="n">
        <f aca="false">a26_nop</f>
        <v>0.8186111</v>
      </c>
      <c r="E763" s="19" t="n">
        <f aca="false">nop_f</f>
        <v>1</v>
      </c>
      <c r="F763" s="19" t="n">
        <f aca="false">nop_f</f>
        <v>1</v>
      </c>
      <c r="G763" s="19" t="n">
        <f aca="false">nop_f</f>
        <v>1</v>
      </c>
    </row>
    <row r="764" customFormat="false" ht="17.15" hidden="false" customHeight="false" outlineLevel="0" collapsed="false">
      <c r="A764" s="4" t="s">
        <v>236</v>
      </c>
      <c r="B764" s="0" t="s">
        <v>53</v>
      </c>
      <c r="C764" s="14" t="n">
        <f aca="false">a25_ni/(a25_oi+a25_nop)</f>
        <v>0.666583999303438</v>
      </c>
      <c r="D764" s="14" t="n">
        <f aca="false">a26_ni/(a26_oi+a26_nop)</f>
        <v>0.674837141220258</v>
      </c>
      <c r="E764" s="14" t="n">
        <f aca="false">nir_f</f>
        <v>0.675</v>
      </c>
      <c r="F764" s="14" t="n">
        <f aca="false">nir_f</f>
        <v>0.675</v>
      </c>
      <c r="G764" s="14" t="n">
        <f aca="false">nir_f</f>
        <v>0.675</v>
      </c>
    </row>
    <row r="765" customFormat="false" ht="15" hidden="false" customHeight="false" outlineLevel="0" collapsed="false">
      <c r="A765" s="4" t="s">
        <v>377</v>
      </c>
      <c r="B765" s="0" t="s">
        <v>193</v>
      </c>
      <c r="C765" s="19" t="n">
        <f aca="false">a25_ni</f>
        <v>19.186</v>
      </c>
      <c r="D765" s="19" t="n">
        <f aca="false">a26_ni</f>
        <v>41.5923093275</v>
      </c>
      <c r="E765" s="19" t="n">
        <f aca="false">(E761+E763)*E764</f>
        <v>70.2755782628346</v>
      </c>
      <c r="F765" s="19" t="n">
        <f aca="false">(F761+F763)*F764</f>
        <v>91.3164760740963</v>
      </c>
      <c r="G765" s="19" t="n">
        <f aca="false">(G761+G763)*G764</f>
        <v>97.5161208855516</v>
      </c>
    </row>
    <row r="766" customFormat="false" ht="15" hidden="false" customHeight="false" outlineLevel="0" collapsed="false">
      <c r="A766" s="4" t="s">
        <v>488</v>
      </c>
      <c r="B766" s="4" t="s">
        <v>219</v>
      </c>
      <c r="C766" s="22" t="n">
        <f aca="false">a25_sh</f>
        <v>0.390197274761033</v>
      </c>
      <c r="D766" s="22" t="n">
        <f aca="false">a26_sh</f>
        <v>0.392523574315222</v>
      </c>
      <c r="E766" s="22" t="n">
        <f aca="false">D766*(1+sh_g)</f>
        <v>0.392523574315222</v>
      </c>
      <c r="F766" s="22" t="n">
        <f aca="false">E766*(1+sh_g)</f>
        <v>0.392523574315222</v>
      </c>
      <c r="G766" s="22" t="n">
        <f aca="false">F766*(1+sh_g)</f>
        <v>0.392523574315222</v>
      </c>
    </row>
    <row r="767" customFormat="false" ht="15" hidden="false" customHeight="false" outlineLevel="0" collapsed="false">
      <c r="A767" s="0" t="s">
        <v>382</v>
      </c>
      <c r="B767" s="0" t="s">
        <v>256</v>
      </c>
      <c r="C767" s="20" t="n">
        <f aca="false">C765/C766</f>
        <v>49.17</v>
      </c>
      <c r="D767" s="20" t="n">
        <f aca="false">D765/D766</f>
        <v>105.961302834002</v>
      </c>
      <c r="E767" s="20" t="n">
        <f aca="false">E765/E766</f>
        <v>179.035306058837</v>
      </c>
      <c r="F767" s="20" t="n">
        <f aca="false">F765/F766</f>
        <v>232.639469446905</v>
      </c>
      <c r="G767" s="20" t="n">
        <f aca="false">G765/G766</f>
        <v>248.433794213949</v>
      </c>
    </row>
    <row r="768" customFormat="false" ht="17.15" hidden="false" customHeight="false" outlineLevel="0" collapsed="false">
      <c r="A768" s="0" t="s">
        <v>489</v>
      </c>
      <c r="B768" s="0" t="s">
        <v>53</v>
      </c>
      <c r="D768" s="14" t="n">
        <f aca="false">D767/C767-1</f>
        <v>1.15499904075659</v>
      </c>
      <c r="E768" s="14" t="n">
        <f aca="false">E767/D767-1</f>
        <v>0.689629150174881</v>
      </c>
      <c r="F768" s="14" t="n">
        <f aca="false">F767/E767-1</f>
        <v>0.299405545018322</v>
      </c>
      <c r="G768" s="14" t="n">
        <f aca="false">G767/F767-1</f>
        <v>0.0678918534528727</v>
      </c>
    </row>
    <row r="771" customFormat="false" ht="17.15" hidden="false" customHeight="false" outlineLevel="0" collapsed="false">
      <c r="A771" s="1" t="s">
        <v>817</v>
      </c>
    </row>
    <row r="772" customFormat="false" ht="17.15" hidden="false" customHeight="false" outlineLevel="0" collapsed="false">
      <c r="A772" s="5" t="s">
        <v>22</v>
      </c>
      <c r="B772" s="5" t="s">
        <v>23</v>
      </c>
      <c r="C772" s="11" t="s">
        <v>351</v>
      </c>
      <c r="D772" s="11" t="s">
        <v>440</v>
      </c>
      <c r="E772" s="11" t="s">
        <v>441</v>
      </c>
      <c r="F772" s="11" t="s">
        <v>442</v>
      </c>
      <c r="G772" s="11" t="s">
        <v>443</v>
      </c>
      <c r="H772" s="5" t="s">
        <v>416</v>
      </c>
    </row>
    <row r="773" customFormat="false" ht="17.15" hidden="false" customHeight="false" outlineLevel="0" collapsed="false">
      <c r="A773" s="6" t="s">
        <v>459</v>
      </c>
    </row>
    <row r="774" customFormat="false" ht="17.15" hidden="false" customHeight="false" outlineLevel="0" collapsed="false">
      <c r="A774" s="0" t="s">
        <v>460</v>
      </c>
      <c r="B774" s="0" t="s">
        <v>33</v>
      </c>
      <c r="D774" s="20" t="n">
        <f aca="false">itc_26*1</f>
        <v>781.872916666666</v>
      </c>
      <c r="E774" s="20" t="n">
        <f aca="false">itc_27*1*1</f>
        <v>1565.35</v>
      </c>
      <c r="F774" s="20" t="n">
        <f aca="false">itc_28*um28_A*1</f>
        <v>1984.26388888889</v>
      </c>
      <c r="G774" s="20" t="n">
        <f aca="false">itc_29*um29_A*1</f>
        <v>2260.39027777778</v>
      </c>
    </row>
    <row r="775" customFormat="false" ht="17.15" hidden="false" customHeight="false" outlineLevel="0" collapsed="false">
      <c r="A775" s="4" t="s">
        <v>461</v>
      </c>
      <c r="B775" s="0" t="s">
        <v>33</v>
      </c>
      <c r="D775" s="20" t="n">
        <f aca="false">itpg_gb*(1-vr26)+itpg_vr*vr26</f>
        <v>33.41403216</v>
      </c>
      <c r="E775" s="20" t="n">
        <f aca="false">itpg_vr</f>
        <v>37.586352</v>
      </c>
      <c r="F775" s="20" t="n">
        <f aca="false">itpg_vr</f>
        <v>37.586352</v>
      </c>
      <c r="G775" s="20" t="n">
        <f aca="false">itpg_vr</f>
        <v>37.586352</v>
      </c>
    </row>
    <row r="776" customFormat="false" ht="17.15" hidden="false" customHeight="false" outlineLevel="0" collapsed="false">
      <c r="A776" s="4" t="s">
        <v>462</v>
      </c>
      <c r="B776" s="0" t="s">
        <v>418</v>
      </c>
      <c r="D776" s="17" t="n">
        <f aca="false">D774/D775</f>
        <v>23.3995380420639</v>
      </c>
      <c r="E776" s="17" t="n">
        <f aca="false">E774/E775</f>
        <v>41.6467658260637</v>
      </c>
      <c r="F776" s="17" t="n">
        <f aca="false">F774/F775</f>
        <v>52.792138191248</v>
      </c>
      <c r="G776" s="17" t="n">
        <f aca="false">G774/G775</f>
        <v>60.1385917361116</v>
      </c>
    </row>
    <row r="777" customFormat="false" ht="17.15" hidden="false" customHeight="false" outlineLevel="0" collapsed="false">
      <c r="A777" s="4" t="s">
        <v>463</v>
      </c>
      <c r="B777" s="0" t="s">
        <v>53</v>
      </c>
      <c r="D777" s="14" t="n">
        <f aca="false">lpenA_26</f>
        <v>0.55</v>
      </c>
      <c r="E777" s="14" t="n">
        <f aca="false">lpenA_27</f>
        <v>0.85</v>
      </c>
      <c r="F777" s="14" t="n">
        <f aca="false">lpenA_28</f>
        <v>0.95</v>
      </c>
      <c r="G777" s="14" t="n">
        <f aca="false">lpenA_29</f>
        <v>0.95</v>
      </c>
    </row>
    <row r="778" customFormat="false" ht="17.15" hidden="false" customHeight="false" outlineLevel="0" collapsed="false">
      <c r="A778" s="4" t="s">
        <v>464</v>
      </c>
      <c r="B778" s="0" t="s">
        <v>423</v>
      </c>
      <c r="D778" s="18" t="n">
        <f aca="false">((1-vr26)*racks_gb*(cool_gb+mani)+vr26*racks_vr*(cool_vr+mani))/1000</f>
        <v>350.7208</v>
      </c>
      <c r="E778" s="18" t="n">
        <f aca="false">racks_vr*(cool_vr+mani)*lcadj_27/1000</f>
        <v>326.5912</v>
      </c>
      <c r="F778" s="18" t="n">
        <f aca="false">racks_vr*(cool_vr+mani)*lcadj_28/1000</f>
        <v>351.7136</v>
      </c>
      <c r="G778" s="18" t="n">
        <f aca="false">racks_vr*(cool_vr+mani)*lcadj_29/1000</f>
        <v>351.7136</v>
      </c>
      <c r="H778" s="4" t="s">
        <v>465</v>
      </c>
    </row>
    <row r="779" customFormat="false" ht="17.15" hidden="false" customHeight="false" outlineLevel="0" collapsed="false">
      <c r="A779" s="0" t="s">
        <v>466</v>
      </c>
      <c r="B779" s="0" t="s">
        <v>33</v>
      </c>
      <c r="D779" s="20" t="n">
        <f aca="false">D776*D777*D778/1000</f>
        <v>4.51368758595869</v>
      </c>
      <c r="E779" s="20" t="n">
        <f aca="false">E776*E777*E778/1000</f>
        <v>11.5612471431652</v>
      </c>
      <c r="F779" s="20" t="n">
        <f aca="false">F776*F777*F778/1000</f>
        <v>17.6393273261943</v>
      </c>
      <c r="G779" s="20" t="n">
        <f aca="false">G776*G777*G778/1000</f>
        <v>20.0939825685161</v>
      </c>
    </row>
    <row r="780" customFormat="false" ht="17.15" hidden="false" customHeight="false" outlineLevel="0" collapsed="false">
      <c r="A780" s="0" t="s">
        <v>467</v>
      </c>
      <c r="B780" s="0" t="s">
        <v>193</v>
      </c>
      <c r="D780" s="19" t="n">
        <f aca="false">D779*fx</f>
        <v>144.438002750678</v>
      </c>
      <c r="E780" s="19" t="n">
        <f aca="false">E779*fx</f>
        <v>369.959908581285</v>
      </c>
      <c r="F780" s="19" t="n">
        <f aca="false">F779*fx</f>
        <v>564.458474438216</v>
      </c>
      <c r="G780" s="19" t="n">
        <f aca="false">G779*fx</f>
        <v>643.007442192516</v>
      </c>
    </row>
    <row r="781" customFormat="false" ht="17.15" hidden="false" customHeight="false" outlineLevel="0" collapsed="false">
      <c r="A781" s="4" t="s">
        <v>468</v>
      </c>
      <c r="B781" s="0" t="s">
        <v>53</v>
      </c>
      <c r="D781" s="14" t="n">
        <f aca="false">a26_lc/D780</f>
        <v>0.498927641116677</v>
      </c>
      <c r="H781" s="8" t="s">
        <v>469</v>
      </c>
    </row>
    <row r="782" customFormat="false" ht="17.15" hidden="false" customHeight="false" outlineLevel="0" collapsed="false">
      <c r="A782" s="4" t="s">
        <v>470</v>
      </c>
      <c r="B782" s="0" t="s">
        <v>74</v>
      </c>
      <c r="D782" s="15" t="n">
        <f aca="false">1</f>
        <v>1</v>
      </c>
      <c r="E782" s="15" t="n">
        <f aca="false">rel_27</f>
        <v>0.95</v>
      </c>
      <c r="F782" s="15" t="n">
        <f aca="false">rel_28</f>
        <v>0.9</v>
      </c>
      <c r="G782" s="15" t="n">
        <f aca="false">rel_29</f>
        <v>0.85</v>
      </c>
    </row>
    <row r="783" customFormat="false" ht="15" hidden="false" customHeight="false" outlineLevel="0" collapsed="false">
      <c r="A783" s="4" t="s">
        <v>430</v>
      </c>
      <c r="B783" s="0" t="s">
        <v>53</v>
      </c>
      <c r="D783" s="14" t="n">
        <f aca="false">$D$781*D782</f>
        <v>0.498927641116677</v>
      </c>
      <c r="E783" s="14" t="n">
        <f aca="false">$D$781*E782</f>
        <v>0.473981259060843</v>
      </c>
      <c r="F783" s="14" t="n">
        <f aca="false">$D$781*F782</f>
        <v>0.449034877005009</v>
      </c>
      <c r="G783" s="14" t="n">
        <f aca="false">$D$781*G782</f>
        <v>0.424088494949176</v>
      </c>
    </row>
    <row r="784" customFormat="false" ht="15" hidden="false" customHeight="false" outlineLevel="0" collapsed="false">
      <c r="A784" s="4" t="s">
        <v>471</v>
      </c>
      <c r="B784" s="0" t="s">
        <v>193</v>
      </c>
      <c r="C784" s="19" t="n">
        <f aca="false">a25_lc</f>
        <v>20.94585</v>
      </c>
      <c r="D784" s="19" t="n">
        <f aca="false">D780*D783</f>
        <v>72.064112</v>
      </c>
      <c r="E784" s="19" t="n">
        <f aca="false">E780*E783</f>
        <v>175.354063271392</v>
      </c>
      <c r="F784" s="19" t="n">
        <f aca="false">F780*F783</f>
        <v>253.4615416438</v>
      </c>
      <c r="G784" s="19" t="n">
        <f aca="false">G780*G783</f>
        <v>272.692058400543</v>
      </c>
    </row>
    <row r="785" customFormat="false" ht="17.15" hidden="false" customHeight="false" outlineLevel="0" collapsed="false">
      <c r="A785" s="6" t="s">
        <v>472</v>
      </c>
    </row>
    <row r="786" customFormat="false" ht="17.15" hidden="false" customHeight="false" outlineLevel="0" collapsed="false">
      <c r="A786" s="0" t="s">
        <v>473</v>
      </c>
      <c r="B786" s="0" t="s">
        <v>474</v>
      </c>
      <c r="D786" s="22" t="n">
        <f aca="false">a26_airL/D776</f>
        <v>1.34737912104607</v>
      </c>
    </row>
    <row r="787" customFormat="false" ht="17.15" hidden="false" customHeight="false" outlineLevel="0" collapsed="false">
      <c r="A787" s="0" t="s">
        <v>475</v>
      </c>
      <c r="B787" s="0" t="s">
        <v>74</v>
      </c>
      <c r="D787" s="15" t="n">
        <f aca="false">1</f>
        <v>1</v>
      </c>
      <c r="E787" s="15" t="n">
        <f aca="false">acr_27</f>
        <v>0.75</v>
      </c>
      <c r="F787" s="15" t="n">
        <f aca="false">acr_28</f>
        <v>0.65</v>
      </c>
      <c r="G787" s="15" t="n">
        <f aca="false">acr_29</f>
        <v>0.6</v>
      </c>
    </row>
    <row r="788" customFormat="false" ht="17.15" hidden="false" customHeight="false" outlineLevel="0" collapsed="false">
      <c r="A788" s="0" t="s">
        <v>476</v>
      </c>
      <c r="B788" s="0" t="s">
        <v>193</v>
      </c>
      <c r="C788" s="19" t="n">
        <f aca="false">a25_air</f>
        <v>30.999858</v>
      </c>
      <c r="D788" s="19" t="n">
        <f aca="false">D776*$D$786*D787</f>
        <v>31.528049</v>
      </c>
      <c r="E788" s="19" t="n">
        <f aca="false">E776*$D$786*E787</f>
        <v>42.0854870498497</v>
      </c>
      <c r="F788" s="19" t="n">
        <f aca="false">F776*$D$786*F787</f>
        <v>46.235166090273</v>
      </c>
      <c r="G788" s="19" t="n">
        <f aca="false">G776*$D$786*G787</f>
        <v>48.6176897246101</v>
      </c>
    </row>
    <row r="789" customFormat="false" ht="15" hidden="false" customHeight="false" outlineLevel="0" collapsed="false">
      <c r="A789" s="4" t="s">
        <v>477</v>
      </c>
      <c r="B789" s="0" t="s">
        <v>193</v>
      </c>
      <c r="C789" s="19" t="n">
        <f aca="false">a25_gen</f>
        <v>20.666572</v>
      </c>
      <c r="D789" s="19" t="n">
        <f aca="false">a26_genL</f>
        <v>47.2920735</v>
      </c>
      <c r="E789" s="19" t="n">
        <f aca="false">D789*(1+g_gen_27)</f>
        <v>51.07543938</v>
      </c>
      <c r="F789" s="19" t="n">
        <f aca="false">E789*(1+g_gen_28)</f>
        <v>54.1399657428</v>
      </c>
      <c r="G789" s="19" t="n">
        <f aca="false">F789*(1+g_gen_29)</f>
        <v>56.84696402994</v>
      </c>
    </row>
    <row r="790" customFormat="false" ht="17.15" hidden="false" customHeight="false" outlineLevel="0" collapsed="false">
      <c r="A790" s="4" t="s">
        <v>478</v>
      </c>
      <c r="B790" s="0" t="s">
        <v>193</v>
      </c>
      <c r="C790" s="19" t="n">
        <f aca="false">a25_nai</f>
        <v>67.02672</v>
      </c>
      <c r="D790" s="19" t="n">
        <f aca="false">a26_nai</f>
        <v>74.3161155</v>
      </c>
      <c r="E790" s="19" t="n">
        <f aca="false">D790*(1+g_nai_27)</f>
        <v>78.77508243</v>
      </c>
      <c r="F790" s="19" t="n">
        <f aca="false">E790*(1+g_nai_28)</f>
        <v>82.7138365515</v>
      </c>
      <c r="G790" s="19" t="n">
        <f aca="false">F790*(1+g_nai_29)</f>
        <v>86.02239001356</v>
      </c>
    </row>
    <row r="791" customFormat="false" ht="17.15" hidden="false" customHeight="false" outlineLevel="0" collapsed="false">
      <c r="A791" s="4" t="s">
        <v>479</v>
      </c>
      <c r="B791" s="0" t="s">
        <v>193</v>
      </c>
      <c r="C791" s="19" t="n">
        <f aca="false">C784+C788+C789</f>
        <v>72.61228</v>
      </c>
      <c r="D791" s="19" t="n">
        <f aca="false">D784+D788+D789</f>
        <v>150.8842345</v>
      </c>
      <c r="E791" s="19" t="n">
        <f aca="false">E784+E788+E789</f>
        <v>268.514989701242</v>
      </c>
      <c r="F791" s="19" t="n">
        <f aca="false">F784+F788+F789</f>
        <v>353.836673476873</v>
      </c>
      <c r="G791" s="19" t="n">
        <f aca="false">G784+G788+G789</f>
        <v>378.156712155093</v>
      </c>
    </row>
    <row r="792" customFormat="false" ht="15" hidden="false" customHeight="false" outlineLevel="0" collapsed="false">
      <c r="A792" s="4" t="s">
        <v>357</v>
      </c>
      <c r="B792" s="0" t="s">
        <v>193</v>
      </c>
      <c r="C792" s="19" t="n">
        <f aca="false">C784+C788+C789+C790</f>
        <v>139.639</v>
      </c>
      <c r="D792" s="19" t="n">
        <f aca="false">D784+D788+D789+D790</f>
        <v>225.20035</v>
      </c>
      <c r="E792" s="19" t="n">
        <f aca="false">E784+E788+E789+E790</f>
        <v>347.290072131242</v>
      </c>
      <c r="F792" s="19" t="n">
        <f aca="false">F784+F788+F789+F790</f>
        <v>436.550510028373</v>
      </c>
      <c r="G792" s="19" t="n">
        <f aca="false">G784+G788+G789+G790</f>
        <v>464.179102168653</v>
      </c>
    </row>
    <row r="793" customFormat="false" ht="15" hidden="false" customHeight="false" outlineLevel="0" collapsed="false">
      <c r="A793" s="4" t="s">
        <v>480</v>
      </c>
      <c r="B793" s="0" t="s">
        <v>193</v>
      </c>
      <c r="C793" s="22" t="n">
        <f aca="false">ROUND(C791+C790-C792,6)</f>
        <v>0</v>
      </c>
      <c r="D793" s="22" t="n">
        <f aca="false">ROUND(D791+D790-D792,6)</f>
        <v>0</v>
      </c>
      <c r="E793" s="22" t="n">
        <f aca="false">ROUND(E791+E790-E792,6)</f>
        <v>0</v>
      </c>
      <c r="F793" s="22" t="n">
        <f aca="false">ROUND(F791+F790-F792,6)</f>
        <v>0</v>
      </c>
      <c r="G793" s="22" t="n">
        <f aca="false">ROUND(G791+G790-G792,6)</f>
        <v>0</v>
      </c>
    </row>
    <row r="794" customFormat="false" ht="15" hidden="false" customHeight="false" outlineLevel="0" collapsed="false">
      <c r="A794" s="4" t="s">
        <v>481</v>
      </c>
      <c r="B794" s="0" t="s">
        <v>53</v>
      </c>
      <c r="D794" s="14" t="n">
        <f aca="false">D792/C792-1</f>
        <v>0.612732474451979</v>
      </c>
      <c r="E794" s="14" t="n">
        <f aca="false">E792/D792-1</f>
        <v>0.542138243263129</v>
      </c>
      <c r="F794" s="14" t="n">
        <f aca="false">F792/E792-1</f>
        <v>0.25701983747868</v>
      </c>
      <c r="G794" s="14" t="n">
        <f aca="false">G792/F792-1</f>
        <v>0.063288420252871</v>
      </c>
    </row>
    <row r="795" customFormat="false" ht="17.15" hidden="false" customHeight="false" outlineLevel="0" collapsed="false">
      <c r="A795" s="4" t="s">
        <v>482</v>
      </c>
      <c r="B795" s="0" t="s">
        <v>53</v>
      </c>
      <c r="C795" s="14" t="n">
        <f aca="false">C784/C792</f>
        <v>0.15</v>
      </c>
      <c r="D795" s="14" t="n">
        <f aca="false">D784/D792</f>
        <v>0.32</v>
      </c>
      <c r="E795" s="14" t="n">
        <f aca="false">E784/E792</f>
        <v>0.504921036743962</v>
      </c>
      <c r="F795" s="14" t="n">
        <f aca="false">F784/F792</f>
        <v>0.580600722760183</v>
      </c>
      <c r="G795" s="14" t="n">
        <f aca="false">G784/G792</f>
        <v>0.587471639990945</v>
      </c>
    </row>
    <row r="796" customFormat="false" ht="17.15" hidden="false" customHeight="false" outlineLevel="0" collapsed="false">
      <c r="A796" s="0" t="s">
        <v>483</v>
      </c>
      <c r="B796" s="0" t="s">
        <v>53</v>
      </c>
      <c r="C796" s="14" t="n">
        <f aca="false">(C784+C788)/C792</f>
        <v>0.372</v>
      </c>
      <c r="D796" s="14" t="n">
        <f aca="false">(D784+D788)/D792</f>
        <v>0.46</v>
      </c>
      <c r="E796" s="14" t="n">
        <f aca="false">(E784+E788)/E792</f>
        <v>0.626103559444886</v>
      </c>
      <c r="F796" s="14" t="n">
        <f aca="false">(F784+F788)/F792</f>
        <v>0.686510955432384</v>
      </c>
      <c r="G796" s="14" t="n">
        <f aca="false">(G784+G788)/G792</f>
        <v>0.692210714838278</v>
      </c>
    </row>
    <row r="797" customFormat="false" ht="17.15" hidden="false" customHeight="false" outlineLevel="0" collapsed="false">
      <c r="A797" s="4" t="s">
        <v>435</v>
      </c>
      <c r="B797" s="0" t="s">
        <v>423</v>
      </c>
      <c r="D797" s="18" t="n">
        <f aca="false">(D784+D788)/fx/D776*1000</f>
        <v>138.346963321694</v>
      </c>
      <c r="E797" s="18" t="n">
        <f aca="false">(E784+E788)/fx/E776*1000</f>
        <v>163.15759009758</v>
      </c>
      <c r="F797" s="18" t="n">
        <f aca="false">(F784+F788)/fx/F776*1000</f>
        <v>177.403727857388</v>
      </c>
      <c r="G797" s="18" t="n">
        <f aca="false">(G784+G788)/fx/G776*1000</f>
        <v>166.963165232912</v>
      </c>
    </row>
    <row r="798" customFormat="false" ht="17.15" hidden="false" customHeight="false" outlineLevel="0" collapsed="false">
      <c r="A798" s="6" t="s">
        <v>484</v>
      </c>
    </row>
    <row r="799" customFormat="false" ht="17.15" hidden="false" customHeight="false" outlineLevel="0" collapsed="false">
      <c r="A799" s="4" t="s">
        <v>485</v>
      </c>
      <c r="B799" s="0" t="s">
        <v>53</v>
      </c>
      <c r="D799" s="14" t="n">
        <f aca="false">a26_gp/D792-d_lc*D795</f>
        <v>0.302821503074929</v>
      </c>
      <c r="H799" s="8" t="s">
        <v>486</v>
      </c>
    </row>
    <row r="800" customFormat="false" ht="15" hidden="false" customHeight="false" outlineLevel="0" collapsed="false">
      <c r="A800" s="4" t="s">
        <v>361</v>
      </c>
      <c r="B800" s="0" t="s">
        <v>193</v>
      </c>
      <c r="C800" s="19" t="n">
        <f aca="false">a25_gp</f>
        <v>36.034</v>
      </c>
      <c r="D800" s="19" t="n">
        <f aca="false">a26_gp</f>
        <v>72.5193552</v>
      </c>
      <c r="E800" s="19" t="n">
        <f aca="false">$D$799*E792+d_lc*E784</f>
        <v>115.688145442067</v>
      </c>
      <c r="F800" s="19" t="n">
        <f aca="false">$D$799*F792+d_lc*F784</f>
        <v>147.404574113547</v>
      </c>
      <c r="G800" s="19" t="n">
        <f aca="false">$D$799*G792+d_lc*G784</f>
        <v>156.924936918715</v>
      </c>
    </row>
    <row r="801" customFormat="false" ht="15" hidden="false" customHeight="false" outlineLevel="0" collapsed="false">
      <c r="A801" s="4" t="s">
        <v>364</v>
      </c>
      <c r="B801" s="0" t="s">
        <v>53</v>
      </c>
      <c r="C801" s="14" t="n">
        <f aca="false">C800/C792</f>
        <v>0.258051117524474</v>
      </c>
      <c r="D801" s="14" t="n">
        <f aca="false">D800/D792</f>
        <v>0.322021503074929</v>
      </c>
      <c r="E801" s="14" t="n">
        <f aca="false">E800/E792</f>
        <v>0.333116765279566</v>
      </c>
      <c r="F801" s="14" t="n">
        <f aca="false">F800/F792</f>
        <v>0.33765754644054</v>
      </c>
      <c r="G801" s="14" t="n">
        <f aca="false">G800/G792</f>
        <v>0.338069801474385</v>
      </c>
    </row>
    <row r="802" customFormat="false" ht="15" hidden="false" customHeight="false" outlineLevel="0" collapsed="false">
      <c r="A802" s="4" t="s">
        <v>487</v>
      </c>
      <c r="B802" s="0" t="s">
        <v>193</v>
      </c>
      <c r="C802" s="19" t="n">
        <f aca="false">a25_opx</f>
        <v>8.4832253</v>
      </c>
      <c r="D802" s="19" t="n">
        <f aca="false">a26_opx</f>
        <v>11.7048599</v>
      </c>
      <c r="E802" s="19" t="n">
        <f aca="false">D802*(1+MAX(0,phi*E794))</f>
        <v>16.1468164286789</v>
      </c>
      <c r="F802" s="19" t="n">
        <f aca="false">E802*(1+MAX(0,phi*F794))</f>
        <v>19.0518529226869</v>
      </c>
      <c r="G802" s="19" t="n">
        <f aca="false">F802*(1+MAX(0,phi*G794))</f>
        <v>19.8958860947438</v>
      </c>
    </row>
    <row r="803" customFormat="false" ht="15" hidden="false" customHeight="false" outlineLevel="0" collapsed="false">
      <c r="A803" s="4" t="s">
        <v>366</v>
      </c>
      <c r="B803" s="0" t="s">
        <v>193</v>
      </c>
      <c r="C803" s="19" t="n">
        <f aca="false">C802</f>
        <v>8.4832253</v>
      </c>
      <c r="D803" s="19" t="n">
        <f aca="false">D802</f>
        <v>11.7048599</v>
      </c>
      <c r="E803" s="19" t="n">
        <f aca="false">E802+0*E792</f>
        <v>16.1468164286789</v>
      </c>
      <c r="F803" s="19" t="n">
        <f aca="false">F802+0*F792</f>
        <v>19.0518529226869</v>
      </c>
      <c r="G803" s="19" t="n">
        <f aca="false">G802+0*G792</f>
        <v>19.8958860947438</v>
      </c>
    </row>
    <row r="804" customFormat="false" ht="15" hidden="false" customHeight="false" outlineLevel="0" collapsed="false">
      <c r="A804" s="4" t="s">
        <v>368</v>
      </c>
      <c r="B804" s="0" t="s">
        <v>193</v>
      </c>
      <c r="C804" s="19" t="n">
        <f aca="false">C800-C803</f>
        <v>27.5507747</v>
      </c>
      <c r="D804" s="19" t="n">
        <f aca="false">D800-D803</f>
        <v>60.8144953</v>
      </c>
      <c r="E804" s="19" t="n">
        <f aca="false">E800-E803</f>
        <v>99.5413290133876</v>
      </c>
      <c r="F804" s="19" t="n">
        <f aca="false">F800-F803</f>
        <v>128.35272119086</v>
      </c>
      <c r="G804" s="19" t="n">
        <f aca="false">G800-G803</f>
        <v>137.029050823971</v>
      </c>
    </row>
    <row r="805" customFormat="false" ht="15" hidden="false" customHeight="false" outlineLevel="0" collapsed="false">
      <c r="A805" s="4" t="s">
        <v>371</v>
      </c>
      <c r="B805" s="0" t="s">
        <v>53</v>
      </c>
      <c r="C805" s="14" t="n">
        <f aca="false">C804/C792</f>
        <v>0.1973</v>
      </c>
      <c r="D805" s="14" t="n">
        <f aca="false">D804/D792</f>
        <v>0.27004618465291</v>
      </c>
      <c r="E805" s="14" t="n">
        <f aca="false">E804/E792</f>
        <v>0.286623019202722</v>
      </c>
      <c r="F805" s="14" t="n">
        <f aca="false">F804/F792</f>
        <v>0.29401573985681</v>
      </c>
      <c r="G805" s="14" t="n">
        <f aca="false">G804/G792</f>
        <v>0.295207281378608</v>
      </c>
    </row>
    <row r="806" customFormat="false" ht="15" hidden="false" customHeight="false" outlineLevel="0" collapsed="false">
      <c r="A806" s="4" t="s">
        <v>373</v>
      </c>
      <c r="B806" s="0" t="s">
        <v>193</v>
      </c>
      <c r="C806" s="19" t="n">
        <f aca="false">a25_nop</f>
        <v>1.23179436863779</v>
      </c>
      <c r="D806" s="19" t="n">
        <f aca="false">a26_nop</f>
        <v>0.8186111</v>
      </c>
      <c r="E806" s="19" t="n">
        <f aca="false">nop_f</f>
        <v>1</v>
      </c>
      <c r="F806" s="19" t="n">
        <f aca="false">nop_f</f>
        <v>1</v>
      </c>
      <c r="G806" s="19" t="n">
        <f aca="false">nop_f</f>
        <v>1</v>
      </c>
    </row>
    <row r="807" customFormat="false" ht="17.15" hidden="false" customHeight="false" outlineLevel="0" collapsed="false">
      <c r="A807" s="4" t="s">
        <v>236</v>
      </c>
      <c r="B807" s="0" t="s">
        <v>53</v>
      </c>
      <c r="C807" s="14" t="n">
        <f aca="false">a25_ni/(a25_oi+a25_nop)</f>
        <v>0.666583999303438</v>
      </c>
      <c r="D807" s="14" t="n">
        <f aca="false">a26_ni/(a26_oi+a26_nop)</f>
        <v>0.674837141220258</v>
      </c>
      <c r="E807" s="14" t="n">
        <f aca="false">nir_f</f>
        <v>0.675</v>
      </c>
      <c r="F807" s="14" t="n">
        <f aca="false">nir_f</f>
        <v>0.675</v>
      </c>
      <c r="G807" s="14" t="n">
        <f aca="false">nir_f</f>
        <v>0.675</v>
      </c>
    </row>
    <row r="808" customFormat="false" ht="15" hidden="false" customHeight="false" outlineLevel="0" collapsed="false">
      <c r="A808" s="4" t="s">
        <v>377</v>
      </c>
      <c r="B808" s="0" t="s">
        <v>193</v>
      </c>
      <c r="C808" s="19" t="n">
        <f aca="false">a25_ni</f>
        <v>19.186</v>
      </c>
      <c r="D808" s="19" t="n">
        <f aca="false">a26_ni</f>
        <v>41.5923093275</v>
      </c>
      <c r="E808" s="19" t="n">
        <f aca="false">(E804+E806)*E807</f>
        <v>67.8653970840366</v>
      </c>
      <c r="F808" s="19" t="n">
        <f aca="false">(F804+F806)*F807</f>
        <v>87.3130868038302</v>
      </c>
      <c r="G808" s="19" t="n">
        <f aca="false">(G804+G806)*G807</f>
        <v>93.1696093061807</v>
      </c>
    </row>
    <row r="809" customFormat="false" ht="15" hidden="false" customHeight="false" outlineLevel="0" collapsed="false">
      <c r="A809" s="4" t="s">
        <v>488</v>
      </c>
      <c r="B809" s="4" t="s">
        <v>219</v>
      </c>
      <c r="C809" s="22" t="n">
        <f aca="false">a25_sh</f>
        <v>0.390197274761033</v>
      </c>
      <c r="D809" s="22" t="n">
        <f aca="false">a26_sh</f>
        <v>0.392523574315222</v>
      </c>
      <c r="E809" s="22" t="n">
        <f aca="false">D809*(1+sh_g)</f>
        <v>0.392523574315222</v>
      </c>
      <c r="F809" s="22" t="n">
        <f aca="false">E809*(1+sh_g)</f>
        <v>0.392523574315222</v>
      </c>
      <c r="G809" s="22" t="n">
        <f aca="false">F809*(1+sh_g)</f>
        <v>0.392523574315222</v>
      </c>
    </row>
    <row r="810" customFormat="false" ht="15" hidden="false" customHeight="false" outlineLevel="0" collapsed="false">
      <c r="A810" s="0" t="s">
        <v>382</v>
      </c>
      <c r="B810" s="0" t="s">
        <v>256</v>
      </c>
      <c r="C810" s="20" t="n">
        <f aca="false">C808/C809</f>
        <v>49.17</v>
      </c>
      <c r="D810" s="20" t="n">
        <f aca="false">D808/D809</f>
        <v>105.961302834002</v>
      </c>
      <c r="E810" s="20" t="n">
        <f aca="false">E808/E809</f>
        <v>172.895085861865</v>
      </c>
      <c r="F810" s="20" t="n">
        <f aca="false">F808/F809</f>
        <v>222.440364139026</v>
      </c>
      <c r="G810" s="20" t="n">
        <f aca="false">G808/G809</f>
        <v>237.360544443018</v>
      </c>
    </row>
    <row r="811" customFormat="false" ht="17.15" hidden="false" customHeight="false" outlineLevel="0" collapsed="false">
      <c r="A811" s="0" t="s">
        <v>489</v>
      </c>
      <c r="B811" s="0" t="s">
        <v>53</v>
      </c>
      <c r="D811" s="14" t="n">
        <f aca="false">D810/C810-1</f>
        <v>1.15499904075659</v>
      </c>
      <c r="E811" s="14" t="n">
        <f aca="false">E810/D810-1</f>
        <v>0.631681389693007</v>
      </c>
      <c r="F811" s="14" t="n">
        <f aca="false">F810/E810-1</f>
        <v>0.286562674874087</v>
      </c>
      <c r="G811" s="14" t="n">
        <f aca="false">G810/F810-1</f>
        <v>0.0670749679885732</v>
      </c>
    </row>
    <row r="814" customFormat="false" ht="17.15" hidden="false" customHeight="false" outlineLevel="0" collapsed="false">
      <c r="A814" s="1" t="s">
        <v>818</v>
      </c>
    </row>
    <row r="815" customFormat="false" ht="17.15" hidden="false" customHeight="false" outlineLevel="0" collapsed="false">
      <c r="A815" s="5" t="s">
        <v>22</v>
      </c>
      <c r="B815" s="5" t="s">
        <v>23</v>
      </c>
      <c r="C815" s="11" t="s">
        <v>351</v>
      </c>
      <c r="D815" s="11" t="s">
        <v>440</v>
      </c>
      <c r="E815" s="11" t="s">
        <v>441</v>
      </c>
      <c r="F815" s="11" t="s">
        <v>442</v>
      </c>
      <c r="G815" s="11" t="s">
        <v>443</v>
      </c>
      <c r="H815" s="5" t="s">
        <v>416</v>
      </c>
    </row>
    <row r="816" customFormat="false" ht="17.15" hidden="false" customHeight="false" outlineLevel="0" collapsed="false">
      <c r="A816" s="6" t="s">
        <v>459</v>
      </c>
    </row>
    <row r="817" customFormat="false" ht="17.15" hidden="false" customHeight="false" outlineLevel="0" collapsed="false">
      <c r="A817" s="0" t="s">
        <v>460</v>
      </c>
      <c r="B817" s="0" t="s">
        <v>33</v>
      </c>
      <c r="D817" s="20" t="n">
        <f aca="false">itc_26*1</f>
        <v>781.872916666666</v>
      </c>
      <c r="E817" s="20" t="n">
        <f aca="false">itc_27*1*1</f>
        <v>1565.35</v>
      </c>
      <c r="F817" s="20" t="n">
        <f aca="false">itc_28*um28_A*1</f>
        <v>1984.26388888889</v>
      </c>
      <c r="G817" s="20" t="n">
        <f aca="false">itc_29*um29_A*1</f>
        <v>2260.39027777778</v>
      </c>
    </row>
    <row r="818" customFormat="false" ht="17.15" hidden="false" customHeight="false" outlineLevel="0" collapsed="false">
      <c r="A818" s="4" t="s">
        <v>461</v>
      </c>
      <c r="B818" s="0" t="s">
        <v>33</v>
      </c>
      <c r="D818" s="20" t="n">
        <f aca="false">itpg_gb*(1-vr26)+itpg_vr*vr26</f>
        <v>33.41403216</v>
      </c>
      <c r="E818" s="20" t="n">
        <f aca="false">itpg_vr</f>
        <v>37.586352</v>
      </c>
      <c r="F818" s="20" t="n">
        <f aca="false">itpg_vr</f>
        <v>37.586352</v>
      </c>
      <c r="G818" s="20" t="n">
        <f aca="false">itpg_vr</f>
        <v>37.586352</v>
      </c>
    </row>
    <row r="819" customFormat="false" ht="17.15" hidden="false" customHeight="false" outlineLevel="0" collapsed="false">
      <c r="A819" s="4" t="s">
        <v>462</v>
      </c>
      <c r="B819" s="0" t="s">
        <v>418</v>
      </c>
      <c r="D819" s="17" t="n">
        <f aca="false">D817/D818</f>
        <v>23.3995380420639</v>
      </c>
      <c r="E819" s="17" t="n">
        <f aca="false">E817/E818</f>
        <v>41.6467658260637</v>
      </c>
      <c r="F819" s="17" t="n">
        <f aca="false">F817/F818</f>
        <v>52.792138191248</v>
      </c>
      <c r="G819" s="17" t="n">
        <f aca="false">G817/G818</f>
        <v>60.1385917361116</v>
      </c>
    </row>
    <row r="820" customFormat="false" ht="17.15" hidden="false" customHeight="false" outlineLevel="0" collapsed="false">
      <c r="A820" s="4" t="s">
        <v>463</v>
      </c>
      <c r="B820" s="0" t="s">
        <v>53</v>
      </c>
      <c r="D820" s="14" t="n">
        <f aca="false">lpenA_26</f>
        <v>0.55</v>
      </c>
      <c r="E820" s="14" t="n">
        <f aca="false">lpenA_27</f>
        <v>0.85</v>
      </c>
      <c r="F820" s="14" t="n">
        <f aca="false">lpenA_28</f>
        <v>0.95</v>
      </c>
      <c r="G820" s="14" t="n">
        <f aca="false">lpenA_29</f>
        <v>0.95</v>
      </c>
    </row>
    <row r="821" customFormat="false" ht="17.15" hidden="false" customHeight="false" outlineLevel="0" collapsed="false">
      <c r="A821" s="4" t="s">
        <v>464</v>
      </c>
      <c r="B821" s="0" t="s">
        <v>423</v>
      </c>
      <c r="D821" s="18" t="n">
        <f aca="false">((1-vr26)*racks_gb*(cool_gb+mani)+vr26*racks_vr*(cool_vr+mani))/1000</f>
        <v>350.7208</v>
      </c>
      <c r="E821" s="18" t="n">
        <f aca="false">racks_vr*(cool_vr+mani)*lcadj_27/1000</f>
        <v>326.5912</v>
      </c>
      <c r="F821" s="18" t="n">
        <f aca="false">racks_vr*(cool_vr+mani)*lcadj_28/1000</f>
        <v>351.7136</v>
      </c>
      <c r="G821" s="18" t="n">
        <f aca="false">racks_vr*(cool_vr+mani)*lcadj_29/1000</f>
        <v>351.7136</v>
      </c>
      <c r="H821" s="4" t="s">
        <v>465</v>
      </c>
    </row>
    <row r="822" customFormat="false" ht="17.15" hidden="false" customHeight="false" outlineLevel="0" collapsed="false">
      <c r="A822" s="0" t="s">
        <v>466</v>
      </c>
      <c r="B822" s="0" t="s">
        <v>33</v>
      </c>
      <c r="D822" s="20" t="n">
        <f aca="false">D819*D820*D821/1000</f>
        <v>4.51368758595869</v>
      </c>
      <c r="E822" s="20" t="n">
        <f aca="false">E819*E820*E821/1000</f>
        <v>11.5612471431652</v>
      </c>
      <c r="F822" s="20" t="n">
        <f aca="false">F819*F820*F821/1000</f>
        <v>17.6393273261943</v>
      </c>
      <c r="G822" s="20" t="n">
        <f aca="false">G819*G820*G821/1000</f>
        <v>20.0939825685161</v>
      </c>
    </row>
    <row r="823" customFormat="false" ht="17.15" hidden="false" customHeight="false" outlineLevel="0" collapsed="false">
      <c r="A823" s="0" t="s">
        <v>467</v>
      </c>
      <c r="B823" s="0" t="s">
        <v>193</v>
      </c>
      <c r="D823" s="19" t="n">
        <f aca="false">D822*fx</f>
        <v>144.438002750678</v>
      </c>
      <c r="E823" s="19" t="n">
        <f aca="false">E822*fx</f>
        <v>369.959908581285</v>
      </c>
      <c r="F823" s="19" t="n">
        <f aca="false">F822*fx</f>
        <v>564.458474438216</v>
      </c>
      <c r="G823" s="19" t="n">
        <f aca="false">G822*fx</f>
        <v>643.007442192516</v>
      </c>
    </row>
    <row r="824" customFormat="false" ht="17.15" hidden="false" customHeight="false" outlineLevel="0" collapsed="false">
      <c r="A824" s="4" t="s">
        <v>468</v>
      </c>
      <c r="B824" s="0" t="s">
        <v>53</v>
      </c>
      <c r="D824" s="14" t="n">
        <f aca="false">a26_lc/D823</f>
        <v>0.498927641116677</v>
      </c>
      <c r="H824" s="8" t="s">
        <v>469</v>
      </c>
    </row>
    <row r="825" customFormat="false" ht="17.15" hidden="false" customHeight="false" outlineLevel="0" collapsed="false">
      <c r="A825" s="4" t="s">
        <v>470</v>
      </c>
      <c r="B825" s="0" t="s">
        <v>74</v>
      </c>
      <c r="D825" s="15" t="n">
        <f aca="false">1</f>
        <v>1</v>
      </c>
      <c r="E825" s="15" t="n">
        <f aca="false">rel_27</f>
        <v>0.95</v>
      </c>
      <c r="F825" s="15" t="n">
        <f aca="false">rel_28</f>
        <v>0.9</v>
      </c>
      <c r="G825" s="15" t="n">
        <f aca="false">rel_29</f>
        <v>0.85</v>
      </c>
    </row>
    <row r="826" customFormat="false" ht="15" hidden="false" customHeight="false" outlineLevel="0" collapsed="false">
      <c r="A826" s="4" t="s">
        <v>430</v>
      </c>
      <c r="B826" s="0" t="s">
        <v>53</v>
      </c>
      <c r="D826" s="14" t="n">
        <f aca="false">$D$824*D825</f>
        <v>0.498927641116677</v>
      </c>
      <c r="E826" s="14" t="n">
        <f aca="false">$D$824*E825</f>
        <v>0.473981259060843</v>
      </c>
      <c r="F826" s="14" t="n">
        <f aca="false">$D$824*F825</f>
        <v>0.449034877005009</v>
      </c>
      <c r="G826" s="14" t="n">
        <f aca="false">$D$824*G825</f>
        <v>0.424088494949176</v>
      </c>
    </row>
    <row r="827" customFormat="false" ht="15" hidden="false" customHeight="false" outlineLevel="0" collapsed="false">
      <c r="A827" s="4" t="s">
        <v>471</v>
      </c>
      <c r="B827" s="0" t="s">
        <v>193</v>
      </c>
      <c r="C827" s="19" t="n">
        <f aca="false">a25_lc</f>
        <v>20.94585</v>
      </c>
      <c r="D827" s="19" t="n">
        <f aca="false">D823*D826</f>
        <v>72.064112</v>
      </c>
      <c r="E827" s="19" t="n">
        <f aca="false">E823*E826</f>
        <v>175.354063271392</v>
      </c>
      <c r="F827" s="19" t="n">
        <f aca="false">F823*F826</f>
        <v>253.4615416438</v>
      </c>
      <c r="G827" s="19" t="n">
        <f aca="false">G823*G826</f>
        <v>272.692058400543</v>
      </c>
    </row>
    <row r="828" customFormat="false" ht="17.15" hidden="false" customHeight="false" outlineLevel="0" collapsed="false">
      <c r="A828" s="6" t="s">
        <v>472</v>
      </c>
    </row>
    <row r="829" customFormat="false" ht="17.15" hidden="false" customHeight="false" outlineLevel="0" collapsed="false">
      <c r="A829" s="0" t="s">
        <v>473</v>
      </c>
      <c r="B829" s="0" t="s">
        <v>474</v>
      </c>
      <c r="D829" s="22" t="n">
        <f aca="false">a26_airH/D819</f>
        <v>2.69475824209213</v>
      </c>
    </row>
    <row r="830" customFormat="false" ht="17.15" hidden="false" customHeight="false" outlineLevel="0" collapsed="false">
      <c r="A830" s="0" t="s">
        <v>475</v>
      </c>
      <c r="B830" s="0" t="s">
        <v>74</v>
      </c>
      <c r="D830" s="15" t="n">
        <f aca="false">1</f>
        <v>1</v>
      </c>
      <c r="E830" s="15" t="n">
        <f aca="false">acr_27</f>
        <v>0.75</v>
      </c>
      <c r="F830" s="15" t="n">
        <f aca="false">acr_28</f>
        <v>0.65</v>
      </c>
      <c r="G830" s="15" t="n">
        <f aca="false">acr_29</f>
        <v>0.6</v>
      </c>
    </row>
    <row r="831" customFormat="false" ht="17.15" hidden="false" customHeight="false" outlineLevel="0" collapsed="false">
      <c r="A831" s="0" t="s">
        <v>476</v>
      </c>
      <c r="B831" s="0" t="s">
        <v>193</v>
      </c>
      <c r="C831" s="19" t="n">
        <f aca="false">a25_air</f>
        <v>30.999858</v>
      </c>
      <c r="D831" s="19" t="n">
        <f aca="false">D819*$D$829*D830</f>
        <v>63.056098</v>
      </c>
      <c r="E831" s="19" t="n">
        <f aca="false">E819*$D$829*E830</f>
        <v>84.1709740996995</v>
      </c>
      <c r="F831" s="19" t="n">
        <f aca="false">F819*$D$829*F830</f>
        <v>92.4703321805459</v>
      </c>
      <c r="G831" s="19" t="n">
        <f aca="false">G819*$D$829*G830</f>
        <v>97.2353794492202</v>
      </c>
    </row>
    <row r="832" customFormat="false" ht="15" hidden="false" customHeight="false" outlineLevel="0" collapsed="false">
      <c r="A832" s="4" t="s">
        <v>477</v>
      </c>
      <c r="B832" s="0" t="s">
        <v>193</v>
      </c>
      <c r="C832" s="19" t="n">
        <f aca="false">a25_gen</f>
        <v>20.666572</v>
      </c>
      <c r="D832" s="19" t="n">
        <f aca="false">a26_genH</f>
        <v>15.7640245</v>
      </c>
      <c r="E832" s="19" t="n">
        <f aca="false">D832*(1+g_gen_27)</f>
        <v>17.02514646</v>
      </c>
      <c r="F832" s="19" t="n">
        <f aca="false">E832*(1+g_gen_28)</f>
        <v>18.0466552476</v>
      </c>
      <c r="G832" s="19" t="n">
        <f aca="false">F832*(1+g_gen_29)</f>
        <v>18.94898800998</v>
      </c>
    </row>
    <row r="833" customFormat="false" ht="17.15" hidden="false" customHeight="false" outlineLevel="0" collapsed="false">
      <c r="A833" s="4" t="s">
        <v>478</v>
      </c>
      <c r="B833" s="0" t="s">
        <v>193</v>
      </c>
      <c r="C833" s="19" t="n">
        <f aca="false">a25_nai</f>
        <v>67.02672</v>
      </c>
      <c r="D833" s="19" t="n">
        <f aca="false">a26_nai</f>
        <v>74.3161155</v>
      </c>
      <c r="E833" s="19" t="n">
        <f aca="false">D833*(1+g_nai_27)</f>
        <v>78.77508243</v>
      </c>
      <c r="F833" s="19" t="n">
        <f aca="false">E833*(1+g_nai_28)</f>
        <v>82.7138365515</v>
      </c>
      <c r="G833" s="19" t="n">
        <f aca="false">F833*(1+g_nai_29)</f>
        <v>86.02239001356</v>
      </c>
    </row>
    <row r="834" customFormat="false" ht="17.15" hidden="false" customHeight="false" outlineLevel="0" collapsed="false">
      <c r="A834" s="4" t="s">
        <v>479</v>
      </c>
      <c r="B834" s="0" t="s">
        <v>193</v>
      </c>
      <c r="C834" s="19" t="n">
        <f aca="false">C827+C831+C832</f>
        <v>72.61228</v>
      </c>
      <c r="D834" s="19" t="n">
        <f aca="false">D827+D831+D832</f>
        <v>150.8842345</v>
      </c>
      <c r="E834" s="19" t="n">
        <f aca="false">E827+E831+E832</f>
        <v>276.550183831091</v>
      </c>
      <c r="F834" s="19" t="n">
        <f aca="false">F827+F831+F832</f>
        <v>363.978529071945</v>
      </c>
      <c r="G834" s="19" t="n">
        <f aca="false">G827+G831+G832</f>
        <v>388.876425859743</v>
      </c>
    </row>
    <row r="835" customFormat="false" ht="15" hidden="false" customHeight="false" outlineLevel="0" collapsed="false">
      <c r="A835" s="4" t="s">
        <v>357</v>
      </c>
      <c r="B835" s="0" t="s">
        <v>193</v>
      </c>
      <c r="C835" s="19" t="n">
        <f aca="false">C827+C831+C832+C833</f>
        <v>139.639</v>
      </c>
      <c r="D835" s="19" t="n">
        <f aca="false">D827+D831+D832+D833</f>
        <v>225.20035</v>
      </c>
      <c r="E835" s="19" t="n">
        <f aca="false">E827+E831+E832+E833</f>
        <v>355.325266261091</v>
      </c>
      <c r="F835" s="19" t="n">
        <f aca="false">F827+F831+F832+F833</f>
        <v>446.692365623445</v>
      </c>
      <c r="G835" s="19" t="n">
        <f aca="false">G827+G831+G832+G833</f>
        <v>474.898815873303</v>
      </c>
    </row>
    <row r="836" customFormat="false" ht="15" hidden="false" customHeight="false" outlineLevel="0" collapsed="false">
      <c r="A836" s="4" t="s">
        <v>480</v>
      </c>
      <c r="B836" s="0" t="s">
        <v>193</v>
      </c>
      <c r="C836" s="22" t="n">
        <f aca="false">ROUND(C834+C833-C835,6)</f>
        <v>0</v>
      </c>
      <c r="D836" s="22" t="n">
        <f aca="false">ROUND(D834+D833-D835,6)</f>
        <v>0</v>
      </c>
      <c r="E836" s="22" t="n">
        <f aca="false">ROUND(E834+E833-E835,6)</f>
        <v>0</v>
      </c>
      <c r="F836" s="22" t="n">
        <f aca="false">ROUND(F834+F833-F835,6)</f>
        <v>0</v>
      </c>
      <c r="G836" s="22" t="n">
        <f aca="false">ROUND(G834+G833-G835,6)</f>
        <v>0</v>
      </c>
    </row>
    <row r="837" customFormat="false" ht="15" hidden="false" customHeight="false" outlineLevel="0" collapsed="false">
      <c r="A837" s="4" t="s">
        <v>481</v>
      </c>
      <c r="B837" s="0" t="s">
        <v>53</v>
      </c>
      <c r="D837" s="14" t="n">
        <f aca="false">D835/C835-1</f>
        <v>0.612732474451979</v>
      </c>
      <c r="E837" s="14" t="n">
        <f aca="false">E835/D835-1</f>
        <v>0.577818445935326</v>
      </c>
      <c r="F837" s="14" t="n">
        <f aca="false">F835/E835-1</f>
        <v>0.257136511354129</v>
      </c>
      <c r="G837" s="14" t="n">
        <f aca="false">G835/F835-1</f>
        <v>0.0631451361620885</v>
      </c>
    </row>
    <row r="838" customFormat="false" ht="17.15" hidden="false" customHeight="false" outlineLevel="0" collapsed="false">
      <c r="A838" s="4" t="s">
        <v>482</v>
      </c>
      <c r="B838" s="0" t="s">
        <v>53</v>
      </c>
      <c r="C838" s="14" t="n">
        <f aca="false">C827/C835</f>
        <v>0.15</v>
      </c>
      <c r="D838" s="14" t="n">
        <f aca="false">D827/D835</f>
        <v>0.32</v>
      </c>
      <c r="E838" s="14" t="n">
        <f aca="false">E827/E835</f>
        <v>0.493502939198651</v>
      </c>
      <c r="F838" s="14" t="n">
        <f aca="false">F827/F835</f>
        <v>0.567418566220726</v>
      </c>
      <c r="G838" s="14" t="n">
        <f aca="false">G827/G835</f>
        <v>0.574210861947682</v>
      </c>
    </row>
    <row r="839" customFormat="false" ht="17.15" hidden="false" customHeight="false" outlineLevel="0" collapsed="false">
      <c r="A839" s="0" t="s">
        <v>483</v>
      </c>
      <c r="B839" s="0" t="s">
        <v>53</v>
      </c>
      <c r="C839" s="14" t="n">
        <f aca="false">(C827+C831)/C835</f>
        <v>0.372</v>
      </c>
      <c r="D839" s="14" t="n">
        <f aca="false">(D827+D831)/D835</f>
        <v>0.6</v>
      </c>
      <c r="E839" s="14" t="n">
        <f aca="false">(E827+E831)/E835</f>
        <v>0.730387231119089</v>
      </c>
      <c r="F839" s="14" t="n">
        <f aca="false">(F827+F831)/F835</f>
        <v>0.774429787582178</v>
      </c>
      <c r="G839" s="14" t="n">
        <f aca="false">(G827+G831)/G835</f>
        <v>0.778960539561453</v>
      </c>
    </row>
    <row r="840" customFormat="false" ht="17.15" hidden="false" customHeight="false" outlineLevel="0" collapsed="false">
      <c r="A840" s="4" t="s">
        <v>435</v>
      </c>
      <c r="B840" s="0" t="s">
        <v>423</v>
      </c>
      <c r="D840" s="18" t="n">
        <f aca="false">(D827+D831)/fx/D819*1000</f>
        <v>180.452560854384</v>
      </c>
      <c r="E840" s="18" t="n">
        <f aca="false">(E827+E831)/fx/E819*1000</f>
        <v>194.736788247097</v>
      </c>
      <c r="F840" s="18" t="n">
        <f aca="false">(F827+F831)/fx/F819*1000</f>
        <v>204.772366253636</v>
      </c>
      <c r="G840" s="18" t="n">
        <f aca="false">(G827+G831)/fx/G819*1000</f>
        <v>192.226523752526</v>
      </c>
    </row>
    <row r="841" customFormat="false" ht="17.15" hidden="false" customHeight="false" outlineLevel="0" collapsed="false">
      <c r="A841" s="6" t="s">
        <v>484</v>
      </c>
    </row>
    <row r="842" customFormat="false" ht="17.15" hidden="false" customHeight="false" outlineLevel="0" collapsed="false">
      <c r="A842" s="4" t="s">
        <v>485</v>
      </c>
      <c r="B842" s="0" t="s">
        <v>53</v>
      </c>
      <c r="D842" s="14" t="n">
        <f aca="false">a26_gp/D835-d_lc*D838</f>
        <v>0.302821503074929</v>
      </c>
      <c r="H842" s="8" t="s">
        <v>486</v>
      </c>
    </row>
    <row r="843" customFormat="false" ht="15" hidden="false" customHeight="false" outlineLevel="0" collapsed="false">
      <c r="A843" s="4" t="s">
        <v>361</v>
      </c>
      <c r="B843" s="0" t="s">
        <v>193</v>
      </c>
      <c r="C843" s="19" t="n">
        <f aca="false">a25_gp</f>
        <v>36.034</v>
      </c>
      <c r="D843" s="19" t="n">
        <f aca="false">a26_gp</f>
        <v>72.5193552</v>
      </c>
      <c r="E843" s="19" t="n">
        <f aca="false">$D$842*E835+d_lc*E827</f>
        <v>118.121375005966</v>
      </c>
      <c r="F843" s="19" t="n">
        <f aca="false">$D$842*F835+d_lc*F827</f>
        <v>150.475746068815</v>
      </c>
      <c r="G843" s="19" t="n">
        <f aca="false">$D$842*G835+d_lc*G827</f>
        <v>160.17109673529</v>
      </c>
    </row>
    <row r="844" customFormat="false" ht="15" hidden="false" customHeight="false" outlineLevel="0" collapsed="false">
      <c r="A844" s="4" t="s">
        <v>364</v>
      </c>
      <c r="B844" s="0" t="s">
        <v>53</v>
      </c>
      <c r="C844" s="14" t="n">
        <f aca="false">C843/C835</f>
        <v>0.258051117524474</v>
      </c>
      <c r="D844" s="14" t="n">
        <f aca="false">D843/D835</f>
        <v>0.322021503074929</v>
      </c>
      <c r="E844" s="14" t="n">
        <f aca="false">E843/E835</f>
        <v>0.332431679426848</v>
      </c>
      <c r="F844" s="14" t="n">
        <f aca="false">F843/F835</f>
        <v>0.336866617048172</v>
      </c>
      <c r="G844" s="14" t="n">
        <f aca="false">G843/G835</f>
        <v>0.33727415479179</v>
      </c>
    </row>
    <row r="845" customFormat="false" ht="15" hidden="false" customHeight="false" outlineLevel="0" collapsed="false">
      <c r="A845" s="4" t="s">
        <v>487</v>
      </c>
      <c r="B845" s="0" t="s">
        <v>193</v>
      </c>
      <c r="C845" s="19" t="n">
        <f aca="false">a25_opx</f>
        <v>8.4832253</v>
      </c>
      <c r="D845" s="19" t="n">
        <f aca="false">a26_opx</f>
        <v>11.7048599</v>
      </c>
      <c r="E845" s="19" t="n">
        <f aca="false">D845*(1+MAX(0,phi*E837))</f>
        <v>16.4391586701161</v>
      </c>
      <c r="F845" s="19" t="n">
        <f aca="false">E845*(1+MAX(0,phi*F837))</f>
        <v>19.3981342071375</v>
      </c>
      <c r="G845" s="19" t="n">
        <f aca="false">F845*(1+MAX(0,phi*G837))</f>
        <v>20.2555626851977</v>
      </c>
    </row>
    <row r="846" customFormat="false" ht="15" hidden="false" customHeight="false" outlineLevel="0" collapsed="false">
      <c r="A846" s="4" t="s">
        <v>366</v>
      </c>
      <c r="B846" s="0" t="s">
        <v>193</v>
      </c>
      <c r="C846" s="19" t="n">
        <f aca="false">C845</f>
        <v>8.4832253</v>
      </c>
      <c r="D846" s="19" t="n">
        <f aca="false">D845</f>
        <v>11.7048599</v>
      </c>
      <c r="E846" s="19" t="n">
        <f aca="false">E845+0*E835</f>
        <v>16.4391586701161</v>
      </c>
      <c r="F846" s="19" t="n">
        <f aca="false">F845+0*F835</f>
        <v>19.3981342071375</v>
      </c>
      <c r="G846" s="19" t="n">
        <f aca="false">G845+0*G835</f>
        <v>20.2555626851977</v>
      </c>
    </row>
    <row r="847" customFormat="false" ht="15" hidden="false" customHeight="false" outlineLevel="0" collapsed="false">
      <c r="A847" s="4" t="s">
        <v>368</v>
      </c>
      <c r="B847" s="0" t="s">
        <v>193</v>
      </c>
      <c r="C847" s="19" t="n">
        <f aca="false">C843-C846</f>
        <v>27.5507747</v>
      </c>
      <c r="D847" s="19" t="n">
        <f aca="false">D843-D846</f>
        <v>60.8144953</v>
      </c>
      <c r="E847" s="19" t="n">
        <f aca="false">E843-E846</f>
        <v>101.68221633585</v>
      </c>
      <c r="F847" s="19" t="n">
        <f aca="false">F843-F846</f>
        <v>131.077611861678</v>
      </c>
      <c r="G847" s="19" t="n">
        <f aca="false">G843-G846</f>
        <v>139.915534050092</v>
      </c>
    </row>
    <row r="848" customFormat="false" ht="15" hidden="false" customHeight="false" outlineLevel="0" collapsed="false">
      <c r="A848" s="4" t="s">
        <v>371</v>
      </c>
      <c r="B848" s="0" t="s">
        <v>53</v>
      </c>
      <c r="C848" s="14" t="n">
        <f aca="false">C847/C835</f>
        <v>0.1973</v>
      </c>
      <c r="D848" s="14" t="n">
        <f aca="false">D847/D835</f>
        <v>0.27004618465291</v>
      </c>
      <c r="E848" s="14" t="n">
        <f aca="false">E847/E835</f>
        <v>0.286166580287974</v>
      </c>
      <c r="F848" s="14" t="n">
        <f aca="false">F847/F835</f>
        <v>0.293440456898639</v>
      </c>
      <c r="G848" s="14" t="n">
        <f aca="false">G847/G835</f>
        <v>0.294621779152678</v>
      </c>
    </row>
    <row r="849" customFormat="false" ht="15" hidden="false" customHeight="false" outlineLevel="0" collapsed="false">
      <c r="A849" s="4" t="s">
        <v>373</v>
      </c>
      <c r="B849" s="0" t="s">
        <v>193</v>
      </c>
      <c r="C849" s="19" t="n">
        <f aca="false">a25_nop</f>
        <v>1.23179436863779</v>
      </c>
      <c r="D849" s="19" t="n">
        <f aca="false">a26_nop</f>
        <v>0.8186111</v>
      </c>
      <c r="E849" s="19" t="n">
        <f aca="false">nop_f</f>
        <v>1</v>
      </c>
      <c r="F849" s="19" t="n">
        <f aca="false">nop_f</f>
        <v>1</v>
      </c>
      <c r="G849" s="19" t="n">
        <f aca="false">nop_f</f>
        <v>1</v>
      </c>
    </row>
    <row r="850" customFormat="false" ht="17.15" hidden="false" customHeight="false" outlineLevel="0" collapsed="false">
      <c r="A850" s="4" t="s">
        <v>236</v>
      </c>
      <c r="B850" s="0" t="s">
        <v>53</v>
      </c>
      <c r="C850" s="14" t="n">
        <f aca="false">a25_ni/(a25_oi+a25_nop)</f>
        <v>0.666583999303438</v>
      </c>
      <c r="D850" s="14" t="n">
        <f aca="false">a26_ni/(a26_oi+a26_nop)</f>
        <v>0.674837141220258</v>
      </c>
      <c r="E850" s="14" t="n">
        <f aca="false">nir_f</f>
        <v>0.675</v>
      </c>
      <c r="F850" s="14" t="n">
        <f aca="false">nir_f</f>
        <v>0.675</v>
      </c>
      <c r="G850" s="14" t="n">
        <f aca="false">nir_f</f>
        <v>0.675</v>
      </c>
    </row>
    <row r="851" customFormat="false" ht="15" hidden="false" customHeight="false" outlineLevel="0" collapsed="false">
      <c r="A851" s="4" t="s">
        <v>377</v>
      </c>
      <c r="B851" s="0" t="s">
        <v>193</v>
      </c>
      <c r="C851" s="19" t="n">
        <f aca="false">a25_ni</f>
        <v>19.186</v>
      </c>
      <c r="D851" s="19" t="n">
        <f aca="false">a26_ni</f>
        <v>41.5923093275</v>
      </c>
      <c r="E851" s="19" t="n">
        <f aca="false">(E847+E849)*E850</f>
        <v>69.310496026699</v>
      </c>
      <c r="F851" s="19" t="n">
        <f aca="false">(F847+F849)*F850</f>
        <v>89.1523880066325</v>
      </c>
      <c r="G851" s="19" t="n">
        <f aca="false">(G847+G849)*G850</f>
        <v>95.1179854838124</v>
      </c>
    </row>
    <row r="852" customFormat="false" ht="15" hidden="false" customHeight="false" outlineLevel="0" collapsed="false">
      <c r="A852" s="4" t="s">
        <v>488</v>
      </c>
      <c r="B852" s="4" t="s">
        <v>219</v>
      </c>
      <c r="C852" s="22" t="n">
        <f aca="false">a25_sh</f>
        <v>0.390197274761033</v>
      </c>
      <c r="D852" s="22" t="n">
        <f aca="false">a26_sh</f>
        <v>0.392523574315222</v>
      </c>
      <c r="E852" s="22" t="n">
        <f aca="false">D852*(1+sh_g)</f>
        <v>0.392523574315222</v>
      </c>
      <c r="F852" s="22" t="n">
        <f aca="false">E852*(1+sh_g)</f>
        <v>0.392523574315222</v>
      </c>
      <c r="G852" s="22" t="n">
        <f aca="false">F852*(1+sh_g)</f>
        <v>0.392523574315222</v>
      </c>
    </row>
    <row r="853" customFormat="false" ht="15" hidden="false" customHeight="false" outlineLevel="0" collapsed="false">
      <c r="A853" s="0" t="s">
        <v>382</v>
      </c>
      <c r="B853" s="0" t="s">
        <v>256</v>
      </c>
      <c r="C853" s="20" t="n">
        <f aca="false">C851/C852</f>
        <v>49.17</v>
      </c>
      <c r="D853" s="20" t="n">
        <f aca="false">D851/D852</f>
        <v>105.961302834002</v>
      </c>
      <c r="E853" s="20" t="n">
        <f aca="false">E851/E852</f>
        <v>176.576645485853</v>
      </c>
      <c r="F853" s="20" t="n">
        <f aca="false">F851/F852</f>
        <v>227.12620041271</v>
      </c>
      <c r="G853" s="20" t="n">
        <f aca="false">G851/G852</f>
        <v>242.32426205165</v>
      </c>
    </row>
    <row r="854" customFormat="false" ht="17.15" hidden="false" customHeight="false" outlineLevel="0" collapsed="false">
      <c r="A854" s="0" t="s">
        <v>489</v>
      </c>
      <c r="B854" s="0" t="s">
        <v>53</v>
      </c>
      <c r="D854" s="14" t="n">
        <f aca="false">D853/C853-1</f>
        <v>1.15499904075659</v>
      </c>
      <c r="E854" s="14" t="n">
        <f aca="false">E853/D853-1</f>
        <v>0.666425768305976</v>
      </c>
      <c r="F854" s="14" t="n">
        <f aca="false">F853/E853-1</f>
        <v>0.286275428937779</v>
      </c>
      <c r="G854" s="14" t="n">
        <f aca="false">G853/F853-1</f>
        <v>0.0669146122786535</v>
      </c>
    </row>
    <row r="857" customFormat="false" ht="17.15" hidden="false" customHeight="false" outlineLevel="0" collapsed="false">
      <c r="A857" s="1" t="s">
        <v>819</v>
      </c>
    </row>
    <row r="858" customFormat="false" ht="17.15" hidden="false" customHeight="false" outlineLevel="0" collapsed="false">
      <c r="A858" s="5" t="s">
        <v>744</v>
      </c>
      <c r="B858" s="5" t="s">
        <v>745</v>
      </c>
      <c r="C858" s="11" t="s">
        <v>820</v>
      </c>
      <c r="D858" s="11" t="s">
        <v>821</v>
      </c>
      <c r="E858" s="5" t="s">
        <v>822</v>
      </c>
      <c r="F858" s="5" t="s">
        <v>823</v>
      </c>
    </row>
    <row r="859" customFormat="false" ht="17.15" hidden="false" customHeight="false" outlineLevel="0" collapsed="false">
      <c r="A859" s="4" t="s">
        <v>25</v>
      </c>
      <c r="B859" s="0" t="s">
        <v>824</v>
      </c>
      <c r="C859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3002.4945833605</v>
      </c>
      <c r="D859" s="18" t="n">
        <f aca="false">Val!B115</f>
        <v>4928.54975488515</v>
      </c>
      <c r="E859" s="18" t="n">
        <f aca="false">tp_w_dcf*C859+(1-tp_w_dcf)*D859</f>
        <v>3965.52216912283</v>
      </c>
      <c r="F859" s="14" t="n">
        <f aca="false">E859/E$859-1</f>
        <v>0</v>
      </c>
    </row>
    <row r="860" customFormat="false" ht="17.15" hidden="false" customHeight="false" outlineLevel="0" collapsed="false">
      <c r="A860" s="4" t="s">
        <v>825</v>
      </c>
      <c r="B860" s="0" t="s">
        <v>826</v>
      </c>
      <c r="C860" s="18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2594.10742324417</v>
      </c>
      <c r="D860" s="18" t="n">
        <f aca="false">Val!B115</f>
        <v>4928.54975488515</v>
      </c>
      <c r="E860" s="18" t="n">
        <f aca="false">tp_w_dcf*C860+(1-tp_w_dcf)*D860</f>
        <v>3761.32858906466</v>
      </c>
      <c r="F860" s="14" t="n">
        <f aca="false">E860/E$859-1</f>
        <v>-0.0514922301148894</v>
      </c>
    </row>
    <row r="861" customFormat="false" ht="17.15" hidden="false" customHeight="false" outlineLevel="0" collapsed="false">
      <c r="A861" s="4" t="s">
        <v>827</v>
      </c>
      <c r="B861" s="0" t="s">
        <v>828</v>
      </c>
      <c r="C861" s="18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3574.17913640526</v>
      </c>
      <c r="D861" s="18" t="n">
        <f aca="false">Val!B115</f>
        <v>4928.54975488515</v>
      </c>
      <c r="E861" s="18" t="n">
        <f aca="false">tp_w_dcf*C861+(1-tp_w_dcf)*D861</f>
        <v>4251.36444564521</v>
      </c>
      <c r="F861" s="14" t="n">
        <f aca="false">E861/E$859-1</f>
        <v>0.072081875811479</v>
      </c>
    </row>
    <row r="862" customFormat="false" ht="17.15" hidden="false" customHeight="false" outlineLevel="0" collapsed="false">
      <c r="A862" s="4" t="s">
        <v>829</v>
      </c>
      <c r="B862" s="0" t="s">
        <v>830</v>
      </c>
      <c r="C862" s="18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3350.74587535855</v>
      </c>
      <c r="D862" s="18" t="n">
        <f aca="false">Val!B115</f>
        <v>4928.54975488515</v>
      </c>
      <c r="E862" s="18" t="n">
        <f aca="false">tp_w_dcf*C862+(1-tp_w_dcf)*D862</f>
        <v>4139.64781512185</v>
      </c>
      <c r="F862" s="14" t="n">
        <f aca="false">E862/E$859-1</f>
        <v>0.0439098909482432</v>
      </c>
    </row>
    <row r="863" customFormat="false" ht="17.15" hidden="false" customHeight="false" outlineLevel="0" collapsed="false">
      <c r="A863" s="4" t="s">
        <v>831</v>
      </c>
      <c r="B863" s="0" t="s">
        <v>832</v>
      </c>
      <c r="C863" s="18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2760.18339407701</v>
      </c>
      <c r="D863" s="18" t="n">
        <f aca="false">Val!B115</f>
        <v>4928.54975488515</v>
      </c>
      <c r="E863" s="18" t="n">
        <f aca="false">tp_w_dcf*C863+(1-tp_w_dcf)*D863</f>
        <v>3844.36657448108</v>
      </c>
      <c r="F863" s="14" t="n">
        <f aca="false">E863/E$859-1</f>
        <v>-0.0305522424222243</v>
      </c>
    </row>
    <row r="864" customFormat="false" ht="17.15" hidden="false" customHeight="false" outlineLevel="0" collapsed="false">
      <c r="A864" s="0" t="s">
        <v>833</v>
      </c>
      <c r="B864" s="0" t="s">
        <v>834</v>
      </c>
      <c r="C864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3002.4945833605</v>
      </c>
      <c r="D864" s="18" t="n">
        <f aca="false">Val!B115</f>
        <v>4928.54975488515</v>
      </c>
      <c r="E864" s="18" t="n">
        <f aca="false">0.4*C864+(1-0.4)*D864</f>
        <v>4158.12768627529</v>
      </c>
      <c r="F864" s="14" t="n">
        <f aca="false">E864/E$859-1</f>
        <v>0.0485700265786355</v>
      </c>
    </row>
    <row r="865" customFormat="false" ht="17.15" hidden="false" customHeight="false" outlineLevel="0" collapsed="false">
      <c r="A865" s="0" t="s">
        <v>835</v>
      </c>
      <c r="B865" s="0" t="s">
        <v>836</v>
      </c>
      <c r="C865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3002.4945833605</v>
      </c>
      <c r="D865" s="18" t="n">
        <f aca="false">Val!B115</f>
        <v>4928.54975488515</v>
      </c>
      <c r="E865" s="18" t="n">
        <f aca="false">0.8*C865+(1-0.8)*D865</f>
        <v>3387.70561766543</v>
      </c>
      <c r="F865" s="14" t="n">
        <f aca="false">E865/E$859-1</f>
        <v>-0.145710079735907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837</v>
      </c>
    </row>
    <row r="2" customFormat="false" ht="17.15" hidden="false" customHeight="false" outlineLevel="0" collapsed="false">
      <c r="A2" s="4" t="s">
        <v>838</v>
      </c>
      <c r="B2" s="0" t="s">
        <v>839</v>
      </c>
    </row>
    <row r="3" customFormat="false" ht="17.15" hidden="false" customHeight="false" outlineLevel="0" collapsed="false">
      <c r="A3" s="4" t="s">
        <v>840</v>
      </c>
      <c r="B3" s="0" t="s">
        <v>841</v>
      </c>
    </row>
    <row r="4" customFormat="false" ht="17.15" hidden="false" customHeight="false" outlineLevel="0" collapsed="false">
      <c r="A4" s="4" t="s">
        <v>842</v>
      </c>
      <c r="B4" s="0" t="s">
        <v>843</v>
      </c>
    </row>
    <row r="5" customFormat="false" ht="17.15" hidden="false" customHeight="false" outlineLevel="0" collapsed="false">
      <c r="A5" s="4" t="s">
        <v>844</v>
      </c>
      <c r="B5" s="0" t="s">
        <v>845</v>
      </c>
    </row>
    <row r="6" customFormat="false" ht="17.15" hidden="false" customHeight="false" outlineLevel="0" collapsed="false">
      <c r="A6" s="4" t="s">
        <v>846</v>
      </c>
      <c r="B6" s="0" t="s">
        <v>847</v>
      </c>
    </row>
    <row r="7" customFormat="false" ht="17.15" hidden="false" customHeight="false" outlineLevel="0" collapsed="false">
      <c r="A7" s="4" t="s">
        <v>848</v>
      </c>
      <c r="B7" s="0" t="s">
        <v>212</v>
      </c>
    </row>
    <row r="8" customFormat="false" ht="17.15" hidden="false" customHeight="false" outlineLevel="0" collapsed="false">
      <c r="A8" s="4" t="s">
        <v>849</v>
      </c>
      <c r="B8" s="0" t="s">
        <v>250</v>
      </c>
    </row>
    <row r="9" customFormat="false" ht="17.15" hidden="false" customHeight="false" outlineLevel="0" collapsed="false">
      <c r="A9" s="4" t="s">
        <v>850</v>
      </c>
      <c r="B9" s="0" t="s">
        <v>851</v>
      </c>
    </row>
    <row r="10" customFormat="false" ht="17.15" hidden="false" customHeight="false" outlineLevel="0" collapsed="false">
      <c r="A10" s="4" t="s">
        <v>852</v>
      </c>
      <c r="B10" s="0" t="s">
        <v>253</v>
      </c>
    </row>
    <row r="11" customFormat="false" ht="17.15" hidden="false" customHeight="false" outlineLevel="0" collapsed="false">
      <c r="A11" s="4" t="s">
        <v>853</v>
      </c>
      <c r="B11" s="0" t="s">
        <v>854</v>
      </c>
    </row>
    <row r="12" customFormat="false" ht="17.15" hidden="false" customHeight="false" outlineLevel="0" collapsed="false">
      <c r="A12" s="4" t="s">
        <v>855</v>
      </c>
      <c r="B12" s="0" t="s">
        <v>856</v>
      </c>
    </row>
    <row r="13" customFormat="false" ht="17.15" hidden="false" customHeight="false" outlineLevel="0" collapsed="false">
      <c r="A13" s="4" t="s">
        <v>857</v>
      </c>
      <c r="B13" s="0" t="s">
        <v>289</v>
      </c>
    </row>
    <row r="14" customFormat="false" ht="17.15" hidden="false" customHeight="false" outlineLevel="0" collapsed="false">
      <c r="A14" s="4" t="s">
        <v>858</v>
      </c>
      <c r="B14" s="0" t="s">
        <v>859</v>
      </c>
    </row>
    <row r="15" customFormat="false" ht="17.15" hidden="false" customHeight="false" outlineLevel="0" collapsed="false">
      <c r="A15" s="4" t="s">
        <v>860</v>
      </c>
      <c r="B15" s="0" t="s">
        <v>861</v>
      </c>
    </row>
    <row r="16" customFormat="false" ht="17.15" hidden="false" customHeight="false" outlineLevel="0" collapsed="false">
      <c r="A16" s="4" t="s">
        <v>862</v>
      </c>
      <c r="B16" s="0" t="s">
        <v>863</v>
      </c>
    </row>
    <row r="17" customFormat="false" ht="17.15" hidden="false" customHeight="false" outlineLevel="0" collapsed="false">
      <c r="A17" s="4" t="s">
        <v>864</v>
      </c>
      <c r="B17" s="0" t="s">
        <v>865</v>
      </c>
    </row>
    <row r="18" customFormat="false" ht="17.15" hidden="false" customHeight="false" outlineLevel="0" collapsed="false">
      <c r="A18" s="4" t="s">
        <v>866</v>
      </c>
    </row>
    <row r="19" customFormat="false" ht="17.15" hidden="false" customHeight="false" outlineLevel="0" collapsed="false">
      <c r="A19" s="4" t="s">
        <v>867</v>
      </c>
      <c r="B19" s="4" t="s">
        <v>868</v>
      </c>
    </row>
    <row r="20" customFormat="false" ht="15" hidden="false" customHeight="false" outlineLevel="0" collapsed="false">
      <c r="A20" s="0" t="s">
        <v>869</v>
      </c>
      <c r="B20" s="4" t="s">
        <v>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2026-10-28T08:46:23Z</dcterms:created>
  <dc:creator>openpyxl</dc:creator>
  <dc:description/>
  <dc:language>en-US</dc:language>
  <cp:lastModifiedBy/>
  <dcterms:modified xsi:type="dcterms:W3CDTF">2026-10-28T08:46:24Z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